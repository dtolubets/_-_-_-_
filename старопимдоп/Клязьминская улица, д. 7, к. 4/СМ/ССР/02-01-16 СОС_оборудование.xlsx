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из смету ру\"/>
    </mc:Choice>
  </mc:AlternateContent>
  <bookViews>
    <workbookView xWindow="0" yWindow="0" windowWidth="13665" windowHeight="7125"/>
  </bookViews>
  <sheets>
    <sheet name="02-01-16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'02-01-16'!$27:$27</definedName>
    <definedName name="_xlnm.Print_Titles" localSheetId="1">'Ведомость объемов работ'!$9:$9</definedName>
    <definedName name="_xlnm.Print_Area" localSheetId="0">'02-01-16'!$A$1:$K$347</definedName>
    <definedName name="_xlnm.Print_Area" localSheetId="1">'Ведомость объемов работ'!$A$1:$H$60</definedName>
  </definedNames>
  <calcPr calcId="162913" iterate="1"/>
</workbook>
</file>

<file path=xl/calcChain.xml><?xml version="1.0" encoding="utf-8"?>
<calcChain xmlns="http://schemas.openxmlformats.org/spreadsheetml/2006/main">
  <c r="D58" i="8" l="1"/>
  <c r="D56" i="8"/>
  <c r="G53" i="8"/>
  <c r="F53" i="8"/>
  <c r="E53" i="8"/>
  <c r="C53" i="8"/>
  <c r="B53" i="8"/>
  <c r="G52" i="8"/>
  <c r="F52" i="8"/>
  <c r="E52" i="8"/>
  <c r="C52" i="8"/>
  <c r="B52" i="8"/>
  <c r="G51" i="8"/>
  <c r="F51" i="8"/>
  <c r="E51" i="8"/>
  <c r="C51" i="8"/>
  <c r="B51" i="8"/>
  <c r="G50" i="8"/>
  <c r="F50" i="8"/>
  <c r="E50" i="8"/>
  <c r="C50" i="8"/>
  <c r="B50" i="8"/>
  <c r="G49" i="8"/>
  <c r="F49" i="8"/>
  <c r="E49" i="8"/>
  <c r="C49" i="8"/>
  <c r="B49" i="8"/>
  <c r="G48" i="8"/>
  <c r="F48" i="8"/>
  <c r="E48" i="8"/>
  <c r="C48" i="8"/>
  <c r="B48" i="8"/>
  <c r="G47" i="8"/>
  <c r="F47" i="8"/>
  <c r="E47" i="8"/>
  <c r="C47" i="8"/>
  <c r="B47" i="8"/>
  <c r="G46" i="8"/>
  <c r="F46" i="8"/>
  <c r="E46" i="8"/>
  <c r="C46" i="8"/>
  <c r="B46" i="8"/>
  <c r="G45" i="8"/>
  <c r="F45" i="8"/>
  <c r="E45" i="8"/>
  <c r="C45" i="8"/>
  <c r="B45" i="8"/>
  <c r="A44" i="8"/>
  <c r="G43" i="8"/>
  <c r="F43" i="8"/>
  <c r="E43" i="8"/>
  <c r="C43" i="8"/>
  <c r="B43" i="8"/>
  <c r="G42" i="8"/>
  <c r="F42" i="8"/>
  <c r="E42" i="8"/>
  <c r="C42" i="8"/>
  <c r="B42" i="8"/>
  <c r="G41" i="8"/>
  <c r="F41" i="8"/>
  <c r="E41" i="8"/>
  <c r="C41" i="8"/>
  <c r="B41" i="8"/>
  <c r="G40" i="8"/>
  <c r="F40" i="8"/>
  <c r="E40" i="8"/>
  <c r="C40" i="8"/>
  <c r="B40" i="8"/>
  <c r="G39" i="8"/>
  <c r="F39" i="8"/>
  <c r="E39" i="8"/>
  <c r="C39" i="8"/>
  <c r="B39" i="8"/>
  <c r="G38" i="8"/>
  <c r="F38" i="8"/>
  <c r="E38" i="8"/>
  <c r="C38" i="8"/>
  <c r="B38" i="8"/>
  <c r="G37" i="8"/>
  <c r="F37" i="8"/>
  <c r="E37" i="8"/>
  <c r="C37" i="8"/>
  <c r="B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G18" i="8"/>
  <c r="F18" i="8"/>
  <c r="E18" i="8"/>
  <c r="C18" i="8"/>
  <c r="B18" i="8"/>
  <c r="G17" i="8"/>
  <c r="F17" i="8"/>
  <c r="E17" i="8"/>
  <c r="C17" i="8"/>
  <c r="B17" i="8"/>
  <c r="G16" i="8"/>
  <c r="F16" i="8"/>
  <c r="E16" i="8"/>
  <c r="C16" i="8"/>
  <c r="B16" i="8"/>
  <c r="G15" i="8"/>
  <c r="F15" i="8"/>
  <c r="E15" i="8"/>
  <c r="C15" i="8"/>
  <c r="B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345" i="7"/>
  <c r="H342" i="7"/>
  <c r="C345" i="7"/>
  <c r="C342" i="7"/>
  <c r="I339" i="7"/>
  <c r="J339" i="7"/>
  <c r="I338" i="7"/>
  <c r="J338" i="7"/>
  <c r="A337" i="7"/>
  <c r="J22" i="7"/>
  <c r="J19" i="7"/>
  <c r="J18" i="7"/>
  <c r="J17" i="7"/>
  <c r="J16" i="7"/>
  <c r="J14" i="7" s="1"/>
  <c r="J15" i="7"/>
  <c r="I22" i="7"/>
  <c r="I20" i="7"/>
  <c r="I19" i="7"/>
  <c r="I18" i="7"/>
  <c r="I17" i="7"/>
  <c r="I16" i="7"/>
  <c r="I14" i="7" s="1"/>
  <c r="I15" i="7"/>
  <c r="I335" i="7"/>
  <c r="J335" i="7"/>
  <c r="I334" i="7"/>
  <c r="J334" i="7"/>
  <c r="AQ333" i="7"/>
  <c r="A333" i="7"/>
  <c r="I331" i="7"/>
  <c r="J331" i="7"/>
  <c r="I330" i="7"/>
  <c r="J330" i="7"/>
  <c r="A329" i="7"/>
  <c r="H326" i="7"/>
  <c r="P326" i="7"/>
  <c r="C325" i="7"/>
  <c r="K324" i="7"/>
  <c r="J326" i="7" s="1"/>
  <c r="J324" i="7"/>
  <c r="I324" i="7"/>
  <c r="O326" i="7" s="1"/>
  <c r="H324" i="7"/>
  <c r="G324" i="7"/>
  <c r="F324" i="7"/>
  <c r="V324" i="7"/>
  <c r="T324" i="7"/>
  <c r="R324" i="7"/>
  <c r="U324" i="7"/>
  <c r="S324" i="7"/>
  <c r="Q324" i="7"/>
  <c r="E324" i="7"/>
  <c r="D324" i="7"/>
  <c r="B324" i="7"/>
  <c r="O322" i="7"/>
  <c r="H322" i="7"/>
  <c r="P322" i="7"/>
  <c r="C321" i="7"/>
  <c r="K320" i="7"/>
  <c r="J322" i="7" s="1"/>
  <c r="J320" i="7"/>
  <c r="I320" i="7"/>
  <c r="H320" i="7"/>
  <c r="G320" i="7"/>
  <c r="F320" i="7"/>
  <c r="V320" i="7"/>
  <c r="T320" i="7"/>
  <c r="R320" i="7"/>
  <c r="U320" i="7"/>
  <c r="S320" i="7"/>
  <c r="Q320" i="7"/>
  <c r="E320" i="7"/>
  <c r="D320" i="7"/>
  <c r="B320" i="7"/>
  <c r="O318" i="7"/>
  <c r="H318" i="7"/>
  <c r="P318" i="7"/>
  <c r="C317" i="7"/>
  <c r="K316" i="7"/>
  <c r="J318" i="7" s="1"/>
  <c r="J316" i="7"/>
  <c r="I316" i="7"/>
  <c r="H316" i="7"/>
  <c r="G316" i="7"/>
  <c r="F316" i="7"/>
  <c r="V316" i="7"/>
  <c r="T316" i="7"/>
  <c r="R316" i="7"/>
  <c r="U316" i="7"/>
  <c r="S316" i="7"/>
  <c r="Q316" i="7"/>
  <c r="E316" i="7"/>
  <c r="D316" i="7"/>
  <c r="B316" i="7"/>
  <c r="O314" i="7"/>
  <c r="H314" i="7"/>
  <c r="P314" i="7"/>
  <c r="C313" i="7"/>
  <c r="K312" i="7"/>
  <c r="J314" i="7" s="1"/>
  <c r="J312" i="7"/>
  <c r="I312" i="7"/>
  <c r="H312" i="7"/>
  <c r="G312" i="7"/>
  <c r="F312" i="7"/>
  <c r="V312" i="7"/>
  <c r="T312" i="7"/>
  <c r="R312" i="7"/>
  <c r="U312" i="7"/>
  <c r="S312" i="7"/>
  <c r="Q312" i="7"/>
  <c r="E312" i="7"/>
  <c r="D312" i="7"/>
  <c r="B312" i="7"/>
  <c r="H309" i="7"/>
  <c r="J309" i="7"/>
  <c r="I307" i="7"/>
  <c r="H307" i="7"/>
  <c r="G307" i="7"/>
  <c r="E307" i="7"/>
  <c r="J306" i="7"/>
  <c r="I306" i="7"/>
  <c r="E306" i="7"/>
  <c r="K305" i="7"/>
  <c r="J305" i="7"/>
  <c r="E305" i="7"/>
  <c r="K304" i="7"/>
  <c r="J304" i="7"/>
  <c r="I304" i="7"/>
  <c r="H304" i="7"/>
  <c r="G304" i="7"/>
  <c r="F304" i="7"/>
  <c r="K303" i="7"/>
  <c r="J303" i="7"/>
  <c r="I303" i="7"/>
  <c r="H303" i="7"/>
  <c r="G303" i="7"/>
  <c r="F303" i="7"/>
  <c r="K302" i="7"/>
  <c r="J302" i="7"/>
  <c r="I302" i="7"/>
  <c r="H302" i="7"/>
  <c r="G302" i="7"/>
  <c r="F302" i="7"/>
  <c r="K301" i="7"/>
  <c r="J301" i="7"/>
  <c r="I301" i="7"/>
  <c r="H301" i="7"/>
  <c r="G301" i="7"/>
  <c r="F301" i="7"/>
  <c r="C300" i="7"/>
  <c r="V299" i="7"/>
  <c r="T299" i="7"/>
  <c r="K306" i="7" s="1"/>
  <c r="R299" i="7"/>
  <c r="U299" i="7"/>
  <c r="S299" i="7"/>
  <c r="Q299" i="7"/>
  <c r="I305" i="7" s="1"/>
  <c r="E299" i="7"/>
  <c r="D299" i="7"/>
  <c r="B299" i="7"/>
  <c r="H296" i="7"/>
  <c r="J296" i="7"/>
  <c r="I294" i="7"/>
  <c r="H294" i="7"/>
  <c r="G294" i="7"/>
  <c r="E294" i="7"/>
  <c r="K293" i="7"/>
  <c r="J293" i="7"/>
  <c r="I293" i="7"/>
  <c r="E293" i="7"/>
  <c r="K292" i="7"/>
  <c r="J292" i="7"/>
  <c r="E292" i="7"/>
  <c r="K291" i="7"/>
  <c r="J291" i="7"/>
  <c r="I291" i="7"/>
  <c r="H291" i="7"/>
  <c r="G291" i="7"/>
  <c r="F291" i="7"/>
  <c r="K290" i="7"/>
  <c r="J290" i="7"/>
  <c r="I290" i="7"/>
  <c r="H290" i="7"/>
  <c r="G290" i="7"/>
  <c r="F290" i="7"/>
  <c r="K289" i="7"/>
  <c r="P297" i="7" s="1"/>
  <c r="J289" i="7"/>
  <c r="I289" i="7"/>
  <c r="H289" i="7"/>
  <c r="G289" i="7"/>
  <c r="F289" i="7"/>
  <c r="K288" i="7"/>
  <c r="J297" i="7" s="1"/>
  <c r="J288" i="7"/>
  <c r="I288" i="7"/>
  <c r="H297" i="7" s="1"/>
  <c r="H288" i="7"/>
  <c r="G288" i="7"/>
  <c r="F288" i="7"/>
  <c r="C287" i="7"/>
  <c r="V286" i="7"/>
  <c r="T286" i="7"/>
  <c r="R286" i="7"/>
  <c r="U286" i="7"/>
  <c r="S286" i="7"/>
  <c r="Q286" i="7"/>
  <c r="I292" i="7" s="1"/>
  <c r="E286" i="7"/>
  <c r="D286" i="7"/>
  <c r="B286" i="7"/>
  <c r="P284" i="7"/>
  <c r="K283" i="7"/>
  <c r="J284" i="7" s="1"/>
  <c r="J283" i="7"/>
  <c r="I283" i="7"/>
  <c r="O284" i="7" s="1"/>
  <c r="H283" i="7"/>
  <c r="G283" i="7"/>
  <c r="F283" i="7"/>
  <c r="V283" i="7"/>
  <c r="T283" i="7"/>
  <c r="R283" i="7"/>
  <c r="U283" i="7"/>
  <c r="S283" i="7"/>
  <c r="Q283" i="7"/>
  <c r="E283" i="7"/>
  <c r="D283" i="7"/>
  <c r="B283" i="7"/>
  <c r="H280" i="7"/>
  <c r="J280" i="7"/>
  <c r="I278" i="7"/>
  <c r="H278" i="7"/>
  <c r="G278" i="7"/>
  <c r="E278" i="7"/>
  <c r="J277" i="7"/>
  <c r="E277" i="7"/>
  <c r="J276" i="7"/>
  <c r="E276" i="7"/>
  <c r="K275" i="7"/>
  <c r="J275" i="7"/>
  <c r="H275" i="7"/>
  <c r="I275" i="7"/>
  <c r="F275" i="7"/>
  <c r="V275" i="7"/>
  <c r="T275" i="7"/>
  <c r="R275" i="7"/>
  <c r="U275" i="7"/>
  <c r="S275" i="7"/>
  <c r="Q275" i="7"/>
  <c r="I276" i="7" s="1"/>
  <c r="E275" i="7"/>
  <c r="D275" i="7"/>
  <c r="B275" i="7"/>
  <c r="K274" i="7"/>
  <c r="J274" i="7"/>
  <c r="I274" i="7"/>
  <c r="H274" i="7"/>
  <c r="G274" i="7"/>
  <c r="F274" i="7"/>
  <c r="K273" i="7"/>
  <c r="J273" i="7"/>
  <c r="I273" i="7"/>
  <c r="H273" i="7"/>
  <c r="G273" i="7"/>
  <c r="F273" i="7"/>
  <c r="K272" i="7"/>
  <c r="J272" i="7"/>
  <c r="I272" i="7"/>
  <c r="H272" i="7"/>
  <c r="G272" i="7"/>
  <c r="F272" i="7"/>
  <c r="K271" i="7"/>
  <c r="J271" i="7"/>
  <c r="I271" i="7"/>
  <c r="H271" i="7"/>
  <c r="G271" i="7"/>
  <c r="F271" i="7"/>
  <c r="C270" i="7"/>
  <c r="V269" i="7"/>
  <c r="T269" i="7"/>
  <c r="K277" i="7" s="1"/>
  <c r="R269" i="7"/>
  <c r="K276" i="7" s="1"/>
  <c r="U269" i="7"/>
  <c r="S269" i="7"/>
  <c r="I277" i="7" s="1"/>
  <c r="Q269" i="7"/>
  <c r="E269" i="7"/>
  <c r="D269" i="7"/>
  <c r="B269" i="7"/>
  <c r="H266" i="7"/>
  <c r="J266" i="7"/>
  <c r="I264" i="7"/>
  <c r="H264" i="7"/>
  <c r="G264" i="7"/>
  <c r="E264" i="7"/>
  <c r="J263" i="7"/>
  <c r="E263" i="7"/>
  <c r="J262" i="7"/>
  <c r="E262" i="7"/>
  <c r="K261" i="7"/>
  <c r="J261" i="7"/>
  <c r="H261" i="7"/>
  <c r="I261" i="7"/>
  <c r="F261" i="7"/>
  <c r="V261" i="7"/>
  <c r="T261" i="7"/>
  <c r="R261" i="7"/>
  <c r="U261" i="7"/>
  <c r="S261" i="7"/>
  <c r="Q261" i="7"/>
  <c r="E261" i="7"/>
  <c r="D261" i="7"/>
  <c r="B261" i="7"/>
  <c r="K260" i="7"/>
  <c r="J260" i="7"/>
  <c r="H260" i="7"/>
  <c r="I260" i="7"/>
  <c r="F260" i="7"/>
  <c r="V260" i="7"/>
  <c r="T260" i="7"/>
  <c r="R260" i="7"/>
  <c r="U260" i="7"/>
  <c r="S260" i="7"/>
  <c r="I263" i="7" s="1"/>
  <c r="Q260" i="7"/>
  <c r="E260" i="7"/>
  <c r="D260" i="7"/>
  <c r="B260" i="7"/>
  <c r="K259" i="7"/>
  <c r="J259" i="7"/>
  <c r="I259" i="7"/>
  <c r="H259" i="7"/>
  <c r="G259" i="7"/>
  <c r="F259" i="7"/>
  <c r="K258" i="7"/>
  <c r="J258" i="7"/>
  <c r="I258" i="7"/>
  <c r="H258" i="7"/>
  <c r="G258" i="7"/>
  <c r="F258" i="7"/>
  <c r="K257" i="7"/>
  <c r="J257" i="7"/>
  <c r="I257" i="7"/>
  <c r="H257" i="7"/>
  <c r="G257" i="7"/>
  <c r="F257" i="7"/>
  <c r="K256" i="7"/>
  <c r="J256" i="7"/>
  <c r="I256" i="7"/>
  <c r="H256" i="7"/>
  <c r="G256" i="7"/>
  <c r="F256" i="7"/>
  <c r="C255" i="7"/>
  <c r="V254" i="7"/>
  <c r="T254" i="7"/>
  <c r="K263" i="7" s="1"/>
  <c r="R254" i="7"/>
  <c r="K262" i="7" s="1"/>
  <c r="U254" i="7"/>
  <c r="S254" i="7"/>
  <c r="Q254" i="7"/>
  <c r="I262" i="7" s="1"/>
  <c r="H265" i="7" s="1"/>
  <c r="E254" i="7"/>
  <c r="D254" i="7"/>
  <c r="B254" i="7"/>
  <c r="A253" i="7"/>
  <c r="I251" i="7"/>
  <c r="J251" i="7"/>
  <c r="I250" i="7"/>
  <c r="J250" i="7"/>
  <c r="A249" i="7"/>
  <c r="O246" i="7"/>
  <c r="H246" i="7"/>
  <c r="K245" i="7"/>
  <c r="P246" i="7" s="1"/>
  <c r="J245" i="7"/>
  <c r="I245" i="7"/>
  <c r="H245" i="7"/>
  <c r="G245" i="7"/>
  <c r="F245" i="7"/>
  <c r="V245" i="7"/>
  <c r="T245" i="7"/>
  <c r="R245" i="7"/>
  <c r="U245" i="7"/>
  <c r="S245" i="7"/>
  <c r="Q245" i="7"/>
  <c r="E245" i="7"/>
  <c r="D245" i="7"/>
  <c r="B245" i="7"/>
  <c r="H242" i="7"/>
  <c r="J242" i="7"/>
  <c r="I240" i="7"/>
  <c r="H240" i="7"/>
  <c r="G240" i="7"/>
  <c r="E240" i="7"/>
  <c r="J239" i="7"/>
  <c r="I239" i="7"/>
  <c r="E239" i="7"/>
  <c r="J238" i="7"/>
  <c r="E238" i="7"/>
  <c r="K237" i="7"/>
  <c r="J237" i="7"/>
  <c r="I237" i="7"/>
  <c r="H237" i="7"/>
  <c r="G237" i="7"/>
  <c r="F237" i="7"/>
  <c r="K236" i="7"/>
  <c r="J236" i="7"/>
  <c r="I236" i="7"/>
  <c r="H236" i="7"/>
  <c r="G236" i="7"/>
  <c r="F236" i="7"/>
  <c r="K235" i="7"/>
  <c r="J235" i="7"/>
  <c r="I235" i="7"/>
  <c r="H235" i="7"/>
  <c r="G235" i="7"/>
  <c r="F235" i="7"/>
  <c r="K234" i="7"/>
  <c r="J234" i="7"/>
  <c r="I234" i="7"/>
  <c r="H234" i="7"/>
  <c r="G234" i="7"/>
  <c r="F234" i="7"/>
  <c r="C233" i="7"/>
  <c r="V232" i="7"/>
  <c r="T232" i="7"/>
  <c r="K239" i="7" s="1"/>
  <c r="R232" i="7"/>
  <c r="K238" i="7" s="1"/>
  <c r="U232" i="7"/>
  <c r="S232" i="7"/>
  <c r="Q232" i="7"/>
  <c r="I238" i="7" s="1"/>
  <c r="E232" i="7"/>
  <c r="D232" i="7"/>
  <c r="B232" i="7"/>
  <c r="O230" i="7"/>
  <c r="K229" i="7"/>
  <c r="P230" i="7" s="1"/>
  <c r="J229" i="7"/>
  <c r="I229" i="7"/>
  <c r="H230" i="7" s="1"/>
  <c r="H229" i="7"/>
  <c r="G229" i="7"/>
  <c r="F229" i="7"/>
  <c r="V229" i="7"/>
  <c r="T229" i="7"/>
  <c r="R229" i="7"/>
  <c r="U229" i="7"/>
  <c r="S229" i="7"/>
  <c r="Q229" i="7"/>
  <c r="E229" i="7"/>
  <c r="D229" i="7"/>
  <c r="B229" i="7"/>
  <c r="H226" i="7"/>
  <c r="J226" i="7"/>
  <c r="I224" i="7"/>
  <c r="H224" i="7"/>
  <c r="G224" i="7"/>
  <c r="E224" i="7"/>
  <c r="K223" i="7"/>
  <c r="J223" i="7"/>
  <c r="E223" i="7"/>
  <c r="J222" i="7"/>
  <c r="E222" i="7"/>
  <c r="K221" i="7"/>
  <c r="J221" i="7"/>
  <c r="I221" i="7"/>
  <c r="H221" i="7"/>
  <c r="G221" i="7"/>
  <c r="F221" i="7"/>
  <c r="V220" i="7"/>
  <c r="T220" i="7"/>
  <c r="R220" i="7"/>
  <c r="K222" i="7" s="1"/>
  <c r="J227" i="7" s="1"/>
  <c r="U220" i="7"/>
  <c r="S220" i="7"/>
  <c r="I223" i="7" s="1"/>
  <c r="Q220" i="7"/>
  <c r="I222" i="7" s="1"/>
  <c r="E220" i="7"/>
  <c r="D220" i="7"/>
  <c r="B220" i="7"/>
  <c r="P218" i="7"/>
  <c r="K217" i="7"/>
  <c r="J218" i="7" s="1"/>
  <c r="J217" i="7"/>
  <c r="I217" i="7"/>
  <c r="O218" i="7" s="1"/>
  <c r="H217" i="7"/>
  <c r="G217" i="7"/>
  <c r="F217" i="7"/>
  <c r="V217" i="7"/>
  <c r="T217" i="7"/>
  <c r="R217" i="7"/>
  <c r="U217" i="7"/>
  <c r="S217" i="7"/>
  <c r="Q217" i="7"/>
  <c r="E217" i="7"/>
  <c r="D217" i="7"/>
  <c r="B217" i="7"/>
  <c r="H214" i="7"/>
  <c r="H213" i="7"/>
  <c r="J214" i="7"/>
  <c r="I212" i="7"/>
  <c r="H212" i="7"/>
  <c r="G212" i="7"/>
  <c r="E212" i="7"/>
  <c r="J211" i="7"/>
  <c r="I211" i="7"/>
  <c r="E211" i="7"/>
  <c r="J210" i="7"/>
  <c r="I210" i="7"/>
  <c r="E210" i="7"/>
  <c r="K209" i="7"/>
  <c r="J209" i="7"/>
  <c r="I209" i="7"/>
  <c r="H209" i="7"/>
  <c r="G209" i="7"/>
  <c r="F209" i="7"/>
  <c r="K208" i="7"/>
  <c r="J208" i="7"/>
  <c r="I208" i="7"/>
  <c r="H208" i="7"/>
  <c r="G208" i="7"/>
  <c r="F208" i="7"/>
  <c r="K207" i="7"/>
  <c r="J207" i="7"/>
  <c r="I207" i="7"/>
  <c r="H207" i="7"/>
  <c r="G207" i="7"/>
  <c r="F207" i="7"/>
  <c r="K206" i="7"/>
  <c r="J206" i="7"/>
  <c r="I206" i="7"/>
  <c r="O215" i="7" s="1"/>
  <c r="H206" i="7"/>
  <c r="G206" i="7"/>
  <c r="F206" i="7"/>
  <c r="V205" i="7"/>
  <c r="T205" i="7"/>
  <c r="K211" i="7" s="1"/>
  <c r="R205" i="7"/>
  <c r="K210" i="7" s="1"/>
  <c r="U205" i="7"/>
  <c r="S205" i="7"/>
  <c r="Q205" i="7"/>
  <c r="E205" i="7"/>
  <c r="D205" i="7"/>
  <c r="B205" i="7"/>
  <c r="P203" i="7"/>
  <c r="J203" i="7"/>
  <c r="K202" i="7"/>
  <c r="J202" i="7"/>
  <c r="I202" i="7"/>
  <c r="O203" i="7" s="1"/>
  <c r="H202" i="7"/>
  <c r="G202" i="7"/>
  <c r="F202" i="7"/>
  <c r="V202" i="7"/>
  <c r="T202" i="7"/>
  <c r="R202" i="7"/>
  <c r="U202" i="7"/>
  <c r="S202" i="7"/>
  <c r="Q202" i="7"/>
  <c r="E202" i="7"/>
  <c r="D202" i="7"/>
  <c r="B202" i="7"/>
  <c r="H199" i="7"/>
  <c r="J199" i="7"/>
  <c r="I197" i="7"/>
  <c r="H197" i="7"/>
  <c r="G197" i="7"/>
  <c r="E197" i="7"/>
  <c r="J196" i="7"/>
  <c r="E196" i="7"/>
  <c r="J195" i="7"/>
  <c r="I195" i="7"/>
  <c r="E195" i="7"/>
  <c r="K194" i="7"/>
  <c r="J194" i="7"/>
  <c r="I194" i="7"/>
  <c r="H194" i="7"/>
  <c r="G194" i="7"/>
  <c r="F194" i="7"/>
  <c r="K193" i="7"/>
  <c r="J193" i="7"/>
  <c r="I193" i="7"/>
  <c r="H193" i="7"/>
  <c r="G193" i="7"/>
  <c r="F193" i="7"/>
  <c r="V192" i="7"/>
  <c r="T192" i="7"/>
  <c r="K196" i="7" s="1"/>
  <c r="R192" i="7"/>
  <c r="K195" i="7" s="1"/>
  <c r="J198" i="7" s="1"/>
  <c r="U192" i="7"/>
  <c r="S192" i="7"/>
  <c r="I196" i="7" s="1"/>
  <c r="H198" i="7" s="1"/>
  <c r="Q192" i="7"/>
  <c r="E192" i="7"/>
  <c r="D192" i="7"/>
  <c r="B192" i="7"/>
  <c r="P190" i="7"/>
  <c r="J190" i="7"/>
  <c r="K189" i="7"/>
  <c r="J189" i="7"/>
  <c r="I189" i="7"/>
  <c r="O190" i="7" s="1"/>
  <c r="H189" i="7"/>
  <c r="G189" i="7"/>
  <c r="F189" i="7"/>
  <c r="V189" i="7"/>
  <c r="T189" i="7"/>
  <c r="R189" i="7"/>
  <c r="U189" i="7"/>
  <c r="S189" i="7"/>
  <c r="Q189" i="7"/>
  <c r="E189" i="7"/>
  <c r="D189" i="7"/>
  <c r="B189" i="7"/>
  <c r="H186" i="7"/>
  <c r="J186" i="7"/>
  <c r="I184" i="7"/>
  <c r="H184" i="7"/>
  <c r="G184" i="7"/>
  <c r="E184" i="7"/>
  <c r="J183" i="7"/>
  <c r="E183" i="7"/>
  <c r="J182" i="7"/>
  <c r="I182" i="7"/>
  <c r="E182" i="7"/>
  <c r="K181" i="7"/>
  <c r="J181" i="7"/>
  <c r="I181" i="7"/>
  <c r="H181" i="7"/>
  <c r="G181" i="7"/>
  <c r="F181" i="7"/>
  <c r="K180" i="7"/>
  <c r="J180" i="7"/>
  <c r="I180" i="7"/>
  <c r="H180" i="7"/>
  <c r="G180" i="7"/>
  <c r="F180" i="7"/>
  <c r="V179" i="7"/>
  <c r="T179" i="7"/>
  <c r="K183" i="7" s="1"/>
  <c r="R179" i="7"/>
  <c r="K182" i="7" s="1"/>
  <c r="J185" i="7" s="1"/>
  <c r="U179" i="7"/>
  <c r="S179" i="7"/>
  <c r="I183" i="7" s="1"/>
  <c r="H185" i="7" s="1"/>
  <c r="Q179" i="7"/>
  <c r="E179" i="7"/>
  <c r="D179" i="7"/>
  <c r="B179" i="7"/>
  <c r="P177" i="7"/>
  <c r="J177" i="7"/>
  <c r="K176" i="7"/>
  <c r="J176" i="7"/>
  <c r="I176" i="7"/>
  <c r="O177" i="7" s="1"/>
  <c r="H176" i="7"/>
  <c r="G176" i="7"/>
  <c r="F176" i="7"/>
  <c r="V176" i="7"/>
  <c r="T176" i="7"/>
  <c r="R176" i="7"/>
  <c r="U176" i="7"/>
  <c r="S176" i="7"/>
  <c r="Q176" i="7"/>
  <c r="E176" i="7"/>
  <c r="D176" i="7"/>
  <c r="B176" i="7"/>
  <c r="H173" i="7"/>
  <c r="J173" i="7"/>
  <c r="I171" i="7"/>
  <c r="H171" i="7"/>
  <c r="G171" i="7"/>
  <c r="E171" i="7"/>
  <c r="J170" i="7"/>
  <c r="E170" i="7"/>
  <c r="J169" i="7"/>
  <c r="E169" i="7"/>
  <c r="K168" i="7"/>
  <c r="J168" i="7"/>
  <c r="I168" i="7"/>
  <c r="H168" i="7"/>
  <c r="G168" i="7"/>
  <c r="F168" i="7"/>
  <c r="K167" i="7"/>
  <c r="J167" i="7"/>
  <c r="I167" i="7"/>
  <c r="H167" i="7"/>
  <c r="G167" i="7"/>
  <c r="F167" i="7"/>
  <c r="K166" i="7"/>
  <c r="J166" i="7"/>
  <c r="I166" i="7"/>
  <c r="H166" i="7"/>
  <c r="G166" i="7"/>
  <c r="F166" i="7"/>
  <c r="V165" i="7"/>
  <c r="T165" i="7"/>
  <c r="K170" i="7" s="1"/>
  <c r="R165" i="7"/>
  <c r="K169" i="7" s="1"/>
  <c r="U165" i="7"/>
  <c r="S165" i="7"/>
  <c r="I170" i="7" s="1"/>
  <c r="Q165" i="7"/>
  <c r="I169" i="7" s="1"/>
  <c r="H172" i="7" s="1"/>
  <c r="E165" i="7"/>
  <c r="D165" i="7"/>
  <c r="B165" i="7"/>
  <c r="O163" i="7"/>
  <c r="K162" i="7"/>
  <c r="P163" i="7" s="1"/>
  <c r="J162" i="7"/>
  <c r="I162" i="7"/>
  <c r="H163" i="7" s="1"/>
  <c r="H162" i="7"/>
  <c r="G162" i="7"/>
  <c r="F162" i="7"/>
  <c r="V162" i="7"/>
  <c r="T162" i="7"/>
  <c r="R162" i="7"/>
  <c r="U162" i="7"/>
  <c r="S162" i="7"/>
  <c r="Q162" i="7"/>
  <c r="E162" i="7"/>
  <c r="D162" i="7"/>
  <c r="B162" i="7"/>
  <c r="H159" i="7"/>
  <c r="J159" i="7"/>
  <c r="I157" i="7"/>
  <c r="H157" i="7"/>
  <c r="G157" i="7"/>
  <c r="E157" i="7"/>
  <c r="J156" i="7"/>
  <c r="E156" i="7"/>
  <c r="J155" i="7"/>
  <c r="E155" i="7"/>
  <c r="K154" i="7"/>
  <c r="J154" i="7"/>
  <c r="I154" i="7"/>
  <c r="H154" i="7"/>
  <c r="G154" i="7"/>
  <c r="F154" i="7"/>
  <c r="K153" i="7"/>
  <c r="J153" i="7"/>
  <c r="I153" i="7"/>
  <c r="H153" i="7"/>
  <c r="G153" i="7"/>
  <c r="F153" i="7"/>
  <c r="K152" i="7"/>
  <c r="J152" i="7"/>
  <c r="I152" i="7"/>
  <c r="H152" i="7"/>
  <c r="G152" i="7"/>
  <c r="F152" i="7"/>
  <c r="K151" i="7"/>
  <c r="J151" i="7"/>
  <c r="I151" i="7"/>
  <c r="H151" i="7"/>
  <c r="G151" i="7"/>
  <c r="F151" i="7"/>
  <c r="V150" i="7"/>
  <c r="T150" i="7"/>
  <c r="K156" i="7" s="1"/>
  <c r="R150" i="7"/>
  <c r="K155" i="7" s="1"/>
  <c r="J160" i="7" s="1"/>
  <c r="U150" i="7"/>
  <c r="S150" i="7"/>
  <c r="I156" i="7" s="1"/>
  <c r="Q150" i="7"/>
  <c r="I155" i="7" s="1"/>
  <c r="H160" i="7" s="1"/>
  <c r="E150" i="7"/>
  <c r="D150" i="7"/>
  <c r="B150" i="7"/>
  <c r="O148" i="7"/>
  <c r="K147" i="7"/>
  <c r="P148" i="7" s="1"/>
  <c r="J147" i="7"/>
  <c r="I147" i="7"/>
  <c r="H148" i="7" s="1"/>
  <c r="H147" i="7"/>
  <c r="G147" i="7"/>
  <c r="F147" i="7"/>
  <c r="V147" i="7"/>
  <c r="T147" i="7"/>
  <c r="R147" i="7"/>
  <c r="U147" i="7"/>
  <c r="S147" i="7"/>
  <c r="Q147" i="7"/>
  <c r="E147" i="7"/>
  <c r="D147" i="7"/>
  <c r="B147" i="7"/>
  <c r="H144" i="7"/>
  <c r="J144" i="7"/>
  <c r="I142" i="7"/>
  <c r="H142" i="7"/>
  <c r="G142" i="7"/>
  <c r="E142" i="7"/>
  <c r="J141" i="7"/>
  <c r="E141" i="7"/>
  <c r="J140" i="7"/>
  <c r="E140" i="7"/>
  <c r="K139" i="7"/>
  <c r="J139" i="7"/>
  <c r="I139" i="7"/>
  <c r="H139" i="7"/>
  <c r="G139" i="7"/>
  <c r="F139" i="7"/>
  <c r="K138" i="7"/>
  <c r="J138" i="7"/>
  <c r="I138" i="7"/>
  <c r="H138" i="7"/>
  <c r="G138" i="7"/>
  <c r="F138" i="7"/>
  <c r="K137" i="7"/>
  <c r="J137" i="7"/>
  <c r="I137" i="7"/>
  <c r="H137" i="7"/>
  <c r="G137" i="7"/>
  <c r="F137" i="7"/>
  <c r="K136" i="7"/>
  <c r="J136" i="7"/>
  <c r="I136" i="7"/>
  <c r="H136" i="7"/>
  <c r="G136" i="7"/>
  <c r="F136" i="7"/>
  <c r="V135" i="7"/>
  <c r="T135" i="7"/>
  <c r="K141" i="7" s="1"/>
  <c r="R135" i="7"/>
  <c r="K140" i="7" s="1"/>
  <c r="J145" i="7" s="1"/>
  <c r="U135" i="7"/>
  <c r="S135" i="7"/>
  <c r="I141" i="7" s="1"/>
  <c r="Q135" i="7"/>
  <c r="I140" i="7" s="1"/>
  <c r="H145" i="7" s="1"/>
  <c r="E135" i="7"/>
  <c r="D135" i="7"/>
  <c r="B135" i="7"/>
  <c r="O133" i="7"/>
  <c r="K132" i="7"/>
  <c r="P133" i="7" s="1"/>
  <c r="J132" i="7"/>
  <c r="I132" i="7"/>
  <c r="H133" i="7" s="1"/>
  <c r="H132" i="7"/>
  <c r="G132" i="7"/>
  <c r="F132" i="7"/>
  <c r="V132" i="7"/>
  <c r="T132" i="7"/>
  <c r="R132" i="7"/>
  <c r="U132" i="7"/>
  <c r="S132" i="7"/>
  <c r="Q132" i="7"/>
  <c r="E132" i="7"/>
  <c r="D132" i="7"/>
  <c r="B132" i="7"/>
  <c r="O130" i="7"/>
  <c r="H130" i="7"/>
  <c r="K129" i="7"/>
  <c r="P130" i="7" s="1"/>
  <c r="J129" i="7"/>
  <c r="I129" i="7"/>
  <c r="H129" i="7"/>
  <c r="G129" i="7"/>
  <c r="F129" i="7"/>
  <c r="V129" i="7"/>
  <c r="T129" i="7"/>
  <c r="R129" i="7"/>
  <c r="U129" i="7"/>
  <c r="S129" i="7"/>
  <c r="Q129" i="7"/>
  <c r="E129" i="7"/>
  <c r="D129" i="7"/>
  <c r="B129" i="7"/>
  <c r="H126" i="7"/>
  <c r="J126" i="7"/>
  <c r="I124" i="7"/>
  <c r="H124" i="7"/>
  <c r="G124" i="7"/>
  <c r="E124" i="7"/>
  <c r="J123" i="7"/>
  <c r="I123" i="7"/>
  <c r="E123" i="7"/>
  <c r="J122" i="7"/>
  <c r="I122" i="7"/>
  <c r="E122" i="7"/>
  <c r="K121" i="7"/>
  <c r="J121" i="7"/>
  <c r="I121" i="7"/>
  <c r="H121" i="7"/>
  <c r="G121" i="7"/>
  <c r="F121" i="7"/>
  <c r="K120" i="7"/>
  <c r="J120" i="7"/>
  <c r="I120" i="7"/>
  <c r="H125" i="7" s="1"/>
  <c r="H120" i="7"/>
  <c r="G120" i="7"/>
  <c r="F120" i="7"/>
  <c r="V119" i="7"/>
  <c r="T119" i="7"/>
  <c r="K123" i="7" s="1"/>
  <c r="R119" i="7"/>
  <c r="K122" i="7" s="1"/>
  <c r="U119" i="7"/>
  <c r="S119" i="7"/>
  <c r="Q119" i="7"/>
  <c r="E119" i="7"/>
  <c r="D119" i="7"/>
  <c r="B119" i="7"/>
  <c r="H117" i="7"/>
  <c r="J117" i="7"/>
  <c r="K116" i="7"/>
  <c r="P117" i="7" s="1"/>
  <c r="J116" i="7"/>
  <c r="I116" i="7"/>
  <c r="O117" i="7" s="1"/>
  <c r="H116" i="7"/>
  <c r="G116" i="7"/>
  <c r="F116" i="7"/>
  <c r="V116" i="7"/>
  <c r="T116" i="7"/>
  <c r="R116" i="7"/>
  <c r="U116" i="7"/>
  <c r="S116" i="7"/>
  <c r="Q116" i="7"/>
  <c r="E116" i="7"/>
  <c r="D116" i="7"/>
  <c r="B116" i="7"/>
  <c r="H113" i="7"/>
  <c r="J113" i="7"/>
  <c r="I111" i="7"/>
  <c r="H111" i="7"/>
  <c r="G111" i="7"/>
  <c r="E111" i="7"/>
  <c r="J110" i="7"/>
  <c r="I110" i="7"/>
  <c r="E110" i="7"/>
  <c r="J109" i="7"/>
  <c r="I109" i="7"/>
  <c r="E109" i="7"/>
  <c r="K108" i="7"/>
  <c r="J108" i="7"/>
  <c r="I108" i="7"/>
  <c r="H108" i="7"/>
  <c r="G108" i="7"/>
  <c r="F108" i="7"/>
  <c r="K107" i="7"/>
  <c r="J107" i="7"/>
  <c r="I107" i="7"/>
  <c r="H107" i="7"/>
  <c r="G107" i="7"/>
  <c r="F107" i="7"/>
  <c r="K106" i="7"/>
  <c r="J106" i="7"/>
  <c r="I106" i="7"/>
  <c r="H106" i="7"/>
  <c r="G106" i="7"/>
  <c r="F106" i="7"/>
  <c r="K105" i="7"/>
  <c r="J105" i="7"/>
  <c r="I105" i="7"/>
  <c r="H112" i="7" s="1"/>
  <c r="H105" i="7"/>
  <c r="G105" i="7"/>
  <c r="F105" i="7"/>
  <c r="V104" i="7"/>
  <c r="T104" i="7"/>
  <c r="K110" i="7" s="1"/>
  <c r="R104" i="7"/>
  <c r="K109" i="7" s="1"/>
  <c r="U104" i="7"/>
  <c r="S104" i="7"/>
  <c r="Q104" i="7"/>
  <c r="E104" i="7"/>
  <c r="D104" i="7"/>
  <c r="B104" i="7"/>
  <c r="H102" i="7"/>
  <c r="P102" i="7"/>
  <c r="J102" i="7"/>
  <c r="K101" i="7"/>
  <c r="J101" i="7"/>
  <c r="I101" i="7"/>
  <c r="O102" i="7" s="1"/>
  <c r="H101" i="7"/>
  <c r="G101" i="7"/>
  <c r="F101" i="7"/>
  <c r="V101" i="7"/>
  <c r="T101" i="7"/>
  <c r="R101" i="7"/>
  <c r="U101" i="7"/>
  <c r="S101" i="7"/>
  <c r="Q101" i="7"/>
  <c r="E101" i="7"/>
  <c r="D101" i="7"/>
  <c r="B101" i="7"/>
  <c r="H98" i="7"/>
  <c r="J98" i="7"/>
  <c r="I96" i="7"/>
  <c r="H96" i="7"/>
  <c r="G96" i="7"/>
  <c r="E96" i="7"/>
  <c r="J95" i="7"/>
  <c r="I95" i="7"/>
  <c r="E95" i="7"/>
  <c r="J94" i="7"/>
  <c r="I94" i="7"/>
  <c r="E94" i="7"/>
  <c r="K93" i="7"/>
  <c r="J93" i="7"/>
  <c r="I93" i="7"/>
  <c r="H93" i="7"/>
  <c r="G93" i="7"/>
  <c r="F93" i="7"/>
  <c r="K92" i="7"/>
  <c r="J92" i="7"/>
  <c r="I92" i="7"/>
  <c r="H92" i="7"/>
  <c r="G92" i="7"/>
  <c r="F92" i="7"/>
  <c r="K91" i="7"/>
  <c r="J91" i="7"/>
  <c r="I91" i="7"/>
  <c r="H91" i="7"/>
  <c r="G91" i="7"/>
  <c r="F91" i="7"/>
  <c r="K90" i="7"/>
  <c r="J90" i="7"/>
  <c r="I90" i="7"/>
  <c r="H97" i="7" s="1"/>
  <c r="H90" i="7"/>
  <c r="G90" i="7"/>
  <c r="F90" i="7"/>
  <c r="V89" i="7"/>
  <c r="T89" i="7"/>
  <c r="K95" i="7" s="1"/>
  <c r="R89" i="7"/>
  <c r="K94" i="7" s="1"/>
  <c r="U89" i="7"/>
  <c r="S89" i="7"/>
  <c r="Q89" i="7"/>
  <c r="E89" i="7"/>
  <c r="D89" i="7"/>
  <c r="B89" i="7"/>
  <c r="H87" i="7"/>
  <c r="P87" i="7"/>
  <c r="J87" i="7"/>
  <c r="K86" i="7"/>
  <c r="J86" i="7"/>
  <c r="I86" i="7"/>
  <c r="O87" i="7" s="1"/>
  <c r="H86" i="7"/>
  <c r="G86" i="7"/>
  <c r="F86" i="7"/>
  <c r="V86" i="7"/>
  <c r="T86" i="7"/>
  <c r="R86" i="7"/>
  <c r="U86" i="7"/>
  <c r="S86" i="7"/>
  <c r="Q86" i="7"/>
  <c r="E86" i="7"/>
  <c r="D86" i="7"/>
  <c r="B86" i="7"/>
  <c r="H83" i="7"/>
  <c r="J83" i="7"/>
  <c r="I81" i="7"/>
  <c r="H81" i="7"/>
  <c r="G81" i="7"/>
  <c r="E81" i="7"/>
  <c r="J80" i="7"/>
  <c r="I80" i="7"/>
  <c r="E80" i="7"/>
  <c r="J79" i="7"/>
  <c r="I79" i="7"/>
  <c r="E79" i="7"/>
  <c r="K78" i="7"/>
  <c r="J78" i="7"/>
  <c r="I78" i="7"/>
  <c r="H78" i="7"/>
  <c r="G78" i="7"/>
  <c r="F78" i="7"/>
  <c r="K77" i="7"/>
  <c r="J77" i="7"/>
  <c r="I77" i="7"/>
  <c r="H77" i="7"/>
  <c r="G77" i="7"/>
  <c r="F77" i="7"/>
  <c r="K76" i="7"/>
  <c r="J76" i="7"/>
  <c r="I76" i="7"/>
  <c r="H76" i="7"/>
  <c r="G76" i="7"/>
  <c r="F76" i="7"/>
  <c r="K75" i="7"/>
  <c r="J75" i="7"/>
  <c r="I75" i="7"/>
  <c r="H82" i="7" s="1"/>
  <c r="H75" i="7"/>
  <c r="G75" i="7"/>
  <c r="F75" i="7"/>
  <c r="V74" i="7"/>
  <c r="T74" i="7"/>
  <c r="K80" i="7" s="1"/>
  <c r="R74" i="7"/>
  <c r="K79" i="7" s="1"/>
  <c r="U74" i="7"/>
  <c r="S74" i="7"/>
  <c r="Q74" i="7"/>
  <c r="E74" i="7"/>
  <c r="D74" i="7"/>
  <c r="B74" i="7"/>
  <c r="H72" i="7"/>
  <c r="P72" i="7"/>
  <c r="J72" i="7"/>
  <c r="K71" i="7"/>
  <c r="J71" i="7"/>
  <c r="I71" i="7"/>
  <c r="O72" i="7" s="1"/>
  <c r="H71" i="7"/>
  <c r="G71" i="7"/>
  <c r="F71" i="7"/>
  <c r="V71" i="7"/>
  <c r="T71" i="7"/>
  <c r="R71" i="7"/>
  <c r="U71" i="7"/>
  <c r="S71" i="7"/>
  <c r="Q71" i="7"/>
  <c r="E71" i="7"/>
  <c r="D71" i="7"/>
  <c r="B71" i="7"/>
  <c r="H68" i="7"/>
  <c r="J68" i="7"/>
  <c r="I66" i="7"/>
  <c r="H66" i="7"/>
  <c r="G66" i="7"/>
  <c r="E66" i="7"/>
  <c r="J65" i="7"/>
  <c r="I65" i="7"/>
  <c r="E65" i="7"/>
  <c r="J64" i="7"/>
  <c r="I64" i="7"/>
  <c r="E64" i="7"/>
  <c r="K63" i="7"/>
  <c r="J63" i="7"/>
  <c r="I63" i="7"/>
  <c r="H63" i="7"/>
  <c r="G63" i="7"/>
  <c r="F63" i="7"/>
  <c r="K62" i="7"/>
  <c r="J62" i="7"/>
  <c r="I62" i="7"/>
  <c r="H62" i="7"/>
  <c r="G62" i="7"/>
  <c r="F62" i="7"/>
  <c r="K61" i="7"/>
  <c r="J61" i="7"/>
  <c r="I61" i="7"/>
  <c r="H61" i="7"/>
  <c r="G61" i="7"/>
  <c r="F61" i="7"/>
  <c r="K60" i="7"/>
  <c r="J60" i="7"/>
  <c r="I60" i="7"/>
  <c r="H67" i="7" s="1"/>
  <c r="H60" i="7"/>
  <c r="G60" i="7"/>
  <c r="F60" i="7"/>
  <c r="V59" i="7"/>
  <c r="T59" i="7"/>
  <c r="K65" i="7" s="1"/>
  <c r="R59" i="7"/>
  <c r="K64" i="7" s="1"/>
  <c r="U59" i="7"/>
  <c r="S59" i="7"/>
  <c r="Q59" i="7"/>
  <c r="E59" i="7"/>
  <c r="D59" i="7"/>
  <c r="B59" i="7"/>
  <c r="H57" i="7"/>
  <c r="P57" i="7"/>
  <c r="J57" i="7"/>
  <c r="K56" i="7"/>
  <c r="J56" i="7"/>
  <c r="I56" i="7"/>
  <c r="O57" i="7" s="1"/>
  <c r="H56" i="7"/>
  <c r="G56" i="7"/>
  <c r="F56" i="7"/>
  <c r="V56" i="7"/>
  <c r="T56" i="7"/>
  <c r="R56" i="7"/>
  <c r="U56" i="7"/>
  <c r="S56" i="7"/>
  <c r="Q56" i="7"/>
  <c r="E56" i="7"/>
  <c r="D56" i="7"/>
  <c r="B56" i="7"/>
  <c r="H53" i="7"/>
  <c r="J53" i="7"/>
  <c r="I51" i="7"/>
  <c r="H51" i="7"/>
  <c r="G51" i="7"/>
  <c r="E51" i="7"/>
  <c r="J50" i="7"/>
  <c r="I50" i="7"/>
  <c r="E50" i="7"/>
  <c r="J49" i="7"/>
  <c r="I49" i="7"/>
  <c r="E49" i="7"/>
  <c r="K48" i="7"/>
  <c r="J48" i="7"/>
  <c r="I48" i="7"/>
  <c r="H48" i="7"/>
  <c r="G48" i="7"/>
  <c r="F48" i="7"/>
  <c r="K47" i="7"/>
  <c r="J47" i="7"/>
  <c r="I47" i="7"/>
  <c r="H52" i="7" s="1"/>
  <c r="H47" i="7"/>
  <c r="G47" i="7"/>
  <c r="F47" i="7"/>
  <c r="V46" i="7"/>
  <c r="T46" i="7"/>
  <c r="K50" i="7" s="1"/>
  <c r="R46" i="7"/>
  <c r="K49" i="7" s="1"/>
  <c r="U46" i="7"/>
  <c r="S46" i="7"/>
  <c r="Q46" i="7"/>
  <c r="E46" i="7"/>
  <c r="D46" i="7"/>
  <c r="B46" i="7"/>
  <c r="H44" i="7"/>
  <c r="P44" i="7"/>
  <c r="J44" i="7"/>
  <c r="K43" i="7"/>
  <c r="J43" i="7"/>
  <c r="I43" i="7"/>
  <c r="O44" i="7" s="1"/>
  <c r="H43" i="7"/>
  <c r="G43" i="7"/>
  <c r="F43" i="7"/>
  <c r="V43" i="7"/>
  <c r="T43" i="7"/>
  <c r="R43" i="7"/>
  <c r="U43" i="7"/>
  <c r="S43" i="7"/>
  <c r="Q43" i="7"/>
  <c r="E43" i="7"/>
  <c r="D43" i="7"/>
  <c r="B43" i="7"/>
  <c r="P41" i="7"/>
  <c r="J41" i="7"/>
  <c r="K40" i="7"/>
  <c r="J40" i="7"/>
  <c r="I40" i="7"/>
  <c r="O41" i="7" s="1"/>
  <c r="H40" i="7"/>
  <c r="G40" i="7"/>
  <c r="F40" i="7"/>
  <c r="V40" i="7"/>
  <c r="T40" i="7"/>
  <c r="R40" i="7"/>
  <c r="U40" i="7"/>
  <c r="S40" i="7"/>
  <c r="Q40" i="7"/>
  <c r="E40" i="7"/>
  <c r="D40" i="7"/>
  <c r="B40" i="7"/>
  <c r="H37" i="7"/>
  <c r="J37" i="7"/>
  <c r="I35" i="7"/>
  <c r="H35" i="7"/>
  <c r="G35" i="7"/>
  <c r="E35" i="7"/>
  <c r="J34" i="7"/>
  <c r="E34" i="7"/>
  <c r="J33" i="7"/>
  <c r="E33" i="7"/>
  <c r="K32" i="7"/>
  <c r="J32" i="7"/>
  <c r="I32" i="7"/>
  <c r="H32" i="7"/>
  <c r="G32" i="7"/>
  <c r="F32" i="7"/>
  <c r="K31" i="7"/>
  <c r="J31" i="7"/>
  <c r="I31" i="7"/>
  <c r="H31" i="7"/>
  <c r="G31" i="7"/>
  <c r="F31" i="7"/>
  <c r="V30" i="7"/>
  <c r="T30" i="7"/>
  <c r="K34" i="7" s="1"/>
  <c r="R30" i="7"/>
  <c r="K33" i="7" s="1"/>
  <c r="U30" i="7"/>
  <c r="S30" i="7"/>
  <c r="I34" i="7" s="1"/>
  <c r="Q30" i="7"/>
  <c r="I33" i="7" s="1"/>
  <c r="H36" i="7" s="1"/>
  <c r="E30" i="7"/>
  <c r="D30" i="7"/>
  <c r="B30" i="7"/>
  <c r="A29" i="7"/>
  <c r="A11" i="7"/>
  <c r="A8" i="7"/>
  <c r="A6" i="7"/>
  <c r="A1" i="7"/>
  <c r="P281" i="7" l="1"/>
  <c r="O38" i="7"/>
  <c r="J225" i="7"/>
  <c r="J308" i="7"/>
  <c r="J158" i="7"/>
  <c r="O200" i="7"/>
  <c r="H243" i="7"/>
  <c r="P267" i="7"/>
  <c r="J329" i="7" s="1"/>
  <c r="J112" i="7"/>
  <c r="J143" i="7"/>
  <c r="O174" i="7"/>
  <c r="P187" i="7"/>
  <c r="J97" i="7"/>
  <c r="H158" i="7"/>
  <c r="P200" i="7"/>
  <c r="H227" i="7"/>
  <c r="O227" i="7"/>
  <c r="H241" i="7"/>
  <c r="O267" i="7"/>
  <c r="O281" i="7"/>
  <c r="H279" i="7"/>
  <c r="J67" i="7"/>
  <c r="J241" i="7"/>
  <c r="J52" i="7"/>
  <c r="J36" i="7"/>
  <c r="P38" i="7"/>
  <c r="J82" i="7"/>
  <c r="J125" i="7"/>
  <c r="H143" i="7"/>
  <c r="J172" i="7"/>
  <c r="P174" i="7"/>
  <c r="O187" i="7"/>
  <c r="J213" i="7"/>
  <c r="P215" i="7"/>
  <c r="H225" i="7"/>
  <c r="J265" i="7"/>
  <c r="J279" i="7"/>
  <c r="H308" i="7"/>
  <c r="H41" i="7"/>
  <c r="J54" i="7"/>
  <c r="H54" i="7"/>
  <c r="J69" i="7"/>
  <c r="H69" i="7"/>
  <c r="J84" i="7"/>
  <c r="H84" i="7"/>
  <c r="J99" i="7"/>
  <c r="H99" i="7"/>
  <c r="J114" i="7"/>
  <c r="H114" i="7"/>
  <c r="J127" i="7"/>
  <c r="H127" i="7"/>
  <c r="J133" i="7"/>
  <c r="P145" i="7"/>
  <c r="O145" i="7"/>
  <c r="J148" i="7"/>
  <c r="P160" i="7"/>
  <c r="O160" i="7"/>
  <c r="J163" i="7"/>
  <c r="H177" i="7"/>
  <c r="H190" i="7"/>
  <c r="H203" i="7"/>
  <c r="H218" i="7"/>
  <c r="P227" i="7"/>
  <c r="J230" i="7"/>
  <c r="J243" i="7"/>
  <c r="H284" i="7"/>
  <c r="J295" i="7"/>
  <c r="H295" i="7"/>
  <c r="J310" i="7"/>
  <c r="H310" i="7"/>
  <c r="O297" i="7"/>
  <c r="J38" i="7"/>
  <c r="H38" i="7"/>
  <c r="P54" i="7"/>
  <c r="O54" i="7"/>
  <c r="P69" i="7"/>
  <c r="O69" i="7"/>
  <c r="P84" i="7"/>
  <c r="O84" i="7"/>
  <c r="P99" i="7"/>
  <c r="O99" i="7"/>
  <c r="P114" i="7"/>
  <c r="O114" i="7"/>
  <c r="P127" i="7"/>
  <c r="O127" i="7"/>
  <c r="J130" i="7"/>
  <c r="J174" i="7"/>
  <c r="H174" i="7"/>
  <c r="J187" i="7"/>
  <c r="H187" i="7"/>
  <c r="J200" i="7"/>
  <c r="H200" i="7"/>
  <c r="J215" i="7"/>
  <c r="H215" i="7"/>
  <c r="P243" i="7"/>
  <c r="O243" i="7"/>
  <c r="J246" i="7"/>
  <c r="J267" i="7"/>
  <c r="H267" i="7"/>
  <c r="J281" i="7"/>
  <c r="H281" i="7"/>
  <c r="P310" i="7"/>
  <c r="O310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" i="3"/>
  <c r="Y1" i="3"/>
  <c r="CV1" i="3" s="1"/>
  <c r="CU1" i="3"/>
  <c r="CY1" i="3"/>
  <c r="CZ1" i="3"/>
  <c r="DB1" i="3" s="1"/>
  <c r="DA1" i="3"/>
  <c r="DC1" i="3"/>
  <c r="A2" i="3"/>
  <c r="Y2" i="3"/>
  <c r="CX2" i="3"/>
  <c r="DF2" i="3" s="1"/>
  <c r="DJ2" i="3" s="1"/>
  <c r="CY2" i="3"/>
  <c r="CZ2" i="3"/>
  <c r="DA2" i="3"/>
  <c r="DB2" i="3"/>
  <c r="DC2" i="3"/>
  <c r="DH2" i="3"/>
  <c r="DI2" i="3"/>
  <c r="A3" i="3"/>
  <c r="Y3" i="3"/>
  <c r="CX3" i="3"/>
  <c r="DI3" i="3" s="1"/>
  <c r="CY3" i="3"/>
  <c r="CZ3" i="3"/>
  <c r="DA3" i="3"/>
  <c r="DB3" i="3"/>
  <c r="DC3" i="3"/>
  <c r="DH3" i="3"/>
  <c r="A4" i="3"/>
  <c r="Y4" i="3"/>
  <c r="CX4" i="3" s="1"/>
  <c r="CY4" i="3"/>
  <c r="CZ4" i="3"/>
  <c r="DB4" i="3" s="1"/>
  <c r="DA4" i="3"/>
  <c r="DC4" i="3"/>
  <c r="A5" i="3"/>
  <c r="Y5" i="3"/>
  <c r="CX5" i="3" s="1"/>
  <c r="CY5" i="3"/>
  <c r="CZ5" i="3"/>
  <c r="DB5" i="3" s="1"/>
  <c r="DA5" i="3"/>
  <c r="DC5" i="3"/>
  <c r="A6" i="3"/>
  <c r="Y6" i="3"/>
  <c r="CU6" i="3"/>
  <c r="CV6" i="3"/>
  <c r="CX6" i="3"/>
  <c r="DI6" i="3" s="1"/>
  <c r="DJ6" i="3" s="1"/>
  <c r="CY6" i="3"/>
  <c r="CZ6" i="3"/>
  <c r="DB6" i="3" s="1"/>
  <c r="DA6" i="3"/>
  <c r="DC6" i="3"/>
  <c r="DF6" i="3"/>
  <c r="DG6" i="3"/>
  <c r="DH6" i="3"/>
  <c r="A7" i="3"/>
  <c r="Y7" i="3"/>
  <c r="CX7" i="3" s="1"/>
  <c r="CY7" i="3"/>
  <c r="CZ7" i="3"/>
  <c r="DB7" i="3" s="1"/>
  <c r="DA7" i="3"/>
  <c r="DC7" i="3"/>
  <c r="A8" i="3"/>
  <c r="Y8" i="3"/>
  <c r="CX8" i="3"/>
  <c r="DF8" i="3" s="1"/>
  <c r="DJ8" i="3" s="1"/>
  <c r="CY8" i="3"/>
  <c r="CZ8" i="3"/>
  <c r="DA8" i="3"/>
  <c r="DB8" i="3"/>
  <c r="DC8" i="3"/>
  <c r="DH8" i="3"/>
  <c r="DI8" i="3"/>
  <c r="A9" i="3"/>
  <c r="Y9" i="3"/>
  <c r="CX9" i="3"/>
  <c r="DI9" i="3" s="1"/>
  <c r="CY9" i="3"/>
  <c r="CZ9" i="3"/>
  <c r="DA9" i="3"/>
  <c r="DB9" i="3"/>
  <c r="DC9" i="3"/>
  <c r="DH9" i="3"/>
  <c r="A10" i="3"/>
  <c r="Y10" i="3"/>
  <c r="CX10" i="3" s="1"/>
  <c r="CY10" i="3"/>
  <c r="CZ10" i="3"/>
  <c r="DB10" i="3" s="1"/>
  <c r="DA10" i="3"/>
  <c r="DC10" i="3"/>
  <c r="A11" i="3"/>
  <c r="Y11" i="3"/>
  <c r="CU11" i="3"/>
  <c r="CV11" i="3"/>
  <c r="CX11" i="3"/>
  <c r="DI11" i="3" s="1"/>
  <c r="DJ11" i="3" s="1"/>
  <c r="CY11" i="3"/>
  <c r="CZ11" i="3"/>
  <c r="DA11" i="3"/>
  <c r="DB11" i="3"/>
  <c r="DC11" i="3"/>
  <c r="DH11" i="3"/>
  <c r="A12" i="3"/>
  <c r="Y12" i="3"/>
  <c r="CX12" i="3" s="1"/>
  <c r="CY12" i="3"/>
  <c r="CZ12" i="3"/>
  <c r="DB12" i="3" s="1"/>
  <c r="DA12" i="3"/>
  <c r="DC12" i="3"/>
  <c r="A13" i="3"/>
  <c r="Y13" i="3"/>
  <c r="CX13" i="3" s="1"/>
  <c r="CY13" i="3"/>
  <c r="CZ13" i="3"/>
  <c r="DB13" i="3" s="1"/>
  <c r="DA13" i="3"/>
  <c r="DC13" i="3"/>
  <c r="A14" i="3"/>
  <c r="Y14" i="3"/>
  <c r="CX14" i="3"/>
  <c r="DF14" i="3" s="1"/>
  <c r="DJ14" i="3" s="1"/>
  <c r="CY14" i="3"/>
  <c r="CZ14" i="3"/>
  <c r="DA14" i="3"/>
  <c r="DB14" i="3"/>
  <c r="DC14" i="3"/>
  <c r="DH14" i="3"/>
  <c r="DI14" i="3"/>
  <c r="A15" i="3"/>
  <c r="Y15" i="3"/>
  <c r="CV15" i="3" s="1"/>
  <c r="CU15" i="3"/>
  <c r="CY15" i="3"/>
  <c r="CZ15" i="3"/>
  <c r="DB15" i="3" s="1"/>
  <c r="DA15" i="3"/>
  <c r="DC15" i="3"/>
  <c r="A16" i="3"/>
  <c r="Y16" i="3"/>
  <c r="CX16" i="3"/>
  <c r="DF16" i="3" s="1"/>
  <c r="DJ16" i="3" s="1"/>
  <c r="CY16" i="3"/>
  <c r="CZ16" i="3"/>
  <c r="DA16" i="3"/>
  <c r="DB16" i="3"/>
  <c r="DC16" i="3"/>
  <c r="DH16" i="3"/>
  <c r="DI16" i="3"/>
  <c r="A17" i="3"/>
  <c r="Y17" i="3"/>
  <c r="CX17" i="3"/>
  <c r="DI17" i="3" s="1"/>
  <c r="CY17" i="3"/>
  <c r="CZ17" i="3"/>
  <c r="DA17" i="3"/>
  <c r="DB17" i="3"/>
  <c r="DC17" i="3"/>
  <c r="DH17" i="3"/>
  <c r="A18" i="3"/>
  <c r="Y18" i="3"/>
  <c r="CX18" i="3" s="1"/>
  <c r="CY18" i="3"/>
  <c r="CZ18" i="3"/>
  <c r="DB18" i="3" s="1"/>
  <c r="DA18" i="3"/>
  <c r="DC18" i="3"/>
  <c r="A19" i="3"/>
  <c r="Y19" i="3"/>
  <c r="CU19" i="3"/>
  <c r="CV19" i="3"/>
  <c r="CX19" i="3"/>
  <c r="DI19" i="3" s="1"/>
  <c r="DJ19" i="3" s="1"/>
  <c r="CY19" i="3"/>
  <c r="CZ19" i="3"/>
  <c r="DA19" i="3"/>
  <c r="DB19" i="3"/>
  <c r="DC19" i="3"/>
  <c r="DH19" i="3"/>
  <c r="A20" i="3"/>
  <c r="Y20" i="3"/>
  <c r="CV20" i="3" s="1"/>
  <c r="CU20" i="3"/>
  <c r="CY20" i="3"/>
  <c r="CZ20" i="3"/>
  <c r="DA20" i="3"/>
  <c r="DB20" i="3"/>
  <c r="DC20" i="3"/>
  <c r="A21" i="3"/>
  <c r="Y21" i="3"/>
  <c r="CV21" i="3" s="1"/>
  <c r="CU21" i="3"/>
  <c r="CY21" i="3"/>
  <c r="CZ21" i="3"/>
  <c r="DB21" i="3" s="1"/>
  <c r="DA21" i="3"/>
  <c r="DC21" i="3"/>
  <c r="A22" i="3"/>
  <c r="Y22" i="3"/>
  <c r="CU22" i="3"/>
  <c r="CV22" i="3"/>
  <c r="CX22" i="3"/>
  <c r="CY22" i="3"/>
  <c r="CZ22" i="3"/>
  <c r="DB22" i="3" s="1"/>
  <c r="DA22" i="3"/>
  <c r="DC22" i="3"/>
  <c r="DF22" i="3"/>
  <c r="DG22" i="3"/>
  <c r="DH22" i="3"/>
  <c r="DI22" i="3"/>
  <c r="DJ22" i="3"/>
  <c r="A23" i="3"/>
  <c r="Y23" i="3"/>
  <c r="CU23" i="3"/>
  <c r="CV23" i="3"/>
  <c r="CX23" i="3"/>
  <c r="DI23" i="3" s="1"/>
  <c r="DJ23" i="3" s="1"/>
  <c r="CY23" i="3"/>
  <c r="CZ23" i="3"/>
  <c r="DA23" i="3"/>
  <c r="DB23" i="3"/>
  <c r="DC23" i="3"/>
  <c r="DH23" i="3"/>
  <c r="A24" i="3"/>
  <c r="Y24" i="3"/>
  <c r="CV24" i="3" s="1"/>
  <c r="CU24" i="3"/>
  <c r="CY24" i="3"/>
  <c r="CZ24" i="3"/>
  <c r="DA24" i="3"/>
  <c r="DB24" i="3"/>
  <c r="DC24" i="3"/>
  <c r="A25" i="3"/>
  <c r="Y25" i="3"/>
  <c r="CV25" i="3" s="1"/>
  <c r="CU25" i="3"/>
  <c r="CY25" i="3"/>
  <c r="CZ25" i="3"/>
  <c r="DB25" i="3" s="1"/>
  <c r="DA25" i="3"/>
  <c r="DC25" i="3"/>
  <c r="A26" i="3"/>
  <c r="Y26" i="3"/>
  <c r="CU26" i="3"/>
  <c r="CV26" i="3"/>
  <c r="CX26" i="3"/>
  <c r="DI26" i="3" s="1"/>
  <c r="DJ26" i="3" s="1"/>
  <c r="CY26" i="3"/>
  <c r="CZ26" i="3"/>
  <c r="DB26" i="3" s="1"/>
  <c r="DA26" i="3"/>
  <c r="DC26" i="3"/>
  <c r="DF26" i="3"/>
  <c r="DG26" i="3"/>
  <c r="DH26" i="3"/>
  <c r="A27" i="3"/>
  <c r="Y27" i="3"/>
  <c r="CU27" i="3"/>
  <c r="CV27" i="3"/>
  <c r="CX27" i="3"/>
  <c r="DI27" i="3" s="1"/>
  <c r="DJ27" i="3" s="1"/>
  <c r="CY27" i="3"/>
  <c r="CZ27" i="3"/>
  <c r="DA27" i="3"/>
  <c r="DB27" i="3"/>
  <c r="DC27" i="3"/>
  <c r="DH27" i="3"/>
  <c r="A28" i="3"/>
  <c r="Y28" i="3"/>
  <c r="CX28" i="3" s="1"/>
  <c r="CY28" i="3"/>
  <c r="CZ28" i="3"/>
  <c r="DB28" i="3" s="1"/>
  <c r="DA28" i="3"/>
  <c r="DC28" i="3"/>
  <c r="A29" i="3"/>
  <c r="Y29" i="3"/>
  <c r="CX29" i="3" s="1"/>
  <c r="DF29" i="3" s="1"/>
  <c r="DJ29" i="3" s="1"/>
  <c r="CY29" i="3"/>
  <c r="CZ29" i="3"/>
  <c r="DB29" i="3" s="1"/>
  <c r="DA29" i="3"/>
  <c r="DC29" i="3"/>
  <c r="A30" i="3"/>
  <c r="Y30" i="3"/>
  <c r="CX30" i="3"/>
  <c r="DF30" i="3" s="1"/>
  <c r="DJ30" i="3" s="1"/>
  <c r="CY30" i="3"/>
  <c r="CZ30" i="3"/>
  <c r="DA30" i="3"/>
  <c r="DB30" i="3"/>
  <c r="DC30" i="3"/>
  <c r="DH30" i="3"/>
  <c r="DI30" i="3"/>
  <c r="A31" i="3"/>
  <c r="Y31" i="3"/>
  <c r="CV31" i="3" s="1"/>
  <c r="CU31" i="3"/>
  <c r="CY31" i="3"/>
  <c r="CZ31" i="3"/>
  <c r="DB31" i="3" s="1"/>
  <c r="DA31" i="3"/>
  <c r="DC31" i="3"/>
  <c r="A32" i="3"/>
  <c r="Y32" i="3"/>
  <c r="CX32" i="3"/>
  <c r="DF32" i="3" s="1"/>
  <c r="DJ32" i="3" s="1"/>
  <c r="CY32" i="3"/>
  <c r="CZ32" i="3"/>
  <c r="DA32" i="3"/>
  <c r="DB32" i="3"/>
  <c r="DC32" i="3"/>
  <c r="DH32" i="3"/>
  <c r="DI32" i="3"/>
  <c r="A33" i="3"/>
  <c r="Y33" i="3"/>
  <c r="CX33" i="3"/>
  <c r="CY33" i="3"/>
  <c r="CZ33" i="3"/>
  <c r="DA33" i="3"/>
  <c r="DB33" i="3"/>
  <c r="DC33" i="3"/>
  <c r="A34" i="3"/>
  <c r="Y34" i="3"/>
  <c r="CX34" i="3" s="1"/>
  <c r="DG34" i="3" s="1"/>
  <c r="CY34" i="3"/>
  <c r="CZ34" i="3"/>
  <c r="DB34" i="3" s="1"/>
  <c r="DA34" i="3"/>
  <c r="DC34" i="3"/>
  <c r="A35" i="3"/>
  <c r="Y35" i="3"/>
  <c r="CU35" i="3"/>
  <c r="CV35" i="3"/>
  <c r="CX35" i="3"/>
  <c r="CY35" i="3"/>
  <c r="CZ35" i="3"/>
  <c r="DA35" i="3"/>
  <c r="DB35" i="3"/>
  <c r="DC35" i="3"/>
  <c r="DH35" i="3"/>
  <c r="A36" i="3"/>
  <c r="Y36" i="3"/>
  <c r="CU36" i="3"/>
  <c r="CY36" i="3"/>
  <c r="CZ36" i="3"/>
  <c r="DA36" i="3"/>
  <c r="DB36" i="3"/>
  <c r="DC36" i="3"/>
  <c r="A37" i="3"/>
  <c r="Y37" i="3"/>
  <c r="CV37" i="3" s="1"/>
  <c r="CU37" i="3"/>
  <c r="CY37" i="3"/>
  <c r="CZ37" i="3"/>
  <c r="DB37" i="3" s="1"/>
  <c r="DA37" i="3"/>
  <c r="DC37" i="3"/>
  <c r="A38" i="3"/>
  <c r="Y38" i="3"/>
  <c r="CU38" i="3"/>
  <c r="CV38" i="3"/>
  <c r="CX38" i="3"/>
  <c r="DI38" i="3" s="1"/>
  <c r="DJ38" i="3" s="1"/>
  <c r="CY38" i="3"/>
  <c r="CZ38" i="3"/>
  <c r="DB38" i="3" s="1"/>
  <c r="DA38" i="3"/>
  <c r="DC38" i="3"/>
  <c r="DF38" i="3"/>
  <c r="DG38" i="3"/>
  <c r="DH38" i="3"/>
  <c r="A39" i="3"/>
  <c r="Y39" i="3"/>
  <c r="CU39" i="3"/>
  <c r="CV39" i="3"/>
  <c r="CX39" i="3"/>
  <c r="DH39" i="3" s="1"/>
  <c r="CY39" i="3"/>
  <c r="CZ39" i="3"/>
  <c r="DA39" i="3"/>
  <c r="DB39" i="3"/>
  <c r="DC39" i="3"/>
  <c r="A40" i="3"/>
  <c r="Y40" i="3"/>
  <c r="CU40" i="3"/>
  <c r="CY40" i="3"/>
  <c r="CZ40" i="3"/>
  <c r="DA40" i="3"/>
  <c r="DB40" i="3"/>
  <c r="DC40" i="3"/>
  <c r="A41" i="3"/>
  <c r="Y41" i="3"/>
  <c r="CV41" i="3" s="1"/>
  <c r="CU41" i="3"/>
  <c r="CY41" i="3"/>
  <c r="CZ41" i="3"/>
  <c r="DB41" i="3" s="1"/>
  <c r="DA41" i="3"/>
  <c r="DC41" i="3"/>
  <c r="A42" i="3"/>
  <c r="Y42" i="3"/>
  <c r="CU42" i="3"/>
  <c r="CV42" i="3"/>
  <c r="CX42" i="3"/>
  <c r="DI42" i="3" s="1"/>
  <c r="DJ42" i="3" s="1"/>
  <c r="CY42" i="3"/>
  <c r="CZ42" i="3"/>
  <c r="DB42" i="3" s="1"/>
  <c r="DA42" i="3"/>
  <c r="DC42" i="3"/>
  <c r="DF42" i="3"/>
  <c r="DG42" i="3"/>
  <c r="DH42" i="3"/>
  <c r="A43" i="3"/>
  <c r="Y43" i="3"/>
  <c r="CU43" i="3"/>
  <c r="CV43" i="3"/>
  <c r="CX43" i="3"/>
  <c r="CY43" i="3"/>
  <c r="CZ43" i="3"/>
  <c r="DA43" i="3"/>
  <c r="DB43" i="3"/>
  <c r="DC43" i="3"/>
  <c r="A44" i="3"/>
  <c r="Y44" i="3"/>
  <c r="CV44" i="3" s="1"/>
  <c r="CU44" i="3"/>
  <c r="CX44" i="3"/>
  <c r="DH44" i="3" s="1"/>
  <c r="CY44" i="3"/>
  <c r="CZ44" i="3"/>
  <c r="DA44" i="3"/>
  <c r="DB44" i="3"/>
  <c r="DC44" i="3"/>
  <c r="DI44" i="3"/>
  <c r="DJ44" i="3" s="1"/>
  <c r="A45" i="3"/>
  <c r="Y45" i="3"/>
  <c r="CU45" i="3"/>
  <c r="CY45" i="3"/>
  <c r="CZ45" i="3"/>
  <c r="DB45" i="3" s="1"/>
  <c r="DA45" i="3"/>
  <c r="DC45" i="3"/>
  <c r="A46" i="3"/>
  <c r="Y46" i="3"/>
  <c r="CU46" i="3"/>
  <c r="CV46" i="3"/>
  <c r="CX46" i="3"/>
  <c r="DI46" i="3" s="1"/>
  <c r="CY46" i="3"/>
  <c r="CZ46" i="3"/>
  <c r="DB46" i="3" s="1"/>
  <c r="DA46" i="3"/>
  <c r="DC46" i="3"/>
  <c r="DF46" i="3"/>
  <c r="DG46" i="3"/>
  <c r="DH46" i="3"/>
  <c r="DJ46" i="3"/>
  <c r="A47" i="3"/>
  <c r="Y47" i="3"/>
  <c r="CV47" i="3" s="1"/>
  <c r="CU47" i="3"/>
  <c r="CY47" i="3"/>
  <c r="CZ47" i="3"/>
  <c r="DA47" i="3"/>
  <c r="DB47" i="3"/>
  <c r="DC47" i="3"/>
  <c r="A48" i="3"/>
  <c r="Y48" i="3"/>
  <c r="CX48" i="3"/>
  <c r="DF48" i="3" s="1"/>
  <c r="DJ48" i="3" s="1"/>
  <c r="CY48" i="3"/>
  <c r="CZ48" i="3"/>
  <c r="DA48" i="3"/>
  <c r="DB48" i="3"/>
  <c r="DC48" i="3"/>
  <c r="DH48" i="3"/>
  <c r="A49" i="3"/>
  <c r="Y49" i="3"/>
  <c r="CV49" i="3" s="1"/>
  <c r="CU49" i="3"/>
  <c r="CY49" i="3"/>
  <c r="CZ49" i="3"/>
  <c r="DA49" i="3"/>
  <c r="DB49" i="3"/>
  <c r="DC49" i="3"/>
  <c r="A50" i="3"/>
  <c r="Y50" i="3"/>
  <c r="CX50" i="3"/>
  <c r="DF50" i="3" s="1"/>
  <c r="DJ50" i="3" s="1"/>
  <c r="CY50" i="3"/>
  <c r="CZ50" i="3"/>
  <c r="DA50" i="3"/>
  <c r="DB50" i="3"/>
  <c r="DC50" i="3"/>
  <c r="DH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B68" i="3" s="1"/>
  <c r="DA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B130" i="3" s="1"/>
  <c r="DA130" i="3"/>
  <c r="DC130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R28" i="1"/>
  <c r="AC28" i="1"/>
  <c r="AD28" i="1"/>
  <c r="AE28" i="1"/>
  <c r="Q28" i="1" s="1"/>
  <c r="AF28" i="1"/>
  <c r="AB28" i="1" s="1"/>
  <c r="AG28" i="1"/>
  <c r="AH28" i="1"/>
  <c r="AI28" i="1"/>
  <c r="AJ28" i="1"/>
  <c r="CX28" i="1" s="1"/>
  <c r="W28" i="1" s="1"/>
  <c r="CQ28" i="1"/>
  <c r="CR28" i="1"/>
  <c r="CS28" i="1"/>
  <c r="CU28" i="1"/>
  <c r="T28" i="1" s="1"/>
  <c r="CV28" i="1"/>
  <c r="U28" i="1" s="1"/>
  <c r="CW28" i="1"/>
  <c r="V28" i="1" s="1"/>
  <c r="GL28" i="1"/>
  <c r="GN28" i="1"/>
  <c r="GP28" i="1"/>
  <c r="GV28" i="1"/>
  <c r="GX28" i="1"/>
  <c r="HC28" i="1"/>
  <c r="C29" i="1"/>
  <c r="D29" i="1"/>
  <c r="S29" i="1"/>
  <c r="AC29" i="1"/>
  <c r="AE29" i="1"/>
  <c r="AF29" i="1"/>
  <c r="AG29" i="1"/>
  <c r="CU29" i="1" s="1"/>
  <c r="T29" i="1" s="1"/>
  <c r="AH29" i="1"/>
  <c r="AI29" i="1"/>
  <c r="CW29" i="1" s="1"/>
  <c r="V29" i="1" s="1"/>
  <c r="AJ29" i="1"/>
  <c r="CT29" i="1"/>
  <c r="CV29" i="1"/>
  <c r="U29" i="1" s="1"/>
  <c r="CX29" i="1"/>
  <c r="W29" i="1" s="1"/>
  <c r="GL29" i="1"/>
  <c r="GN29" i="1"/>
  <c r="GP29" i="1"/>
  <c r="GV29" i="1"/>
  <c r="HC29" i="1"/>
  <c r="GX29" i="1" s="1"/>
  <c r="P30" i="1"/>
  <c r="R30" i="1"/>
  <c r="AC30" i="1"/>
  <c r="AD30" i="1"/>
  <c r="AE30" i="1"/>
  <c r="Q30" i="1" s="1"/>
  <c r="AF30" i="1"/>
  <c r="AG30" i="1"/>
  <c r="AH30" i="1"/>
  <c r="CV30" i="1" s="1"/>
  <c r="U30" i="1" s="1"/>
  <c r="AI30" i="1"/>
  <c r="AJ30" i="1"/>
  <c r="CX30" i="1" s="1"/>
  <c r="W30" i="1" s="1"/>
  <c r="CQ30" i="1"/>
  <c r="CR30" i="1"/>
  <c r="CS30" i="1"/>
  <c r="CU30" i="1"/>
  <c r="T30" i="1" s="1"/>
  <c r="CW30" i="1"/>
  <c r="V30" i="1" s="1"/>
  <c r="FR30" i="1"/>
  <c r="GL30" i="1"/>
  <c r="GN30" i="1"/>
  <c r="GO30" i="1"/>
  <c r="GP30" i="1"/>
  <c r="GV30" i="1"/>
  <c r="HC30" i="1"/>
  <c r="GX30" i="1" s="1"/>
  <c r="P31" i="1"/>
  <c r="R31" i="1"/>
  <c r="AC31" i="1"/>
  <c r="AD31" i="1"/>
  <c r="AE31" i="1"/>
  <c r="Q31" i="1" s="1"/>
  <c r="AF31" i="1"/>
  <c r="AG31" i="1"/>
  <c r="AH31" i="1"/>
  <c r="CV31" i="1" s="1"/>
  <c r="U31" i="1" s="1"/>
  <c r="AI31" i="1"/>
  <c r="AJ31" i="1"/>
  <c r="CX31" i="1" s="1"/>
  <c r="W31" i="1" s="1"/>
  <c r="CQ31" i="1"/>
  <c r="CR31" i="1"/>
  <c r="CS31" i="1"/>
  <c r="CU31" i="1"/>
  <c r="T31" i="1" s="1"/>
  <c r="CW31" i="1"/>
  <c r="V31" i="1" s="1"/>
  <c r="FR31" i="1"/>
  <c r="GL31" i="1"/>
  <c r="GN31" i="1"/>
  <c r="GO31" i="1"/>
  <c r="GP31" i="1"/>
  <c r="GV31" i="1"/>
  <c r="HC31" i="1"/>
  <c r="GX31" i="1" s="1"/>
  <c r="P32" i="1"/>
  <c r="R32" i="1"/>
  <c r="AC32" i="1"/>
  <c r="AD32" i="1"/>
  <c r="AE32" i="1"/>
  <c r="Q32" i="1" s="1"/>
  <c r="AF32" i="1"/>
  <c r="AG32" i="1"/>
  <c r="AH32" i="1"/>
  <c r="CV32" i="1" s="1"/>
  <c r="U32" i="1" s="1"/>
  <c r="AI32" i="1"/>
  <c r="AJ32" i="1"/>
  <c r="CX32" i="1" s="1"/>
  <c r="W32" i="1" s="1"/>
  <c r="CQ32" i="1"/>
  <c r="CR32" i="1"/>
  <c r="CS32" i="1"/>
  <c r="CU32" i="1"/>
  <c r="T32" i="1" s="1"/>
  <c r="CW32" i="1"/>
  <c r="V32" i="1" s="1"/>
  <c r="FR32" i="1"/>
  <c r="GL32" i="1"/>
  <c r="GN32" i="1"/>
  <c r="GO32" i="1"/>
  <c r="GP32" i="1"/>
  <c r="GV32" i="1"/>
  <c r="HC32" i="1"/>
  <c r="GX32" i="1" s="1"/>
  <c r="P33" i="1"/>
  <c r="R33" i="1"/>
  <c r="AC33" i="1"/>
  <c r="AD33" i="1"/>
  <c r="AE33" i="1"/>
  <c r="Q33" i="1" s="1"/>
  <c r="AF33" i="1"/>
  <c r="AG33" i="1"/>
  <c r="AH33" i="1"/>
  <c r="CV33" i="1" s="1"/>
  <c r="U33" i="1" s="1"/>
  <c r="AI33" i="1"/>
  <c r="AJ33" i="1"/>
  <c r="CX33" i="1" s="1"/>
  <c r="W33" i="1" s="1"/>
  <c r="CQ33" i="1"/>
  <c r="CR33" i="1"/>
  <c r="CS33" i="1"/>
  <c r="CU33" i="1"/>
  <c r="T33" i="1" s="1"/>
  <c r="CW33" i="1"/>
  <c r="V33" i="1" s="1"/>
  <c r="FR33" i="1"/>
  <c r="GL33" i="1"/>
  <c r="GN33" i="1"/>
  <c r="GO33" i="1"/>
  <c r="GP33" i="1"/>
  <c r="GV33" i="1"/>
  <c r="HC33" i="1"/>
  <c r="GX33" i="1" s="1"/>
  <c r="C34" i="1"/>
  <c r="D34" i="1"/>
  <c r="P34" i="1"/>
  <c r="R34" i="1"/>
  <c r="AC34" i="1"/>
  <c r="AD34" i="1"/>
  <c r="AE34" i="1"/>
  <c r="Q34" i="1" s="1"/>
  <c r="AF34" i="1"/>
  <c r="AG34" i="1"/>
  <c r="AH34" i="1"/>
  <c r="CV34" i="1" s="1"/>
  <c r="U34" i="1" s="1"/>
  <c r="AI34" i="1"/>
  <c r="AJ34" i="1"/>
  <c r="CX34" i="1" s="1"/>
  <c r="W34" i="1" s="1"/>
  <c r="CQ34" i="1"/>
  <c r="CR34" i="1"/>
  <c r="CS34" i="1"/>
  <c r="CU34" i="1"/>
  <c r="T34" i="1" s="1"/>
  <c r="CW34" i="1"/>
  <c r="V34" i="1" s="1"/>
  <c r="GL34" i="1"/>
  <c r="GN34" i="1"/>
  <c r="GP34" i="1"/>
  <c r="GV34" i="1"/>
  <c r="GX34" i="1"/>
  <c r="HC34" i="1"/>
  <c r="C35" i="1"/>
  <c r="D35" i="1"/>
  <c r="Q35" i="1"/>
  <c r="S35" i="1"/>
  <c r="Y35" i="1"/>
  <c r="AC35" i="1"/>
  <c r="AE35" i="1"/>
  <c r="AF35" i="1"/>
  <c r="AG35" i="1"/>
  <c r="CU35" i="1" s="1"/>
  <c r="T35" i="1" s="1"/>
  <c r="AH35" i="1"/>
  <c r="AI35" i="1"/>
  <c r="CW35" i="1" s="1"/>
  <c r="V35" i="1" s="1"/>
  <c r="AJ35" i="1"/>
  <c r="CR35" i="1"/>
  <c r="CT35" i="1"/>
  <c r="CV35" i="1"/>
  <c r="U35" i="1" s="1"/>
  <c r="CX35" i="1"/>
  <c r="W35" i="1" s="1"/>
  <c r="CZ35" i="1"/>
  <c r="GL35" i="1"/>
  <c r="GN35" i="1"/>
  <c r="GP35" i="1"/>
  <c r="GV35" i="1"/>
  <c r="GX35" i="1"/>
  <c r="HC35" i="1"/>
  <c r="P36" i="1"/>
  <c r="AC36" i="1"/>
  <c r="AE36" i="1"/>
  <c r="R36" i="1" s="1"/>
  <c r="AF36" i="1"/>
  <c r="S36" i="1" s="1"/>
  <c r="AG36" i="1"/>
  <c r="AH36" i="1"/>
  <c r="AI36" i="1"/>
  <c r="CW36" i="1" s="1"/>
  <c r="V36" i="1" s="1"/>
  <c r="AJ36" i="1"/>
  <c r="CX36" i="1" s="1"/>
  <c r="W36" i="1" s="1"/>
  <c r="CQ36" i="1"/>
  <c r="CR36" i="1"/>
  <c r="CU36" i="1"/>
  <c r="T36" i="1" s="1"/>
  <c r="CV36" i="1"/>
  <c r="U36" i="1" s="1"/>
  <c r="FR36" i="1"/>
  <c r="GL36" i="1"/>
  <c r="GN36" i="1"/>
  <c r="GO36" i="1"/>
  <c r="GP36" i="1"/>
  <c r="GV36" i="1"/>
  <c r="GX36" i="1"/>
  <c r="HC36" i="1"/>
  <c r="P37" i="1"/>
  <c r="AC37" i="1"/>
  <c r="AE37" i="1"/>
  <c r="R37" i="1" s="1"/>
  <c r="AF37" i="1"/>
  <c r="S37" i="1" s="1"/>
  <c r="AG37" i="1"/>
  <c r="AH37" i="1"/>
  <c r="AI37" i="1"/>
  <c r="CW37" i="1" s="1"/>
  <c r="V37" i="1" s="1"/>
  <c r="AJ37" i="1"/>
  <c r="CX37" i="1" s="1"/>
  <c r="W37" i="1" s="1"/>
  <c r="CQ37" i="1"/>
  <c r="CR37" i="1"/>
  <c r="CU37" i="1"/>
  <c r="T37" i="1" s="1"/>
  <c r="CV37" i="1"/>
  <c r="U37" i="1" s="1"/>
  <c r="FR37" i="1"/>
  <c r="GL37" i="1"/>
  <c r="GN37" i="1"/>
  <c r="GO37" i="1"/>
  <c r="GP37" i="1"/>
  <c r="GV37" i="1"/>
  <c r="GX37" i="1"/>
  <c r="HC37" i="1"/>
  <c r="C38" i="1"/>
  <c r="D38" i="1"/>
  <c r="R38" i="1"/>
  <c r="S38" i="1"/>
  <c r="X38" i="1" s="1"/>
  <c r="AC38" i="1"/>
  <c r="P38" i="1" s="1"/>
  <c r="AD38" i="1"/>
  <c r="AE38" i="1"/>
  <c r="Q38" i="1" s="1"/>
  <c r="AF38" i="1"/>
  <c r="AG38" i="1"/>
  <c r="CU38" i="1" s="1"/>
  <c r="T38" i="1" s="1"/>
  <c r="AH38" i="1"/>
  <c r="CV38" i="1" s="1"/>
  <c r="U38" i="1" s="1"/>
  <c r="AI38" i="1"/>
  <c r="AJ38" i="1"/>
  <c r="CR38" i="1"/>
  <c r="CS38" i="1"/>
  <c r="CT38" i="1"/>
  <c r="CW38" i="1"/>
  <c r="V38" i="1" s="1"/>
  <c r="CX38" i="1"/>
  <c r="W38" i="1" s="1"/>
  <c r="GL38" i="1"/>
  <c r="GN38" i="1"/>
  <c r="GP38" i="1"/>
  <c r="GV38" i="1"/>
  <c r="HC38" i="1" s="1"/>
  <c r="GX38" i="1" s="1"/>
  <c r="C39" i="1"/>
  <c r="D39" i="1"/>
  <c r="R39" i="1"/>
  <c r="AC39" i="1"/>
  <c r="P39" i="1" s="1"/>
  <c r="AE39" i="1"/>
  <c r="AD39" i="1" s="1"/>
  <c r="AB39" i="1" s="1"/>
  <c r="AF39" i="1"/>
  <c r="S39" i="1" s="1"/>
  <c r="AG39" i="1"/>
  <c r="CU39" i="1" s="1"/>
  <c r="T39" i="1" s="1"/>
  <c r="AH39" i="1"/>
  <c r="AI39" i="1"/>
  <c r="AJ39" i="1"/>
  <c r="CX39" i="1" s="1"/>
  <c r="W39" i="1" s="1"/>
  <c r="CR39" i="1"/>
  <c r="CS39" i="1"/>
  <c r="CV39" i="1"/>
  <c r="U39" i="1" s="1"/>
  <c r="CW39" i="1"/>
  <c r="V39" i="1" s="1"/>
  <c r="GL39" i="1"/>
  <c r="GN39" i="1"/>
  <c r="GP39" i="1"/>
  <c r="GV39" i="1"/>
  <c r="HC39" i="1" s="1"/>
  <c r="GX39" i="1" s="1"/>
  <c r="R40" i="1"/>
  <c r="S40" i="1"/>
  <c r="X40" i="1" s="1"/>
  <c r="AC40" i="1"/>
  <c r="P40" i="1" s="1"/>
  <c r="AD40" i="1"/>
  <c r="AE40" i="1"/>
  <c r="Q40" i="1" s="1"/>
  <c r="AF40" i="1"/>
  <c r="AG40" i="1"/>
  <c r="CU40" i="1" s="1"/>
  <c r="T40" i="1" s="1"/>
  <c r="AH40" i="1"/>
  <c r="CV40" i="1" s="1"/>
  <c r="U40" i="1" s="1"/>
  <c r="AI40" i="1"/>
  <c r="AJ40" i="1"/>
  <c r="CR40" i="1"/>
  <c r="CS40" i="1"/>
  <c r="CT40" i="1"/>
  <c r="CW40" i="1"/>
  <c r="V40" i="1" s="1"/>
  <c r="CX40" i="1"/>
  <c r="W40" i="1" s="1"/>
  <c r="GL40" i="1"/>
  <c r="GN40" i="1"/>
  <c r="GO40" i="1"/>
  <c r="GP40" i="1"/>
  <c r="GV40" i="1"/>
  <c r="HC40" i="1" s="1"/>
  <c r="GX40" i="1" s="1"/>
  <c r="R41" i="1"/>
  <c r="S41" i="1"/>
  <c r="X41" i="1" s="1"/>
  <c r="AC41" i="1"/>
  <c r="P41" i="1" s="1"/>
  <c r="AD41" i="1"/>
  <c r="AE41" i="1"/>
  <c r="Q41" i="1" s="1"/>
  <c r="AF41" i="1"/>
  <c r="AG41" i="1"/>
  <c r="CU41" i="1" s="1"/>
  <c r="T41" i="1" s="1"/>
  <c r="AH41" i="1"/>
  <c r="CV41" i="1" s="1"/>
  <c r="U41" i="1" s="1"/>
  <c r="AI41" i="1"/>
  <c r="AJ41" i="1"/>
  <c r="CR41" i="1"/>
  <c r="CS41" i="1"/>
  <c r="CT41" i="1"/>
  <c r="CW41" i="1"/>
  <c r="V41" i="1" s="1"/>
  <c r="CX41" i="1"/>
  <c r="W41" i="1" s="1"/>
  <c r="GL41" i="1"/>
  <c r="GN41" i="1"/>
  <c r="GO41" i="1"/>
  <c r="GP41" i="1"/>
  <c r="GV41" i="1"/>
  <c r="HC41" i="1" s="1"/>
  <c r="GX41" i="1" s="1"/>
  <c r="C42" i="1"/>
  <c r="D42" i="1"/>
  <c r="P42" i="1"/>
  <c r="AC42" i="1"/>
  <c r="AE42" i="1"/>
  <c r="R42" i="1" s="1"/>
  <c r="AF42" i="1"/>
  <c r="S42" i="1" s="1"/>
  <c r="AG42" i="1"/>
  <c r="AH42" i="1"/>
  <c r="AI42" i="1"/>
  <c r="CW42" i="1" s="1"/>
  <c r="V42" i="1" s="1"/>
  <c r="AJ42" i="1"/>
  <c r="CX42" i="1" s="1"/>
  <c r="W42" i="1" s="1"/>
  <c r="CQ42" i="1"/>
  <c r="CR42" i="1"/>
  <c r="CU42" i="1"/>
  <c r="T42" i="1" s="1"/>
  <c r="CV42" i="1"/>
  <c r="U42" i="1" s="1"/>
  <c r="GL42" i="1"/>
  <c r="GN42" i="1"/>
  <c r="GP42" i="1"/>
  <c r="GV42" i="1"/>
  <c r="HC42" i="1"/>
  <c r="GX42" i="1" s="1"/>
  <c r="C43" i="1"/>
  <c r="D43" i="1"/>
  <c r="P43" i="1"/>
  <c r="CP43" i="1" s="1"/>
  <c r="O43" i="1" s="1"/>
  <c r="S43" i="1"/>
  <c r="X43" i="1"/>
  <c r="AC43" i="1"/>
  <c r="AB43" i="1" s="1"/>
  <c r="AD43" i="1"/>
  <c r="AE43" i="1"/>
  <c r="Q43" i="1" s="1"/>
  <c r="AF43" i="1"/>
  <c r="AG43" i="1"/>
  <c r="AH43" i="1"/>
  <c r="CV43" i="1" s="1"/>
  <c r="U43" i="1" s="1"/>
  <c r="AI43" i="1"/>
  <c r="CW43" i="1" s="1"/>
  <c r="V43" i="1" s="1"/>
  <c r="AJ43" i="1"/>
  <c r="CQ43" i="1"/>
  <c r="CR43" i="1"/>
  <c r="CT43" i="1"/>
  <c r="CU43" i="1"/>
  <c r="T43" i="1" s="1"/>
  <c r="CX43" i="1"/>
  <c r="W43" i="1" s="1"/>
  <c r="CY43" i="1"/>
  <c r="CZ43" i="1"/>
  <c r="GL43" i="1"/>
  <c r="GN43" i="1"/>
  <c r="GP43" i="1"/>
  <c r="GV43" i="1"/>
  <c r="GX43" i="1"/>
  <c r="HC43" i="1"/>
  <c r="P44" i="1"/>
  <c r="AC44" i="1"/>
  <c r="AE44" i="1"/>
  <c r="R44" i="1" s="1"/>
  <c r="AF44" i="1"/>
  <c r="S44" i="1" s="1"/>
  <c r="AG44" i="1"/>
  <c r="AH44" i="1"/>
  <c r="AI44" i="1"/>
  <c r="CW44" i="1" s="1"/>
  <c r="V44" i="1" s="1"/>
  <c r="AJ44" i="1"/>
  <c r="CX44" i="1" s="1"/>
  <c r="W44" i="1" s="1"/>
  <c r="CQ44" i="1"/>
  <c r="CR44" i="1"/>
  <c r="CU44" i="1"/>
  <c r="T44" i="1" s="1"/>
  <c r="CV44" i="1"/>
  <c r="U44" i="1" s="1"/>
  <c r="FR44" i="1"/>
  <c r="GL44" i="1"/>
  <c r="GN44" i="1"/>
  <c r="GO44" i="1"/>
  <c r="GP44" i="1"/>
  <c r="GV44" i="1"/>
  <c r="GX44" i="1"/>
  <c r="HC44" i="1"/>
  <c r="P45" i="1"/>
  <c r="AC45" i="1"/>
  <c r="AE45" i="1"/>
  <c r="R45" i="1" s="1"/>
  <c r="AF45" i="1"/>
  <c r="S45" i="1" s="1"/>
  <c r="CZ45" i="1" s="1"/>
  <c r="AG45" i="1"/>
  <c r="AH45" i="1"/>
  <c r="AI45" i="1"/>
  <c r="CW45" i="1" s="1"/>
  <c r="V45" i="1" s="1"/>
  <c r="AJ45" i="1"/>
  <c r="CX45" i="1" s="1"/>
  <c r="W45" i="1" s="1"/>
  <c r="CQ45" i="1"/>
  <c r="CR45" i="1"/>
  <c r="CU45" i="1"/>
  <c r="T45" i="1" s="1"/>
  <c r="CV45" i="1"/>
  <c r="U45" i="1" s="1"/>
  <c r="FR45" i="1"/>
  <c r="GL45" i="1"/>
  <c r="GN45" i="1"/>
  <c r="GO45" i="1"/>
  <c r="GP45" i="1"/>
  <c r="GV45" i="1"/>
  <c r="GX45" i="1"/>
  <c r="HC45" i="1"/>
  <c r="C46" i="1"/>
  <c r="D46" i="1"/>
  <c r="R46" i="1"/>
  <c r="S46" i="1"/>
  <c r="W46" i="1"/>
  <c r="AC46" i="1"/>
  <c r="AD46" i="1"/>
  <c r="AE46" i="1"/>
  <c r="Q46" i="1" s="1"/>
  <c r="AF46" i="1"/>
  <c r="AG46" i="1"/>
  <c r="CU46" i="1" s="1"/>
  <c r="T46" i="1" s="1"/>
  <c r="AH46" i="1"/>
  <c r="CV46" i="1" s="1"/>
  <c r="U46" i="1" s="1"/>
  <c r="AI46" i="1"/>
  <c r="AJ46" i="1"/>
  <c r="CR46" i="1"/>
  <c r="CS46" i="1"/>
  <c r="CT46" i="1"/>
  <c r="CW46" i="1"/>
  <c r="V46" i="1" s="1"/>
  <c r="CX46" i="1"/>
  <c r="GL46" i="1"/>
  <c r="GN46" i="1"/>
  <c r="GP46" i="1"/>
  <c r="GV46" i="1"/>
  <c r="HC46" i="1" s="1"/>
  <c r="GX46" i="1" s="1"/>
  <c r="C47" i="1"/>
  <c r="D47" i="1"/>
  <c r="R47" i="1"/>
  <c r="AB47" i="1"/>
  <c r="AC47" i="1"/>
  <c r="P47" i="1" s="1"/>
  <c r="AE47" i="1"/>
  <c r="AD47" i="1" s="1"/>
  <c r="AF47" i="1"/>
  <c r="AG47" i="1"/>
  <c r="CU47" i="1" s="1"/>
  <c r="T47" i="1" s="1"/>
  <c r="AH47" i="1"/>
  <c r="AI47" i="1"/>
  <c r="AJ47" i="1"/>
  <c r="CX47" i="1" s="1"/>
  <c r="W47" i="1" s="1"/>
  <c r="CR47" i="1"/>
  <c r="CS47" i="1"/>
  <c r="CV47" i="1"/>
  <c r="U47" i="1" s="1"/>
  <c r="CW47" i="1"/>
  <c r="V47" i="1" s="1"/>
  <c r="GL47" i="1"/>
  <c r="GN47" i="1"/>
  <c r="GP47" i="1"/>
  <c r="GV47" i="1"/>
  <c r="HC47" i="1" s="1"/>
  <c r="GX47" i="1" s="1"/>
  <c r="R48" i="1"/>
  <c r="S48" i="1"/>
  <c r="AC48" i="1"/>
  <c r="AD48" i="1"/>
  <c r="AE48" i="1"/>
  <c r="Q48" i="1" s="1"/>
  <c r="AF48" i="1"/>
  <c r="AG48" i="1"/>
  <c r="CU48" i="1" s="1"/>
  <c r="T48" i="1" s="1"/>
  <c r="AH48" i="1"/>
  <c r="CV48" i="1" s="1"/>
  <c r="U48" i="1" s="1"/>
  <c r="AI48" i="1"/>
  <c r="AJ48" i="1"/>
  <c r="CR48" i="1"/>
  <c r="CS48" i="1"/>
  <c r="CT48" i="1"/>
  <c r="CW48" i="1"/>
  <c r="V48" i="1" s="1"/>
  <c r="CX48" i="1"/>
  <c r="W48" i="1" s="1"/>
  <c r="GL48" i="1"/>
  <c r="GN48" i="1"/>
  <c r="GO48" i="1"/>
  <c r="GP48" i="1"/>
  <c r="GV48" i="1"/>
  <c r="HC48" i="1" s="1"/>
  <c r="GX48" i="1" s="1"/>
  <c r="R49" i="1"/>
  <c r="S49" i="1"/>
  <c r="AC49" i="1"/>
  <c r="AD49" i="1"/>
  <c r="AE49" i="1"/>
  <c r="Q49" i="1" s="1"/>
  <c r="AF49" i="1"/>
  <c r="AG49" i="1"/>
  <c r="CU49" i="1" s="1"/>
  <c r="T49" i="1" s="1"/>
  <c r="AH49" i="1"/>
  <c r="CV49" i="1" s="1"/>
  <c r="U49" i="1" s="1"/>
  <c r="AI49" i="1"/>
  <c r="AJ49" i="1"/>
  <c r="CR49" i="1"/>
  <c r="CS49" i="1"/>
  <c r="CT49" i="1"/>
  <c r="CW49" i="1"/>
  <c r="V49" i="1" s="1"/>
  <c r="CX49" i="1"/>
  <c r="W49" i="1" s="1"/>
  <c r="GL49" i="1"/>
  <c r="GN49" i="1"/>
  <c r="GO49" i="1"/>
  <c r="GP49" i="1"/>
  <c r="GV49" i="1"/>
  <c r="HC49" i="1" s="1"/>
  <c r="GX49" i="1" s="1"/>
  <c r="C50" i="1"/>
  <c r="D50" i="1"/>
  <c r="P50" i="1"/>
  <c r="AC50" i="1"/>
  <c r="AE50" i="1"/>
  <c r="AF50" i="1"/>
  <c r="S50" i="1" s="1"/>
  <c r="Y50" i="1" s="1"/>
  <c r="AG50" i="1"/>
  <c r="AH50" i="1"/>
  <c r="AI50" i="1"/>
  <c r="CW50" i="1" s="1"/>
  <c r="V50" i="1" s="1"/>
  <c r="AJ50" i="1"/>
  <c r="CX50" i="1" s="1"/>
  <c r="W50" i="1" s="1"/>
  <c r="CQ50" i="1"/>
  <c r="CR50" i="1"/>
  <c r="CU50" i="1"/>
  <c r="T50" i="1" s="1"/>
  <c r="CV50" i="1"/>
  <c r="U50" i="1" s="1"/>
  <c r="GL50" i="1"/>
  <c r="GN50" i="1"/>
  <c r="GP50" i="1"/>
  <c r="GV50" i="1"/>
  <c r="HC50" i="1"/>
  <c r="GX50" i="1" s="1"/>
  <c r="C51" i="1"/>
  <c r="D51" i="1"/>
  <c r="P51" i="1"/>
  <c r="CP51" i="1" s="1"/>
  <c r="O51" i="1" s="1"/>
  <c r="S51" i="1"/>
  <c r="T51" i="1"/>
  <c r="X51" i="1"/>
  <c r="AC51" i="1"/>
  <c r="AB51" i="1" s="1"/>
  <c r="AD51" i="1"/>
  <c r="AE51" i="1"/>
  <c r="Q51" i="1" s="1"/>
  <c r="AF51" i="1"/>
  <c r="AG51" i="1"/>
  <c r="AH51" i="1"/>
  <c r="CV51" i="1" s="1"/>
  <c r="U51" i="1" s="1"/>
  <c r="AI51" i="1"/>
  <c r="CW51" i="1" s="1"/>
  <c r="V51" i="1" s="1"/>
  <c r="AJ51" i="1"/>
  <c r="CQ51" i="1"/>
  <c r="CR51" i="1"/>
  <c r="CT51" i="1"/>
  <c r="CU51" i="1"/>
  <c r="CX51" i="1"/>
  <c r="W51" i="1" s="1"/>
  <c r="CY51" i="1"/>
  <c r="CZ51" i="1"/>
  <c r="GL51" i="1"/>
  <c r="GN51" i="1"/>
  <c r="GP51" i="1"/>
  <c r="GV51" i="1"/>
  <c r="GX51" i="1"/>
  <c r="HC51" i="1"/>
  <c r="P52" i="1"/>
  <c r="Y52" i="1"/>
  <c r="AC52" i="1"/>
  <c r="AE52" i="1"/>
  <c r="AF52" i="1"/>
  <c r="S52" i="1" s="1"/>
  <c r="AG52" i="1"/>
  <c r="AH52" i="1"/>
  <c r="AI52" i="1"/>
  <c r="CW52" i="1" s="1"/>
  <c r="V52" i="1" s="1"/>
  <c r="AJ52" i="1"/>
  <c r="CX52" i="1" s="1"/>
  <c r="W52" i="1" s="1"/>
  <c r="CQ52" i="1"/>
  <c r="CR52" i="1"/>
  <c r="CU52" i="1"/>
  <c r="T52" i="1" s="1"/>
  <c r="CV52" i="1"/>
  <c r="U52" i="1" s="1"/>
  <c r="CZ52" i="1"/>
  <c r="FR52" i="1"/>
  <c r="GL52" i="1"/>
  <c r="GN52" i="1"/>
  <c r="GO52" i="1"/>
  <c r="GP52" i="1"/>
  <c r="GV52" i="1"/>
  <c r="HC52" i="1"/>
  <c r="GX52" i="1" s="1"/>
  <c r="P53" i="1"/>
  <c r="U53" i="1"/>
  <c r="AC53" i="1"/>
  <c r="AE53" i="1"/>
  <c r="AD53" i="1" s="1"/>
  <c r="AB53" i="1" s="1"/>
  <c r="AF53" i="1"/>
  <c r="AG53" i="1"/>
  <c r="AH53" i="1"/>
  <c r="AI53" i="1"/>
  <c r="AJ53" i="1"/>
  <c r="CX53" i="1" s="1"/>
  <c r="W53" i="1" s="1"/>
  <c r="CQ53" i="1"/>
  <c r="CR53" i="1"/>
  <c r="CS53" i="1"/>
  <c r="CU53" i="1"/>
  <c r="T53" i="1" s="1"/>
  <c r="CV53" i="1"/>
  <c r="CW53" i="1"/>
  <c r="V53" i="1" s="1"/>
  <c r="FR53" i="1"/>
  <c r="GL53" i="1"/>
  <c r="GN53" i="1"/>
  <c r="GO53" i="1"/>
  <c r="GP53" i="1"/>
  <c r="GV53" i="1"/>
  <c r="GX53" i="1"/>
  <c r="HC53" i="1"/>
  <c r="C54" i="1"/>
  <c r="D54" i="1"/>
  <c r="P54" i="1"/>
  <c r="CP54" i="1" s="1"/>
  <c r="O54" i="1" s="1"/>
  <c r="R54" i="1"/>
  <c r="S54" i="1"/>
  <c r="W54" i="1"/>
  <c r="X54" i="1"/>
  <c r="AC54" i="1"/>
  <c r="AD54" i="1"/>
  <c r="AE54" i="1"/>
  <c r="Q54" i="1" s="1"/>
  <c r="AF54" i="1"/>
  <c r="AG54" i="1"/>
  <c r="AH54" i="1"/>
  <c r="CV54" i="1" s="1"/>
  <c r="U54" i="1" s="1"/>
  <c r="AI54" i="1"/>
  <c r="AJ54" i="1"/>
  <c r="CQ54" i="1"/>
  <c r="CR54" i="1"/>
  <c r="CS54" i="1"/>
  <c r="CT54" i="1"/>
  <c r="CU54" i="1"/>
  <c r="T54" i="1" s="1"/>
  <c r="CW54" i="1"/>
  <c r="V54" i="1" s="1"/>
  <c r="CX54" i="1"/>
  <c r="CY54" i="1"/>
  <c r="GL54" i="1"/>
  <c r="GN54" i="1"/>
  <c r="GP54" i="1"/>
  <c r="GV54" i="1"/>
  <c r="HC54" i="1" s="1"/>
  <c r="GX54" i="1" s="1"/>
  <c r="C55" i="1"/>
  <c r="D55" i="1"/>
  <c r="R55" i="1"/>
  <c r="AC55" i="1"/>
  <c r="AE55" i="1"/>
  <c r="AD55" i="1" s="1"/>
  <c r="AF55" i="1"/>
  <c r="AB55" i="1" s="1"/>
  <c r="AG55" i="1"/>
  <c r="CU55" i="1" s="1"/>
  <c r="T55" i="1" s="1"/>
  <c r="AH55" i="1"/>
  <c r="AI55" i="1"/>
  <c r="AJ55" i="1"/>
  <c r="CX55" i="1" s="1"/>
  <c r="W55" i="1" s="1"/>
  <c r="CR55" i="1"/>
  <c r="CS55" i="1"/>
  <c r="CT55" i="1"/>
  <c r="CV55" i="1"/>
  <c r="U55" i="1" s="1"/>
  <c r="CW55" i="1"/>
  <c r="V55" i="1" s="1"/>
  <c r="GL55" i="1"/>
  <c r="GN55" i="1"/>
  <c r="GP55" i="1"/>
  <c r="GV55" i="1"/>
  <c r="HC55" i="1" s="1"/>
  <c r="GX55" i="1" s="1"/>
  <c r="R56" i="1"/>
  <c r="S56" i="1"/>
  <c r="X56" i="1" s="1"/>
  <c r="W56" i="1"/>
  <c r="AC56" i="1"/>
  <c r="AB56" i="1" s="1"/>
  <c r="AD56" i="1"/>
  <c r="AE56" i="1"/>
  <c r="Q56" i="1" s="1"/>
  <c r="AF56" i="1"/>
  <c r="AG56" i="1"/>
  <c r="CU56" i="1" s="1"/>
  <c r="T56" i="1" s="1"/>
  <c r="AH56" i="1"/>
  <c r="CV56" i="1" s="1"/>
  <c r="U56" i="1" s="1"/>
  <c r="AI56" i="1"/>
  <c r="AJ56" i="1"/>
  <c r="CR56" i="1"/>
  <c r="CS56" i="1"/>
  <c r="CT56" i="1"/>
  <c r="CW56" i="1"/>
  <c r="V56" i="1" s="1"/>
  <c r="CX56" i="1"/>
  <c r="CY56" i="1"/>
  <c r="GL56" i="1"/>
  <c r="GN56" i="1"/>
  <c r="GO56" i="1"/>
  <c r="GP56" i="1"/>
  <c r="GV56" i="1"/>
  <c r="HC56" i="1" s="1"/>
  <c r="GX56" i="1" s="1"/>
  <c r="P57" i="1"/>
  <c r="CP57" i="1" s="1"/>
  <c r="O57" i="1" s="1"/>
  <c r="R57" i="1"/>
  <c r="W57" i="1"/>
  <c r="AC57" i="1"/>
  <c r="AD57" i="1"/>
  <c r="AB57" i="1" s="1"/>
  <c r="AE57" i="1"/>
  <c r="Q57" i="1" s="1"/>
  <c r="AF57" i="1"/>
  <c r="S57" i="1" s="1"/>
  <c r="AG57" i="1"/>
  <c r="AH57" i="1"/>
  <c r="CV57" i="1" s="1"/>
  <c r="U57" i="1" s="1"/>
  <c r="AI57" i="1"/>
  <c r="AJ57" i="1"/>
  <c r="CQ57" i="1"/>
  <c r="CR57" i="1"/>
  <c r="CS57" i="1"/>
  <c r="CU57" i="1"/>
  <c r="T57" i="1" s="1"/>
  <c r="CW57" i="1"/>
  <c r="V57" i="1" s="1"/>
  <c r="CX57" i="1"/>
  <c r="FR57" i="1"/>
  <c r="GL57" i="1"/>
  <c r="GN57" i="1"/>
  <c r="GO57" i="1"/>
  <c r="GP57" i="1"/>
  <c r="GV57" i="1"/>
  <c r="HC57" i="1" s="1"/>
  <c r="GX57" i="1" s="1"/>
  <c r="R58" i="1"/>
  <c r="V58" i="1"/>
  <c r="AC58" i="1"/>
  <c r="P58" i="1" s="1"/>
  <c r="AD58" i="1"/>
  <c r="AE58" i="1"/>
  <c r="Q58" i="1" s="1"/>
  <c r="AF58" i="1"/>
  <c r="AB58" i="1" s="1"/>
  <c r="AG58" i="1"/>
  <c r="CU58" i="1" s="1"/>
  <c r="T58" i="1" s="1"/>
  <c r="AH58" i="1"/>
  <c r="CV58" i="1" s="1"/>
  <c r="U58" i="1" s="1"/>
  <c r="AI58" i="1"/>
  <c r="AJ58" i="1"/>
  <c r="CR58" i="1"/>
  <c r="CS58" i="1"/>
  <c r="CW58" i="1"/>
  <c r="CX58" i="1"/>
  <c r="W58" i="1" s="1"/>
  <c r="GL58" i="1"/>
  <c r="GN58" i="1"/>
  <c r="GO58" i="1"/>
  <c r="GP58" i="1"/>
  <c r="GV58" i="1"/>
  <c r="HC58" i="1" s="1"/>
  <c r="GX58" i="1" s="1"/>
  <c r="R59" i="1"/>
  <c r="S59" i="1"/>
  <c r="CY59" i="1" s="1"/>
  <c r="W59" i="1"/>
  <c r="X59" i="1"/>
  <c r="AC59" i="1"/>
  <c r="P59" i="1" s="1"/>
  <c r="AD59" i="1"/>
  <c r="AB59" i="1" s="1"/>
  <c r="AE59" i="1"/>
  <c r="Q59" i="1" s="1"/>
  <c r="AF59" i="1"/>
  <c r="CT59" i="1" s="1"/>
  <c r="AG59" i="1"/>
  <c r="AH59" i="1"/>
  <c r="CV59" i="1" s="1"/>
  <c r="U59" i="1" s="1"/>
  <c r="AI59" i="1"/>
  <c r="AJ59" i="1"/>
  <c r="CQ59" i="1"/>
  <c r="CR59" i="1"/>
  <c r="CS59" i="1"/>
  <c r="CU59" i="1"/>
  <c r="T59" i="1" s="1"/>
  <c r="CW59" i="1"/>
  <c r="V59" i="1" s="1"/>
  <c r="CX59" i="1"/>
  <c r="GL59" i="1"/>
  <c r="GN59" i="1"/>
  <c r="GO59" i="1"/>
  <c r="GP59" i="1"/>
  <c r="GV59" i="1"/>
  <c r="HC59" i="1" s="1"/>
  <c r="GX59" i="1" s="1"/>
  <c r="C60" i="1"/>
  <c r="D60" i="1"/>
  <c r="P60" i="1"/>
  <c r="R60" i="1"/>
  <c r="T60" i="1"/>
  <c r="AC60" i="1"/>
  <c r="AD60" i="1"/>
  <c r="AB60" i="1" s="1"/>
  <c r="AE60" i="1"/>
  <c r="Q60" i="1" s="1"/>
  <c r="AF60" i="1"/>
  <c r="AG60" i="1"/>
  <c r="AH60" i="1"/>
  <c r="CV60" i="1" s="1"/>
  <c r="U60" i="1" s="1"/>
  <c r="AI60" i="1"/>
  <c r="AJ60" i="1"/>
  <c r="CX60" i="1" s="1"/>
  <c r="W60" i="1" s="1"/>
  <c r="CQ60" i="1"/>
  <c r="CR60" i="1"/>
  <c r="CS60" i="1"/>
  <c r="CU60" i="1"/>
  <c r="CW60" i="1"/>
  <c r="V60" i="1" s="1"/>
  <c r="GL60" i="1"/>
  <c r="GN60" i="1"/>
  <c r="GP60" i="1"/>
  <c r="GV60" i="1"/>
  <c r="GX60" i="1"/>
  <c r="HC60" i="1"/>
  <c r="C61" i="1"/>
  <c r="D61" i="1"/>
  <c r="Q61" i="1"/>
  <c r="S61" i="1"/>
  <c r="T61" i="1"/>
  <c r="U61" i="1"/>
  <c r="Y61" i="1"/>
  <c r="AC61" i="1"/>
  <c r="AB61" i="1" s="1"/>
  <c r="AD61" i="1"/>
  <c r="AE61" i="1"/>
  <c r="AF61" i="1"/>
  <c r="AG61" i="1"/>
  <c r="AH61" i="1"/>
  <c r="AI61" i="1"/>
  <c r="AJ61" i="1"/>
  <c r="CR61" i="1"/>
  <c r="CT61" i="1"/>
  <c r="CU61" i="1"/>
  <c r="CV61" i="1"/>
  <c r="CW61" i="1"/>
  <c r="V61" i="1" s="1"/>
  <c r="CX61" i="1"/>
  <c r="W61" i="1" s="1"/>
  <c r="CY61" i="1"/>
  <c r="CZ61" i="1"/>
  <c r="GL61" i="1"/>
  <c r="GN61" i="1"/>
  <c r="GP61" i="1"/>
  <c r="GV61" i="1"/>
  <c r="HC61" i="1" s="1"/>
  <c r="GX61" i="1" s="1"/>
  <c r="P62" i="1"/>
  <c r="FR62" i="1" s="1"/>
  <c r="AC62" i="1"/>
  <c r="AD62" i="1"/>
  <c r="AB62" i="1" s="1"/>
  <c r="AE62" i="1"/>
  <c r="Q62" i="1" s="1"/>
  <c r="AF62" i="1"/>
  <c r="S62" i="1" s="1"/>
  <c r="AG62" i="1"/>
  <c r="AH62" i="1"/>
  <c r="CV62" i="1" s="1"/>
  <c r="U62" i="1" s="1"/>
  <c r="AI62" i="1"/>
  <c r="CW62" i="1" s="1"/>
  <c r="V62" i="1" s="1"/>
  <c r="AJ62" i="1"/>
  <c r="CX62" i="1" s="1"/>
  <c r="W62" i="1" s="1"/>
  <c r="CQ62" i="1"/>
  <c r="CR62" i="1"/>
  <c r="CU62" i="1"/>
  <c r="T62" i="1" s="1"/>
  <c r="GL62" i="1"/>
  <c r="GN62" i="1"/>
  <c r="GO62" i="1"/>
  <c r="GP62" i="1"/>
  <c r="GV62" i="1"/>
  <c r="HC62" i="1" s="1"/>
  <c r="GX62" i="1" s="1"/>
  <c r="P63" i="1"/>
  <c r="AC63" i="1"/>
  <c r="AD63" i="1"/>
  <c r="AB63" i="1" s="1"/>
  <c r="AE63" i="1"/>
  <c r="Q63" i="1" s="1"/>
  <c r="AF63" i="1"/>
  <c r="S63" i="1" s="1"/>
  <c r="AG63" i="1"/>
  <c r="AH63" i="1"/>
  <c r="CV63" i="1" s="1"/>
  <c r="U63" i="1" s="1"/>
  <c r="AI63" i="1"/>
  <c r="CW63" i="1" s="1"/>
  <c r="V63" i="1" s="1"/>
  <c r="AJ63" i="1"/>
  <c r="CX63" i="1" s="1"/>
  <c r="W63" i="1" s="1"/>
  <c r="CQ63" i="1"/>
  <c r="CR63" i="1"/>
  <c r="CU63" i="1"/>
  <c r="T63" i="1" s="1"/>
  <c r="CY63" i="1"/>
  <c r="GL63" i="1"/>
  <c r="GN63" i="1"/>
  <c r="GO63" i="1"/>
  <c r="GP63" i="1"/>
  <c r="GV63" i="1"/>
  <c r="HC63" i="1" s="1"/>
  <c r="GX63" i="1" s="1"/>
  <c r="C64" i="1"/>
  <c r="D64" i="1"/>
  <c r="R64" i="1"/>
  <c r="AC64" i="1"/>
  <c r="P64" i="1" s="1"/>
  <c r="AD64" i="1"/>
  <c r="AE64" i="1"/>
  <c r="Q64" i="1" s="1"/>
  <c r="AF64" i="1"/>
  <c r="AG64" i="1"/>
  <c r="CU64" i="1" s="1"/>
  <c r="T64" i="1" s="1"/>
  <c r="AH64" i="1"/>
  <c r="CV64" i="1" s="1"/>
  <c r="U64" i="1" s="1"/>
  <c r="AI64" i="1"/>
  <c r="AJ64" i="1"/>
  <c r="CX64" i="1" s="1"/>
  <c r="W64" i="1" s="1"/>
  <c r="CR64" i="1"/>
  <c r="CS64" i="1"/>
  <c r="CW64" i="1"/>
  <c r="V64" i="1" s="1"/>
  <c r="GL64" i="1"/>
  <c r="GN64" i="1"/>
  <c r="GP64" i="1"/>
  <c r="GV64" i="1"/>
  <c r="HC64" i="1" s="1"/>
  <c r="GX64" i="1" s="1"/>
  <c r="C65" i="1"/>
  <c r="D65" i="1"/>
  <c r="Y65" i="1"/>
  <c r="AC65" i="1"/>
  <c r="P65" i="1" s="1"/>
  <c r="AE65" i="1"/>
  <c r="AF65" i="1"/>
  <c r="S65" i="1" s="1"/>
  <c r="AG65" i="1"/>
  <c r="CU65" i="1" s="1"/>
  <c r="T65" i="1" s="1"/>
  <c r="AH65" i="1"/>
  <c r="AI65" i="1"/>
  <c r="CW65" i="1" s="1"/>
  <c r="V65" i="1" s="1"/>
  <c r="AJ65" i="1"/>
  <c r="CX65" i="1" s="1"/>
  <c r="W65" i="1" s="1"/>
  <c r="CR65" i="1"/>
  <c r="CV65" i="1"/>
  <c r="U65" i="1" s="1"/>
  <c r="CZ65" i="1"/>
  <c r="GL65" i="1"/>
  <c r="GN65" i="1"/>
  <c r="GP65" i="1"/>
  <c r="GV65" i="1"/>
  <c r="HC65" i="1"/>
  <c r="GX65" i="1" s="1"/>
  <c r="R66" i="1"/>
  <c r="AC66" i="1"/>
  <c r="P66" i="1" s="1"/>
  <c r="FR66" i="1" s="1"/>
  <c r="AD66" i="1"/>
  <c r="AE66" i="1"/>
  <c r="Q66" i="1" s="1"/>
  <c r="AF66" i="1"/>
  <c r="AG66" i="1"/>
  <c r="CU66" i="1" s="1"/>
  <c r="T66" i="1" s="1"/>
  <c r="AH66" i="1"/>
  <c r="CV66" i="1" s="1"/>
  <c r="U66" i="1" s="1"/>
  <c r="AI66" i="1"/>
  <c r="AJ66" i="1"/>
  <c r="CX66" i="1" s="1"/>
  <c r="W66" i="1" s="1"/>
  <c r="CR66" i="1"/>
  <c r="CS66" i="1"/>
  <c r="CW66" i="1"/>
  <c r="V66" i="1" s="1"/>
  <c r="GL66" i="1"/>
  <c r="GN66" i="1"/>
  <c r="GO66" i="1"/>
  <c r="GP66" i="1"/>
  <c r="GV66" i="1"/>
  <c r="HC66" i="1"/>
  <c r="GX66" i="1" s="1"/>
  <c r="R67" i="1"/>
  <c r="AB67" i="1"/>
  <c r="AC67" i="1"/>
  <c r="P67" i="1" s="1"/>
  <c r="AE67" i="1"/>
  <c r="AD67" i="1" s="1"/>
  <c r="AF67" i="1"/>
  <c r="AG67" i="1"/>
  <c r="CU67" i="1" s="1"/>
  <c r="T67" i="1" s="1"/>
  <c r="AH67" i="1"/>
  <c r="AI67" i="1"/>
  <c r="AJ67" i="1"/>
  <c r="CX67" i="1" s="1"/>
  <c r="W67" i="1" s="1"/>
  <c r="CR67" i="1"/>
  <c r="CS67" i="1"/>
  <c r="CV67" i="1"/>
  <c r="U67" i="1" s="1"/>
  <c r="CW67" i="1"/>
  <c r="V67" i="1" s="1"/>
  <c r="FR67" i="1"/>
  <c r="GL67" i="1"/>
  <c r="GN67" i="1"/>
  <c r="GO67" i="1"/>
  <c r="GP67" i="1"/>
  <c r="GV67" i="1"/>
  <c r="HC67" i="1"/>
  <c r="GX67" i="1" s="1"/>
  <c r="C68" i="1"/>
  <c r="D68" i="1"/>
  <c r="P68" i="1"/>
  <c r="T68" i="1"/>
  <c r="AC68" i="1"/>
  <c r="AB68" i="1" s="1"/>
  <c r="AD68" i="1"/>
  <c r="AE68" i="1"/>
  <c r="Q68" i="1" s="1"/>
  <c r="AF68" i="1"/>
  <c r="S68" i="1" s="1"/>
  <c r="AG68" i="1"/>
  <c r="AH68" i="1"/>
  <c r="CV68" i="1" s="1"/>
  <c r="U68" i="1" s="1"/>
  <c r="AI68" i="1"/>
  <c r="CW68" i="1" s="1"/>
  <c r="V68" i="1" s="1"/>
  <c r="AJ68" i="1"/>
  <c r="CQ68" i="1"/>
  <c r="CR68" i="1"/>
  <c r="CT68" i="1"/>
  <c r="CU68" i="1"/>
  <c r="CX68" i="1"/>
  <c r="W68" i="1" s="1"/>
  <c r="CY68" i="1"/>
  <c r="GL68" i="1"/>
  <c r="GN68" i="1"/>
  <c r="GP68" i="1"/>
  <c r="GV68" i="1"/>
  <c r="GX68" i="1"/>
  <c r="HC68" i="1"/>
  <c r="C69" i="1"/>
  <c r="D69" i="1"/>
  <c r="S69" i="1"/>
  <c r="W69" i="1"/>
  <c r="AC69" i="1"/>
  <c r="AD69" i="1"/>
  <c r="AE69" i="1"/>
  <c r="Q69" i="1" s="1"/>
  <c r="AF69" i="1"/>
  <c r="AG69" i="1"/>
  <c r="CU69" i="1" s="1"/>
  <c r="T69" i="1" s="1"/>
  <c r="AH69" i="1"/>
  <c r="CV69" i="1" s="1"/>
  <c r="U69" i="1" s="1"/>
  <c r="AI69" i="1"/>
  <c r="AJ69" i="1"/>
  <c r="CR69" i="1"/>
  <c r="CS69" i="1"/>
  <c r="CT69" i="1"/>
  <c r="CW69" i="1"/>
  <c r="V69" i="1" s="1"/>
  <c r="CX69" i="1"/>
  <c r="GL69" i="1"/>
  <c r="GN69" i="1"/>
  <c r="GP69" i="1"/>
  <c r="GV69" i="1"/>
  <c r="HC69" i="1" s="1"/>
  <c r="GX69" i="1" s="1"/>
  <c r="P70" i="1"/>
  <c r="AC70" i="1"/>
  <c r="AD70" i="1"/>
  <c r="AE70" i="1"/>
  <c r="Q70" i="1" s="1"/>
  <c r="AF70" i="1"/>
  <c r="S70" i="1" s="1"/>
  <c r="AG70" i="1"/>
  <c r="AH70" i="1"/>
  <c r="CV70" i="1" s="1"/>
  <c r="U70" i="1" s="1"/>
  <c r="AI70" i="1"/>
  <c r="CW70" i="1" s="1"/>
  <c r="V70" i="1" s="1"/>
  <c r="AJ70" i="1"/>
  <c r="CQ70" i="1"/>
  <c r="CR70" i="1"/>
  <c r="CT70" i="1"/>
  <c r="CU70" i="1"/>
  <c r="T70" i="1" s="1"/>
  <c r="CX70" i="1"/>
  <c r="W70" i="1" s="1"/>
  <c r="CY70" i="1"/>
  <c r="GL70" i="1"/>
  <c r="GN70" i="1"/>
  <c r="GO70" i="1"/>
  <c r="GP70" i="1"/>
  <c r="GV70" i="1"/>
  <c r="HC70" i="1" s="1"/>
  <c r="GX70" i="1" s="1"/>
  <c r="P71" i="1"/>
  <c r="T71" i="1"/>
  <c r="AC71" i="1"/>
  <c r="AB71" i="1" s="1"/>
  <c r="AD71" i="1"/>
  <c r="AE71" i="1"/>
  <c r="Q71" i="1" s="1"/>
  <c r="AF71" i="1"/>
  <c r="S71" i="1" s="1"/>
  <c r="CY71" i="1" s="1"/>
  <c r="AG71" i="1"/>
  <c r="AH71" i="1"/>
  <c r="CV71" i="1" s="1"/>
  <c r="U71" i="1" s="1"/>
  <c r="AI71" i="1"/>
  <c r="CW71" i="1" s="1"/>
  <c r="V71" i="1" s="1"/>
  <c r="AJ71" i="1"/>
  <c r="CQ71" i="1"/>
  <c r="CR71" i="1"/>
  <c r="CT71" i="1"/>
  <c r="CU71" i="1"/>
  <c r="CX71" i="1"/>
  <c r="W71" i="1" s="1"/>
  <c r="GL71" i="1"/>
  <c r="GN71" i="1"/>
  <c r="GO71" i="1"/>
  <c r="GP71" i="1"/>
  <c r="GV71" i="1"/>
  <c r="HC71" i="1" s="1"/>
  <c r="GX71" i="1" s="1"/>
  <c r="C72" i="1"/>
  <c r="D72" i="1"/>
  <c r="R72" i="1"/>
  <c r="AC72" i="1"/>
  <c r="P72" i="1" s="1"/>
  <c r="AE72" i="1"/>
  <c r="AD72" i="1" s="1"/>
  <c r="AB72" i="1" s="1"/>
  <c r="AF72" i="1"/>
  <c r="AG72" i="1"/>
  <c r="CU72" i="1" s="1"/>
  <c r="T72" i="1" s="1"/>
  <c r="AH72" i="1"/>
  <c r="AI72" i="1"/>
  <c r="AJ72" i="1"/>
  <c r="CX72" i="1" s="1"/>
  <c r="W72" i="1" s="1"/>
  <c r="CR72" i="1"/>
  <c r="CS72" i="1"/>
  <c r="CV72" i="1"/>
  <c r="U72" i="1" s="1"/>
  <c r="CW72" i="1"/>
  <c r="V72" i="1" s="1"/>
  <c r="GL72" i="1"/>
  <c r="GN72" i="1"/>
  <c r="GP72" i="1"/>
  <c r="GV72" i="1"/>
  <c r="HC72" i="1" s="1"/>
  <c r="GX72" i="1" s="1"/>
  <c r="C73" i="1"/>
  <c r="D73" i="1"/>
  <c r="P73" i="1"/>
  <c r="AC73" i="1"/>
  <c r="AE73" i="1"/>
  <c r="AF73" i="1"/>
  <c r="S73" i="1" s="1"/>
  <c r="Y73" i="1" s="1"/>
  <c r="AG73" i="1"/>
  <c r="AH73" i="1"/>
  <c r="AI73" i="1"/>
  <c r="CW73" i="1" s="1"/>
  <c r="V73" i="1" s="1"/>
  <c r="AJ73" i="1"/>
  <c r="CX73" i="1" s="1"/>
  <c r="W73" i="1" s="1"/>
  <c r="CQ73" i="1"/>
  <c r="CR73" i="1"/>
  <c r="CU73" i="1"/>
  <c r="T73" i="1" s="1"/>
  <c r="CV73" i="1"/>
  <c r="U73" i="1" s="1"/>
  <c r="GL73" i="1"/>
  <c r="GN73" i="1"/>
  <c r="GP73" i="1"/>
  <c r="GV73" i="1"/>
  <c r="HC73" i="1"/>
  <c r="GX73" i="1" s="1"/>
  <c r="R74" i="1"/>
  <c r="AB74" i="1"/>
  <c r="AC74" i="1"/>
  <c r="P74" i="1" s="1"/>
  <c r="AE74" i="1"/>
  <c r="AD74" i="1" s="1"/>
  <c r="AF74" i="1"/>
  <c r="AG74" i="1"/>
  <c r="CU74" i="1" s="1"/>
  <c r="T74" i="1" s="1"/>
  <c r="AH74" i="1"/>
  <c r="AI74" i="1"/>
  <c r="AJ74" i="1"/>
  <c r="CX74" i="1" s="1"/>
  <c r="W74" i="1" s="1"/>
  <c r="CR74" i="1"/>
  <c r="CS74" i="1"/>
  <c r="CV74" i="1"/>
  <c r="U74" i="1" s="1"/>
  <c r="CW74" i="1"/>
  <c r="V74" i="1" s="1"/>
  <c r="FR74" i="1"/>
  <c r="GL74" i="1"/>
  <c r="GN74" i="1"/>
  <c r="GO74" i="1"/>
  <c r="GP74" i="1"/>
  <c r="GV74" i="1"/>
  <c r="HC74" i="1"/>
  <c r="GX74" i="1" s="1"/>
  <c r="R75" i="1"/>
  <c r="AC75" i="1"/>
  <c r="P75" i="1" s="1"/>
  <c r="AE75" i="1"/>
  <c r="AD75" i="1" s="1"/>
  <c r="AF75" i="1"/>
  <c r="AB75" i="1" s="1"/>
  <c r="AG75" i="1"/>
  <c r="CU75" i="1" s="1"/>
  <c r="T75" i="1" s="1"/>
  <c r="AH75" i="1"/>
  <c r="AI75" i="1"/>
  <c r="AJ75" i="1"/>
  <c r="CX75" i="1" s="1"/>
  <c r="W75" i="1" s="1"/>
  <c r="CR75" i="1"/>
  <c r="CS75" i="1"/>
  <c r="CV75" i="1"/>
  <c r="U75" i="1" s="1"/>
  <c r="CW75" i="1"/>
  <c r="V75" i="1" s="1"/>
  <c r="GL75" i="1"/>
  <c r="GN75" i="1"/>
  <c r="GO75" i="1"/>
  <c r="GP75" i="1"/>
  <c r="GV75" i="1"/>
  <c r="HC75" i="1"/>
  <c r="GX75" i="1" s="1"/>
  <c r="C76" i="1"/>
  <c r="D76" i="1"/>
  <c r="P76" i="1"/>
  <c r="S76" i="1"/>
  <c r="T76" i="1"/>
  <c r="X76" i="1"/>
  <c r="AC76" i="1"/>
  <c r="AB76" i="1" s="1"/>
  <c r="AD76" i="1"/>
  <c r="AE76" i="1"/>
  <c r="Q76" i="1" s="1"/>
  <c r="AF76" i="1"/>
  <c r="AG76" i="1"/>
  <c r="AH76" i="1"/>
  <c r="CV76" i="1" s="1"/>
  <c r="U76" i="1" s="1"/>
  <c r="AI76" i="1"/>
  <c r="CW76" i="1" s="1"/>
  <c r="V76" i="1" s="1"/>
  <c r="AJ76" i="1"/>
  <c r="CQ76" i="1"/>
  <c r="CR76" i="1"/>
  <c r="CT76" i="1"/>
  <c r="CU76" i="1"/>
  <c r="CX76" i="1"/>
  <c r="W76" i="1" s="1"/>
  <c r="CY76" i="1"/>
  <c r="CZ76" i="1"/>
  <c r="GL76" i="1"/>
  <c r="GN76" i="1"/>
  <c r="GP76" i="1"/>
  <c r="GV76" i="1"/>
  <c r="GX76" i="1"/>
  <c r="HC76" i="1"/>
  <c r="C77" i="1"/>
  <c r="D77" i="1"/>
  <c r="R77" i="1"/>
  <c r="S77" i="1"/>
  <c r="W77" i="1"/>
  <c r="AC77" i="1"/>
  <c r="AD77" i="1"/>
  <c r="AE77" i="1"/>
  <c r="Q77" i="1" s="1"/>
  <c r="AF77" i="1"/>
  <c r="AG77" i="1"/>
  <c r="CU77" i="1" s="1"/>
  <c r="T77" i="1" s="1"/>
  <c r="AH77" i="1"/>
  <c r="CV77" i="1" s="1"/>
  <c r="U77" i="1" s="1"/>
  <c r="AI77" i="1"/>
  <c r="AJ77" i="1"/>
  <c r="CR77" i="1"/>
  <c r="CS77" i="1"/>
  <c r="CT77" i="1"/>
  <c r="CW77" i="1"/>
  <c r="V77" i="1" s="1"/>
  <c r="CX77" i="1"/>
  <c r="GL77" i="1"/>
  <c r="GN77" i="1"/>
  <c r="GP77" i="1"/>
  <c r="GV77" i="1"/>
  <c r="HC77" i="1" s="1"/>
  <c r="GX77" i="1" s="1"/>
  <c r="P78" i="1"/>
  <c r="FR78" i="1" s="1"/>
  <c r="S78" i="1"/>
  <c r="Y78" i="1"/>
  <c r="AC78" i="1"/>
  <c r="AD78" i="1"/>
  <c r="AE78" i="1"/>
  <c r="CZ78" i="1" s="1"/>
  <c r="AF78" i="1"/>
  <c r="AG78" i="1"/>
  <c r="AH78" i="1"/>
  <c r="AI78" i="1"/>
  <c r="CW78" i="1" s="1"/>
  <c r="V78" i="1" s="1"/>
  <c r="AJ78" i="1"/>
  <c r="CQ78" i="1"/>
  <c r="CR78" i="1"/>
  <c r="CT78" i="1"/>
  <c r="CU78" i="1"/>
  <c r="T78" i="1" s="1"/>
  <c r="CV78" i="1"/>
  <c r="U78" i="1" s="1"/>
  <c r="CX78" i="1"/>
  <c r="W78" i="1" s="1"/>
  <c r="CY78" i="1"/>
  <c r="GL78" i="1"/>
  <c r="GN78" i="1"/>
  <c r="GO78" i="1"/>
  <c r="GP78" i="1"/>
  <c r="GV78" i="1"/>
  <c r="HC78" i="1" s="1"/>
  <c r="GX78" i="1"/>
  <c r="S79" i="1"/>
  <c r="Y79" i="1" s="1"/>
  <c r="U79" i="1"/>
  <c r="AC79" i="1"/>
  <c r="CQ79" i="1" s="1"/>
  <c r="AE79" i="1"/>
  <c r="AF79" i="1"/>
  <c r="AG79" i="1"/>
  <c r="AH79" i="1"/>
  <c r="AI79" i="1"/>
  <c r="CW79" i="1" s="1"/>
  <c r="V79" i="1" s="1"/>
  <c r="AJ79" i="1"/>
  <c r="CR79" i="1"/>
  <c r="CT79" i="1"/>
  <c r="CU79" i="1"/>
  <c r="T79" i="1" s="1"/>
  <c r="CV79" i="1"/>
  <c r="CX79" i="1"/>
  <c r="W79" i="1" s="1"/>
  <c r="CZ79" i="1"/>
  <c r="GL79" i="1"/>
  <c r="GN79" i="1"/>
  <c r="GO79" i="1"/>
  <c r="GP79" i="1"/>
  <c r="GV79" i="1"/>
  <c r="HC79" i="1" s="1"/>
  <c r="GX79" i="1" s="1"/>
  <c r="C80" i="1"/>
  <c r="D80" i="1"/>
  <c r="AC80" i="1"/>
  <c r="AE80" i="1"/>
  <c r="AD80" i="1" s="1"/>
  <c r="AB80" i="1" s="1"/>
  <c r="AF80" i="1"/>
  <c r="S80" i="1" s="1"/>
  <c r="AG80" i="1"/>
  <c r="CU80" i="1" s="1"/>
  <c r="T80" i="1" s="1"/>
  <c r="AH80" i="1"/>
  <c r="AI80" i="1"/>
  <c r="CW80" i="1" s="1"/>
  <c r="V80" i="1" s="1"/>
  <c r="AJ80" i="1"/>
  <c r="CS80" i="1"/>
  <c r="CT80" i="1"/>
  <c r="CV80" i="1"/>
  <c r="U80" i="1" s="1"/>
  <c r="CX80" i="1"/>
  <c r="W80" i="1" s="1"/>
  <c r="GL80" i="1"/>
  <c r="GN80" i="1"/>
  <c r="GP80" i="1"/>
  <c r="GV80" i="1"/>
  <c r="HC80" i="1" s="1"/>
  <c r="GX80" i="1" s="1"/>
  <c r="C81" i="1"/>
  <c r="D81" i="1"/>
  <c r="P81" i="1"/>
  <c r="R81" i="1"/>
  <c r="AC81" i="1"/>
  <c r="AD81" i="1"/>
  <c r="AE81" i="1"/>
  <c r="Q81" i="1" s="1"/>
  <c r="AF81" i="1"/>
  <c r="AB81" i="1" s="1"/>
  <c r="AG81" i="1"/>
  <c r="AH81" i="1"/>
  <c r="CV81" i="1" s="1"/>
  <c r="U81" i="1" s="1"/>
  <c r="AI81" i="1"/>
  <c r="AJ81" i="1"/>
  <c r="CX81" i="1" s="1"/>
  <c r="W81" i="1" s="1"/>
  <c r="CQ81" i="1"/>
  <c r="CR81" i="1"/>
  <c r="CS81" i="1"/>
  <c r="CU81" i="1"/>
  <c r="T81" i="1" s="1"/>
  <c r="CW81" i="1"/>
  <c r="V81" i="1" s="1"/>
  <c r="GL81" i="1"/>
  <c r="GN81" i="1"/>
  <c r="GP81" i="1"/>
  <c r="GV81" i="1"/>
  <c r="HC81" i="1" s="1"/>
  <c r="GX81" i="1" s="1"/>
  <c r="S82" i="1"/>
  <c r="X82" i="1" s="1"/>
  <c r="AC82" i="1"/>
  <c r="P82" i="1" s="1"/>
  <c r="AE82" i="1"/>
  <c r="AD82" i="1" s="1"/>
  <c r="AF82" i="1"/>
  <c r="AG82" i="1"/>
  <c r="CU82" i="1" s="1"/>
  <c r="T82" i="1" s="1"/>
  <c r="AH82" i="1"/>
  <c r="AI82" i="1"/>
  <c r="CW82" i="1" s="1"/>
  <c r="V82" i="1" s="1"/>
  <c r="AJ82" i="1"/>
  <c r="CR82" i="1"/>
  <c r="CT82" i="1"/>
  <c r="CV82" i="1"/>
  <c r="U82" i="1" s="1"/>
  <c r="CX82" i="1"/>
  <c r="W82" i="1" s="1"/>
  <c r="GL82" i="1"/>
  <c r="GN82" i="1"/>
  <c r="GO82" i="1"/>
  <c r="GP82" i="1"/>
  <c r="GV82" i="1"/>
  <c r="HC82" i="1" s="1"/>
  <c r="GX82" i="1" s="1"/>
  <c r="S83" i="1"/>
  <c r="X83" i="1" s="1"/>
  <c r="AC83" i="1"/>
  <c r="P83" i="1" s="1"/>
  <c r="AE83" i="1"/>
  <c r="AD83" i="1" s="1"/>
  <c r="AF83" i="1"/>
  <c r="AG83" i="1"/>
  <c r="CU83" i="1" s="1"/>
  <c r="T83" i="1" s="1"/>
  <c r="AH83" i="1"/>
  <c r="AI83" i="1"/>
  <c r="CW83" i="1" s="1"/>
  <c r="V83" i="1" s="1"/>
  <c r="AJ83" i="1"/>
  <c r="CR83" i="1"/>
  <c r="CT83" i="1"/>
  <c r="CV83" i="1"/>
  <c r="U83" i="1" s="1"/>
  <c r="CX83" i="1"/>
  <c r="W83" i="1" s="1"/>
  <c r="GL83" i="1"/>
  <c r="GN83" i="1"/>
  <c r="GO83" i="1"/>
  <c r="GP83" i="1"/>
  <c r="GV83" i="1"/>
  <c r="HC83" i="1" s="1"/>
  <c r="GX83" i="1" s="1"/>
  <c r="C84" i="1"/>
  <c r="D84" i="1"/>
  <c r="S84" i="1"/>
  <c r="X84" i="1" s="1"/>
  <c r="AC84" i="1"/>
  <c r="AE84" i="1"/>
  <c r="Q84" i="1" s="1"/>
  <c r="AF84" i="1"/>
  <c r="AG84" i="1"/>
  <c r="CU84" i="1" s="1"/>
  <c r="T84" i="1" s="1"/>
  <c r="AH84" i="1"/>
  <c r="AI84" i="1"/>
  <c r="CW84" i="1" s="1"/>
  <c r="V84" i="1" s="1"/>
  <c r="AJ84" i="1"/>
  <c r="CR84" i="1"/>
  <c r="CT84" i="1"/>
  <c r="CV84" i="1"/>
  <c r="U84" i="1" s="1"/>
  <c r="CX84" i="1"/>
  <c r="W84" i="1" s="1"/>
  <c r="CZ84" i="1"/>
  <c r="GL84" i="1"/>
  <c r="GN84" i="1"/>
  <c r="GP84" i="1"/>
  <c r="GV84" i="1"/>
  <c r="HC84" i="1"/>
  <c r="GX84" i="1" s="1"/>
  <c r="C85" i="1"/>
  <c r="D85" i="1"/>
  <c r="P85" i="1"/>
  <c r="R85" i="1"/>
  <c r="AC85" i="1"/>
  <c r="AD85" i="1"/>
  <c r="AB85" i="1" s="1"/>
  <c r="AE85" i="1"/>
  <c r="Q85" i="1" s="1"/>
  <c r="AF85" i="1"/>
  <c r="S85" i="1" s="1"/>
  <c r="AG85" i="1"/>
  <c r="AH85" i="1"/>
  <c r="CV85" i="1" s="1"/>
  <c r="U85" i="1" s="1"/>
  <c r="AI85" i="1"/>
  <c r="AJ85" i="1"/>
  <c r="CX85" i="1" s="1"/>
  <c r="W85" i="1" s="1"/>
  <c r="CQ85" i="1"/>
  <c r="CR85" i="1"/>
  <c r="CS85" i="1"/>
  <c r="CU85" i="1"/>
  <c r="T85" i="1" s="1"/>
  <c r="CW85" i="1"/>
  <c r="V85" i="1" s="1"/>
  <c r="GL85" i="1"/>
  <c r="GN85" i="1"/>
  <c r="GP85" i="1"/>
  <c r="GV85" i="1"/>
  <c r="GX85" i="1"/>
  <c r="HC85" i="1"/>
  <c r="S86" i="1"/>
  <c r="X86" i="1" s="1"/>
  <c r="AC86" i="1"/>
  <c r="AE86" i="1"/>
  <c r="Q86" i="1" s="1"/>
  <c r="AF86" i="1"/>
  <c r="AG86" i="1"/>
  <c r="CU86" i="1" s="1"/>
  <c r="T86" i="1" s="1"/>
  <c r="AH86" i="1"/>
  <c r="AI86" i="1"/>
  <c r="CW86" i="1" s="1"/>
  <c r="V86" i="1" s="1"/>
  <c r="AJ86" i="1"/>
  <c r="CR86" i="1"/>
  <c r="CT86" i="1"/>
  <c r="CV86" i="1"/>
  <c r="U86" i="1" s="1"/>
  <c r="CX86" i="1"/>
  <c r="W86" i="1" s="1"/>
  <c r="CZ86" i="1"/>
  <c r="GL86" i="1"/>
  <c r="GN86" i="1"/>
  <c r="CB93" i="1" s="1"/>
  <c r="GO86" i="1"/>
  <c r="GP86" i="1"/>
  <c r="GV86" i="1"/>
  <c r="GX86" i="1"/>
  <c r="HC86" i="1"/>
  <c r="S87" i="1"/>
  <c r="X87" i="1" s="1"/>
  <c r="AC87" i="1"/>
  <c r="AE87" i="1"/>
  <c r="Q87" i="1" s="1"/>
  <c r="AF87" i="1"/>
  <c r="AG87" i="1"/>
  <c r="CU87" i="1" s="1"/>
  <c r="T87" i="1" s="1"/>
  <c r="AH87" i="1"/>
  <c r="AI87" i="1"/>
  <c r="CW87" i="1" s="1"/>
  <c r="V87" i="1" s="1"/>
  <c r="AJ87" i="1"/>
  <c r="CR87" i="1"/>
  <c r="CT87" i="1"/>
  <c r="CV87" i="1"/>
  <c r="U87" i="1" s="1"/>
  <c r="CX87" i="1"/>
  <c r="W87" i="1" s="1"/>
  <c r="CZ87" i="1"/>
  <c r="GL87" i="1"/>
  <c r="GN87" i="1"/>
  <c r="GO87" i="1"/>
  <c r="GP87" i="1"/>
  <c r="GV87" i="1"/>
  <c r="GX87" i="1"/>
  <c r="HC87" i="1"/>
  <c r="C88" i="1"/>
  <c r="D88" i="1"/>
  <c r="I88" i="1"/>
  <c r="R88" i="1" s="1"/>
  <c r="K88" i="1"/>
  <c r="AC88" i="1"/>
  <c r="AE88" i="1"/>
  <c r="Q88" i="1" s="1"/>
  <c r="AF88" i="1"/>
  <c r="AG88" i="1"/>
  <c r="CU88" i="1" s="1"/>
  <c r="T88" i="1" s="1"/>
  <c r="AH88" i="1"/>
  <c r="AI88" i="1"/>
  <c r="CW88" i="1" s="1"/>
  <c r="V88" i="1" s="1"/>
  <c r="AJ88" i="1"/>
  <c r="CR88" i="1"/>
  <c r="CT88" i="1"/>
  <c r="CV88" i="1"/>
  <c r="U88" i="1" s="1"/>
  <c r="CX88" i="1"/>
  <c r="W88" i="1" s="1"/>
  <c r="GL88" i="1"/>
  <c r="GN88" i="1"/>
  <c r="GP88" i="1"/>
  <c r="GV88" i="1"/>
  <c r="HC88" i="1"/>
  <c r="GX88" i="1" s="1"/>
  <c r="C89" i="1"/>
  <c r="D89" i="1"/>
  <c r="I89" i="1"/>
  <c r="K89" i="1"/>
  <c r="P89" i="1"/>
  <c r="R89" i="1"/>
  <c r="AC89" i="1"/>
  <c r="AD89" i="1"/>
  <c r="AE89" i="1"/>
  <c r="Q89" i="1" s="1"/>
  <c r="AF89" i="1"/>
  <c r="AB89" i="1" s="1"/>
  <c r="AG89" i="1"/>
  <c r="AH89" i="1"/>
  <c r="CV89" i="1" s="1"/>
  <c r="U89" i="1" s="1"/>
  <c r="AI89" i="1"/>
  <c r="AJ89" i="1"/>
  <c r="CX89" i="1" s="1"/>
  <c r="W89" i="1" s="1"/>
  <c r="CQ89" i="1"/>
  <c r="CR89" i="1"/>
  <c r="CS89" i="1"/>
  <c r="CU89" i="1"/>
  <c r="T89" i="1" s="1"/>
  <c r="CW89" i="1"/>
  <c r="V89" i="1" s="1"/>
  <c r="GL89" i="1"/>
  <c r="FR93" i="1" s="1"/>
  <c r="GN89" i="1"/>
  <c r="GP89" i="1"/>
  <c r="GV89" i="1"/>
  <c r="HC89" i="1" s="1"/>
  <c r="GX89" i="1" s="1"/>
  <c r="S90" i="1"/>
  <c r="X90" i="1" s="1"/>
  <c r="AC90" i="1"/>
  <c r="P90" i="1" s="1"/>
  <c r="AE90" i="1"/>
  <c r="AD90" i="1" s="1"/>
  <c r="AF90" i="1"/>
  <c r="AG90" i="1"/>
  <c r="CU90" i="1" s="1"/>
  <c r="T90" i="1" s="1"/>
  <c r="AH90" i="1"/>
  <c r="AI90" i="1"/>
  <c r="CW90" i="1" s="1"/>
  <c r="V90" i="1" s="1"/>
  <c r="AJ90" i="1"/>
  <c r="CR90" i="1"/>
  <c r="CT90" i="1"/>
  <c r="CV90" i="1"/>
  <c r="U90" i="1" s="1"/>
  <c r="CX90" i="1"/>
  <c r="W90" i="1" s="1"/>
  <c r="GL90" i="1"/>
  <c r="BZ93" i="1" s="1"/>
  <c r="GN90" i="1"/>
  <c r="GO90" i="1"/>
  <c r="GP90" i="1"/>
  <c r="CD93" i="1" s="1"/>
  <c r="GV90" i="1"/>
  <c r="HC90" i="1" s="1"/>
  <c r="GX90" i="1" s="1"/>
  <c r="S91" i="1"/>
  <c r="X91" i="1" s="1"/>
  <c r="AC91" i="1"/>
  <c r="P91" i="1" s="1"/>
  <c r="AE91" i="1"/>
  <c r="AD91" i="1" s="1"/>
  <c r="AF91" i="1"/>
  <c r="AG91" i="1"/>
  <c r="CU91" i="1" s="1"/>
  <c r="T91" i="1" s="1"/>
  <c r="AH91" i="1"/>
  <c r="AI91" i="1"/>
  <c r="CW91" i="1" s="1"/>
  <c r="V91" i="1" s="1"/>
  <c r="AJ91" i="1"/>
  <c r="CR91" i="1"/>
  <c r="CT91" i="1"/>
  <c r="CV91" i="1"/>
  <c r="U91" i="1" s="1"/>
  <c r="CX91" i="1"/>
  <c r="W91" i="1" s="1"/>
  <c r="GL91" i="1"/>
  <c r="GN91" i="1"/>
  <c r="GO91" i="1"/>
  <c r="GP91" i="1"/>
  <c r="GV91" i="1"/>
  <c r="HC91" i="1" s="1"/>
  <c r="GX91" i="1" s="1"/>
  <c r="B93" i="1"/>
  <c r="B26" i="1" s="1"/>
  <c r="C93" i="1"/>
  <c r="C26" i="1" s="1"/>
  <c r="D93" i="1"/>
  <c r="D26" i="1" s="1"/>
  <c r="F93" i="1"/>
  <c r="F26" i="1" s="1"/>
  <c r="G93" i="1"/>
  <c r="G26" i="1" s="1"/>
  <c r="AJ93" i="1"/>
  <c r="BB93" i="1"/>
  <c r="BX93" i="1"/>
  <c r="BX26" i="1" s="1"/>
  <c r="CG93" i="1"/>
  <c r="CG26" i="1" s="1"/>
  <c r="CK93" i="1"/>
  <c r="CK26" i="1" s="1"/>
  <c r="CL93" i="1"/>
  <c r="CL26" i="1" s="1"/>
  <c r="CM93" i="1"/>
  <c r="CM26" i="1" s="1"/>
  <c r="DZ93" i="1"/>
  <c r="FP93" i="1"/>
  <c r="FP26" i="1" s="1"/>
  <c r="FT93" i="1"/>
  <c r="FT26" i="1" s="1"/>
  <c r="GC93" i="1"/>
  <c r="GC26" i="1" s="1"/>
  <c r="GD93" i="1"/>
  <c r="GD26" i="1" s="1"/>
  <c r="GE93" i="1"/>
  <c r="GE26" i="1" s="1"/>
  <c r="D123" i="1"/>
  <c r="E125" i="1"/>
  <c r="Z125" i="1"/>
  <c r="AA125" i="1"/>
  <c r="AM125" i="1"/>
  <c r="AN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R125" i="1"/>
  <c r="DS125" i="1"/>
  <c r="EE125" i="1"/>
  <c r="EF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GS125" i="1"/>
  <c r="GT125" i="1"/>
  <c r="GU125" i="1"/>
  <c r="GV125" i="1"/>
  <c r="GW125" i="1"/>
  <c r="GX125" i="1"/>
  <c r="C127" i="1"/>
  <c r="D127" i="1"/>
  <c r="I127" i="1"/>
  <c r="K127" i="1"/>
  <c r="P127" i="1"/>
  <c r="R127" i="1"/>
  <c r="AC127" i="1"/>
  <c r="AD127" i="1"/>
  <c r="AB127" i="1" s="1"/>
  <c r="AE127" i="1"/>
  <c r="Q127" i="1" s="1"/>
  <c r="AF127" i="1"/>
  <c r="S127" i="1" s="1"/>
  <c r="AG127" i="1"/>
  <c r="AH127" i="1"/>
  <c r="CV127" i="1" s="1"/>
  <c r="U127" i="1" s="1"/>
  <c r="AI127" i="1"/>
  <c r="AJ127" i="1"/>
  <c r="CX127" i="1" s="1"/>
  <c r="W127" i="1" s="1"/>
  <c r="CQ127" i="1"/>
  <c r="CR127" i="1"/>
  <c r="CS127" i="1"/>
  <c r="CU127" i="1"/>
  <c r="T127" i="1" s="1"/>
  <c r="CW127" i="1"/>
  <c r="V127" i="1" s="1"/>
  <c r="GL127" i="1"/>
  <c r="GN127" i="1"/>
  <c r="GP127" i="1"/>
  <c r="GV127" i="1"/>
  <c r="GX127" i="1"/>
  <c r="HC127" i="1"/>
  <c r="C128" i="1"/>
  <c r="D128" i="1"/>
  <c r="I128" i="1"/>
  <c r="R128" i="1" s="1"/>
  <c r="K128" i="1"/>
  <c r="AC128" i="1"/>
  <c r="AE128" i="1"/>
  <c r="Q128" i="1" s="1"/>
  <c r="AF128" i="1"/>
  <c r="AG128" i="1"/>
  <c r="CU128" i="1" s="1"/>
  <c r="T128" i="1" s="1"/>
  <c r="AH128" i="1"/>
  <c r="AI128" i="1"/>
  <c r="CW128" i="1" s="1"/>
  <c r="V128" i="1" s="1"/>
  <c r="AJ128" i="1"/>
  <c r="CR128" i="1"/>
  <c r="CT128" i="1"/>
  <c r="CV128" i="1"/>
  <c r="U128" i="1" s="1"/>
  <c r="CX128" i="1"/>
  <c r="W128" i="1" s="1"/>
  <c r="GL128" i="1"/>
  <c r="GN128" i="1"/>
  <c r="GP128" i="1"/>
  <c r="GV128" i="1"/>
  <c r="HC128" i="1"/>
  <c r="GX128" i="1" s="1"/>
  <c r="I129" i="1"/>
  <c r="S129" i="1"/>
  <c r="X129" i="1" s="1"/>
  <c r="AC129" i="1"/>
  <c r="AE129" i="1"/>
  <c r="Q129" i="1" s="1"/>
  <c r="AF129" i="1"/>
  <c r="AG129" i="1"/>
  <c r="CU129" i="1" s="1"/>
  <c r="T129" i="1" s="1"/>
  <c r="AH129" i="1"/>
  <c r="AI129" i="1"/>
  <c r="CW129" i="1" s="1"/>
  <c r="V129" i="1" s="1"/>
  <c r="AJ129" i="1"/>
  <c r="CR129" i="1"/>
  <c r="CT129" i="1"/>
  <c r="CV129" i="1"/>
  <c r="U129" i="1" s="1"/>
  <c r="CX129" i="1"/>
  <c r="W129" i="1" s="1"/>
  <c r="CZ129" i="1"/>
  <c r="GL129" i="1"/>
  <c r="GN129" i="1"/>
  <c r="GP129" i="1"/>
  <c r="GV129" i="1"/>
  <c r="HC129" i="1"/>
  <c r="GX129" i="1" s="1"/>
  <c r="I130" i="1"/>
  <c r="S130" i="1"/>
  <c r="X130" i="1" s="1"/>
  <c r="AC130" i="1"/>
  <c r="AE130" i="1"/>
  <c r="Q130" i="1" s="1"/>
  <c r="AF130" i="1"/>
  <c r="AG130" i="1"/>
  <c r="CU130" i="1" s="1"/>
  <c r="T130" i="1" s="1"/>
  <c r="AH130" i="1"/>
  <c r="AI130" i="1"/>
  <c r="CW130" i="1" s="1"/>
  <c r="V130" i="1" s="1"/>
  <c r="AJ130" i="1"/>
  <c r="CR130" i="1"/>
  <c r="CT130" i="1"/>
  <c r="CV130" i="1"/>
  <c r="U130" i="1" s="1"/>
  <c r="CX130" i="1"/>
  <c r="W130" i="1" s="1"/>
  <c r="CZ130" i="1"/>
  <c r="GL130" i="1"/>
  <c r="GN130" i="1"/>
  <c r="GP130" i="1"/>
  <c r="GV130" i="1"/>
  <c r="HC130" i="1"/>
  <c r="GX130" i="1" s="1"/>
  <c r="I131" i="1"/>
  <c r="S131" i="1"/>
  <c r="X131" i="1" s="1"/>
  <c r="AC131" i="1"/>
  <c r="AE131" i="1"/>
  <c r="Q131" i="1" s="1"/>
  <c r="AF131" i="1"/>
  <c r="AG131" i="1"/>
  <c r="CU131" i="1" s="1"/>
  <c r="T131" i="1" s="1"/>
  <c r="AH131" i="1"/>
  <c r="AI131" i="1"/>
  <c r="CW131" i="1" s="1"/>
  <c r="V131" i="1" s="1"/>
  <c r="AJ131" i="1"/>
  <c r="CR131" i="1"/>
  <c r="CT131" i="1"/>
  <c r="CV131" i="1"/>
  <c r="U131" i="1" s="1"/>
  <c r="CX131" i="1"/>
  <c r="W131" i="1" s="1"/>
  <c r="CZ131" i="1"/>
  <c r="GL131" i="1"/>
  <c r="GN131" i="1"/>
  <c r="GP131" i="1"/>
  <c r="GV131" i="1"/>
  <c r="HC131" i="1"/>
  <c r="GX131" i="1" s="1"/>
  <c r="I132" i="1"/>
  <c r="S132" i="1"/>
  <c r="X132" i="1" s="1"/>
  <c r="AC132" i="1"/>
  <c r="AE132" i="1"/>
  <c r="Q132" i="1" s="1"/>
  <c r="AF132" i="1"/>
  <c r="AG132" i="1"/>
  <c r="CU132" i="1" s="1"/>
  <c r="T132" i="1" s="1"/>
  <c r="AH132" i="1"/>
  <c r="AI132" i="1"/>
  <c r="CW132" i="1" s="1"/>
  <c r="V132" i="1" s="1"/>
  <c r="AJ132" i="1"/>
  <c r="CR132" i="1"/>
  <c r="CT132" i="1"/>
  <c r="CV132" i="1"/>
  <c r="U132" i="1" s="1"/>
  <c r="CX132" i="1"/>
  <c r="W132" i="1" s="1"/>
  <c r="CZ132" i="1"/>
  <c r="GL132" i="1"/>
  <c r="GN132" i="1"/>
  <c r="GP132" i="1"/>
  <c r="GV132" i="1"/>
  <c r="HC132" i="1"/>
  <c r="GX132" i="1" s="1"/>
  <c r="C133" i="1"/>
  <c r="D133" i="1"/>
  <c r="I133" i="1"/>
  <c r="K133" i="1"/>
  <c r="P133" i="1"/>
  <c r="R133" i="1"/>
  <c r="AC133" i="1"/>
  <c r="AD133" i="1"/>
  <c r="AE133" i="1"/>
  <c r="Q133" i="1" s="1"/>
  <c r="AF133" i="1"/>
  <c r="AB133" i="1" s="1"/>
  <c r="AG133" i="1"/>
  <c r="AH133" i="1"/>
  <c r="CV133" i="1" s="1"/>
  <c r="U133" i="1" s="1"/>
  <c r="AI133" i="1"/>
  <c r="AJ133" i="1"/>
  <c r="CX133" i="1" s="1"/>
  <c r="W133" i="1" s="1"/>
  <c r="CQ133" i="1"/>
  <c r="CR133" i="1"/>
  <c r="CS133" i="1"/>
  <c r="CU133" i="1"/>
  <c r="T133" i="1" s="1"/>
  <c r="CW133" i="1"/>
  <c r="V133" i="1" s="1"/>
  <c r="GL133" i="1"/>
  <c r="GN133" i="1"/>
  <c r="GP133" i="1"/>
  <c r="GV133" i="1"/>
  <c r="GX133" i="1"/>
  <c r="HC133" i="1"/>
  <c r="C134" i="1"/>
  <c r="D134" i="1"/>
  <c r="I134" i="1"/>
  <c r="R134" i="1" s="1"/>
  <c r="K134" i="1"/>
  <c r="S134" i="1"/>
  <c r="X134" i="1" s="1"/>
  <c r="AC134" i="1"/>
  <c r="P134" i="1" s="1"/>
  <c r="AE134" i="1"/>
  <c r="AD134" i="1" s="1"/>
  <c r="AF134" i="1"/>
  <c r="AG134" i="1"/>
  <c r="CU134" i="1" s="1"/>
  <c r="T134" i="1" s="1"/>
  <c r="AH134" i="1"/>
  <c r="AI134" i="1"/>
  <c r="CW134" i="1" s="1"/>
  <c r="V134" i="1" s="1"/>
  <c r="AJ134" i="1"/>
  <c r="CR134" i="1"/>
  <c r="CT134" i="1"/>
  <c r="CV134" i="1"/>
  <c r="U134" i="1" s="1"/>
  <c r="CX134" i="1"/>
  <c r="W134" i="1" s="1"/>
  <c r="GL134" i="1"/>
  <c r="GN134" i="1"/>
  <c r="GP134" i="1"/>
  <c r="GV134" i="1"/>
  <c r="HC134" i="1" s="1"/>
  <c r="GX134" i="1" s="1"/>
  <c r="I135" i="1"/>
  <c r="S135" i="1"/>
  <c r="X135" i="1" s="1"/>
  <c r="AC135" i="1"/>
  <c r="P135" i="1" s="1"/>
  <c r="AE135" i="1"/>
  <c r="AD135" i="1" s="1"/>
  <c r="AF135" i="1"/>
  <c r="AG135" i="1"/>
  <c r="CU135" i="1" s="1"/>
  <c r="T135" i="1" s="1"/>
  <c r="AH135" i="1"/>
  <c r="AI135" i="1"/>
  <c r="CW135" i="1" s="1"/>
  <c r="V135" i="1" s="1"/>
  <c r="AJ135" i="1"/>
  <c r="CR135" i="1"/>
  <c r="CT135" i="1"/>
  <c r="CV135" i="1"/>
  <c r="U135" i="1" s="1"/>
  <c r="CX135" i="1"/>
  <c r="W135" i="1" s="1"/>
  <c r="GL135" i="1"/>
  <c r="GN135" i="1"/>
  <c r="GP135" i="1"/>
  <c r="GV135" i="1"/>
  <c r="HC135" i="1" s="1"/>
  <c r="GX135" i="1" s="1"/>
  <c r="I136" i="1"/>
  <c r="S136" i="1"/>
  <c r="X136" i="1" s="1"/>
  <c r="AC136" i="1"/>
  <c r="P136" i="1" s="1"/>
  <c r="AE136" i="1"/>
  <c r="AD136" i="1" s="1"/>
  <c r="AF136" i="1"/>
  <c r="AG136" i="1"/>
  <c r="CU136" i="1" s="1"/>
  <c r="T136" i="1" s="1"/>
  <c r="AH136" i="1"/>
  <c r="AI136" i="1"/>
  <c r="CW136" i="1" s="1"/>
  <c r="V136" i="1" s="1"/>
  <c r="AJ136" i="1"/>
  <c r="CR136" i="1"/>
  <c r="CT136" i="1"/>
  <c r="CV136" i="1"/>
  <c r="U136" i="1" s="1"/>
  <c r="CX136" i="1"/>
  <c r="W136" i="1" s="1"/>
  <c r="GL136" i="1"/>
  <c r="GN136" i="1"/>
  <c r="GP136" i="1"/>
  <c r="GV136" i="1"/>
  <c r="HC136" i="1" s="1"/>
  <c r="GX136" i="1" s="1"/>
  <c r="P137" i="1"/>
  <c r="FR137" i="1" s="1"/>
  <c r="BY152" i="1" s="1"/>
  <c r="R137" i="1"/>
  <c r="AC137" i="1"/>
  <c r="AD137" i="1"/>
  <c r="AB137" i="1" s="1"/>
  <c r="AE137" i="1"/>
  <c r="Q137" i="1" s="1"/>
  <c r="AF137" i="1"/>
  <c r="S137" i="1" s="1"/>
  <c r="AG137" i="1"/>
  <c r="AH137" i="1"/>
  <c r="CV137" i="1" s="1"/>
  <c r="U137" i="1" s="1"/>
  <c r="AI137" i="1"/>
  <c r="AJ137" i="1"/>
  <c r="CX137" i="1" s="1"/>
  <c r="W137" i="1" s="1"/>
  <c r="CQ137" i="1"/>
  <c r="CR137" i="1"/>
  <c r="CS137" i="1"/>
  <c r="CU137" i="1"/>
  <c r="T137" i="1" s="1"/>
  <c r="CW137" i="1"/>
  <c r="V137" i="1" s="1"/>
  <c r="GL137" i="1"/>
  <c r="GN137" i="1"/>
  <c r="GO137" i="1"/>
  <c r="GP137" i="1"/>
  <c r="GV137" i="1"/>
  <c r="HC137" i="1" s="1"/>
  <c r="GX137" i="1" s="1"/>
  <c r="P138" i="1"/>
  <c r="FR138" i="1" s="1"/>
  <c r="FQ152" i="1" s="1"/>
  <c r="R138" i="1"/>
  <c r="AC138" i="1"/>
  <c r="AD138" i="1"/>
  <c r="AB138" i="1" s="1"/>
  <c r="AE138" i="1"/>
  <c r="Q138" i="1" s="1"/>
  <c r="AF138" i="1"/>
  <c r="S138" i="1" s="1"/>
  <c r="AG138" i="1"/>
  <c r="AH138" i="1"/>
  <c r="CV138" i="1" s="1"/>
  <c r="U138" i="1" s="1"/>
  <c r="AI138" i="1"/>
  <c r="AJ138" i="1"/>
  <c r="CX138" i="1" s="1"/>
  <c r="W138" i="1" s="1"/>
  <c r="CQ138" i="1"/>
  <c r="CR138" i="1"/>
  <c r="CS138" i="1"/>
  <c r="CU138" i="1"/>
  <c r="T138" i="1" s="1"/>
  <c r="CW138" i="1"/>
  <c r="V138" i="1" s="1"/>
  <c r="GL138" i="1"/>
  <c r="GN138" i="1"/>
  <c r="GO138" i="1"/>
  <c r="GP138" i="1"/>
  <c r="GV138" i="1"/>
  <c r="HC138" i="1" s="1"/>
  <c r="GX138" i="1" s="1"/>
  <c r="C139" i="1"/>
  <c r="D139" i="1"/>
  <c r="I139" i="1"/>
  <c r="K139" i="1"/>
  <c r="P139" i="1"/>
  <c r="R139" i="1"/>
  <c r="AC139" i="1"/>
  <c r="AD139" i="1"/>
  <c r="AB139" i="1" s="1"/>
  <c r="AE139" i="1"/>
  <c r="Q139" i="1" s="1"/>
  <c r="AF139" i="1"/>
  <c r="S139" i="1" s="1"/>
  <c r="AG139" i="1"/>
  <c r="AH139" i="1"/>
  <c r="CV139" i="1" s="1"/>
  <c r="U139" i="1" s="1"/>
  <c r="AI139" i="1"/>
  <c r="AJ139" i="1"/>
  <c r="CX139" i="1" s="1"/>
  <c r="W139" i="1" s="1"/>
  <c r="CQ139" i="1"/>
  <c r="CR139" i="1"/>
  <c r="CS139" i="1"/>
  <c r="CU139" i="1"/>
  <c r="T139" i="1" s="1"/>
  <c r="CW139" i="1"/>
  <c r="V139" i="1" s="1"/>
  <c r="GL139" i="1"/>
  <c r="GN139" i="1"/>
  <c r="GP139" i="1"/>
  <c r="GV139" i="1"/>
  <c r="GX139" i="1"/>
  <c r="HC139" i="1"/>
  <c r="C140" i="1"/>
  <c r="D140" i="1"/>
  <c r="I140" i="1"/>
  <c r="R140" i="1" s="1"/>
  <c r="K140" i="1"/>
  <c r="AC140" i="1"/>
  <c r="AE140" i="1"/>
  <c r="Q140" i="1" s="1"/>
  <c r="AF140" i="1"/>
  <c r="AG140" i="1"/>
  <c r="CU140" i="1" s="1"/>
  <c r="T140" i="1" s="1"/>
  <c r="AH140" i="1"/>
  <c r="AI140" i="1"/>
  <c r="CW140" i="1" s="1"/>
  <c r="V140" i="1" s="1"/>
  <c r="AJ140" i="1"/>
  <c r="CR140" i="1"/>
  <c r="CT140" i="1"/>
  <c r="CV140" i="1"/>
  <c r="U140" i="1" s="1"/>
  <c r="CX140" i="1"/>
  <c r="W140" i="1" s="1"/>
  <c r="GL140" i="1"/>
  <c r="GN140" i="1"/>
  <c r="GP140" i="1"/>
  <c r="GV140" i="1"/>
  <c r="HC140" i="1"/>
  <c r="GX140" i="1" s="1"/>
  <c r="C141" i="1"/>
  <c r="D141" i="1"/>
  <c r="I141" i="1"/>
  <c r="K141" i="1"/>
  <c r="P141" i="1"/>
  <c r="R141" i="1"/>
  <c r="AC141" i="1"/>
  <c r="AD141" i="1"/>
  <c r="AE141" i="1"/>
  <c r="Q141" i="1" s="1"/>
  <c r="AF141" i="1"/>
  <c r="AB141" i="1" s="1"/>
  <c r="AG141" i="1"/>
  <c r="AH141" i="1"/>
  <c r="CV141" i="1" s="1"/>
  <c r="U141" i="1" s="1"/>
  <c r="AI141" i="1"/>
  <c r="AJ141" i="1"/>
  <c r="CX141" i="1" s="1"/>
  <c r="W141" i="1" s="1"/>
  <c r="CQ141" i="1"/>
  <c r="CR141" i="1"/>
  <c r="CS141" i="1"/>
  <c r="CU141" i="1"/>
  <c r="T141" i="1" s="1"/>
  <c r="CW141" i="1"/>
  <c r="V141" i="1" s="1"/>
  <c r="GL141" i="1"/>
  <c r="GN141" i="1"/>
  <c r="GP141" i="1"/>
  <c r="GV141" i="1"/>
  <c r="GX141" i="1"/>
  <c r="HC141" i="1"/>
  <c r="C142" i="1"/>
  <c r="D142" i="1"/>
  <c r="I142" i="1"/>
  <c r="R142" i="1" s="1"/>
  <c r="K142" i="1"/>
  <c r="S142" i="1"/>
  <c r="X142" i="1" s="1"/>
  <c r="AC142" i="1"/>
  <c r="P142" i="1" s="1"/>
  <c r="AE142" i="1"/>
  <c r="AD142" i="1" s="1"/>
  <c r="AF142" i="1"/>
  <c r="AG142" i="1"/>
  <c r="CU142" i="1" s="1"/>
  <c r="T142" i="1" s="1"/>
  <c r="AH142" i="1"/>
  <c r="AI142" i="1"/>
  <c r="CW142" i="1" s="1"/>
  <c r="V142" i="1" s="1"/>
  <c r="AJ142" i="1"/>
  <c r="CR142" i="1"/>
  <c r="CT142" i="1"/>
  <c r="CV142" i="1"/>
  <c r="U142" i="1" s="1"/>
  <c r="CX142" i="1"/>
  <c r="W142" i="1" s="1"/>
  <c r="GL142" i="1"/>
  <c r="GN142" i="1"/>
  <c r="GP142" i="1"/>
  <c r="GV142" i="1"/>
  <c r="HC142" i="1" s="1"/>
  <c r="GX142" i="1" s="1"/>
  <c r="I143" i="1"/>
  <c r="K143" i="1"/>
  <c r="P143" i="1"/>
  <c r="R143" i="1"/>
  <c r="AC143" i="1"/>
  <c r="AD143" i="1"/>
  <c r="AE143" i="1"/>
  <c r="Q143" i="1" s="1"/>
  <c r="AF143" i="1"/>
  <c r="AB143" i="1" s="1"/>
  <c r="AG143" i="1"/>
  <c r="AH143" i="1"/>
  <c r="CV143" i="1" s="1"/>
  <c r="U143" i="1" s="1"/>
  <c r="AI143" i="1"/>
  <c r="AJ143" i="1"/>
  <c r="CX143" i="1" s="1"/>
  <c r="W143" i="1" s="1"/>
  <c r="CQ143" i="1"/>
  <c r="CR143" i="1"/>
  <c r="CS143" i="1"/>
  <c r="CU143" i="1"/>
  <c r="T143" i="1" s="1"/>
  <c r="CW143" i="1"/>
  <c r="V143" i="1" s="1"/>
  <c r="GL143" i="1"/>
  <c r="GN143" i="1"/>
  <c r="GP143" i="1"/>
  <c r="GV143" i="1"/>
  <c r="GX143" i="1"/>
  <c r="HC143" i="1"/>
  <c r="I144" i="1"/>
  <c r="R144" i="1" s="1"/>
  <c r="K144" i="1"/>
  <c r="AC144" i="1"/>
  <c r="AE144" i="1"/>
  <c r="Q144" i="1" s="1"/>
  <c r="AF144" i="1"/>
  <c r="AG144" i="1"/>
  <c r="CU144" i="1" s="1"/>
  <c r="T144" i="1" s="1"/>
  <c r="AH144" i="1"/>
  <c r="AI144" i="1"/>
  <c r="CW144" i="1" s="1"/>
  <c r="V144" i="1" s="1"/>
  <c r="AJ144" i="1"/>
  <c r="CR144" i="1"/>
  <c r="CT144" i="1"/>
  <c r="CV144" i="1"/>
  <c r="U144" i="1" s="1"/>
  <c r="CX144" i="1"/>
  <c r="W144" i="1" s="1"/>
  <c r="GL144" i="1"/>
  <c r="GN144" i="1"/>
  <c r="GP144" i="1"/>
  <c r="GV144" i="1"/>
  <c r="HC144" i="1"/>
  <c r="GX144" i="1" s="1"/>
  <c r="I145" i="1"/>
  <c r="K145" i="1"/>
  <c r="P145" i="1"/>
  <c r="R145" i="1"/>
  <c r="AC145" i="1"/>
  <c r="AD145" i="1"/>
  <c r="AB145" i="1" s="1"/>
  <c r="AE145" i="1"/>
  <c r="Q145" i="1" s="1"/>
  <c r="AF145" i="1"/>
  <c r="S145" i="1" s="1"/>
  <c r="AG145" i="1"/>
  <c r="AH145" i="1"/>
  <c r="CV145" i="1" s="1"/>
  <c r="U145" i="1" s="1"/>
  <c r="AI145" i="1"/>
  <c r="AJ145" i="1"/>
  <c r="CX145" i="1" s="1"/>
  <c r="W145" i="1" s="1"/>
  <c r="CQ145" i="1"/>
  <c r="CR145" i="1"/>
  <c r="CS145" i="1"/>
  <c r="CU145" i="1"/>
  <c r="T145" i="1" s="1"/>
  <c r="CW145" i="1"/>
  <c r="V145" i="1" s="1"/>
  <c r="GL145" i="1"/>
  <c r="GN145" i="1"/>
  <c r="GP145" i="1"/>
  <c r="GV145" i="1"/>
  <c r="GX145" i="1"/>
  <c r="HC145" i="1"/>
  <c r="I146" i="1"/>
  <c r="R146" i="1" s="1"/>
  <c r="K146" i="1"/>
  <c r="S146" i="1"/>
  <c r="X146" i="1" s="1"/>
  <c r="AC146" i="1"/>
  <c r="P146" i="1" s="1"/>
  <c r="AE146" i="1"/>
  <c r="AD146" i="1" s="1"/>
  <c r="AF146" i="1"/>
  <c r="AG146" i="1"/>
  <c r="CU146" i="1" s="1"/>
  <c r="T146" i="1" s="1"/>
  <c r="AH146" i="1"/>
  <c r="AI146" i="1"/>
  <c r="CW146" i="1" s="1"/>
  <c r="V146" i="1" s="1"/>
  <c r="AJ146" i="1"/>
  <c r="CR146" i="1"/>
  <c r="CT146" i="1"/>
  <c r="CV146" i="1"/>
  <c r="U146" i="1" s="1"/>
  <c r="CX146" i="1"/>
  <c r="W146" i="1" s="1"/>
  <c r="GL146" i="1"/>
  <c r="GN146" i="1"/>
  <c r="GP146" i="1"/>
  <c r="GV146" i="1"/>
  <c r="HC146" i="1" s="1"/>
  <c r="GX146" i="1" s="1"/>
  <c r="I147" i="1"/>
  <c r="K147" i="1"/>
  <c r="P147" i="1"/>
  <c r="R147" i="1"/>
  <c r="AC147" i="1"/>
  <c r="AD147" i="1"/>
  <c r="AE147" i="1"/>
  <c r="Q147" i="1" s="1"/>
  <c r="AF147" i="1"/>
  <c r="AB147" i="1" s="1"/>
  <c r="AG147" i="1"/>
  <c r="AH147" i="1"/>
  <c r="CV147" i="1" s="1"/>
  <c r="U147" i="1" s="1"/>
  <c r="AI147" i="1"/>
  <c r="AJ147" i="1"/>
  <c r="CX147" i="1" s="1"/>
  <c r="W147" i="1" s="1"/>
  <c r="CQ147" i="1"/>
  <c r="CR147" i="1"/>
  <c r="CS147" i="1"/>
  <c r="CU147" i="1"/>
  <c r="T147" i="1" s="1"/>
  <c r="CW147" i="1"/>
  <c r="V147" i="1" s="1"/>
  <c r="GL147" i="1"/>
  <c r="GN147" i="1"/>
  <c r="GP147" i="1"/>
  <c r="GV147" i="1"/>
  <c r="GX147" i="1"/>
  <c r="HC147" i="1"/>
  <c r="I148" i="1"/>
  <c r="R148" i="1" s="1"/>
  <c r="K148" i="1"/>
  <c r="AC148" i="1"/>
  <c r="AE148" i="1"/>
  <c r="Q148" i="1" s="1"/>
  <c r="AF148" i="1"/>
  <c r="AG148" i="1"/>
  <c r="CU148" i="1" s="1"/>
  <c r="T148" i="1" s="1"/>
  <c r="AH148" i="1"/>
  <c r="AI148" i="1"/>
  <c r="CW148" i="1" s="1"/>
  <c r="V148" i="1" s="1"/>
  <c r="AJ148" i="1"/>
  <c r="CR148" i="1"/>
  <c r="CT148" i="1"/>
  <c r="CV148" i="1"/>
  <c r="U148" i="1" s="1"/>
  <c r="CX148" i="1"/>
  <c r="W148" i="1" s="1"/>
  <c r="GL148" i="1"/>
  <c r="GN148" i="1"/>
  <c r="GP148" i="1"/>
  <c r="GV148" i="1"/>
  <c r="HC148" i="1"/>
  <c r="GX148" i="1" s="1"/>
  <c r="I149" i="1"/>
  <c r="K149" i="1"/>
  <c r="P149" i="1"/>
  <c r="R149" i="1"/>
  <c r="AC149" i="1"/>
  <c r="AD149" i="1"/>
  <c r="AB149" i="1" s="1"/>
  <c r="AE149" i="1"/>
  <c r="Q149" i="1" s="1"/>
  <c r="AF149" i="1"/>
  <c r="S149" i="1" s="1"/>
  <c r="AG149" i="1"/>
  <c r="AH149" i="1"/>
  <c r="CV149" i="1" s="1"/>
  <c r="U149" i="1" s="1"/>
  <c r="AI149" i="1"/>
  <c r="AJ149" i="1"/>
  <c r="CX149" i="1" s="1"/>
  <c r="W149" i="1" s="1"/>
  <c r="CQ149" i="1"/>
  <c r="CR149" i="1"/>
  <c r="CS149" i="1"/>
  <c r="CU149" i="1"/>
  <c r="T149" i="1" s="1"/>
  <c r="CW149" i="1"/>
  <c r="V149" i="1" s="1"/>
  <c r="GL149" i="1"/>
  <c r="GN149" i="1"/>
  <c r="GP149" i="1"/>
  <c r="GV149" i="1"/>
  <c r="GX149" i="1"/>
  <c r="HC149" i="1"/>
  <c r="I150" i="1"/>
  <c r="R150" i="1" s="1"/>
  <c r="K150" i="1"/>
  <c r="S150" i="1"/>
  <c r="X150" i="1" s="1"/>
  <c r="AC150" i="1"/>
  <c r="P150" i="1" s="1"/>
  <c r="AE150" i="1"/>
  <c r="AD150" i="1" s="1"/>
  <c r="AF150" i="1"/>
  <c r="AG150" i="1"/>
  <c r="CU150" i="1" s="1"/>
  <c r="T150" i="1" s="1"/>
  <c r="AH150" i="1"/>
  <c r="AI150" i="1"/>
  <c r="CW150" i="1" s="1"/>
  <c r="V150" i="1" s="1"/>
  <c r="AJ150" i="1"/>
  <c r="CR150" i="1"/>
  <c r="CT150" i="1"/>
  <c r="CV150" i="1"/>
  <c r="U150" i="1" s="1"/>
  <c r="CX150" i="1"/>
  <c r="W150" i="1" s="1"/>
  <c r="GL150" i="1"/>
  <c r="GN150" i="1"/>
  <c r="GP150" i="1"/>
  <c r="GV150" i="1"/>
  <c r="HC150" i="1" s="1"/>
  <c r="GX150" i="1" s="1"/>
  <c r="B152" i="1"/>
  <c r="B125" i="1" s="1"/>
  <c r="C152" i="1"/>
  <c r="C125" i="1" s="1"/>
  <c r="D152" i="1"/>
  <c r="D125" i="1" s="1"/>
  <c r="F152" i="1"/>
  <c r="F125" i="1" s="1"/>
  <c r="G152" i="1"/>
  <c r="G125" i="1" s="1"/>
  <c r="BX152" i="1"/>
  <c r="BX125" i="1" s="1"/>
  <c r="BZ152" i="1"/>
  <c r="AQ152" i="1" s="1"/>
  <c r="CB152" i="1"/>
  <c r="CB125" i="1" s="1"/>
  <c r="CD152" i="1"/>
  <c r="AU152" i="1" s="1"/>
  <c r="CK152" i="1"/>
  <c r="CK125" i="1" s="1"/>
  <c r="CL152" i="1"/>
  <c r="CL125" i="1" s="1"/>
  <c r="CM152" i="1"/>
  <c r="CM125" i="1" s="1"/>
  <c r="FP152" i="1"/>
  <c r="FP125" i="1" s="1"/>
  <c r="FR152" i="1"/>
  <c r="FR125" i="1" s="1"/>
  <c r="FT152" i="1"/>
  <c r="FT125" i="1" s="1"/>
  <c r="FV152" i="1"/>
  <c r="FV125" i="1" s="1"/>
  <c r="GC152" i="1"/>
  <c r="GC125" i="1" s="1"/>
  <c r="GD152" i="1"/>
  <c r="GD125" i="1" s="1"/>
  <c r="GE152" i="1"/>
  <c r="GE125" i="1" s="1"/>
  <c r="B182" i="1"/>
  <c r="B22" i="1" s="1"/>
  <c r="C182" i="1"/>
  <c r="C22" i="1" s="1"/>
  <c r="D182" i="1"/>
  <c r="D22" i="1" s="1"/>
  <c r="F182" i="1"/>
  <c r="F22" i="1" s="1"/>
  <c r="G182" i="1"/>
  <c r="G22" i="1" s="1"/>
  <c r="B212" i="1"/>
  <c r="B18" i="1" s="1"/>
  <c r="C212" i="1"/>
  <c r="C18" i="1" s="1"/>
  <c r="D212" i="1"/>
  <c r="D18" i="1" s="1"/>
  <c r="F212" i="1"/>
  <c r="F18" i="1" s="1"/>
  <c r="G212" i="1"/>
  <c r="G18" i="1" s="1"/>
  <c r="F12" i="6"/>
  <c r="G12" i="6"/>
  <c r="H329" i="7" l="1"/>
  <c r="J333" i="7"/>
  <c r="J249" i="7"/>
  <c r="J337" i="7"/>
  <c r="H337" i="7"/>
  <c r="H249" i="7"/>
  <c r="H333" i="7"/>
  <c r="CP139" i="1"/>
  <c r="O139" i="1" s="1"/>
  <c r="FQ125" i="1"/>
  <c r="EH152" i="1"/>
  <c r="GA152" i="1"/>
  <c r="CI152" i="1"/>
  <c r="BY125" i="1"/>
  <c r="AP152" i="1"/>
  <c r="GB152" i="1"/>
  <c r="DY152" i="1"/>
  <c r="CP127" i="1"/>
  <c r="O127" i="1" s="1"/>
  <c r="CP149" i="1"/>
  <c r="O149" i="1" s="1"/>
  <c r="CJ152" i="1"/>
  <c r="EB152" i="1"/>
  <c r="AH152" i="1"/>
  <c r="F162" i="1"/>
  <c r="AQ125" i="1"/>
  <c r="X145" i="1"/>
  <c r="CY145" i="1"/>
  <c r="Y145" i="1"/>
  <c r="CZ145" i="1"/>
  <c r="DZ152" i="1"/>
  <c r="EA152" i="1"/>
  <c r="AI152" i="1"/>
  <c r="X149" i="1"/>
  <c r="CY149" i="1"/>
  <c r="Y149" i="1"/>
  <c r="CZ149" i="1"/>
  <c r="AU125" i="1"/>
  <c r="F171" i="1"/>
  <c r="CP145" i="1"/>
  <c r="O145" i="1" s="1"/>
  <c r="GM145" i="1" s="1"/>
  <c r="GO145" i="1" s="1"/>
  <c r="X139" i="1"/>
  <c r="CY139" i="1"/>
  <c r="Y139" i="1"/>
  <c r="CZ139" i="1"/>
  <c r="X138" i="1"/>
  <c r="CY138" i="1"/>
  <c r="Y138" i="1"/>
  <c r="CZ138" i="1"/>
  <c r="X137" i="1"/>
  <c r="CY137" i="1"/>
  <c r="Y137" i="1"/>
  <c r="CZ137" i="1"/>
  <c r="AG152" i="1"/>
  <c r="AJ152" i="1"/>
  <c r="X127" i="1"/>
  <c r="CY127" i="1"/>
  <c r="Y127" i="1"/>
  <c r="CZ127" i="1"/>
  <c r="EV152" i="1"/>
  <c r="CG152" i="1"/>
  <c r="BB152" i="1"/>
  <c r="CS150" i="1"/>
  <c r="AB150" i="1"/>
  <c r="CT149" i="1"/>
  <c r="CQ148" i="1"/>
  <c r="AD148" i="1"/>
  <c r="AB148" i="1" s="1"/>
  <c r="P148" i="1"/>
  <c r="CS146" i="1"/>
  <c r="AB146" i="1"/>
  <c r="CT145" i="1"/>
  <c r="CQ144" i="1"/>
  <c r="AD144" i="1"/>
  <c r="AB144" i="1" s="1"/>
  <c r="P144" i="1"/>
  <c r="CS142" i="1"/>
  <c r="AB142" i="1"/>
  <c r="CV115" i="3"/>
  <c r="CX115" i="3"/>
  <c r="CX118" i="3"/>
  <c r="CU115" i="3"/>
  <c r="CX116" i="3"/>
  <c r="CX119" i="3"/>
  <c r="CQ140" i="1"/>
  <c r="AD140" i="1"/>
  <c r="AB140" i="1" s="1"/>
  <c r="P140" i="1"/>
  <c r="CT139" i="1"/>
  <c r="CT138" i="1"/>
  <c r="CP138" i="1"/>
  <c r="O138" i="1" s="1"/>
  <c r="GM138" i="1" s="1"/>
  <c r="CT137" i="1"/>
  <c r="CP137" i="1"/>
  <c r="O137" i="1" s="1"/>
  <c r="GM137" i="1" s="1"/>
  <c r="CS136" i="1"/>
  <c r="AB136" i="1"/>
  <c r="R136" i="1"/>
  <c r="CS135" i="1"/>
  <c r="AB135" i="1"/>
  <c r="R135" i="1"/>
  <c r="CS134" i="1"/>
  <c r="AB134" i="1"/>
  <c r="CW70" i="3"/>
  <c r="CU69" i="3"/>
  <c r="CV69" i="3"/>
  <c r="CW71" i="3"/>
  <c r="CW73" i="3"/>
  <c r="CX76" i="3"/>
  <c r="CX80" i="3"/>
  <c r="CX71" i="3"/>
  <c r="CX73" i="3"/>
  <c r="CY132" i="1"/>
  <c r="CQ132" i="1"/>
  <c r="AD132" i="1"/>
  <c r="AB132" i="1" s="1"/>
  <c r="P132" i="1"/>
  <c r="CP132" i="1" s="1"/>
  <c r="O132" i="1" s="1"/>
  <c r="CY131" i="1"/>
  <c r="CQ131" i="1"/>
  <c r="AD131" i="1"/>
  <c r="AB131" i="1" s="1"/>
  <c r="P131" i="1"/>
  <c r="CP131" i="1" s="1"/>
  <c r="O131" i="1" s="1"/>
  <c r="CY130" i="1"/>
  <c r="CQ130" i="1"/>
  <c r="AD130" i="1"/>
  <c r="AB130" i="1" s="1"/>
  <c r="P130" i="1"/>
  <c r="CP130" i="1" s="1"/>
  <c r="O130" i="1" s="1"/>
  <c r="CY129" i="1"/>
  <c r="CQ129" i="1"/>
  <c r="AD129" i="1"/>
  <c r="AB129" i="1" s="1"/>
  <c r="P129" i="1"/>
  <c r="CQ128" i="1"/>
  <c r="AD128" i="1"/>
  <c r="AB128" i="1" s="1"/>
  <c r="P128" i="1"/>
  <c r="CT127" i="1"/>
  <c r="BZ125" i="1"/>
  <c r="AX93" i="1"/>
  <c r="FR91" i="1"/>
  <c r="FV93" i="1"/>
  <c r="FR83" i="1"/>
  <c r="CJ93" i="1"/>
  <c r="X80" i="1"/>
  <c r="Y80" i="1"/>
  <c r="CY80" i="1"/>
  <c r="CZ80" i="1"/>
  <c r="AG93" i="1"/>
  <c r="EU152" i="1"/>
  <c r="EM152" i="1"/>
  <c r="EI152" i="1"/>
  <c r="AS152" i="1"/>
  <c r="AO152" i="1"/>
  <c r="CZ150" i="1"/>
  <c r="Y150" i="1"/>
  <c r="Q150" i="1"/>
  <c r="CP150" i="1" s="1"/>
  <c r="O150" i="1" s="1"/>
  <c r="GM150" i="1" s="1"/>
  <c r="GO150" i="1" s="1"/>
  <c r="S148" i="1"/>
  <c r="CZ146" i="1"/>
  <c r="Y146" i="1"/>
  <c r="Q146" i="1"/>
  <c r="CP146" i="1" s="1"/>
  <c r="O146" i="1" s="1"/>
  <c r="GM146" i="1" s="1"/>
  <c r="GO146" i="1" s="1"/>
  <c r="S144" i="1"/>
  <c r="CZ142" i="1"/>
  <c r="Y142" i="1"/>
  <c r="Q142" i="1"/>
  <c r="CP142" i="1" s="1"/>
  <c r="O142" i="1" s="1"/>
  <c r="GM142" i="1" s="1"/>
  <c r="GO142" i="1" s="1"/>
  <c r="CV123" i="3"/>
  <c r="CX123" i="3"/>
  <c r="CX126" i="3"/>
  <c r="CX130" i="3"/>
  <c r="CU123" i="3"/>
  <c r="CX124" i="3"/>
  <c r="CX127" i="3"/>
  <c r="S140" i="1"/>
  <c r="CZ136" i="1"/>
  <c r="Y136" i="1"/>
  <c r="Q136" i="1"/>
  <c r="CP136" i="1" s="1"/>
  <c r="O136" i="1" s="1"/>
  <c r="GM136" i="1" s="1"/>
  <c r="GO136" i="1" s="1"/>
  <c r="CZ135" i="1"/>
  <c r="Y135" i="1"/>
  <c r="Q135" i="1"/>
  <c r="CP135" i="1" s="1"/>
  <c r="O135" i="1" s="1"/>
  <c r="GM135" i="1" s="1"/>
  <c r="GO135" i="1" s="1"/>
  <c r="CZ134" i="1"/>
  <c r="Y134" i="1"/>
  <c r="Q134" i="1"/>
  <c r="CP134" i="1" s="1"/>
  <c r="O134" i="1" s="1"/>
  <c r="GM134" i="1" s="1"/>
  <c r="GO134" i="1" s="1"/>
  <c r="CU83" i="3"/>
  <c r="CV83" i="3"/>
  <c r="CW85" i="3"/>
  <c r="CX83" i="3"/>
  <c r="CX85" i="3"/>
  <c r="CX87" i="3"/>
  <c r="CW87" i="3"/>
  <c r="CX89" i="3"/>
  <c r="CX93" i="3"/>
  <c r="CX91" i="3"/>
  <c r="CX95" i="3"/>
  <c r="S128" i="1"/>
  <c r="CD125" i="1"/>
  <c r="FR90" i="1"/>
  <c r="X85" i="1"/>
  <c r="CY85" i="1"/>
  <c r="Y85" i="1"/>
  <c r="CZ85" i="1"/>
  <c r="FR82" i="1"/>
  <c r="GB93" i="1"/>
  <c r="AH93" i="1"/>
  <c r="EA93" i="1"/>
  <c r="FY152" i="1"/>
  <c r="ET152" i="1"/>
  <c r="BD152" i="1"/>
  <c r="CY150" i="1"/>
  <c r="CQ150" i="1"/>
  <c r="CS148" i="1"/>
  <c r="CT147" i="1"/>
  <c r="S147" i="1"/>
  <c r="CP147" i="1" s="1"/>
  <c r="O147" i="1" s="1"/>
  <c r="CY146" i="1"/>
  <c r="CQ146" i="1"/>
  <c r="CS144" i="1"/>
  <c r="CT143" i="1"/>
  <c r="S143" i="1"/>
  <c r="CY142" i="1"/>
  <c r="CQ142" i="1"/>
  <c r="CT141" i="1"/>
  <c r="S141" i="1"/>
  <c r="CS140" i="1"/>
  <c r="CU97" i="3"/>
  <c r="CX99" i="3"/>
  <c r="CX103" i="3"/>
  <c r="CX97" i="3"/>
  <c r="CY136" i="1"/>
  <c r="CQ136" i="1"/>
  <c r="CY135" i="1"/>
  <c r="CQ135" i="1"/>
  <c r="CY134" i="1"/>
  <c r="CQ134" i="1"/>
  <c r="CT133" i="1"/>
  <c r="S133" i="1"/>
  <c r="CS132" i="1"/>
  <c r="R132" i="1"/>
  <c r="CS131" i="1"/>
  <c r="R131" i="1"/>
  <c r="CS130" i="1"/>
  <c r="R130" i="1"/>
  <c r="DW152" i="1" s="1"/>
  <c r="CS129" i="1"/>
  <c r="R129" i="1"/>
  <c r="AE152" i="1" s="1"/>
  <c r="CS128" i="1"/>
  <c r="CX64" i="3"/>
  <c r="CU63" i="3"/>
  <c r="EV93" i="1"/>
  <c r="BZ26" i="1"/>
  <c r="AQ93" i="1"/>
  <c r="FR26" i="1"/>
  <c r="FY93" i="1"/>
  <c r="EI93" i="1"/>
  <c r="CP85" i="1"/>
  <c r="O85" i="1" s="1"/>
  <c r="GM85" i="1" s="1"/>
  <c r="GO85" i="1" s="1"/>
  <c r="AI93" i="1"/>
  <c r="DY93" i="1"/>
  <c r="EK152" i="1"/>
  <c r="EG152" i="1"/>
  <c r="BC152" i="1"/>
  <c r="CX106" i="3"/>
  <c r="CX108" i="3"/>
  <c r="CU106" i="3"/>
  <c r="CV106" i="3"/>
  <c r="CW108" i="3"/>
  <c r="CX111" i="3"/>
  <c r="Y132" i="1"/>
  <c r="Y131" i="1"/>
  <c r="Y130" i="1"/>
  <c r="Y129" i="1"/>
  <c r="CU66" i="3"/>
  <c r="CX68" i="3"/>
  <c r="CX66" i="3"/>
  <c r="DZ26" i="1"/>
  <c r="DM93" i="1"/>
  <c r="BB26" i="1"/>
  <c r="F106" i="1"/>
  <c r="AJ26" i="1"/>
  <c r="W93" i="1"/>
  <c r="CD26" i="1"/>
  <c r="AU93" i="1"/>
  <c r="CB26" i="1"/>
  <c r="AS93" i="1"/>
  <c r="EB93" i="1"/>
  <c r="EU93" i="1"/>
  <c r="AO93" i="1"/>
  <c r="CS91" i="1"/>
  <c r="AB91" i="1"/>
  <c r="R91" i="1"/>
  <c r="CS90" i="1"/>
  <c r="AB90" i="1"/>
  <c r="R90" i="1"/>
  <c r="CW58" i="3"/>
  <c r="CX60" i="3"/>
  <c r="CU57" i="3"/>
  <c r="CX58" i="3"/>
  <c r="CV57" i="3"/>
  <c r="CW59" i="3"/>
  <c r="CX62" i="3"/>
  <c r="CQ88" i="1"/>
  <c r="AD88" i="1"/>
  <c r="AB88" i="1" s="1"/>
  <c r="P88" i="1"/>
  <c r="CY87" i="1"/>
  <c r="CQ87" i="1"/>
  <c r="AD87" i="1"/>
  <c r="AB87" i="1" s="1"/>
  <c r="P87" i="1"/>
  <c r="CY86" i="1"/>
  <c r="CQ86" i="1"/>
  <c r="AD86" i="1"/>
  <c r="AB86" i="1" s="1"/>
  <c r="P86" i="1"/>
  <c r="CT85" i="1"/>
  <c r="CY84" i="1"/>
  <c r="CQ84" i="1"/>
  <c r="AD84" i="1"/>
  <c r="AB84" i="1" s="1"/>
  <c r="P84" i="1"/>
  <c r="CP84" i="1" s="1"/>
  <c r="O84" i="1" s="1"/>
  <c r="CS83" i="1"/>
  <c r="AB83" i="1"/>
  <c r="R83" i="1"/>
  <c r="CS82" i="1"/>
  <c r="AB82" i="1"/>
  <c r="R82" i="1"/>
  <c r="CR80" i="1"/>
  <c r="P80" i="1"/>
  <c r="CQ80" i="1"/>
  <c r="Q80" i="1"/>
  <c r="CY79" i="1"/>
  <c r="AB78" i="1"/>
  <c r="X77" i="1"/>
  <c r="CY77" i="1"/>
  <c r="Y77" i="1"/>
  <c r="CZ77" i="1"/>
  <c r="S74" i="1"/>
  <c r="CT74" i="1"/>
  <c r="CZ73" i="1"/>
  <c r="FR71" i="1"/>
  <c r="CP71" i="1"/>
  <c r="O71" i="1" s="1"/>
  <c r="AB70" i="1"/>
  <c r="X69" i="1"/>
  <c r="CY69" i="1"/>
  <c r="Y69" i="1"/>
  <c r="CZ69" i="1"/>
  <c r="Y68" i="1"/>
  <c r="CZ68" i="1"/>
  <c r="X68" i="1"/>
  <c r="S67" i="1"/>
  <c r="CT67" i="1"/>
  <c r="S66" i="1"/>
  <c r="CT66" i="1"/>
  <c r="AB66" i="1"/>
  <c r="X65" i="1"/>
  <c r="CY65" i="1"/>
  <c r="FR63" i="1"/>
  <c r="CP63" i="1"/>
  <c r="O63" i="1" s="1"/>
  <c r="FR59" i="1"/>
  <c r="CP59" i="1"/>
  <c r="O59" i="1" s="1"/>
  <c r="Y57" i="1"/>
  <c r="CZ57" i="1"/>
  <c r="X57" i="1"/>
  <c r="CY57" i="1"/>
  <c r="ET93" i="1"/>
  <c r="BD93" i="1"/>
  <c r="CZ91" i="1"/>
  <c r="Y91" i="1"/>
  <c r="Q91" i="1"/>
  <c r="CP91" i="1" s="1"/>
  <c r="O91" i="1" s="1"/>
  <c r="GM91" i="1" s="1"/>
  <c r="CZ90" i="1"/>
  <c r="Y90" i="1"/>
  <c r="Q90" i="1"/>
  <c r="CP90" i="1" s="1"/>
  <c r="O90" i="1" s="1"/>
  <c r="GM90" i="1" s="1"/>
  <c r="S88" i="1"/>
  <c r="CZ83" i="1"/>
  <c r="Y83" i="1"/>
  <c r="Q83" i="1"/>
  <c r="CP83" i="1" s="1"/>
  <c r="O83" i="1" s="1"/>
  <c r="GM83" i="1" s="1"/>
  <c r="CZ82" i="1"/>
  <c r="Y82" i="1"/>
  <c r="Q82" i="1"/>
  <c r="CP82" i="1" s="1"/>
  <c r="O82" i="1" s="1"/>
  <c r="GM82" i="1" s="1"/>
  <c r="R79" i="1"/>
  <c r="CS79" i="1"/>
  <c r="X79" i="1"/>
  <c r="CP76" i="1"/>
  <c r="O76" i="1" s="1"/>
  <c r="X73" i="1"/>
  <c r="CY73" i="1"/>
  <c r="Y70" i="1"/>
  <c r="CZ70" i="1"/>
  <c r="X70" i="1"/>
  <c r="R65" i="1"/>
  <c r="CS65" i="1"/>
  <c r="AD65" i="1"/>
  <c r="AB65" i="1" s="1"/>
  <c r="Q65" i="1"/>
  <c r="FR58" i="1"/>
  <c r="EK93" i="1"/>
  <c r="EG93" i="1"/>
  <c r="BC93" i="1"/>
  <c r="CY91" i="1"/>
  <c r="CQ91" i="1"/>
  <c r="CY90" i="1"/>
  <c r="CQ90" i="1"/>
  <c r="CT89" i="1"/>
  <c r="S89" i="1"/>
  <c r="CP89" i="1" s="1"/>
  <c r="O89" i="1" s="1"/>
  <c r="CS88" i="1"/>
  <c r="CS87" i="1"/>
  <c r="R87" i="1"/>
  <c r="CS86" i="1"/>
  <c r="R86" i="1"/>
  <c r="CS84" i="1"/>
  <c r="R84" i="1"/>
  <c r="CY83" i="1"/>
  <c r="CQ83" i="1"/>
  <c r="CY82" i="1"/>
  <c r="CQ82" i="1"/>
  <c r="CT81" i="1"/>
  <c r="S81" i="1"/>
  <c r="CP81" i="1" s="1"/>
  <c r="O81" i="1" s="1"/>
  <c r="AD79" i="1"/>
  <c r="Q79" i="1"/>
  <c r="R78" i="1"/>
  <c r="CS78" i="1"/>
  <c r="X78" i="1"/>
  <c r="Q78" i="1"/>
  <c r="CP78" i="1" s="1"/>
  <c r="O78" i="1" s="1"/>
  <c r="GM78" i="1" s="1"/>
  <c r="P77" i="1"/>
  <c r="CP77" i="1" s="1"/>
  <c r="O77" i="1" s="1"/>
  <c r="GM77" i="1" s="1"/>
  <c r="GO77" i="1" s="1"/>
  <c r="CQ77" i="1"/>
  <c r="AB77" i="1"/>
  <c r="FR75" i="1"/>
  <c r="R73" i="1"/>
  <c r="CS73" i="1"/>
  <c r="AD73" i="1"/>
  <c r="AB73" i="1" s="1"/>
  <c r="Q73" i="1"/>
  <c r="S72" i="1"/>
  <c r="CT72" i="1"/>
  <c r="Y71" i="1"/>
  <c r="CZ71" i="1"/>
  <c r="X71" i="1"/>
  <c r="P69" i="1"/>
  <c r="CP69" i="1" s="1"/>
  <c r="O69" i="1" s="1"/>
  <c r="GM69" i="1" s="1"/>
  <c r="GO69" i="1" s="1"/>
  <c r="CQ69" i="1"/>
  <c r="AB69" i="1"/>
  <c r="CP68" i="1"/>
  <c r="O68" i="1" s="1"/>
  <c r="GM68" i="1" s="1"/>
  <c r="GO68" i="1" s="1"/>
  <c r="CP65" i="1"/>
  <c r="O65" i="1" s="1"/>
  <c r="GM65" i="1" s="1"/>
  <c r="GO65" i="1" s="1"/>
  <c r="Y63" i="1"/>
  <c r="CZ63" i="1"/>
  <c r="X63" i="1"/>
  <c r="X62" i="1"/>
  <c r="CY62" i="1"/>
  <c r="Y62" i="1"/>
  <c r="CZ62" i="1"/>
  <c r="GM57" i="1"/>
  <c r="CW53" i="3"/>
  <c r="CX56" i="3"/>
  <c r="CX53" i="3"/>
  <c r="CW52" i="3"/>
  <c r="CX54" i="3"/>
  <c r="CU51" i="3"/>
  <c r="Y87" i="1"/>
  <c r="Y86" i="1"/>
  <c r="Y84" i="1"/>
  <c r="R80" i="1"/>
  <c r="AB79" i="1"/>
  <c r="P79" i="1"/>
  <c r="S75" i="1"/>
  <c r="CT75" i="1"/>
  <c r="CP73" i="1"/>
  <c r="O73" i="1" s="1"/>
  <c r="GM73" i="1" s="1"/>
  <c r="GO73" i="1" s="1"/>
  <c r="FR70" i="1"/>
  <c r="CP70" i="1"/>
  <c r="O70" i="1" s="1"/>
  <c r="GM70" i="1" s="1"/>
  <c r="CP66" i="1"/>
  <c r="O66" i="1" s="1"/>
  <c r="S64" i="1"/>
  <c r="CT64" i="1"/>
  <c r="AB64" i="1"/>
  <c r="Q75" i="1"/>
  <c r="CP75" i="1" s="1"/>
  <c r="O75" i="1" s="1"/>
  <c r="Q74" i="1"/>
  <c r="CP74" i="1" s="1"/>
  <c r="O74" i="1" s="1"/>
  <c r="Q72" i="1"/>
  <c r="CP72" i="1" s="1"/>
  <c r="O72" i="1" s="1"/>
  <c r="R69" i="1"/>
  <c r="Q67" i="1"/>
  <c r="CP67" i="1" s="1"/>
  <c r="O67" i="1" s="1"/>
  <c r="CQ65" i="1"/>
  <c r="CT63" i="1"/>
  <c r="CT62" i="1"/>
  <c r="CP62" i="1"/>
  <c r="O62" i="1" s="1"/>
  <c r="GM62" i="1" s="1"/>
  <c r="R61" i="1"/>
  <c r="CS61" i="1"/>
  <c r="X61" i="1"/>
  <c r="S58" i="1"/>
  <c r="CT57" i="1"/>
  <c r="AB54" i="1"/>
  <c r="Y54" i="1"/>
  <c r="GM54" i="1" s="1"/>
  <c r="GO54" i="1" s="1"/>
  <c r="CZ54" i="1"/>
  <c r="R53" i="1"/>
  <c r="X52" i="1"/>
  <c r="CY52" i="1"/>
  <c r="CZ50" i="1"/>
  <c r="P49" i="1"/>
  <c r="CQ49" i="1"/>
  <c r="AB49" i="1"/>
  <c r="S47" i="1"/>
  <c r="CT47" i="1"/>
  <c r="X46" i="1"/>
  <c r="CY46" i="1"/>
  <c r="Y46" i="1"/>
  <c r="CZ46" i="1"/>
  <c r="FR41" i="1"/>
  <c r="CP41" i="1"/>
  <c r="O41" i="1" s="1"/>
  <c r="FR40" i="1"/>
  <c r="CP40" i="1"/>
  <c r="O40" i="1" s="1"/>
  <c r="CS76" i="1"/>
  <c r="R76" i="1"/>
  <c r="CQ75" i="1"/>
  <c r="CQ74" i="1"/>
  <c r="CT73" i="1"/>
  <c r="CQ72" i="1"/>
  <c r="CS71" i="1"/>
  <c r="R71" i="1"/>
  <c r="CS70" i="1"/>
  <c r="R70" i="1"/>
  <c r="CS68" i="1"/>
  <c r="R68" i="1"/>
  <c r="CQ67" i="1"/>
  <c r="CQ66" i="1"/>
  <c r="CT65" i="1"/>
  <c r="CQ64" i="1"/>
  <c r="CS63" i="1"/>
  <c r="R63" i="1"/>
  <c r="CS62" i="1"/>
  <c r="R62" i="1"/>
  <c r="CQ61" i="1"/>
  <c r="S60" i="1"/>
  <c r="CT60" i="1"/>
  <c r="CQ58" i="1"/>
  <c r="P56" i="1"/>
  <c r="P55" i="1"/>
  <c r="CQ55" i="1"/>
  <c r="S55" i="1"/>
  <c r="S53" i="1"/>
  <c r="CT53" i="1"/>
  <c r="Q53" i="1"/>
  <c r="R52" i="1"/>
  <c r="CS52" i="1"/>
  <c r="AD52" i="1"/>
  <c r="AB52" i="1" s="1"/>
  <c r="Q52" i="1"/>
  <c r="X50" i="1"/>
  <c r="CY50" i="1"/>
  <c r="X48" i="1"/>
  <c r="CY48" i="1"/>
  <c r="Y48" i="1"/>
  <c r="CZ48" i="1"/>
  <c r="X42" i="1"/>
  <c r="CY42" i="1"/>
  <c r="Y42" i="1"/>
  <c r="CZ42" i="1"/>
  <c r="CP38" i="1"/>
  <c r="O38" i="1" s="1"/>
  <c r="Y76" i="1"/>
  <c r="P61" i="1"/>
  <c r="CP61" i="1" s="1"/>
  <c r="O61" i="1" s="1"/>
  <c r="GM61" i="1" s="1"/>
  <c r="GO61" i="1" s="1"/>
  <c r="Y59" i="1"/>
  <c r="CZ59" i="1"/>
  <c r="CT58" i="1"/>
  <c r="CQ56" i="1"/>
  <c r="CP52" i="1"/>
  <c r="O52" i="1" s="1"/>
  <c r="GM52" i="1" s="1"/>
  <c r="R50" i="1"/>
  <c r="AE93" i="1" s="1"/>
  <c r="CS50" i="1"/>
  <c r="AD50" i="1"/>
  <c r="AB50" i="1" s="1"/>
  <c r="Q50" i="1"/>
  <c r="CP50" i="1" s="1"/>
  <c r="O50" i="1" s="1"/>
  <c r="GM50" i="1" s="1"/>
  <c r="GO50" i="1" s="1"/>
  <c r="X49" i="1"/>
  <c r="CY49" i="1"/>
  <c r="Y49" i="1"/>
  <c r="CZ49" i="1"/>
  <c r="P46" i="1"/>
  <c r="CQ46" i="1"/>
  <c r="AB46" i="1"/>
  <c r="X45" i="1"/>
  <c r="CY45" i="1"/>
  <c r="Y45" i="1"/>
  <c r="X44" i="1"/>
  <c r="CY44" i="1"/>
  <c r="Y44" i="1"/>
  <c r="CZ44" i="1"/>
  <c r="X37" i="1"/>
  <c r="CY37" i="1"/>
  <c r="Y37" i="1"/>
  <c r="CZ37" i="1"/>
  <c r="X36" i="1"/>
  <c r="CY36" i="1"/>
  <c r="Y36" i="1"/>
  <c r="CZ36" i="1"/>
  <c r="Y56" i="1"/>
  <c r="CZ56" i="1"/>
  <c r="P48" i="1"/>
  <c r="CQ48" i="1"/>
  <c r="AB48" i="1"/>
  <c r="X39" i="1"/>
  <c r="CY39" i="1"/>
  <c r="Y39" i="1"/>
  <c r="CZ39" i="1"/>
  <c r="Q45" i="1"/>
  <c r="CP45" i="1" s="1"/>
  <c r="O45" i="1" s="1"/>
  <c r="GM45" i="1" s="1"/>
  <c r="Q44" i="1"/>
  <c r="CP44" i="1" s="1"/>
  <c r="O44" i="1" s="1"/>
  <c r="GM44" i="1" s="1"/>
  <c r="Q42" i="1"/>
  <c r="CP42" i="1" s="1"/>
  <c r="O42" i="1" s="1"/>
  <c r="GM42" i="1" s="1"/>
  <c r="GO42" i="1" s="1"/>
  <c r="Q37" i="1"/>
  <c r="CP37" i="1" s="1"/>
  <c r="O37" i="1" s="1"/>
  <c r="GM37" i="1" s="1"/>
  <c r="Q36" i="1"/>
  <c r="CP36" i="1" s="1"/>
  <c r="O36" i="1" s="1"/>
  <c r="GM36" i="1" s="1"/>
  <c r="S34" i="1"/>
  <c r="CT34" i="1"/>
  <c r="AB34" i="1"/>
  <c r="S33" i="1"/>
  <c r="CT33" i="1"/>
  <c r="AB33" i="1"/>
  <c r="S32" i="1"/>
  <c r="CT32" i="1"/>
  <c r="AB32" i="1"/>
  <c r="S31" i="1"/>
  <c r="CT31" i="1"/>
  <c r="AB31" i="1"/>
  <c r="S30" i="1"/>
  <c r="CT30" i="1"/>
  <c r="AB30" i="1"/>
  <c r="Q29" i="1"/>
  <c r="R29" i="1"/>
  <c r="CS29" i="1"/>
  <c r="AD29" i="1"/>
  <c r="AB29" i="1" s="1"/>
  <c r="Q55" i="1"/>
  <c r="Q47" i="1"/>
  <c r="CP47" i="1" s="1"/>
  <c r="O47" i="1" s="1"/>
  <c r="AD45" i="1"/>
  <c r="AB45" i="1" s="1"/>
  <c r="AD44" i="1"/>
  <c r="AB44" i="1" s="1"/>
  <c r="AD42" i="1"/>
  <c r="AB42" i="1" s="1"/>
  <c r="AB41" i="1"/>
  <c r="AB40" i="1"/>
  <c r="Q39" i="1"/>
  <c r="CP39" i="1" s="1"/>
  <c r="O39" i="1" s="1"/>
  <c r="GM39" i="1" s="1"/>
  <c r="GO39" i="1" s="1"/>
  <c r="AB38" i="1"/>
  <c r="AD37" i="1"/>
  <c r="AB37" i="1" s="1"/>
  <c r="AD36" i="1"/>
  <c r="AB36" i="1" s="1"/>
  <c r="CP34" i="1"/>
  <c r="O34" i="1" s="1"/>
  <c r="CT52" i="1"/>
  <c r="CS51" i="1"/>
  <c r="R51" i="1"/>
  <c r="CT50" i="1"/>
  <c r="CQ47" i="1"/>
  <c r="CT45" i="1"/>
  <c r="CT44" i="1"/>
  <c r="CS43" i="1"/>
  <c r="R43" i="1"/>
  <c r="CT42" i="1"/>
  <c r="CZ41" i="1"/>
  <c r="Y41" i="1"/>
  <c r="CZ40" i="1"/>
  <c r="Y40" i="1"/>
  <c r="CQ39" i="1"/>
  <c r="CZ38" i="1"/>
  <c r="Y38" i="1"/>
  <c r="CT37" i="1"/>
  <c r="CT36" i="1"/>
  <c r="AD35" i="1"/>
  <c r="R35" i="1"/>
  <c r="CS35" i="1"/>
  <c r="CZ29" i="1"/>
  <c r="CR29" i="1"/>
  <c r="Y29" i="1"/>
  <c r="Y51" i="1"/>
  <c r="GM51" i="1" s="1"/>
  <c r="GO51" i="1" s="1"/>
  <c r="CS45" i="1"/>
  <c r="CS44" i="1"/>
  <c r="Y43" i="1"/>
  <c r="GM43" i="1" s="1"/>
  <c r="GO43" i="1" s="1"/>
  <c r="CS42" i="1"/>
  <c r="CY41" i="1"/>
  <c r="CQ41" i="1"/>
  <c r="CY40" i="1"/>
  <c r="CQ40" i="1"/>
  <c r="CT39" i="1"/>
  <c r="CY38" i="1"/>
  <c r="CQ38" i="1"/>
  <c r="CS37" i="1"/>
  <c r="CS36" i="1"/>
  <c r="P35" i="1"/>
  <c r="CP35" i="1" s="1"/>
  <c r="O35" i="1" s="1"/>
  <c r="CQ35" i="1"/>
  <c r="AB35" i="1"/>
  <c r="X35" i="1"/>
  <c r="CY35" i="1"/>
  <c r="CP33" i="1"/>
  <c r="O33" i="1" s="1"/>
  <c r="CP32" i="1"/>
  <c r="O32" i="1" s="1"/>
  <c r="CP31" i="1"/>
  <c r="O31" i="1" s="1"/>
  <c r="CP30" i="1"/>
  <c r="O30" i="1" s="1"/>
  <c r="X29" i="1"/>
  <c r="CY29" i="1"/>
  <c r="CQ29" i="1"/>
  <c r="P29" i="1"/>
  <c r="CX128" i="3"/>
  <c r="CW125" i="3"/>
  <c r="CX125" i="3"/>
  <c r="CW99" i="3"/>
  <c r="CW98" i="3"/>
  <c r="CX98" i="3"/>
  <c r="CX88" i="3"/>
  <c r="CW124" i="3"/>
  <c r="CX122" i="3"/>
  <c r="CX121" i="3"/>
  <c r="CX120" i="3"/>
  <c r="CW117" i="3"/>
  <c r="CX117" i="3"/>
  <c r="CV97" i="3"/>
  <c r="CX96" i="3"/>
  <c r="CX94" i="3"/>
  <c r="CX92" i="3"/>
  <c r="CX90" i="3"/>
  <c r="CT28" i="1"/>
  <c r="S28" i="1"/>
  <c r="CP28" i="1" s="1"/>
  <c r="O28" i="1" s="1"/>
  <c r="CW116" i="3"/>
  <c r="CX114" i="3"/>
  <c r="CX113" i="3"/>
  <c r="CX112" i="3"/>
  <c r="CX110" i="3"/>
  <c r="CX109" i="3"/>
  <c r="CW107" i="3"/>
  <c r="CX129" i="3"/>
  <c r="CX105" i="3"/>
  <c r="CX104" i="3"/>
  <c r="CX102" i="3"/>
  <c r="CX101" i="3"/>
  <c r="CX100" i="3"/>
  <c r="CX107" i="3"/>
  <c r="CX77" i="3"/>
  <c r="CW72" i="3"/>
  <c r="CX69" i="3"/>
  <c r="CV66" i="3"/>
  <c r="CX57" i="3"/>
  <c r="CX55" i="3"/>
  <c r="CX52" i="3"/>
  <c r="CW86" i="3"/>
  <c r="CX78" i="3"/>
  <c r="CX75" i="3"/>
  <c r="CX70" i="3"/>
  <c r="CX67" i="3"/>
  <c r="CV63" i="3"/>
  <c r="CW84" i="3"/>
  <c r="CX81" i="3"/>
  <c r="CX82" i="3"/>
  <c r="CX79" i="3"/>
  <c r="CX74" i="3"/>
  <c r="CX65" i="3"/>
  <c r="CX61" i="3"/>
  <c r="CX59" i="3"/>
  <c r="CV51" i="3"/>
  <c r="DI50" i="3"/>
  <c r="DI48" i="3"/>
  <c r="DG18" i="3"/>
  <c r="DH18" i="3"/>
  <c r="DI18" i="3"/>
  <c r="DF18" i="3"/>
  <c r="DJ18" i="3" s="1"/>
  <c r="DG12" i="3"/>
  <c r="DH12" i="3"/>
  <c r="DI12" i="3"/>
  <c r="DF12" i="3"/>
  <c r="DJ12" i="3" s="1"/>
  <c r="DF5" i="3"/>
  <c r="DJ5" i="3" s="1"/>
  <c r="DG5" i="3"/>
  <c r="DH5" i="3"/>
  <c r="DI5" i="3"/>
  <c r="CV45" i="3"/>
  <c r="CX45" i="3"/>
  <c r="DI43" i="3"/>
  <c r="DJ43" i="3" s="1"/>
  <c r="DF43" i="3"/>
  <c r="DH34" i="3"/>
  <c r="DI34" i="3"/>
  <c r="DF34" i="3"/>
  <c r="DJ34" i="3" s="1"/>
  <c r="DI33" i="3"/>
  <c r="DF33" i="3"/>
  <c r="DJ33" i="3" s="1"/>
  <c r="DG33" i="3"/>
  <c r="DG28" i="3"/>
  <c r="DH28" i="3"/>
  <c r="DI28" i="3"/>
  <c r="DF28" i="3"/>
  <c r="DJ28" i="3" s="1"/>
  <c r="DG10" i="3"/>
  <c r="DH10" i="3"/>
  <c r="DI10" i="3"/>
  <c r="DF10" i="3"/>
  <c r="DJ10" i="3" s="1"/>
  <c r="CX86" i="3"/>
  <c r="CX84" i="3"/>
  <c r="CX72" i="3"/>
  <c r="CX63" i="3"/>
  <c r="CX51" i="3"/>
  <c r="DG50" i="3"/>
  <c r="CX49" i="3"/>
  <c r="DG48" i="3"/>
  <c r="CX47" i="3"/>
  <c r="DF44" i="3"/>
  <c r="DG44" i="3"/>
  <c r="DH43" i="3"/>
  <c r="CV40" i="3"/>
  <c r="CX40" i="3"/>
  <c r="DI39" i="3"/>
  <c r="DJ39" i="3" s="1"/>
  <c r="DF39" i="3"/>
  <c r="DG39" i="3"/>
  <c r="DF13" i="3"/>
  <c r="DJ13" i="3" s="1"/>
  <c r="DG13" i="3"/>
  <c r="DH13" i="3"/>
  <c r="DI13" i="3"/>
  <c r="DF7" i="3"/>
  <c r="DJ7" i="3" s="1"/>
  <c r="DG7" i="3"/>
  <c r="DH7" i="3"/>
  <c r="DI7" i="3"/>
  <c r="DG4" i="3"/>
  <c r="DH4" i="3"/>
  <c r="DI4" i="3"/>
  <c r="DF4" i="3"/>
  <c r="DJ4" i="3" s="1"/>
  <c r="DG43" i="3"/>
  <c r="CV36" i="3"/>
  <c r="CX36" i="3"/>
  <c r="DI35" i="3"/>
  <c r="DJ35" i="3" s="1"/>
  <c r="DF35" i="3"/>
  <c r="DG35" i="3"/>
  <c r="DH33" i="3"/>
  <c r="DG29" i="3"/>
  <c r="DH29" i="3"/>
  <c r="DI29" i="3"/>
  <c r="DG27" i="3"/>
  <c r="CX24" i="3"/>
  <c r="DG23" i="3"/>
  <c r="CX20" i="3"/>
  <c r="DG19" i="3"/>
  <c r="DG17" i="3"/>
  <c r="DG11" i="3"/>
  <c r="DG9" i="3"/>
  <c r="DG3" i="3"/>
  <c r="CX41" i="3"/>
  <c r="CX37" i="3"/>
  <c r="DG32" i="3"/>
  <c r="CX31" i="3"/>
  <c r="DG30" i="3"/>
  <c r="DF27" i="3"/>
  <c r="CX25" i="3"/>
  <c r="DF23" i="3"/>
  <c r="CX21" i="3"/>
  <c r="DF19" i="3"/>
  <c r="DF17" i="3"/>
  <c r="DJ17" i="3" s="1"/>
  <c r="DG16" i="3"/>
  <c r="CX15" i="3"/>
  <c r="DG14" i="3"/>
  <c r="DF11" i="3"/>
  <c r="DF9" i="3"/>
  <c r="DJ9" i="3" s="1"/>
  <c r="DG8" i="3"/>
  <c r="DF3" i="3"/>
  <c r="DJ3" i="3" s="1"/>
  <c r="DG2" i="3"/>
  <c r="CX1" i="3"/>
  <c r="DW125" i="1" l="1"/>
  <c r="DJ152" i="1"/>
  <c r="DI24" i="3"/>
  <c r="DJ24" i="3" s="1"/>
  <c r="DF24" i="3"/>
  <c r="DG24" i="3"/>
  <c r="DH24" i="3"/>
  <c r="DG37" i="3"/>
  <c r="DH37" i="3"/>
  <c r="DI37" i="3"/>
  <c r="DJ37" i="3" s="1"/>
  <c r="DF37" i="3"/>
  <c r="DF40" i="3"/>
  <c r="DG40" i="3"/>
  <c r="DH40" i="3"/>
  <c r="DI40" i="3"/>
  <c r="DJ40" i="3" s="1"/>
  <c r="DG84" i="3"/>
  <c r="DJ84" i="3" s="1"/>
  <c r="DH84" i="3"/>
  <c r="DI84" i="3"/>
  <c r="DF84" i="3"/>
  <c r="DG61" i="3"/>
  <c r="DH61" i="3"/>
  <c r="DI61" i="3"/>
  <c r="DF61" i="3"/>
  <c r="DJ61" i="3" s="1"/>
  <c r="DH82" i="3"/>
  <c r="DI82" i="3"/>
  <c r="DF82" i="3"/>
  <c r="DJ82" i="3" s="1"/>
  <c r="DG82" i="3"/>
  <c r="DI67" i="3"/>
  <c r="DF67" i="3"/>
  <c r="DJ67" i="3" s="1"/>
  <c r="DG67" i="3"/>
  <c r="DH67" i="3"/>
  <c r="DF107" i="3"/>
  <c r="DG107" i="3"/>
  <c r="DJ107" i="3" s="1"/>
  <c r="DH107" i="3"/>
  <c r="DI107" i="3"/>
  <c r="DH104" i="3"/>
  <c r="DI104" i="3"/>
  <c r="DF104" i="3"/>
  <c r="DJ104" i="3" s="1"/>
  <c r="DG104" i="3"/>
  <c r="DG109" i="3"/>
  <c r="DH109" i="3"/>
  <c r="DI109" i="3"/>
  <c r="DF109" i="3"/>
  <c r="DJ109" i="3" s="1"/>
  <c r="DF114" i="3"/>
  <c r="DJ114" i="3" s="1"/>
  <c r="DG114" i="3"/>
  <c r="DH114" i="3"/>
  <c r="DI114" i="3"/>
  <c r="DF90" i="3"/>
  <c r="DJ90" i="3" s="1"/>
  <c r="DG90" i="3"/>
  <c r="DH90" i="3"/>
  <c r="DI90" i="3"/>
  <c r="DG121" i="3"/>
  <c r="DH121" i="3"/>
  <c r="DI121" i="3"/>
  <c r="DF121" i="3"/>
  <c r="DJ121" i="3" s="1"/>
  <c r="DG98" i="3"/>
  <c r="DJ98" i="3" s="1"/>
  <c r="DH98" i="3"/>
  <c r="DI98" i="3"/>
  <c r="DF98" i="3"/>
  <c r="X32" i="1"/>
  <c r="CY32" i="1"/>
  <c r="Y32" i="1"/>
  <c r="CZ32" i="1"/>
  <c r="CP46" i="1"/>
  <c r="O46" i="1" s="1"/>
  <c r="GM46" i="1" s="1"/>
  <c r="GO46" i="1" s="1"/>
  <c r="AC93" i="1"/>
  <c r="GM38" i="1"/>
  <c r="GO38" i="1" s="1"/>
  <c r="CP55" i="1"/>
  <c r="O55" i="1" s="1"/>
  <c r="FR49" i="1"/>
  <c r="CP49" i="1"/>
  <c r="O49" i="1" s="1"/>
  <c r="GM49" i="1" s="1"/>
  <c r="X64" i="1"/>
  <c r="CY64" i="1"/>
  <c r="Y64" i="1"/>
  <c r="CZ64" i="1"/>
  <c r="DG53" i="3"/>
  <c r="DJ53" i="3" s="1"/>
  <c r="DH53" i="3"/>
  <c r="DI53" i="3"/>
  <c r="DF53" i="3"/>
  <c r="GM76" i="1"/>
  <c r="GO76" i="1" s="1"/>
  <c r="GM59" i="1"/>
  <c r="X66" i="1"/>
  <c r="CY66" i="1"/>
  <c r="Y66" i="1"/>
  <c r="CZ66" i="1"/>
  <c r="X74" i="1"/>
  <c r="GM74" i="1" s="1"/>
  <c r="CY74" i="1"/>
  <c r="Y74" i="1"/>
  <c r="CZ74" i="1"/>
  <c r="EU26" i="1"/>
  <c r="P109" i="1"/>
  <c r="EU182" i="1"/>
  <c r="AU26" i="1"/>
  <c r="F112" i="1"/>
  <c r="AU182" i="1"/>
  <c r="DF66" i="3"/>
  <c r="DG66" i="3"/>
  <c r="DH66" i="3"/>
  <c r="DI66" i="3"/>
  <c r="DJ66" i="3" s="1"/>
  <c r="DH106" i="3"/>
  <c r="DI106" i="3"/>
  <c r="DJ106" i="3" s="1"/>
  <c r="DF106" i="3"/>
  <c r="DG106" i="3"/>
  <c r="DY26" i="1"/>
  <c r="DL93" i="1"/>
  <c r="FY26" i="1"/>
  <c r="EP93" i="1"/>
  <c r="EV26" i="1"/>
  <c r="P118" i="1"/>
  <c r="EV182" i="1"/>
  <c r="AE125" i="1"/>
  <c r="R152" i="1"/>
  <c r="X133" i="1"/>
  <c r="CY133" i="1"/>
  <c r="Y133" i="1"/>
  <c r="CZ133" i="1"/>
  <c r="DI97" i="3"/>
  <c r="DJ97" i="3" s="1"/>
  <c r="DF97" i="3"/>
  <c r="DG97" i="3"/>
  <c r="DH97" i="3"/>
  <c r="ET125" i="1"/>
  <c r="P165" i="1"/>
  <c r="GB26" i="1"/>
  <c r="ES93" i="1"/>
  <c r="DI91" i="3"/>
  <c r="DF91" i="3"/>
  <c r="DJ91" i="3" s="1"/>
  <c r="DG91" i="3"/>
  <c r="DH91" i="3"/>
  <c r="DF87" i="3"/>
  <c r="DG87" i="3"/>
  <c r="DJ87" i="3" s="1"/>
  <c r="DH87" i="3"/>
  <c r="DI87" i="3"/>
  <c r="DI127" i="3"/>
  <c r="DF127" i="3"/>
  <c r="DJ127" i="3" s="1"/>
  <c r="DG127" i="3"/>
  <c r="DH127" i="3"/>
  <c r="DF126" i="3"/>
  <c r="DJ126" i="3" s="1"/>
  <c r="DG126" i="3"/>
  <c r="DH126" i="3"/>
  <c r="DI126" i="3"/>
  <c r="P162" i="1"/>
  <c r="EI125" i="1"/>
  <c r="CJ26" i="1"/>
  <c r="BA93" i="1"/>
  <c r="AX26" i="1"/>
  <c r="F100" i="1"/>
  <c r="DF80" i="3"/>
  <c r="DJ80" i="3" s="1"/>
  <c r="DG80" i="3"/>
  <c r="DH80" i="3"/>
  <c r="DI80" i="3"/>
  <c r="CP140" i="1"/>
  <c r="O140" i="1" s="1"/>
  <c r="DI116" i="3"/>
  <c r="DF116" i="3"/>
  <c r="DG116" i="3"/>
  <c r="DJ116" i="3" s="1"/>
  <c r="DH116" i="3"/>
  <c r="CG125" i="1"/>
  <c r="AX152" i="1"/>
  <c r="AG125" i="1"/>
  <c r="T152" i="1"/>
  <c r="AI125" i="1"/>
  <c r="V152" i="1"/>
  <c r="DY125" i="1"/>
  <c r="DL152" i="1"/>
  <c r="AP125" i="1"/>
  <c r="F161" i="1"/>
  <c r="EH125" i="1"/>
  <c r="P161" i="1"/>
  <c r="DF15" i="3"/>
  <c r="DG15" i="3"/>
  <c r="DH15" i="3"/>
  <c r="DI15" i="3"/>
  <c r="DJ15" i="3" s="1"/>
  <c r="DG47" i="3"/>
  <c r="DH47" i="3"/>
  <c r="DI47" i="3"/>
  <c r="DJ47" i="3" s="1"/>
  <c r="DF47" i="3"/>
  <c r="DG51" i="3"/>
  <c r="DH51" i="3"/>
  <c r="DI51" i="3"/>
  <c r="DJ51" i="3" s="1"/>
  <c r="DF51" i="3"/>
  <c r="DG86" i="3"/>
  <c r="DJ86" i="3" s="1"/>
  <c r="DH86" i="3"/>
  <c r="DF86" i="3"/>
  <c r="DI86" i="3"/>
  <c r="DI65" i="3"/>
  <c r="DF65" i="3"/>
  <c r="DJ65" i="3" s="1"/>
  <c r="DG65" i="3"/>
  <c r="DH65" i="3"/>
  <c r="DI81" i="3"/>
  <c r="DF81" i="3"/>
  <c r="DJ81" i="3" s="1"/>
  <c r="DG81" i="3"/>
  <c r="DH81" i="3"/>
  <c r="DG70" i="3"/>
  <c r="DJ70" i="3" s="1"/>
  <c r="DH70" i="3"/>
  <c r="DI70" i="3"/>
  <c r="DF70" i="3"/>
  <c r="DI52" i="3"/>
  <c r="DF52" i="3"/>
  <c r="DG52" i="3"/>
  <c r="DJ52" i="3" s="1"/>
  <c r="DH52" i="3"/>
  <c r="DI69" i="3"/>
  <c r="DJ69" i="3" s="1"/>
  <c r="DF69" i="3"/>
  <c r="DG69" i="3"/>
  <c r="DH69" i="3"/>
  <c r="DH100" i="3"/>
  <c r="DI100" i="3"/>
  <c r="DF100" i="3"/>
  <c r="DJ100" i="3" s="1"/>
  <c r="DG100" i="3"/>
  <c r="DG105" i="3"/>
  <c r="DH105" i="3"/>
  <c r="DI105" i="3"/>
  <c r="DF105" i="3"/>
  <c r="DJ105" i="3" s="1"/>
  <c r="DF110" i="3"/>
  <c r="DJ110" i="3" s="1"/>
  <c r="DG110" i="3"/>
  <c r="DH110" i="3"/>
  <c r="DI110" i="3"/>
  <c r="DH92" i="3"/>
  <c r="DI92" i="3"/>
  <c r="DF92" i="3"/>
  <c r="DJ92" i="3" s="1"/>
  <c r="DG92" i="3"/>
  <c r="DG117" i="3"/>
  <c r="DJ117" i="3" s="1"/>
  <c r="DH117" i="3"/>
  <c r="DI117" i="3"/>
  <c r="DF117" i="3"/>
  <c r="DF122" i="3"/>
  <c r="DJ122" i="3" s="1"/>
  <c r="DG122" i="3"/>
  <c r="DH122" i="3"/>
  <c r="DI122" i="3"/>
  <c r="DI128" i="3"/>
  <c r="DF128" i="3"/>
  <c r="DJ128" i="3" s="1"/>
  <c r="DG128" i="3"/>
  <c r="DH128" i="3"/>
  <c r="GM32" i="1"/>
  <c r="X31" i="1"/>
  <c r="GM31" i="1" s="1"/>
  <c r="CY31" i="1"/>
  <c r="Y31" i="1"/>
  <c r="CZ31" i="1"/>
  <c r="DX93" i="1"/>
  <c r="AE26" i="1"/>
  <c r="R93" i="1"/>
  <c r="X53" i="1"/>
  <c r="CY53" i="1"/>
  <c r="CZ53" i="1"/>
  <c r="Y53" i="1"/>
  <c r="FR56" i="1"/>
  <c r="CP56" i="1"/>
  <c r="O56" i="1" s="1"/>
  <c r="GM56" i="1" s="1"/>
  <c r="X60" i="1"/>
  <c r="Y60" i="1"/>
  <c r="CY60" i="1"/>
  <c r="CZ60" i="1"/>
  <c r="GM41" i="1"/>
  <c r="X47" i="1"/>
  <c r="GM47" i="1" s="1"/>
  <c r="GO47" i="1" s="1"/>
  <c r="CY47" i="1"/>
  <c r="Y47" i="1"/>
  <c r="CZ47" i="1"/>
  <c r="Y58" i="1"/>
  <c r="CZ58" i="1"/>
  <c r="CY58" i="1"/>
  <c r="X58" i="1"/>
  <c r="GM66" i="1"/>
  <c r="DH56" i="3"/>
  <c r="DI56" i="3"/>
  <c r="DF56" i="3"/>
  <c r="DJ56" i="3" s="1"/>
  <c r="DG56" i="3"/>
  <c r="BC26" i="1"/>
  <c r="F109" i="1"/>
  <c r="BC182" i="1"/>
  <c r="CP58" i="1"/>
  <c r="O58" i="1" s="1"/>
  <c r="GM58" i="1" s="1"/>
  <c r="BD26" i="1"/>
  <c r="F118" i="1"/>
  <c r="BD182" i="1"/>
  <c r="DG58" i="3"/>
  <c r="DJ58" i="3" s="1"/>
  <c r="DH58" i="3"/>
  <c r="DI58" i="3"/>
  <c r="DF58" i="3"/>
  <c r="EB26" i="1"/>
  <c r="DO93" i="1"/>
  <c r="DH68" i="3"/>
  <c r="DI68" i="3"/>
  <c r="DF68" i="3"/>
  <c r="DJ68" i="3" s="1"/>
  <c r="DG68" i="3"/>
  <c r="F168" i="1"/>
  <c r="BC125" i="1"/>
  <c r="AI26" i="1"/>
  <c r="V93" i="1"/>
  <c r="DI103" i="3"/>
  <c r="DF103" i="3"/>
  <c r="DJ103" i="3" s="1"/>
  <c r="DG103" i="3"/>
  <c r="DH103" i="3"/>
  <c r="X141" i="1"/>
  <c r="CY141" i="1"/>
  <c r="Y141" i="1"/>
  <c r="AL152" i="1" s="1"/>
  <c r="CZ141" i="1"/>
  <c r="X143" i="1"/>
  <c r="CY143" i="1"/>
  <c r="Y143" i="1"/>
  <c r="CZ143" i="1"/>
  <c r="FY125" i="1"/>
  <c r="EP152" i="1"/>
  <c r="DG93" i="3"/>
  <c r="DH93" i="3"/>
  <c r="DI93" i="3"/>
  <c r="DF93" i="3"/>
  <c r="DJ93" i="3" s="1"/>
  <c r="DI85" i="3"/>
  <c r="DF85" i="3"/>
  <c r="DG85" i="3"/>
  <c r="DJ85" i="3" s="1"/>
  <c r="DH85" i="3"/>
  <c r="DI124" i="3"/>
  <c r="DF124" i="3"/>
  <c r="DG124" i="3"/>
  <c r="DJ124" i="3" s="1"/>
  <c r="DH124" i="3"/>
  <c r="DG123" i="3"/>
  <c r="DH123" i="3"/>
  <c r="DI123" i="3"/>
  <c r="DJ123" i="3" s="1"/>
  <c r="DF123" i="3"/>
  <c r="EM125" i="1"/>
  <c r="P171" i="1"/>
  <c r="FV26" i="1"/>
  <c r="EM93" i="1"/>
  <c r="DF76" i="3"/>
  <c r="DJ76" i="3" s="1"/>
  <c r="DG76" i="3"/>
  <c r="DH76" i="3"/>
  <c r="DI76" i="3"/>
  <c r="CP148" i="1"/>
  <c r="O148" i="1" s="1"/>
  <c r="EV125" i="1"/>
  <c r="P177" i="1"/>
  <c r="DV152" i="1"/>
  <c r="AH125" i="1"/>
  <c r="U152" i="1"/>
  <c r="CJ125" i="1"/>
  <c r="BA152" i="1"/>
  <c r="GM149" i="1"/>
  <c r="GO149" i="1" s="1"/>
  <c r="GB125" i="1"/>
  <c r="ES152" i="1"/>
  <c r="DG41" i="3"/>
  <c r="DH41" i="3"/>
  <c r="DI41" i="3"/>
  <c r="DJ41" i="3" s="1"/>
  <c r="DF41" i="3"/>
  <c r="DF36" i="3"/>
  <c r="DG36" i="3"/>
  <c r="DH36" i="3"/>
  <c r="DI36" i="3"/>
  <c r="DJ36" i="3" s="1"/>
  <c r="DG75" i="3"/>
  <c r="DH75" i="3"/>
  <c r="DI75" i="3"/>
  <c r="DF75" i="3"/>
  <c r="DJ75" i="3" s="1"/>
  <c r="DI55" i="3"/>
  <c r="DF55" i="3"/>
  <c r="DJ55" i="3" s="1"/>
  <c r="DG55" i="3"/>
  <c r="DH55" i="3"/>
  <c r="DG101" i="3"/>
  <c r="DH101" i="3"/>
  <c r="DI101" i="3"/>
  <c r="DF101" i="3"/>
  <c r="DJ101" i="3" s="1"/>
  <c r="DH129" i="3"/>
  <c r="DI129" i="3"/>
  <c r="DF129" i="3"/>
  <c r="DJ129" i="3" s="1"/>
  <c r="DG129" i="3"/>
  <c r="DH112" i="3"/>
  <c r="DI112" i="3"/>
  <c r="DF112" i="3"/>
  <c r="DJ112" i="3" s="1"/>
  <c r="DG112" i="3"/>
  <c r="X28" i="1"/>
  <c r="CY28" i="1"/>
  <c r="Y28" i="1"/>
  <c r="CZ28" i="1"/>
  <c r="AF93" i="1"/>
  <c r="DF94" i="3"/>
  <c r="DJ94" i="3" s="1"/>
  <c r="DG94" i="3"/>
  <c r="DH94" i="3"/>
  <c r="DI94" i="3"/>
  <c r="CP29" i="1"/>
  <c r="O29" i="1" s="1"/>
  <c r="DU93" i="1"/>
  <c r="DW93" i="1"/>
  <c r="X30" i="1"/>
  <c r="CY30" i="1"/>
  <c r="Y30" i="1"/>
  <c r="CZ30" i="1"/>
  <c r="Y34" i="1"/>
  <c r="CZ34" i="1"/>
  <c r="CY34" i="1"/>
  <c r="X34" i="1"/>
  <c r="GM34" i="1" s="1"/>
  <c r="GO34" i="1" s="1"/>
  <c r="FR48" i="1"/>
  <c r="BY93" i="1" s="1"/>
  <c r="CP48" i="1"/>
  <c r="O48" i="1" s="1"/>
  <c r="GM48" i="1" s="1"/>
  <c r="X55" i="1"/>
  <c r="CY55" i="1"/>
  <c r="Y55" i="1"/>
  <c r="CZ55" i="1"/>
  <c r="X75" i="1"/>
  <c r="GM75" i="1" s="1"/>
  <c r="CY75" i="1"/>
  <c r="Y75" i="1"/>
  <c r="CZ75" i="1"/>
  <c r="DF54" i="3"/>
  <c r="DJ54" i="3" s="1"/>
  <c r="DG54" i="3"/>
  <c r="DH54" i="3"/>
  <c r="DI54" i="3"/>
  <c r="X72" i="1"/>
  <c r="GM72" i="1" s="1"/>
  <c r="GO72" i="1" s="1"/>
  <c r="CY72" i="1"/>
  <c r="Y72" i="1"/>
  <c r="CZ72" i="1"/>
  <c r="X81" i="1"/>
  <c r="GM81" i="1" s="1"/>
  <c r="GO81" i="1" s="1"/>
  <c r="CY81" i="1"/>
  <c r="Y81" i="1"/>
  <c r="CZ81" i="1"/>
  <c r="EG26" i="1"/>
  <c r="P97" i="1"/>
  <c r="EG182" i="1"/>
  <c r="Y88" i="1"/>
  <c r="CZ88" i="1"/>
  <c r="X88" i="1"/>
  <c r="CY88" i="1"/>
  <c r="ET26" i="1"/>
  <c r="P106" i="1"/>
  <c r="ET182" i="1"/>
  <c r="GM63" i="1"/>
  <c r="X67" i="1"/>
  <c r="GM67" i="1" s="1"/>
  <c r="CY67" i="1"/>
  <c r="Y67" i="1"/>
  <c r="CZ67" i="1"/>
  <c r="CP80" i="1"/>
  <c r="O80" i="1" s="1"/>
  <c r="GM80" i="1" s="1"/>
  <c r="GO80" i="1" s="1"/>
  <c r="GM84" i="1"/>
  <c r="GO84" i="1" s="1"/>
  <c r="DF62" i="3"/>
  <c r="DJ62" i="3" s="1"/>
  <c r="DG62" i="3"/>
  <c r="DH62" i="3"/>
  <c r="DI62" i="3"/>
  <c r="AS26" i="1"/>
  <c r="F110" i="1"/>
  <c r="AS182" i="1"/>
  <c r="W26" i="1"/>
  <c r="F117" i="1"/>
  <c r="DM26" i="1"/>
  <c r="P115" i="1"/>
  <c r="EG125" i="1"/>
  <c r="P156" i="1"/>
  <c r="AQ26" i="1"/>
  <c r="AQ182" i="1"/>
  <c r="F103" i="1"/>
  <c r="DF64" i="3"/>
  <c r="DJ64" i="3" s="1"/>
  <c r="DG64" i="3"/>
  <c r="DH64" i="3"/>
  <c r="DI64" i="3"/>
  <c r="DI99" i="3"/>
  <c r="DF99" i="3"/>
  <c r="DG99" i="3"/>
  <c r="DJ99" i="3" s="1"/>
  <c r="DH99" i="3"/>
  <c r="X147" i="1"/>
  <c r="GM147" i="1" s="1"/>
  <c r="GO147" i="1" s="1"/>
  <c r="CY147" i="1"/>
  <c r="Y147" i="1"/>
  <c r="CZ147" i="1"/>
  <c r="EA26" i="1"/>
  <c r="DN93" i="1"/>
  <c r="Y128" i="1"/>
  <c r="CZ128" i="1"/>
  <c r="DX152" i="1"/>
  <c r="X128" i="1"/>
  <c r="CY128" i="1"/>
  <c r="DG89" i="3"/>
  <c r="DH89" i="3"/>
  <c r="DI89" i="3"/>
  <c r="DF89" i="3"/>
  <c r="DJ89" i="3" s="1"/>
  <c r="DI83" i="3"/>
  <c r="DJ83" i="3" s="1"/>
  <c r="DF83" i="3"/>
  <c r="DG83" i="3"/>
  <c r="DH83" i="3"/>
  <c r="Y144" i="1"/>
  <c r="CZ144" i="1"/>
  <c r="X144" i="1"/>
  <c r="CY144" i="1"/>
  <c r="Y148" i="1"/>
  <c r="CZ148" i="1"/>
  <c r="X148" i="1"/>
  <c r="CY148" i="1"/>
  <c r="F156" i="1"/>
  <c r="AO125" i="1"/>
  <c r="P168" i="1"/>
  <c r="EU125" i="1"/>
  <c r="AC152" i="1"/>
  <c r="CP129" i="1"/>
  <c r="O129" i="1" s="1"/>
  <c r="GM129" i="1" s="1"/>
  <c r="GO129" i="1" s="1"/>
  <c r="GM130" i="1"/>
  <c r="GO130" i="1" s="1"/>
  <c r="GM131" i="1"/>
  <c r="GO131" i="1" s="1"/>
  <c r="GM132" i="1"/>
  <c r="GO132" i="1" s="1"/>
  <c r="DI73" i="3"/>
  <c r="DF73" i="3"/>
  <c r="DG73" i="3"/>
  <c r="DJ73" i="3" s="1"/>
  <c r="DH73" i="3"/>
  <c r="DF118" i="3"/>
  <c r="DJ118" i="3" s="1"/>
  <c r="DG118" i="3"/>
  <c r="DH118" i="3"/>
  <c r="DI118" i="3"/>
  <c r="AF152" i="1"/>
  <c r="AK152" i="1"/>
  <c r="CP141" i="1"/>
  <c r="O141" i="1" s="1"/>
  <c r="GM141" i="1" s="1"/>
  <c r="GO141" i="1" s="1"/>
  <c r="EA125" i="1"/>
  <c r="DN152" i="1"/>
  <c r="GM127" i="1"/>
  <c r="AZ152" i="1"/>
  <c r="CI125" i="1"/>
  <c r="GM139" i="1"/>
  <c r="GO139" i="1" s="1"/>
  <c r="DF21" i="3"/>
  <c r="DG21" i="3"/>
  <c r="DH21" i="3"/>
  <c r="DI21" i="3"/>
  <c r="DJ21" i="3" s="1"/>
  <c r="DF1" i="3"/>
  <c r="DG1" i="3"/>
  <c r="DH1" i="3"/>
  <c r="DI1" i="3"/>
  <c r="DJ1" i="3" s="1"/>
  <c r="DG31" i="3"/>
  <c r="DH31" i="3"/>
  <c r="DI31" i="3"/>
  <c r="DJ31" i="3" s="1"/>
  <c r="DF31" i="3"/>
  <c r="DG63" i="3"/>
  <c r="DH63" i="3"/>
  <c r="DI63" i="3"/>
  <c r="DJ63" i="3" s="1"/>
  <c r="DF63" i="3"/>
  <c r="DG45" i="3"/>
  <c r="DH45" i="3"/>
  <c r="DF45" i="3"/>
  <c r="DI45" i="3"/>
  <c r="DJ45" i="3" s="1"/>
  <c r="DH74" i="3"/>
  <c r="DI74" i="3"/>
  <c r="DF74" i="3"/>
  <c r="DJ74" i="3" s="1"/>
  <c r="DG74" i="3"/>
  <c r="DF25" i="3"/>
  <c r="DG25" i="3"/>
  <c r="DH25" i="3"/>
  <c r="DI25" i="3"/>
  <c r="DJ25" i="3" s="1"/>
  <c r="DI20" i="3"/>
  <c r="DJ20" i="3" s="1"/>
  <c r="DF20" i="3"/>
  <c r="DG20" i="3"/>
  <c r="DH20" i="3"/>
  <c r="DG49" i="3"/>
  <c r="DH49" i="3"/>
  <c r="DI49" i="3"/>
  <c r="DJ49" i="3" s="1"/>
  <c r="DF49" i="3"/>
  <c r="DG72" i="3"/>
  <c r="DJ72" i="3" s="1"/>
  <c r="DH72" i="3"/>
  <c r="DI72" i="3"/>
  <c r="DF72" i="3"/>
  <c r="DI59" i="3"/>
  <c r="DF59" i="3"/>
  <c r="DG59" i="3"/>
  <c r="DJ59" i="3" s="1"/>
  <c r="DH59" i="3"/>
  <c r="DG79" i="3"/>
  <c r="DH79" i="3"/>
  <c r="DI79" i="3"/>
  <c r="DF79" i="3"/>
  <c r="DJ79" i="3" s="1"/>
  <c r="DH78" i="3"/>
  <c r="DI78" i="3"/>
  <c r="DF78" i="3"/>
  <c r="DJ78" i="3" s="1"/>
  <c r="DG78" i="3"/>
  <c r="DI57" i="3"/>
  <c r="DJ57" i="3" s="1"/>
  <c r="DF57" i="3"/>
  <c r="DG57" i="3"/>
  <c r="DH57" i="3"/>
  <c r="DI77" i="3"/>
  <c r="DF77" i="3"/>
  <c r="DJ77" i="3" s="1"/>
  <c r="DG77" i="3"/>
  <c r="DH77" i="3"/>
  <c r="DF102" i="3"/>
  <c r="DJ102" i="3" s="1"/>
  <c r="DG102" i="3"/>
  <c r="DH102" i="3"/>
  <c r="DI102" i="3"/>
  <c r="DG113" i="3"/>
  <c r="DH113" i="3"/>
  <c r="DI113" i="3"/>
  <c r="DF113" i="3"/>
  <c r="DJ113" i="3" s="1"/>
  <c r="DH96" i="3"/>
  <c r="DI96" i="3"/>
  <c r="DF96" i="3"/>
  <c r="DJ96" i="3" s="1"/>
  <c r="DG96" i="3"/>
  <c r="DH120" i="3"/>
  <c r="DI120" i="3"/>
  <c r="DF120" i="3"/>
  <c r="DJ120" i="3" s="1"/>
  <c r="DG120" i="3"/>
  <c r="DG88" i="3"/>
  <c r="DH88" i="3"/>
  <c r="DI88" i="3"/>
  <c r="DF88" i="3"/>
  <c r="DJ88" i="3" s="1"/>
  <c r="DG125" i="3"/>
  <c r="DJ125" i="3" s="1"/>
  <c r="DH125" i="3"/>
  <c r="DI125" i="3"/>
  <c r="DF125" i="3"/>
  <c r="GM30" i="1"/>
  <c r="GM35" i="1"/>
  <c r="GO35" i="1" s="1"/>
  <c r="DV93" i="1"/>
  <c r="X33" i="1"/>
  <c r="EC93" i="1" s="1"/>
  <c r="CY33" i="1"/>
  <c r="Y33" i="1"/>
  <c r="ED93" i="1" s="1"/>
  <c r="CZ33" i="1"/>
  <c r="AD93" i="1"/>
  <c r="CP53" i="1"/>
  <c r="O53" i="1" s="1"/>
  <c r="GM53" i="1" s="1"/>
  <c r="CP60" i="1"/>
  <c r="O60" i="1" s="1"/>
  <c r="GM60" i="1" s="1"/>
  <c r="GO60" i="1" s="1"/>
  <c r="GM40" i="1"/>
  <c r="FR79" i="1"/>
  <c r="FQ93" i="1" s="1"/>
  <c r="CP79" i="1"/>
  <c r="O79" i="1" s="1"/>
  <c r="GM79" i="1" s="1"/>
  <c r="CP64" i="1"/>
  <c r="O64" i="1" s="1"/>
  <c r="GM64" i="1" s="1"/>
  <c r="GO64" i="1" s="1"/>
  <c r="X89" i="1"/>
  <c r="GM89" i="1" s="1"/>
  <c r="GO89" i="1" s="1"/>
  <c r="CY89" i="1"/>
  <c r="Y89" i="1"/>
  <c r="CZ89" i="1"/>
  <c r="EK26" i="1"/>
  <c r="P110" i="1"/>
  <c r="EK182" i="1"/>
  <c r="GM71" i="1"/>
  <c r="FR86" i="1"/>
  <c r="CP86" i="1"/>
  <c r="O86" i="1" s="1"/>
  <c r="GM86" i="1" s="1"/>
  <c r="FR87" i="1"/>
  <c r="CP87" i="1"/>
  <c r="O87" i="1" s="1"/>
  <c r="GM87" i="1" s="1"/>
  <c r="CP88" i="1"/>
  <c r="O88" i="1" s="1"/>
  <c r="GM88" i="1" s="1"/>
  <c r="GO88" i="1" s="1"/>
  <c r="DH60" i="3"/>
  <c r="DI60" i="3"/>
  <c r="DF60" i="3"/>
  <c r="DJ60" i="3" s="1"/>
  <c r="DG60" i="3"/>
  <c r="AO26" i="1"/>
  <c r="F97" i="1"/>
  <c r="AO182" i="1"/>
  <c r="DI111" i="3"/>
  <c r="DF111" i="3"/>
  <c r="DJ111" i="3" s="1"/>
  <c r="DG111" i="3"/>
  <c r="DH111" i="3"/>
  <c r="DH108" i="3"/>
  <c r="DI108" i="3"/>
  <c r="DF108" i="3"/>
  <c r="DG108" i="3"/>
  <c r="DJ108" i="3" s="1"/>
  <c r="EK125" i="1"/>
  <c r="P169" i="1"/>
  <c r="EI26" i="1"/>
  <c r="P103" i="1"/>
  <c r="EI182" i="1"/>
  <c r="BD125" i="1"/>
  <c r="F177" i="1"/>
  <c r="AH26" i="1"/>
  <c r="U93" i="1"/>
  <c r="DI95" i="3"/>
  <c r="DF95" i="3"/>
  <c r="DJ95" i="3" s="1"/>
  <c r="DG95" i="3"/>
  <c r="DH95" i="3"/>
  <c r="Y140" i="1"/>
  <c r="CZ140" i="1"/>
  <c r="X140" i="1"/>
  <c r="CY140" i="1"/>
  <c r="DG130" i="3"/>
  <c r="DI130" i="3"/>
  <c r="DF130" i="3"/>
  <c r="DJ130" i="3" s="1"/>
  <c r="DH130" i="3"/>
  <c r="AS125" i="1"/>
  <c r="F169" i="1"/>
  <c r="AG26" i="1"/>
  <c r="T93" i="1"/>
  <c r="CP128" i="1"/>
  <c r="O128" i="1" s="1"/>
  <c r="DU152" i="1"/>
  <c r="DI71" i="3"/>
  <c r="DF71" i="3"/>
  <c r="DG71" i="3"/>
  <c r="DJ71" i="3" s="1"/>
  <c r="DH71" i="3"/>
  <c r="DI119" i="3"/>
  <c r="DF119" i="3"/>
  <c r="DJ119" i="3" s="1"/>
  <c r="DG119" i="3"/>
  <c r="DH119" i="3"/>
  <c r="DG115" i="3"/>
  <c r="DH115" i="3"/>
  <c r="DI115" i="3"/>
  <c r="DJ115" i="3" s="1"/>
  <c r="DF115" i="3"/>
  <c r="CP144" i="1"/>
  <c r="O144" i="1" s="1"/>
  <c r="GM144" i="1" s="1"/>
  <c r="GO144" i="1" s="1"/>
  <c r="BB125" i="1"/>
  <c r="F165" i="1"/>
  <c r="BB182" i="1"/>
  <c r="AJ125" i="1"/>
  <c r="W152" i="1"/>
  <c r="CP133" i="1"/>
  <c r="O133" i="1" s="1"/>
  <c r="GM133" i="1" s="1"/>
  <c r="GO133" i="1" s="1"/>
  <c r="DM152" i="1"/>
  <c r="DZ125" i="1"/>
  <c r="EB125" i="1"/>
  <c r="DO152" i="1"/>
  <c r="AD152" i="1"/>
  <c r="GA125" i="1"/>
  <c r="ER152" i="1"/>
  <c r="CP143" i="1"/>
  <c r="O143" i="1" s="1"/>
  <c r="GM143" i="1" s="1"/>
  <c r="GO143" i="1" s="1"/>
  <c r="FQ26" i="1" l="1"/>
  <c r="EH93" i="1"/>
  <c r="GA93" i="1"/>
  <c r="ED26" i="1"/>
  <c r="DQ93" i="1"/>
  <c r="AL125" i="1"/>
  <c r="Y152" i="1"/>
  <c r="EC26" i="1"/>
  <c r="DP93" i="1"/>
  <c r="BY26" i="1"/>
  <c r="CI93" i="1"/>
  <c r="AP93" i="1"/>
  <c r="GO127" i="1"/>
  <c r="CC152" i="1" s="1"/>
  <c r="CA152" i="1"/>
  <c r="X152" i="1"/>
  <c r="AK125" i="1"/>
  <c r="EC152" i="1"/>
  <c r="DN26" i="1"/>
  <c r="DN182" i="1"/>
  <c r="P116" i="1"/>
  <c r="DW26" i="1"/>
  <c r="DJ93" i="1"/>
  <c r="DU26" i="1"/>
  <c r="FX93" i="1"/>
  <c r="FZ93" i="1"/>
  <c r="DH93" i="1"/>
  <c r="FW93" i="1"/>
  <c r="AL93" i="1"/>
  <c r="U125" i="1"/>
  <c r="F174" i="1"/>
  <c r="V26" i="1"/>
  <c r="F116" i="1"/>
  <c r="V182" i="1"/>
  <c r="DO26" i="1"/>
  <c r="P117" i="1"/>
  <c r="DO182" i="1"/>
  <c r="F159" i="1"/>
  <c r="AX125" i="1"/>
  <c r="EV22" i="1"/>
  <c r="P207" i="1"/>
  <c r="EV212" i="1"/>
  <c r="AC26" i="1"/>
  <c r="CH93" i="1"/>
  <c r="P93" i="1"/>
  <c r="CE93" i="1"/>
  <c r="CF93" i="1"/>
  <c r="P166" i="1"/>
  <c r="DJ125" i="1"/>
  <c r="AD26" i="1"/>
  <c r="Q93" i="1"/>
  <c r="T26" i="1"/>
  <c r="F114" i="1"/>
  <c r="T182" i="1"/>
  <c r="U26" i="1"/>
  <c r="U182" i="1"/>
  <c r="F115" i="1"/>
  <c r="EI22" i="1"/>
  <c r="P192" i="1"/>
  <c r="EI212" i="1"/>
  <c r="DV26" i="1"/>
  <c r="DI93" i="1"/>
  <c r="DN125" i="1"/>
  <c r="P175" i="1"/>
  <c r="AF125" i="1"/>
  <c r="S152" i="1"/>
  <c r="DX125" i="1"/>
  <c r="DK152" i="1"/>
  <c r="AS22" i="1"/>
  <c r="F199" i="1"/>
  <c r="T16" i="2" s="1"/>
  <c r="AS212" i="1"/>
  <c r="GM29" i="1"/>
  <c r="DT93" i="1"/>
  <c r="GM148" i="1"/>
  <c r="GO148" i="1" s="1"/>
  <c r="R26" i="1"/>
  <c r="F107" i="1"/>
  <c r="R182" i="1"/>
  <c r="DL125" i="1"/>
  <c r="P173" i="1"/>
  <c r="T125" i="1"/>
  <c r="F173" i="1"/>
  <c r="DL26" i="1"/>
  <c r="P114" i="1"/>
  <c r="DL182" i="1"/>
  <c r="P176" i="1"/>
  <c r="DO125" i="1"/>
  <c r="ER125" i="1"/>
  <c r="P163" i="1"/>
  <c r="F176" i="1"/>
  <c r="W125" i="1"/>
  <c r="AO22" i="1"/>
  <c r="F186" i="1"/>
  <c r="AO212" i="1"/>
  <c r="AZ125" i="1"/>
  <c r="F163" i="1"/>
  <c r="CH152" i="1"/>
  <c r="AC125" i="1"/>
  <c r="P152" i="1"/>
  <c r="CE152" i="1"/>
  <c r="CF152" i="1"/>
  <c r="W182" i="1"/>
  <c r="EG22" i="1"/>
  <c r="EG212" i="1"/>
  <c r="P186" i="1"/>
  <c r="GM33" i="1"/>
  <c r="AF26" i="1"/>
  <c r="S93" i="1"/>
  <c r="AK93" i="1"/>
  <c r="BA125" i="1"/>
  <c r="F172" i="1"/>
  <c r="DV125" i="1"/>
  <c r="DI152" i="1"/>
  <c r="EM26" i="1"/>
  <c r="P112" i="1"/>
  <c r="EM182" i="1"/>
  <c r="EP125" i="1"/>
  <c r="P159" i="1"/>
  <c r="BD22" i="1"/>
  <c r="BD212" i="1"/>
  <c r="F207" i="1"/>
  <c r="BC22" i="1"/>
  <c r="F198" i="1"/>
  <c r="BC212" i="1"/>
  <c r="GM140" i="1"/>
  <c r="GO140" i="1" s="1"/>
  <c r="BA26" i="1"/>
  <c r="F113" i="1"/>
  <c r="BA182" i="1"/>
  <c r="ES26" i="1"/>
  <c r="P113" i="1"/>
  <c r="ES182" i="1"/>
  <c r="R125" i="1"/>
  <c r="F166" i="1"/>
  <c r="EU22" i="1"/>
  <c r="P198" i="1"/>
  <c r="EU212" i="1"/>
  <c r="GM55" i="1"/>
  <c r="GO55" i="1" s="1"/>
  <c r="AB93" i="1"/>
  <c r="DT152" i="1"/>
  <c r="GM128" i="1"/>
  <c r="AD125" i="1"/>
  <c r="Q152" i="1"/>
  <c r="DM125" i="1"/>
  <c r="P174" i="1"/>
  <c r="BB22" i="1"/>
  <c r="F195" i="1"/>
  <c r="BB212" i="1"/>
  <c r="FX152" i="1"/>
  <c r="FZ152" i="1"/>
  <c r="DU125" i="1"/>
  <c r="DH152" i="1"/>
  <c r="FW152" i="1"/>
  <c r="EK22" i="1"/>
  <c r="P199" i="1"/>
  <c r="E16" i="2" s="1"/>
  <c r="EK212" i="1"/>
  <c r="AB152" i="1"/>
  <c r="ED152" i="1"/>
  <c r="AQ22" i="1"/>
  <c r="F192" i="1"/>
  <c r="AQ212" i="1"/>
  <c r="DM182" i="1"/>
  <c r="ET22" i="1"/>
  <c r="P195" i="1"/>
  <c r="ET212" i="1"/>
  <c r="ES125" i="1"/>
  <c r="P172" i="1"/>
  <c r="DX26" i="1"/>
  <c r="DK93" i="1"/>
  <c r="V125" i="1"/>
  <c r="F175" i="1"/>
  <c r="AX182" i="1"/>
  <c r="EP26" i="1"/>
  <c r="EP182" i="1"/>
  <c r="P100" i="1"/>
  <c r="AU22" i="1"/>
  <c r="AU212" i="1"/>
  <c r="F201" i="1"/>
  <c r="GM28" i="1"/>
  <c r="EP22" i="1" l="1"/>
  <c r="EP212" i="1"/>
  <c r="P189" i="1"/>
  <c r="DM22" i="1"/>
  <c r="DM212" i="1"/>
  <c r="P204" i="1"/>
  <c r="FZ125" i="1"/>
  <c r="EQ152" i="1"/>
  <c r="GO28" i="1"/>
  <c r="CC93" i="1" s="1"/>
  <c r="CA93" i="1"/>
  <c r="Q125" i="1"/>
  <c r="F164" i="1"/>
  <c r="AB26" i="1"/>
  <c r="O93" i="1"/>
  <c r="W22" i="1"/>
  <c r="F206" i="1"/>
  <c r="W212" i="1"/>
  <c r="AO18" i="1"/>
  <c r="F216" i="1"/>
  <c r="R22" i="1"/>
  <c r="F196" i="1"/>
  <c r="R212" i="1"/>
  <c r="DT26" i="1"/>
  <c r="DG93" i="1"/>
  <c r="P26" i="1"/>
  <c r="F96" i="1"/>
  <c r="P182" i="1"/>
  <c r="DO22" i="1"/>
  <c r="P206" i="1"/>
  <c r="DO212" i="1"/>
  <c r="AL26" i="1"/>
  <c r="Y93" i="1"/>
  <c r="FX26" i="1"/>
  <c r="EO93" i="1"/>
  <c r="AP26" i="1"/>
  <c r="F102" i="1"/>
  <c r="AP182" i="1"/>
  <c r="DQ152" i="1"/>
  <c r="ED125" i="1"/>
  <c r="P164" i="1"/>
  <c r="DI125" i="1"/>
  <c r="CF125" i="1"/>
  <c r="AW152" i="1"/>
  <c r="DK125" i="1"/>
  <c r="P167" i="1"/>
  <c r="CH26" i="1"/>
  <c r="AY93" i="1"/>
  <c r="FW26" i="1"/>
  <c r="EN93" i="1"/>
  <c r="DN22" i="1"/>
  <c r="DN212" i="1"/>
  <c r="P205" i="1"/>
  <c r="X125" i="1"/>
  <c r="F178" i="1"/>
  <c r="CI26" i="1"/>
  <c r="AZ93" i="1"/>
  <c r="F179" i="1"/>
  <c r="Y125" i="1"/>
  <c r="GA26" i="1"/>
  <c r="ER93" i="1"/>
  <c r="AU18" i="1"/>
  <c r="F231" i="1"/>
  <c r="DK26" i="1"/>
  <c r="DK182" i="1"/>
  <c r="P108" i="1"/>
  <c r="ET18" i="1"/>
  <c r="P225" i="1"/>
  <c r="AQ18" i="1"/>
  <c r="F222" i="1"/>
  <c r="AB125" i="1"/>
  <c r="O152" i="1"/>
  <c r="FW125" i="1"/>
  <c r="EN152" i="1"/>
  <c r="FX125" i="1"/>
  <c r="EO152" i="1"/>
  <c r="GO128" i="1"/>
  <c r="FU152" i="1" s="1"/>
  <c r="FS152" i="1"/>
  <c r="EU18" i="1"/>
  <c r="P228" i="1"/>
  <c r="BA22" i="1"/>
  <c r="F202" i="1"/>
  <c r="W16" i="2" s="1"/>
  <c r="BA212" i="1"/>
  <c r="BC18" i="1"/>
  <c r="F228" i="1"/>
  <c r="BD18" i="1"/>
  <c r="F237" i="1"/>
  <c r="EM22" i="1"/>
  <c r="EM212" i="1"/>
  <c r="P201" i="1"/>
  <c r="S26" i="1"/>
  <c r="F108" i="1"/>
  <c r="S182" i="1"/>
  <c r="EG18" i="1"/>
  <c r="P216" i="1"/>
  <c r="AV152" i="1"/>
  <c r="CE125" i="1"/>
  <c r="AS18" i="1"/>
  <c r="F229" i="1"/>
  <c r="Q26" i="1"/>
  <c r="F105" i="1"/>
  <c r="Q182" i="1"/>
  <c r="CF26" i="1"/>
  <c r="AW93" i="1"/>
  <c r="DH26" i="1"/>
  <c r="P96" i="1"/>
  <c r="DH182" i="1"/>
  <c r="DJ26" i="1"/>
  <c r="P107" i="1"/>
  <c r="DJ182" i="1"/>
  <c r="CA125" i="1"/>
  <c r="AR152" i="1"/>
  <c r="EH26" i="1"/>
  <c r="P102" i="1"/>
  <c r="EH182" i="1"/>
  <c r="AK26" i="1"/>
  <c r="X93" i="1"/>
  <c r="AY152" i="1"/>
  <c r="CH125" i="1"/>
  <c r="DL22" i="1"/>
  <c r="P203" i="1"/>
  <c r="DL212" i="1"/>
  <c r="GO29" i="1"/>
  <c r="FU93" i="1" s="1"/>
  <c r="FS93" i="1"/>
  <c r="EI18" i="1"/>
  <c r="P222" i="1"/>
  <c r="U22" i="1"/>
  <c r="F204" i="1"/>
  <c r="U212" i="1"/>
  <c r="AX22" i="1"/>
  <c r="AX212" i="1"/>
  <c r="F189" i="1"/>
  <c r="EK18" i="1"/>
  <c r="P229" i="1"/>
  <c r="DH125" i="1"/>
  <c r="P155" i="1"/>
  <c r="BB18" i="1"/>
  <c r="F225" i="1"/>
  <c r="DT125" i="1"/>
  <c r="DG152" i="1"/>
  <c r="ES22" i="1"/>
  <c r="P202" i="1"/>
  <c r="ES212" i="1"/>
  <c r="P125" i="1"/>
  <c r="F155" i="1"/>
  <c r="F167" i="1"/>
  <c r="S125" i="1"/>
  <c r="DI26" i="1"/>
  <c r="P105" i="1"/>
  <c r="DI182" i="1"/>
  <c r="T22" i="1"/>
  <c r="T212" i="1"/>
  <c r="F203" i="1"/>
  <c r="CE26" i="1"/>
  <c r="AV93" i="1"/>
  <c r="EV18" i="1"/>
  <c r="P237" i="1"/>
  <c r="V22" i="1"/>
  <c r="F205" i="1"/>
  <c r="V212" i="1"/>
  <c r="FZ26" i="1"/>
  <c r="EQ93" i="1"/>
  <c r="EC125" i="1"/>
  <c r="DP152" i="1"/>
  <c r="CC125" i="1"/>
  <c r="AT152" i="1"/>
  <c r="DP26" i="1"/>
  <c r="P119" i="1"/>
  <c r="DP182" i="1"/>
  <c r="DQ26" i="1"/>
  <c r="P120" i="1"/>
  <c r="DQ182" i="1"/>
  <c r="DP22" i="1" l="1"/>
  <c r="P208" i="1"/>
  <c r="DP212" i="1"/>
  <c r="AY125" i="1"/>
  <c r="F160" i="1"/>
  <c r="H16" i="2"/>
  <c r="EN125" i="1"/>
  <c r="P157" i="1"/>
  <c r="EO26" i="1"/>
  <c r="P99" i="1"/>
  <c r="EO182" i="1"/>
  <c r="DQ22" i="1"/>
  <c r="DQ212" i="1"/>
  <c r="P209" i="1"/>
  <c r="DP125" i="1"/>
  <c r="P178" i="1"/>
  <c r="DG125" i="1"/>
  <c r="P154" i="1"/>
  <c r="AT125" i="1"/>
  <c r="F170" i="1"/>
  <c r="EQ26" i="1"/>
  <c r="P101" i="1"/>
  <c r="EQ182" i="1"/>
  <c r="DI22" i="1"/>
  <c r="DI212" i="1"/>
  <c r="P194" i="1"/>
  <c r="ES18" i="1"/>
  <c r="P232" i="1"/>
  <c r="AX18" i="1"/>
  <c r="F219" i="1"/>
  <c r="FU26" i="1"/>
  <c r="EL93" i="1"/>
  <c r="EH22" i="1"/>
  <c r="P191" i="1"/>
  <c r="G16" i="2" s="1"/>
  <c r="EH212" i="1"/>
  <c r="DH22" i="1"/>
  <c r="P185" i="1"/>
  <c r="DH212" i="1"/>
  <c r="BA18" i="1"/>
  <c r="F232" i="1"/>
  <c r="DQ125" i="1"/>
  <c r="P179" i="1"/>
  <c r="P22" i="1"/>
  <c r="P212" i="1"/>
  <c r="F185" i="1"/>
  <c r="P160" i="1"/>
  <c r="EQ125" i="1"/>
  <c r="DJ22" i="1"/>
  <c r="P196" i="1"/>
  <c r="DJ212" i="1"/>
  <c r="DO18" i="1"/>
  <c r="P236" i="1"/>
  <c r="DL18" i="1"/>
  <c r="P233" i="1"/>
  <c r="Q22" i="1"/>
  <c r="F194" i="1"/>
  <c r="Q212" i="1"/>
  <c r="EN26" i="1"/>
  <c r="P98" i="1"/>
  <c r="EN182" i="1"/>
  <c r="R18" i="1"/>
  <c r="F226" i="1"/>
  <c r="O26" i="1"/>
  <c r="F95" i="1"/>
  <c r="O182" i="1"/>
  <c r="V18" i="1"/>
  <c r="F235" i="1"/>
  <c r="T18" i="1"/>
  <c r="F233" i="1"/>
  <c r="U18" i="1"/>
  <c r="F234" i="1"/>
  <c r="X26" i="1"/>
  <c r="F119" i="1"/>
  <c r="X182" i="1"/>
  <c r="S22" i="1"/>
  <c r="S212" i="1"/>
  <c r="F197" i="1"/>
  <c r="Y16" i="2" s="1"/>
  <c r="EM18" i="1"/>
  <c r="P231" i="1"/>
  <c r="FU125" i="1"/>
  <c r="EL152" i="1"/>
  <c r="DK22" i="1"/>
  <c r="DK212" i="1"/>
  <c r="P197" i="1"/>
  <c r="J16" i="2" s="1"/>
  <c r="ER26" i="1"/>
  <c r="ER182" i="1"/>
  <c r="P104" i="1"/>
  <c r="AZ26" i="1"/>
  <c r="F104" i="1"/>
  <c r="AZ182" i="1"/>
  <c r="AP22" i="1"/>
  <c r="F191" i="1"/>
  <c r="V16" i="2" s="1"/>
  <c r="AP212" i="1"/>
  <c r="W18" i="1"/>
  <c r="F236" i="1"/>
  <c r="CA26" i="1"/>
  <c r="AR93" i="1"/>
  <c r="EP18" i="1"/>
  <c r="P219" i="1"/>
  <c r="FS125" i="1"/>
  <c r="EJ152" i="1"/>
  <c r="AV26" i="1"/>
  <c r="F98" i="1"/>
  <c r="AV182" i="1"/>
  <c r="FS26" i="1"/>
  <c r="EJ93" i="1"/>
  <c r="AR125" i="1"/>
  <c r="F180" i="1"/>
  <c r="AW26" i="1"/>
  <c r="F99" i="1"/>
  <c r="AW182" i="1"/>
  <c r="AV125" i="1"/>
  <c r="F157" i="1"/>
  <c r="EO125" i="1"/>
  <c r="P158" i="1"/>
  <c r="O125" i="1"/>
  <c r="F154" i="1"/>
  <c r="DN18" i="1"/>
  <c r="P235" i="1"/>
  <c r="AY26" i="1"/>
  <c r="F101" i="1"/>
  <c r="AY182" i="1"/>
  <c r="AW125" i="1"/>
  <c r="F158" i="1"/>
  <c r="Y26" i="1"/>
  <c r="F120" i="1"/>
  <c r="Y182" i="1"/>
  <c r="DG26" i="1"/>
  <c r="P95" i="1"/>
  <c r="DG182" i="1"/>
  <c r="CC26" i="1"/>
  <c r="AT93" i="1"/>
  <c r="DM18" i="1"/>
  <c r="P234" i="1"/>
  <c r="AT26" i="1" l="1"/>
  <c r="F111" i="1"/>
  <c r="AT182" i="1"/>
  <c r="AV22" i="1"/>
  <c r="AV212" i="1"/>
  <c r="F187" i="1"/>
  <c r="S18" i="1"/>
  <c r="F227" i="1"/>
  <c r="EN22" i="1"/>
  <c r="EN212" i="1"/>
  <c r="P187" i="1"/>
  <c r="P18" i="1"/>
  <c r="F215" i="1"/>
  <c r="EL26" i="1"/>
  <c r="P111" i="1"/>
  <c r="EL182" i="1"/>
  <c r="AW22" i="1"/>
  <c r="F188" i="1"/>
  <c r="AW212" i="1"/>
  <c r="DK18" i="1"/>
  <c r="P227" i="1"/>
  <c r="EH18" i="1"/>
  <c r="P221" i="1"/>
  <c r="EQ22" i="1"/>
  <c r="P190" i="1"/>
  <c r="EQ212" i="1"/>
  <c r="EO22" i="1"/>
  <c r="P188" i="1"/>
  <c r="EO212" i="1"/>
  <c r="DP18" i="1"/>
  <c r="P238" i="1"/>
  <c r="Y22" i="1"/>
  <c r="Y212" i="1"/>
  <c r="F209" i="1"/>
  <c r="AZ22" i="1"/>
  <c r="AZ212" i="1"/>
  <c r="F193" i="1"/>
  <c r="ER22" i="1"/>
  <c r="ER212" i="1"/>
  <c r="P193" i="1"/>
  <c r="X22" i="1"/>
  <c r="F208" i="1"/>
  <c r="X212" i="1"/>
  <c r="DJ18" i="1"/>
  <c r="P226" i="1"/>
  <c r="DH18" i="1"/>
  <c r="P215" i="1"/>
  <c r="DG22" i="1"/>
  <c r="P184" i="1"/>
  <c r="DG212" i="1"/>
  <c r="AY22" i="1"/>
  <c r="F190" i="1"/>
  <c r="AY212" i="1"/>
  <c r="EJ26" i="1"/>
  <c r="P121" i="1"/>
  <c r="EJ182" i="1"/>
  <c r="EJ125" i="1"/>
  <c r="P180" i="1"/>
  <c r="AR26" i="1"/>
  <c r="F121" i="1"/>
  <c r="AR182" i="1"/>
  <c r="AP18" i="1"/>
  <c r="F221" i="1"/>
  <c r="P170" i="1"/>
  <c r="EL125" i="1"/>
  <c r="O22" i="1"/>
  <c r="F184" i="1"/>
  <c r="O212" i="1"/>
  <c r="Q18" i="1"/>
  <c r="F224" i="1"/>
  <c r="DI18" i="1"/>
  <c r="P224" i="1"/>
  <c r="DQ18" i="1"/>
  <c r="P239" i="1"/>
  <c r="ER18" i="1" l="1"/>
  <c r="P223" i="1"/>
  <c r="O18" i="1"/>
  <c r="F214" i="1"/>
  <c r="EJ22" i="1"/>
  <c r="EJ212" i="1"/>
  <c r="P210" i="1"/>
  <c r="AZ18" i="1"/>
  <c r="F223" i="1"/>
  <c r="EL22" i="1"/>
  <c r="P200" i="1"/>
  <c r="F16" i="2" s="1"/>
  <c r="I16" i="2" s="1"/>
  <c r="N16" i="2" s="1"/>
  <c r="EL212" i="1"/>
  <c r="X18" i="1"/>
  <c r="F238" i="1"/>
  <c r="AW18" i="1"/>
  <c r="F218" i="1"/>
  <c r="AT22" i="1"/>
  <c r="F200" i="1"/>
  <c r="U16" i="2" s="1"/>
  <c r="X16" i="2" s="1"/>
  <c r="AC16" i="2" s="1"/>
  <c r="AT212" i="1"/>
  <c r="DG18" i="1"/>
  <c r="P214" i="1"/>
  <c r="EQ18" i="1"/>
  <c r="P220" i="1"/>
  <c r="EN18" i="1"/>
  <c r="P217" i="1"/>
  <c r="AR22" i="1"/>
  <c r="F210" i="1"/>
  <c r="AR212" i="1"/>
  <c r="AY18" i="1"/>
  <c r="F220" i="1"/>
  <c r="Y18" i="1"/>
  <c r="F239" i="1"/>
  <c r="EO18" i="1"/>
  <c r="P218" i="1"/>
  <c r="AV18" i="1"/>
  <c r="F217" i="1"/>
  <c r="AT18" i="1" l="1"/>
  <c r="F230" i="1"/>
  <c r="AR18" i="1"/>
  <c r="F240" i="1"/>
  <c r="EL18" i="1"/>
  <c r="P230" i="1"/>
  <c r="EJ18" i="1"/>
  <c r="P240" i="1"/>
</calcChain>
</file>

<file path=xl/sharedStrings.xml><?xml version="1.0" encoding="utf-8"?>
<sst xmlns="http://schemas.openxmlformats.org/spreadsheetml/2006/main" count="8148" uniqueCount="484">
  <si>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</si>
  <si>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</si>
  <si>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</si>
  <si>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</si>
  <si>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</t>
  </si>
  <si>
    <t>02-01-16 СОС</t>
  </si>
  <si>
    <t>2024-00272-00-ИОС5.8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</si>
  <si>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</si>
  <si>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</si>
  <si>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</si>
  <si>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</si>
  <si>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</si>
  <si>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</si>
  <si>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</si>
  <si>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</si>
  <si>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02-01-16</t>
  </si>
  <si>
    <t>Система охранно-тревожной сигнализации</t>
  </si>
  <si>
    <t>Оборудование</t>
  </si>
  <si>
    <t>1</t>
  </si>
  <si>
    <t>4.10-75-6</t>
  </si>
  <si>
    <t>Монтаж аппаратуры настольной массой до 20 кг</t>
  </si>
  <si>
    <t>1  ШТ.</t>
  </si>
  <si>
    <t>ТСН-2001.4 Доп. 79, Сб. 10, т. 75, поз. 6</t>
  </si>
  <si>
    <t>*1</t>
  </si>
  <si>
    <t>*1,1</t>
  </si>
  <si>
    <t>Монтаж оборудования</t>
  </si>
  <si>
    <t>ТСН-2001.4-10. Монтаж радиотелевизионного и электронного оборудования</t>
  </si>
  <si>
    <t>ТСН-2001.4-10-2</t>
  </si>
  <si>
    <t>Поправка: Гл.12.Прил.8.п.8. 5_12.00.01.11.003</t>
  </si>
  <si>
    <t>2</t>
  </si>
  <si>
    <t>КА-1</t>
  </si>
  <si>
    <t>Компьютер персональный АРМ DEPO ПЕРЕСВЕТ 110D11 (системный блок, монитор 21,5", клавиатура, мышь)</t>
  </si>
  <si>
    <t>ШТ</t>
  </si>
  <si>
    <t>Сметная стоимость оборудования</t>
  </si>
  <si>
    <t>ТСН-2001.13. Сметная стоимость оборудования</t>
  </si>
  <si>
    <t>ТСН-2001.13</t>
  </si>
  <si>
    <t>[75 500 / 1,2 /  7,66] +  3% Трансп +  1,2% Заг.скл</t>
  </si>
  <si>
    <t>3</t>
  </si>
  <si>
    <t>1,2</t>
  </si>
  <si>
    <t>КА-2</t>
  </si>
  <si>
    <t>Операционная система REDOS-DSP-STD-BAS-VDI</t>
  </si>
  <si>
    <t>[14 600 / 1,2 /  7,66] +  3% Трансп +  1,2% Заг.скл</t>
  </si>
  <si>
    <t>4</t>
  </si>
  <si>
    <t>4.10-173-2</t>
  </si>
  <si>
    <t>Монтаж блока бесперебойного питания (ББП) в диспетчерской</t>
  </si>
  <si>
    <t>ТСН-2001.4 Доп. 67, Сб. 10, т. 173, поз. 2</t>
  </si>
  <si>
    <t>ТСН-2001.4-10. Прокладка и монтаж сетей связи</t>
  </si>
  <si>
    <t>ТСН-2001.4-10-1</t>
  </si>
  <si>
    <t>5</t>
  </si>
  <si>
    <t>КА-3</t>
  </si>
  <si>
    <t>Источник бесперебойного питания, 600Вт Back Basic 1050S Euro</t>
  </si>
  <si>
    <t>[11 290 / 1,2 /  7,66] +  3% Трансп +  1,2% Заг.скл</t>
  </si>
  <si>
    <t>6</t>
  </si>
  <si>
    <t>4.10-80-1</t>
  </si>
  <si>
    <t>Аппараты приемные, приборы ПС приемно-контрольные, пусковые, концентратор, блок базовый на 10 лучей</t>
  </si>
  <si>
    <t>ТСН-2001.4 Доп. 68, Сб. 10, т. 80, поз. 1</t>
  </si>
  <si>
    <t>7</t>
  </si>
  <si>
    <t>КА-4</t>
  </si>
  <si>
    <t>Прибор приемно-контрольный и управленя Рубеж-20П прот. R3</t>
  </si>
  <si>
    <t>[88 057 / 1,2 /  7,66] +  3% Трансп +  1,2% Заг.скл</t>
  </si>
  <si>
    <t>8</t>
  </si>
  <si>
    <t>4.10-80-13</t>
  </si>
  <si>
    <t>Аппараты приемные, устройства промежуточные на 1 луч</t>
  </si>
  <si>
    <t>ТСН-2001.4. Доп. 1-42. Сб. 10, т. 80, поз. 13</t>
  </si>
  <si>
    <t>9</t>
  </si>
  <si>
    <t>КА-5</t>
  </si>
  <si>
    <t>Модуль сопряжения МС-Е</t>
  </si>
  <si>
    <t>[8 799 / 1,2 /  7,66] +  3% Трансп +  1,2% Заг.скл</t>
  </si>
  <si>
    <t>10</t>
  </si>
  <si>
    <t>4.10-80-9</t>
  </si>
  <si>
    <t>Аппараты приемные, приборы приемно-контрольные объектовые на 2 луча</t>
  </si>
  <si>
    <t>ТСН-2001.4. Доп. 1-42. Сб. 10, т. 80, поз. 9</t>
  </si>
  <si>
    <t>11</t>
  </si>
  <si>
    <t>КА-6</t>
  </si>
  <si>
    <t>Блок индикации и управления Рубеж-БИУ</t>
  </si>
  <si>
    <t>[21 132 / 1,2 /  7,66] +  3% Трансп +  1,2% Заг.скл</t>
  </si>
  <si>
    <t>12</t>
  </si>
  <si>
    <t>4.10-82-3</t>
  </si>
  <si>
    <t>Приборы и устройства сигнализирующие объектовые, устройства ультразвуковые, блок питания и контроля</t>
  </si>
  <si>
    <t>ТСН-2001.4 Доп. 70, Сб. 10, т. 82, поз. 3</t>
  </si>
  <si>
    <t>13</t>
  </si>
  <si>
    <t>КА-7</t>
  </si>
  <si>
    <t>Устройство оконечное объектовое Приток-А КОП-1 исп.1</t>
  </si>
  <si>
    <t>[16 136 / 1,2 /  7,66] +  3% Трансп +  1,2% Заг.скл</t>
  </si>
  <si>
    <t>14</t>
  </si>
  <si>
    <t>15</t>
  </si>
  <si>
    <t>КА-8</t>
  </si>
  <si>
    <t>Блок питания, 12В, 2А ИВЭПР 12/2 RS-R3</t>
  </si>
  <si>
    <t>[7 418,45 / 1,2 /  7,66] +  3% Трансп +  1,2% Заг.скл</t>
  </si>
  <si>
    <t>16</t>
  </si>
  <si>
    <t>КА-9</t>
  </si>
  <si>
    <t>Аккумултор 12В 7Ач DTM 1207</t>
  </si>
  <si>
    <t>[1 410 / 1,2 /  7,66] +  3% Трансп +  1,2% Заг.скл</t>
  </si>
  <si>
    <t>17</t>
  </si>
  <si>
    <t>18</t>
  </si>
  <si>
    <t>КА-10</t>
  </si>
  <si>
    <t>Адресный релейный модуль РМ-1-R3 Рубеж</t>
  </si>
  <si>
    <t>[1 403,46 / 1,2 /  7,66] +  3% Трансп +  1,2% Заг.скл</t>
  </si>
  <si>
    <t>19</t>
  </si>
  <si>
    <t>20</t>
  </si>
  <si>
    <t>КА-11</t>
  </si>
  <si>
    <t>Изолятор шлейфа ИЗ-1 прот. R3</t>
  </si>
  <si>
    <t>[681,72 / 1,2 /  7,66] +  3% Трансп +  1,2% Заг.скл</t>
  </si>
  <si>
    <t>21</t>
  </si>
  <si>
    <t>4.10-82-2</t>
  </si>
  <si>
    <t>Приборы и устройства сигнализирующие объектовые, устройства ультразвуковые, прибор ультразвуковой в одноблочном исполнении</t>
  </si>
  <si>
    <t>ТСН-2001.4 Доп. 70, Сб. 10, т. 82, поз. 2</t>
  </si>
  <si>
    <t>22</t>
  </si>
  <si>
    <t>КА-12</t>
  </si>
  <si>
    <t>Извещатель охранный объемный оптико-электронный адресный ИО 40920-2</t>
  </si>
  <si>
    <t>[2 117 / 1,2 /  7,66] +  3% Трансп +  1,2% Заг.скл</t>
  </si>
  <si>
    <t>23</t>
  </si>
  <si>
    <t>4.10-81-4</t>
  </si>
  <si>
    <t>Извещатели ОС автоматические, контактный, магнито-контактный на открывание окон, дверей</t>
  </si>
  <si>
    <t>ТСН-2001.4. Доп. 1-42. Сб. 10, т. 81, поз. 4</t>
  </si>
  <si>
    <t>24</t>
  </si>
  <si>
    <t>КА-13</t>
  </si>
  <si>
    <t>Извещатель охранный поверхностный звуковой адресный ИО 32920-2</t>
  </si>
  <si>
    <t>[2 145,87 / 1,2 /  7,66] +  3% Трансп +  1,2% Заг.скл</t>
  </si>
  <si>
    <t>25</t>
  </si>
  <si>
    <t>26</t>
  </si>
  <si>
    <t>КА-14</t>
  </si>
  <si>
    <t>Извещатель охранный магнитноуправляемый адресный ИО 10220-2</t>
  </si>
  <si>
    <t>[629 / 1,2 /  7,66] +  3% Трансп +  1,2% Заг.скл</t>
  </si>
  <si>
    <t>27</t>
  </si>
  <si>
    <t>28</t>
  </si>
  <si>
    <t>КА-15</t>
  </si>
  <si>
    <t>Адресная метка, 4 шлейфа АМ-4-R3</t>
  </si>
  <si>
    <t>[1 635,11 / 1,2 /  7,66] +  3% Трансп +  1,2% Заг.скл</t>
  </si>
  <si>
    <t>29</t>
  </si>
  <si>
    <t>4.10-59-3</t>
  </si>
  <si>
    <t>Монтаж детали на пультах и панелях - кнопка</t>
  </si>
  <si>
    <t>ТСН-2001.4 Доп. 67, Сб. 10, т. 59, поз. 3</t>
  </si>
  <si>
    <t>30</t>
  </si>
  <si>
    <t>КА-16</t>
  </si>
  <si>
    <t>Извещатель охранный ручной точечный электроконтактный Астра-321 (ИО 101-7)</t>
  </si>
  <si>
    <t>[424 / 1,2 /  7,66] +  3% Трансп +  1,2% Заг.скл</t>
  </si>
  <si>
    <t>31</t>
  </si>
  <si>
    <t>4.8-245-10</t>
  </si>
  <si>
    <t>Монтаж светильников с лампами накаливания, светового настенного указателя</t>
  </si>
  <si>
    <t>100 шт.</t>
  </si>
  <si>
    <t>ТСН-2001.4 Доп. 79, Сб. 8, т. 245, поз. 10</t>
  </si>
  <si>
    <t>ТСН-2001.4-8. Электротехнические установки</t>
  </si>
  <si>
    <t>ТСН-2001.4-8-1</t>
  </si>
  <si>
    <t>32</t>
  </si>
  <si>
    <t>КА-17</t>
  </si>
  <si>
    <t>Световой оповещатель "Маяк-12-С"</t>
  </si>
  <si>
    <t>[227 / 1,2 /  7,66] +  3% Трансп +  1,2% Заг.скл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</si>
  <si>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</si>
  <si>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</si>
  <si>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</si>
  <si>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</si>
  <si>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</si>
  <si>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</si>
  <si>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</si>
  <si>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</si>
  <si>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</si>
  <si>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</si>
  <si>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</si>
  <si>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</si>
  <si>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</si>
  <si>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</si>
  <si>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</si>
  <si>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</si>
  <si>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</si>
  <si>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</si>
  <si>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</si>
  <si>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</si>
  <si>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</si>
  <si>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</si>
  <si>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</si>
  <si>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</si>
  <si>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</si>
  <si>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</si>
  <si>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</si>
  <si>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</si>
  <si>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</si>
  <si>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</si>
  <si>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</si>
  <si>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</si>
  <si>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</si>
  <si>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</si>
  <si>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</si>
  <si>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</si>
  <si>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</si>
  <si>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</si>
  <si>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</si>
  <si>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</si>
  <si>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</si>
  <si>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</si>
  <si>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</si>
  <si>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</si>
  <si>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</si>
  <si>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</si>
  <si>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</si>
  <si>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</si>
  <si>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</si>
  <si>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</si>
  <si>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</si>
  <si>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</si>
  <si>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</si>
  <si>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</si>
  <si>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Кабельные изделия СОТС</t>
  </si>
  <si>
    <t>33</t>
  </si>
  <si>
    <t>4.8-288-1</t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</si>
  <si>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</si>
  <si>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t>100 м</t>
  </si>
  <si>
    <t>ТСН-2001.4 Доп. 54, Сб. 8, т. 288, поз. 1</t>
  </si>
  <si>
    <t>33,1</t>
  </si>
  <si>
    <t>1.12-5-371</t>
  </si>
  <si>
    <t>Трубы электротехнические, гофрированные, из ПВХ, негорючие, с зондом, наружный диаметр 16 мм</t>
  </si>
  <si>
    <t>м</t>
  </si>
  <si>
    <t>ТСН-2001.1 Доп. 67, Р. 12, о. 5, поз. 371</t>
  </si>
  <si>
    <t>33,2</t>
  </si>
  <si>
    <t>1.14-1-549</t>
  </si>
  <si>
    <t>Коробка соединительная, для подключения четырех пар проводов, типа КС-4</t>
  </si>
  <si>
    <t>шт.</t>
  </si>
  <si>
    <t>ТСН-2001.1 Доп. 73, Р. 14, о. 1, поз. 549</t>
  </si>
  <si>
    <t>34</t>
  </si>
  <si>
    <t>4.8-170-1</t>
  </si>
  <si>
    <t>Прокладка по установленным конструкциям, по стенам с креплением скобами стальной трубы диаметром до 25 мм</t>
  </si>
  <si>
    <t>ТСН-2001.4 Доп. 80, Сб. 8, т. 170, поз. 1</t>
  </si>
  <si>
    <t>34,1</t>
  </si>
  <si>
    <t>1.12-1-23</t>
  </si>
  <si>
    <t>Заготовка для электропроводки из водогазопроводных труб, диаметр условного прохода 20 мм</t>
  </si>
  <si>
    <t>ТСН-2001.1 Доп. 79, Р. 12, о. 1, поз. 23</t>
  </si>
  <si>
    <t>35</t>
  </si>
  <si>
    <t>13.1-2-432</t>
  </si>
  <si>
    <t>Шнур коммутационный (патч-корд) тип разъемов RJ45 - RJ45, категория 5E, оболочка LSZH, длина 1 м, неэкранированный</t>
  </si>
  <si>
    <t>36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</si>
  <si>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</si>
  <si>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</si>
  <si>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</si>
  <si>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37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</si>
  <si>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</si>
  <si>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</si>
  <si>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</si>
  <si>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38</t>
  </si>
  <si>
    <t>КА-18</t>
  </si>
  <si>
    <t>Кабель интерфейса RS-485 Лоутокс 20нг(А)-LSLTx 1x2x0,5</t>
  </si>
  <si>
    <t>км</t>
  </si>
  <si>
    <t>Материалы</t>
  </si>
  <si>
    <t>Материалы, изделия и конструкции</t>
  </si>
  <si>
    <t>[82 080 / 1,2 /  9,88] +  2% Заг.скл</t>
  </si>
  <si>
    <t>0</t>
  </si>
  <si>
    <t>39</t>
  </si>
  <si>
    <t>КА-19</t>
  </si>
  <si>
    <t>Кавбель КСВВнг(А)-LSLTx 1x2x0,8</t>
  </si>
  <si>
    <t>[48 070 / 1,2 /  9,88] +  2% Заг.скл</t>
  </si>
  <si>
    <t>40</t>
  </si>
  <si>
    <t>КА-20</t>
  </si>
  <si>
    <t>Кабель витая пара UTP Cat5e PVCLS 1х2х0,52нг(A)- LSLTx</t>
  </si>
  <si>
    <t>[34 290 / 1,2 /  9,88] +  2% Заг.скл</t>
  </si>
  <si>
    <t>41</t>
  </si>
  <si>
    <t>КА-21</t>
  </si>
  <si>
    <t>Кабель витая пара UTP Cat5e PVCLS 4х2х0,52нг(A)- LSLTx</t>
  </si>
  <si>
    <t>[93 360 / 1,2 /  9,88] +  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</si>
  <si>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</si>
  <si>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</si>
  <si>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</si>
  <si>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</si>
  <si>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</si>
  <si>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</si>
  <si>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</si>
  <si>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</si>
  <si>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</si>
  <si>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</si>
  <si>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</si>
  <si>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</si>
  <si>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</si>
  <si>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</si>
  <si>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</si>
  <si>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</si>
  <si>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</si>
  <si>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</si>
  <si>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</si>
  <si>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</si>
  <si>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</si>
  <si>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1.1-1-945</t>
  </si>
  <si>
    <t>ТСН-2001.1 Доп. 79, Р. 1, о. 1, поз. 945</t>
  </si>
  <si>
    <t>Припой оловянно-свинцовый, в прутках, диаметр 8 мм, типа ПОС-40</t>
  </si>
  <si>
    <t>т</t>
  </si>
  <si>
    <t>1.1-2-63</t>
  </si>
  <si>
    <t>ТСН-2001.1. Доп. 1-42. Р. 1, о. 2, поз. 63</t>
  </si>
  <si>
    <t>Нитки суровые</t>
  </si>
  <si>
    <t>г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</si>
  <si>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</si>
  <si>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</si>
  <si>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</si>
  <si>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кг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</si>
  <si>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</si>
  <si>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</si>
  <si>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</si>
  <si>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</si>
  <si>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</si>
  <si>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</si>
  <si>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</si>
  <si>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</si>
  <si>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</si>
  <si>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9999990002</t>
  </si>
  <si>
    <t>Масса оборудования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</si>
  <si>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</si>
  <si>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</si>
  <si>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</si>
  <si>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</si>
  <si>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</si>
  <si>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2.1-30-96</t>
  </si>
  <si>
    <t>ТСН-2001.2. Доп. 64. п.1-30-96 (303703)</t>
  </si>
  <si>
    <t>Дрели электрические, мощность до 200 Вт</t>
  </si>
  <si>
    <t>1.1-1-1723</t>
  </si>
  <si>
    <t>ТСН-2001.1 Доп. 79, Р. 1, о. 1, поз. 1723</t>
  </si>
  <si>
    <t>Лента изоляционная, прорезиненная, односторонняя</t>
  </si>
  <si>
    <t>1.1-1-238</t>
  </si>
  <si>
    <t>ТСН-2001.1 Доп. 80, Р. 1, о. 1, поз. 238</t>
  </si>
  <si>
    <t>Дюбель пластмассовый</t>
  </si>
  <si>
    <t>1.23-10-18</t>
  </si>
  <si>
    <t>ТСН-2001.1 Доп. 79, Р. 23, о. 10, поз. 18</t>
  </si>
  <si>
    <t>Провод неизолированный для воздушных линий электропередач состоящий из скрученных медных проволок, марка М, сечение 4 мм2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</si>
  <si>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</si>
  <si>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</si>
  <si>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</si>
  <si>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2.1-30-10</t>
  </si>
  <si>
    <t>ТСН-2001.2. Доп. 68. п.1-30-10 (304101)</t>
  </si>
  <si>
    <t>Перфораторы, мощность до 800 Вт</t>
  </si>
  <si>
    <t>2.1-4-109</t>
  </si>
  <si>
    <t>ТСН-2001.2. Доп. 75. п.1-4-109 (042510)</t>
  </si>
  <si>
    <t>Подъемники ножничные несамоходные, высота подъема до 10 м</t>
  </si>
  <si>
    <t>1.1-1-1669</t>
  </si>
  <si>
    <t>ТСН-2001.1 Доп. 79, Р. 1, о. 1, поз. 1669</t>
  </si>
  <si>
    <t>Электроды, типа Э-42А, диаметр от 4 до 6 мм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</si>
  <si>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</si>
  <si>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</si>
  <si>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</si>
  <si>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1.1-1-493</t>
  </si>
  <si>
    <t>ТСН-2001.1 Доп. 79, Р. 1, о. 1, поз. 493</t>
  </si>
  <si>
    <t>Лак битумный, типа БТ-577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</si>
  <si>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</si>
  <si>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</si>
  <si>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</si>
  <si>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1.21-5-1561</t>
  </si>
  <si>
    <t>ТСН-2001.1 Доп. 65, Р. 21, о. 5, поз. 1561</t>
  </si>
  <si>
    <t>Заглушка трубная полиэтиленовая У469</t>
  </si>
  <si>
    <t>10 шт.</t>
  </si>
  <si>
    <t>1.21-5-1655</t>
  </si>
  <si>
    <t>ТСН-2001.1 Доп. 67, Р. 21, о. 5, поз. 1655</t>
  </si>
  <si>
    <t>Перемычка гибкая, типа ПГС 50-280</t>
  </si>
  <si>
    <t>1.21-5-872</t>
  </si>
  <si>
    <t>ТСН-2001.1 Доп. 79, Р. 21, о. 5, поз. 872</t>
  </si>
  <si>
    <t>Скоба двухлапковая стальная оцинкованная, для кабелей диаметром от 25 до 26</t>
  </si>
  <si>
    <t>1000 шт.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</si>
  <si>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</si>
  <si>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</si>
  <si>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</si>
  <si>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</si>
  <si>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</si>
  <si>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</si>
  <si>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</si>
  <si>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</si>
  <si>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</si>
  <si>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</si>
  <si>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</si>
  <si>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</si>
  <si>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</si>
  <si>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</si>
  <si>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</si>
  <si>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</si>
  <si>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</si>
  <si>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</si>
  <si>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</si>
  <si>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</si>
  <si>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</si>
  <si>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</si>
  <si>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</si>
  <si>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</si>
  <si>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5291000000</t>
  </si>
  <si>
    <t>Крепежные изделия</t>
  </si>
  <si>
    <t>5295300000</t>
  </si>
  <si>
    <t>Столы аппаратные</t>
  </si>
  <si>
    <t>4372910000</t>
  </si>
  <si>
    <t>Блоки бесперебойного питания (ББП)</t>
  </si>
  <si>
    <t>6672300000</t>
  </si>
  <si>
    <t>Кнопки (детали на пультах и панелях)</t>
  </si>
  <si>
    <t>3461500000</t>
  </si>
  <si>
    <t>Светильники с лампами накаливания</t>
  </si>
  <si>
    <t>3466100000</t>
  </si>
  <si>
    <t>Лампы накаливания</t>
  </si>
  <si>
    <t>2248200000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</si>
  <si>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</si>
  <si>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</si>
  <si>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</si>
  <si>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</si>
  <si>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</si>
  <si>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1303000000</t>
  </si>
  <si>
    <t>Трубы стальные для электропроводок (1385000000)</t>
  </si>
  <si>
    <t>1462020000</t>
  </si>
  <si>
    <t>Муфты резьбовые для соединения стальных труб (2559370100)</t>
  </si>
  <si>
    <t>3449654000</t>
  </si>
  <si>
    <t>Гайки установочные заземляющие</t>
  </si>
  <si>
    <t>3449870000</t>
  </si>
  <si>
    <t>Гильзы соединительные кабельные, закрепляемые опрессовкой (3449860000)</t>
  </si>
  <si>
    <t>3464740000</t>
  </si>
  <si>
    <t>Коробки для соединения проводов (3434200000)</t>
  </si>
  <si>
    <t>3500000000</t>
  </si>
  <si>
    <t>Провода (марка и сечение по проекту)</t>
  </si>
  <si>
    <t>Гл.12.Прил.8.п.8. 5_12.00.01.11.003</t>
  </si>
  <si>
    <t>Глава 12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</si>
  <si>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</si>
  <si>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</si>
  <si>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</si>
  <si>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</si>
  <si>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</si>
  <si>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</si>
  <si>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</si>
  <si>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</si>
  <si>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</si>
  <si>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</si>
  <si>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</si>
  <si>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</si>
  <si>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</si>
  <si>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</si>
  <si>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</si>
  <si>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</si>
  <si>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</si>
  <si>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</si>
  <si>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</si>
  <si>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</si>
  <si>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</si>
  <si>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</si>
  <si>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</si>
  <si>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</si>
  <si>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02-01-16 СОС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</si>
  <si>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</si>
  <si>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</si>
  <si>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</si>
  <si>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</si>
  <si>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</si>
  <si>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</si>
  <si>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</si>
  <si>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</si>
  <si>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</si>
  <si>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</si>
  <si>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</si>
  <si>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</si>
  <si>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</si>
  <si>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Компьютер персональный АРМ DEPO ПЕРЕСВЕТ 110D11 (системный блок, монитор 21,5", клавиатура, мышь)</t>
    </r>
    <r>
      <rPr>
        <i/>
        <sz val="10"/>
        <color rgb="FF821E82"/>
        <rFont val="Arial"/>
        <family val="2"/>
        <charset val="204"/>
      </rPr>
      <t xml:space="preserve">
8 561,59 = [75 500 / 1,2 /  7,66] +  3% Трансп +  1,2% Заг.скл</t>
    </r>
  </si>
  <si>
    <r>
      <t>ОБОРУДОВАНИЕ:_x000D_
Операционная система REDOS-DSP-STD-BAS-VDI</t>
    </r>
    <r>
      <rPr>
        <i/>
        <sz val="10"/>
        <color rgb="FF821E82"/>
        <rFont val="Arial"/>
        <family val="2"/>
        <charset val="204"/>
      </rPr>
      <t xml:space="preserve">
1 655,62 = [14 600 / 1,2 /  7,66] +  3% Трансп +  1,2% Заг.скл</t>
    </r>
  </si>
  <si>
    <r>
      <t>ОБОРУДОВАНИЕ:_x000D_
Источник бесперебойного питания, 600Вт Back Basic 1050S Euro</t>
    </r>
    <r>
      <rPr>
        <i/>
        <sz val="10"/>
        <color rgb="FF821E82"/>
        <rFont val="Arial"/>
        <family val="2"/>
        <charset val="204"/>
      </rPr>
      <t xml:space="preserve">
1 280,27 = [11 290 / 1,2 /  7,66] +  3% Трансп +  1,2% Заг.скл</t>
    </r>
  </si>
  <si>
    <t>ЭМ</t>
  </si>
  <si>
    <t>в т.ч. ЗПМ</t>
  </si>
  <si>
    <r>
      <t>ОБОРУДОВАНИЕ:_x000D_
Прибор приемно-контрольный и управленя Рубеж-20П прот. R3</t>
    </r>
    <r>
      <rPr>
        <i/>
        <sz val="10"/>
        <color rgb="FF821E82"/>
        <rFont val="Arial"/>
        <family val="2"/>
        <charset val="204"/>
      </rPr>
      <t xml:space="preserve">
9 985,54 = [88 057 / 1,2 /  7,66] +  3% Трансп +  1,2% Заг.скл</t>
    </r>
  </si>
  <si>
    <r>
      <t>ОБОРУДОВАНИЕ:_x000D_
Модуль сопряжения МС-Е</t>
    </r>
    <r>
      <rPr>
        <i/>
        <sz val="10"/>
        <color rgb="FF821E82"/>
        <rFont val="Arial"/>
        <family val="2"/>
        <charset val="204"/>
      </rPr>
      <t xml:space="preserve">
997,80 = [8 799 / 1,2 /  7,66] +  3% Трансп +  1,2% Заг.скл</t>
    </r>
  </si>
  <si>
    <r>
      <t>ОБОРУДОВАНИЕ:_x000D_
Блок индикации и управления Рубеж-БИУ</t>
    </r>
    <r>
      <rPr>
        <i/>
        <sz val="10"/>
        <color rgb="FF821E82"/>
        <rFont val="Arial"/>
        <family val="2"/>
        <charset val="204"/>
      </rPr>
      <t xml:space="preserve">
2 396,35 = [21 132 / 1,2 /  7,66] +  3% Трансп +  1,2% Заг.скл</t>
    </r>
  </si>
  <si>
    <r>
      <t>ОБОРУДОВАНИЕ:_x000D_
Устройство оконечное объектовое Приток-А КОП-1 исп.1</t>
    </r>
    <r>
      <rPr>
        <i/>
        <sz val="10"/>
        <color rgb="FF821E82"/>
        <rFont val="Arial"/>
        <family val="2"/>
        <charset val="204"/>
      </rPr>
      <t xml:space="preserve">
1 829,80 = [16 136 / 1,2 /  7,66] +  3% Трансп +  1,2% Заг.скл</t>
    </r>
  </si>
  <si>
    <r>
      <t>ОБОРУДОВАНИЕ:_x000D_
Блок питания, 12В, 2А ИВЭПР 12/2 RS-R3</t>
    </r>
    <r>
      <rPr>
        <i/>
        <sz val="10"/>
        <color rgb="FF821E82"/>
        <rFont val="Arial"/>
        <family val="2"/>
        <charset val="204"/>
      </rPr>
      <t xml:space="preserve">
841,25 = [7 418,45 / 1,2 /  7,66] +  3% Трансп +  1,2% Заг.скл</t>
    </r>
  </si>
  <si>
    <r>
      <t>ОБОРУДОВАНИЕ:_x000D_
Аккумултор 12В 7Ач DTM 1207</t>
    </r>
    <r>
      <rPr>
        <i/>
        <sz val="10"/>
        <color rgb="FF821E82"/>
        <rFont val="Arial"/>
        <family val="2"/>
        <charset val="204"/>
      </rPr>
      <t xml:space="preserve">
159,89 = [1 410 / 1,2 /  7,66] +  3% Трансп +  1,2% Заг.скл</t>
    </r>
  </si>
  <si>
    <r>
      <t>ОБОРУДОВАНИЕ:_x000D_
Адресный релейный модуль РМ-1-R3 Рубеж</t>
    </r>
    <r>
      <rPr>
        <i/>
        <sz val="10"/>
        <color rgb="FF821E82"/>
        <rFont val="Arial"/>
        <family val="2"/>
        <charset val="204"/>
      </rPr>
      <t xml:space="preserve">
159,15 = [1 403,46 / 1,2 /  7,66] +  3% Трансп +  1,2% Заг.скл</t>
    </r>
  </si>
  <si>
    <r>
      <t>ОБОРУДОВАНИЕ:_x000D_
Изолятор шлейфа ИЗ-1 прот. R3</t>
    </r>
    <r>
      <rPr>
        <i/>
        <sz val="10"/>
        <color rgb="FF821E82"/>
        <rFont val="Arial"/>
        <family val="2"/>
        <charset val="204"/>
      </rPr>
      <t xml:space="preserve">
77,30 = [681,72 / 1,2 /  7,66] +  3% Трансп +  1,2% Заг.скл</t>
    </r>
  </si>
  <si>
    <r>
      <t>ОБОРУДОВАНИЕ:_x000D_
Извещатель охранный объемный оптико-электронный адресный ИО 40920-2</t>
    </r>
    <r>
      <rPr>
        <i/>
        <sz val="10"/>
        <color rgb="FF821E82"/>
        <rFont val="Arial"/>
        <family val="2"/>
        <charset val="204"/>
      </rPr>
      <t xml:space="preserve">
240,07 = [2 117 / 1,2 /  7,66] +  3% Трансп +  1,2% Заг.скл</t>
    </r>
  </si>
  <si>
    <r>
      <t>ОБОРУДОВАНИЕ:_x000D_
Извещатель охранный поверхностный звуковой адресный ИО 32920-2</t>
    </r>
    <r>
      <rPr>
        <i/>
        <sz val="10"/>
        <color rgb="FF821E82"/>
        <rFont val="Arial"/>
        <family val="2"/>
        <charset val="204"/>
      </rPr>
      <t xml:space="preserve">
243,34 = [2 145,87 / 1,2 /  7,66] +  3% Трансп +  1,2% Заг.скл</t>
    </r>
  </si>
  <si>
    <r>
      <t>ОБОРУДОВАНИЕ:_x000D_
Извещатель охранный магнитноуправляемый адресный ИО 10220-2</t>
    </r>
    <r>
      <rPr>
        <i/>
        <sz val="10"/>
        <color rgb="FF821E82"/>
        <rFont val="Arial"/>
        <family val="2"/>
        <charset val="204"/>
      </rPr>
      <t xml:space="preserve">
71,33 = [629 / 1,2 /  7,66] +  3% Трансп +  1,2% Заг.скл</t>
    </r>
  </si>
  <si>
    <r>
      <t>ОБОРУДОВАНИЕ:_x000D_
Адресная метка, 4 шлейфа АМ-4-R3</t>
    </r>
    <r>
      <rPr>
        <i/>
        <sz val="10"/>
        <color rgb="FF821E82"/>
        <rFont val="Arial"/>
        <family val="2"/>
        <charset val="204"/>
      </rPr>
      <t xml:space="preserve">
185,42 = [1 635,11 / 1,2 /  7,66] +  3% Трансп +  1,2% Заг.скл</t>
    </r>
  </si>
  <si>
    <r>
      <t>ОБОРУДОВАНИЕ:_x000D_
Извещатель охранный ручной точечный электроконтактный Астра-321 (ИО 101-7)</t>
    </r>
    <r>
      <rPr>
        <i/>
        <sz val="10"/>
        <color rgb="FF821E82"/>
        <rFont val="Arial"/>
        <family val="2"/>
        <charset val="204"/>
      </rPr>
      <t xml:space="preserve">
48,08 = [424 / 1,2 /  7,66] +  3% Трансп +  1,2% Заг.скл</t>
    </r>
  </si>
  <si>
    <r>
      <t>ОБОРУДОВАНИЕ:_x000D_
Световой оповещатель "Маяк-12-С"</t>
    </r>
    <r>
      <rPr>
        <i/>
        <sz val="10"/>
        <color rgb="FF821E82"/>
        <rFont val="Arial"/>
        <family val="2"/>
        <charset val="204"/>
      </rPr>
      <t xml:space="preserve">
25,75 = [227 / 1,2 /  7,66] +  3% Трансп +  1,2% Заг.скл</t>
    </r>
  </si>
  <si>
    <t xml:space="preserve">   Итого по ТСН-2001.16</t>
  </si>
  <si>
    <t xml:space="preserve">   Итого возвратных сумм</t>
  </si>
  <si>
    <t>к нр *1</t>
  </si>
  <si>
    <t>ОБОРУДОВАНИЕ:_x000D_
Шнур коммутационный (патч-корд) тип разъемов RJ45 - RJ45, категория 5E, оболочка LSZH, длина 1 м, неэкранированный</t>
  </si>
  <si>
    <r>
      <t>Кабель интерфейса RS-485 Лоутокс 20нг(А)-LSLTx 1x2x0,5</t>
    </r>
    <r>
      <rPr>
        <i/>
        <sz val="10"/>
        <rFont val="Arial"/>
        <family val="2"/>
        <charset val="204"/>
      </rPr>
      <t xml:space="preserve">
7 061,54 = [82 080 / 1,2 /  9,88] +  2% Заг.скл</t>
    </r>
  </si>
  <si>
    <r>
      <t>Кавбель КСВВнг(А)-LSLTx 1x2x0,8</t>
    </r>
    <r>
      <rPr>
        <i/>
        <sz val="10"/>
        <rFont val="Arial"/>
        <family val="2"/>
        <charset val="204"/>
      </rPr>
      <t xml:space="preserve">
4 135,58 = [48 070 / 1,2 /  9,88] +  2% Заг.скл</t>
    </r>
  </si>
  <si>
    <r>
      <t>Кабель витая пара UTP Cat5e PVCLS 1х2х0,52нг(A)- LSLTx</t>
    </r>
    <r>
      <rPr>
        <i/>
        <sz val="10"/>
        <rFont val="Arial"/>
        <family val="2"/>
        <charset val="204"/>
      </rPr>
      <t xml:space="preserve">
2 950,05 = [34 290 / 1,2 /  9,88] +  2% Заг.скл</t>
    </r>
  </si>
  <si>
    <r>
      <t>Кабель витая пара UTP Cat5e PVCLS 4х2х0,52нг(A)- LSLTx</t>
    </r>
    <r>
      <rPr>
        <i/>
        <sz val="10"/>
        <rFont val="Arial"/>
        <family val="2"/>
        <charset val="204"/>
      </rPr>
      <t xml:space="preserve">
8 031,98 = [93 360 / 1,2 /  9,88]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</si>
  <si>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</si>
  <si>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</si>
  <si>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</si>
  <si>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</si>
  <si>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</si>
  <si>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</si>
  <si>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</si>
  <si>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</si>
  <si>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</si>
  <si>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</si>
  <si>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</si>
  <si>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</si>
  <si>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 xml:space="preserve"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</si>
</sst>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6" fillId="0" borderId="0" xfId="0" applyFont="1" applyAlignment="1">
      <alignment horizontal="left" wrapText="1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46"/>
  <sheetViews>
    <sheetView tabSelected="1" view="pageBreakPreview" topLeftCell="A310" zoomScale="60" zoomScaleNormal="100" workbookViewId="0">
      <selection activeCell="J13" sqref="J13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2.28515625" customWidth="1"/>
    <col min="7" max="7" width="8.5703125" bestFit="1" customWidth="1"/>
    <col min="9" max="9" width="11.28515625" customWidth="1"/>
    <col min="10" max="10" width="11.5703125" customWidth="1"/>
    <col min="11" max="11" width="12.7109375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1" t="s">
        <v>429</v>
      </c>
      <c r="K2" s="31"/>
    </row>
    <row r="3" spans="1:42" ht="31.5" x14ac:dyDescent="0.25">
      <c r="A3" s="12" t="s">
        <v>483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2" t="s">
        <v>430</v>
      </c>
    </row>
    <row r="4" spans="1:42" x14ac:dyDescent="0.2">
      <c r="A4" s="13" t="s">
        <v>408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12" t="str">
        <f>CONCATENATE( "ЛОКАЛЬНАЯ СМЕТА № ",IF(Source!F20&lt;&gt;"Новая локальная смета", Source!F20, ""))</f>
        <v>ЛОКАЛЬНАЯ СМЕТА № 02-01-16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15" t="str">
        <f>IF(Source!G20&lt;&gt;"Новая локальная смета", Source!G20, "")</f>
        <v>Система охранно-тревожной сигнализации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2">
      <c r="A9" s="16" t="s">
        <v>409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18" t="str">
        <f>CONCATENATE( "Основание: чертежи № ", Source!J20)</f>
        <v>Основание: чертежи № 2024-00272-00-ИОС5.8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410</v>
      </c>
      <c r="J13" s="20" t="s">
        <v>411</v>
      </c>
      <c r="K13" s="11"/>
    </row>
    <row r="14" spans="1:42" ht="15" x14ac:dyDescent="0.25">
      <c r="A14" s="11"/>
      <c r="B14" s="11"/>
      <c r="C14" s="11"/>
      <c r="D14" s="11"/>
      <c r="E14" s="21" t="s">
        <v>412</v>
      </c>
      <c r="F14" s="21"/>
      <c r="G14" s="21"/>
      <c r="H14" s="21"/>
      <c r="I14" s="22">
        <f>I15+I16+I17+I18</f>
        <v>136.25</v>
      </c>
      <c r="J14" s="22">
        <f>J15+J16+J17+J18</f>
        <v>2626.4300000000003</v>
      </c>
      <c r="K14" s="23" t="s">
        <v>471</v>
      </c>
    </row>
    <row r="15" spans="1:42" ht="14.25" x14ac:dyDescent="0.2">
      <c r="A15" s="11"/>
      <c r="B15" s="11"/>
      <c r="C15" s="11"/>
      <c r="D15" s="11"/>
      <c r="E15" s="24" t="s">
        <v>413</v>
      </c>
      <c r="F15" s="24"/>
      <c r="G15" s="24"/>
      <c r="H15" s="24"/>
      <c r="I15" s="25">
        <f>ROUND((Source!F199)/1000, 2)</f>
        <v>0</v>
      </c>
      <c r="J15" s="25">
        <f>ROUND((Source!P199)/1000, 2)</f>
        <v>0</v>
      </c>
      <c r="K15" s="11" t="s">
        <v>471</v>
      </c>
    </row>
    <row r="16" spans="1:42" ht="14.25" x14ac:dyDescent="0.2">
      <c r="A16" s="11"/>
      <c r="B16" s="11"/>
      <c r="C16" s="11"/>
      <c r="D16" s="11"/>
      <c r="E16" s="24" t="s">
        <v>414</v>
      </c>
      <c r="F16" s="24"/>
      <c r="G16" s="24"/>
      <c r="H16" s="24"/>
      <c r="I16" s="25">
        <f>ROUND((Source!F200)/1000, 2)</f>
        <v>69.47</v>
      </c>
      <c r="J16" s="25">
        <f>ROUND((Source!P200)/1000, 2)</f>
        <v>2114.92</v>
      </c>
      <c r="K16" s="11" t="s">
        <v>471</v>
      </c>
    </row>
    <row r="17" spans="1:42" ht="14.25" x14ac:dyDescent="0.2">
      <c r="A17" s="11"/>
      <c r="B17" s="11"/>
      <c r="C17" s="11"/>
      <c r="D17" s="11"/>
      <c r="E17" s="24" t="s">
        <v>17</v>
      </c>
      <c r="F17" s="24"/>
      <c r="G17" s="24"/>
      <c r="H17" s="24"/>
      <c r="I17" s="25">
        <f>ROUND((Source!F191)/1000, 2)</f>
        <v>66.78</v>
      </c>
      <c r="J17" s="25">
        <f>ROUND((Source!P191)/1000, 2)</f>
        <v>511.51</v>
      </c>
      <c r="K17" s="11" t="s">
        <v>471</v>
      </c>
    </row>
    <row r="18" spans="1:42" ht="14.25" x14ac:dyDescent="0.2">
      <c r="A18" s="11"/>
      <c r="B18" s="11"/>
      <c r="C18" s="11"/>
      <c r="D18" s="11"/>
      <c r="E18" s="24" t="s">
        <v>415</v>
      </c>
      <c r="F18" s="24"/>
      <c r="G18" s="24"/>
      <c r="H18" s="24"/>
      <c r="I18" s="25">
        <f>ROUND((Source!F201+Source!F202)/1000, 2)</f>
        <v>0</v>
      </c>
      <c r="J18" s="25">
        <f>ROUND((Source!P201+Source!P202)/1000, 2)</f>
        <v>0</v>
      </c>
      <c r="K18" s="11" t="s">
        <v>471</v>
      </c>
    </row>
    <row r="19" spans="1:42" ht="14.25" x14ac:dyDescent="0.2">
      <c r="A19" s="11"/>
      <c r="B19" s="11"/>
      <c r="C19" s="11"/>
      <c r="D19" s="11"/>
      <c r="E19" s="24" t="s">
        <v>416</v>
      </c>
      <c r="F19" s="24"/>
      <c r="G19" s="24"/>
      <c r="H19" s="24"/>
      <c r="I19" s="25">
        <f>(Source!F197+ Source!F196)/1000</f>
        <v>13.606920000000001</v>
      </c>
      <c r="J19" s="25">
        <f>((Source!P197 + Source!P196)/1000)</f>
        <v>748.24451999999997</v>
      </c>
      <c r="K19" s="11" t="s">
        <v>471</v>
      </c>
    </row>
    <row r="20" spans="1:42" ht="14.25" x14ac:dyDescent="0.2">
      <c r="A20" s="11"/>
      <c r="B20" s="11"/>
      <c r="C20" s="11"/>
      <c r="D20" s="11"/>
      <c r="E20" s="24" t="s">
        <v>417</v>
      </c>
      <c r="F20" s="24"/>
      <c r="G20" s="24"/>
      <c r="H20" s="24"/>
      <c r="I20" s="25">
        <f>Source!F204</f>
        <v>1038.1040283900002</v>
      </c>
      <c r="J20" s="25"/>
      <c r="K20" s="11" t="s">
        <v>277</v>
      </c>
    </row>
    <row r="21" spans="1:42" ht="14.25" hidden="1" x14ac:dyDescent="0.2">
      <c r="A21" s="11"/>
      <c r="B21" s="11"/>
      <c r="C21" s="11"/>
      <c r="D21" s="11"/>
      <c r="E21" s="26" t="s">
        <v>418</v>
      </c>
      <c r="F21" s="26"/>
      <c r="G21" s="26"/>
      <c r="H21" s="26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7" t="s">
        <v>187</v>
      </c>
      <c r="F22" s="27"/>
      <c r="G22" s="27"/>
      <c r="H22" s="27"/>
      <c r="I22" s="25">
        <f>SUM(Y28:Y335)/1000</f>
        <v>0</v>
      </c>
      <c r="J22" s="25">
        <f>SUM(Z28:Z335)/1000</f>
        <v>0</v>
      </c>
      <c r="K22" s="11" t="s">
        <v>471</v>
      </c>
    </row>
    <row r="23" spans="1:42" ht="14.25" x14ac:dyDescent="0.2">
      <c r="A23" s="11"/>
      <c r="B23" s="11"/>
      <c r="C23" s="11"/>
      <c r="D23" s="11"/>
      <c r="E23" s="11"/>
      <c r="F23" s="28"/>
      <c r="G23" s="28"/>
      <c r="H23" s="28"/>
      <c r="I23" s="25"/>
      <c r="J23" s="25"/>
      <c r="K23" s="11"/>
    </row>
    <row r="24" spans="1:42" ht="14.25" x14ac:dyDescent="0.2">
      <c r="A24" s="11" t="s">
        <v>431</v>
      </c>
      <c r="B24" s="11"/>
      <c r="C24" s="11"/>
      <c r="D24" s="11"/>
      <c r="E24" s="11"/>
      <c r="F24" s="28"/>
      <c r="G24" s="28"/>
      <c r="H24" s="28"/>
      <c r="I24" s="25"/>
      <c r="J24" s="25"/>
      <c r="K24" s="11"/>
    </row>
    <row r="25" spans="1:42" ht="28.5" x14ac:dyDescent="0.2">
      <c r="A25" s="18" t="s">
        <v>432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3" t="s">
        <v>432</v>
      </c>
    </row>
    <row r="26" spans="1:42" ht="114" x14ac:dyDescent="0.2">
      <c r="A26" s="29" t="s">
        <v>419</v>
      </c>
      <c r="B26" s="29" t="s">
        <v>420</v>
      </c>
      <c r="C26" s="29" t="s">
        <v>421</v>
      </c>
      <c r="D26" s="29" t="s">
        <v>422</v>
      </c>
      <c r="E26" s="29" t="s">
        <v>423</v>
      </c>
      <c r="F26" s="29" t="s">
        <v>424</v>
      </c>
      <c r="G26" s="30" t="s">
        <v>425</v>
      </c>
      <c r="H26" s="30" t="s">
        <v>426</v>
      </c>
      <c r="I26" s="29" t="s">
        <v>433</v>
      </c>
      <c r="J26" s="29" t="s">
        <v>427</v>
      </c>
      <c r="K26" s="29" t="s">
        <v>428</v>
      </c>
    </row>
    <row r="27" spans="1:42" ht="14.25" x14ac:dyDescent="0.2">
      <c r="A27" s="29">
        <v>1</v>
      </c>
      <c r="B27" s="29">
        <v>2</v>
      </c>
      <c r="C27" s="29">
        <v>3</v>
      </c>
      <c r="D27" s="29">
        <v>4</v>
      </c>
      <c r="E27" s="29">
        <v>5</v>
      </c>
      <c r="F27" s="29">
        <v>6</v>
      </c>
      <c r="G27" s="29">
        <v>7</v>
      </c>
      <c r="H27" s="29">
        <v>8</v>
      </c>
      <c r="I27" s="29">
        <v>9</v>
      </c>
      <c r="J27" s="29">
        <v>10</v>
      </c>
      <c r="K27" s="29">
        <v>11</v>
      </c>
    </row>
    <row r="29" spans="1:42" ht="16.5" x14ac:dyDescent="0.2">
      <c r="A29" s="34" t="str">
        <f>CONCATENATE("Раздел: ",IF(Source!G24&lt;&gt;"Новый раздел", Source!G24, ""))</f>
        <v>Раздел: Оборудование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42" ht="28.5" x14ac:dyDescent="0.2">
      <c r="A30" s="35">
        <v>1</v>
      </c>
      <c r="B30" s="35" t="str">
        <f>Source!F28</f>
        <v>4.10-75-6</v>
      </c>
      <c r="C30" s="35" t="s">
        <v>20</v>
      </c>
      <c r="D30" s="37" t="str">
        <f>Source!H28</f>
        <v>1  ШТ.</v>
      </c>
      <c r="E30" s="36">
        <f>Source!I28</f>
        <v>1</v>
      </c>
      <c r="F30" s="39"/>
      <c r="G30" s="38"/>
      <c r="H30" s="36"/>
      <c r="I30" s="39"/>
      <c r="J30" s="36"/>
      <c r="K30" s="39"/>
      <c r="Q30">
        <f>Source!X28</f>
        <v>96.65</v>
      </c>
      <c r="R30">
        <f>Source!X29</f>
        <v>5314.95</v>
      </c>
      <c r="S30">
        <f>Source!Y28</f>
        <v>53.92</v>
      </c>
      <c r="T30">
        <f>Source!Y29</f>
        <v>2965.18</v>
      </c>
      <c r="U30">
        <f>ROUND((175/100)*ROUND(Source!R28, 2), 2)</f>
        <v>0</v>
      </c>
      <c r="V30">
        <f>ROUND((0/100)*ROUND(Source!R29, 2), 2)</f>
        <v>0</v>
      </c>
      <c r="AC30">
        <v>0</v>
      </c>
    </row>
    <row r="31" spans="1:42" ht="14.25" x14ac:dyDescent="0.2">
      <c r="A31" s="35"/>
      <c r="B31" s="35"/>
      <c r="C31" s="35" t="s">
        <v>434</v>
      </c>
      <c r="D31" s="37"/>
      <c r="E31" s="36"/>
      <c r="F31" s="39">
        <f>Source!AO28</f>
        <v>88.34</v>
      </c>
      <c r="G31" s="38" t="str">
        <f>Source!DG28</f>
        <v>*1,1</v>
      </c>
      <c r="H31" s="36">
        <f>Source!AV29</f>
        <v>1.0469999999999999</v>
      </c>
      <c r="I31" s="39">
        <f>Source!S28</f>
        <v>101.74</v>
      </c>
      <c r="J31" s="36">
        <f>IF(Source!BA29&lt;&gt; 0, Source!BA29, 1)</f>
        <v>54.99</v>
      </c>
      <c r="K31" s="39">
        <f>Source!S29</f>
        <v>5594.68</v>
      </c>
    </row>
    <row r="32" spans="1:42" ht="14.25" x14ac:dyDescent="0.2">
      <c r="A32" s="35"/>
      <c r="B32" s="35"/>
      <c r="C32" s="35" t="s">
        <v>435</v>
      </c>
      <c r="D32" s="37"/>
      <c r="E32" s="36"/>
      <c r="F32" s="39">
        <f>Source!AL28</f>
        <v>34.869999999999997</v>
      </c>
      <c r="G32" s="38" t="str">
        <f>Source!DD28</f>
        <v>*1</v>
      </c>
      <c r="H32" s="36">
        <f>Source!AW29</f>
        <v>1</v>
      </c>
      <c r="I32" s="39">
        <f>Source!P28</f>
        <v>34.869999999999997</v>
      </c>
      <c r="J32" s="36">
        <f>IF(Source!BC29&lt;&gt; 0, Source!BC29, 1)</f>
        <v>11.35</v>
      </c>
      <c r="K32" s="39">
        <f>Source!P29</f>
        <v>395.77</v>
      </c>
    </row>
    <row r="33" spans="1:29" ht="14.25" x14ac:dyDescent="0.2">
      <c r="A33" s="35"/>
      <c r="B33" s="35"/>
      <c r="C33" s="35" t="s">
        <v>436</v>
      </c>
      <c r="D33" s="37" t="s">
        <v>437</v>
      </c>
      <c r="E33" s="36">
        <f>Source!BZ29</f>
        <v>95</v>
      </c>
      <c r="F33" s="39"/>
      <c r="G33" s="38"/>
      <c r="H33" s="36"/>
      <c r="I33" s="39">
        <f>SUM(Q30:Q32)</f>
        <v>96.65</v>
      </c>
      <c r="J33" s="36">
        <f>Source!AT29</f>
        <v>95</v>
      </c>
      <c r="K33" s="39">
        <f>SUM(R30:R32)</f>
        <v>5314.95</v>
      </c>
    </row>
    <row r="34" spans="1:29" ht="14.25" x14ac:dyDescent="0.2">
      <c r="A34" s="35"/>
      <c r="B34" s="35"/>
      <c r="C34" s="35" t="s">
        <v>438</v>
      </c>
      <c r="D34" s="37" t="s">
        <v>437</v>
      </c>
      <c r="E34" s="36">
        <f>Source!CA29</f>
        <v>53</v>
      </c>
      <c r="F34" s="39"/>
      <c r="G34" s="38"/>
      <c r="H34" s="36"/>
      <c r="I34" s="39">
        <f>SUM(S30:S33)</f>
        <v>53.92</v>
      </c>
      <c r="J34" s="36">
        <f>Source!AU29</f>
        <v>53</v>
      </c>
      <c r="K34" s="39">
        <f>SUM(T30:T33)</f>
        <v>2965.18</v>
      </c>
    </row>
    <row r="35" spans="1:29" ht="14.25" x14ac:dyDescent="0.2">
      <c r="A35" s="40"/>
      <c r="B35" s="40"/>
      <c r="C35" s="40" t="s">
        <v>439</v>
      </c>
      <c r="D35" s="41" t="s">
        <v>440</v>
      </c>
      <c r="E35" s="42">
        <f>Source!AQ28</f>
        <v>7</v>
      </c>
      <c r="F35" s="43"/>
      <c r="G35" s="44" t="str">
        <f>Source!DI28</f>
        <v>*1,1</v>
      </c>
      <c r="H35" s="42">
        <f>Source!AV29</f>
        <v>1.0469999999999999</v>
      </c>
      <c r="I35" s="43">
        <f>Source!U28</f>
        <v>8.0619000000000014</v>
      </c>
      <c r="J35" s="42"/>
      <c r="K35" s="43"/>
    </row>
    <row r="36" spans="1:29" ht="15" x14ac:dyDescent="0.2">
      <c r="C36" s="45" t="s">
        <v>441</v>
      </c>
      <c r="H36" s="46">
        <f>I31+I32+I33+I34+0-0-0</f>
        <v>287.18</v>
      </c>
      <c r="I36" s="46"/>
      <c r="J36" s="46">
        <f>K31+K32+K33+K34+0-0-0</f>
        <v>14270.580000000002</v>
      </c>
      <c r="K36" s="46"/>
    </row>
    <row r="37" spans="1:29" ht="15" hidden="1" x14ac:dyDescent="0.2">
      <c r="C37" s="45" t="s">
        <v>442</v>
      </c>
      <c r="H37" s="48">
        <f>0+0</f>
        <v>0</v>
      </c>
      <c r="I37" s="48"/>
      <c r="J37" s="48">
        <f>0+0</f>
        <v>0</v>
      </c>
      <c r="K37" s="48"/>
    </row>
    <row r="38" spans="1:29" ht="15" x14ac:dyDescent="0.2">
      <c r="C38" s="45" t="s">
        <v>443</v>
      </c>
      <c r="H38" s="48">
        <f>I31+I32+I33+I34+0</f>
        <v>287.18</v>
      </c>
      <c r="I38" s="48"/>
      <c r="J38" s="48">
        <f>K31+K32+K33+K34+0</f>
        <v>14270.580000000002</v>
      </c>
      <c r="K38" s="48"/>
      <c r="O38" s="49">
        <f>I31+I32+I33+I34+0</f>
        <v>287.18</v>
      </c>
      <c r="P38" s="49">
        <f>K31+K32+K33+K34+0</f>
        <v>14270.580000000002</v>
      </c>
    </row>
    <row r="40" spans="1:29" ht="82.5" x14ac:dyDescent="0.2">
      <c r="A40" s="50">
        <v>2</v>
      </c>
      <c r="B40" s="50" t="str">
        <f>Source!F30</f>
        <v>КА-1</v>
      </c>
      <c r="C40" s="50" t="s">
        <v>444</v>
      </c>
      <c r="D40" s="51" t="str">
        <f>Source!H30</f>
        <v>ШТ</v>
      </c>
      <c r="E40" s="52">
        <f>Source!I30</f>
        <v>1</v>
      </c>
      <c r="F40" s="53">
        <f>Source!AL30</f>
        <v>8561.59</v>
      </c>
      <c r="G40" s="54" t="str">
        <f>Source!DD30</f>
        <v/>
      </c>
      <c r="H40" s="52">
        <f>Source!AW31</f>
        <v>1</v>
      </c>
      <c r="I40" s="53">
        <f>Source!P30</f>
        <v>8561.59</v>
      </c>
      <c r="J40" s="52">
        <f>IF(Source!BC31&lt;&gt; 0, Source!BC31, 1)</f>
        <v>7.66</v>
      </c>
      <c r="K40" s="53">
        <f>Source!P31</f>
        <v>65581.78</v>
      </c>
      <c r="Q40">
        <f>Source!X30</f>
        <v>0</v>
      </c>
      <c r="R40">
        <f>Source!X31</f>
        <v>0</v>
      </c>
      <c r="S40">
        <f>Source!Y30</f>
        <v>0</v>
      </c>
      <c r="T40">
        <f>Source!Y31</f>
        <v>0</v>
      </c>
      <c r="U40">
        <f>ROUND((175/100)*ROUND(Source!R30, 2), 2)</f>
        <v>0</v>
      </c>
      <c r="V40">
        <f>ROUND((0/100)*ROUND(Source!R31, 2), 2)</f>
        <v>0</v>
      </c>
      <c r="AC40">
        <v>5</v>
      </c>
    </row>
    <row r="41" spans="1:29" ht="15" x14ac:dyDescent="0.2">
      <c r="A41" s="55"/>
      <c r="B41" s="55"/>
      <c r="C41" s="56" t="s">
        <v>443</v>
      </c>
      <c r="D41" s="55"/>
      <c r="E41" s="55"/>
      <c r="F41" s="55"/>
      <c r="G41" s="55"/>
      <c r="H41" s="57">
        <f>I40+0</f>
        <v>8561.59</v>
      </c>
      <c r="I41" s="57"/>
      <c r="J41" s="57">
        <f>K40+0</f>
        <v>65581.78</v>
      </c>
      <c r="K41" s="57"/>
      <c r="O41" s="49">
        <f>I40+0</f>
        <v>8561.59</v>
      </c>
      <c r="P41" s="49">
        <f>K40+0</f>
        <v>65581.78</v>
      </c>
    </row>
    <row r="43" spans="1:29" ht="68.25" x14ac:dyDescent="0.2">
      <c r="A43" s="50">
        <v>3</v>
      </c>
      <c r="B43" s="50" t="str">
        <f>Source!F32</f>
        <v>КА-2</v>
      </c>
      <c r="C43" s="50" t="s">
        <v>445</v>
      </c>
      <c r="D43" s="51" t="str">
        <f>Source!H32</f>
        <v>ШТ</v>
      </c>
      <c r="E43" s="52">
        <f>Source!I32</f>
        <v>1</v>
      </c>
      <c r="F43" s="53">
        <f>Source!AL32</f>
        <v>1655.6200000000001</v>
      </c>
      <c r="G43" s="54" t="str">
        <f>Source!DD32</f>
        <v/>
      </c>
      <c r="H43" s="52">
        <f>Source!AW33</f>
        <v>1</v>
      </c>
      <c r="I43" s="53">
        <f>Source!P32</f>
        <v>1655.62</v>
      </c>
      <c r="J43" s="52">
        <f>IF(Source!BC33&lt;&gt; 0, Source!BC33, 1)</f>
        <v>7.66</v>
      </c>
      <c r="K43" s="53">
        <f>Source!P33</f>
        <v>12682.05</v>
      </c>
      <c r="Q43">
        <f>Source!X32</f>
        <v>0</v>
      </c>
      <c r="R43">
        <f>Source!X33</f>
        <v>0</v>
      </c>
      <c r="S43">
        <f>Source!Y32</f>
        <v>0</v>
      </c>
      <c r="T43">
        <f>Source!Y33</f>
        <v>0</v>
      </c>
      <c r="U43">
        <f>ROUND((175/100)*ROUND(Source!R32, 2), 2)</f>
        <v>0</v>
      </c>
      <c r="V43">
        <f>ROUND((0/100)*ROUND(Source!R33, 2), 2)</f>
        <v>0</v>
      </c>
      <c r="AC43">
        <v>5</v>
      </c>
    </row>
    <row r="44" spans="1:29" ht="15" x14ac:dyDescent="0.2">
      <c r="A44" s="55"/>
      <c r="B44" s="55"/>
      <c r="C44" s="56" t="s">
        <v>443</v>
      </c>
      <c r="D44" s="55"/>
      <c r="E44" s="55"/>
      <c r="F44" s="55"/>
      <c r="G44" s="55"/>
      <c r="H44" s="57">
        <f>I43+0</f>
        <v>1655.62</v>
      </c>
      <c r="I44" s="57"/>
      <c r="J44" s="57">
        <f>K43+0</f>
        <v>12682.05</v>
      </c>
      <c r="K44" s="57"/>
      <c r="O44" s="49">
        <f>I43+0</f>
        <v>1655.62</v>
      </c>
      <c r="P44" s="49">
        <f>K43+0</f>
        <v>12682.05</v>
      </c>
    </row>
    <row r="46" spans="1:29" ht="28.5" x14ac:dyDescent="0.2">
      <c r="A46" s="35">
        <v>4</v>
      </c>
      <c r="B46" s="35" t="str">
        <f>Source!F34</f>
        <v>4.10-173-2</v>
      </c>
      <c r="C46" s="35" t="s">
        <v>44</v>
      </c>
      <c r="D46" s="37" t="str">
        <f>Source!H34</f>
        <v>1  ШТ.</v>
      </c>
      <c r="E46" s="36">
        <f>Source!I34</f>
        <v>1</v>
      </c>
      <c r="F46" s="39"/>
      <c r="G46" s="38"/>
      <c r="H46" s="36"/>
      <c r="I46" s="39"/>
      <c r="J46" s="36"/>
      <c r="K46" s="39"/>
      <c r="Q46">
        <f>Source!X34</f>
        <v>41.63</v>
      </c>
      <c r="R46">
        <f>Source!X35</f>
        <v>2289.46</v>
      </c>
      <c r="S46">
        <f>Source!Y34</f>
        <v>21.28</v>
      </c>
      <c r="T46">
        <f>Source!Y35</f>
        <v>1170.17</v>
      </c>
      <c r="U46">
        <f>ROUND((175/100)*ROUND(Source!R34, 2), 2)</f>
        <v>0</v>
      </c>
      <c r="V46">
        <f>ROUND((0/100)*ROUND(Source!R35, 2), 2)</f>
        <v>0</v>
      </c>
      <c r="AC46">
        <v>0</v>
      </c>
    </row>
    <row r="47" spans="1:29" ht="14.25" x14ac:dyDescent="0.2">
      <c r="A47" s="35"/>
      <c r="B47" s="35"/>
      <c r="C47" s="35" t="s">
        <v>434</v>
      </c>
      <c r="D47" s="37"/>
      <c r="E47" s="36"/>
      <c r="F47" s="39">
        <f>Source!AO34</f>
        <v>40.17</v>
      </c>
      <c r="G47" s="38" t="str">
        <f>Source!DG34</f>
        <v>*1,1</v>
      </c>
      <c r="H47" s="36">
        <f>Source!AV35</f>
        <v>1.0469999999999999</v>
      </c>
      <c r="I47" s="39">
        <f>Source!S34</f>
        <v>46.26</v>
      </c>
      <c r="J47" s="36">
        <f>IF(Source!BA35&lt;&gt; 0, Source!BA35, 1)</f>
        <v>54.99</v>
      </c>
      <c r="K47" s="39">
        <f>Source!S35</f>
        <v>2543.84</v>
      </c>
    </row>
    <row r="48" spans="1:29" ht="14.25" x14ac:dyDescent="0.2">
      <c r="A48" s="35"/>
      <c r="B48" s="35"/>
      <c r="C48" s="35" t="s">
        <v>435</v>
      </c>
      <c r="D48" s="37"/>
      <c r="E48" s="36"/>
      <c r="F48" s="39">
        <f>Source!AL34</f>
        <v>2.34</v>
      </c>
      <c r="G48" s="38" t="str">
        <f>Source!DD34</f>
        <v>*1</v>
      </c>
      <c r="H48" s="36">
        <f>Source!AW35</f>
        <v>1</v>
      </c>
      <c r="I48" s="39">
        <f>Source!P34</f>
        <v>2.34</v>
      </c>
      <c r="J48" s="36">
        <f>IF(Source!BC35&lt;&gt; 0, Source!BC35, 1)</f>
        <v>10.26</v>
      </c>
      <c r="K48" s="39">
        <f>Source!P35</f>
        <v>24.01</v>
      </c>
    </row>
    <row r="49" spans="1:29" ht="14.25" x14ac:dyDescent="0.2">
      <c r="A49" s="35"/>
      <c r="B49" s="35"/>
      <c r="C49" s="35" t="s">
        <v>436</v>
      </c>
      <c r="D49" s="37" t="s">
        <v>437</v>
      </c>
      <c r="E49" s="36">
        <f>Source!BZ35</f>
        <v>90</v>
      </c>
      <c r="F49" s="39"/>
      <c r="G49" s="38"/>
      <c r="H49" s="36"/>
      <c r="I49" s="39">
        <f>SUM(Q46:Q48)</f>
        <v>41.63</v>
      </c>
      <c r="J49" s="36">
        <f>Source!AT35</f>
        <v>90</v>
      </c>
      <c r="K49" s="39">
        <f>SUM(R46:R48)</f>
        <v>2289.46</v>
      </c>
    </row>
    <row r="50" spans="1:29" ht="14.25" x14ac:dyDescent="0.2">
      <c r="A50" s="35"/>
      <c r="B50" s="35"/>
      <c r="C50" s="35" t="s">
        <v>438</v>
      </c>
      <c r="D50" s="37" t="s">
        <v>437</v>
      </c>
      <c r="E50" s="36">
        <f>Source!CA35</f>
        <v>46</v>
      </c>
      <c r="F50" s="39"/>
      <c r="G50" s="38"/>
      <c r="H50" s="36"/>
      <c r="I50" s="39">
        <f>SUM(S46:S49)</f>
        <v>21.28</v>
      </c>
      <c r="J50" s="36">
        <f>Source!AU35</f>
        <v>46</v>
      </c>
      <c r="K50" s="39">
        <f>SUM(T46:T49)</f>
        <v>1170.17</v>
      </c>
    </row>
    <row r="51" spans="1:29" ht="14.25" x14ac:dyDescent="0.2">
      <c r="A51" s="40"/>
      <c r="B51" s="40"/>
      <c r="C51" s="40" t="s">
        <v>439</v>
      </c>
      <c r="D51" s="41" t="s">
        <v>440</v>
      </c>
      <c r="E51" s="42">
        <f>Source!AQ34</f>
        <v>3.18</v>
      </c>
      <c r="F51" s="43"/>
      <c r="G51" s="44" t="str">
        <f>Source!DI34</f>
        <v>*1,1</v>
      </c>
      <c r="H51" s="42">
        <f>Source!AV35</f>
        <v>1.0469999999999999</v>
      </c>
      <c r="I51" s="43">
        <f>Source!U34</f>
        <v>3.6624060000000003</v>
      </c>
      <c r="J51" s="42"/>
      <c r="K51" s="43"/>
    </row>
    <row r="52" spans="1:29" ht="15" x14ac:dyDescent="0.2">
      <c r="C52" s="45" t="s">
        <v>441</v>
      </c>
      <c r="H52" s="46">
        <f>I47+I48+I49+I50+0-0-0</f>
        <v>111.50999999999999</v>
      </c>
      <c r="I52" s="46"/>
      <c r="J52" s="46">
        <f>K47+K48+K49+K50+0-0-0</f>
        <v>6027.4800000000005</v>
      </c>
      <c r="K52" s="46"/>
    </row>
    <row r="53" spans="1:29" ht="15" hidden="1" x14ac:dyDescent="0.2">
      <c r="C53" s="45" t="s">
        <v>442</v>
      </c>
      <c r="H53" s="48">
        <f>0+0</f>
        <v>0</v>
      </c>
      <c r="I53" s="48"/>
      <c r="J53" s="48">
        <f>0+0</f>
        <v>0</v>
      </c>
      <c r="K53" s="48"/>
    </row>
    <row r="54" spans="1:29" ht="15" x14ac:dyDescent="0.2">
      <c r="C54" s="45" t="s">
        <v>443</v>
      </c>
      <c r="H54" s="48">
        <f>I47+I48+I49+I50+0</f>
        <v>111.50999999999999</v>
      </c>
      <c r="I54" s="48"/>
      <c r="J54" s="48">
        <f>K47+K48+K49+K50+0</f>
        <v>6027.4800000000005</v>
      </c>
      <c r="K54" s="48"/>
      <c r="O54" s="49">
        <f>I47+I48+I49+I50+0</f>
        <v>111.50999999999999</v>
      </c>
      <c r="P54" s="49">
        <f>K47+K48+K49+K50+0</f>
        <v>6027.4800000000005</v>
      </c>
    </row>
    <row r="56" spans="1:29" ht="68.25" x14ac:dyDescent="0.2">
      <c r="A56" s="50">
        <v>5</v>
      </c>
      <c r="B56" s="50" t="str">
        <f>Source!F36</f>
        <v>КА-3</v>
      </c>
      <c r="C56" s="50" t="s">
        <v>446</v>
      </c>
      <c r="D56" s="51" t="str">
        <f>Source!H36</f>
        <v>ШТ</v>
      </c>
      <c r="E56" s="52">
        <f>Source!I36</f>
        <v>1</v>
      </c>
      <c r="F56" s="53">
        <f>Source!AL36</f>
        <v>1280.27</v>
      </c>
      <c r="G56" s="54" t="str">
        <f>Source!DD36</f>
        <v/>
      </c>
      <c r="H56" s="52">
        <f>Source!AW37</f>
        <v>1</v>
      </c>
      <c r="I56" s="53">
        <f>Source!P36</f>
        <v>1280.27</v>
      </c>
      <c r="J56" s="52">
        <f>IF(Source!BC37&lt;&gt; 0, Source!BC37, 1)</f>
        <v>7.66</v>
      </c>
      <c r="K56" s="53">
        <f>Source!P37</f>
        <v>9806.8700000000008</v>
      </c>
      <c r="Q56">
        <f>Source!X36</f>
        <v>0</v>
      </c>
      <c r="R56">
        <f>Source!X37</f>
        <v>0</v>
      </c>
      <c r="S56">
        <f>Source!Y36</f>
        <v>0</v>
      </c>
      <c r="T56">
        <f>Source!Y37</f>
        <v>0</v>
      </c>
      <c r="U56">
        <f>ROUND((175/100)*ROUND(Source!R36, 2), 2)</f>
        <v>0</v>
      </c>
      <c r="V56">
        <f>ROUND((0/100)*ROUND(Source!R37, 2), 2)</f>
        <v>0</v>
      </c>
      <c r="AC56">
        <v>5</v>
      </c>
    </row>
    <row r="57" spans="1:29" ht="15" x14ac:dyDescent="0.2">
      <c r="A57" s="55"/>
      <c r="B57" s="55"/>
      <c r="C57" s="56" t="s">
        <v>443</v>
      </c>
      <c r="D57" s="55"/>
      <c r="E57" s="55"/>
      <c r="F57" s="55"/>
      <c r="G57" s="55"/>
      <c r="H57" s="57">
        <f>I56+0</f>
        <v>1280.27</v>
      </c>
      <c r="I57" s="57"/>
      <c r="J57" s="57">
        <f>K56+0</f>
        <v>9806.8700000000008</v>
      </c>
      <c r="K57" s="57"/>
      <c r="O57" s="49">
        <f>I56+0</f>
        <v>1280.27</v>
      </c>
      <c r="P57" s="49">
        <f>K56+0</f>
        <v>9806.8700000000008</v>
      </c>
    </row>
    <row r="59" spans="1:29" ht="57" x14ac:dyDescent="0.2">
      <c r="A59" s="35">
        <v>6</v>
      </c>
      <c r="B59" s="35" t="str">
        <f>Source!F38</f>
        <v>4.10-80-1</v>
      </c>
      <c r="C59" s="35" t="s">
        <v>54</v>
      </c>
      <c r="D59" s="37" t="str">
        <f>Source!H38</f>
        <v>1  ШТ.</v>
      </c>
      <c r="E59" s="36">
        <f>Source!I38</f>
        <v>1</v>
      </c>
      <c r="F59" s="39"/>
      <c r="G59" s="38"/>
      <c r="H59" s="36"/>
      <c r="I59" s="39"/>
      <c r="J59" s="36"/>
      <c r="K59" s="39"/>
      <c r="Q59">
        <f>Source!X38</f>
        <v>98.52</v>
      </c>
      <c r="R59">
        <f>Source!X39</f>
        <v>5417.78</v>
      </c>
      <c r="S59">
        <f>Source!Y38</f>
        <v>50.36</v>
      </c>
      <c r="T59">
        <f>Source!Y39</f>
        <v>2769.09</v>
      </c>
      <c r="U59">
        <f>ROUND((175/100)*ROUND(Source!R38, 2), 2)</f>
        <v>0.02</v>
      </c>
      <c r="V59">
        <f>ROUND((0/100)*ROUND(Source!R39, 2), 2)</f>
        <v>0</v>
      </c>
      <c r="AC59">
        <v>0</v>
      </c>
    </row>
    <row r="60" spans="1:29" ht="14.25" x14ac:dyDescent="0.2">
      <c r="A60" s="35"/>
      <c r="B60" s="35"/>
      <c r="C60" s="35" t="s">
        <v>434</v>
      </c>
      <c r="D60" s="37"/>
      <c r="E60" s="36"/>
      <c r="F60" s="39">
        <f>Source!AO38</f>
        <v>95.04</v>
      </c>
      <c r="G60" s="38" t="str">
        <f>Source!DG38</f>
        <v>*1,1</v>
      </c>
      <c r="H60" s="36">
        <f>Source!AV39</f>
        <v>1.0469999999999999</v>
      </c>
      <c r="I60" s="39">
        <f>Source!S38</f>
        <v>109.46</v>
      </c>
      <c r="J60" s="36">
        <f>IF(Source!BA39&lt;&gt; 0, Source!BA39, 1)</f>
        <v>54.99</v>
      </c>
      <c r="K60" s="39">
        <f>Source!S39</f>
        <v>6019.21</v>
      </c>
    </row>
    <row r="61" spans="1:29" ht="14.25" x14ac:dyDescent="0.2">
      <c r="A61" s="35"/>
      <c r="B61" s="35"/>
      <c r="C61" s="35" t="s">
        <v>447</v>
      </c>
      <c r="D61" s="37"/>
      <c r="E61" s="36"/>
      <c r="F61" s="39">
        <f>Source!AM38</f>
        <v>0.06</v>
      </c>
      <c r="G61" s="38" t="str">
        <f>Source!DE38</f>
        <v>*1,1</v>
      </c>
      <c r="H61" s="36">
        <f>Source!AV39</f>
        <v>1.0469999999999999</v>
      </c>
      <c r="I61" s="39">
        <f>Source!Q38</f>
        <v>7.0000000000000007E-2</v>
      </c>
      <c r="J61" s="36">
        <f>IF(Source!BB39&lt;&gt; 0, Source!BB39, 1)</f>
        <v>17.5</v>
      </c>
      <c r="K61" s="39">
        <f>Source!Q39</f>
        <v>1.23</v>
      </c>
    </row>
    <row r="62" spans="1:29" ht="14.25" x14ac:dyDescent="0.2">
      <c r="A62" s="35"/>
      <c r="B62" s="35"/>
      <c r="C62" s="35" t="s">
        <v>448</v>
      </c>
      <c r="D62" s="37"/>
      <c r="E62" s="36"/>
      <c r="F62" s="39">
        <f>Source!AN38</f>
        <v>0.01</v>
      </c>
      <c r="G62" s="38" t="str">
        <f>Source!DF38</f>
        <v>*1,1</v>
      </c>
      <c r="H62" s="36">
        <f>Source!AV39</f>
        <v>1.0469999999999999</v>
      </c>
      <c r="I62" s="58">
        <f>Source!R38</f>
        <v>0.01</v>
      </c>
      <c r="J62" s="36">
        <f>IF(Source!BS39&lt;&gt; 0, Source!BS39, 1)</f>
        <v>54.99</v>
      </c>
      <c r="K62" s="58">
        <f>Source!R39</f>
        <v>0.55000000000000004</v>
      </c>
    </row>
    <row r="63" spans="1:29" ht="14.25" x14ac:dyDescent="0.2">
      <c r="A63" s="35"/>
      <c r="B63" s="35"/>
      <c r="C63" s="35" t="s">
        <v>435</v>
      </c>
      <c r="D63" s="37"/>
      <c r="E63" s="36"/>
      <c r="F63" s="39">
        <f>Source!AL38</f>
        <v>12.53</v>
      </c>
      <c r="G63" s="38" t="str">
        <f>Source!DD38</f>
        <v>*1</v>
      </c>
      <c r="H63" s="36">
        <f>Source!AW39</f>
        <v>1</v>
      </c>
      <c r="I63" s="39">
        <f>Source!P38</f>
        <v>12.53</v>
      </c>
      <c r="J63" s="36">
        <f>IF(Source!BC39&lt;&gt; 0, Source!BC39, 1)</f>
        <v>9.89</v>
      </c>
      <c r="K63" s="39">
        <f>Source!P39</f>
        <v>123.92</v>
      </c>
    </row>
    <row r="64" spans="1:29" ht="14.25" x14ac:dyDescent="0.2">
      <c r="A64" s="35"/>
      <c r="B64" s="35"/>
      <c r="C64" s="35" t="s">
        <v>436</v>
      </c>
      <c r="D64" s="37" t="s">
        <v>437</v>
      </c>
      <c r="E64" s="36">
        <f>Source!BZ39</f>
        <v>90</v>
      </c>
      <c r="F64" s="39"/>
      <c r="G64" s="38"/>
      <c r="H64" s="36"/>
      <c r="I64" s="39">
        <f>SUM(Q59:Q63)</f>
        <v>98.52</v>
      </c>
      <c r="J64" s="36">
        <f>Source!AT39</f>
        <v>90</v>
      </c>
      <c r="K64" s="39">
        <f>SUM(R59:R63)</f>
        <v>5417.78</v>
      </c>
    </row>
    <row r="65" spans="1:29" ht="14.25" x14ac:dyDescent="0.2">
      <c r="A65" s="35"/>
      <c r="B65" s="35"/>
      <c r="C65" s="35" t="s">
        <v>438</v>
      </c>
      <c r="D65" s="37" t="s">
        <v>437</v>
      </c>
      <c r="E65" s="36">
        <f>Source!CA39</f>
        <v>46</v>
      </c>
      <c r="F65" s="39"/>
      <c r="G65" s="38"/>
      <c r="H65" s="36"/>
      <c r="I65" s="39">
        <f>SUM(S59:S64)</f>
        <v>50.36</v>
      </c>
      <c r="J65" s="36">
        <f>Source!AU39</f>
        <v>46</v>
      </c>
      <c r="K65" s="39">
        <f>SUM(T59:T64)</f>
        <v>2769.09</v>
      </c>
    </row>
    <row r="66" spans="1:29" ht="14.25" x14ac:dyDescent="0.2">
      <c r="A66" s="40"/>
      <c r="B66" s="40"/>
      <c r="C66" s="40" t="s">
        <v>439</v>
      </c>
      <c r="D66" s="41" t="s">
        <v>440</v>
      </c>
      <c r="E66" s="42">
        <f>Source!AQ38</f>
        <v>7.2</v>
      </c>
      <c r="F66" s="43"/>
      <c r="G66" s="44" t="str">
        <f>Source!DI38</f>
        <v>*1,1</v>
      </c>
      <c r="H66" s="42">
        <f>Source!AV39</f>
        <v>1.0469999999999999</v>
      </c>
      <c r="I66" s="43">
        <f>Source!U38</f>
        <v>8.2922399999999996</v>
      </c>
      <c r="J66" s="42"/>
      <c r="K66" s="43"/>
    </row>
    <row r="67" spans="1:29" ht="15" x14ac:dyDescent="0.2">
      <c r="C67" s="45" t="s">
        <v>441</v>
      </c>
      <c r="H67" s="46">
        <f>I60+I61+I63+I64+I65+0-0-0</f>
        <v>270.94</v>
      </c>
      <c r="I67" s="46"/>
      <c r="J67" s="46">
        <f>K60+K61+K63+K64+K65+0-0-0</f>
        <v>14331.23</v>
      </c>
      <c r="K67" s="46"/>
    </row>
    <row r="68" spans="1:29" ht="15" hidden="1" x14ac:dyDescent="0.2">
      <c r="C68" s="45" t="s">
        <v>442</v>
      </c>
      <c r="H68" s="48">
        <f>0+0</f>
        <v>0</v>
      </c>
      <c r="I68" s="48"/>
      <c r="J68" s="48">
        <f>0+0</f>
        <v>0</v>
      </c>
      <c r="K68" s="48"/>
    </row>
    <row r="69" spans="1:29" ht="15" x14ac:dyDescent="0.2">
      <c r="C69" s="45" t="s">
        <v>443</v>
      </c>
      <c r="H69" s="48">
        <f>I60+I61+I63+I64+I65+0</f>
        <v>270.94</v>
      </c>
      <c r="I69" s="48"/>
      <c r="J69" s="48">
        <f>K60+K61+K63+K64+K65+0</f>
        <v>14331.23</v>
      </c>
      <c r="K69" s="48"/>
      <c r="O69" s="49">
        <f>I60+I61+I63+I64+I65+0</f>
        <v>270.94</v>
      </c>
      <c r="P69" s="49">
        <f>K60+K61+K63+K64+K65+0</f>
        <v>14331.23</v>
      </c>
    </row>
    <row r="71" spans="1:29" ht="68.25" x14ac:dyDescent="0.2">
      <c r="A71" s="50">
        <v>7</v>
      </c>
      <c r="B71" s="50" t="str">
        <f>Source!F40</f>
        <v>КА-4</v>
      </c>
      <c r="C71" s="50" t="s">
        <v>449</v>
      </c>
      <c r="D71" s="51" t="str">
        <f>Source!H40</f>
        <v>ШТ</v>
      </c>
      <c r="E71" s="52">
        <f>Source!I40</f>
        <v>1</v>
      </c>
      <c r="F71" s="53">
        <f>Source!AL40</f>
        <v>9985.5399999999991</v>
      </c>
      <c r="G71" s="54" t="str">
        <f>Source!DD40</f>
        <v/>
      </c>
      <c r="H71" s="52">
        <f>Source!AW41</f>
        <v>1</v>
      </c>
      <c r="I71" s="53">
        <f>Source!P40</f>
        <v>9985.5400000000009</v>
      </c>
      <c r="J71" s="52">
        <f>IF(Source!BC41&lt;&gt; 0, Source!BC41, 1)</f>
        <v>7.66</v>
      </c>
      <c r="K71" s="53">
        <f>Source!P41</f>
        <v>76489.240000000005</v>
      </c>
      <c r="Q71">
        <f>Source!X40</f>
        <v>0</v>
      </c>
      <c r="R71">
        <f>Source!X41</f>
        <v>0</v>
      </c>
      <c r="S71">
        <f>Source!Y40</f>
        <v>0</v>
      </c>
      <c r="T71">
        <f>Source!Y41</f>
        <v>0</v>
      </c>
      <c r="U71">
        <f>ROUND((175/100)*ROUND(Source!R40, 2), 2)</f>
        <v>0</v>
      </c>
      <c r="V71">
        <f>ROUND((0/100)*ROUND(Source!R41, 2), 2)</f>
        <v>0</v>
      </c>
      <c r="AC71">
        <v>5</v>
      </c>
    </row>
    <row r="72" spans="1:29" ht="15" x14ac:dyDescent="0.2">
      <c r="A72" s="55"/>
      <c r="B72" s="55"/>
      <c r="C72" s="56" t="s">
        <v>443</v>
      </c>
      <c r="D72" s="55"/>
      <c r="E72" s="55"/>
      <c r="F72" s="55"/>
      <c r="G72" s="55"/>
      <c r="H72" s="57">
        <f>I71+0</f>
        <v>9985.5400000000009</v>
      </c>
      <c r="I72" s="57"/>
      <c r="J72" s="57">
        <f>K71+0</f>
        <v>76489.240000000005</v>
      </c>
      <c r="K72" s="57"/>
      <c r="O72" s="49">
        <f>I71+0</f>
        <v>9985.5400000000009</v>
      </c>
      <c r="P72" s="49">
        <f>K71+0</f>
        <v>76489.240000000005</v>
      </c>
    </row>
    <row r="74" spans="1:29" ht="28.5" x14ac:dyDescent="0.2">
      <c r="A74" s="35">
        <v>8</v>
      </c>
      <c r="B74" s="35" t="str">
        <f>Source!F42</f>
        <v>4.10-80-13</v>
      </c>
      <c r="C74" s="35" t="s">
        <v>62</v>
      </c>
      <c r="D74" s="37" t="str">
        <f>Source!H42</f>
        <v>1  ШТ.</v>
      </c>
      <c r="E74" s="36">
        <f>Source!I42</f>
        <v>1</v>
      </c>
      <c r="F74" s="39"/>
      <c r="G74" s="38"/>
      <c r="H74" s="36"/>
      <c r="I74" s="39"/>
      <c r="J74" s="36"/>
      <c r="K74" s="39"/>
      <c r="Q74">
        <f>Source!X42</f>
        <v>16.670000000000002</v>
      </c>
      <c r="R74">
        <f>Source!X43</f>
        <v>916.57</v>
      </c>
      <c r="S74">
        <f>Source!Y42</f>
        <v>8.52</v>
      </c>
      <c r="T74">
        <f>Source!Y43</f>
        <v>468.47</v>
      </c>
      <c r="U74">
        <f>ROUND((175/100)*ROUND(Source!R42, 2), 2)</f>
        <v>0.02</v>
      </c>
      <c r="V74">
        <f>ROUND((0/100)*ROUND(Source!R43, 2), 2)</f>
        <v>0</v>
      </c>
      <c r="AC74">
        <v>0</v>
      </c>
    </row>
    <row r="75" spans="1:29" ht="14.25" x14ac:dyDescent="0.2">
      <c r="A75" s="35"/>
      <c r="B75" s="35"/>
      <c r="C75" s="35" t="s">
        <v>434</v>
      </c>
      <c r="D75" s="37"/>
      <c r="E75" s="36"/>
      <c r="F75" s="39">
        <f>Source!AO42</f>
        <v>16.07</v>
      </c>
      <c r="G75" s="38" t="str">
        <f>Source!DG42</f>
        <v>*1,1</v>
      </c>
      <c r="H75" s="36">
        <f>Source!AV43</f>
        <v>1.0469999999999999</v>
      </c>
      <c r="I75" s="39">
        <f>Source!S42</f>
        <v>18.510000000000002</v>
      </c>
      <c r="J75" s="36">
        <f>IF(Source!BA43&lt;&gt; 0, Source!BA43, 1)</f>
        <v>54.99</v>
      </c>
      <c r="K75" s="39">
        <f>Source!S43</f>
        <v>1017.86</v>
      </c>
    </row>
    <row r="76" spans="1:29" ht="14.25" x14ac:dyDescent="0.2">
      <c r="A76" s="35"/>
      <c r="B76" s="35"/>
      <c r="C76" s="35" t="s">
        <v>447</v>
      </c>
      <c r="D76" s="37"/>
      <c r="E76" s="36"/>
      <c r="F76" s="39">
        <f>Source!AM42</f>
        <v>0.05</v>
      </c>
      <c r="G76" s="38" t="str">
        <f>Source!DE42</f>
        <v>*1,1</v>
      </c>
      <c r="H76" s="36">
        <f>Source!AV43</f>
        <v>1.0469999999999999</v>
      </c>
      <c r="I76" s="39">
        <f>Source!Q42</f>
        <v>0.06</v>
      </c>
      <c r="J76" s="36">
        <f>IF(Source!BB43&lt;&gt; 0, Source!BB43, 1)</f>
        <v>19</v>
      </c>
      <c r="K76" s="39">
        <f>Source!Q43</f>
        <v>1.1399999999999999</v>
      </c>
    </row>
    <row r="77" spans="1:29" ht="14.25" x14ac:dyDescent="0.2">
      <c r="A77" s="35"/>
      <c r="B77" s="35"/>
      <c r="C77" s="35" t="s">
        <v>448</v>
      </c>
      <c r="D77" s="37"/>
      <c r="E77" s="36"/>
      <c r="F77" s="39">
        <f>Source!AN42</f>
        <v>0.01</v>
      </c>
      <c r="G77" s="38" t="str">
        <f>Source!DF42</f>
        <v>*1,1</v>
      </c>
      <c r="H77" s="36">
        <f>Source!AV43</f>
        <v>1.0469999999999999</v>
      </c>
      <c r="I77" s="58">
        <f>Source!R42</f>
        <v>0.01</v>
      </c>
      <c r="J77" s="36">
        <f>IF(Source!BS43&lt;&gt; 0, Source!BS43, 1)</f>
        <v>54.99</v>
      </c>
      <c r="K77" s="58">
        <f>Source!R43</f>
        <v>0.55000000000000004</v>
      </c>
    </row>
    <row r="78" spans="1:29" ht="14.25" x14ac:dyDescent="0.2">
      <c r="A78" s="35"/>
      <c r="B78" s="35"/>
      <c r="C78" s="35" t="s">
        <v>435</v>
      </c>
      <c r="D78" s="37"/>
      <c r="E78" s="36"/>
      <c r="F78" s="39">
        <f>Source!AL42</f>
        <v>1.96</v>
      </c>
      <c r="G78" s="38" t="str">
        <f>Source!DD42</f>
        <v>*1</v>
      </c>
      <c r="H78" s="36">
        <f>Source!AW43</f>
        <v>1</v>
      </c>
      <c r="I78" s="39">
        <f>Source!P42</f>
        <v>1.96</v>
      </c>
      <c r="J78" s="36">
        <f>IF(Source!BC43&lt;&gt; 0, Source!BC43, 1)</f>
        <v>9.89</v>
      </c>
      <c r="K78" s="39">
        <f>Source!P43</f>
        <v>19.38</v>
      </c>
    </row>
    <row r="79" spans="1:29" ht="14.25" x14ac:dyDescent="0.2">
      <c r="A79" s="35"/>
      <c r="B79" s="35"/>
      <c r="C79" s="35" t="s">
        <v>436</v>
      </c>
      <c r="D79" s="37" t="s">
        <v>437</v>
      </c>
      <c r="E79" s="36">
        <f>Source!BZ43</f>
        <v>90</v>
      </c>
      <c r="F79" s="39"/>
      <c r="G79" s="38"/>
      <c r="H79" s="36"/>
      <c r="I79" s="39">
        <f>SUM(Q74:Q78)</f>
        <v>16.670000000000002</v>
      </c>
      <c r="J79" s="36">
        <f>Source!AT43</f>
        <v>90</v>
      </c>
      <c r="K79" s="39">
        <f>SUM(R74:R78)</f>
        <v>916.57</v>
      </c>
    </row>
    <row r="80" spans="1:29" ht="14.25" x14ac:dyDescent="0.2">
      <c r="A80" s="35"/>
      <c r="B80" s="35"/>
      <c r="C80" s="35" t="s">
        <v>438</v>
      </c>
      <c r="D80" s="37" t="s">
        <v>437</v>
      </c>
      <c r="E80" s="36">
        <f>Source!CA43</f>
        <v>46</v>
      </c>
      <c r="F80" s="39"/>
      <c r="G80" s="38"/>
      <c r="H80" s="36"/>
      <c r="I80" s="39">
        <f>SUM(S74:S79)</f>
        <v>8.52</v>
      </c>
      <c r="J80" s="36">
        <f>Source!AU43</f>
        <v>46</v>
      </c>
      <c r="K80" s="39">
        <f>SUM(T74:T79)</f>
        <v>468.47</v>
      </c>
    </row>
    <row r="81" spans="1:29" ht="14.25" x14ac:dyDescent="0.2">
      <c r="A81" s="40"/>
      <c r="B81" s="40"/>
      <c r="C81" s="40" t="s">
        <v>439</v>
      </c>
      <c r="D81" s="41" t="s">
        <v>440</v>
      </c>
      <c r="E81" s="42">
        <f>Source!AQ42</f>
        <v>1.2</v>
      </c>
      <c r="F81" s="43"/>
      <c r="G81" s="44" t="str">
        <f>Source!DI42</f>
        <v>*1,1</v>
      </c>
      <c r="H81" s="42">
        <f>Source!AV43</f>
        <v>1.0469999999999999</v>
      </c>
      <c r="I81" s="43">
        <f>Source!U42</f>
        <v>1.3820399999999999</v>
      </c>
      <c r="J81" s="42"/>
      <c r="K81" s="43"/>
    </row>
    <row r="82" spans="1:29" ht="15" x14ac:dyDescent="0.2">
      <c r="C82" s="45" t="s">
        <v>441</v>
      </c>
      <c r="H82" s="46">
        <f>I75+I76+I78+I79+I80+0-0-0</f>
        <v>45.72</v>
      </c>
      <c r="I82" s="46"/>
      <c r="J82" s="46">
        <f>K75+K76+K78+K79+K80+0-0-0</f>
        <v>2423.42</v>
      </c>
      <c r="K82" s="46"/>
    </row>
    <row r="83" spans="1:29" ht="15" hidden="1" x14ac:dyDescent="0.2">
      <c r="C83" s="45" t="s">
        <v>442</v>
      </c>
      <c r="H83" s="48">
        <f>0+0</f>
        <v>0</v>
      </c>
      <c r="I83" s="48"/>
      <c r="J83" s="48">
        <f>0+0</f>
        <v>0</v>
      </c>
      <c r="K83" s="48"/>
    </row>
    <row r="84" spans="1:29" ht="15" x14ac:dyDescent="0.2">
      <c r="C84" s="45" t="s">
        <v>443</v>
      </c>
      <c r="H84" s="48">
        <f>I75+I76+I78+I79+I80+0</f>
        <v>45.72</v>
      </c>
      <c r="I84" s="48"/>
      <c r="J84" s="48">
        <f>K75+K76+K78+K79+K80+0</f>
        <v>2423.42</v>
      </c>
      <c r="K84" s="48"/>
      <c r="O84" s="49">
        <f>I75+I76+I78+I79+I80+0</f>
        <v>45.72</v>
      </c>
      <c r="P84" s="49">
        <f>K75+K76+K78+K79+K80+0</f>
        <v>2423.42</v>
      </c>
    </row>
    <row r="86" spans="1:29" ht="54" x14ac:dyDescent="0.2">
      <c r="A86" s="50">
        <v>9</v>
      </c>
      <c r="B86" s="50" t="str">
        <f>Source!F44</f>
        <v>КА-5</v>
      </c>
      <c r="C86" s="50" t="s">
        <v>450</v>
      </c>
      <c r="D86" s="51" t="str">
        <f>Source!H44</f>
        <v>ШТ</v>
      </c>
      <c r="E86" s="52">
        <f>Source!I44</f>
        <v>1</v>
      </c>
      <c r="F86" s="53">
        <f>Source!AL44</f>
        <v>997.80000000000007</v>
      </c>
      <c r="G86" s="54" t="str">
        <f>Source!DD44</f>
        <v/>
      </c>
      <c r="H86" s="52">
        <f>Source!AW45</f>
        <v>1</v>
      </c>
      <c r="I86" s="53">
        <f>Source!P44</f>
        <v>997.8</v>
      </c>
      <c r="J86" s="52">
        <f>IF(Source!BC45&lt;&gt; 0, Source!BC45, 1)</f>
        <v>7.66</v>
      </c>
      <c r="K86" s="53">
        <f>Source!P45</f>
        <v>7643.15</v>
      </c>
      <c r="Q86">
        <f>Source!X44</f>
        <v>0</v>
      </c>
      <c r="R86">
        <f>Source!X45</f>
        <v>0</v>
      </c>
      <c r="S86">
        <f>Source!Y44</f>
        <v>0</v>
      </c>
      <c r="T86">
        <f>Source!Y45</f>
        <v>0</v>
      </c>
      <c r="U86">
        <f>ROUND((175/100)*ROUND(Source!R44, 2), 2)</f>
        <v>0</v>
      </c>
      <c r="V86">
        <f>ROUND((0/100)*ROUND(Source!R45, 2), 2)</f>
        <v>0</v>
      </c>
      <c r="AC86">
        <v>5</v>
      </c>
    </row>
    <row r="87" spans="1:29" ht="15" x14ac:dyDescent="0.2">
      <c r="A87" s="55"/>
      <c r="B87" s="55"/>
      <c r="C87" s="56" t="s">
        <v>443</v>
      </c>
      <c r="D87" s="55"/>
      <c r="E87" s="55"/>
      <c r="F87" s="55"/>
      <c r="G87" s="55"/>
      <c r="H87" s="57">
        <f>I86+0</f>
        <v>997.8</v>
      </c>
      <c r="I87" s="57"/>
      <c r="J87" s="57">
        <f>K86+0</f>
        <v>7643.15</v>
      </c>
      <c r="K87" s="57"/>
      <c r="O87" s="49">
        <f>I86+0</f>
        <v>997.8</v>
      </c>
      <c r="P87" s="49">
        <f>K86+0</f>
        <v>7643.15</v>
      </c>
    </row>
    <row r="89" spans="1:29" ht="28.5" x14ac:dyDescent="0.2">
      <c r="A89" s="35">
        <v>10</v>
      </c>
      <c r="B89" s="35" t="str">
        <f>Source!F46</f>
        <v>4.10-80-9</v>
      </c>
      <c r="C89" s="35" t="s">
        <v>70</v>
      </c>
      <c r="D89" s="37" t="str">
        <f>Source!H46</f>
        <v>1  ШТ.</v>
      </c>
      <c r="E89" s="36">
        <f>Source!I46</f>
        <v>1</v>
      </c>
      <c r="F89" s="39"/>
      <c r="G89" s="38"/>
      <c r="H89" s="36"/>
      <c r="I89" s="39"/>
      <c r="J89" s="36"/>
      <c r="K89" s="39"/>
      <c r="Q89">
        <f>Source!X46</f>
        <v>80.180000000000007</v>
      </c>
      <c r="R89">
        <f>Source!X47</f>
        <v>4409.1499999999996</v>
      </c>
      <c r="S89">
        <f>Source!Y46</f>
        <v>40.98</v>
      </c>
      <c r="T89">
        <f>Source!Y47</f>
        <v>2253.5700000000002</v>
      </c>
      <c r="U89">
        <f>ROUND((175/100)*ROUND(Source!R46, 2), 2)</f>
        <v>0.02</v>
      </c>
      <c r="V89">
        <f>ROUND((0/100)*ROUND(Source!R47, 2), 2)</f>
        <v>0</v>
      </c>
      <c r="AC89">
        <v>0</v>
      </c>
    </row>
    <row r="90" spans="1:29" ht="14.25" x14ac:dyDescent="0.2">
      <c r="A90" s="35"/>
      <c r="B90" s="35"/>
      <c r="C90" s="35" t="s">
        <v>434</v>
      </c>
      <c r="D90" s="37"/>
      <c r="E90" s="36"/>
      <c r="F90" s="39">
        <f>Source!AO46</f>
        <v>77.349999999999994</v>
      </c>
      <c r="G90" s="38" t="str">
        <f>Source!DG46</f>
        <v>*1,1</v>
      </c>
      <c r="H90" s="36">
        <f>Source!AV47</f>
        <v>1.0469999999999999</v>
      </c>
      <c r="I90" s="39">
        <f>Source!S46</f>
        <v>89.08</v>
      </c>
      <c r="J90" s="36">
        <f>IF(Source!BA47&lt;&gt; 0, Source!BA47, 1)</f>
        <v>54.99</v>
      </c>
      <c r="K90" s="39">
        <f>Source!S47</f>
        <v>4898.51</v>
      </c>
    </row>
    <row r="91" spans="1:29" ht="14.25" x14ac:dyDescent="0.2">
      <c r="A91" s="35"/>
      <c r="B91" s="35"/>
      <c r="C91" s="35" t="s">
        <v>447</v>
      </c>
      <c r="D91" s="37"/>
      <c r="E91" s="36"/>
      <c r="F91" s="39">
        <f>Source!AM46</f>
        <v>0.05</v>
      </c>
      <c r="G91" s="38" t="str">
        <f>Source!DE46</f>
        <v>*1,1</v>
      </c>
      <c r="H91" s="36">
        <f>Source!AV47</f>
        <v>1.0469999999999999</v>
      </c>
      <c r="I91" s="39">
        <f>Source!Q46</f>
        <v>0.06</v>
      </c>
      <c r="J91" s="36">
        <f>IF(Source!BB47&lt;&gt; 0, Source!BB47, 1)</f>
        <v>19</v>
      </c>
      <c r="K91" s="39">
        <f>Source!Q47</f>
        <v>1.1399999999999999</v>
      </c>
    </row>
    <row r="92" spans="1:29" ht="14.25" x14ac:dyDescent="0.2">
      <c r="A92" s="35"/>
      <c r="B92" s="35"/>
      <c r="C92" s="35" t="s">
        <v>448</v>
      </c>
      <c r="D92" s="37"/>
      <c r="E92" s="36"/>
      <c r="F92" s="39">
        <f>Source!AN46</f>
        <v>0.01</v>
      </c>
      <c r="G92" s="38" t="str">
        <f>Source!DF46</f>
        <v>*1,1</v>
      </c>
      <c r="H92" s="36">
        <f>Source!AV47</f>
        <v>1.0469999999999999</v>
      </c>
      <c r="I92" s="58">
        <f>Source!R46</f>
        <v>0.01</v>
      </c>
      <c r="J92" s="36">
        <f>IF(Source!BS47&lt;&gt; 0, Source!BS47, 1)</f>
        <v>54.99</v>
      </c>
      <c r="K92" s="58">
        <f>Source!R47</f>
        <v>0.55000000000000004</v>
      </c>
    </row>
    <row r="93" spans="1:29" ht="14.25" x14ac:dyDescent="0.2">
      <c r="A93" s="35"/>
      <c r="B93" s="35"/>
      <c r="C93" s="35" t="s">
        <v>435</v>
      </c>
      <c r="D93" s="37"/>
      <c r="E93" s="36"/>
      <c r="F93" s="39">
        <f>Source!AL46</f>
        <v>4.83</v>
      </c>
      <c r="G93" s="38" t="str">
        <f>Source!DD46</f>
        <v>*1</v>
      </c>
      <c r="H93" s="36">
        <f>Source!AW47</f>
        <v>1</v>
      </c>
      <c r="I93" s="39">
        <f>Source!P46</f>
        <v>4.83</v>
      </c>
      <c r="J93" s="36">
        <f>IF(Source!BC47&lt;&gt; 0, Source!BC47, 1)</f>
        <v>9.89</v>
      </c>
      <c r="K93" s="39">
        <f>Source!P47</f>
        <v>47.77</v>
      </c>
    </row>
    <row r="94" spans="1:29" ht="14.25" x14ac:dyDescent="0.2">
      <c r="A94" s="35"/>
      <c r="B94" s="35"/>
      <c r="C94" s="35" t="s">
        <v>436</v>
      </c>
      <c r="D94" s="37" t="s">
        <v>437</v>
      </c>
      <c r="E94" s="36">
        <f>Source!BZ47</f>
        <v>90</v>
      </c>
      <c r="F94" s="39"/>
      <c r="G94" s="38"/>
      <c r="H94" s="36"/>
      <c r="I94" s="39">
        <f>SUM(Q89:Q93)</f>
        <v>80.180000000000007</v>
      </c>
      <c r="J94" s="36">
        <f>Source!AT47</f>
        <v>90</v>
      </c>
      <c r="K94" s="39">
        <f>SUM(R89:R93)</f>
        <v>4409.1499999999996</v>
      </c>
    </row>
    <row r="95" spans="1:29" ht="14.25" x14ac:dyDescent="0.2">
      <c r="A95" s="35"/>
      <c r="B95" s="35"/>
      <c r="C95" s="35" t="s">
        <v>438</v>
      </c>
      <c r="D95" s="37" t="s">
        <v>437</v>
      </c>
      <c r="E95" s="36">
        <f>Source!CA47</f>
        <v>46</v>
      </c>
      <c r="F95" s="39"/>
      <c r="G95" s="38"/>
      <c r="H95" s="36"/>
      <c r="I95" s="39">
        <f>SUM(S89:S94)</f>
        <v>40.98</v>
      </c>
      <c r="J95" s="36">
        <f>Source!AU47</f>
        <v>46</v>
      </c>
      <c r="K95" s="39">
        <f>SUM(T89:T94)</f>
        <v>2253.5700000000002</v>
      </c>
    </row>
    <row r="96" spans="1:29" ht="14.25" x14ac:dyDescent="0.2">
      <c r="A96" s="40"/>
      <c r="B96" s="40"/>
      <c r="C96" s="40" t="s">
        <v>439</v>
      </c>
      <c r="D96" s="41" t="s">
        <v>440</v>
      </c>
      <c r="E96" s="42">
        <f>Source!AQ46</f>
        <v>5.7</v>
      </c>
      <c r="F96" s="43"/>
      <c r="G96" s="44" t="str">
        <f>Source!DI46</f>
        <v>*1,1</v>
      </c>
      <c r="H96" s="42">
        <f>Source!AV47</f>
        <v>1.0469999999999999</v>
      </c>
      <c r="I96" s="43">
        <f>Source!U46</f>
        <v>6.5646899999999997</v>
      </c>
      <c r="J96" s="42"/>
      <c r="K96" s="43"/>
    </row>
    <row r="97" spans="1:29" ht="15" x14ac:dyDescent="0.2">
      <c r="C97" s="45" t="s">
        <v>441</v>
      </c>
      <c r="H97" s="46">
        <f>I90+I91+I93+I94+I95+0-0-0</f>
        <v>215.13</v>
      </c>
      <c r="I97" s="46"/>
      <c r="J97" s="46">
        <f>K90+K91+K93+K94+K95+0-0-0</f>
        <v>11610.14</v>
      </c>
      <c r="K97" s="46"/>
    </row>
    <row r="98" spans="1:29" ht="15" hidden="1" x14ac:dyDescent="0.2">
      <c r="C98" s="45" t="s">
        <v>442</v>
      </c>
      <c r="H98" s="48">
        <f>0+0</f>
        <v>0</v>
      </c>
      <c r="I98" s="48"/>
      <c r="J98" s="48">
        <f>0+0</f>
        <v>0</v>
      </c>
      <c r="K98" s="48"/>
    </row>
    <row r="99" spans="1:29" ht="15" x14ac:dyDescent="0.2">
      <c r="C99" s="45" t="s">
        <v>443</v>
      </c>
      <c r="H99" s="48">
        <f>I90+I91+I93+I94+I95+0</f>
        <v>215.13</v>
      </c>
      <c r="I99" s="48"/>
      <c r="J99" s="48">
        <f>K90+K91+K93+K94+K95+0</f>
        <v>11610.14</v>
      </c>
      <c r="K99" s="48"/>
      <c r="O99" s="49">
        <f>I90+I91+I93+I94+I95+0</f>
        <v>215.13</v>
      </c>
      <c r="P99" s="49">
        <f>K90+K91+K93+K94+K95+0</f>
        <v>11610.14</v>
      </c>
    </row>
    <row r="101" spans="1:29" ht="68.25" x14ac:dyDescent="0.2">
      <c r="A101" s="50">
        <v>11</v>
      </c>
      <c r="B101" s="50" t="str">
        <f>Source!F48</f>
        <v>КА-6</v>
      </c>
      <c r="C101" s="50" t="s">
        <v>451</v>
      </c>
      <c r="D101" s="51" t="str">
        <f>Source!H48</f>
        <v>ШТ</v>
      </c>
      <c r="E101" s="52">
        <f>Source!I48</f>
        <v>1</v>
      </c>
      <c r="F101" s="53">
        <f>Source!AL48</f>
        <v>2396.35</v>
      </c>
      <c r="G101" s="54" t="str">
        <f>Source!DD48</f>
        <v/>
      </c>
      <c r="H101" s="52">
        <f>Source!AW49</f>
        <v>1</v>
      </c>
      <c r="I101" s="53">
        <f>Source!P48</f>
        <v>2396.35</v>
      </c>
      <c r="J101" s="52">
        <f>IF(Source!BC49&lt;&gt; 0, Source!BC49, 1)</f>
        <v>7.66</v>
      </c>
      <c r="K101" s="53">
        <f>Source!P49</f>
        <v>18356.04</v>
      </c>
      <c r="Q101">
        <f>Source!X48</f>
        <v>0</v>
      </c>
      <c r="R101">
        <f>Source!X49</f>
        <v>0</v>
      </c>
      <c r="S101">
        <f>Source!Y48</f>
        <v>0</v>
      </c>
      <c r="T101">
        <f>Source!Y49</f>
        <v>0</v>
      </c>
      <c r="U101">
        <f>ROUND((175/100)*ROUND(Source!R48, 2), 2)</f>
        <v>0</v>
      </c>
      <c r="V101">
        <f>ROUND((0/100)*ROUND(Source!R49, 2), 2)</f>
        <v>0</v>
      </c>
      <c r="AC101">
        <v>5</v>
      </c>
    </row>
    <row r="102" spans="1:29" ht="15" x14ac:dyDescent="0.2">
      <c r="A102" s="55"/>
      <c r="B102" s="55"/>
      <c r="C102" s="56" t="s">
        <v>443</v>
      </c>
      <c r="D102" s="55"/>
      <c r="E102" s="55"/>
      <c r="F102" s="55"/>
      <c r="G102" s="55"/>
      <c r="H102" s="57">
        <f>I101+0</f>
        <v>2396.35</v>
      </c>
      <c r="I102" s="57"/>
      <c r="J102" s="57">
        <f>K101+0</f>
        <v>18356.04</v>
      </c>
      <c r="K102" s="57"/>
      <c r="O102" s="49">
        <f>I101+0</f>
        <v>2396.35</v>
      </c>
      <c r="P102" s="49">
        <f>K101+0</f>
        <v>18356.04</v>
      </c>
    </row>
    <row r="104" spans="1:29" ht="57" x14ac:dyDescent="0.2">
      <c r="A104" s="35">
        <v>12</v>
      </c>
      <c r="B104" s="35" t="str">
        <f>Source!F50</f>
        <v>4.10-82-3</v>
      </c>
      <c r="C104" s="35" t="s">
        <v>78</v>
      </c>
      <c r="D104" s="37" t="str">
        <f>Source!H50</f>
        <v>1  ШТ.</v>
      </c>
      <c r="E104" s="36">
        <f>Source!I50</f>
        <v>1</v>
      </c>
      <c r="F104" s="39"/>
      <c r="G104" s="38"/>
      <c r="H104" s="36"/>
      <c r="I104" s="39"/>
      <c r="J104" s="36"/>
      <c r="K104" s="39"/>
      <c r="Q104">
        <f>Source!X50</f>
        <v>49.97</v>
      </c>
      <c r="R104">
        <f>Source!X51</f>
        <v>2747.74</v>
      </c>
      <c r="S104">
        <f>Source!Y50</f>
        <v>25.54</v>
      </c>
      <c r="T104">
        <f>Source!Y51</f>
        <v>1404.4</v>
      </c>
      <c r="U104">
        <f>ROUND((175/100)*ROUND(Source!R50, 2), 2)</f>
        <v>0.02</v>
      </c>
      <c r="V104">
        <f>ROUND((0/100)*ROUND(Source!R51, 2), 2)</f>
        <v>0</v>
      </c>
      <c r="AC104">
        <v>0</v>
      </c>
    </row>
    <row r="105" spans="1:29" ht="14.25" x14ac:dyDescent="0.2">
      <c r="A105" s="35"/>
      <c r="B105" s="35"/>
      <c r="C105" s="35" t="s">
        <v>434</v>
      </c>
      <c r="D105" s="37"/>
      <c r="E105" s="36"/>
      <c r="F105" s="39">
        <f>Source!AO50</f>
        <v>48.2</v>
      </c>
      <c r="G105" s="38" t="str">
        <f>Source!DG50</f>
        <v>*1,1</v>
      </c>
      <c r="H105" s="36">
        <f>Source!AV51</f>
        <v>1.0469999999999999</v>
      </c>
      <c r="I105" s="39">
        <f>Source!S50</f>
        <v>55.51</v>
      </c>
      <c r="J105" s="36">
        <f>IF(Source!BA51&lt;&gt; 0, Source!BA51, 1)</f>
        <v>54.99</v>
      </c>
      <c r="K105" s="39">
        <f>Source!S51</f>
        <v>3052.49</v>
      </c>
    </row>
    <row r="106" spans="1:29" ht="14.25" x14ac:dyDescent="0.2">
      <c r="A106" s="35"/>
      <c r="B106" s="35"/>
      <c r="C106" s="35" t="s">
        <v>447</v>
      </c>
      <c r="D106" s="37"/>
      <c r="E106" s="36"/>
      <c r="F106" s="39">
        <f>Source!AM50</f>
        <v>0.05</v>
      </c>
      <c r="G106" s="38" t="str">
        <f>Source!DE50</f>
        <v>*1,1</v>
      </c>
      <c r="H106" s="36">
        <f>Source!AV51</f>
        <v>1.0469999999999999</v>
      </c>
      <c r="I106" s="39">
        <f>Source!Q50</f>
        <v>0.06</v>
      </c>
      <c r="J106" s="36">
        <f>IF(Source!BB51&lt;&gt; 0, Source!BB51, 1)</f>
        <v>19</v>
      </c>
      <c r="K106" s="39">
        <f>Source!Q51</f>
        <v>1.1399999999999999</v>
      </c>
    </row>
    <row r="107" spans="1:29" ht="14.25" x14ac:dyDescent="0.2">
      <c r="A107" s="35"/>
      <c r="B107" s="35"/>
      <c r="C107" s="35" t="s">
        <v>448</v>
      </c>
      <c r="D107" s="37"/>
      <c r="E107" s="36"/>
      <c r="F107" s="39">
        <f>Source!AN50</f>
        <v>0.01</v>
      </c>
      <c r="G107" s="38" t="str">
        <f>Source!DF50</f>
        <v>*1,1</v>
      </c>
      <c r="H107" s="36">
        <f>Source!AV51</f>
        <v>1.0469999999999999</v>
      </c>
      <c r="I107" s="58">
        <f>Source!R50</f>
        <v>0.01</v>
      </c>
      <c r="J107" s="36">
        <f>IF(Source!BS51&lt;&gt; 0, Source!BS51, 1)</f>
        <v>54.99</v>
      </c>
      <c r="K107" s="58">
        <f>Source!R51</f>
        <v>0.55000000000000004</v>
      </c>
    </row>
    <row r="108" spans="1:29" ht="14.25" x14ac:dyDescent="0.2">
      <c r="A108" s="35"/>
      <c r="B108" s="35"/>
      <c r="C108" s="35" t="s">
        <v>435</v>
      </c>
      <c r="D108" s="37"/>
      <c r="E108" s="36"/>
      <c r="F108" s="39">
        <f>Source!AL50</f>
        <v>3.36</v>
      </c>
      <c r="G108" s="38" t="str">
        <f>Source!DD50</f>
        <v>*1</v>
      </c>
      <c r="H108" s="36">
        <f>Source!AW51</f>
        <v>1</v>
      </c>
      <c r="I108" s="39">
        <f>Source!P50</f>
        <v>3.36</v>
      </c>
      <c r="J108" s="36">
        <f>IF(Source!BC51&lt;&gt; 0, Source!BC51, 1)</f>
        <v>9.89</v>
      </c>
      <c r="K108" s="39">
        <f>Source!P51</f>
        <v>33.229999999999997</v>
      </c>
    </row>
    <row r="109" spans="1:29" ht="14.25" x14ac:dyDescent="0.2">
      <c r="A109" s="35"/>
      <c r="B109" s="35"/>
      <c r="C109" s="35" t="s">
        <v>436</v>
      </c>
      <c r="D109" s="37" t="s">
        <v>437</v>
      </c>
      <c r="E109" s="36">
        <f>Source!BZ51</f>
        <v>90</v>
      </c>
      <c r="F109" s="39"/>
      <c r="G109" s="38"/>
      <c r="H109" s="36"/>
      <c r="I109" s="39">
        <f>SUM(Q104:Q108)</f>
        <v>49.97</v>
      </c>
      <c r="J109" s="36">
        <f>Source!AT51</f>
        <v>90</v>
      </c>
      <c r="K109" s="39">
        <f>SUM(R104:R108)</f>
        <v>2747.74</v>
      </c>
    </row>
    <row r="110" spans="1:29" ht="14.25" x14ac:dyDescent="0.2">
      <c r="A110" s="35"/>
      <c r="B110" s="35"/>
      <c r="C110" s="35" t="s">
        <v>438</v>
      </c>
      <c r="D110" s="37" t="s">
        <v>437</v>
      </c>
      <c r="E110" s="36">
        <f>Source!CA51</f>
        <v>46</v>
      </c>
      <c r="F110" s="39"/>
      <c r="G110" s="38"/>
      <c r="H110" s="36"/>
      <c r="I110" s="39">
        <f>SUM(S104:S109)</f>
        <v>25.54</v>
      </c>
      <c r="J110" s="36">
        <f>Source!AU51</f>
        <v>46</v>
      </c>
      <c r="K110" s="39">
        <f>SUM(T104:T109)</f>
        <v>1404.4</v>
      </c>
    </row>
    <row r="111" spans="1:29" ht="14.25" x14ac:dyDescent="0.2">
      <c r="A111" s="40"/>
      <c r="B111" s="40"/>
      <c r="C111" s="40" t="s">
        <v>439</v>
      </c>
      <c r="D111" s="41" t="s">
        <v>440</v>
      </c>
      <c r="E111" s="42">
        <f>Source!AQ50</f>
        <v>3.6</v>
      </c>
      <c r="F111" s="43"/>
      <c r="G111" s="44" t="str">
        <f>Source!DI50</f>
        <v>*1,1</v>
      </c>
      <c r="H111" s="42">
        <f>Source!AV51</f>
        <v>1.0469999999999999</v>
      </c>
      <c r="I111" s="43">
        <f>Source!U50</f>
        <v>4.1461199999999998</v>
      </c>
      <c r="J111" s="42"/>
      <c r="K111" s="43"/>
    </row>
    <row r="112" spans="1:29" ht="15" x14ac:dyDescent="0.2">
      <c r="C112" s="45" t="s">
        <v>441</v>
      </c>
      <c r="H112" s="46">
        <f>I105+I106+I108+I109+I110+0-0-0</f>
        <v>134.44</v>
      </c>
      <c r="I112" s="46"/>
      <c r="J112" s="46">
        <f>K105+K106+K108+K109+K110+0-0-0</f>
        <v>7239</v>
      </c>
      <c r="K112" s="46"/>
    </row>
    <row r="113" spans="1:29" ht="15" hidden="1" x14ac:dyDescent="0.2">
      <c r="C113" s="45" t="s">
        <v>442</v>
      </c>
      <c r="H113" s="48">
        <f>0+0</f>
        <v>0</v>
      </c>
      <c r="I113" s="48"/>
      <c r="J113" s="48">
        <f>0+0</f>
        <v>0</v>
      </c>
      <c r="K113" s="48"/>
    </row>
    <row r="114" spans="1:29" ht="15" x14ac:dyDescent="0.2">
      <c r="C114" s="45" t="s">
        <v>443</v>
      </c>
      <c r="H114" s="48">
        <f>I105+I106+I108+I109+I110+0</f>
        <v>134.44</v>
      </c>
      <c r="I114" s="48"/>
      <c r="J114" s="48">
        <f>K105+K106+K108+K109+K110+0</f>
        <v>7239</v>
      </c>
      <c r="K114" s="48"/>
      <c r="O114" s="49">
        <f>I105+I106+I108+I109+I110+0</f>
        <v>134.44</v>
      </c>
      <c r="P114" s="49">
        <f>K105+K106+K108+K109+K110+0</f>
        <v>7239</v>
      </c>
    </row>
    <row r="116" spans="1:29" ht="68.25" x14ac:dyDescent="0.2">
      <c r="A116" s="50">
        <v>13</v>
      </c>
      <c r="B116" s="50" t="str">
        <f>Source!F52</f>
        <v>КА-7</v>
      </c>
      <c r="C116" s="50" t="s">
        <v>452</v>
      </c>
      <c r="D116" s="51" t="str">
        <f>Source!H52</f>
        <v>ШТ</v>
      </c>
      <c r="E116" s="52">
        <f>Source!I52</f>
        <v>1</v>
      </c>
      <c r="F116" s="53">
        <f>Source!AL52</f>
        <v>1829.8000000000002</v>
      </c>
      <c r="G116" s="54" t="str">
        <f>Source!DD52</f>
        <v/>
      </c>
      <c r="H116" s="52">
        <f>Source!AW53</f>
        <v>1</v>
      </c>
      <c r="I116" s="53">
        <f>Source!P52</f>
        <v>1829.8</v>
      </c>
      <c r="J116" s="52">
        <f>IF(Source!BC53&lt;&gt; 0, Source!BC53, 1)</f>
        <v>7.66</v>
      </c>
      <c r="K116" s="53">
        <f>Source!P53</f>
        <v>14016.27</v>
      </c>
      <c r="Q116">
        <f>Source!X52</f>
        <v>0</v>
      </c>
      <c r="R116">
        <f>Source!X53</f>
        <v>0</v>
      </c>
      <c r="S116">
        <f>Source!Y52</f>
        <v>0</v>
      </c>
      <c r="T116">
        <f>Source!Y53</f>
        <v>0</v>
      </c>
      <c r="U116">
        <f>ROUND((175/100)*ROUND(Source!R52, 2), 2)</f>
        <v>0</v>
      </c>
      <c r="V116">
        <f>ROUND((0/100)*ROUND(Source!R53, 2), 2)</f>
        <v>0</v>
      </c>
      <c r="AC116">
        <v>5</v>
      </c>
    </row>
    <row r="117" spans="1:29" ht="15" x14ac:dyDescent="0.2">
      <c r="A117" s="55"/>
      <c r="B117" s="55"/>
      <c r="C117" s="56" t="s">
        <v>443</v>
      </c>
      <c r="D117" s="55"/>
      <c r="E117" s="55"/>
      <c r="F117" s="55"/>
      <c r="G117" s="55"/>
      <c r="H117" s="57">
        <f>I116+0</f>
        <v>1829.8</v>
      </c>
      <c r="I117" s="57"/>
      <c r="J117" s="57">
        <f>K116+0</f>
        <v>14016.27</v>
      </c>
      <c r="K117" s="57"/>
      <c r="O117" s="49">
        <f>I116+0</f>
        <v>1829.8</v>
      </c>
      <c r="P117" s="49">
        <f>K116+0</f>
        <v>14016.27</v>
      </c>
    </row>
    <row r="119" spans="1:29" ht="28.5" x14ac:dyDescent="0.2">
      <c r="A119" s="35">
        <v>14</v>
      </c>
      <c r="B119" s="35" t="str">
        <f>Source!F54</f>
        <v>4.10-173-2</v>
      </c>
      <c r="C119" s="35" t="s">
        <v>44</v>
      </c>
      <c r="D119" s="37" t="str">
        <f>Source!H54</f>
        <v>1  ШТ.</v>
      </c>
      <c r="E119" s="36">
        <f>Source!I54</f>
        <v>3</v>
      </c>
      <c r="F119" s="39"/>
      <c r="G119" s="38"/>
      <c r="H119" s="36"/>
      <c r="I119" s="39"/>
      <c r="J119" s="36"/>
      <c r="K119" s="39"/>
      <c r="Q119">
        <f>Source!X54</f>
        <v>124.91</v>
      </c>
      <c r="R119">
        <f>Source!X55</f>
        <v>6868.85</v>
      </c>
      <c r="S119">
        <f>Source!Y54</f>
        <v>63.84</v>
      </c>
      <c r="T119">
        <f>Source!Y55</f>
        <v>3510.75</v>
      </c>
      <c r="U119">
        <f>ROUND((175/100)*ROUND(Source!R54, 2), 2)</f>
        <v>0</v>
      </c>
      <c r="V119">
        <f>ROUND((0/100)*ROUND(Source!R55, 2), 2)</f>
        <v>0</v>
      </c>
      <c r="AC119">
        <v>0</v>
      </c>
    </row>
    <row r="120" spans="1:29" ht="14.25" x14ac:dyDescent="0.2">
      <c r="A120" s="35"/>
      <c r="B120" s="35"/>
      <c r="C120" s="35" t="s">
        <v>434</v>
      </c>
      <c r="D120" s="37"/>
      <c r="E120" s="36"/>
      <c r="F120" s="39">
        <f>Source!AO54</f>
        <v>40.17</v>
      </c>
      <c r="G120" s="38" t="str">
        <f>Source!DG54</f>
        <v>*1,1</v>
      </c>
      <c r="H120" s="36">
        <f>Source!AV55</f>
        <v>1.0469999999999999</v>
      </c>
      <c r="I120" s="39">
        <f>Source!S54</f>
        <v>138.79</v>
      </c>
      <c r="J120" s="36">
        <f>IF(Source!BA55&lt;&gt; 0, Source!BA55, 1)</f>
        <v>54.99</v>
      </c>
      <c r="K120" s="39">
        <f>Source!S55</f>
        <v>7632.06</v>
      </c>
    </row>
    <row r="121" spans="1:29" ht="14.25" x14ac:dyDescent="0.2">
      <c r="A121" s="35"/>
      <c r="B121" s="35"/>
      <c r="C121" s="35" t="s">
        <v>435</v>
      </c>
      <c r="D121" s="37"/>
      <c r="E121" s="36"/>
      <c r="F121" s="39">
        <f>Source!AL54</f>
        <v>2.34</v>
      </c>
      <c r="G121" s="38" t="str">
        <f>Source!DD54</f>
        <v>*1</v>
      </c>
      <c r="H121" s="36">
        <f>Source!AW55</f>
        <v>1</v>
      </c>
      <c r="I121" s="39">
        <f>Source!P54</f>
        <v>7.02</v>
      </c>
      <c r="J121" s="36">
        <f>IF(Source!BC55&lt;&gt; 0, Source!BC55, 1)</f>
        <v>10.26</v>
      </c>
      <c r="K121" s="39">
        <f>Source!P55</f>
        <v>72.03</v>
      </c>
    </row>
    <row r="122" spans="1:29" ht="14.25" x14ac:dyDescent="0.2">
      <c r="A122" s="35"/>
      <c r="B122" s="35"/>
      <c r="C122" s="35" t="s">
        <v>436</v>
      </c>
      <c r="D122" s="37" t="s">
        <v>437</v>
      </c>
      <c r="E122" s="36">
        <f>Source!BZ55</f>
        <v>90</v>
      </c>
      <c r="F122" s="39"/>
      <c r="G122" s="38"/>
      <c r="H122" s="36"/>
      <c r="I122" s="39">
        <f>SUM(Q119:Q121)</f>
        <v>124.91</v>
      </c>
      <c r="J122" s="36">
        <f>Source!AT55</f>
        <v>90</v>
      </c>
      <c r="K122" s="39">
        <f>SUM(R119:R121)</f>
        <v>6868.85</v>
      </c>
    </row>
    <row r="123" spans="1:29" ht="14.25" x14ac:dyDescent="0.2">
      <c r="A123" s="35"/>
      <c r="B123" s="35"/>
      <c r="C123" s="35" t="s">
        <v>438</v>
      </c>
      <c r="D123" s="37" t="s">
        <v>437</v>
      </c>
      <c r="E123" s="36">
        <f>Source!CA55</f>
        <v>46</v>
      </c>
      <c r="F123" s="39"/>
      <c r="G123" s="38"/>
      <c r="H123" s="36"/>
      <c r="I123" s="39">
        <f>SUM(S119:S122)</f>
        <v>63.84</v>
      </c>
      <c r="J123" s="36">
        <f>Source!AU55</f>
        <v>46</v>
      </c>
      <c r="K123" s="39">
        <f>SUM(T119:T122)</f>
        <v>3510.75</v>
      </c>
    </row>
    <row r="124" spans="1:29" ht="14.25" x14ac:dyDescent="0.2">
      <c r="A124" s="40"/>
      <c r="B124" s="40"/>
      <c r="C124" s="40" t="s">
        <v>439</v>
      </c>
      <c r="D124" s="41" t="s">
        <v>440</v>
      </c>
      <c r="E124" s="42">
        <f>Source!AQ54</f>
        <v>3.18</v>
      </c>
      <c r="F124" s="43"/>
      <c r="G124" s="44" t="str">
        <f>Source!DI54</f>
        <v>*1,1</v>
      </c>
      <c r="H124" s="42">
        <f>Source!AV55</f>
        <v>1.0469999999999999</v>
      </c>
      <c r="I124" s="43">
        <f>Source!U54</f>
        <v>10.987218</v>
      </c>
      <c r="J124" s="42"/>
      <c r="K124" s="43"/>
    </row>
    <row r="125" spans="1:29" ht="15" x14ac:dyDescent="0.2">
      <c r="C125" s="45" t="s">
        <v>441</v>
      </c>
      <c r="H125" s="46">
        <f>I120+I121+I122+I123+0-0-0</f>
        <v>334.56000000000006</v>
      </c>
      <c r="I125" s="46"/>
      <c r="J125" s="46">
        <f>K120+K121+K122+K123+0-0-0</f>
        <v>18083.690000000002</v>
      </c>
      <c r="K125" s="46"/>
    </row>
    <row r="126" spans="1:29" ht="15" hidden="1" x14ac:dyDescent="0.2">
      <c r="C126" s="45" t="s">
        <v>442</v>
      </c>
      <c r="H126" s="48">
        <f>0+0</f>
        <v>0</v>
      </c>
      <c r="I126" s="48"/>
      <c r="J126" s="48">
        <f>0+0</f>
        <v>0</v>
      </c>
      <c r="K126" s="48"/>
    </row>
    <row r="127" spans="1:29" ht="15" x14ac:dyDescent="0.2">
      <c r="C127" s="45" t="s">
        <v>443</v>
      </c>
      <c r="H127" s="48">
        <f>I120+I121+I122+I123+0</f>
        <v>334.56000000000006</v>
      </c>
      <c r="I127" s="48"/>
      <c r="J127" s="48">
        <f>K120+K121+K122+K123+0</f>
        <v>18083.690000000002</v>
      </c>
      <c r="K127" s="48"/>
      <c r="O127" s="49">
        <f>I120+I121+I122+I123+0</f>
        <v>334.56000000000006</v>
      </c>
      <c r="P127" s="49">
        <f>K120+K121+K122+K123+0</f>
        <v>18083.690000000002</v>
      </c>
    </row>
    <row r="129" spans="1:29" ht="68.25" x14ac:dyDescent="0.2">
      <c r="A129" s="50">
        <v>15</v>
      </c>
      <c r="B129" s="50" t="str">
        <f>Source!F56</f>
        <v>КА-8</v>
      </c>
      <c r="C129" s="50" t="s">
        <v>453</v>
      </c>
      <c r="D129" s="51" t="str">
        <f>Source!H56</f>
        <v>ШТ</v>
      </c>
      <c r="E129" s="52">
        <f>Source!I56</f>
        <v>3</v>
      </c>
      <c r="F129" s="53">
        <f>Source!AL56</f>
        <v>841.25</v>
      </c>
      <c r="G129" s="54" t="str">
        <f>Source!DD56</f>
        <v/>
      </c>
      <c r="H129" s="52">
        <f>Source!AW57</f>
        <v>1</v>
      </c>
      <c r="I129" s="53">
        <f>Source!P56</f>
        <v>2523.75</v>
      </c>
      <c r="J129" s="52">
        <f>IF(Source!BC57&lt;&gt; 0, Source!BC57, 1)</f>
        <v>7.66</v>
      </c>
      <c r="K129" s="53">
        <f>Source!P57</f>
        <v>19331.93</v>
      </c>
      <c r="Q129">
        <f>Source!X56</f>
        <v>0</v>
      </c>
      <c r="R129">
        <f>Source!X57</f>
        <v>0</v>
      </c>
      <c r="S129">
        <f>Source!Y56</f>
        <v>0</v>
      </c>
      <c r="T129">
        <f>Source!Y57</f>
        <v>0</v>
      </c>
      <c r="U129">
        <f>ROUND((175/100)*ROUND(Source!R56, 2), 2)</f>
        <v>0</v>
      </c>
      <c r="V129">
        <f>ROUND((0/100)*ROUND(Source!R57, 2), 2)</f>
        <v>0</v>
      </c>
      <c r="AC129">
        <v>5</v>
      </c>
    </row>
    <row r="130" spans="1:29" ht="15" x14ac:dyDescent="0.2">
      <c r="A130" s="55"/>
      <c r="B130" s="55"/>
      <c r="C130" s="56" t="s">
        <v>443</v>
      </c>
      <c r="D130" s="55"/>
      <c r="E130" s="55"/>
      <c r="F130" s="55"/>
      <c r="G130" s="55"/>
      <c r="H130" s="57">
        <f>I129+0</f>
        <v>2523.75</v>
      </c>
      <c r="I130" s="57"/>
      <c r="J130" s="57">
        <f>K129+0</f>
        <v>19331.93</v>
      </c>
      <c r="K130" s="57"/>
      <c r="O130" s="49">
        <f>I129+0</f>
        <v>2523.75</v>
      </c>
      <c r="P130" s="49">
        <f>K129+0</f>
        <v>19331.93</v>
      </c>
    </row>
    <row r="132" spans="1:29" ht="54" x14ac:dyDescent="0.2">
      <c r="A132" s="50">
        <v>16</v>
      </c>
      <c r="B132" s="50" t="str">
        <f>Source!F58</f>
        <v>КА-9</v>
      </c>
      <c r="C132" s="50" t="s">
        <v>454</v>
      </c>
      <c r="D132" s="51" t="str">
        <f>Source!H58</f>
        <v>ШТ</v>
      </c>
      <c r="E132" s="52">
        <f>Source!I58</f>
        <v>3</v>
      </c>
      <c r="F132" s="53">
        <f>Source!AL58</f>
        <v>159.88999999999999</v>
      </c>
      <c r="G132" s="54" t="str">
        <f>Source!DD58</f>
        <v/>
      </c>
      <c r="H132" s="52">
        <f>Source!AW59</f>
        <v>1</v>
      </c>
      <c r="I132" s="53">
        <f>Source!P58</f>
        <v>479.67</v>
      </c>
      <c r="J132" s="52">
        <f>IF(Source!BC59&lt;&gt; 0, Source!BC59, 1)</f>
        <v>7.66</v>
      </c>
      <c r="K132" s="53">
        <f>Source!P59</f>
        <v>3674.27</v>
      </c>
      <c r="Q132">
        <f>Source!X58</f>
        <v>0</v>
      </c>
      <c r="R132">
        <f>Source!X59</f>
        <v>0</v>
      </c>
      <c r="S132">
        <f>Source!Y58</f>
        <v>0</v>
      </c>
      <c r="T132">
        <f>Source!Y59</f>
        <v>0</v>
      </c>
      <c r="U132">
        <f>ROUND((175/100)*ROUND(Source!R58, 2), 2)</f>
        <v>0</v>
      </c>
      <c r="V132">
        <f>ROUND((0/100)*ROUND(Source!R59, 2), 2)</f>
        <v>0</v>
      </c>
      <c r="AC132">
        <v>5</v>
      </c>
    </row>
    <row r="133" spans="1:29" ht="15" x14ac:dyDescent="0.2">
      <c r="A133" s="55"/>
      <c r="B133" s="55"/>
      <c r="C133" s="56" t="s">
        <v>443</v>
      </c>
      <c r="D133" s="55"/>
      <c r="E133" s="55"/>
      <c r="F133" s="55"/>
      <c r="G133" s="55"/>
      <c r="H133" s="57">
        <f>I132+0</f>
        <v>479.67</v>
      </c>
      <c r="I133" s="57"/>
      <c r="J133" s="57">
        <f>K132+0</f>
        <v>3674.27</v>
      </c>
      <c r="K133" s="57"/>
      <c r="O133" s="49">
        <f>I132+0</f>
        <v>479.67</v>
      </c>
      <c r="P133" s="49">
        <f>K132+0</f>
        <v>3674.27</v>
      </c>
    </row>
    <row r="135" spans="1:29" ht="28.5" x14ac:dyDescent="0.2">
      <c r="A135" s="35">
        <v>17</v>
      </c>
      <c r="B135" s="35" t="str">
        <f>Source!F60</f>
        <v>4.10-80-13</v>
      </c>
      <c r="C135" s="35" t="s">
        <v>62</v>
      </c>
      <c r="D135" s="37" t="str">
        <f>Source!H60</f>
        <v>1  ШТ.</v>
      </c>
      <c r="E135" s="36">
        <f>Source!I60</f>
        <v>1</v>
      </c>
      <c r="F135" s="39"/>
      <c r="G135" s="38"/>
      <c r="H135" s="36"/>
      <c r="I135" s="39"/>
      <c r="J135" s="36"/>
      <c r="K135" s="39"/>
      <c r="Q135">
        <f>Source!X60</f>
        <v>16.670000000000002</v>
      </c>
      <c r="R135">
        <f>Source!X61</f>
        <v>916.57</v>
      </c>
      <c r="S135">
        <f>Source!Y60</f>
        <v>8.52</v>
      </c>
      <c r="T135">
        <f>Source!Y61</f>
        <v>468.47</v>
      </c>
      <c r="U135">
        <f>ROUND((175/100)*ROUND(Source!R60, 2), 2)</f>
        <v>0.02</v>
      </c>
      <c r="V135">
        <f>ROUND((0/100)*ROUND(Source!R61, 2), 2)</f>
        <v>0</v>
      </c>
      <c r="AC135">
        <v>0</v>
      </c>
    </row>
    <row r="136" spans="1:29" ht="14.25" x14ac:dyDescent="0.2">
      <c r="A136" s="35"/>
      <c r="B136" s="35"/>
      <c r="C136" s="35" t="s">
        <v>434</v>
      </c>
      <c r="D136" s="37"/>
      <c r="E136" s="36"/>
      <c r="F136" s="39">
        <f>Source!AO60</f>
        <v>16.07</v>
      </c>
      <c r="G136" s="38" t="str">
        <f>Source!DG60</f>
        <v>*1,1</v>
      </c>
      <c r="H136" s="36">
        <f>Source!AV61</f>
        <v>1.0469999999999999</v>
      </c>
      <c r="I136" s="39">
        <f>Source!S60</f>
        <v>18.510000000000002</v>
      </c>
      <c r="J136" s="36">
        <f>IF(Source!BA61&lt;&gt; 0, Source!BA61, 1)</f>
        <v>54.99</v>
      </c>
      <c r="K136" s="39">
        <f>Source!S61</f>
        <v>1017.86</v>
      </c>
    </row>
    <row r="137" spans="1:29" ht="14.25" x14ac:dyDescent="0.2">
      <c r="A137" s="35"/>
      <c r="B137" s="35"/>
      <c r="C137" s="35" t="s">
        <v>447</v>
      </c>
      <c r="D137" s="37"/>
      <c r="E137" s="36"/>
      <c r="F137" s="39">
        <f>Source!AM60</f>
        <v>0.05</v>
      </c>
      <c r="G137" s="38" t="str">
        <f>Source!DE60</f>
        <v>*1,1</v>
      </c>
      <c r="H137" s="36">
        <f>Source!AV61</f>
        <v>1.0469999999999999</v>
      </c>
      <c r="I137" s="39">
        <f>Source!Q60</f>
        <v>0.06</v>
      </c>
      <c r="J137" s="36">
        <f>IF(Source!BB61&lt;&gt; 0, Source!BB61, 1)</f>
        <v>19</v>
      </c>
      <c r="K137" s="39">
        <f>Source!Q61</f>
        <v>1.1399999999999999</v>
      </c>
    </row>
    <row r="138" spans="1:29" ht="14.25" x14ac:dyDescent="0.2">
      <c r="A138" s="35"/>
      <c r="B138" s="35"/>
      <c r="C138" s="35" t="s">
        <v>448</v>
      </c>
      <c r="D138" s="37"/>
      <c r="E138" s="36"/>
      <c r="F138" s="39">
        <f>Source!AN60</f>
        <v>0.01</v>
      </c>
      <c r="G138" s="38" t="str">
        <f>Source!DF60</f>
        <v>*1,1</v>
      </c>
      <c r="H138" s="36">
        <f>Source!AV61</f>
        <v>1.0469999999999999</v>
      </c>
      <c r="I138" s="58">
        <f>Source!R60</f>
        <v>0.01</v>
      </c>
      <c r="J138" s="36">
        <f>IF(Source!BS61&lt;&gt; 0, Source!BS61, 1)</f>
        <v>54.99</v>
      </c>
      <c r="K138" s="58">
        <f>Source!R61</f>
        <v>0.55000000000000004</v>
      </c>
    </row>
    <row r="139" spans="1:29" ht="14.25" x14ac:dyDescent="0.2">
      <c r="A139" s="35"/>
      <c r="B139" s="35"/>
      <c r="C139" s="35" t="s">
        <v>435</v>
      </c>
      <c r="D139" s="37"/>
      <c r="E139" s="36"/>
      <c r="F139" s="39">
        <f>Source!AL60</f>
        <v>1.96</v>
      </c>
      <c r="G139" s="38" t="str">
        <f>Source!DD60</f>
        <v>*1</v>
      </c>
      <c r="H139" s="36">
        <f>Source!AW61</f>
        <v>1</v>
      </c>
      <c r="I139" s="39">
        <f>Source!P60</f>
        <v>1.96</v>
      </c>
      <c r="J139" s="36">
        <f>IF(Source!BC61&lt;&gt; 0, Source!BC61, 1)</f>
        <v>9.89</v>
      </c>
      <c r="K139" s="39">
        <f>Source!P61</f>
        <v>19.38</v>
      </c>
    </row>
    <row r="140" spans="1:29" ht="14.25" x14ac:dyDescent="0.2">
      <c r="A140" s="35"/>
      <c r="B140" s="35"/>
      <c r="C140" s="35" t="s">
        <v>436</v>
      </c>
      <c r="D140" s="37" t="s">
        <v>437</v>
      </c>
      <c r="E140" s="36">
        <f>Source!BZ61</f>
        <v>90</v>
      </c>
      <c r="F140" s="39"/>
      <c r="G140" s="38"/>
      <c r="H140" s="36"/>
      <c r="I140" s="39">
        <f>SUM(Q135:Q139)</f>
        <v>16.670000000000002</v>
      </c>
      <c r="J140" s="36">
        <f>Source!AT61</f>
        <v>90</v>
      </c>
      <c r="K140" s="39">
        <f>SUM(R135:R139)</f>
        <v>916.57</v>
      </c>
    </row>
    <row r="141" spans="1:29" ht="14.25" x14ac:dyDescent="0.2">
      <c r="A141" s="35"/>
      <c r="B141" s="35"/>
      <c r="C141" s="35" t="s">
        <v>438</v>
      </c>
      <c r="D141" s="37" t="s">
        <v>437</v>
      </c>
      <c r="E141" s="36">
        <f>Source!CA61</f>
        <v>46</v>
      </c>
      <c r="F141" s="39"/>
      <c r="G141" s="38"/>
      <c r="H141" s="36"/>
      <c r="I141" s="39">
        <f>SUM(S135:S140)</f>
        <v>8.52</v>
      </c>
      <c r="J141" s="36">
        <f>Source!AU61</f>
        <v>46</v>
      </c>
      <c r="K141" s="39">
        <f>SUM(T135:T140)</f>
        <v>468.47</v>
      </c>
    </row>
    <row r="142" spans="1:29" ht="14.25" x14ac:dyDescent="0.2">
      <c r="A142" s="40"/>
      <c r="B142" s="40"/>
      <c r="C142" s="40" t="s">
        <v>439</v>
      </c>
      <c r="D142" s="41" t="s">
        <v>440</v>
      </c>
      <c r="E142" s="42">
        <f>Source!AQ60</f>
        <v>1.2</v>
      </c>
      <c r="F142" s="43"/>
      <c r="G142" s="44" t="str">
        <f>Source!DI60</f>
        <v>*1,1</v>
      </c>
      <c r="H142" s="42">
        <f>Source!AV61</f>
        <v>1.0469999999999999</v>
      </c>
      <c r="I142" s="43">
        <f>Source!U60</f>
        <v>1.3820399999999999</v>
      </c>
      <c r="J142" s="42"/>
      <c r="K142" s="43"/>
    </row>
    <row r="143" spans="1:29" ht="15" x14ac:dyDescent="0.2">
      <c r="C143" s="45" t="s">
        <v>441</v>
      </c>
      <c r="H143" s="46">
        <f>I136+I137+I139+I140+I141+0-0-0</f>
        <v>45.72</v>
      </c>
      <c r="I143" s="46"/>
      <c r="J143" s="46">
        <f>K136+K137+K139+K140+K141+0-0-0</f>
        <v>2423.42</v>
      </c>
      <c r="K143" s="46"/>
    </row>
    <row r="144" spans="1:29" ht="15" hidden="1" x14ac:dyDescent="0.2">
      <c r="C144" s="45" t="s">
        <v>442</v>
      </c>
      <c r="H144" s="48">
        <f>0+0</f>
        <v>0</v>
      </c>
      <c r="I144" s="48"/>
      <c r="J144" s="48">
        <f>0+0</f>
        <v>0</v>
      </c>
      <c r="K144" s="48"/>
    </row>
    <row r="145" spans="1:29" ht="15" x14ac:dyDescent="0.2">
      <c r="C145" s="45" t="s">
        <v>443</v>
      </c>
      <c r="H145" s="48">
        <f>I136+I137+I139+I140+I141+0</f>
        <v>45.72</v>
      </c>
      <c r="I145" s="48"/>
      <c r="J145" s="48">
        <f>K136+K137+K139+K140+K141+0</f>
        <v>2423.42</v>
      </c>
      <c r="K145" s="48"/>
      <c r="O145" s="49">
        <f>I136+I137+I139+I140+I141+0</f>
        <v>45.72</v>
      </c>
      <c r="P145" s="49">
        <f>K136+K137+K139+K140+K141+0</f>
        <v>2423.42</v>
      </c>
    </row>
    <row r="147" spans="1:29" ht="68.25" x14ac:dyDescent="0.2">
      <c r="A147" s="50">
        <v>18</v>
      </c>
      <c r="B147" s="50" t="str">
        <f>Source!F62</f>
        <v>КА-10</v>
      </c>
      <c r="C147" s="50" t="s">
        <v>455</v>
      </c>
      <c r="D147" s="51" t="str">
        <f>Source!H62</f>
        <v>ШТ</v>
      </c>
      <c r="E147" s="52">
        <f>Source!I62</f>
        <v>1</v>
      </c>
      <c r="F147" s="53">
        <f>Source!AL62</f>
        <v>159.15</v>
      </c>
      <c r="G147" s="54" t="str">
        <f>Source!DD62</f>
        <v/>
      </c>
      <c r="H147" s="52">
        <f>Source!AW63</f>
        <v>1</v>
      </c>
      <c r="I147" s="53">
        <f>Source!P62</f>
        <v>159.15</v>
      </c>
      <c r="J147" s="52">
        <f>IF(Source!BC63&lt;&gt; 0, Source!BC63, 1)</f>
        <v>7.66</v>
      </c>
      <c r="K147" s="53">
        <f>Source!P63</f>
        <v>1219.0899999999999</v>
      </c>
      <c r="Q147">
        <f>Source!X62</f>
        <v>0</v>
      </c>
      <c r="R147">
        <f>Source!X63</f>
        <v>0</v>
      </c>
      <c r="S147">
        <f>Source!Y62</f>
        <v>0</v>
      </c>
      <c r="T147">
        <f>Source!Y63</f>
        <v>0</v>
      </c>
      <c r="U147">
        <f>ROUND((175/100)*ROUND(Source!R62, 2), 2)</f>
        <v>0</v>
      </c>
      <c r="V147">
        <f>ROUND((0/100)*ROUND(Source!R63, 2), 2)</f>
        <v>0</v>
      </c>
      <c r="AC147">
        <v>5</v>
      </c>
    </row>
    <row r="148" spans="1:29" ht="15" x14ac:dyDescent="0.2">
      <c r="A148" s="55"/>
      <c r="B148" s="55"/>
      <c r="C148" s="56" t="s">
        <v>443</v>
      </c>
      <c r="D148" s="55"/>
      <c r="E148" s="55"/>
      <c r="F148" s="55"/>
      <c r="G148" s="55"/>
      <c r="H148" s="57">
        <f>I147+0</f>
        <v>159.15</v>
      </c>
      <c r="I148" s="57"/>
      <c r="J148" s="57">
        <f>K147+0</f>
        <v>1219.0899999999999</v>
      </c>
      <c r="K148" s="57"/>
      <c r="O148" s="49">
        <f>I147+0</f>
        <v>159.15</v>
      </c>
      <c r="P148" s="49">
        <f>K147+0</f>
        <v>1219.0899999999999</v>
      </c>
    </row>
    <row r="150" spans="1:29" ht="28.5" x14ac:dyDescent="0.2">
      <c r="A150" s="35">
        <v>19</v>
      </c>
      <c r="B150" s="35" t="str">
        <f>Source!F64</f>
        <v>4.10-80-13</v>
      </c>
      <c r="C150" s="35" t="s">
        <v>62</v>
      </c>
      <c r="D150" s="37" t="str">
        <f>Source!H64</f>
        <v>1  ШТ.</v>
      </c>
      <c r="E150" s="36">
        <f>Source!I64</f>
        <v>2</v>
      </c>
      <c r="F150" s="39"/>
      <c r="G150" s="38"/>
      <c r="H150" s="36"/>
      <c r="I150" s="39"/>
      <c r="J150" s="36"/>
      <c r="K150" s="39"/>
      <c r="Q150">
        <f>Source!X64</f>
        <v>33.340000000000003</v>
      </c>
      <c r="R150">
        <f>Source!X65</f>
        <v>1833.15</v>
      </c>
      <c r="S150">
        <f>Source!Y64</f>
        <v>17.04</v>
      </c>
      <c r="T150">
        <f>Source!Y65</f>
        <v>936.94</v>
      </c>
      <c r="U150">
        <f>ROUND((175/100)*ROUND(Source!R64, 2), 2)</f>
        <v>0.04</v>
      </c>
      <c r="V150">
        <f>ROUND((0/100)*ROUND(Source!R65, 2), 2)</f>
        <v>0</v>
      </c>
      <c r="AC150">
        <v>0</v>
      </c>
    </row>
    <row r="151" spans="1:29" ht="14.25" x14ac:dyDescent="0.2">
      <c r="A151" s="35"/>
      <c r="B151" s="35"/>
      <c r="C151" s="35" t="s">
        <v>434</v>
      </c>
      <c r="D151" s="37"/>
      <c r="E151" s="36"/>
      <c r="F151" s="39">
        <f>Source!AO64</f>
        <v>16.07</v>
      </c>
      <c r="G151" s="38" t="str">
        <f>Source!DG64</f>
        <v>*1,1</v>
      </c>
      <c r="H151" s="36">
        <f>Source!AV65</f>
        <v>1.0469999999999999</v>
      </c>
      <c r="I151" s="39">
        <f>Source!S64</f>
        <v>37.020000000000003</v>
      </c>
      <c r="J151" s="36">
        <f>IF(Source!BA65&lt;&gt; 0, Source!BA65, 1)</f>
        <v>54.99</v>
      </c>
      <c r="K151" s="39">
        <f>Source!S65</f>
        <v>2035.73</v>
      </c>
    </row>
    <row r="152" spans="1:29" ht="14.25" x14ac:dyDescent="0.2">
      <c r="A152" s="35"/>
      <c r="B152" s="35"/>
      <c r="C152" s="35" t="s">
        <v>447</v>
      </c>
      <c r="D152" s="37"/>
      <c r="E152" s="36"/>
      <c r="F152" s="39">
        <f>Source!AM64</f>
        <v>0.05</v>
      </c>
      <c r="G152" s="38" t="str">
        <f>Source!DE64</f>
        <v>*1,1</v>
      </c>
      <c r="H152" s="36">
        <f>Source!AV65</f>
        <v>1.0469999999999999</v>
      </c>
      <c r="I152" s="39">
        <f>Source!Q64</f>
        <v>0.12</v>
      </c>
      <c r="J152" s="36">
        <f>IF(Source!BB65&lt;&gt; 0, Source!BB65, 1)</f>
        <v>19</v>
      </c>
      <c r="K152" s="39">
        <f>Source!Q65</f>
        <v>2.2799999999999998</v>
      </c>
    </row>
    <row r="153" spans="1:29" ht="14.25" x14ac:dyDescent="0.2">
      <c r="A153" s="35"/>
      <c r="B153" s="35"/>
      <c r="C153" s="35" t="s">
        <v>448</v>
      </c>
      <c r="D153" s="37"/>
      <c r="E153" s="36"/>
      <c r="F153" s="39">
        <f>Source!AN64</f>
        <v>0.01</v>
      </c>
      <c r="G153" s="38" t="str">
        <f>Source!DF64</f>
        <v>*1,1</v>
      </c>
      <c r="H153" s="36">
        <f>Source!AV65</f>
        <v>1.0469999999999999</v>
      </c>
      <c r="I153" s="58">
        <f>Source!R64</f>
        <v>0.02</v>
      </c>
      <c r="J153" s="36">
        <f>IF(Source!BS65&lt;&gt; 0, Source!BS65, 1)</f>
        <v>54.99</v>
      </c>
      <c r="K153" s="58">
        <f>Source!R65</f>
        <v>1.1000000000000001</v>
      </c>
    </row>
    <row r="154" spans="1:29" ht="14.25" x14ac:dyDescent="0.2">
      <c r="A154" s="35"/>
      <c r="B154" s="35"/>
      <c r="C154" s="35" t="s">
        <v>435</v>
      </c>
      <c r="D154" s="37"/>
      <c r="E154" s="36"/>
      <c r="F154" s="39">
        <f>Source!AL64</f>
        <v>1.96</v>
      </c>
      <c r="G154" s="38" t="str">
        <f>Source!DD64</f>
        <v>*1</v>
      </c>
      <c r="H154" s="36">
        <f>Source!AW65</f>
        <v>1</v>
      </c>
      <c r="I154" s="39">
        <f>Source!P64</f>
        <v>3.92</v>
      </c>
      <c r="J154" s="36">
        <f>IF(Source!BC65&lt;&gt; 0, Source!BC65, 1)</f>
        <v>9.89</v>
      </c>
      <c r="K154" s="39">
        <f>Source!P65</f>
        <v>38.770000000000003</v>
      </c>
    </row>
    <row r="155" spans="1:29" ht="14.25" x14ac:dyDescent="0.2">
      <c r="A155" s="35"/>
      <c r="B155" s="35"/>
      <c r="C155" s="35" t="s">
        <v>436</v>
      </c>
      <c r="D155" s="37" t="s">
        <v>437</v>
      </c>
      <c r="E155" s="36">
        <f>Source!BZ65</f>
        <v>90</v>
      </c>
      <c r="F155" s="39"/>
      <c r="G155" s="38"/>
      <c r="H155" s="36"/>
      <c r="I155" s="39">
        <f>SUM(Q150:Q154)</f>
        <v>33.340000000000003</v>
      </c>
      <c r="J155" s="36">
        <f>Source!AT65</f>
        <v>90</v>
      </c>
      <c r="K155" s="39">
        <f>SUM(R150:R154)</f>
        <v>1833.15</v>
      </c>
    </row>
    <row r="156" spans="1:29" ht="14.25" x14ac:dyDescent="0.2">
      <c r="A156" s="35"/>
      <c r="B156" s="35"/>
      <c r="C156" s="35" t="s">
        <v>438</v>
      </c>
      <c r="D156" s="37" t="s">
        <v>437</v>
      </c>
      <c r="E156" s="36">
        <f>Source!CA65</f>
        <v>46</v>
      </c>
      <c r="F156" s="39"/>
      <c r="G156" s="38"/>
      <c r="H156" s="36"/>
      <c r="I156" s="39">
        <f>SUM(S150:S155)</f>
        <v>17.04</v>
      </c>
      <c r="J156" s="36">
        <f>Source!AU65</f>
        <v>46</v>
      </c>
      <c r="K156" s="39">
        <f>SUM(T150:T155)</f>
        <v>936.94</v>
      </c>
    </row>
    <row r="157" spans="1:29" ht="14.25" x14ac:dyDescent="0.2">
      <c r="A157" s="40"/>
      <c r="B157" s="40"/>
      <c r="C157" s="40" t="s">
        <v>439</v>
      </c>
      <c r="D157" s="41" t="s">
        <v>440</v>
      </c>
      <c r="E157" s="42">
        <f>Source!AQ64</f>
        <v>1.2</v>
      </c>
      <c r="F157" s="43"/>
      <c r="G157" s="44" t="str">
        <f>Source!DI64</f>
        <v>*1,1</v>
      </c>
      <c r="H157" s="42">
        <f>Source!AV65</f>
        <v>1.0469999999999999</v>
      </c>
      <c r="I157" s="43">
        <f>Source!U64</f>
        <v>2.7640799999999999</v>
      </c>
      <c r="J157" s="42"/>
      <c r="K157" s="43"/>
    </row>
    <row r="158" spans="1:29" ht="15" x14ac:dyDescent="0.2">
      <c r="C158" s="45" t="s">
        <v>441</v>
      </c>
      <c r="H158" s="46">
        <f>I151+I152+I154+I155+I156+0-0-0</f>
        <v>91.44</v>
      </c>
      <c r="I158" s="46"/>
      <c r="J158" s="46">
        <f>K151+K152+K154+K155+K156+0-0-0</f>
        <v>4846.8700000000008</v>
      </c>
      <c r="K158" s="46"/>
    </row>
    <row r="159" spans="1:29" ht="15" hidden="1" x14ac:dyDescent="0.2">
      <c r="C159" s="45" t="s">
        <v>442</v>
      </c>
      <c r="H159" s="48">
        <f>0+0</f>
        <v>0</v>
      </c>
      <c r="I159" s="48"/>
      <c r="J159" s="48">
        <f>0+0</f>
        <v>0</v>
      </c>
      <c r="K159" s="48"/>
    </row>
    <row r="160" spans="1:29" ht="15" x14ac:dyDescent="0.2">
      <c r="C160" s="45" t="s">
        <v>443</v>
      </c>
      <c r="H160" s="48">
        <f>I151+I152+I154+I155+I156+0</f>
        <v>91.44</v>
      </c>
      <c r="I160" s="48"/>
      <c r="J160" s="48">
        <f>K151+K152+K154+K155+K156+0</f>
        <v>4846.8700000000008</v>
      </c>
      <c r="K160" s="48"/>
      <c r="O160" s="49">
        <f>I151+I152+I154+I155+I156+0</f>
        <v>91.44</v>
      </c>
      <c r="P160" s="49">
        <f>K151+K152+K154+K155+K156+0</f>
        <v>4846.8700000000008</v>
      </c>
    </row>
    <row r="162" spans="1:29" ht="54" x14ac:dyDescent="0.2">
      <c r="A162" s="50">
        <v>20</v>
      </c>
      <c r="B162" s="50" t="str">
        <f>Source!F66</f>
        <v>КА-11</v>
      </c>
      <c r="C162" s="50" t="s">
        <v>456</v>
      </c>
      <c r="D162" s="51" t="str">
        <f>Source!H66</f>
        <v>ШТ</v>
      </c>
      <c r="E162" s="52">
        <f>Source!I66</f>
        <v>2</v>
      </c>
      <c r="F162" s="53">
        <f>Source!AL66</f>
        <v>77.3</v>
      </c>
      <c r="G162" s="54" t="str">
        <f>Source!DD66</f>
        <v/>
      </c>
      <c r="H162" s="52">
        <f>Source!AW67</f>
        <v>1</v>
      </c>
      <c r="I162" s="53">
        <f>Source!P66</f>
        <v>154.6</v>
      </c>
      <c r="J162" s="52">
        <f>IF(Source!BC67&lt;&gt; 0, Source!BC67, 1)</f>
        <v>7.66</v>
      </c>
      <c r="K162" s="53">
        <f>Source!P67</f>
        <v>1184.24</v>
      </c>
      <c r="Q162">
        <f>Source!X66</f>
        <v>0</v>
      </c>
      <c r="R162">
        <f>Source!X67</f>
        <v>0</v>
      </c>
      <c r="S162">
        <f>Source!Y66</f>
        <v>0</v>
      </c>
      <c r="T162">
        <f>Source!Y67</f>
        <v>0</v>
      </c>
      <c r="U162">
        <f>ROUND((175/100)*ROUND(Source!R66, 2), 2)</f>
        <v>0</v>
      </c>
      <c r="V162">
        <f>ROUND((0/100)*ROUND(Source!R67, 2), 2)</f>
        <v>0</v>
      </c>
      <c r="AC162">
        <v>5</v>
      </c>
    </row>
    <row r="163" spans="1:29" ht="15" x14ac:dyDescent="0.2">
      <c r="A163" s="55"/>
      <c r="B163" s="55"/>
      <c r="C163" s="56" t="s">
        <v>443</v>
      </c>
      <c r="D163" s="55"/>
      <c r="E163" s="55"/>
      <c r="F163" s="55"/>
      <c r="G163" s="55"/>
      <c r="H163" s="57">
        <f>I162+0</f>
        <v>154.6</v>
      </c>
      <c r="I163" s="57"/>
      <c r="J163" s="57">
        <f>K162+0</f>
        <v>1184.24</v>
      </c>
      <c r="K163" s="57"/>
      <c r="O163" s="49">
        <f>I162+0</f>
        <v>154.6</v>
      </c>
      <c r="P163" s="49">
        <f>K162+0</f>
        <v>1184.24</v>
      </c>
    </row>
    <row r="165" spans="1:29" ht="71.25" x14ac:dyDescent="0.2">
      <c r="A165" s="35">
        <v>21</v>
      </c>
      <c r="B165" s="35" t="str">
        <f>Source!F68</f>
        <v>4.10-82-2</v>
      </c>
      <c r="C165" s="35" t="s">
        <v>105</v>
      </c>
      <c r="D165" s="37" t="str">
        <f>Source!H68</f>
        <v>1  ШТ.</v>
      </c>
      <c r="E165" s="36">
        <f>Source!I68</f>
        <v>30</v>
      </c>
      <c r="F165" s="39"/>
      <c r="G165" s="38"/>
      <c r="H165" s="36"/>
      <c r="I165" s="39"/>
      <c r="J165" s="36"/>
      <c r="K165" s="39"/>
      <c r="Q165">
        <f>Source!X68</f>
        <v>1498.82</v>
      </c>
      <c r="R165">
        <f>Source!X69</f>
        <v>82420.34</v>
      </c>
      <c r="S165">
        <f>Source!Y68</f>
        <v>766.07</v>
      </c>
      <c r="T165">
        <f>Source!Y69</f>
        <v>42125.95</v>
      </c>
      <c r="U165">
        <f>ROUND((175/100)*ROUND(Source!R68, 2), 2)</f>
        <v>0</v>
      </c>
      <c r="V165">
        <f>ROUND((0/100)*ROUND(Source!R69, 2), 2)</f>
        <v>0</v>
      </c>
      <c r="AC165">
        <v>0</v>
      </c>
    </row>
    <row r="166" spans="1:29" ht="14.25" x14ac:dyDescent="0.2">
      <c r="A166" s="35"/>
      <c r="B166" s="35"/>
      <c r="C166" s="35" t="s">
        <v>434</v>
      </c>
      <c r="D166" s="37"/>
      <c r="E166" s="36"/>
      <c r="F166" s="39">
        <f>Source!AO68</f>
        <v>48.2</v>
      </c>
      <c r="G166" s="38" t="str">
        <f>Source!DG68</f>
        <v>*1,1</v>
      </c>
      <c r="H166" s="36">
        <f>Source!AV69</f>
        <v>1.0469999999999999</v>
      </c>
      <c r="I166" s="39">
        <f>Source!S68</f>
        <v>1665.36</v>
      </c>
      <c r="J166" s="36">
        <f>IF(Source!BA69&lt;&gt; 0, Source!BA69, 1)</f>
        <v>54.99</v>
      </c>
      <c r="K166" s="39">
        <f>Source!S69</f>
        <v>91578.15</v>
      </c>
    </row>
    <row r="167" spans="1:29" ht="14.25" x14ac:dyDescent="0.2">
      <c r="A167" s="35"/>
      <c r="B167" s="35"/>
      <c r="C167" s="35" t="s">
        <v>447</v>
      </c>
      <c r="D167" s="37"/>
      <c r="E167" s="36"/>
      <c r="F167" s="39">
        <f>Source!AM68</f>
        <v>0.04</v>
      </c>
      <c r="G167" s="38" t="str">
        <f>Source!DE68</f>
        <v>*1,1</v>
      </c>
      <c r="H167" s="36">
        <f>Source!AV69</f>
        <v>1.0469999999999999</v>
      </c>
      <c r="I167" s="39">
        <f>Source!Q68</f>
        <v>1.38</v>
      </c>
      <c r="J167" s="36">
        <f>IF(Source!BB69&lt;&gt; 0, Source!BB69, 1)</f>
        <v>10</v>
      </c>
      <c r="K167" s="39">
        <f>Source!Q69</f>
        <v>13.8</v>
      </c>
    </row>
    <row r="168" spans="1:29" ht="14.25" x14ac:dyDescent="0.2">
      <c r="A168" s="35"/>
      <c r="B168" s="35"/>
      <c r="C168" s="35" t="s">
        <v>435</v>
      </c>
      <c r="D168" s="37"/>
      <c r="E168" s="36"/>
      <c r="F168" s="39">
        <f>Source!AL68</f>
        <v>1.68</v>
      </c>
      <c r="G168" s="38" t="str">
        <f>Source!DD68</f>
        <v>*1</v>
      </c>
      <c r="H168" s="36">
        <f>Source!AW69</f>
        <v>1</v>
      </c>
      <c r="I168" s="39">
        <f>Source!P68</f>
        <v>50.4</v>
      </c>
      <c r="J168" s="36">
        <f>IF(Source!BC69&lt;&gt; 0, Source!BC69, 1)</f>
        <v>9.89</v>
      </c>
      <c r="K168" s="39">
        <f>Source!P69</f>
        <v>498.46</v>
      </c>
    </row>
    <row r="169" spans="1:29" ht="14.25" x14ac:dyDescent="0.2">
      <c r="A169" s="35"/>
      <c r="B169" s="35"/>
      <c r="C169" s="35" t="s">
        <v>436</v>
      </c>
      <c r="D169" s="37" t="s">
        <v>437</v>
      </c>
      <c r="E169" s="36">
        <f>Source!BZ69</f>
        <v>90</v>
      </c>
      <c r="F169" s="39"/>
      <c r="G169" s="38"/>
      <c r="H169" s="36"/>
      <c r="I169" s="39">
        <f>SUM(Q165:Q168)</f>
        <v>1498.82</v>
      </c>
      <c r="J169" s="36">
        <f>Source!AT69</f>
        <v>90</v>
      </c>
      <c r="K169" s="39">
        <f>SUM(R165:R168)</f>
        <v>82420.34</v>
      </c>
    </row>
    <row r="170" spans="1:29" ht="14.25" x14ac:dyDescent="0.2">
      <c r="A170" s="35"/>
      <c r="B170" s="35"/>
      <c r="C170" s="35" t="s">
        <v>438</v>
      </c>
      <c r="D170" s="37" t="s">
        <v>437</v>
      </c>
      <c r="E170" s="36">
        <f>Source!CA69</f>
        <v>46</v>
      </c>
      <c r="F170" s="39"/>
      <c r="G170" s="38"/>
      <c r="H170" s="36"/>
      <c r="I170" s="39">
        <f>SUM(S165:S169)</f>
        <v>766.07</v>
      </c>
      <c r="J170" s="36">
        <f>Source!AU69</f>
        <v>46</v>
      </c>
      <c r="K170" s="39">
        <f>SUM(T165:T169)</f>
        <v>42125.95</v>
      </c>
    </row>
    <row r="171" spans="1:29" ht="14.25" x14ac:dyDescent="0.2">
      <c r="A171" s="40"/>
      <c r="B171" s="40"/>
      <c r="C171" s="40" t="s">
        <v>439</v>
      </c>
      <c r="D171" s="41" t="s">
        <v>440</v>
      </c>
      <c r="E171" s="42">
        <f>Source!AQ68</f>
        <v>3.6</v>
      </c>
      <c r="F171" s="43"/>
      <c r="G171" s="44" t="str">
        <f>Source!DI68</f>
        <v>*1,1</v>
      </c>
      <c r="H171" s="42">
        <f>Source!AV69</f>
        <v>1.0469999999999999</v>
      </c>
      <c r="I171" s="43">
        <f>Source!U68</f>
        <v>124.3836</v>
      </c>
      <c r="J171" s="42"/>
      <c r="K171" s="43"/>
    </row>
    <row r="172" spans="1:29" ht="15" x14ac:dyDescent="0.2">
      <c r="C172" s="45" t="s">
        <v>441</v>
      </c>
      <c r="H172" s="46">
        <f>I166+I167+I168+I169+I170+0-0-0</f>
        <v>3982.03</v>
      </c>
      <c r="I172" s="46"/>
      <c r="J172" s="46">
        <f>K166+K167+K168+K169+K170+0-0-0</f>
        <v>216636.7</v>
      </c>
      <c r="K172" s="46"/>
    </row>
    <row r="173" spans="1:29" ht="15" hidden="1" x14ac:dyDescent="0.2">
      <c r="C173" s="45" t="s">
        <v>442</v>
      </c>
      <c r="H173" s="48">
        <f>0+0</f>
        <v>0</v>
      </c>
      <c r="I173" s="48"/>
      <c r="J173" s="48">
        <f>0+0</f>
        <v>0</v>
      </c>
      <c r="K173" s="48"/>
    </row>
    <row r="174" spans="1:29" ht="15" x14ac:dyDescent="0.2">
      <c r="C174" s="45" t="s">
        <v>443</v>
      </c>
      <c r="H174" s="48">
        <f>I166+I167+I168+I169+I170+0</f>
        <v>3982.03</v>
      </c>
      <c r="I174" s="48"/>
      <c r="J174" s="48">
        <f>K166+K167+K168+K169+K170+0</f>
        <v>216636.7</v>
      </c>
      <c r="K174" s="48"/>
      <c r="O174" s="49">
        <f>I166+I167+I168+I169+I170+0</f>
        <v>3982.03</v>
      </c>
      <c r="P174" s="49">
        <f>K166+K167+K168+K169+K170+0</f>
        <v>216636.7</v>
      </c>
    </row>
    <row r="176" spans="1:29" ht="82.5" x14ac:dyDescent="0.2">
      <c r="A176" s="50">
        <v>22</v>
      </c>
      <c r="B176" s="50" t="str">
        <f>Source!F70</f>
        <v>КА-12</v>
      </c>
      <c r="C176" s="50" t="s">
        <v>457</v>
      </c>
      <c r="D176" s="51" t="str">
        <f>Source!H70</f>
        <v>ШТ</v>
      </c>
      <c r="E176" s="52">
        <f>Source!I70</f>
        <v>30</v>
      </c>
      <c r="F176" s="53">
        <f>Source!AL70</f>
        <v>240.07</v>
      </c>
      <c r="G176" s="54" t="str">
        <f>Source!DD70</f>
        <v/>
      </c>
      <c r="H176" s="52">
        <f>Source!AW71</f>
        <v>1</v>
      </c>
      <c r="I176" s="53">
        <f>Source!P70</f>
        <v>7202.1</v>
      </c>
      <c r="J176" s="52">
        <f>IF(Source!BC71&lt;&gt; 0, Source!BC71, 1)</f>
        <v>7.66</v>
      </c>
      <c r="K176" s="53">
        <f>Source!P71</f>
        <v>55168.09</v>
      </c>
      <c r="Q176">
        <f>Source!X70</f>
        <v>0</v>
      </c>
      <c r="R176">
        <f>Source!X71</f>
        <v>0</v>
      </c>
      <c r="S176">
        <f>Source!Y70</f>
        <v>0</v>
      </c>
      <c r="T176">
        <f>Source!Y71</f>
        <v>0</v>
      </c>
      <c r="U176">
        <f>ROUND((175/100)*ROUND(Source!R70, 2), 2)</f>
        <v>0</v>
      </c>
      <c r="V176">
        <f>ROUND((0/100)*ROUND(Source!R71, 2), 2)</f>
        <v>0</v>
      </c>
      <c r="AC176">
        <v>5</v>
      </c>
    </row>
    <row r="177" spans="1:29" ht="15" x14ac:dyDescent="0.2">
      <c r="A177" s="55"/>
      <c r="B177" s="55"/>
      <c r="C177" s="56" t="s">
        <v>443</v>
      </c>
      <c r="D177" s="55"/>
      <c r="E177" s="55"/>
      <c r="F177" s="55"/>
      <c r="G177" s="55"/>
      <c r="H177" s="57">
        <f>I176+0</f>
        <v>7202.1</v>
      </c>
      <c r="I177" s="57"/>
      <c r="J177" s="57">
        <f>K176+0</f>
        <v>55168.09</v>
      </c>
      <c r="K177" s="57"/>
      <c r="O177" s="49">
        <f>I176+0</f>
        <v>7202.1</v>
      </c>
      <c r="P177" s="49">
        <f>K176+0</f>
        <v>55168.09</v>
      </c>
    </row>
    <row r="179" spans="1:29" ht="42.75" x14ac:dyDescent="0.2">
      <c r="A179" s="35">
        <v>23</v>
      </c>
      <c r="B179" s="35" t="str">
        <f>Source!F72</f>
        <v>4.10-81-4</v>
      </c>
      <c r="C179" s="35" t="s">
        <v>113</v>
      </c>
      <c r="D179" s="37" t="str">
        <f>Source!H72</f>
        <v>1  ШТ.</v>
      </c>
      <c r="E179" s="36">
        <f>Source!I72</f>
        <v>86</v>
      </c>
      <c r="F179" s="39"/>
      <c r="G179" s="38"/>
      <c r="H179" s="36"/>
      <c r="I179" s="39"/>
      <c r="J179" s="36"/>
      <c r="K179" s="39"/>
      <c r="Q179">
        <f>Source!X72</f>
        <v>944.9</v>
      </c>
      <c r="R179">
        <f>Source!X73</f>
        <v>51960.11</v>
      </c>
      <c r="S179">
        <f>Source!Y72</f>
        <v>482.95</v>
      </c>
      <c r="T179">
        <f>Source!Y73</f>
        <v>26557.39</v>
      </c>
      <c r="U179">
        <f>ROUND((175/100)*ROUND(Source!R72, 2), 2)</f>
        <v>0</v>
      </c>
      <c r="V179">
        <f>ROUND((0/100)*ROUND(Source!R73, 2), 2)</f>
        <v>0</v>
      </c>
      <c r="AC179">
        <v>0</v>
      </c>
    </row>
    <row r="180" spans="1:29" ht="14.25" x14ac:dyDescent="0.2">
      <c r="A180" s="35"/>
      <c r="B180" s="35"/>
      <c r="C180" s="35" t="s">
        <v>434</v>
      </c>
      <c r="D180" s="37"/>
      <c r="E180" s="36"/>
      <c r="F180" s="39">
        <f>Source!AO72</f>
        <v>10.6</v>
      </c>
      <c r="G180" s="38" t="str">
        <f>Source!DG72</f>
        <v>*1,1</v>
      </c>
      <c r="H180" s="36">
        <f>Source!AV73</f>
        <v>1.0469999999999999</v>
      </c>
      <c r="I180" s="39">
        <f>Source!S72</f>
        <v>1049.8900000000001</v>
      </c>
      <c r="J180" s="36">
        <f>IF(Source!BA73&lt;&gt; 0, Source!BA73, 1)</f>
        <v>54.99</v>
      </c>
      <c r="K180" s="39">
        <f>Source!S73</f>
        <v>57733.45</v>
      </c>
    </row>
    <row r="181" spans="1:29" ht="14.25" x14ac:dyDescent="0.2">
      <c r="A181" s="35"/>
      <c r="B181" s="35"/>
      <c r="C181" s="35" t="s">
        <v>435</v>
      </c>
      <c r="D181" s="37"/>
      <c r="E181" s="36"/>
      <c r="F181" s="39">
        <f>Source!AL72</f>
        <v>1.05</v>
      </c>
      <c r="G181" s="38" t="str">
        <f>Source!DD72</f>
        <v>*1</v>
      </c>
      <c r="H181" s="36">
        <f>Source!AW73</f>
        <v>1</v>
      </c>
      <c r="I181" s="39">
        <f>Source!P72</f>
        <v>90.3</v>
      </c>
      <c r="J181" s="36">
        <f>IF(Source!BC73&lt;&gt; 0, Source!BC73, 1)</f>
        <v>9.89</v>
      </c>
      <c r="K181" s="39">
        <f>Source!P73</f>
        <v>893.07</v>
      </c>
    </row>
    <row r="182" spans="1:29" ht="14.25" x14ac:dyDescent="0.2">
      <c r="A182" s="35"/>
      <c r="B182" s="35"/>
      <c r="C182" s="35" t="s">
        <v>436</v>
      </c>
      <c r="D182" s="37" t="s">
        <v>437</v>
      </c>
      <c r="E182" s="36">
        <f>Source!BZ73</f>
        <v>90</v>
      </c>
      <c r="F182" s="39"/>
      <c r="G182" s="38"/>
      <c r="H182" s="36"/>
      <c r="I182" s="39">
        <f>SUM(Q179:Q181)</f>
        <v>944.9</v>
      </c>
      <c r="J182" s="36">
        <f>Source!AT73</f>
        <v>90</v>
      </c>
      <c r="K182" s="39">
        <f>SUM(R179:R181)</f>
        <v>51960.11</v>
      </c>
    </row>
    <row r="183" spans="1:29" ht="14.25" x14ac:dyDescent="0.2">
      <c r="A183" s="35"/>
      <c r="B183" s="35"/>
      <c r="C183" s="35" t="s">
        <v>438</v>
      </c>
      <c r="D183" s="37" t="s">
        <v>437</v>
      </c>
      <c r="E183" s="36">
        <f>Source!CA73</f>
        <v>46</v>
      </c>
      <c r="F183" s="39"/>
      <c r="G183" s="38"/>
      <c r="H183" s="36"/>
      <c r="I183" s="39">
        <f>SUM(S179:S182)</f>
        <v>482.95</v>
      </c>
      <c r="J183" s="36">
        <f>Source!AU73</f>
        <v>46</v>
      </c>
      <c r="K183" s="39">
        <f>SUM(T179:T182)</f>
        <v>26557.39</v>
      </c>
    </row>
    <row r="184" spans="1:29" ht="14.25" x14ac:dyDescent="0.2">
      <c r="A184" s="40"/>
      <c r="B184" s="40"/>
      <c r="C184" s="40" t="s">
        <v>439</v>
      </c>
      <c r="D184" s="41" t="s">
        <v>440</v>
      </c>
      <c r="E184" s="42">
        <f>Source!AQ72</f>
        <v>0.84</v>
      </c>
      <c r="F184" s="43"/>
      <c r="G184" s="44" t="str">
        <f>Source!DI72</f>
        <v>*1,1</v>
      </c>
      <c r="H184" s="42">
        <f>Source!AV73</f>
        <v>1.0469999999999999</v>
      </c>
      <c r="I184" s="43">
        <f>Source!U72</f>
        <v>83.198808</v>
      </c>
      <c r="J184" s="42"/>
      <c r="K184" s="43"/>
    </row>
    <row r="185" spans="1:29" ht="15" x14ac:dyDescent="0.2">
      <c r="C185" s="45" t="s">
        <v>441</v>
      </c>
      <c r="H185" s="46">
        <f>I180+I181+I182+I183+0-0-0</f>
        <v>2568.04</v>
      </c>
      <c r="I185" s="46"/>
      <c r="J185" s="46">
        <f>K180+K181+K182+K183+0-0-0</f>
        <v>137144.02000000002</v>
      </c>
      <c r="K185" s="46"/>
    </row>
    <row r="186" spans="1:29" ht="15" hidden="1" x14ac:dyDescent="0.2">
      <c r="C186" s="45" t="s">
        <v>442</v>
      </c>
      <c r="H186" s="48">
        <f>0+0</f>
        <v>0</v>
      </c>
      <c r="I186" s="48"/>
      <c r="J186" s="48">
        <f>0+0</f>
        <v>0</v>
      </c>
      <c r="K186" s="48"/>
    </row>
    <row r="187" spans="1:29" ht="15" x14ac:dyDescent="0.2">
      <c r="C187" s="45" t="s">
        <v>443</v>
      </c>
      <c r="H187" s="48">
        <f>I180+I181+I182+I183+0</f>
        <v>2568.04</v>
      </c>
      <c r="I187" s="48"/>
      <c r="J187" s="48">
        <f>K180+K181+K182+K183+0</f>
        <v>137144.02000000002</v>
      </c>
      <c r="K187" s="48"/>
      <c r="O187" s="49">
        <f>I180+I181+I182+I183+0</f>
        <v>2568.04</v>
      </c>
      <c r="P187" s="49">
        <f>K180+K181+K182+K183+0</f>
        <v>137144.02000000002</v>
      </c>
    </row>
    <row r="189" spans="1:29" ht="68.25" x14ac:dyDescent="0.2">
      <c r="A189" s="50">
        <v>24</v>
      </c>
      <c r="B189" s="50" t="str">
        <f>Source!F74</f>
        <v>КА-13</v>
      </c>
      <c r="C189" s="50" t="s">
        <v>458</v>
      </c>
      <c r="D189" s="51" t="str">
        <f>Source!H74</f>
        <v>ШТ</v>
      </c>
      <c r="E189" s="52">
        <f>Source!I74</f>
        <v>86</v>
      </c>
      <c r="F189" s="53">
        <f>Source!AL74</f>
        <v>243.33999999999997</v>
      </c>
      <c r="G189" s="54" t="str">
        <f>Source!DD74</f>
        <v/>
      </c>
      <c r="H189" s="52">
        <f>Source!AW75</f>
        <v>1</v>
      </c>
      <c r="I189" s="53">
        <f>Source!P74</f>
        <v>20927.240000000002</v>
      </c>
      <c r="J189" s="52">
        <f>IF(Source!BC75&lt;&gt; 0, Source!BC75, 1)</f>
        <v>7.66</v>
      </c>
      <c r="K189" s="53">
        <f>Source!P75</f>
        <v>160302.66</v>
      </c>
      <c r="Q189">
        <f>Source!X74</f>
        <v>0</v>
      </c>
      <c r="R189">
        <f>Source!X75</f>
        <v>0</v>
      </c>
      <c r="S189">
        <f>Source!Y74</f>
        <v>0</v>
      </c>
      <c r="T189">
        <f>Source!Y75</f>
        <v>0</v>
      </c>
      <c r="U189">
        <f>ROUND((175/100)*ROUND(Source!R74, 2), 2)</f>
        <v>0</v>
      </c>
      <c r="V189">
        <f>ROUND((0/100)*ROUND(Source!R75, 2), 2)</f>
        <v>0</v>
      </c>
      <c r="AC189">
        <v>5</v>
      </c>
    </row>
    <row r="190" spans="1:29" ht="15" x14ac:dyDescent="0.2">
      <c r="A190" s="55"/>
      <c r="B190" s="55"/>
      <c r="C190" s="56" t="s">
        <v>443</v>
      </c>
      <c r="D190" s="55"/>
      <c r="E190" s="55"/>
      <c r="F190" s="55"/>
      <c r="G190" s="55"/>
      <c r="H190" s="57">
        <f>I189+0</f>
        <v>20927.240000000002</v>
      </c>
      <c r="I190" s="57"/>
      <c r="J190" s="57">
        <f>K189+0</f>
        <v>160302.66</v>
      </c>
      <c r="K190" s="57"/>
      <c r="O190" s="49">
        <f>I189+0</f>
        <v>20927.240000000002</v>
      </c>
      <c r="P190" s="49">
        <f>K189+0</f>
        <v>160302.66</v>
      </c>
    </row>
    <row r="192" spans="1:29" ht="42.75" x14ac:dyDescent="0.2">
      <c r="A192" s="35">
        <v>25</v>
      </c>
      <c r="B192" s="35" t="str">
        <f>Source!F76</f>
        <v>4.10-81-4</v>
      </c>
      <c r="C192" s="35" t="s">
        <v>113</v>
      </c>
      <c r="D192" s="37" t="str">
        <f>Source!H76</f>
        <v>1  ШТ.</v>
      </c>
      <c r="E192" s="36">
        <f>Source!I76</f>
        <v>90</v>
      </c>
      <c r="F192" s="39"/>
      <c r="G192" s="38"/>
      <c r="H192" s="36"/>
      <c r="I192" s="39"/>
      <c r="J192" s="36"/>
      <c r="K192" s="39"/>
      <c r="Q192">
        <f>Source!X76</f>
        <v>988.85</v>
      </c>
      <c r="R192">
        <f>Source!X77</f>
        <v>54376.75</v>
      </c>
      <c r="S192">
        <f>Source!Y76</f>
        <v>505.41</v>
      </c>
      <c r="T192">
        <f>Source!Y77</f>
        <v>27792.560000000001</v>
      </c>
      <c r="U192">
        <f>ROUND((175/100)*ROUND(Source!R76, 2), 2)</f>
        <v>0</v>
      </c>
      <c r="V192">
        <f>ROUND((0/100)*ROUND(Source!R77, 2), 2)</f>
        <v>0</v>
      </c>
      <c r="AC192">
        <v>0</v>
      </c>
    </row>
    <row r="193" spans="1:29" ht="14.25" x14ac:dyDescent="0.2">
      <c r="A193" s="35"/>
      <c r="B193" s="35"/>
      <c r="C193" s="35" t="s">
        <v>434</v>
      </c>
      <c r="D193" s="37"/>
      <c r="E193" s="36"/>
      <c r="F193" s="39">
        <f>Source!AO76</f>
        <v>10.6</v>
      </c>
      <c r="G193" s="38" t="str">
        <f>Source!DG76</f>
        <v>*1,1</v>
      </c>
      <c r="H193" s="36">
        <f>Source!AV77</f>
        <v>1.0469999999999999</v>
      </c>
      <c r="I193" s="39">
        <f>Source!S76</f>
        <v>1098.72</v>
      </c>
      <c r="J193" s="36">
        <f>IF(Source!BA77&lt;&gt; 0, Source!BA77, 1)</f>
        <v>54.99</v>
      </c>
      <c r="K193" s="39">
        <f>Source!S77</f>
        <v>60418.61</v>
      </c>
    </row>
    <row r="194" spans="1:29" ht="14.25" x14ac:dyDescent="0.2">
      <c r="A194" s="35"/>
      <c r="B194" s="35"/>
      <c r="C194" s="35" t="s">
        <v>435</v>
      </c>
      <c r="D194" s="37"/>
      <c r="E194" s="36"/>
      <c r="F194" s="39">
        <f>Source!AL76</f>
        <v>1.05</v>
      </c>
      <c r="G194" s="38" t="str">
        <f>Source!DD76</f>
        <v>*1</v>
      </c>
      <c r="H194" s="36">
        <f>Source!AW77</f>
        <v>1</v>
      </c>
      <c r="I194" s="39">
        <f>Source!P76</f>
        <v>94.5</v>
      </c>
      <c r="J194" s="36">
        <f>IF(Source!BC77&lt;&gt; 0, Source!BC77, 1)</f>
        <v>9.89</v>
      </c>
      <c r="K194" s="39">
        <f>Source!P77</f>
        <v>934.61</v>
      </c>
    </row>
    <row r="195" spans="1:29" ht="14.25" x14ac:dyDescent="0.2">
      <c r="A195" s="35"/>
      <c r="B195" s="35"/>
      <c r="C195" s="35" t="s">
        <v>436</v>
      </c>
      <c r="D195" s="37" t="s">
        <v>437</v>
      </c>
      <c r="E195" s="36">
        <f>Source!BZ77</f>
        <v>90</v>
      </c>
      <c r="F195" s="39"/>
      <c r="G195" s="38"/>
      <c r="H195" s="36"/>
      <c r="I195" s="39">
        <f>SUM(Q192:Q194)</f>
        <v>988.85</v>
      </c>
      <c r="J195" s="36">
        <f>Source!AT77</f>
        <v>90</v>
      </c>
      <c r="K195" s="39">
        <f>SUM(R192:R194)</f>
        <v>54376.75</v>
      </c>
    </row>
    <row r="196" spans="1:29" ht="14.25" x14ac:dyDescent="0.2">
      <c r="A196" s="35"/>
      <c r="B196" s="35"/>
      <c r="C196" s="35" t="s">
        <v>438</v>
      </c>
      <c r="D196" s="37" t="s">
        <v>437</v>
      </c>
      <c r="E196" s="36">
        <f>Source!CA77</f>
        <v>46</v>
      </c>
      <c r="F196" s="39"/>
      <c r="G196" s="38"/>
      <c r="H196" s="36"/>
      <c r="I196" s="39">
        <f>SUM(S192:S195)</f>
        <v>505.41</v>
      </c>
      <c r="J196" s="36">
        <f>Source!AU77</f>
        <v>46</v>
      </c>
      <c r="K196" s="39">
        <f>SUM(T192:T195)</f>
        <v>27792.560000000001</v>
      </c>
    </row>
    <row r="197" spans="1:29" ht="14.25" x14ac:dyDescent="0.2">
      <c r="A197" s="40"/>
      <c r="B197" s="40"/>
      <c r="C197" s="40" t="s">
        <v>439</v>
      </c>
      <c r="D197" s="41" t="s">
        <v>440</v>
      </c>
      <c r="E197" s="42">
        <f>Source!AQ76</f>
        <v>0.84</v>
      </c>
      <c r="F197" s="43"/>
      <c r="G197" s="44" t="str">
        <f>Source!DI76</f>
        <v>*1,1</v>
      </c>
      <c r="H197" s="42">
        <f>Source!AV77</f>
        <v>1.0469999999999999</v>
      </c>
      <c r="I197" s="43">
        <f>Source!U76</f>
        <v>87.068519999999992</v>
      </c>
      <c r="J197" s="42"/>
      <c r="K197" s="43"/>
    </row>
    <row r="198" spans="1:29" ht="15" x14ac:dyDescent="0.2">
      <c r="C198" s="45" t="s">
        <v>441</v>
      </c>
      <c r="H198" s="46">
        <f>I193+I194+I195+I196+0-0-0</f>
        <v>2687.48</v>
      </c>
      <c r="I198" s="46"/>
      <c r="J198" s="46">
        <f>K193+K194+K195+K196+0-0-0</f>
        <v>143522.53</v>
      </c>
      <c r="K198" s="46"/>
    </row>
    <row r="199" spans="1:29" ht="15" hidden="1" x14ac:dyDescent="0.2">
      <c r="C199" s="45" t="s">
        <v>442</v>
      </c>
      <c r="H199" s="48">
        <f>0+0</f>
        <v>0</v>
      </c>
      <c r="I199" s="48"/>
      <c r="J199" s="48">
        <f>0+0</f>
        <v>0</v>
      </c>
      <c r="K199" s="48"/>
    </row>
    <row r="200" spans="1:29" ht="15" x14ac:dyDescent="0.2">
      <c r="C200" s="45" t="s">
        <v>443</v>
      </c>
      <c r="H200" s="48">
        <f>I193+I194+I195+I196+0</f>
        <v>2687.48</v>
      </c>
      <c r="I200" s="48"/>
      <c r="J200" s="48">
        <f>K193+K194+K195+K196+0</f>
        <v>143522.53</v>
      </c>
      <c r="K200" s="48"/>
      <c r="O200" s="49">
        <f>I193+I194+I195+I196+0</f>
        <v>2687.48</v>
      </c>
      <c r="P200" s="49">
        <f>K193+K194+K195+K196+0</f>
        <v>143522.53</v>
      </c>
    </row>
    <row r="202" spans="1:29" ht="82.5" x14ac:dyDescent="0.2">
      <c r="A202" s="50">
        <v>26</v>
      </c>
      <c r="B202" s="50" t="str">
        <f>Source!F78</f>
        <v>КА-14</v>
      </c>
      <c r="C202" s="50" t="s">
        <v>459</v>
      </c>
      <c r="D202" s="51" t="str">
        <f>Source!H78</f>
        <v>ШТ</v>
      </c>
      <c r="E202" s="52">
        <f>Source!I78</f>
        <v>90</v>
      </c>
      <c r="F202" s="53">
        <f>Source!AL78</f>
        <v>71.33</v>
      </c>
      <c r="G202" s="54" t="str">
        <f>Source!DD78</f>
        <v/>
      </c>
      <c r="H202" s="52">
        <f>Source!AW79</f>
        <v>1</v>
      </c>
      <c r="I202" s="53">
        <f>Source!P78</f>
        <v>6419.7</v>
      </c>
      <c r="J202" s="52">
        <f>IF(Source!BC79&lt;&gt; 0, Source!BC79, 1)</f>
        <v>7.66</v>
      </c>
      <c r="K202" s="53">
        <f>Source!P79</f>
        <v>49174.9</v>
      </c>
      <c r="Q202">
        <f>Source!X78</f>
        <v>0</v>
      </c>
      <c r="R202">
        <f>Source!X79</f>
        <v>0</v>
      </c>
      <c r="S202">
        <f>Source!Y78</f>
        <v>0</v>
      </c>
      <c r="T202">
        <f>Source!Y79</f>
        <v>0</v>
      </c>
      <c r="U202">
        <f>ROUND((175/100)*ROUND(Source!R78, 2), 2)</f>
        <v>0</v>
      </c>
      <c r="V202">
        <f>ROUND((0/100)*ROUND(Source!R79, 2), 2)</f>
        <v>0</v>
      </c>
      <c r="AC202">
        <v>5</v>
      </c>
    </row>
    <row r="203" spans="1:29" ht="15" x14ac:dyDescent="0.2">
      <c r="A203" s="55"/>
      <c r="B203" s="55"/>
      <c r="C203" s="56" t="s">
        <v>443</v>
      </c>
      <c r="D203" s="55"/>
      <c r="E203" s="55"/>
      <c r="F203" s="55"/>
      <c r="G203" s="55"/>
      <c r="H203" s="57">
        <f>I202+0</f>
        <v>6419.7</v>
      </c>
      <c r="I203" s="57"/>
      <c r="J203" s="57">
        <f>K202+0</f>
        <v>49174.9</v>
      </c>
      <c r="K203" s="57"/>
      <c r="O203" s="49">
        <f>I202+0</f>
        <v>6419.7</v>
      </c>
      <c r="P203" s="49">
        <f>K202+0</f>
        <v>49174.9</v>
      </c>
    </row>
    <row r="205" spans="1:29" ht="28.5" x14ac:dyDescent="0.2">
      <c r="A205" s="35">
        <v>27</v>
      </c>
      <c r="B205" s="35" t="str">
        <f>Source!F80</f>
        <v>4.10-80-13</v>
      </c>
      <c r="C205" s="35" t="s">
        <v>62</v>
      </c>
      <c r="D205" s="37" t="str">
        <f>Source!H80</f>
        <v>1  ШТ.</v>
      </c>
      <c r="E205" s="36">
        <f>Source!I80</f>
        <v>9</v>
      </c>
      <c r="F205" s="39"/>
      <c r="G205" s="38"/>
      <c r="H205" s="36"/>
      <c r="I205" s="39"/>
      <c r="J205" s="36"/>
      <c r="K205" s="39"/>
      <c r="Q205">
        <f>Source!X80</f>
        <v>150</v>
      </c>
      <c r="R205">
        <f>Source!X81</f>
        <v>8248.66</v>
      </c>
      <c r="S205">
        <f>Source!Y80</f>
        <v>76.67</v>
      </c>
      <c r="T205">
        <f>Source!Y81</f>
        <v>4215.9799999999996</v>
      </c>
      <c r="U205">
        <f>ROUND((175/100)*ROUND(Source!R80, 2), 2)</f>
        <v>0.18</v>
      </c>
      <c r="V205">
        <f>ROUND((0/100)*ROUND(Source!R81, 2), 2)</f>
        <v>0</v>
      </c>
      <c r="AC205">
        <v>0</v>
      </c>
    </row>
    <row r="206" spans="1:29" ht="14.25" x14ac:dyDescent="0.2">
      <c r="A206" s="35"/>
      <c r="B206" s="35"/>
      <c r="C206" s="35" t="s">
        <v>434</v>
      </c>
      <c r="D206" s="37"/>
      <c r="E206" s="36"/>
      <c r="F206" s="39">
        <f>Source!AO80</f>
        <v>16.07</v>
      </c>
      <c r="G206" s="38" t="str">
        <f>Source!DG80</f>
        <v>*1,1</v>
      </c>
      <c r="H206" s="36">
        <f>Source!AV81</f>
        <v>1.0469999999999999</v>
      </c>
      <c r="I206" s="39">
        <f>Source!S80</f>
        <v>166.57</v>
      </c>
      <c r="J206" s="36">
        <f>IF(Source!BA81&lt;&gt; 0, Source!BA81, 1)</f>
        <v>54.99</v>
      </c>
      <c r="K206" s="39">
        <f>Source!S81</f>
        <v>9159.68</v>
      </c>
    </row>
    <row r="207" spans="1:29" ht="14.25" x14ac:dyDescent="0.2">
      <c r="A207" s="35"/>
      <c r="B207" s="35"/>
      <c r="C207" s="35" t="s">
        <v>447</v>
      </c>
      <c r="D207" s="37"/>
      <c r="E207" s="36"/>
      <c r="F207" s="39">
        <f>Source!AM80</f>
        <v>0.05</v>
      </c>
      <c r="G207" s="38" t="str">
        <f>Source!DE80</f>
        <v>*1,1</v>
      </c>
      <c r="H207" s="36">
        <f>Source!AV81</f>
        <v>1.0469999999999999</v>
      </c>
      <c r="I207" s="39">
        <f>Source!Q80</f>
        <v>0.52</v>
      </c>
      <c r="J207" s="36">
        <f>IF(Source!BB81&lt;&gt; 0, Source!BB81, 1)</f>
        <v>19</v>
      </c>
      <c r="K207" s="39">
        <f>Source!Q81</f>
        <v>9.8800000000000008</v>
      </c>
    </row>
    <row r="208" spans="1:29" ht="14.25" x14ac:dyDescent="0.2">
      <c r="A208" s="35"/>
      <c r="B208" s="35"/>
      <c r="C208" s="35" t="s">
        <v>448</v>
      </c>
      <c r="D208" s="37"/>
      <c r="E208" s="36"/>
      <c r="F208" s="39">
        <f>Source!AN80</f>
        <v>0.01</v>
      </c>
      <c r="G208" s="38" t="str">
        <f>Source!DF80</f>
        <v>*1,1</v>
      </c>
      <c r="H208" s="36">
        <f>Source!AV81</f>
        <v>1.0469999999999999</v>
      </c>
      <c r="I208" s="58">
        <f>Source!R80</f>
        <v>0.1</v>
      </c>
      <c r="J208" s="36">
        <f>IF(Source!BS81&lt;&gt; 0, Source!BS81, 1)</f>
        <v>54.99</v>
      </c>
      <c r="K208" s="58">
        <f>Source!R81</f>
        <v>5.5</v>
      </c>
    </row>
    <row r="209" spans="1:29" ht="14.25" x14ac:dyDescent="0.2">
      <c r="A209" s="35"/>
      <c r="B209" s="35"/>
      <c r="C209" s="35" t="s">
        <v>435</v>
      </c>
      <c r="D209" s="37"/>
      <c r="E209" s="36"/>
      <c r="F209" s="39">
        <f>Source!AL80</f>
        <v>1.96</v>
      </c>
      <c r="G209" s="38" t="str">
        <f>Source!DD80</f>
        <v>*1</v>
      </c>
      <c r="H209" s="36">
        <f>Source!AW81</f>
        <v>1</v>
      </c>
      <c r="I209" s="39">
        <f>Source!P80</f>
        <v>17.64</v>
      </c>
      <c r="J209" s="36">
        <f>IF(Source!BC81&lt;&gt; 0, Source!BC81, 1)</f>
        <v>9.89</v>
      </c>
      <c r="K209" s="39">
        <f>Source!P81</f>
        <v>174.46</v>
      </c>
    </row>
    <row r="210" spans="1:29" ht="14.25" x14ac:dyDescent="0.2">
      <c r="A210" s="35"/>
      <c r="B210" s="35"/>
      <c r="C210" s="35" t="s">
        <v>436</v>
      </c>
      <c r="D210" s="37" t="s">
        <v>437</v>
      </c>
      <c r="E210" s="36">
        <f>Source!BZ81</f>
        <v>90</v>
      </c>
      <c r="F210" s="39"/>
      <c r="G210" s="38"/>
      <c r="H210" s="36"/>
      <c r="I210" s="39">
        <f>SUM(Q205:Q209)</f>
        <v>150</v>
      </c>
      <c r="J210" s="36">
        <f>Source!AT81</f>
        <v>90</v>
      </c>
      <c r="K210" s="39">
        <f>SUM(R205:R209)</f>
        <v>8248.66</v>
      </c>
    </row>
    <row r="211" spans="1:29" ht="14.25" x14ac:dyDescent="0.2">
      <c r="A211" s="35"/>
      <c r="B211" s="35"/>
      <c r="C211" s="35" t="s">
        <v>438</v>
      </c>
      <c r="D211" s="37" t="s">
        <v>437</v>
      </c>
      <c r="E211" s="36">
        <f>Source!CA81</f>
        <v>46</v>
      </c>
      <c r="F211" s="39"/>
      <c r="G211" s="38"/>
      <c r="H211" s="36"/>
      <c r="I211" s="39">
        <f>SUM(S205:S210)</f>
        <v>76.67</v>
      </c>
      <c r="J211" s="36">
        <f>Source!AU81</f>
        <v>46</v>
      </c>
      <c r="K211" s="39">
        <f>SUM(T205:T210)</f>
        <v>4215.9799999999996</v>
      </c>
    </row>
    <row r="212" spans="1:29" ht="14.25" x14ac:dyDescent="0.2">
      <c r="A212" s="40"/>
      <c r="B212" s="40"/>
      <c r="C212" s="40" t="s">
        <v>439</v>
      </c>
      <c r="D212" s="41" t="s">
        <v>440</v>
      </c>
      <c r="E212" s="42">
        <f>Source!AQ80</f>
        <v>1.2</v>
      </c>
      <c r="F212" s="43"/>
      <c r="G212" s="44" t="str">
        <f>Source!DI80</f>
        <v>*1,1</v>
      </c>
      <c r="H212" s="42">
        <f>Source!AV81</f>
        <v>1.0469999999999999</v>
      </c>
      <c r="I212" s="43">
        <f>Source!U80</f>
        <v>12.438359999999999</v>
      </c>
      <c r="J212" s="42"/>
      <c r="K212" s="43"/>
    </row>
    <row r="213" spans="1:29" ht="15" x14ac:dyDescent="0.2">
      <c r="C213" s="45" t="s">
        <v>441</v>
      </c>
      <c r="H213" s="46">
        <f>I206+I207+I209+I210+I211+0-0-0</f>
        <v>411.40000000000003</v>
      </c>
      <c r="I213" s="46"/>
      <c r="J213" s="46">
        <f>K206+K207+K209+K210+K211+0-0-0</f>
        <v>21808.66</v>
      </c>
      <c r="K213" s="46"/>
    </row>
    <row r="214" spans="1:29" ht="15" hidden="1" x14ac:dyDescent="0.2">
      <c r="C214" s="45" t="s">
        <v>442</v>
      </c>
      <c r="H214" s="48">
        <f>0+0</f>
        <v>0</v>
      </c>
      <c r="I214" s="48"/>
      <c r="J214" s="48">
        <f>0+0</f>
        <v>0</v>
      </c>
      <c r="K214" s="48"/>
    </row>
    <row r="215" spans="1:29" ht="15" x14ac:dyDescent="0.2">
      <c r="C215" s="45" t="s">
        <v>443</v>
      </c>
      <c r="H215" s="48">
        <f>I206+I207+I209+I210+I211+0</f>
        <v>411.40000000000003</v>
      </c>
      <c r="I215" s="48"/>
      <c r="J215" s="48">
        <f>K206+K207+K209+K210+K211+0</f>
        <v>21808.66</v>
      </c>
      <c r="K215" s="48"/>
      <c r="O215" s="49">
        <f>I206+I207+I209+I210+I211+0</f>
        <v>411.40000000000003</v>
      </c>
      <c r="P215" s="49">
        <f>K206+K207+K209+K210+K211+0</f>
        <v>21808.66</v>
      </c>
    </row>
    <row r="217" spans="1:29" ht="54" x14ac:dyDescent="0.2">
      <c r="A217" s="50">
        <v>28</v>
      </c>
      <c r="B217" s="50" t="str">
        <f>Source!F82</f>
        <v>КА-15</v>
      </c>
      <c r="C217" s="50" t="s">
        <v>460</v>
      </c>
      <c r="D217" s="51" t="str">
        <f>Source!H82</f>
        <v>ШТ</v>
      </c>
      <c r="E217" s="52">
        <f>Source!I82</f>
        <v>9</v>
      </c>
      <c r="F217" s="53">
        <f>Source!AL82</f>
        <v>185.42</v>
      </c>
      <c r="G217" s="54" t="str">
        <f>Source!DD82</f>
        <v/>
      </c>
      <c r="H217" s="52">
        <f>Source!AW83</f>
        <v>1</v>
      </c>
      <c r="I217" s="53">
        <f>Source!P82</f>
        <v>1668.78</v>
      </c>
      <c r="J217" s="52">
        <f>IF(Source!BC83&lt;&gt; 0, Source!BC83, 1)</f>
        <v>7.66</v>
      </c>
      <c r="K217" s="53">
        <f>Source!P83</f>
        <v>12782.85</v>
      </c>
      <c r="Q217">
        <f>Source!X82</f>
        <v>0</v>
      </c>
      <c r="R217">
        <f>Source!X83</f>
        <v>0</v>
      </c>
      <c r="S217">
        <f>Source!Y82</f>
        <v>0</v>
      </c>
      <c r="T217">
        <f>Source!Y83</f>
        <v>0</v>
      </c>
      <c r="U217">
        <f>ROUND((175/100)*ROUND(Source!R82, 2), 2)</f>
        <v>0</v>
      </c>
      <c r="V217">
        <f>ROUND((0/100)*ROUND(Source!R83, 2), 2)</f>
        <v>0</v>
      </c>
      <c r="AC217">
        <v>5</v>
      </c>
    </row>
    <row r="218" spans="1:29" ht="15" x14ac:dyDescent="0.2">
      <c r="A218" s="55"/>
      <c r="B218" s="55"/>
      <c r="C218" s="56" t="s">
        <v>443</v>
      </c>
      <c r="D218" s="55"/>
      <c r="E218" s="55"/>
      <c r="F218" s="55"/>
      <c r="G218" s="55"/>
      <c r="H218" s="57">
        <f>I217+0</f>
        <v>1668.78</v>
      </c>
      <c r="I218" s="57"/>
      <c r="J218" s="57">
        <f>K217+0</f>
        <v>12782.85</v>
      </c>
      <c r="K218" s="57"/>
      <c r="O218" s="49">
        <f>I217+0</f>
        <v>1668.78</v>
      </c>
      <c r="P218" s="49">
        <f>K217+0</f>
        <v>12782.85</v>
      </c>
    </row>
    <row r="220" spans="1:29" ht="28.5" x14ac:dyDescent="0.2">
      <c r="A220" s="35">
        <v>29</v>
      </c>
      <c r="B220" s="35" t="str">
        <f>Source!F84</f>
        <v>4.10-59-3</v>
      </c>
      <c r="C220" s="35" t="s">
        <v>131</v>
      </c>
      <c r="D220" s="37" t="str">
        <f>Source!H84</f>
        <v>1  ШТ.</v>
      </c>
      <c r="E220" s="36">
        <f>Source!I84</f>
        <v>10</v>
      </c>
      <c r="F220" s="39"/>
      <c r="G220" s="38"/>
      <c r="H220" s="36"/>
      <c r="I220" s="39"/>
      <c r="J220" s="36"/>
      <c r="K220" s="39"/>
      <c r="Q220">
        <f>Source!X84</f>
        <v>117.07</v>
      </c>
      <c r="R220">
        <f>Source!X85</f>
        <v>6437.6</v>
      </c>
      <c r="S220">
        <f>Source!Y84</f>
        <v>65.31</v>
      </c>
      <c r="T220">
        <f>Source!Y85</f>
        <v>3591.5</v>
      </c>
      <c r="U220">
        <f>ROUND((175/100)*ROUND(Source!R84, 2), 2)</f>
        <v>0</v>
      </c>
      <c r="V220">
        <f>ROUND((0/100)*ROUND(Source!R85, 2), 2)</f>
        <v>0</v>
      </c>
      <c r="AC220">
        <v>0</v>
      </c>
    </row>
    <row r="221" spans="1:29" ht="14.25" x14ac:dyDescent="0.2">
      <c r="A221" s="35"/>
      <c r="B221" s="35"/>
      <c r="C221" s="35" t="s">
        <v>434</v>
      </c>
      <c r="D221" s="37"/>
      <c r="E221" s="36"/>
      <c r="F221" s="39">
        <f>Source!AO84</f>
        <v>10.7</v>
      </c>
      <c r="G221" s="38" t="str">
        <f>Source!DG84</f>
        <v>*1,1</v>
      </c>
      <c r="H221" s="36">
        <f>Source!AV85</f>
        <v>1.0469999999999999</v>
      </c>
      <c r="I221" s="39">
        <f>Source!S84</f>
        <v>123.23</v>
      </c>
      <c r="J221" s="36">
        <f>IF(Source!BA85&lt;&gt; 0, Source!BA85, 1)</f>
        <v>54.99</v>
      </c>
      <c r="K221" s="39">
        <f>Source!S85</f>
        <v>6776.42</v>
      </c>
    </row>
    <row r="222" spans="1:29" ht="14.25" x14ac:dyDescent="0.2">
      <c r="A222" s="35"/>
      <c r="B222" s="35"/>
      <c r="C222" s="35" t="s">
        <v>436</v>
      </c>
      <c r="D222" s="37" t="s">
        <v>437</v>
      </c>
      <c r="E222" s="36">
        <f>Source!BZ85</f>
        <v>95</v>
      </c>
      <c r="F222" s="39"/>
      <c r="G222" s="38"/>
      <c r="H222" s="36"/>
      <c r="I222" s="39">
        <f>SUM(Q220:Q221)</f>
        <v>117.07</v>
      </c>
      <c r="J222" s="36">
        <f>Source!AT85</f>
        <v>95</v>
      </c>
      <c r="K222" s="39">
        <f>SUM(R220:R221)</f>
        <v>6437.6</v>
      </c>
    </row>
    <row r="223" spans="1:29" ht="14.25" x14ac:dyDescent="0.2">
      <c r="A223" s="35"/>
      <c r="B223" s="35"/>
      <c r="C223" s="35" t="s">
        <v>438</v>
      </c>
      <c r="D223" s="37" t="s">
        <v>437</v>
      </c>
      <c r="E223" s="36">
        <f>Source!CA85</f>
        <v>53</v>
      </c>
      <c r="F223" s="39"/>
      <c r="G223" s="38"/>
      <c r="H223" s="36"/>
      <c r="I223" s="39">
        <f>SUM(S220:S222)</f>
        <v>65.31</v>
      </c>
      <c r="J223" s="36">
        <f>Source!AU85</f>
        <v>53</v>
      </c>
      <c r="K223" s="39">
        <f>SUM(T220:T222)</f>
        <v>3591.5</v>
      </c>
    </row>
    <row r="224" spans="1:29" ht="14.25" x14ac:dyDescent="0.2">
      <c r="A224" s="40"/>
      <c r="B224" s="40"/>
      <c r="C224" s="40" t="s">
        <v>439</v>
      </c>
      <c r="D224" s="41" t="s">
        <v>440</v>
      </c>
      <c r="E224" s="42">
        <f>Source!AQ84</f>
        <v>1</v>
      </c>
      <c r="F224" s="43"/>
      <c r="G224" s="44" t="str">
        <f>Source!DI84</f>
        <v>*1,1</v>
      </c>
      <c r="H224" s="42">
        <f>Source!AV85</f>
        <v>1.0469999999999999</v>
      </c>
      <c r="I224" s="43">
        <f>Source!U84</f>
        <v>11.516999999999999</v>
      </c>
      <c r="J224" s="42"/>
      <c r="K224" s="43"/>
    </row>
    <row r="225" spans="1:29" ht="15" x14ac:dyDescent="0.2">
      <c r="C225" s="45" t="s">
        <v>441</v>
      </c>
      <c r="H225" s="46">
        <f>I221+I222+I223+0-0-0</f>
        <v>305.61</v>
      </c>
      <c r="I225" s="46"/>
      <c r="J225" s="46">
        <f>K221+K222+K223+0-0-0</f>
        <v>16805.52</v>
      </c>
      <c r="K225" s="46"/>
    </row>
    <row r="226" spans="1:29" ht="15" hidden="1" x14ac:dyDescent="0.2">
      <c r="C226" s="45" t="s">
        <v>442</v>
      </c>
      <c r="H226" s="48">
        <f>0+0</f>
        <v>0</v>
      </c>
      <c r="I226" s="48"/>
      <c r="J226" s="48">
        <f>0+0</f>
        <v>0</v>
      </c>
      <c r="K226" s="48"/>
    </row>
    <row r="227" spans="1:29" ht="15" x14ac:dyDescent="0.2">
      <c r="C227" s="45" t="s">
        <v>443</v>
      </c>
      <c r="H227" s="48">
        <f>I221+I222+I223+0</f>
        <v>305.61</v>
      </c>
      <c r="I227" s="48"/>
      <c r="J227" s="48">
        <f>K221+K222+K223+0</f>
        <v>16805.52</v>
      </c>
      <c r="K227" s="48"/>
      <c r="O227" s="49">
        <f>I221+I222+I223+0</f>
        <v>305.61</v>
      </c>
      <c r="P227" s="49">
        <f>K221+K222+K223+0</f>
        <v>16805.52</v>
      </c>
    </row>
    <row r="229" spans="1:29" ht="82.5" x14ac:dyDescent="0.2">
      <c r="A229" s="50">
        <v>30</v>
      </c>
      <c r="B229" s="50" t="str">
        <f>Source!F86</f>
        <v>КА-16</v>
      </c>
      <c r="C229" s="50" t="s">
        <v>461</v>
      </c>
      <c r="D229" s="51" t="str">
        <f>Source!H86</f>
        <v>ШТ</v>
      </c>
      <c r="E229" s="52">
        <f>Source!I86</f>
        <v>10</v>
      </c>
      <c r="F229" s="53">
        <f>Source!AL86</f>
        <v>48.080000000000005</v>
      </c>
      <c r="G229" s="54" t="str">
        <f>Source!DD86</f>
        <v/>
      </c>
      <c r="H229" s="52">
        <f>Source!AW87</f>
        <v>1</v>
      </c>
      <c r="I229" s="53">
        <f>Source!P86</f>
        <v>480.8</v>
      </c>
      <c r="J229" s="52">
        <f>IF(Source!BC87&lt;&gt; 0, Source!BC87, 1)</f>
        <v>7.66</v>
      </c>
      <c r="K229" s="53">
        <f>Source!P87</f>
        <v>3682.93</v>
      </c>
      <c r="Q229">
        <f>Source!X86</f>
        <v>0</v>
      </c>
      <c r="R229">
        <f>Source!X87</f>
        <v>0</v>
      </c>
      <c r="S229">
        <f>Source!Y86</f>
        <v>0</v>
      </c>
      <c r="T229">
        <f>Source!Y87</f>
        <v>0</v>
      </c>
      <c r="U229">
        <f>ROUND((175/100)*ROUND(Source!R86, 2), 2)</f>
        <v>0</v>
      </c>
      <c r="V229">
        <f>ROUND((0/100)*ROUND(Source!R87, 2), 2)</f>
        <v>0</v>
      </c>
      <c r="AC229">
        <v>5</v>
      </c>
    </row>
    <row r="230" spans="1:29" ht="15" x14ac:dyDescent="0.2">
      <c r="A230" s="55"/>
      <c r="B230" s="55"/>
      <c r="C230" s="56" t="s">
        <v>443</v>
      </c>
      <c r="D230" s="55"/>
      <c r="E230" s="55"/>
      <c r="F230" s="55"/>
      <c r="G230" s="55"/>
      <c r="H230" s="57">
        <f>I229+0</f>
        <v>480.8</v>
      </c>
      <c r="I230" s="57"/>
      <c r="J230" s="57">
        <f>K229+0</f>
        <v>3682.93</v>
      </c>
      <c r="K230" s="57"/>
      <c r="O230" s="49">
        <f>I229+0</f>
        <v>480.8</v>
      </c>
      <c r="P230" s="49">
        <f>K229+0</f>
        <v>3682.93</v>
      </c>
    </row>
    <row r="232" spans="1:29" ht="42.75" x14ac:dyDescent="0.2">
      <c r="A232" s="35">
        <v>31</v>
      </c>
      <c r="B232" s="35" t="str">
        <f>Source!F88</f>
        <v>4.8-245-10</v>
      </c>
      <c r="C232" s="35" t="s">
        <v>139</v>
      </c>
      <c r="D232" s="37" t="str">
        <f>Source!H88</f>
        <v>100 шт.</v>
      </c>
      <c r="E232" s="36">
        <f>Source!I88</f>
        <v>0.01</v>
      </c>
      <c r="F232" s="39"/>
      <c r="G232" s="38"/>
      <c r="H232" s="36"/>
      <c r="I232" s="39"/>
      <c r="J232" s="36"/>
      <c r="K232" s="39"/>
      <c r="Q232">
        <f>Source!X88</f>
        <v>12.44</v>
      </c>
      <c r="R232">
        <f>Source!X89</f>
        <v>683.82</v>
      </c>
      <c r="S232">
        <f>Source!Y88</f>
        <v>6.54</v>
      </c>
      <c r="T232">
        <f>Source!Y89</f>
        <v>359.53</v>
      </c>
      <c r="U232">
        <f>ROUND((175/100)*ROUND(Source!R88, 2), 2)</f>
        <v>0.26</v>
      </c>
      <c r="V232">
        <f>ROUND((0/100)*ROUND(Source!R89, 2), 2)</f>
        <v>0</v>
      </c>
      <c r="AC232">
        <v>0</v>
      </c>
    </row>
    <row r="233" spans="1:29" x14ac:dyDescent="0.2">
      <c r="C233" s="59" t="str">
        <f>"Объем: "&amp;Source!I88&amp;"=1/"&amp;"100"</f>
        <v>Объем: 0,01=1/100</v>
      </c>
    </row>
    <row r="234" spans="1:29" ht="14.25" x14ac:dyDescent="0.2">
      <c r="A234" s="35"/>
      <c r="B234" s="35"/>
      <c r="C234" s="35" t="s">
        <v>434</v>
      </c>
      <c r="D234" s="37"/>
      <c r="E234" s="36"/>
      <c r="F234" s="39">
        <f>Source!AO88</f>
        <v>1099.8599999999999</v>
      </c>
      <c r="G234" s="38" t="str">
        <f>Source!DG88</f>
        <v>*1,1</v>
      </c>
      <c r="H234" s="36">
        <f>Source!AV89</f>
        <v>1.0469999999999999</v>
      </c>
      <c r="I234" s="39">
        <f>Source!S88</f>
        <v>12.67</v>
      </c>
      <c r="J234" s="36">
        <f>IF(Source!BA89&lt;&gt; 0, Source!BA89, 1)</f>
        <v>54.99</v>
      </c>
      <c r="K234" s="39">
        <f>Source!S89</f>
        <v>696.72</v>
      </c>
    </row>
    <row r="235" spans="1:29" ht="14.25" x14ac:dyDescent="0.2">
      <c r="A235" s="35"/>
      <c r="B235" s="35"/>
      <c r="C235" s="35" t="s">
        <v>447</v>
      </c>
      <c r="D235" s="37"/>
      <c r="E235" s="36"/>
      <c r="F235" s="39">
        <f>Source!AM88</f>
        <v>93.32</v>
      </c>
      <c r="G235" s="38" t="str">
        <f>Source!DE88</f>
        <v>*1,1</v>
      </c>
      <c r="H235" s="36">
        <f>Source!AV89</f>
        <v>1.0469999999999999</v>
      </c>
      <c r="I235" s="39">
        <f>Source!Q88</f>
        <v>1.07</v>
      </c>
      <c r="J235" s="36">
        <f>IF(Source!BB89&lt;&gt; 0, Source!BB89, 1)</f>
        <v>15.65</v>
      </c>
      <c r="K235" s="39">
        <f>Source!Q89</f>
        <v>16.75</v>
      </c>
    </row>
    <row r="236" spans="1:29" ht="14.25" x14ac:dyDescent="0.2">
      <c r="A236" s="35"/>
      <c r="B236" s="35"/>
      <c r="C236" s="35" t="s">
        <v>448</v>
      </c>
      <c r="D236" s="37"/>
      <c r="E236" s="36"/>
      <c r="F236" s="39">
        <f>Source!AN88</f>
        <v>13</v>
      </c>
      <c r="G236" s="38" t="str">
        <f>Source!DF88</f>
        <v>*1,1</v>
      </c>
      <c r="H236" s="36">
        <f>Source!AV89</f>
        <v>1.0469999999999999</v>
      </c>
      <c r="I236" s="58">
        <f>Source!R88</f>
        <v>0.15</v>
      </c>
      <c r="J236" s="36">
        <f>IF(Source!BS89&lt;&gt; 0, Source!BS89, 1)</f>
        <v>54.99</v>
      </c>
      <c r="K236" s="58">
        <f>Source!R89</f>
        <v>8.25</v>
      </c>
    </row>
    <row r="237" spans="1:29" ht="14.25" x14ac:dyDescent="0.2">
      <c r="A237" s="35"/>
      <c r="B237" s="35"/>
      <c r="C237" s="35" t="s">
        <v>435</v>
      </c>
      <c r="D237" s="37"/>
      <c r="E237" s="36"/>
      <c r="F237" s="39">
        <f>Source!AL88</f>
        <v>81.36</v>
      </c>
      <c r="G237" s="38" t="str">
        <f>Source!DD88</f>
        <v>*1</v>
      </c>
      <c r="H237" s="36">
        <f>Source!AW89</f>
        <v>1</v>
      </c>
      <c r="I237" s="39">
        <f>Source!P88</f>
        <v>0.81</v>
      </c>
      <c r="J237" s="36">
        <f>IF(Source!BC89&lt;&gt; 0, Source!BC89, 1)</f>
        <v>10.65</v>
      </c>
      <c r="K237" s="39">
        <f>Source!P89</f>
        <v>8.6300000000000008</v>
      </c>
    </row>
    <row r="238" spans="1:29" ht="14.25" x14ac:dyDescent="0.2">
      <c r="A238" s="35"/>
      <c r="B238" s="35"/>
      <c r="C238" s="35" t="s">
        <v>436</v>
      </c>
      <c r="D238" s="37" t="s">
        <v>437</v>
      </c>
      <c r="E238" s="36">
        <f>Source!BZ89</f>
        <v>97</v>
      </c>
      <c r="F238" s="39"/>
      <c r="G238" s="38"/>
      <c r="H238" s="36"/>
      <c r="I238" s="39">
        <f>SUM(Q232:Q237)</f>
        <v>12.44</v>
      </c>
      <c r="J238" s="36">
        <f>Source!AT89</f>
        <v>97</v>
      </c>
      <c r="K238" s="39">
        <f>SUM(R232:R237)</f>
        <v>683.82</v>
      </c>
    </row>
    <row r="239" spans="1:29" ht="14.25" x14ac:dyDescent="0.2">
      <c r="A239" s="35"/>
      <c r="B239" s="35"/>
      <c r="C239" s="35" t="s">
        <v>438</v>
      </c>
      <c r="D239" s="37" t="s">
        <v>437</v>
      </c>
      <c r="E239" s="36">
        <f>Source!CA89</f>
        <v>51</v>
      </c>
      <c r="F239" s="39"/>
      <c r="G239" s="38"/>
      <c r="H239" s="36"/>
      <c r="I239" s="39">
        <f>SUM(S232:S238)</f>
        <v>6.54</v>
      </c>
      <c r="J239" s="36">
        <f>Source!AU89</f>
        <v>51</v>
      </c>
      <c r="K239" s="39">
        <f>SUM(T232:T238)</f>
        <v>359.53</v>
      </c>
    </row>
    <row r="240" spans="1:29" ht="14.25" x14ac:dyDescent="0.2">
      <c r="A240" s="40"/>
      <c r="B240" s="40"/>
      <c r="C240" s="40" t="s">
        <v>439</v>
      </c>
      <c r="D240" s="41" t="s">
        <v>440</v>
      </c>
      <c r="E240" s="42">
        <f>Source!AQ88</f>
        <v>84.67</v>
      </c>
      <c r="F240" s="43"/>
      <c r="G240" s="44" t="str">
        <f>Source!DI88</f>
        <v>*1,1</v>
      </c>
      <c r="H240" s="42">
        <f>Source!AV89</f>
        <v>1.0469999999999999</v>
      </c>
      <c r="I240" s="43">
        <f>Source!U88</f>
        <v>0.97514439000000008</v>
      </c>
      <c r="J240" s="42"/>
      <c r="K240" s="43"/>
    </row>
    <row r="241" spans="1:29" ht="15" x14ac:dyDescent="0.2">
      <c r="C241" s="45" t="s">
        <v>441</v>
      </c>
      <c r="H241" s="46">
        <f>I234+I235+I237+I238+I239+0-0-0</f>
        <v>33.53</v>
      </c>
      <c r="I241" s="46"/>
      <c r="J241" s="46">
        <f>K234+K235+K237+K238+K239+0-0-0</f>
        <v>1765.45</v>
      </c>
      <c r="K241" s="46"/>
    </row>
    <row r="242" spans="1:29" ht="15" hidden="1" x14ac:dyDescent="0.2">
      <c r="C242" s="45" t="s">
        <v>442</v>
      </c>
      <c r="H242" s="48">
        <f>0+0</f>
        <v>0</v>
      </c>
      <c r="I242" s="48"/>
      <c r="J242" s="48">
        <f>0+0</f>
        <v>0</v>
      </c>
      <c r="K242" s="48"/>
    </row>
    <row r="243" spans="1:29" ht="15" x14ac:dyDescent="0.2">
      <c r="C243" s="45" t="s">
        <v>443</v>
      </c>
      <c r="H243" s="48">
        <f>I234+I235+I237+I238+I239+0</f>
        <v>33.53</v>
      </c>
      <c r="I243" s="48"/>
      <c r="J243" s="48">
        <f>K234+K235+K237+K238+K239+0</f>
        <v>1765.45</v>
      </c>
      <c r="K243" s="48"/>
      <c r="O243" s="49">
        <f>I234+I235+I237+I238+I239+0</f>
        <v>33.53</v>
      </c>
      <c r="P243" s="49">
        <f>K234+K235+K237+K238+K239+0</f>
        <v>1765.45</v>
      </c>
    </row>
    <row r="245" spans="1:29" ht="54" x14ac:dyDescent="0.2">
      <c r="A245" s="50">
        <v>32</v>
      </c>
      <c r="B245" s="50" t="str">
        <f>Source!F90</f>
        <v>КА-17</v>
      </c>
      <c r="C245" s="50" t="s">
        <v>462</v>
      </c>
      <c r="D245" s="51" t="str">
        <f>Source!H90</f>
        <v>ШТ</v>
      </c>
      <c r="E245" s="52">
        <f>Source!I90</f>
        <v>1</v>
      </c>
      <c r="F245" s="53">
        <f>Source!AL90</f>
        <v>25.749999999999996</v>
      </c>
      <c r="G245" s="54" t="str">
        <f>Source!DD90</f>
        <v/>
      </c>
      <c r="H245" s="52">
        <f>Source!AW91</f>
        <v>1</v>
      </c>
      <c r="I245" s="53">
        <f>Source!P90</f>
        <v>25.75</v>
      </c>
      <c r="J245" s="52">
        <f>IF(Source!BC91&lt;&gt; 0, Source!BC91, 1)</f>
        <v>7.66</v>
      </c>
      <c r="K245" s="53">
        <f>Source!P91</f>
        <v>197.25</v>
      </c>
      <c r="Q245">
        <f>Source!X90</f>
        <v>0</v>
      </c>
      <c r="R245">
        <f>Source!X91</f>
        <v>0</v>
      </c>
      <c r="S245">
        <f>Source!Y90</f>
        <v>0</v>
      </c>
      <c r="T245">
        <f>Source!Y91</f>
        <v>0</v>
      </c>
      <c r="U245">
        <f>ROUND((175/100)*ROUND(Source!R90, 2), 2)</f>
        <v>0</v>
      </c>
      <c r="V245">
        <f>ROUND((0/100)*ROUND(Source!R91, 2), 2)</f>
        <v>0</v>
      </c>
      <c r="AC245">
        <v>5</v>
      </c>
    </row>
    <row r="246" spans="1:29" ht="15" x14ac:dyDescent="0.2">
      <c r="A246" s="55"/>
      <c r="B246" s="55"/>
      <c r="C246" s="56" t="s">
        <v>443</v>
      </c>
      <c r="D246" s="55"/>
      <c r="E246" s="55"/>
      <c r="F246" s="55"/>
      <c r="G246" s="55"/>
      <c r="H246" s="57">
        <f>I245+0</f>
        <v>25.75</v>
      </c>
      <c r="I246" s="57"/>
      <c r="J246" s="57">
        <f>K245+0</f>
        <v>197.25</v>
      </c>
      <c r="K246" s="57"/>
      <c r="O246" s="49">
        <f>I245+0</f>
        <v>25.75</v>
      </c>
      <c r="P246" s="49">
        <f>K245+0</f>
        <v>197.25</v>
      </c>
    </row>
    <row r="249" spans="1:29" ht="15" x14ac:dyDescent="0.25">
      <c r="A249" s="60" t="str">
        <f>CONCATENATE("Итого по разделу: ",IF(Source!G93&lt;&gt;"Новый раздел", Source!G93, ""))</f>
        <v>Итого по разделу: Оборудование</v>
      </c>
      <c r="B249" s="60"/>
      <c r="C249" s="60"/>
      <c r="D249" s="60"/>
      <c r="E249" s="60"/>
      <c r="F249" s="60"/>
      <c r="G249" s="60"/>
      <c r="H249" s="48">
        <f>SUM(O29:O248)</f>
        <v>78273.239999999991</v>
      </c>
      <c r="I249" s="47"/>
      <c r="J249" s="48">
        <f>SUM(P29:P248)</f>
        <v>1130232.3199999998</v>
      </c>
      <c r="K249" s="47"/>
    </row>
    <row r="250" spans="1:29" hidden="1" x14ac:dyDescent="0.2">
      <c r="A250" t="s">
        <v>463</v>
      </c>
      <c r="I250">
        <f>SUM(W29:W249)</f>
        <v>0</v>
      </c>
      <c r="J250">
        <f>SUM(X29:X249)</f>
        <v>0</v>
      </c>
    </row>
    <row r="251" spans="1:29" hidden="1" x14ac:dyDescent="0.2">
      <c r="A251" t="s">
        <v>464</v>
      </c>
      <c r="I251">
        <f>SUM(Y29:Y250)</f>
        <v>0</v>
      </c>
      <c r="J251">
        <f>SUM(Z29:Z250)</f>
        <v>0</v>
      </c>
    </row>
    <row r="253" spans="1:29" ht="16.5" x14ac:dyDescent="0.2">
      <c r="A253" s="34" t="str">
        <f>CONCATENATE("Раздел: ",IF(Source!G123&lt;&gt;"Новый раздел", Source!G123, ""))</f>
        <v>Раздел: Кабельные изделия СОТС</v>
      </c>
      <c r="B253" s="34"/>
      <c r="C253" s="34"/>
      <c r="D253" s="34"/>
      <c r="E253" s="34"/>
      <c r="F253" s="34"/>
      <c r="G253" s="34"/>
      <c r="H253" s="34"/>
      <c r="I253" s="34"/>
      <c r="J253" s="34"/>
      <c r="K253" s="34"/>
    </row>
    <row r="254" spans="1:29" ht="71.25" x14ac:dyDescent="0.2">
      <c r="A254" s="35">
        <v>33</v>
      </c>
      <c r="B254" s="35" t="str">
        <f>Source!F127</f>
        <v>4.8-288-1</v>
      </c>
      <c r="C254" s="35" t="s">
        <v>205</v>
      </c>
      <c r="D254" s="37" t="str">
        <f>Source!H127</f>
        <v>100 м</v>
      </c>
      <c r="E254" s="36">
        <f>Source!I127</f>
        <v>30</v>
      </c>
      <c r="F254" s="39"/>
      <c r="G254" s="38"/>
      <c r="H254" s="36"/>
      <c r="I254" s="39"/>
      <c r="J254" s="36"/>
      <c r="K254" s="39"/>
      <c r="Q254">
        <f>Source!X127</f>
        <v>6386.18</v>
      </c>
      <c r="R254">
        <f>Source!X128</f>
        <v>351176</v>
      </c>
      <c r="S254">
        <f>Source!Y127</f>
        <v>3357.68</v>
      </c>
      <c r="T254">
        <f>Source!Y128</f>
        <v>184638.93</v>
      </c>
      <c r="U254">
        <f>ROUND((175/100)*ROUND(Source!R127, 2), 2)</f>
        <v>330.14</v>
      </c>
      <c r="V254">
        <f>ROUND((0/100)*ROUND(Source!R128, 2), 2)</f>
        <v>0</v>
      </c>
      <c r="AC254">
        <v>0</v>
      </c>
    </row>
    <row r="255" spans="1:29" x14ac:dyDescent="0.2">
      <c r="C255" s="59" t="str">
        <f>"Объем: "&amp;Source!I127&amp;"=3000/"&amp;"100"</f>
        <v>Объем: 30=3000/100</v>
      </c>
    </row>
    <row r="256" spans="1:29" ht="14.25" x14ac:dyDescent="0.2">
      <c r="A256" s="35"/>
      <c r="B256" s="35"/>
      <c r="C256" s="35" t="s">
        <v>434</v>
      </c>
      <c r="D256" s="37"/>
      <c r="E256" s="36"/>
      <c r="F256" s="39">
        <f>Source!AO127</f>
        <v>185.09</v>
      </c>
      <c r="G256" s="38" t="str">
        <f>Source!DG127</f>
        <v>*1,1</v>
      </c>
      <c r="H256" s="36">
        <f>Source!AV128</f>
        <v>1.0469999999999999</v>
      </c>
      <c r="I256" s="39">
        <f>Source!S127</f>
        <v>6395.04</v>
      </c>
      <c r="J256" s="36">
        <f>IF(Source!BA128&lt;&gt; 0, Source!BA128, 1)</f>
        <v>54.99</v>
      </c>
      <c r="K256" s="39">
        <f>Source!S128</f>
        <v>351663.25</v>
      </c>
    </row>
    <row r="257" spans="1:29" ht="14.25" x14ac:dyDescent="0.2">
      <c r="A257" s="35"/>
      <c r="B257" s="35"/>
      <c r="C257" s="35" t="s">
        <v>447</v>
      </c>
      <c r="D257" s="37"/>
      <c r="E257" s="36"/>
      <c r="F257" s="39">
        <f>Source!AM127</f>
        <v>32.74</v>
      </c>
      <c r="G257" s="38" t="str">
        <f>Source!DE127</f>
        <v>*1,1</v>
      </c>
      <c r="H257" s="36">
        <f>Source!AV128</f>
        <v>1.0469999999999999</v>
      </c>
      <c r="I257" s="39">
        <f>Source!Q127</f>
        <v>1131.2</v>
      </c>
      <c r="J257" s="36">
        <f>IF(Source!BB128&lt;&gt; 0, Source!BB128, 1)</f>
        <v>17.54</v>
      </c>
      <c r="K257" s="39">
        <f>Source!Q128</f>
        <v>19841.25</v>
      </c>
    </row>
    <row r="258" spans="1:29" ht="14.25" x14ac:dyDescent="0.2">
      <c r="A258" s="35"/>
      <c r="B258" s="35"/>
      <c r="C258" s="35" t="s">
        <v>448</v>
      </c>
      <c r="D258" s="37"/>
      <c r="E258" s="36"/>
      <c r="F258" s="39">
        <f>Source!AN127</f>
        <v>5.46</v>
      </c>
      <c r="G258" s="38" t="str">
        <f>Source!DF127</f>
        <v>*1,1</v>
      </c>
      <c r="H258" s="36">
        <f>Source!AV128</f>
        <v>1.0469999999999999</v>
      </c>
      <c r="I258" s="58">
        <f>Source!R127</f>
        <v>188.65</v>
      </c>
      <c r="J258" s="36">
        <f>IF(Source!BS128&lt;&gt; 0, Source!BS128, 1)</f>
        <v>54.99</v>
      </c>
      <c r="K258" s="58">
        <f>Source!R128</f>
        <v>10373.86</v>
      </c>
    </row>
    <row r="259" spans="1:29" ht="14.25" x14ac:dyDescent="0.2">
      <c r="A259" s="35"/>
      <c r="B259" s="35"/>
      <c r="C259" s="35" t="s">
        <v>435</v>
      </c>
      <c r="D259" s="37"/>
      <c r="E259" s="36"/>
      <c r="F259" s="39">
        <f>Source!AL127</f>
        <v>343.03</v>
      </c>
      <c r="G259" s="38" t="str">
        <f>Source!DD127</f>
        <v>*1</v>
      </c>
      <c r="H259" s="36">
        <f>Source!AW128</f>
        <v>1</v>
      </c>
      <c r="I259" s="39">
        <f>Source!P127</f>
        <v>10290.9</v>
      </c>
      <c r="J259" s="36">
        <f>IF(Source!BC128&lt;&gt; 0, Source!BC128, 1)</f>
        <v>9.89</v>
      </c>
      <c r="K259" s="39">
        <f>Source!P128</f>
        <v>101777</v>
      </c>
    </row>
    <row r="260" spans="1:29" ht="42.75" x14ac:dyDescent="0.2">
      <c r="A260" s="35" t="s">
        <v>208</v>
      </c>
      <c r="B260" s="35" t="str">
        <f>Source!F129</f>
        <v>1.12-5-371</v>
      </c>
      <c r="C260" s="35" t="s">
        <v>210</v>
      </c>
      <c r="D260" s="37" t="str">
        <f>Source!H129</f>
        <v>м</v>
      </c>
      <c r="E260" s="36">
        <f>Source!I129</f>
        <v>3060</v>
      </c>
      <c r="F260" s="39">
        <f>Source!AK129</f>
        <v>2.67</v>
      </c>
      <c r="G260" s="61" t="s">
        <v>465</v>
      </c>
      <c r="H260" s="36">
        <f>Source!AW130</f>
        <v>1</v>
      </c>
      <c r="I260" s="39">
        <f>Source!O129</f>
        <v>8170.2</v>
      </c>
      <c r="J260" s="36">
        <f>IF(Source!BC130&lt;&gt; 0, Source!BC130, 1)</f>
        <v>3.83</v>
      </c>
      <c r="K260" s="39">
        <f>Source!O130</f>
        <v>31291.87</v>
      </c>
      <c r="Q260">
        <f>Source!X129</f>
        <v>0</v>
      </c>
      <c r="R260">
        <f>Source!X130</f>
        <v>0</v>
      </c>
      <c r="S260">
        <f>Source!Y129</f>
        <v>0</v>
      </c>
      <c r="T260">
        <f>Source!Y130</f>
        <v>0</v>
      </c>
      <c r="U260">
        <f>ROUND((175/100)*ROUND(Source!R129, 2), 2)</f>
        <v>0</v>
      </c>
      <c r="V260">
        <f>ROUND((0/100)*ROUND(Source!R130, 2), 2)</f>
        <v>0</v>
      </c>
      <c r="AC260">
        <v>3</v>
      </c>
    </row>
    <row r="261" spans="1:29" ht="42.75" x14ac:dyDescent="0.2">
      <c r="A261" s="35" t="s">
        <v>213</v>
      </c>
      <c r="B261" s="35" t="str">
        <f>Source!F131</f>
        <v>1.14-1-549</v>
      </c>
      <c r="C261" s="35" t="s">
        <v>215</v>
      </c>
      <c r="D261" s="37" t="str">
        <f>Source!H131</f>
        <v>шт.</v>
      </c>
      <c r="E261" s="36">
        <f>Source!I131</f>
        <v>100</v>
      </c>
      <c r="F261" s="39">
        <f>Source!AK131</f>
        <v>3.83</v>
      </c>
      <c r="G261" s="61" t="s">
        <v>465</v>
      </c>
      <c r="H261" s="36">
        <f>Source!AW132</f>
        <v>1</v>
      </c>
      <c r="I261" s="39">
        <f>Source!O131</f>
        <v>383</v>
      </c>
      <c r="J261" s="36">
        <f>IF(Source!BC132&lt;&gt; 0, Source!BC132, 1)</f>
        <v>7.79</v>
      </c>
      <c r="K261" s="39">
        <f>Source!O132</f>
        <v>2983.57</v>
      </c>
      <c r="Q261">
        <f>Source!X131</f>
        <v>0</v>
      </c>
      <c r="R261">
        <f>Source!X132</f>
        <v>0</v>
      </c>
      <c r="S261">
        <f>Source!Y131</f>
        <v>0</v>
      </c>
      <c r="T261">
        <f>Source!Y132</f>
        <v>0</v>
      </c>
      <c r="U261">
        <f>ROUND((175/100)*ROUND(Source!R131, 2), 2)</f>
        <v>0</v>
      </c>
      <c r="V261">
        <f>ROUND((0/100)*ROUND(Source!R132, 2), 2)</f>
        <v>0</v>
      </c>
      <c r="AC261">
        <v>3</v>
      </c>
    </row>
    <row r="262" spans="1:29" ht="14.25" x14ac:dyDescent="0.2">
      <c r="A262" s="35"/>
      <c r="B262" s="35"/>
      <c r="C262" s="35" t="s">
        <v>436</v>
      </c>
      <c r="D262" s="37" t="s">
        <v>437</v>
      </c>
      <c r="E262" s="36">
        <f>Source!BZ128</f>
        <v>97</v>
      </c>
      <c r="F262" s="39"/>
      <c r="G262" s="38"/>
      <c r="H262" s="36"/>
      <c r="I262" s="39">
        <f>SUM(Q254:Q261)</f>
        <v>6386.18</v>
      </c>
      <c r="J262" s="36">
        <f>Source!AT128</f>
        <v>97</v>
      </c>
      <c r="K262" s="39">
        <f>SUM(R254:R261)</f>
        <v>351176</v>
      </c>
    </row>
    <row r="263" spans="1:29" ht="14.25" x14ac:dyDescent="0.2">
      <c r="A263" s="35"/>
      <c r="B263" s="35"/>
      <c r="C263" s="35" t="s">
        <v>438</v>
      </c>
      <c r="D263" s="37" t="s">
        <v>437</v>
      </c>
      <c r="E263" s="36">
        <f>Source!CA128</f>
        <v>51</v>
      </c>
      <c r="F263" s="39"/>
      <c r="G263" s="38"/>
      <c r="H263" s="36"/>
      <c r="I263" s="39">
        <f>SUM(S254:S262)</f>
        <v>3357.68</v>
      </c>
      <c r="J263" s="36">
        <f>Source!AU128</f>
        <v>51</v>
      </c>
      <c r="K263" s="39">
        <f>SUM(T254:T262)</f>
        <v>184638.93</v>
      </c>
    </row>
    <row r="264" spans="1:29" ht="14.25" x14ac:dyDescent="0.2">
      <c r="A264" s="40"/>
      <c r="B264" s="40"/>
      <c r="C264" s="40" t="s">
        <v>439</v>
      </c>
      <c r="D264" s="41" t="s">
        <v>440</v>
      </c>
      <c r="E264" s="42">
        <f>Source!AQ127</f>
        <v>14.37</v>
      </c>
      <c r="F264" s="43"/>
      <c r="G264" s="44" t="str">
        <f>Source!DI127</f>
        <v>*1,1</v>
      </c>
      <c r="H264" s="42">
        <f>Source!AV128</f>
        <v>1.0469999999999999</v>
      </c>
      <c r="I264" s="43">
        <f>Source!U127</f>
        <v>496.49786999999998</v>
      </c>
      <c r="J264" s="42"/>
      <c r="K264" s="43"/>
    </row>
    <row r="265" spans="1:29" ht="15" x14ac:dyDescent="0.2">
      <c r="C265" s="45" t="s">
        <v>441</v>
      </c>
      <c r="H265" s="46">
        <f>I256+I257+I259+I262+I263+SUM(I260:I261)-SUMIF(AC260:AC261, 5, I260:I261)-SUMIF(AC260:AC261, 6, I260:I261)</f>
        <v>36114.199999999997</v>
      </c>
      <c r="I265" s="46"/>
      <c r="J265" s="46">
        <f>K256+K257+K259+K262+K263+SUM(K260:K261)-SUMIF(AC260:AC261, 5, K260:K261)-SUMIF(AC260:AC261, 6, K260:K261)</f>
        <v>1043371.8699999999</v>
      </c>
      <c r="K265" s="46"/>
    </row>
    <row r="266" spans="1:29" ht="15" hidden="1" x14ac:dyDescent="0.2">
      <c r="C266" s="45" t="s">
        <v>442</v>
      </c>
      <c r="H266" s="48">
        <f>SUMIF(AC260:AC261, 5, I260:I261)+SUMIF(AC260:AC261, 6, I260:I261)</f>
        <v>0</v>
      </c>
      <c r="I266" s="48"/>
      <c r="J266" s="48">
        <f>SUMIF(AC260:AC261, 5, K260:K261)+SUMIF(AC260:AC261, 6, K260:K261)</f>
        <v>0</v>
      </c>
      <c r="K266" s="48"/>
    </row>
    <row r="267" spans="1:29" ht="15" x14ac:dyDescent="0.2">
      <c r="C267" s="45" t="s">
        <v>443</v>
      </c>
      <c r="H267" s="48">
        <f>I256+I257+I259+I262+I263+SUM(I260:I261)</f>
        <v>36114.199999999997</v>
      </c>
      <c r="I267" s="48"/>
      <c r="J267" s="48">
        <f>K256+K257+K259+K262+K263+SUM(K260:K261)</f>
        <v>1043371.8699999999</v>
      </c>
      <c r="K267" s="48"/>
      <c r="O267" s="49">
        <f>I256+I257+I259+I262+I263+SUM(I260:I261)</f>
        <v>36114.199999999997</v>
      </c>
      <c r="P267" s="49">
        <f>K256+K257+K259+K262+K263+SUM(K260:K261)</f>
        <v>1043371.8699999999</v>
      </c>
    </row>
    <row r="269" spans="1:29" ht="57" x14ac:dyDescent="0.2">
      <c r="A269" s="35">
        <v>34</v>
      </c>
      <c r="B269" s="35" t="str">
        <f>Source!F133</f>
        <v>4.8-170-1</v>
      </c>
      <c r="C269" s="35" t="s">
        <v>220</v>
      </c>
      <c r="D269" s="37" t="str">
        <f>Source!H133</f>
        <v>100 м</v>
      </c>
      <c r="E269" s="36">
        <f>Source!I133</f>
        <v>0.5</v>
      </c>
      <c r="F269" s="39"/>
      <c r="G269" s="38"/>
      <c r="H269" s="36"/>
      <c r="I269" s="39"/>
      <c r="J269" s="36"/>
      <c r="K269" s="39"/>
      <c r="Q269">
        <f>Source!X133</f>
        <v>310.82</v>
      </c>
      <c r="R269">
        <f>Source!X134</f>
        <v>17091.84</v>
      </c>
      <c r="S269">
        <f>Source!Y133</f>
        <v>163.41999999999999</v>
      </c>
      <c r="T269">
        <f>Source!Y134</f>
        <v>8986.43</v>
      </c>
      <c r="U269">
        <f>ROUND((175/100)*ROUND(Source!R133, 2), 2)</f>
        <v>228.03</v>
      </c>
      <c r="V269">
        <f>ROUND((0/100)*ROUND(Source!R134, 2), 2)</f>
        <v>0</v>
      </c>
      <c r="AC269">
        <v>0</v>
      </c>
    </row>
    <row r="270" spans="1:29" x14ac:dyDescent="0.2">
      <c r="C270" s="59" t="str">
        <f>"Объем: "&amp;Source!I133&amp;"=50/"&amp;"100"</f>
        <v>Объем: 0,5=50/100</v>
      </c>
    </row>
    <row r="271" spans="1:29" ht="14.25" x14ac:dyDescent="0.2">
      <c r="A271" s="35"/>
      <c r="B271" s="35"/>
      <c r="C271" s="35" t="s">
        <v>434</v>
      </c>
      <c r="D271" s="37"/>
      <c r="E271" s="36"/>
      <c r="F271" s="39">
        <f>Source!AO133</f>
        <v>330.18</v>
      </c>
      <c r="G271" s="38" t="str">
        <f>Source!DG133</f>
        <v>*1,1</v>
      </c>
      <c r="H271" s="36">
        <f>Source!AV134</f>
        <v>1.0469999999999999</v>
      </c>
      <c r="I271" s="39">
        <f>Source!S133</f>
        <v>190.13</v>
      </c>
      <c r="J271" s="36">
        <f>IF(Source!BA134&lt;&gt; 0, Source!BA134, 1)</f>
        <v>54.99</v>
      </c>
      <c r="K271" s="39">
        <f>Source!S134</f>
        <v>10455.25</v>
      </c>
    </row>
    <row r="272" spans="1:29" ht="14.25" x14ac:dyDescent="0.2">
      <c r="A272" s="35"/>
      <c r="B272" s="35"/>
      <c r="C272" s="35" t="s">
        <v>447</v>
      </c>
      <c r="D272" s="37"/>
      <c r="E272" s="36"/>
      <c r="F272" s="39">
        <f>Source!AM133</f>
        <v>526.80999999999995</v>
      </c>
      <c r="G272" s="38" t="str">
        <f>Source!DE133</f>
        <v>*1,1</v>
      </c>
      <c r="H272" s="36">
        <f>Source!AV134</f>
        <v>1.0469999999999999</v>
      </c>
      <c r="I272" s="39">
        <f>Source!Q133</f>
        <v>303.36</v>
      </c>
      <c r="J272" s="36">
        <f>IF(Source!BB134&lt;&gt; 0, Source!BB134, 1)</f>
        <v>29.93</v>
      </c>
      <c r="K272" s="39">
        <f>Source!Q134</f>
        <v>9079.56</v>
      </c>
    </row>
    <row r="273" spans="1:29" ht="14.25" x14ac:dyDescent="0.2">
      <c r="A273" s="35"/>
      <c r="B273" s="35"/>
      <c r="C273" s="35" t="s">
        <v>448</v>
      </c>
      <c r="D273" s="37"/>
      <c r="E273" s="36"/>
      <c r="F273" s="39">
        <f>Source!AN133</f>
        <v>226.28</v>
      </c>
      <c r="G273" s="38" t="str">
        <f>Source!DF133</f>
        <v>*1,1</v>
      </c>
      <c r="H273" s="36">
        <f>Source!AV134</f>
        <v>1.0469999999999999</v>
      </c>
      <c r="I273" s="58">
        <f>Source!R133</f>
        <v>130.30000000000001</v>
      </c>
      <c r="J273" s="36">
        <f>IF(Source!BS134&lt;&gt; 0, Source!BS134, 1)</f>
        <v>54.99</v>
      </c>
      <c r="K273" s="58">
        <f>Source!R134</f>
        <v>7165.2</v>
      </c>
    </row>
    <row r="274" spans="1:29" ht="14.25" x14ac:dyDescent="0.2">
      <c r="A274" s="35"/>
      <c r="B274" s="35"/>
      <c r="C274" s="35" t="s">
        <v>435</v>
      </c>
      <c r="D274" s="37"/>
      <c r="E274" s="36"/>
      <c r="F274" s="39">
        <f>Source!AL133</f>
        <v>288.57</v>
      </c>
      <c r="G274" s="38" t="str">
        <f>Source!DD133</f>
        <v>*1</v>
      </c>
      <c r="H274" s="36">
        <f>Source!AW134</f>
        <v>1</v>
      </c>
      <c r="I274" s="39">
        <f>Source!P133</f>
        <v>144.29</v>
      </c>
      <c r="J274" s="36">
        <f>IF(Source!BC134&lt;&gt; 0, Source!BC134, 1)</f>
        <v>5.56</v>
      </c>
      <c r="K274" s="39">
        <f>Source!P134</f>
        <v>802.25</v>
      </c>
    </row>
    <row r="275" spans="1:29" ht="42.75" x14ac:dyDescent="0.2">
      <c r="A275" s="35" t="s">
        <v>222</v>
      </c>
      <c r="B275" s="35" t="str">
        <f>Source!F135</f>
        <v>1.12-1-23</v>
      </c>
      <c r="C275" s="35" t="s">
        <v>224</v>
      </c>
      <c r="D275" s="37" t="str">
        <f>Source!H135</f>
        <v>м</v>
      </c>
      <c r="E275" s="36">
        <f>Source!I135</f>
        <v>51.5</v>
      </c>
      <c r="F275" s="39">
        <f>Source!AK135</f>
        <v>21.84</v>
      </c>
      <c r="G275" s="61" t="s">
        <v>465</v>
      </c>
      <c r="H275" s="36">
        <f>Source!AW136</f>
        <v>1</v>
      </c>
      <c r="I275" s="39">
        <f>Source!O135</f>
        <v>1124.76</v>
      </c>
      <c r="J275" s="36">
        <f>IF(Source!BC136&lt;&gt; 0, Source!BC136, 1)</f>
        <v>3.29</v>
      </c>
      <c r="K275" s="39">
        <f>Source!O136</f>
        <v>3700.46</v>
      </c>
      <c r="Q275">
        <f>Source!X135</f>
        <v>0</v>
      </c>
      <c r="R275">
        <f>Source!X136</f>
        <v>0</v>
      </c>
      <c r="S275">
        <f>Source!Y135</f>
        <v>0</v>
      </c>
      <c r="T275">
        <f>Source!Y136</f>
        <v>0</v>
      </c>
      <c r="U275">
        <f>ROUND((175/100)*ROUND(Source!R135, 2), 2)</f>
        <v>0</v>
      </c>
      <c r="V275">
        <f>ROUND((0/100)*ROUND(Source!R136, 2), 2)</f>
        <v>0</v>
      </c>
      <c r="AC275">
        <v>3</v>
      </c>
    </row>
    <row r="276" spans="1:29" ht="14.25" x14ac:dyDescent="0.2">
      <c r="A276" s="35"/>
      <c r="B276" s="35"/>
      <c r="C276" s="35" t="s">
        <v>436</v>
      </c>
      <c r="D276" s="37" t="s">
        <v>437</v>
      </c>
      <c r="E276" s="36">
        <f>Source!BZ134</f>
        <v>97</v>
      </c>
      <c r="F276" s="39"/>
      <c r="G276" s="38"/>
      <c r="H276" s="36"/>
      <c r="I276" s="39">
        <f>SUM(Q269:Q275)</f>
        <v>310.82</v>
      </c>
      <c r="J276" s="36">
        <f>Source!AT134</f>
        <v>97</v>
      </c>
      <c r="K276" s="39">
        <f>SUM(R269:R275)</f>
        <v>17091.84</v>
      </c>
    </row>
    <row r="277" spans="1:29" ht="14.25" x14ac:dyDescent="0.2">
      <c r="A277" s="35"/>
      <c r="B277" s="35"/>
      <c r="C277" s="35" t="s">
        <v>438</v>
      </c>
      <c r="D277" s="37" t="s">
        <v>437</v>
      </c>
      <c r="E277" s="36">
        <f>Source!CA134</f>
        <v>51</v>
      </c>
      <c r="F277" s="39"/>
      <c r="G277" s="38"/>
      <c r="H277" s="36"/>
      <c r="I277" s="39">
        <f>SUM(S269:S276)</f>
        <v>163.41999999999999</v>
      </c>
      <c r="J277" s="36">
        <f>Source!AU134</f>
        <v>51</v>
      </c>
      <c r="K277" s="39">
        <f>SUM(T269:T276)</f>
        <v>8986.43</v>
      </c>
    </row>
    <row r="278" spans="1:29" ht="14.25" x14ac:dyDescent="0.2">
      <c r="A278" s="40"/>
      <c r="B278" s="40"/>
      <c r="C278" s="40" t="s">
        <v>439</v>
      </c>
      <c r="D278" s="41" t="s">
        <v>440</v>
      </c>
      <c r="E278" s="42">
        <f>Source!AQ133</f>
        <v>26.8</v>
      </c>
      <c r="F278" s="43"/>
      <c r="G278" s="44" t="str">
        <f>Source!DI133</f>
        <v>*1,1</v>
      </c>
      <c r="H278" s="42">
        <f>Source!AV134</f>
        <v>1.0469999999999999</v>
      </c>
      <c r="I278" s="43">
        <f>Source!U133</f>
        <v>15.432780000000001</v>
      </c>
      <c r="J278" s="42"/>
      <c r="K278" s="43"/>
    </row>
    <row r="279" spans="1:29" ht="15" x14ac:dyDescent="0.2">
      <c r="C279" s="45" t="s">
        <v>441</v>
      </c>
      <c r="H279" s="46">
        <f>I271+I272+I274+I276+I277+SUM(I275:I275)-SUMIF(AC275:AC275, 5, I275:I275)-SUMIF(AC275:AC275, 6, I275:I275)</f>
        <v>2236.7799999999997</v>
      </c>
      <c r="I279" s="46"/>
      <c r="J279" s="46">
        <f>K271+K272+K274+K276+K277+SUM(K275:K275)-SUMIF(AC275:AC275, 5, K275:K275)-SUMIF(AC275:AC275, 6, K275:K275)</f>
        <v>50115.789999999994</v>
      </c>
      <c r="K279" s="46"/>
    </row>
    <row r="280" spans="1:29" ht="15" hidden="1" x14ac:dyDescent="0.2">
      <c r="C280" s="45" t="s">
        <v>442</v>
      </c>
      <c r="H280" s="48">
        <f>SUMIF(AC275:AC275, 5, I275:I275)+SUMIF(AC275:AC275, 6, I275:I275)</f>
        <v>0</v>
      </c>
      <c r="I280" s="48"/>
      <c r="J280" s="48">
        <f>SUMIF(AC275:AC275, 5, K275:K275)+SUMIF(AC275:AC275, 6, K275:K275)</f>
        <v>0</v>
      </c>
      <c r="K280" s="48"/>
    </row>
    <row r="281" spans="1:29" ht="15" x14ac:dyDescent="0.2">
      <c r="C281" s="45" t="s">
        <v>443</v>
      </c>
      <c r="H281" s="48">
        <f>I271+I272+I274+I276+I277+SUM(I275:I275)</f>
        <v>2236.7799999999997</v>
      </c>
      <c r="I281" s="48"/>
      <c r="J281" s="48">
        <f>K271+K272+K274+K276+K277+SUM(K275:K275)</f>
        <v>50115.789999999994</v>
      </c>
      <c r="K281" s="48"/>
      <c r="O281" s="49">
        <f>I271+I272+I274+I276+I277+SUM(I275:I275)</f>
        <v>2236.7799999999997</v>
      </c>
      <c r="P281" s="49">
        <f>K271+K272+K274+K276+K277+SUM(K275:K275)</f>
        <v>50115.789999999994</v>
      </c>
    </row>
    <row r="283" spans="1:29" ht="71.25" x14ac:dyDescent="0.2">
      <c r="A283" s="50">
        <v>35</v>
      </c>
      <c r="B283" s="50" t="str">
        <f>Source!F137</f>
        <v>13.1-2-432</v>
      </c>
      <c r="C283" s="50" t="s">
        <v>466</v>
      </c>
      <c r="D283" s="51" t="str">
        <f>Source!H137</f>
        <v>шт.</v>
      </c>
      <c r="E283" s="52">
        <f>Source!I137</f>
        <v>2</v>
      </c>
      <c r="F283" s="53">
        <f>Source!AL137</f>
        <v>15.79</v>
      </c>
      <c r="G283" s="54" t="str">
        <f>Source!DD137</f>
        <v/>
      </c>
      <c r="H283" s="52">
        <f>Source!AW138</f>
        <v>1</v>
      </c>
      <c r="I283" s="53">
        <f>Source!P137</f>
        <v>31.58</v>
      </c>
      <c r="J283" s="52">
        <f>IF(Source!BC138&lt;&gt; 0, Source!BC138, 1)</f>
        <v>6.83</v>
      </c>
      <c r="K283" s="53">
        <f>Source!P138</f>
        <v>215.69</v>
      </c>
      <c r="Q283">
        <f>Source!X137</f>
        <v>0</v>
      </c>
      <c r="R283">
        <f>Source!X138</f>
        <v>0</v>
      </c>
      <c r="S283">
        <f>Source!Y137</f>
        <v>0</v>
      </c>
      <c r="T283">
        <f>Source!Y138</f>
        <v>0</v>
      </c>
      <c r="U283">
        <f>ROUND((175/100)*ROUND(Source!R137, 2), 2)</f>
        <v>0</v>
      </c>
      <c r="V283">
        <f>ROUND((0/100)*ROUND(Source!R138, 2), 2)</f>
        <v>0</v>
      </c>
      <c r="AC283">
        <v>5</v>
      </c>
    </row>
    <row r="284" spans="1:29" ht="15" x14ac:dyDescent="0.2">
      <c r="A284" s="55"/>
      <c r="B284" s="55"/>
      <c r="C284" s="56" t="s">
        <v>443</v>
      </c>
      <c r="D284" s="55"/>
      <c r="E284" s="55"/>
      <c r="F284" s="55"/>
      <c r="G284" s="55"/>
      <c r="H284" s="57">
        <f>I283+0</f>
        <v>31.58</v>
      </c>
      <c r="I284" s="57"/>
      <c r="J284" s="57">
        <f>K283+0</f>
        <v>215.69</v>
      </c>
      <c r="K284" s="57"/>
      <c r="O284" s="49">
        <f>I283+0</f>
        <v>31.58</v>
      </c>
      <c r="P284" s="49">
        <f>K283+0</f>
        <v>215.69</v>
      </c>
    </row>
    <row r="286" spans="1:29" ht="71.25" x14ac:dyDescent="0.2">
      <c r="A286" s="35">
        <v>36</v>
      </c>
      <c r="B286" s="35" t="str">
        <f>Source!F139</f>
        <v>4.8-175-1</v>
      </c>
      <c r="C286" s="35" t="s">
        <v>231</v>
      </c>
      <c r="D286" s="37" t="str">
        <f>Source!H139</f>
        <v>100 м</v>
      </c>
      <c r="E286" s="36">
        <f>Source!I139</f>
        <v>30</v>
      </c>
      <c r="F286" s="39"/>
      <c r="G286" s="38"/>
      <c r="H286" s="36"/>
      <c r="I286" s="39"/>
      <c r="J286" s="36"/>
      <c r="K286" s="39"/>
      <c r="Q286">
        <f>Source!X139</f>
        <v>1861.06</v>
      </c>
      <c r="R286">
        <f>Source!X140</f>
        <v>102339.77</v>
      </c>
      <c r="S286">
        <f>Source!Y139</f>
        <v>978.5</v>
      </c>
      <c r="T286">
        <f>Source!Y140</f>
        <v>53807.51</v>
      </c>
      <c r="U286">
        <f>ROUND((175/100)*ROUND(Source!R139, 2), 2)</f>
        <v>18.149999999999999</v>
      </c>
      <c r="V286">
        <f>ROUND((0/100)*ROUND(Source!R140, 2), 2)</f>
        <v>0</v>
      </c>
      <c r="AC286">
        <v>0</v>
      </c>
    </row>
    <row r="287" spans="1:29" x14ac:dyDescent="0.2">
      <c r="C287" s="59" t="str">
        <f>"Объем: "&amp;Source!I139&amp;"=3000/"&amp;"100"</f>
        <v>Объем: 30=3000/100</v>
      </c>
    </row>
    <row r="288" spans="1:29" ht="14.25" x14ac:dyDescent="0.2">
      <c r="A288" s="35"/>
      <c r="B288" s="35"/>
      <c r="C288" s="35" t="s">
        <v>434</v>
      </c>
      <c r="D288" s="37"/>
      <c r="E288" s="36"/>
      <c r="F288" s="39">
        <f>Source!AO139</f>
        <v>55.23</v>
      </c>
      <c r="G288" s="38" t="str">
        <f>Source!DG139</f>
        <v>*1,1</v>
      </c>
      <c r="H288" s="36">
        <f>Source!AV140</f>
        <v>1.0469999999999999</v>
      </c>
      <c r="I288" s="39">
        <f>Source!S139</f>
        <v>1908.25</v>
      </c>
      <c r="J288" s="36">
        <f>IF(Source!BA140&lt;&gt; 0, Source!BA140, 1)</f>
        <v>54.99</v>
      </c>
      <c r="K288" s="39">
        <f>Source!S140</f>
        <v>104934.67</v>
      </c>
    </row>
    <row r="289" spans="1:29" ht="14.25" x14ac:dyDescent="0.2">
      <c r="A289" s="35"/>
      <c r="B289" s="35"/>
      <c r="C289" s="35" t="s">
        <v>447</v>
      </c>
      <c r="D289" s="37"/>
      <c r="E289" s="36"/>
      <c r="F289" s="39">
        <f>Source!AM139</f>
        <v>2.62</v>
      </c>
      <c r="G289" s="38" t="str">
        <f>Source!DE139</f>
        <v>*1,1</v>
      </c>
      <c r="H289" s="36">
        <f>Source!AV140</f>
        <v>1.0469999999999999</v>
      </c>
      <c r="I289" s="39">
        <f>Source!Q139</f>
        <v>90.52</v>
      </c>
      <c r="J289" s="36">
        <f>IF(Source!BB140&lt;&gt; 0, Source!BB140, 1)</f>
        <v>14.57</v>
      </c>
      <c r="K289" s="39">
        <f>Source!Q140</f>
        <v>1318.88</v>
      </c>
    </row>
    <row r="290" spans="1:29" ht="14.25" x14ac:dyDescent="0.2">
      <c r="A290" s="35"/>
      <c r="B290" s="35"/>
      <c r="C290" s="35" t="s">
        <v>448</v>
      </c>
      <c r="D290" s="37"/>
      <c r="E290" s="36"/>
      <c r="F290" s="39">
        <f>Source!AN139</f>
        <v>0.3</v>
      </c>
      <c r="G290" s="38" t="str">
        <f>Source!DF139</f>
        <v>*1,1</v>
      </c>
      <c r="H290" s="36">
        <f>Source!AV140</f>
        <v>1.0469999999999999</v>
      </c>
      <c r="I290" s="58">
        <f>Source!R139</f>
        <v>10.37</v>
      </c>
      <c r="J290" s="36">
        <f>IF(Source!BS140&lt;&gt; 0, Source!BS140, 1)</f>
        <v>54.99</v>
      </c>
      <c r="K290" s="58">
        <f>Source!R140</f>
        <v>570.25</v>
      </c>
    </row>
    <row r="291" spans="1:29" ht="14.25" x14ac:dyDescent="0.2">
      <c r="A291" s="35"/>
      <c r="B291" s="35"/>
      <c r="C291" s="35" t="s">
        <v>435</v>
      </c>
      <c r="D291" s="37"/>
      <c r="E291" s="36"/>
      <c r="F291" s="39">
        <f>Source!AL139</f>
        <v>58.15</v>
      </c>
      <c r="G291" s="38" t="str">
        <f>Source!DD139</f>
        <v>*1</v>
      </c>
      <c r="H291" s="36">
        <f>Source!AW140</f>
        <v>1</v>
      </c>
      <c r="I291" s="39">
        <f>Source!P139</f>
        <v>1744.5</v>
      </c>
      <c r="J291" s="36">
        <f>IF(Source!BC140&lt;&gt; 0, Source!BC140, 1)</f>
        <v>3.7</v>
      </c>
      <c r="K291" s="39">
        <f>Source!P140</f>
        <v>6454.65</v>
      </c>
    </row>
    <row r="292" spans="1:29" ht="14.25" x14ac:dyDescent="0.2">
      <c r="A292" s="35"/>
      <c r="B292" s="35"/>
      <c r="C292" s="35" t="s">
        <v>436</v>
      </c>
      <c r="D292" s="37" t="s">
        <v>437</v>
      </c>
      <c r="E292" s="36">
        <f>Source!BZ140</f>
        <v>97</v>
      </c>
      <c r="F292" s="39"/>
      <c r="G292" s="38"/>
      <c r="H292" s="36"/>
      <c r="I292" s="39">
        <f>SUM(Q286:Q291)</f>
        <v>1861.06</v>
      </c>
      <c r="J292" s="36">
        <f>Source!AT140</f>
        <v>97</v>
      </c>
      <c r="K292" s="39">
        <f>SUM(R286:R291)</f>
        <v>102339.77</v>
      </c>
    </row>
    <row r="293" spans="1:29" ht="14.25" x14ac:dyDescent="0.2">
      <c r="A293" s="35"/>
      <c r="B293" s="35"/>
      <c r="C293" s="35" t="s">
        <v>438</v>
      </c>
      <c r="D293" s="37" t="s">
        <v>437</v>
      </c>
      <c r="E293" s="36">
        <f>Source!CA140</f>
        <v>51</v>
      </c>
      <c r="F293" s="39"/>
      <c r="G293" s="38"/>
      <c r="H293" s="36"/>
      <c r="I293" s="39">
        <f>SUM(S286:S292)</f>
        <v>978.5</v>
      </c>
      <c r="J293" s="36">
        <f>Source!AU140</f>
        <v>51</v>
      </c>
      <c r="K293" s="39">
        <f>SUM(T286:T292)</f>
        <v>53807.51</v>
      </c>
    </row>
    <row r="294" spans="1:29" ht="14.25" x14ac:dyDescent="0.2">
      <c r="A294" s="40"/>
      <c r="B294" s="40"/>
      <c r="C294" s="40" t="s">
        <v>439</v>
      </c>
      <c r="D294" s="41" t="s">
        <v>440</v>
      </c>
      <c r="E294" s="42">
        <f>Source!AQ139</f>
        <v>4.49</v>
      </c>
      <c r="F294" s="43"/>
      <c r="G294" s="44" t="str">
        <f>Source!DI139</f>
        <v>*1,1</v>
      </c>
      <c r="H294" s="42">
        <f>Source!AV140</f>
        <v>1.0469999999999999</v>
      </c>
      <c r="I294" s="43">
        <f>Source!U139</f>
        <v>155.13399000000004</v>
      </c>
      <c r="J294" s="42"/>
      <c r="K294" s="43"/>
    </row>
    <row r="295" spans="1:29" ht="15" x14ac:dyDescent="0.2">
      <c r="C295" s="45" t="s">
        <v>441</v>
      </c>
      <c r="H295" s="46">
        <f>I288+I289+I291+I292+I293+0-0-0</f>
        <v>6582.83</v>
      </c>
      <c r="I295" s="46"/>
      <c r="J295" s="46">
        <f>K288+K289+K291+K292+K293+0-0-0</f>
        <v>268855.48</v>
      </c>
      <c r="K295" s="46"/>
    </row>
    <row r="296" spans="1:29" ht="15" hidden="1" x14ac:dyDescent="0.2">
      <c r="C296" s="45" t="s">
        <v>442</v>
      </c>
      <c r="H296" s="48">
        <f>0+0</f>
        <v>0</v>
      </c>
      <c r="I296" s="48"/>
      <c r="J296" s="48">
        <f>0+0</f>
        <v>0</v>
      </c>
      <c r="K296" s="48"/>
    </row>
    <row r="297" spans="1:29" ht="15" x14ac:dyDescent="0.2">
      <c r="C297" s="45" t="s">
        <v>443</v>
      </c>
      <c r="H297" s="48">
        <f>I288+I289+I291+I292+I293+0</f>
        <v>6582.83</v>
      </c>
      <c r="I297" s="48"/>
      <c r="J297" s="48">
        <f>K288+K289+K291+K292+K293+0</f>
        <v>268855.48</v>
      </c>
      <c r="K297" s="48"/>
      <c r="O297" s="49">
        <f>I288+I289+I291+I292+I293+0</f>
        <v>6582.83</v>
      </c>
      <c r="P297" s="49">
        <f>K288+K289+K291+K292+K293+0</f>
        <v>268855.48</v>
      </c>
    </row>
    <row r="299" spans="1:29" ht="99.75" x14ac:dyDescent="0.2">
      <c r="A299" s="35">
        <v>37</v>
      </c>
      <c r="B299" s="35" t="str">
        <f>Source!F141</f>
        <v>4.8-175-9</v>
      </c>
      <c r="C299" s="35" t="s">
        <v>235</v>
      </c>
      <c r="D299" s="37" t="str">
        <f>Source!H141</f>
        <v>100 м</v>
      </c>
      <c r="E299" s="36">
        <f>Source!I141</f>
        <v>2</v>
      </c>
      <c r="F299" s="39"/>
      <c r="G299" s="38"/>
      <c r="H299" s="36"/>
      <c r="I299" s="39"/>
      <c r="J299" s="36"/>
      <c r="K299" s="39"/>
      <c r="Q299">
        <f>Source!X141</f>
        <v>50.96</v>
      </c>
      <c r="R299">
        <f>Source!X142</f>
        <v>2802.49</v>
      </c>
      <c r="S299">
        <f>Source!Y141</f>
        <v>26.8</v>
      </c>
      <c r="T299">
        <f>Source!Y142</f>
        <v>1473.48</v>
      </c>
      <c r="U299">
        <f>ROUND((175/100)*ROUND(Source!R141, 2), 2)</f>
        <v>1.21</v>
      </c>
      <c r="V299">
        <f>ROUND((0/100)*ROUND(Source!R142, 2), 2)</f>
        <v>0</v>
      </c>
      <c r="AC299">
        <v>0</v>
      </c>
    </row>
    <row r="300" spans="1:29" x14ac:dyDescent="0.2">
      <c r="C300" s="59" t="str">
        <f>"Объем: "&amp;Source!I141&amp;"=(100+"&amp;"100+"&amp;"2500+"&amp;"500-"&amp;"3000)/"&amp;"100"</f>
        <v>Объем: 2=(100+100+2500+500-3000)/100</v>
      </c>
    </row>
    <row r="301" spans="1:29" ht="14.25" x14ac:dyDescent="0.2">
      <c r="A301" s="35"/>
      <c r="B301" s="35"/>
      <c r="C301" s="35" t="s">
        <v>434</v>
      </c>
      <c r="D301" s="37"/>
      <c r="E301" s="36"/>
      <c r="F301" s="39">
        <f>Source!AO141</f>
        <v>22.51</v>
      </c>
      <c r="G301" s="38" t="str">
        <f>Source!DG141</f>
        <v>*1,1</v>
      </c>
      <c r="H301" s="36">
        <f>Source!AV142</f>
        <v>1.0469999999999999</v>
      </c>
      <c r="I301" s="39">
        <f>Source!S141</f>
        <v>51.85</v>
      </c>
      <c r="J301" s="36">
        <f>IF(Source!BA142&lt;&gt; 0, Source!BA142, 1)</f>
        <v>54.99</v>
      </c>
      <c r="K301" s="39">
        <f>Source!S142</f>
        <v>2851.23</v>
      </c>
    </row>
    <row r="302" spans="1:29" ht="14.25" x14ac:dyDescent="0.2">
      <c r="A302" s="35"/>
      <c r="B302" s="35"/>
      <c r="C302" s="35" t="s">
        <v>447</v>
      </c>
      <c r="D302" s="37"/>
      <c r="E302" s="36"/>
      <c r="F302" s="39">
        <f>Source!AM141</f>
        <v>2.62</v>
      </c>
      <c r="G302" s="38" t="str">
        <f>Source!DE141</f>
        <v>*1,1</v>
      </c>
      <c r="H302" s="36">
        <f>Source!AV142</f>
        <v>1.0469999999999999</v>
      </c>
      <c r="I302" s="39">
        <f>Source!Q141</f>
        <v>6.03</v>
      </c>
      <c r="J302" s="36">
        <f>IF(Source!BB142&lt;&gt; 0, Source!BB142, 1)</f>
        <v>14.57</v>
      </c>
      <c r="K302" s="39">
        <f>Source!Q142</f>
        <v>87.86</v>
      </c>
    </row>
    <row r="303" spans="1:29" ht="14.25" x14ac:dyDescent="0.2">
      <c r="A303" s="35"/>
      <c r="B303" s="35"/>
      <c r="C303" s="35" t="s">
        <v>448</v>
      </c>
      <c r="D303" s="37"/>
      <c r="E303" s="36"/>
      <c r="F303" s="39">
        <f>Source!AN141</f>
        <v>0.3</v>
      </c>
      <c r="G303" s="38" t="str">
        <f>Source!DF141</f>
        <v>*1,1</v>
      </c>
      <c r="H303" s="36">
        <f>Source!AV142</f>
        <v>1.0469999999999999</v>
      </c>
      <c r="I303" s="58">
        <f>Source!R141</f>
        <v>0.69</v>
      </c>
      <c r="J303" s="36">
        <f>IF(Source!BS142&lt;&gt; 0, Source!BS142, 1)</f>
        <v>54.99</v>
      </c>
      <c r="K303" s="58">
        <f>Source!R142</f>
        <v>37.94</v>
      </c>
    </row>
    <row r="304" spans="1:29" ht="14.25" x14ac:dyDescent="0.2">
      <c r="A304" s="35"/>
      <c r="B304" s="35"/>
      <c r="C304" s="35" t="s">
        <v>435</v>
      </c>
      <c r="D304" s="37"/>
      <c r="E304" s="36"/>
      <c r="F304" s="39">
        <f>Source!AL141</f>
        <v>55.47</v>
      </c>
      <c r="G304" s="38" t="str">
        <f>Source!DD141</f>
        <v>*1</v>
      </c>
      <c r="H304" s="36">
        <f>Source!AW142</f>
        <v>1</v>
      </c>
      <c r="I304" s="39">
        <f>Source!P141</f>
        <v>110.94</v>
      </c>
      <c r="J304" s="36">
        <f>IF(Source!BC142&lt;&gt; 0, Source!BC142, 1)</f>
        <v>3.09</v>
      </c>
      <c r="K304" s="39">
        <f>Source!P142</f>
        <v>342.8</v>
      </c>
    </row>
    <row r="305" spans="1:29" ht="14.25" x14ac:dyDescent="0.2">
      <c r="A305" s="35"/>
      <c r="B305" s="35"/>
      <c r="C305" s="35" t="s">
        <v>436</v>
      </c>
      <c r="D305" s="37" t="s">
        <v>437</v>
      </c>
      <c r="E305" s="36">
        <f>Source!BZ142</f>
        <v>97</v>
      </c>
      <c r="F305" s="39"/>
      <c r="G305" s="38"/>
      <c r="H305" s="36"/>
      <c r="I305" s="39">
        <f>SUM(Q299:Q304)</f>
        <v>50.96</v>
      </c>
      <c r="J305" s="36">
        <f>Source!AT142</f>
        <v>97</v>
      </c>
      <c r="K305" s="39">
        <f>SUM(R299:R304)</f>
        <v>2802.49</v>
      </c>
    </row>
    <row r="306" spans="1:29" ht="14.25" x14ac:dyDescent="0.2">
      <c r="A306" s="35"/>
      <c r="B306" s="35"/>
      <c r="C306" s="35" t="s">
        <v>438</v>
      </c>
      <c r="D306" s="37" t="s">
        <v>437</v>
      </c>
      <c r="E306" s="36">
        <f>Source!CA142</f>
        <v>51</v>
      </c>
      <c r="F306" s="39"/>
      <c r="G306" s="38"/>
      <c r="H306" s="36"/>
      <c r="I306" s="39">
        <f>SUM(S299:S305)</f>
        <v>26.8</v>
      </c>
      <c r="J306" s="36">
        <f>Source!AU142</f>
        <v>51</v>
      </c>
      <c r="K306" s="39">
        <f>SUM(T299:T305)</f>
        <v>1473.48</v>
      </c>
    </row>
    <row r="307" spans="1:29" ht="14.25" x14ac:dyDescent="0.2">
      <c r="A307" s="40"/>
      <c r="B307" s="40"/>
      <c r="C307" s="40" t="s">
        <v>439</v>
      </c>
      <c r="D307" s="41" t="s">
        <v>440</v>
      </c>
      <c r="E307" s="42">
        <f>Source!AQ141</f>
        <v>1.83</v>
      </c>
      <c r="F307" s="43"/>
      <c r="G307" s="44" t="str">
        <f>Source!DI141</f>
        <v>*1,1</v>
      </c>
      <c r="H307" s="42">
        <f>Source!AV142</f>
        <v>1.0469999999999999</v>
      </c>
      <c r="I307" s="43">
        <f>Source!U141</f>
        <v>4.2152220000000007</v>
      </c>
      <c r="J307" s="42"/>
      <c r="K307" s="43"/>
    </row>
    <row r="308" spans="1:29" ht="15" x14ac:dyDescent="0.2">
      <c r="C308" s="45" t="s">
        <v>441</v>
      </c>
      <c r="H308" s="46">
        <f>I301+I302+I304+I305+I306+0-0-0</f>
        <v>246.58</v>
      </c>
      <c r="I308" s="46"/>
      <c r="J308" s="46">
        <f>K301+K302+K304+K305+K306+0-0-0</f>
        <v>7557.8600000000006</v>
      </c>
      <c r="K308" s="46"/>
    </row>
    <row r="309" spans="1:29" ht="15" hidden="1" x14ac:dyDescent="0.2">
      <c r="C309" s="45" t="s">
        <v>442</v>
      </c>
      <c r="H309" s="48">
        <f>0+0</f>
        <v>0</v>
      </c>
      <c r="I309" s="48"/>
      <c r="J309" s="48">
        <f>0+0</f>
        <v>0</v>
      </c>
      <c r="K309" s="48"/>
    </row>
    <row r="310" spans="1:29" ht="15" x14ac:dyDescent="0.2">
      <c r="C310" s="45" t="s">
        <v>443</v>
      </c>
      <c r="H310" s="48">
        <f>I301+I302+I304+I305+I306+0</f>
        <v>246.58</v>
      </c>
      <c r="I310" s="48"/>
      <c r="J310" s="48">
        <f>K301+K302+K304+K305+K306+0</f>
        <v>7557.8600000000006</v>
      </c>
      <c r="K310" s="48"/>
      <c r="O310" s="49">
        <f>I301+I302+I304+I305+I306+0</f>
        <v>246.58</v>
      </c>
      <c r="P310" s="49">
        <f>K301+K302+K304+K305+K306+0</f>
        <v>7557.8600000000006</v>
      </c>
    </row>
    <row r="312" spans="1:29" ht="54" x14ac:dyDescent="0.2">
      <c r="A312" s="35">
        <v>38</v>
      </c>
      <c r="B312" s="35" t="str">
        <f>Source!F143</f>
        <v>КА-18</v>
      </c>
      <c r="C312" s="35" t="s">
        <v>467</v>
      </c>
      <c r="D312" s="37" t="str">
        <f>Source!H143</f>
        <v>км</v>
      </c>
      <c r="E312" s="36">
        <f>Source!I143</f>
        <v>0.10199999999999999</v>
      </c>
      <c r="F312" s="39">
        <f>Source!AL143</f>
        <v>7061.54</v>
      </c>
      <c r="G312" s="38" t="str">
        <f>Source!DD143</f>
        <v/>
      </c>
      <c r="H312" s="36">
        <f>Source!AW144</f>
        <v>1</v>
      </c>
      <c r="I312" s="39">
        <f>Source!P143</f>
        <v>720.28</v>
      </c>
      <c r="J312" s="36">
        <f>IF(Source!BC144&lt;&gt; 0, Source!BC144, 1)</f>
        <v>9.8800000000000008</v>
      </c>
      <c r="K312" s="39">
        <f>Source!P144</f>
        <v>7116.37</v>
      </c>
      <c r="Q312">
        <f>Source!X143</f>
        <v>0</v>
      </c>
      <c r="R312">
        <f>Source!X144</f>
        <v>0</v>
      </c>
      <c r="S312">
        <f>Source!Y143</f>
        <v>0</v>
      </c>
      <c r="T312">
        <f>Source!Y144</f>
        <v>0</v>
      </c>
      <c r="U312">
        <f>ROUND((175/100)*ROUND(Source!R143, 2), 2)</f>
        <v>0</v>
      </c>
      <c r="V312">
        <f>ROUND((0/100)*ROUND(Source!R144, 2), 2)</f>
        <v>0</v>
      </c>
      <c r="AC312">
        <v>3</v>
      </c>
    </row>
    <row r="313" spans="1:29" x14ac:dyDescent="0.2">
      <c r="A313" s="62"/>
      <c r="B313" s="62"/>
      <c r="C313" s="63" t="str">
        <f>"Объем: "&amp;Source!I143&amp;"=(100*"&amp;"1,02)/"&amp;"1000"</f>
        <v>Объем: 0,102=(100*1,02)/1000</v>
      </c>
      <c r="D313" s="62"/>
      <c r="E313" s="62"/>
      <c r="F313" s="62"/>
      <c r="G313" s="62"/>
      <c r="H313" s="62"/>
      <c r="I313" s="62"/>
      <c r="J313" s="62"/>
      <c r="K313" s="62"/>
    </row>
    <row r="314" spans="1:29" ht="15" x14ac:dyDescent="0.2">
      <c r="C314" s="45" t="s">
        <v>443</v>
      </c>
      <c r="H314" s="46">
        <f>I312+0</f>
        <v>720.28</v>
      </c>
      <c r="I314" s="46"/>
      <c r="J314" s="46">
        <f>K312+0</f>
        <v>7116.37</v>
      </c>
      <c r="K314" s="46"/>
      <c r="O314" s="49">
        <f>I312+0</f>
        <v>720.28</v>
      </c>
      <c r="P314" s="49">
        <f>K312+0</f>
        <v>7116.37</v>
      </c>
    </row>
    <row r="316" spans="1:29" ht="39.75" x14ac:dyDescent="0.2">
      <c r="A316" s="35">
        <v>39</v>
      </c>
      <c r="B316" s="35" t="str">
        <f>Source!F145</f>
        <v>КА-19</v>
      </c>
      <c r="C316" s="35" t="s">
        <v>468</v>
      </c>
      <c r="D316" s="37" t="str">
        <f>Source!H145</f>
        <v>км</v>
      </c>
      <c r="E316" s="36">
        <f>Source!I145</f>
        <v>0.10199999999999999</v>
      </c>
      <c r="F316" s="39">
        <f>Source!AL145</f>
        <v>4135.58</v>
      </c>
      <c r="G316" s="38" t="str">
        <f>Source!DD145</f>
        <v/>
      </c>
      <c r="H316" s="36">
        <f>Source!AW146</f>
        <v>1</v>
      </c>
      <c r="I316" s="39">
        <f>Source!P145</f>
        <v>421.83</v>
      </c>
      <c r="J316" s="36">
        <f>IF(Source!BC146&lt;&gt; 0, Source!BC146, 1)</f>
        <v>9.8800000000000008</v>
      </c>
      <c r="K316" s="39">
        <f>Source!P146</f>
        <v>4167.68</v>
      </c>
      <c r="Q316">
        <f>Source!X145</f>
        <v>0</v>
      </c>
      <c r="R316">
        <f>Source!X146</f>
        <v>0</v>
      </c>
      <c r="S316">
        <f>Source!Y145</f>
        <v>0</v>
      </c>
      <c r="T316">
        <f>Source!Y146</f>
        <v>0</v>
      </c>
      <c r="U316">
        <f>ROUND((175/100)*ROUND(Source!R145, 2), 2)</f>
        <v>0</v>
      </c>
      <c r="V316">
        <f>ROUND((0/100)*ROUND(Source!R146, 2), 2)</f>
        <v>0</v>
      </c>
      <c r="AC316">
        <v>3</v>
      </c>
    </row>
    <row r="317" spans="1:29" x14ac:dyDescent="0.2">
      <c r="A317" s="62"/>
      <c r="B317" s="62"/>
      <c r="C317" s="63" t="str">
        <f>"Объем: "&amp;Source!I145&amp;"=(100*"&amp;"1,02)/"&amp;"1000"</f>
        <v>Объем: 0,102=(100*1,02)/1000</v>
      </c>
      <c r="D317" s="62"/>
      <c r="E317" s="62"/>
      <c r="F317" s="62"/>
      <c r="G317" s="62"/>
      <c r="H317" s="62"/>
      <c r="I317" s="62"/>
      <c r="J317" s="62"/>
      <c r="K317" s="62"/>
    </row>
    <row r="318" spans="1:29" ht="15" x14ac:dyDescent="0.2">
      <c r="C318" s="45" t="s">
        <v>443</v>
      </c>
      <c r="H318" s="46">
        <f>I316+0</f>
        <v>421.83</v>
      </c>
      <c r="I318" s="46"/>
      <c r="J318" s="46">
        <f>K316+0</f>
        <v>4167.68</v>
      </c>
      <c r="K318" s="46"/>
      <c r="O318" s="49">
        <f>I316+0</f>
        <v>421.83</v>
      </c>
      <c r="P318" s="49">
        <f>K316+0</f>
        <v>4167.68</v>
      </c>
    </row>
    <row r="320" spans="1:29" ht="54" x14ac:dyDescent="0.2">
      <c r="A320" s="35">
        <v>40</v>
      </c>
      <c r="B320" s="35" t="str">
        <f>Source!F147</f>
        <v>КА-20</v>
      </c>
      <c r="C320" s="35" t="s">
        <v>469</v>
      </c>
      <c r="D320" s="37" t="str">
        <f>Source!H147</f>
        <v>км</v>
      </c>
      <c r="E320" s="36">
        <f>Source!I147</f>
        <v>2.5499999999999998</v>
      </c>
      <c r="F320" s="39">
        <f>Source!AL147</f>
        <v>2950.05</v>
      </c>
      <c r="G320" s="38" t="str">
        <f>Source!DD147</f>
        <v/>
      </c>
      <c r="H320" s="36">
        <f>Source!AW148</f>
        <v>1</v>
      </c>
      <c r="I320" s="39">
        <f>Source!P147</f>
        <v>7522.63</v>
      </c>
      <c r="J320" s="36">
        <f>IF(Source!BC148&lt;&gt; 0, Source!BC148, 1)</f>
        <v>9.8800000000000008</v>
      </c>
      <c r="K320" s="39">
        <f>Source!P148</f>
        <v>74323.58</v>
      </c>
      <c r="Q320">
        <f>Source!X147</f>
        <v>0</v>
      </c>
      <c r="R320">
        <f>Source!X148</f>
        <v>0</v>
      </c>
      <c r="S320">
        <f>Source!Y147</f>
        <v>0</v>
      </c>
      <c r="T320">
        <f>Source!Y148</f>
        <v>0</v>
      </c>
      <c r="U320">
        <f>ROUND((175/100)*ROUND(Source!R147, 2), 2)</f>
        <v>0</v>
      </c>
      <c r="V320">
        <f>ROUND((0/100)*ROUND(Source!R148, 2), 2)</f>
        <v>0</v>
      </c>
      <c r="AC320">
        <v>3</v>
      </c>
    </row>
    <row r="321" spans="1:43" x14ac:dyDescent="0.2">
      <c r="A321" s="62"/>
      <c r="B321" s="62"/>
      <c r="C321" s="63" t="str">
        <f>"Объем: "&amp;Source!I147&amp;"=(2500*"&amp;"1,02)/"&amp;"1000"</f>
        <v>Объем: 2,55=(2500*1,02)/1000</v>
      </c>
      <c r="D321" s="62"/>
      <c r="E321" s="62"/>
      <c r="F321" s="62"/>
      <c r="G321" s="62"/>
      <c r="H321" s="62"/>
      <c r="I321" s="62"/>
      <c r="J321" s="62"/>
      <c r="K321" s="62"/>
    </row>
    <row r="322" spans="1:43" ht="15" x14ac:dyDescent="0.2">
      <c r="C322" s="45" t="s">
        <v>443</v>
      </c>
      <c r="H322" s="46">
        <f>I320+0</f>
        <v>7522.63</v>
      </c>
      <c r="I322" s="46"/>
      <c r="J322" s="46">
        <f>K320+0</f>
        <v>74323.58</v>
      </c>
      <c r="K322" s="46"/>
      <c r="O322" s="49">
        <f>I320+0</f>
        <v>7522.63</v>
      </c>
      <c r="P322" s="49">
        <f>K320+0</f>
        <v>74323.58</v>
      </c>
    </row>
    <row r="324" spans="1:43" ht="54" x14ac:dyDescent="0.2">
      <c r="A324" s="35">
        <v>41</v>
      </c>
      <c r="B324" s="35" t="str">
        <f>Source!F149</f>
        <v>КА-21</v>
      </c>
      <c r="C324" s="35" t="s">
        <v>470</v>
      </c>
      <c r="D324" s="37" t="str">
        <f>Source!H149</f>
        <v>км</v>
      </c>
      <c r="E324" s="36">
        <f>Source!I149</f>
        <v>0.51</v>
      </c>
      <c r="F324" s="39">
        <f>Source!AL149</f>
        <v>8031.98</v>
      </c>
      <c r="G324" s="38" t="str">
        <f>Source!DD149</f>
        <v/>
      </c>
      <c r="H324" s="36">
        <f>Source!AW150</f>
        <v>1</v>
      </c>
      <c r="I324" s="39">
        <f>Source!P149</f>
        <v>4096.3100000000004</v>
      </c>
      <c r="J324" s="36">
        <f>IF(Source!BC150&lt;&gt; 0, Source!BC150, 1)</f>
        <v>9.8800000000000008</v>
      </c>
      <c r="K324" s="39">
        <f>Source!P150</f>
        <v>40471.54</v>
      </c>
      <c r="Q324">
        <f>Source!X149</f>
        <v>0</v>
      </c>
      <c r="R324">
        <f>Source!X150</f>
        <v>0</v>
      </c>
      <c r="S324">
        <f>Source!Y149</f>
        <v>0</v>
      </c>
      <c r="T324">
        <f>Source!Y150</f>
        <v>0</v>
      </c>
      <c r="U324">
        <f>ROUND((175/100)*ROUND(Source!R149, 2), 2)</f>
        <v>0</v>
      </c>
      <c r="V324">
        <f>ROUND((0/100)*ROUND(Source!R150, 2), 2)</f>
        <v>0</v>
      </c>
      <c r="AC324">
        <v>3</v>
      </c>
    </row>
    <row r="325" spans="1:43" x14ac:dyDescent="0.2">
      <c r="A325" s="62"/>
      <c r="B325" s="62"/>
      <c r="C325" s="63" t="str">
        <f>"Объем: "&amp;Source!I149&amp;"=(500*"&amp;"1,02)/"&amp;"1000"</f>
        <v>Объем: 0,51=(500*1,02)/1000</v>
      </c>
      <c r="D325" s="62"/>
      <c r="E325" s="62"/>
      <c r="F325" s="62"/>
      <c r="G325" s="62"/>
      <c r="H325" s="62"/>
      <c r="I325" s="62"/>
      <c r="J325" s="62"/>
      <c r="K325" s="62"/>
    </row>
    <row r="326" spans="1:43" ht="15" x14ac:dyDescent="0.2">
      <c r="C326" s="45" t="s">
        <v>443</v>
      </c>
      <c r="H326" s="46">
        <f>I324+0</f>
        <v>4096.3100000000004</v>
      </c>
      <c r="I326" s="46"/>
      <c r="J326" s="46">
        <f>K324+0</f>
        <v>40471.54</v>
      </c>
      <c r="K326" s="46"/>
      <c r="O326" s="49">
        <f>I324+0</f>
        <v>4096.3100000000004</v>
      </c>
      <c r="P326" s="49">
        <f>K324+0</f>
        <v>40471.54</v>
      </c>
    </row>
    <row r="329" spans="1:43" ht="15" x14ac:dyDescent="0.25">
      <c r="A329" s="60" t="str">
        <f>CONCATENATE("Итого по разделу: ",IF(Source!G152&lt;&gt;"Новый раздел", Source!G152, ""))</f>
        <v>Итого по разделу: Кабельные изделия СОТС</v>
      </c>
      <c r="B329" s="60"/>
      <c r="C329" s="60"/>
      <c r="D329" s="60"/>
      <c r="E329" s="60"/>
      <c r="F329" s="60"/>
      <c r="G329" s="60"/>
      <c r="H329" s="48">
        <f>SUM(O253:O328)</f>
        <v>57973.02</v>
      </c>
      <c r="I329" s="47"/>
      <c r="J329" s="48">
        <f>SUM(P253:P328)</f>
        <v>1496195.86</v>
      </c>
      <c r="K329" s="47"/>
    </row>
    <row r="330" spans="1:43" hidden="1" x14ac:dyDescent="0.2">
      <c r="A330" t="s">
        <v>463</v>
      </c>
      <c r="I330">
        <f>SUM(W253:W329)</f>
        <v>0</v>
      </c>
      <c r="J330">
        <f>SUM(X253:X329)</f>
        <v>0</v>
      </c>
    </row>
    <row r="331" spans="1:43" hidden="1" x14ac:dyDescent="0.2">
      <c r="A331" t="s">
        <v>464</v>
      </c>
      <c r="I331">
        <f>SUM(Y253:Y330)</f>
        <v>0</v>
      </c>
      <c r="J331">
        <f>SUM(Z253:Z330)</f>
        <v>0</v>
      </c>
    </row>
    <row r="333" spans="1:43" ht="15" x14ac:dyDescent="0.25">
      <c r="A333" s="60" t="str">
        <f>CONCATENATE("Итого по локальной смете: ",IF(Source!G182&lt;&gt;"Новая локальная смета", Source!G182, ""))</f>
        <v>Итого по локальной смете: Система охранно-тревожной сигнализации</v>
      </c>
      <c r="B333" s="60"/>
      <c r="C333" s="60"/>
      <c r="D333" s="60"/>
      <c r="E333" s="60"/>
      <c r="F333" s="60"/>
      <c r="G333" s="60"/>
      <c r="H333" s="48">
        <f>SUM(O28:O332)</f>
        <v>136246.25999999998</v>
      </c>
      <c r="I333" s="47"/>
      <c r="J333" s="48">
        <f>SUM(P28:P332)</f>
        <v>2626428.1799999997</v>
      </c>
      <c r="K333" s="47"/>
      <c r="AQ333" s="64" t="str">
        <f>CONCATENATE("Итого по локальной смете: ",IF(Source!G182&lt;&gt;"Новая локальная смета", Source!G182, ""))</f>
        <v>Итого по локальной смете: Система охранно-тревожной сигнализации</v>
      </c>
    </row>
    <row r="334" spans="1:43" hidden="1" x14ac:dyDescent="0.2">
      <c r="A334" t="s">
        <v>463</v>
      </c>
      <c r="I334">
        <f>SUM(W28:W333)</f>
        <v>0</v>
      </c>
      <c r="J334">
        <f>SUM(X28:X333)</f>
        <v>0</v>
      </c>
    </row>
    <row r="335" spans="1:43" hidden="1" x14ac:dyDescent="0.2">
      <c r="A335" t="s">
        <v>464</v>
      </c>
      <c r="I335">
        <f>SUM(Y28:Y334)</f>
        <v>0</v>
      </c>
      <c r="J335">
        <f>SUM(Z28:Z334)</f>
        <v>0</v>
      </c>
    </row>
    <row r="337" spans="1:11" ht="15" x14ac:dyDescent="0.25">
      <c r="A337" s="60" t="str">
        <f>CONCATENATE("Итого по смете: ",IF(Source!G212&lt;&gt;"Новый объект", Source!G212, ""))</f>
        <v>Итого по смете: 02-01-16 СОС</v>
      </c>
      <c r="B337" s="60"/>
      <c r="C337" s="60"/>
      <c r="D337" s="60"/>
      <c r="E337" s="60"/>
      <c r="F337" s="60"/>
      <c r="G337" s="60"/>
      <c r="H337" s="48">
        <f>SUM(O1:O336)</f>
        <v>136246.25999999998</v>
      </c>
      <c r="I337" s="47"/>
      <c r="J337" s="48">
        <f>SUM(P1:P336)</f>
        <v>2626428.1799999997</v>
      </c>
      <c r="K337" s="47"/>
    </row>
    <row r="338" spans="1:11" hidden="1" x14ac:dyDescent="0.2">
      <c r="A338" t="s">
        <v>463</v>
      </c>
      <c r="I338">
        <f>SUM(W1:W337)</f>
        <v>0</v>
      </c>
      <c r="J338">
        <f>SUM(X1:X337)</f>
        <v>0</v>
      </c>
    </row>
    <row r="339" spans="1:11" hidden="1" x14ac:dyDescent="0.2">
      <c r="A339" t="s">
        <v>464</v>
      </c>
      <c r="I339">
        <f>SUM(Y1:Y338)</f>
        <v>0</v>
      </c>
      <c r="J339">
        <f>SUM(Z1:Z338)</f>
        <v>0</v>
      </c>
    </row>
    <row r="342" spans="1:11" ht="14.25" x14ac:dyDescent="0.2">
      <c r="A342" s="65" t="s">
        <v>472</v>
      </c>
      <c r="B342" s="65"/>
      <c r="C342" s="66" t="str">
        <f>IF(Source!AC12&lt;&gt;"", Source!AC12," ")</f>
        <v xml:space="preserve"> </v>
      </c>
      <c r="D342" s="66"/>
      <c r="E342" s="66"/>
      <c r="F342" s="66"/>
      <c r="G342" s="66"/>
      <c r="H342" s="24" t="str">
        <f>IF(Source!AB12&lt;&gt;"", Source!AB12," ")</f>
        <v>Соколова И.Н.</v>
      </c>
      <c r="I342" s="24"/>
      <c r="J342" s="24"/>
      <c r="K342" s="24"/>
    </row>
    <row r="343" spans="1:11" ht="14.25" x14ac:dyDescent="0.2">
      <c r="A343" s="11"/>
      <c r="B343" s="11"/>
      <c r="C343" s="13" t="s">
        <v>473</v>
      </c>
      <c r="D343" s="13"/>
      <c r="E343" s="13"/>
      <c r="F343" s="13"/>
      <c r="G343" s="13"/>
      <c r="H343" s="11"/>
      <c r="I343" s="11"/>
      <c r="J343" s="11"/>
      <c r="K343" s="11"/>
    </row>
    <row r="344" spans="1:11" ht="14.25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spans="1:11" ht="14.25" x14ac:dyDescent="0.2">
      <c r="A345" s="65" t="s">
        <v>474</v>
      </c>
      <c r="B345" s="65"/>
      <c r="C345" s="66" t="str">
        <f>IF(Source!AE12&lt;&gt;"", Source!AE12," ")</f>
        <v xml:space="preserve"> </v>
      </c>
      <c r="D345" s="66"/>
      <c r="E345" s="66"/>
      <c r="F345" s="66"/>
      <c r="G345" s="66"/>
      <c r="H345" s="24" t="str">
        <f>IF(Source!AD12&lt;&gt;"", Source!AD12," ")</f>
        <v xml:space="preserve"> </v>
      </c>
      <c r="I345" s="24"/>
      <c r="J345" s="24"/>
      <c r="K345" s="24"/>
    </row>
    <row r="346" spans="1:11" ht="14.25" x14ac:dyDescent="0.2">
      <c r="A346" s="11"/>
      <c r="B346" s="11"/>
      <c r="C346" s="13" t="s">
        <v>473</v>
      </c>
      <c r="D346" s="13"/>
      <c r="E346" s="13"/>
      <c r="F346" s="13"/>
      <c r="G346" s="13"/>
      <c r="H346" s="11"/>
      <c r="I346" s="11"/>
      <c r="J346" s="11"/>
      <c r="K346" s="11"/>
    </row>
  </sheetData>
  <mergeCells count="195">
    <mergeCell ref="A345:B345"/>
    <mergeCell ref="H345:K345"/>
    <mergeCell ref="C346:G346"/>
    <mergeCell ref="J337:K337"/>
    <mergeCell ref="H337:I337"/>
    <mergeCell ref="A337:G337"/>
    <mergeCell ref="A342:B342"/>
    <mergeCell ref="H342:K342"/>
    <mergeCell ref="C343:G343"/>
    <mergeCell ref="J329:K329"/>
    <mergeCell ref="H329:I329"/>
    <mergeCell ref="A329:G329"/>
    <mergeCell ref="J333:K333"/>
    <mergeCell ref="H333:I333"/>
    <mergeCell ref="A333:G333"/>
    <mergeCell ref="H318:I318"/>
    <mergeCell ref="J318:K318"/>
    <mergeCell ref="H322:I322"/>
    <mergeCell ref="J322:K322"/>
    <mergeCell ref="H326:I326"/>
    <mergeCell ref="J326:K326"/>
    <mergeCell ref="H309:I309"/>
    <mergeCell ref="J309:K309"/>
    <mergeCell ref="H310:I310"/>
    <mergeCell ref="J310:K310"/>
    <mergeCell ref="H314:I314"/>
    <mergeCell ref="J314:K314"/>
    <mergeCell ref="H296:I296"/>
    <mergeCell ref="J296:K296"/>
    <mergeCell ref="H297:I297"/>
    <mergeCell ref="J297:K297"/>
    <mergeCell ref="H308:I308"/>
    <mergeCell ref="J308:K308"/>
    <mergeCell ref="H281:I281"/>
    <mergeCell ref="J281:K281"/>
    <mergeCell ref="H284:I284"/>
    <mergeCell ref="J284:K284"/>
    <mergeCell ref="H295:I295"/>
    <mergeCell ref="J295:K295"/>
    <mergeCell ref="H267:I267"/>
    <mergeCell ref="J267:K267"/>
    <mergeCell ref="H279:I279"/>
    <mergeCell ref="J279:K279"/>
    <mergeCell ref="H280:I280"/>
    <mergeCell ref="J280:K280"/>
    <mergeCell ref="A249:G249"/>
    <mergeCell ref="A253:K253"/>
    <mergeCell ref="H265:I265"/>
    <mergeCell ref="J265:K265"/>
    <mergeCell ref="H266:I266"/>
    <mergeCell ref="J266:K266"/>
    <mergeCell ref="H243:I243"/>
    <mergeCell ref="J243:K243"/>
    <mergeCell ref="H246:I246"/>
    <mergeCell ref="J246:K246"/>
    <mergeCell ref="J249:K249"/>
    <mergeCell ref="H249:I249"/>
    <mergeCell ref="H230:I230"/>
    <mergeCell ref="J230:K230"/>
    <mergeCell ref="H241:I241"/>
    <mergeCell ref="J241:K241"/>
    <mergeCell ref="H242:I242"/>
    <mergeCell ref="J242:K242"/>
    <mergeCell ref="H225:I225"/>
    <mergeCell ref="J225:K225"/>
    <mergeCell ref="H226:I226"/>
    <mergeCell ref="J226:K226"/>
    <mergeCell ref="H227:I227"/>
    <mergeCell ref="J227:K227"/>
    <mergeCell ref="H214:I214"/>
    <mergeCell ref="J214:K214"/>
    <mergeCell ref="H215:I215"/>
    <mergeCell ref="J215:K215"/>
    <mergeCell ref="H218:I218"/>
    <mergeCell ref="J218:K218"/>
    <mergeCell ref="H200:I200"/>
    <mergeCell ref="J200:K200"/>
    <mergeCell ref="H203:I203"/>
    <mergeCell ref="J203:K203"/>
    <mergeCell ref="H213:I213"/>
    <mergeCell ref="J213:K213"/>
    <mergeCell ref="H190:I190"/>
    <mergeCell ref="J190:K190"/>
    <mergeCell ref="H198:I198"/>
    <mergeCell ref="J198:K198"/>
    <mergeCell ref="H199:I199"/>
    <mergeCell ref="J199:K199"/>
    <mergeCell ref="H185:I185"/>
    <mergeCell ref="J185:K185"/>
    <mergeCell ref="H186:I186"/>
    <mergeCell ref="J186:K186"/>
    <mergeCell ref="H187:I187"/>
    <mergeCell ref="J187:K187"/>
    <mergeCell ref="H173:I173"/>
    <mergeCell ref="J173:K173"/>
    <mergeCell ref="H174:I174"/>
    <mergeCell ref="J174:K174"/>
    <mergeCell ref="H177:I177"/>
    <mergeCell ref="J177:K177"/>
    <mergeCell ref="H160:I160"/>
    <mergeCell ref="J160:K160"/>
    <mergeCell ref="H163:I163"/>
    <mergeCell ref="J163:K163"/>
    <mergeCell ref="H172:I172"/>
    <mergeCell ref="J172:K172"/>
    <mergeCell ref="H148:I148"/>
    <mergeCell ref="J148:K148"/>
    <mergeCell ref="H158:I158"/>
    <mergeCell ref="J158:K158"/>
    <mergeCell ref="H159:I159"/>
    <mergeCell ref="J159:K159"/>
    <mergeCell ref="H143:I143"/>
    <mergeCell ref="J143:K143"/>
    <mergeCell ref="H144:I144"/>
    <mergeCell ref="J144:K144"/>
    <mergeCell ref="H145:I145"/>
    <mergeCell ref="J145:K145"/>
    <mergeCell ref="H127:I127"/>
    <mergeCell ref="J127:K127"/>
    <mergeCell ref="H130:I130"/>
    <mergeCell ref="J130:K130"/>
    <mergeCell ref="H133:I133"/>
    <mergeCell ref="J133:K133"/>
    <mergeCell ref="H117:I117"/>
    <mergeCell ref="J117:K117"/>
    <mergeCell ref="H125:I125"/>
    <mergeCell ref="J125:K125"/>
    <mergeCell ref="H126:I126"/>
    <mergeCell ref="J126:K126"/>
    <mergeCell ref="H112:I112"/>
    <mergeCell ref="J112:K112"/>
    <mergeCell ref="H113:I113"/>
    <mergeCell ref="J113:K113"/>
    <mergeCell ref="H114:I114"/>
    <mergeCell ref="J114:K114"/>
    <mergeCell ref="H98:I98"/>
    <mergeCell ref="J98:K98"/>
    <mergeCell ref="H99:I99"/>
    <mergeCell ref="J99:K99"/>
    <mergeCell ref="H102:I102"/>
    <mergeCell ref="J102:K102"/>
    <mergeCell ref="H84:I84"/>
    <mergeCell ref="J84:K84"/>
    <mergeCell ref="H87:I87"/>
    <mergeCell ref="J87:K87"/>
    <mergeCell ref="H97:I97"/>
    <mergeCell ref="J97:K97"/>
    <mergeCell ref="H72:I72"/>
    <mergeCell ref="J72:K72"/>
    <mergeCell ref="H82:I82"/>
    <mergeCell ref="J82:K82"/>
    <mergeCell ref="H83:I83"/>
    <mergeCell ref="J83:K83"/>
    <mergeCell ref="H67:I67"/>
    <mergeCell ref="J67:K67"/>
    <mergeCell ref="H68:I68"/>
    <mergeCell ref="J68:K68"/>
    <mergeCell ref="H69:I69"/>
    <mergeCell ref="J69:K69"/>
    <mergeCell ref="H53:I53"/>
    <mergeCell ref="J53:K53"/>
    <mergeCell ref="H54:I54"/>
    <mergeCell ref="J54:K54"/>
    <mergeCell ref="H57:I57"/>
    <mergeCell ref="J57:K57"/>
    <mergeCell ref="H41:I41"/>
    <mergeCell ref="J41:K41"/>
    <mergeCell ref="H44:I44"/>
    <mergeCell ref="J44:K44"/>
    <mergeCell ref="H52:I52"/>
    <mergeCell ref="J52:K52"/>
    <mergeCell ref="H36:I36"/>
    <mergeCell ref="J36:K36"/>
    <mergeCell ref="H37:I37"/>
    <mergeCell ref="J37:K37"/>
    <mergeCell ref="H38:I38"/>
    <mergeCell ref="J38:K38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4" spans="1:8" ht="15.75" x14ac:dyDescent="0.2">
      <c r="B4" s="67" t="str">
        <f>CONCATENATE("Ведомость объемов работ ", IF(Source!AN15&lt;&gt;"", Source!AN15," "))</f>
        <v xml:space="preserve">Ведомость объемов работ  </v>
      </c>
      <c r="C4" s="67"/>
      <c r="D4" s="67"/>
      <c r="E4" s="67"/>
    </row>
    <row r="5" spans="1:8" ht="15" x14ac:dyDescent="0.2">
      <c r="B5" s="68" t="str">
        <f>CONCATENATE(Source!F12, " ", Source!G12)</f>
        <v xml:space="preserve"> 02-01-16 СОС</v>
      </c>
      <c r="C5" s="68"/>
      <c r="D5" s="68"/>
      <c r="E5" s="68"/>
    </row>
    <row r="6" spans="1:8" hidden="1" x14ac:dyDescent="0.2"/>
    <row r="8" spans="1:8" ht="99.75" x14ac:dyDescent="0.2">
      <c r="A8" s="30" t="s">
        <v>419</v>
      </c>
      <c r="B8" s="30" t="s">
        <v>475</v>
      </c>
      <c r="C8" s="30" t="s">
        <v>421</v>
      </c>
      <c r="D8" s="30" t="s">
        <v>476</v>
      </c>
      <c r="E8" s="30" t="s">
        <v>477</v>
      </c>
      <c r="F8" s="30" t="s">
        <v>478</v>
      </c>
      <c r="G8" s="30" t="s">
        <v>479</v>
      </c>
      <c r="H8" s="30" t="s">
        <v>480</v>
      </c>
    </row>
    <row r="9" spans="1:8" ht="14.25" x14ac:dyDescent="0.2">
      <c r="A9" s="30">
        <v>1</v>
      </c>
      <c r="B9" s="30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</row>
    <row r="10" spans="1:8" ht="16.5" x14ac:dyDescent="0.25">
      <c r="A10" s="69" t="str">
        <f>CONCATENATE("Локальная смета: ", Source!G20)</f>
        <v>Локальная смета: Система охранно-тревожной сигнализации</v>
      </c>
      <c r="B10" s="69"/>
      <c r="C10" s="69"/>
      <c r="D10" s="69"/>
      <c r="E10" s="69"/>
      <c r="F10" s="69"/>
      <c r="G10" s="69"/>
      <c r="H10" s="69"/>
    </row>
    <row r="11" spans="1:8" ht="16.5" x14ac:dyDescent="0.25">
      <c r="A11" s="69" t="str">
        <f>CONCATENATE("Раздел: ", Source!G24)</f>
        <v>Раздел: Оборудование</v>
      </c>
      <c r="B11" s="69"/>
      <c r="C11" s="69"/>
      <c r="D11" s="69"/>
      <c r="E11" s="69"/>
      <c r="F11" s="69"/>
      <c r="G11" s="69"/>
      <c r="H11" s="69"/>
    </row>
    <row r="12" spans="1:8" ht="14.25" x14ac:dyDescent="0.2">
      <c r="A12" s="30">
        <v>1</v>
      </c>
      <c r="B12" s="30" t="str">
        <f>Source!E28</f>
        <v>1</v>
      </c>
      <c r="C12" s="72" t="str">
        <f>Source!G28</f>
        <v>Монтаж аппаратуры настольной массой до 20 кг</v>
      </c>
      <c r="D12" s="30" t="s">
        <v>21</v>
      </c>
      <c r="E12" s="73">
        <f>Source!I28</f>
        <v>1</v>
      </c>
      <c r="F12" s="30" t="str">
        <f>Source!U24</f>
        <v/>
      </c>
      <c r="G12" s="30">
        <f>Source!I28</f>
        <v>1</v>
      </c>
      <c r="H12" s="72"/>
    </row>
    <row r="13" spans="1:8" ht="28.5" x14ac:dyDescent="0.2">
      <c r="A13" s="30">
        <v>2</v>
      </c>
      <c r="B13" s="30" t="str">
        <f>Source!E30</f>
        <v>2</v>
      </c>
      <c r="C13" s="72" t="str">
        <f>Source!G30</f>
        <v>Компьютер персональный АРМ DEPO ПЕРЕСВЕТ 110D11 (системный блок, монитор 21,5", клавиатура, мышь)</v>
      </c>
      <c r="D13" s="30" t="s">
        <v>32</v>
      </c>
      <c r="E13" s="73">
        <f>Source!I30</f>
        <v>1</v>
      </c>
      <c r="F13" s="30" t="str">
        <f>Source!U24</f>
        <v/>
      </c>
      <c r="G13" s="30">
        <f>Source!I30</f>
        <v>1</v>
      </c>
      <c r="H13" s="72"/>
    </row>
    <row r="14" spans="1:8" ht="14.25" x14ac:dyDescent="0.2">
      <c r="A14" s="30">
        <v>3</v>
      </c>
      <c r="B14" s="30" t="str">
        <f>Source!E32</f>
        <v>3</v>
      </c>
      <c r="C14" s="72" t="str">
        <f>Source!G32</f>
        <v>Операционная система REDOS-DSP-STD-BAS-VDI</v>
      </c>
      <c r="D14" s="30" t="s">
        <v>32</v>
      </c>
      <c r="E14" s="73">
        <f>Source!I32</f>
        <v>1</v>
      </c>
      <c r="F14" s="30" t="str">
        <f>Source!U24</f>
        <v/>
      </c>
      <c r="G14" s="30">
        <f>Source!I32</f>
        <v>1</v>
      </c>
      <c r="H14" s="72"/>
    </row>
    <row r="15" spans="1:8" ht="14.25" x14ac:dyDescent="0.2">
      <c r="A15" s="30">
        <v>4</v>
      </c>
      <c r="B15" s="30" t="str">
        <f>Source!E34</f>
        <v>4</v>
      </c>
      <c r="C15" s="72" t="str">
        <f>Source!G34</f>
        <v>Монтаж блока бесперебойного питания (ББП) в диспетчерской</v>
      </c>
      <c r="D15" s="30" t="s">
        <v>21</v>
      </c>
      <c r="E15" s="73">
        <f>Source!I34</f>
        <v>1</v>
      </c>
      <c r="F15" s="30" t="str">
        <f>Source!U24</f>
        <v/>
      </c>
      <c r="G15" s="30">
        <f>Source!I34</f>
        <v>1</v>
      </c>
      <c r="H15" s="72"/>
    </row>
    <row r="16" spans="1:8" ht="14.25" x14ac:dyDescent="0.2">
      <c r="A16" s="30">
        <v>5</v>
      </c>
      <c r="B16" s="30" t="str">
        <f>Source!E36</f>
        <v>5</v>
      </c>
      <c r="C16" s="72" t="str">
        <f>Source!G36</f>
        <v>Источник бесперебойного питания, 600Вт Back Basic 1050S Euro</v>
      </c>
      <c r="D16" s="30" t="s">
        <v>32</v>
      </c>
      <c r="E16" s="73">
        <f>Source!I36</f>
        <v>1</v>
      </c>
      <c r="F16" s="30" t="str">
        <f>Source!U24</f>
        <v/>
      </c>
      <c r="G16" s="30">
        <f>Source!I36</f>
        <v>1</v>
      </c>
      <c r="H16" s="72"/>
    </row>
    <row r="17" spans="1:8" ht="28.5" x14ac:dyDescent="0.2">
      <c r="A17" s="30">
        <v>6</v>
      </c>
      <c r="B17" s="30" t="str">
        <f>Source!E38</f>
        <v>6</v>
      </c>
      <c r="C17" s="72" t="str">
        <f>Source!G38</f>
        <v>Аппараты приемные, приборы ПС приемно-контрольные, пусковые, концентратор, блок базовый на 10 лучей</v>
      </c>
      <c r="D17" s="30" t="s">
        <v>21</v>
      </c>
      <c r="E17" s="73">
        <f>Source!I38</f>
        <v>1</v>
      </c>
      <c r="F17" s="30" t="str">
        <f>Source!U24</f>
        <v/>
      </c>
      <c r="G17" s="30">
        <f>Source!I38</f>
        <v>1</v>
      </c>
      <c r="H17" s="72"/>
    </row>
    <row r="18" spans="1:8" ht="14.25" x14ac:dyDescent="0.2">
      <c r="A18" s="30">
        <v>7</v>
      </c>
      <c r="B18" s="30" t="str">
        <f>Source!E40</f>
        <v>7</v>
      </c>
      <c r="C18" s="72" t="str">
        <f>Source!G40</f>
        <v>Прибор приемно-контрольный и управленя Рубеж-20П прот. R3</v>
      </c>
      <c r="D18" s="30" t="s">
        <v>32</v>
      </c>
      <c r="E18" s="73">
        <f>Source!I40</f>
        <v>1</v>
      </c>
      <c r="F18" s="30" t="str">
        <f>Source!U24</f>
        <v/>
      </c>
      <c r="G18" s="30">
        <f>Source!I40</f>
        <v>1</v>
      </c>
      <c r="H18" s="72"/>
    </row>
    <row r="19" spans="1:8" ht="14.25" x14ac:dyDescent="0.2">
      <c r="A19" s="30">
        <v>8</v>
      </c>
      <c r="B19" s="30" t="str">
        <f>Source!E42</f>
        <v>8</v>
      </c>
      <c r="C19" s="72" t="str">
        <f>Source!G42</f>
        <v>Аппараты приемные, устройства промежуточные на 1 луч</v>
      </c>
      <c r="D19" s="30" t="s">
        <v>21</v>
      </c>
      <c r="E19" s="73">
        <f>Source!I42</f>
        <v>1</v>
      </c>
      <c r="F19" s="30" t="str">
        <f>Source!U24</f>
        <v/>
      </c>
      <c r="G19" s="30">
        <f>Source!I42</f>
        <v>1</v>
      </c>
      <c r="H19" s="72"/>
    </row>
    <row r="20" spans="1:8" ht="14.25" x14ac:dyDescent="0.2">
      <c r="A20" s="30">
        <v>9</v>
      </c>
      <c r="B20" s="30" t="str">
        <f>Source!E44</f>
        <v>9</v>
      </c>
      <c r="C20" s="72" t="str">
        <f>Source!G44</f>
        <v>Модуль сопряжения МС-Е</v>
      </c>
      <c r="D20" s="30" t="s">
        <v>32</v>
      </c>
      <c r="E20" s="73">
        <f>Source!I44</f>
        <v>1</v>
      </c>
      <c r="F20" s="30" t="str">
        <f>Source!U24</f>
        <v/>
      </c>
      <c r="G20" s="30">
        <f>Source!I44</f>
        <v>1</v>
      </c>
      <c r="H20" s="72"/>
    </row>
    <row r="21" spans="1:8" ht="28.5" x14ac:dyDescent="0.2">
      <c r="A21" s="30">
        <v>10</v>
      </c>
      <c r="B21" s="30" t="str">
        <f>Source!E46</f>
        <v>10</v>
      </c>
      <c r="C21" s="72" t="str">
        <f>Source!G46</f>
        <v>Аппараты приемные, приборы приемно-контрольные объектовые на 2 луча</v>
      </c>
      <c r="D21" s="30" t="s">
        <v>21</v>
      </c>
      <c r="E21" s="73">
        <f>Source!I46</f>
        <v>1</v>
      </c>
      <c r="F21" s="30" t="str">
        <f>Source!U24</f>
        <v/>
      </c>
      <c r="G21" s="30">
        <f>Source!I46</f>
        <v>1</v>
      </c>
      <c r="H21" s="72"/>
    </row>
    <row r="22" spans="1:8" ht="14.25" x14ac:dyDescent="0.2">
      <c r="A22" s="30">
        <v>11</v>
      </c>
      <c r="B22" s="30" t="str">
        <f>Source!E48</f>
        <v>11</v>
      </c>
      <c r="C22" s="72" t="str">
        <f>Source!G48</f>
        <v>Блок индикации и управления Рубеж-БИУ</v>
      </c>
      <c r="D22" s="30" t="s">
        <v>32</v>
      </c>
      <c r="E22" s="73">
        <f>Source!I48</f>
        <v>1</v>
      </c>
      <c r="F22" s="30" t="str">
        <f>Source!U24</f>
        <v/>
      </c>
      <c r="G22" s="30">
        <f>Source!I48</f>
        <v>1</v>
      </c>
      <c r="H22" s="72"/>
    </row>
    <row r="23" spans="1:8" ht="28.5" x14ac:dyDescent="0.2">
      <c r="A23" s="30">
        <v>12</v>
      </c>
      <c r="B23" s="30" t="str">
        <f>Source!E50</f>
        <v>12</v>
      </c>
      <c r="C23" s="72" t="str">
        <f>Source!G50</f>
        <v>Приборы и устройства сигнализирующие объектовые, устройства ультразвуковые, блок питания и контроля</v>
      </c>
      <c r="D23" s="30" t="s">
        <v>21</v>
      </c>
      <c r="E23" s="73">
        <f>Source!I50</f>
        <v>1</v>
      </c>
      <c r="F23" s="30" t="str">
        <f>Source!U24</f>
        <v/>
      </c>
      <c r="G23" s="30">
        <f>Source!I50</f>
        <v>1</v>
      </c>
      <c r="H23" s="72"/>
    </row>
    <row r="24" spans="1:8" ht="14.25" x14ac:dyDescent="0.2">
      <c r="A24" s="30">
        <v>13</v>
      </c>
      <c r="B24" s="30" t="str">
        <f>Source!E52</f>
        <v>13</v>
      </c>
      <c r="C24" s="72" t="str">
        <f>Source!G52</f>
        <v>Устройство оконечное объектовое Приток-А КОП-1 исп.1</v>
      </c>
      <c r="D24" s="30" t="s">
        <v>32</v>
      </c>
      <c r="E24" s="73">
        <f>Source!I52</f>
        <v>1</v>
      </c>
      <c r="F24" s="30" t="str">
        <f>Source!U24</f>
        <v/>
      </c>
      <c r="G24" s="30">
        <f>Source!I52</f>
        <v>1</v>
      </c>
      <c r="H24" s="72"/>
    </row>
    <row r="25" spans="1:8" ht="14.25" x14ac:dyDescent="0.2">
      <c r="A25" s="30">
        <v>14</v>
      </c>
      <c r="B25" s="30" t="str">
        <f>Source!E54</f>
        <v>14</v>
      </c>
      <c r="C25" s="72" t="str">
        <f>Source!G54</f>
        <v>Монтаж блока бесперебойного питания (ББП) в диспетчерской</v>
      </c>
      <c r="D25" s="30" t="s">
        <v>21</v>
      </c>
      <c r="E25" s="73">
        <f>Source!I54</f>
        <v>3</v>
      </c>
      <c r="F25" s="30" t="str">
        <f>Source!U24</f>
        <v/>
      </c>
      <c r="G25" s="30">
        <f>Source!I54</f>
        <v>3</v>
      </c>
      <c r="H25" s="72"/>
    </row>
    <row r="26" spans="1:8" ht="14.25" x14ac:dyDescent="0.2">
      <c r="A26" s="30">
        <v>15</v>
      </c>
      <c r="B26" s="30" t="str">
        <f>Source!E56</f>
        <v>15</v>
      </c>
      <c r="C26" s="72" t="str">
        <f>Source!G56</f>
        <v>Блок питания, 12В, 2А ИВЭПР 12/2 RS-R3</v>
      </c>
      <c r="D26" s="30" t="s">
        <v>32</v>
      </c>
      <c r="E26" s="73">
        <f>Source!I56</f>
        <v>3</v>
      </c>
      <c r="F26" s="30" t="str">
        <f>Source!U24</f>
        <v/>
      </c>
      <c r="G26" s="30">
        <f>Source!I56</f>
        <v>3</v>
      </c>
      <c r="H26" s="72"/>
    </row>
    <row r="27" spans="1:8" ht="14.25" x14ac:dyDescent="0.2">
      <c r="A27" s="30">
        <v>16</v>
      </c>
      <c r="B27" s="30" t="str">
        <f>Source!E58</f>
        <v>16</v>
      </c>
      <c r="C27" s="72" t="str">
        <f>Source!G58</f>
        <v>Аккумултор 12В 7Ач DTM 1207</v>
      </c>
      <c r="D27" s="30" t="s">
        <v>32</v>
      </c>
      <c r="E27" s="73">
        <f>Source!I58</f>
        <v>3</v>
      </c>
      <c r="F27" s="30" t="str">
        <f>Source!U24</f>
        <v/>
      </c>
      <c r="G27" s="30">
        <f>Source!I58</f>
        <v>3</v>
      </c>
      <c r="H27" s="72"/>
    </row>
    <row r="28" spans="1:8" ht="14.25" x14ac:dyDescent="0.2">
      <c r="A28" s="30">
        <v>17</v>
      </c>
      <c r="B28" s="30" t="str">
        <f>Source!E60</f>
        <v>17</v>
      </c>
      <c r="C28" s="72" t="str">
        <f>Source!G60</f>
        <v>Аппараты приемные, устройства промежуточные на 1 луч</v>
      </c>
      <c r="D28" s="30" t="s">
        <v>21</v>
      </c>
      <c r="E28" s="73">
        <f>Source!I60</f>
        <v>1</v>
      </c>
      <c r="F28" s="30" t="str">
        <f>Source!U24</f>
        <v/>
      </c>
      <c r="G28" s="30">
        <f>Source!I60</f>
        <v>1</v>
      </c>
      <c r="H28" s="72"/>
    </row>
    <row r="29" spans="1:8" ht="14.25" x14ac:dyDescent="0.2">
      <c r="A29" s="30">
        <v>18</v>
      </c>
      <c r="B29" s="30" t="str">
        <f>Source!E62</f>
        <v>18</v>
      </c>
      <c r="C29" s="72" t="str">
        <f>Source!G62</f>
        <v>Адресный релейный модуль РМ-1-R3 Рубеж</v>
      </c>
      <c r="D29" s="30" t="s">
        <v>32</v>
      </c>
      <c r="E29" s="73">
        <f>Source!I62</f>
        <v>1</v>
      </c>
      <c r="F29" s="30" t="str">
        <f>Source!U24</f>
        <v/>
      </c>
      <c r="G29" s="30">
        <f>Source!I62</f>
        <v>1</v>
      </c>
      <c r="H29" s="72"/>
    </row>
    <row r="30" spans="1:8" ht="14.25" x14ac:dyDescent="0.2">
      <c r="A30" s="30">
        <v>19</v>
      </c>
      <c r="B30" s="30" t="str">
        <f>Source!E64</f>
        <v>19</v>
      </c>
      <c r="C30" s="72" t="str">
        <f>Source!G64</f>
        <v>Аппараты приемные, устройства промежуточные на 1 луч</v>
      </c>
      <c r="D30" s="30" t="s">
        <v>21</v>
      </c>
      <c r="E30" s="73">
        <f>Source!I64</f>
        <v>2</v>
      </c>
      <c r="F30" s="30" t="str">
        <f>Source!U24</f>
        <v/>
      </c>
      <c r="G30" s="30">
        <f>Source!I64</f>
        <v>2</v>
      </c>
      <c r="H30" s="72"/>
    </row>
    <row r="31" spans="1:8" ht="14.25" x14ac:dyDescent="0.2">
      <c r="A31" s="30">
        <v>20</v>
      </c>
      <c r="B31" s="30" t="str">
        <f>Source!E66</f>
        <v>20</v>
      </c>
      <c r="C31" s="72" t="str">
        <f>Source!G66</f>
        <v>Изолятор шлейфа ИЗ-1 прот. R3</v>
      </c>
      <c r="D31" s="30" t="s">
        <v>32</v>
      </c>
      <c r="E31" s="73">
        <f>Source!I66</f>
        <v>2</v>
      </c>
      <c r="F31" s="30" t="str">
        <f>Source!U24</f>
        <v/>
      </c>
      <c r="G31" s="30">
        <f>Source!I66</f>
        <v>2</v>
      </c>
      <c r="H31" s="72"/>
    </row>
    <row r="32" spans="1:8" ht="28.5" x14ac:dyDescent="0.2">
      <c r="A32" s="30">
        <v>21</v>
      </c>
      <c r="B32" s="30" t="str">
        <f>Source!E68</f>
        <v>21</v>
      </c>
      <c r="C32" s="72" t="str">
        <f>Source!G68</f>
        <v>Приборы и устройства сигнализирующие объектовые, устройства ультразвуковые, прибор ультразвуковой в одноблочном исполнении</v>
      </c>
      <c r="D32" s="30" t="s">
        <v>21</v>
      </c>
      <c r="E32" s="73">
        <f>Source!I68</f>
        <v>30</v>
      </c>
      <c r="F32" s="30" t="str">
        <f>Source!U24</f>
        <v/>
      </c>
      <c r="G32" s="30">
        <f>Source!I68</f>
        <v>30</v>
      </c>
      <c r="H32" s="72"/>
    </row>
    <row r="33" spans="1:8" ht="28.5" x14ac:dyDescent="0.2">
      <c r="A33" s="30">
        <v>22</v>
      </c>
      <c r="B33" s="30" t="str">
        <f>Source!E70</f>
        <v>22</v>
      </c>
      <c r="C33" s="72" t="str">
        <f>Source!G70</f>
        <v>Извещатель охранный объемный оптико-электронный адресный ИО 40920-2</v>
      </c>
      <c r="D33" s="30" t="s">
        <v>32</v>
      </c>
      <c r="E33" s="73">
        <f>Source!I70</f>
        <v>30</v>
      </c>
      <c r="F33" s="30" t="str">
        <f>Source!U24</f>
        <v/>
      </c>
      <c r="G33" s="30">
        <f>Source!I70</f>
        <v>30</v>
      </c>
      <c r="H33" s="72"/>
    </row>
    <row r="34" spans="1:8" ht="28.5" x14ac:dyDescent="0.2">
      <c r="A34" s="30">
        <v>23</v>
      </c>
      <c r="B34" s="30" t="str">
        <f>Source!E72</f>
        <v>23</v>
      </c>
      <c r="C34" s="72" t="str">
        <f>Source!G72</f>
        <v>Извещатели ОС автоматические, контактный, магнито-контактный на открывание окон, дверей</v>
      </c>
      <c r="D34" s="30" t="s">
        <v>21</v>
      </c>
      <c r="E34" s="73">
        <f>Source!I72</f>
        <v>86</v>
      </c>
      <c r="F34" s="30" t="str">
        <f>Source!U24</f>
        <v/>
      </c>
      <c r="G34" s="30">
        <f>Source!I72</f>
        <v>86</v>
      </c>
      <c r="H34" s="72"/>
    </row>
    <row r="35" spans="1:8" ht="14.25" x14ac:dyDescent="0.2">
      <c r="A35" s="30">
        <v>24</v>
      </c>
      <c r="B35" s="30" t="str">
        <f>Source!E74</f>
        <v>24</v>
      </c>
      <c r="C35" s="72" t="str">
        <f>Source!G74</f>
        <v>Извещатель охранный поверхностный звуковой адресный ИО 32920-2</v>
      </c>
      <c r="D35" s="30" t="s">
        <v>32</v>
      </c>
      <c r="E35" s="73">
        <f>Source!I74</f>
        <v>86</v>
      </c>
      <c r="F35" s="30" t="str">
        <f>Source!U24</f>
        <v/>
      </c>
      <c r="G35" s="30">
        <f>Source!I74</f>
        <v>86</v>
      </c>
      <c r="H35" s="72"/>
    </row>
    <row r="36" spans="1:8" ht="28.5" x14ac:dyDescent="0.2">
      <c r="A36" s="30">
        <v>25</v>
      </c>
      <c r="B36" s="30" t="str">
        <f>Source!E76</f>
        <v>25</v>
      </c>
      <c r="C36" s="72" t="str">
        <f>Source!G76</f>
        <v>Извещатели ОС автоматические, контактный, магнито-контактный на открывание окон, дверей</v>
      </c>
      <c r="D36" s="30" t="s">
        <v>21</v>
      </c>
      <c r="E36" s="73">
        <f>Source!I76</f>
        <v>90</v>
      </c>
      <c r="F36" s="30" t="str">
        <f>Source!U24</f>
        <v/>
      </c>
      <c r="G36" s="30">
        <f>Source!I76</f>
        <v>90</v>
      </c>
      <c r="H36" s="72"/>
    </row>
    <row r="37" spans="1:8" ht="14.25" x14ac:dyDescent="0.2">
      <c r="A37" s="30">
        <v>26</v>
      </c>
      <c r="B37" s="30" t="str">
        <f>Source!E78</f>
        <v>26</v>
      </c>
      <c r="C37" s="72" t="str">
        <f>Source!G78</f>
        <v>Извещатель охранный магнитноуправляемый адресный ИО 10220-2</v>
      </c>
      <c r="D37" s="30" t="s">
        <v>32</v>
      </c>
      <c r="E37" s="73">
        <f>Source!I78</f>
        <v>90</v>
      </c>
      <c r="F37" s="30" t="str">
        <f>Source!U24</f>
        <v/>
      </c>
      <c r="G37" s="30">
        <f>Source!I78</f>
        <v>90</v>
      </c>
      <c r="H37" s="72"/>
    </row>
    <row r="38" spans="1:8" ht="14.25" x14ac:dyDescent="0.2">
      <c r="A38" s="30">
        <v>27</v>
      </c>
      <c r="B38" s="30" t="str">
        <f>Source!E80</f>
        <v>27</v>
      </c>
      <c r="C38" s="72" t="str">
        <f>Source!G80</f>
        <v>Аппараты приемные, устройства промежуточные на 1 луч</v>
      </c>
      <c r="D38" s="30" t="s">
        <v>21</v>
      </c>
      <c r="E38" s="73">
        <f>Source!I80</f>
        <v>9</v>
      </c>
      <c r="F38" s="30" t="str">
        <f>Source!U24</f>
        <v/>
      </c>
      <c r="G38" s="30">
        <f>Source!I80</f>
        <v>9</v>
      </c>
      <c r="H38" s="72"/>
    </row>
    <row r="39" spans="1:8" ht="14.25" x14ac:dyDescent="0.2">
      <c r="A39" s="30">
        <v>28</v>
      </c>
      <c r="B39" s="30" t="str">
        <f>Source!E82</f>
        <v>28</v>
      </c>
      <c r="C39" s="72" t="str">
        <f>Source!G82</f>
        <v>Адресная метка, 4 шлейфа АМ-4-R3</v>
      </c>
      <c r="D39" s="30" t="s">
        <v>32</v>
      </c>
      <c r="E39" s="73">
        <f>Source!I82</f>
        <v>9</v>
      </c>
      <c r="F39" s="30" t="str">
        <f>Source!U24</f>
        <v/>
      </c>
      <c r="G39" s="30">
        <f>Source!I82</f>
        <v>9</v>
      </c>
      <c r="H39" s="72"/>
    </row>
    <row r="40" spans="1:8" ht="14.25" x14ac:dyDescent="0.2">
      <c r="A40" s="30">
        <v>29</v>
      </c>
      <c r="B40" s="30" t="str">
        <f>Source!E84</f>
        <v>29</v>
      </c>
      <c r="C40" s="72" t="str">
        <f>Source!G84</f>
        <v>Монтаж детали на пультах и панелях - кнопка</v>
      </c>
      <c r="D40" s="30" t="s">
        <v>21</v>
      </c>
      <c r="E40" s="73">
        <f>Source!I84</f>
        <v>10</v>
      </c>
      <c r="F40" s="30" t="str">
        <f>Source!U24</f>
        <v/>
      </c>
      <c r="G40" s="30">
        <f>Source!I84</f>
        <v>10</v>
      </c>
      <c r="H40" s="72"/>
    </row>
    <row r="41" spans="1:8" ht="28.5" x14ac:dyDescent="0.2">
      <c r="A41" s="30">
        <v>30</v>
      </c>
      <c r="B41" s="30" t="str">
        <f>Source!E86</f>
        <v>30</v>
      </c>
      <c r="C41" s="72" t="str">
        <f>Source!G86</f>
        <v>Извещатель охранный ручной точечный электроконтактный Астра-321 (ИО 101-7)</v>
      </c>
      <c r="D41" s="30" t="s">
        <v>32</v>
      </c>
      <c r="E41" s="73">
        <f>Source!I86</f>
        <v>10</v>
      </c>
      <c r="F41" s="30" t="str">
        <f>Source!U24</f>
        <v/>
      </c>
      <c r="G41" s="30">
        <f>Source!I86</f>
        <v>10</v>
      </c>
      <c r="H41" s="72"/>
    </row>
    <row r="42" spans="1:8" ht="28.5" x14ac:dyDescent="0.2">
      <c r="A42" s="30">
        <v>31</v>
      </c>
      <c r="B42" s="30" t="str">
        <f>Source!E88</f>
        <v>31</v>
      </c>
      <c r="C42" s="72" t="str">
        <f>Source!G88</f>
        <v>Монтаж светильников с лампами накаливания, светового настенного указателя</v>
      </c>
      <c r="D42" s="30" t="s">
        <v>140</v>
      </c>
      <c r="E42" s="73">
        <f>Source!I88</f>
        <v>0.01</v>
      </c>
      <c r="F42" s="30" t="str">
        <f>Source!U24</f>
        <v/>
      </c>
      <c r="G42" s="30" t="str">
        <f>"=1/"&amp;"100"</f>
        <v>=1/100</v>
      </c>
      <c r="H42" s="72"/>
    </row>
    <row r="43" spans="1:8" ht="14.25" x14ac:dyDescent="0.2">
      <c r="A43" s="30">
        <v>32</v>
      </c>
      <c r="B43" s="30" t="str">
        <f>Source!E90</f>
        <v>32</v>
      </c>
      <c r="C43" s="72" t="str">
        <f>Source!G90</f>
        <v>Световой оповещатель "Маяк-12-С"</v>
      </c>
      <c r="D43" s="30" t="s">
        <v>32</v>
      </c>
      <c r="E43" s="73">
        <f>Source!I90</f>
        <v>1</v>
      </c>
      <c r="F43" s="30" t="str">
        <f>Source!U24</f>
        <v/>
      </c>
      <c r="G43" s="30">
        <f>Source!I90</f>
        <v>1</v>
      </c>
      <c r="H43" s="72"/>
    </row>
    <row r="44" spans="1:8" ht="16.5" x14ac:dyDescent="0.25">
      <c r="A44" s="69" t="str">
        <f>CONCATENATE("Раздел: ", Source!G123)</f>
        <v>Раздел: Кабельные изделия СОТС</v>
      </c>
      <c r="B44" s="69"/>
      <c r="C44" s="69"/>
      <c r="D44" s="69"/>
      <c r="E44" s="69"/>
      <c r="F44" s="69"/>
      <c r="G44" s="69"/>
      <c r="H44" s="69"/>
    </row>
    <row r="45" spans="1:8" ht="28.5" x14ac:dyDescent="0.2">
      <c r="A45" s="30">
        <v>33</v>
      </c>
      <c r="B45" s="30" t="str">
        <f>Source!E127</f>
        <v>33</v>
      </c>
      <c r="C45" s="72" t="str">
        <f>Source!G127</f>
        <v>Трубы гофрированные поливинилхлоридные наружным диаметром 16 мм открыто по стенам и потолкам с установкой соединительных коробок</v>
      </c>
      <c r="D45" s="30" t="s">
        <v>206</v>
      </c>
      <c r="E45" s="73">
        <f>Source!I127</f>
        <v>30</v>
      </c>
      <c r="F45" s="30" t="str">
        <f>Source!U123</f>
        <v/>
      </c>
      <c r="G45" s="30" t="str">
        <f>"=3000/"&amp;"100"</f>
        <v>=3000/100</v>
      </c>
      <c r="H45" s="72"/>
    </row>
    <row r="46" spans="1:8" ht="28.5" x14ac:dyDescent="0.2">
      <c r="A46" s="30">
        <v>34</v>
      </c>
      <c r="B46" s="30" t="str">
        <f>Source!E133</f>
        <v>34</v>
      </c>
      <c r="C46" s="72" t="str">
        <f>Source!G133</f>
        <v>Прокладка по установленным конструкциям, по стенам с креплением скобами стальной трубы диаметром до 25 мм</v>
      </c>
      <c r="D46" s="30" t="s">
        <v>206</v>
      </c>
      <c r="E46" s="73">
        <f>Source!I133</f>
        <v>0.5</v>
      </c>
      <c r="F46" s="30" t="str">
        <f>Source!U123</f>
        <v/>
      </c>
      <c r="G46" s="30" t="str">
        <f>"=50/"&amp;"100"</f>
        <v>=50/100</v>
      </c>
      <c r="H46" s="72"/>
    </row>
    <row r="47" spans="1:8" ht="28.5" x14ac:dyDescent="0.2">
      <c r="A47" s="30">
        <v>35</v>
      </c>
      <c r="B47" s="30" t="str">
        <f>Source!E137</f>
        <v>35</v>
      </c>
      <c r="C47" s="72" t="str">
        <f>Source!G137</f>
        <v>Шнур коммутационный (патч-корд) тип разъемов RJ45 - RJ45, категория 5E, оболочка LSZH, длина 1 м, неэкранированный</v>
      </c>
      <c r="D47" s="30" t="s">
        <v>216</v>
      </c>
      <c r="E47" s="73">
        <f>Source!I137</f>
        <v>2</v>
      </c>
      <c r="F47" s="30" t="str">
        <f>Source!U123</f>
        <v/>
      </c>
      <c r="G47" s="30">
        <f>Source!I137</f>
        <v>2</v>
      </c>
      <c r="H47" s="72"/>
    </row>
    <row r="48" spans="1:8" ht="42.75" x14ac:dyDescent="0.2">
      <c r="A48" s="30">
        <v>36</v>
      </c>
      <c r="B48" s="30" t="str">
        <f>Source!E139</f>
        <v>36</v>
      </c>
      <c r="C48" s="72" t="str">
        <f>Source!G139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48" s="30" t="s">
        <v>206</v>
      </c>
      <c r="E48" s="73">
        <f>Source!I139</f>
        <v>30</v>
      </c>
      <c r="F48" s="30" t="str">
        <f>Source!U123</f>
        <v/>
      </c>
      <c r="G48" s="30" t="str">
        <f>"=3000/"&amp;"100"</f>
        <v>=3000/100</v>
      </c>
      <c r="H48" s="72"/>
    </row>
    <row r="49" spans="1:8" ht="57" x14ac:dyDescent="0.2">
      <c r="A49" s="30">
        <v>37</v>
      </c>
      <c r="B49" s="30" t="str">
        <f>Source!E141</f>
        <v>37</v>
      </c>
      <c r="C49" s="72" t="str">
        <f>Source!G141</f>
        <v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v>
      </c>
      <c r="D49" s="30" t="s">
        <v>206</v>
      </c>
      <c r="E49" s="73">
        <f>Source!I141</f>
        <v>2</v>
      </c>
      <c r="F49" s="30" t="str">
        <f>Source!U123</f>
        <v/>
      </c>
      <c r="G49" s="30" t="str">
        <f>"=(100+"&amp;"100+"&amp;"2500+"&amp;"500-"&amp;"3000)/"&amp;"100"</f>
        <v>=(100+100+2500+500-3000)/100</v>
      </c>
      <c r="H49" s="72"/>
    </row>
    <row r="50" spans="1:8" ht="28.5" x14ac:dyDescent="0.2">
      <c r="A50" s="30">
        <v>38</v>
      </c>
      <c r="B50" s="30" t="str">
        <f>Source!E143</f>
        <v>38</v>
      </c>
      <c r="C50" s="72" t="str">
        <f>Source!G143</f>
        <v>Кабель интерфейса RS-485 Лоутокс 20нг(А)-LSLTx 1x2x0,5</v>
      </c>
      <c r="D50" s="30" t="s">
        <v>240</v>
      </c>
      <c r="E50" s="73">
        <f>Source!I143</f>
        <v>0.10199999999999999</v>
      </c>
      <c r="F50" s="30" t="str">
        <f>Source!U123</f>
        <v/>
      </c>
      <c r="G50" s="30" t="str">
        <f>"=(100*"&amp;"1,02)/"&amp;"1000"</f>
        <v>=(100*1,02)/1000</v>
      </c>
      <c r="H50" s="72"/>
    </row>
    <row r="51" spans="1:8" ht="28.5" x14ac:dyDescent="0.2">
      <c r="A51" s="30">
        <v>39</v>
      </c>
      <c r="B51" s="30" t="str">
        <f>Source!E145</f>
        <v>39</v>
      </c>
      <c r="C51" s="72" t="str">
        <f>Source!G145</f>
        <v>Кавбель КСВВнг(А)-LSLTx 1x2x0,8</v>
      </c>
      <c r="D51" s="30" t="s">
        <v>240</v>
      </c>
      <c r="E51" s="73">
        <f>Source!I145</f>
        <v>0.10199999999999999</v>
      </c>
      <c r="F51" s="30" t="str">
        <f>Source!U123</f>
        <v/>
      </c>
      <c r="G51" s="30" t="str">
        <f>"=(100*"&amp;"1,02)/"&amp;"1000"</f>
        <v>=(100*1,02)/1000</v>
      </c>
      <c r="H51" s="72"/>
    </row>
    <row r="52" spans="1:8" ht="28.5" x14ac:dyDescent="0.2">
      <c r="A52" s="30">
        <v>40</v>
      </c>
      <c r="B52" s="30" t="str">
        <f>Source!E147</f>
        <v>40</v>
      </c>
      <c r="C52" s="72" t="str">
        <f>Source!G147</f>
        <v>Кабель витая пара UTP Cat5e PVCLS 1х2х0,52нг(A)- LSLTx</v>
      </c>
      <c r="D52" s="30" t="s">
        <v>240</v>
      </c>
      <c r="E52" s="73">
        <f>Source!I147</f>
        <v>2.5499999999999998</v>
      </c>
      <c r="F52" s="30" t="str">
        <f>Source!U123</f>
        <v/>
      </c>
      <c r="G52" s="30" t="str">
        <f>"=(2500*"&amp;"1,02)/"&amp;"1000"</f>
        <v>=(2500*1,02)/1000</v>
      </c>
      <c r="H52" s="72"/>
    </row>
    <row r="53" spans="1:8" ht="28.5" x14ac:dyDescent="0.2">
      <c r="A53" s="29">
        <v>41</v>
      </c>
      <c r="B53" s="29" t="str">
        <f>Source!E149</f>
        <v>41</v>
      </c>
      <c r="C53" s="70" t="str">
        <f>Source!G149</f>
        <v>Кабель витая пара UTP Cat5e PVCLS 4х2х0,52нг(A)- LSLTx</v>
      </c>
      <c r="D53" s="29" t="s">
        <v>240</v>
      </c>
      <c r="E53" s="71">
        <f>Source!I149</f>
        <v>0.51</v>
      </c>
      <c r="F53" s="29" t="str">
        <f>Source!U123</f>
        <v/>
      </c>
      <c r="G53" s="29" t="str">
        <f>"=(500*"&amp;"1,02)/"&amp;"1000"</f>
        <v>=(500*1,02)/1000</v>
      </c>
      <c r="H53" s="70"/>
    </row>
    <row r="56" spans="1:8" ht="15" x14ac:dyDescent="0.25">
      <c r="C56" s="74" t="s">
        <v>481</v>
      </c>
      <c r="D56" s="74" t="str">
        <f>IF(Source!X12&lt;&gt;"", Source!X12," ")</f>
        <v xml:space="preserve"> </v>
      </c>
      <c r="E56" s="75"/>
    </row>
    <row r="57" spans="1:8" ht="15" x14ac:dyDescent="0.25">
      <c r="C57" s="11"/>
      <c r="D57" s="75"/>
      <c r="E57" s="75"/>
    </row>
    <row r="58" spans="1:8" ht="15" x14ac:dyDescent="0.25">
      <c r="C58" s="76" t="s">
        <v>482</v>
      </c>
      <c r="D58" s="76" t="str">
        <f>IF(Source!AB12&lt;&gt;"", Source!AB12," ")</f>
        <v>Соколова И.Н.</v>
      </c>
      <c r="E58" s="75"/>
    </row>
  </sheetData>
  <mergeCells count="5">
    <mergeCell ref="B4:E4"/>
    <mergeCell ref="B5:E5"/>
    <mergeCell ref="A10:H10"/>
    <mergeCell ref="A11:H11"/>
    <mergeCell ref="A44:H44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259"/>
  <sheetViews>
    <sheetView workbookViewId="0">
      <selection activeCell="A255" sqref="A255:AX255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251</v>
      </c>
      <c r="C12" s="1">
        <v>0</v>
      </c>
      <c r="D12" s="1">
        <f>ROW(A212)</f>
        <v>212</v>
      </c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B212</f>
        <v>251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/>
      </c>
      <c r="G18" s="3" t="str">
        <f t="shared" si="0"/>
        <v>02-01-16 СОС</v>
      </c>
      <c r="H18" s="3"/>
      <c r="I18" s="3"/>
      <c r="J18" s="3"/>
      <c r="K18" s="3"/>
      <c r="L18" s="3"/>
      <c r="M18" s="3"/>
      <c r="N18" s="3"/>
      <c r="O18" s="3">
        <f t="shared" ref="O18:AT18" si="1">O212</f>
        <v>116647.27</v>
      </c>
      <c r="P18" s="3">
        <f t="shared" si="1"/>
        <v>101836.17</v>
      </c>
      <c r="Q18" s="3">
        <f t="shared" si="1"/>
        <v>1534.51</v>
      </c>
      <c r="R18" s="3">
        <f t="shared" si="1"/>
        <v>330.33</v>
      </c>
      <c r="S18" s="3">
        <f t="shared" si="1"/>
        <v>13276.59</v>
      </c>
      <c r="T18" s="3">
        <f t="shared" si="1"/>
        <v>0</v>
      </c>
      <c r="U18" s="3">
        <f t="shared" si="1"/>
        <v>1038.1040283900002</v>
      </c>
      <c r="V18" s="3">
        <f t="shared" si="1"/>
        <v>0</v>
      </c>
      <c r="W18" s="3">
        <f t="shared" si="1"/>
        <v>0</v>
      </c>
      <c r="X18" s="3">
        <f t="shared" si="1"/>
        <v>12879.64</v>
      </c>
      <c r="Y18" s="3">
        <f t="shared" si="1"/>
        <v>6719.35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66780.09</v>
      </c>
      <c r="AQ18" s="3">
        <f t="shared" si="1"/>
        <v>0</v>
      </c>
      <c r="AR18" s="3">
        <f t="shared" si="1"/>
        <v>136246.26</v>
      </c>
      <c r="AS18" s="3">
        <f t="shared" si="1"/>
        <v>0</v>
      </c>
      <c r="AT18" s="3">
        <f t="shared" si="1"/>
        <v>69466.17</v>
      </c>
      <c r="AU18" s="3">
        <f t="shared" ref="AU18:BZ18" si="2">AU212</f>
        <v>0</v>
      </c>
      <c r="AV18" s="3">
        <f t="shared" si="2"/>
        <v>101836.17</v>
      </c>
      <c r="AW18" s="3">
        <f t="shared" si="2"/>
        <v>35056.080000000002</v>
      </c>
      <c r="AX18" s="3">
        <f t="shared" si="2"/>
        <v>0</v>
      </c>
      <c r="AY18" s="3">
        <f t="shared" si="2"/>
        <v>35056.080000000002</v>
      </c>
      <c r="AZ18" s="3">
        <f t="shared" si="2"/>
        <v>66780.09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CA212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DG212</f>
        <v>1548680.28</v>
      </c>
      <c r="DH18" s="4">
        <f t="shared" si="4"/>
        <v>788224.56</v>
      </c>
      <c r="DI18" s="4">
        <f t="shared" si="4"/>
        <v>30376.05</v>
      </c>
      <c r="DJ18" s="4">
        <f t="shared" si="4"/>
        <v>18164.849999999999</v>
      </c>
      <c r="DK18" s="4">
        <f t="shared" si="4"/>
        <v>730079.67</v>
      </c>
      <c r="DL18" s="4">
        <f t="shared" si="4"/>
        <v>0</v>
      </c>
      <c r="DM18" s="4">
        <f t="shared" si="4"/>
        <v>1038.1040283900002</v>
      </c>
      <c r="DN18" s="4">
        <f t="shared" si="4"/>
        <v>0</v>
      </c>
      <c r="DO18" s="4">
        <f t="shared" si="4"/>
        <v>0</v>
      </c>
      <c r="DP18" s="4">
        <f t="shared" si="4"/>
        <v>708251.6</v>
      </c>
      <c r="DQ18" s="4">
        <f t="shared" si="4"/>
        <v>369496.3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511509.3</v>
      </c>
      <c r="EI18" s="4">
        <f t="shared" si="4"/>
        <v>0</v>
      </c>
      <c r="EJ18" s="4">
        <f t="shared" si="4"/>
        <v>2626428.1800000002</v>
      </c>
      <c r="EK18" s="4">
        <f t="shared" si="4"/>
        <v>0</v>
      </c>
      <c r="EL18" s="4">
        <f t="shared" si="4"/>
        <v>2114918.88</v>
      </c>
      <c r="EM18" s="4">
        <f t="shared" ref="EM18:FR18" si="5">EM212</f>
        <v>0</v>
      </c>
      <c r="EN18" s="4">
        <f t="shared" si="5"/>
        <v>788224.56</v>
      </c>
      <c r="EO18" s="4">
        <f t="shared" si="5"/>
        <v>276715.26</v>
      </c>
      <c r="EP18" s="4">
        <f t="shared" si="5"/>
        <v>0</v>
      </c>
      <c r="EQ18" s="4">
        <f t="shared" si="5"/>
        <v>276715.26</v>
      </c>
      <c r="ER18" s="4">
        <f t="shared" si="5"/>
        <v>511509.3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FS212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ROW(A182)</f>
        <v>182</v>
      </c>
      <c r="E20" s="1"/>
      <c r="F20" s="1" t="s">
        <v>15</v>
      </c>
      <c r="G20" s="1" t="s">
        <v>16</v>
      </c>
      <c r="H20" s="1" t="s">
        <v>3</v>
      </c>
      <c r="I20" s="1">
        <v>0</v>
      </c>
      <c r="J20" s="1" t="s">
        <v>6</v>
      </c>
      <c r="K20" s="1">
        <v>-1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B182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02-01-16</v>
      </c>
      <c r="G22" s="3" t="str">
        <f t="shared" si="7"/>
        <v>Система охранно-тревожной сигнализации</v>
      </c>
      <c r="H22" s="3"/>
      <c r="I22" s="3"/>
      <c r="J22" s="3"/>
      <c r="K22" s="3"/>
      <c r="L22" s="3"/>
      <c r="M22" s="3"/>
      <c r="N22" s="3"/>
      <c r="O22" s="3">
        <f t="shared" ref="O22:AT22" si="8">O182</f>
        <v>116647.27</v>
      </c>
      <c r="P22" s="3">
        <f t="shared" si="8"/>
        <v>101836.17</v>
      </c>
      <c r="Q22" s="3">
        <f t="shared" si="8"/>
        <v>1534.51</v>
      </c>
      <c r="R22" s="3">
        <f t="shared" si="8"/>
        <v>330.33</v>
      </c>
      <c r="S22" s="3">
        <f t="shared" si="8"/>
        <v>13276.59</v>
      </c>
      <c r="T22" s="3">
        <f t="shared" si="8"/>
        <v>0</v>
      </c>
      <c r="U22" s="3">
        <f t="shared" si="8"/>
        <v>1038.1040283900002</v>
      </c>
      <c r="V22" s="3">
        <f t="shared" si="8"/>
        <v>0</v>
      </c>
      <c r="W22" s="3">
        <f t="shared" si="8"/>
        <v>0</v>
      </c>
      <c r="X22" s="3">
        <f t="shared" si="8"/>
        <v>12879.64</v>
      </c>
      <c r="Y22" s="3">
        <f t="shared" si="8"/>
        <v>6719.35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66780.09</v>
      </c>
      <c r="AQ22" s="3">
        <f t="shared" si="8"/>
        <v>0</v>
      </c>
      <c r="AR22" s="3">
        <f t="shared" si="8"/>
        <v>136246.26</v>
      </c>
      <c r="AS22" s="3">
        <f t="shared" si="8"/>
        <v>0</v>
      </c>
      <c r="AT22" s="3">
        <f t="shared" si="8"/>
        <v>69466.17</v>
      </c>
      <c r="AU22" s="3">
        <f t="shared" ref="AU22:BZ22" si="9">AU182</f>
        <v>0</v>
      </c>
      <c r="AV22" s="3">
        <f t="shared" si="9"/>
        <v>101836.17</v>
      </c>
      <c r="AW22" s="3">
        <f t="shared" si="9"/>
        <v>35056.080000000002</v>
      </c>
      <c r="AX22" s="3">
        <f t="shared" si="9"/>
        <v>0</v>
      </c>
      <c r="AY22" s="3">
        <f t="shared" si="9"/>
        <v>35056.080000000002</v>
      </c>
      <c r="AZ22" s="3">
        <f t="shared" si="9"/>
        <v>66780.09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CA182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DG182</f>
        <v>1548680.28</v>
      </c>
      <c r="DH22" s="4">
        <f t="shared" si="11"/>
        <v>788224.56</v>
      </c>
      <c r="DI22" s="4">
        <f t="shared" si="11"/>
        <v>30376.05</v>
      </c>
      <c r="DJ22" s="4">
        <f t="shared" si="11"/>
        <v>18164.849999999999</v>
      </c>
      <c r="DK22" s="4">
        <f t="shared" si="11"/>
        <v>730079.67</v>
      </c>
      <c r="DL22" s="4">
        <f t="shared" si="11"/>
        <v>0</v>
      </c>
      <c r="DM22" s="4">
        <f t="shared" si="11"/>
        <v>1038.1040283900002</v>
      </c>
      <c r="DN22" s="4">
        <f t="shared" si="11"/>
        <v>0</v>
      </c>
      <c r="DO22" s="4">
        <f t="shared" si="11"/>
        <v>0</v>
      </c>
      <c r="DP22" s="4">
        <f t="shared" si="11"/>
        <v>708251.6</v>
      </c>
      <c r="DQ22" s="4">
        <f t="shared" si="11"/>
        <v>369496.3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511509.3</v>
      </c>
      <c r="EI22" s="4">
        <f t="shared" si="11"/>
        <v>0</v>
      </c>
      <c r="EJ22" s="4">
        <f t="shared" si="11"/>
        <v>2626428.1800000002</v>
      </c>
      <c r="EK22" s="4">
        <f t="shared" si="11"/>
        <v>0</v>
      </c>
      <c r="EL22" s="4">
        <f t="shared" si="11"/>
        <v>2114918.88</v>
      </c>
      <c r="EM22" s="4">
        <f t="shared" ref="EM22:FR22" si="12">EM182</f>
        <v>0</v>
      </c>
      <c r="EN22" s="4">
        <f t="shared" si="12"/>
        <v>788224.56</v>
      </c>
      <c r="EO22" s="4">
        <f t="shared" si="12"/>
        <v>276715.26</v>
      </c>
      <c r="EP22" s="4">
        <f t="shared" si="12"/>
        <v>0</v>
      </c>
      <c r="EQ22" s="4">
        <f t="shared" si="12"/>
        <v>276715.26</v>
      </c>
      <c r="ER22" s="4">
        <f t="shared" si="12"/>
        <v>511509.3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FS182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ROW(A93)</f>
        <v>93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B93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Оборудование</v>
      </c>
      <c r="H26" s="3"/>
      <c r="I26" s="3"/>
      <c r="J26" s="3"/>
      <c r="K26" s="3"/>
      <c r="L26" s="3"/>
      <c r="M26" s="3"/>
      <c r="N26" s="3"/>
      <c r="O26" s="3">
        <f t="shared" ref="O26:AT26" si="15">O93</f>
        <v>71809.67</v>
      </c>
      <c r="P26" s="3">
        <f t="shared" si="15"/>
        <v>67074.95</v>
      </c>
      <c r="Q26" s="3">
        <f t="shared" si="15"/>
        <v>3.4</v>
      </c>
      <c r="R26" s="3">
        <f t="shared" si="15"/>
        <v>0.32</v>
      </c>
      <c r="S26" s="3">
        <f t="shared" si="15"/>
        <v>4731.32</v>
      </c>
      <c r="T26" s="3">
        <f t="shared" si="15"/>
        <v>0</v>
      </c>
      <c r="U26" s="3">
        <f t="shared" si="15"/>
        <v>366.82416639000002</v>
      </c>
      <c r="V26" s="3">
        <f t="shared" si="15"/>
        <v>0</v>
      </c>
      <c r="W26" s="3">
        <f t="shared" si="15"/>
        <v>0</v>
      </c>
      <c r="X26" s="3">
        <f t="shared" si="15"/>
        <v>4270.62</v>
      </c>
      <c r="Y26" s="3">
        <f t="shared" si="15"/>
        <v>2192.9499999999998</v>
      </c>
      <c r="Z26" s="3">
        <f t="shared" si="15"/>
        <v>0</v>
      </c>
      <c r="AA26" s="3">
        <f t="shared" si="15"/>
        <v>0</v>
      </c>
      <c r="AB26" s="3">
        <f t="shared" si="15"/>
        <v>71809.67</v>
      </c>
      <c r="AC26" s="3">
        <f t="shared" si="15"/>
        <v>67074.95</v>
      </c>
      <c r="AD26" s="3">
        <f t="shared" si="15"/>
        <v>3.4</v>
      </c>
      <c r="AE26" s="3">
        <f t="shared" si="15"/>
        <v>0.32</v>
      </c>
      <c r="AF26" s="3">
        <f t="shared" si="15"/>
        <v>4731.32</v>
      </c>
      <c r="AG26" s="3">
        <f t="shared" si="15"/>
        <v>0</v>
      </c>
      <c r="AH26" s="3">
        <f t="shared" si="15"/>
        <v>366.82416639000002</v>
      </c>
      <c r="AI26" s="3">
        <f t="shared" si="15"/>
        <v>0</v>
      </c>
      <c r="AJ26" s="3">
        <f t="shared" si="15"/>
        <v>0</v>
      </c>
      <c r="AK26" s="3">
        <f t="shared" si="15"/>
        <v>4270.62</v>
      </c>
      <c r="AL26" s="3">
        <f t="shared" si="15"/>
        <v>2192.9499999999998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66748.509999999995</v>
      </c>
      <c r="AQ26" s="3">
        <f t="shared" si="15"/>
        <v>0</v>
      </c>
      <c r="AR26" s="3">
        <f t="shared" si="15"/>
        <v>78273.240000000005</v>
      </c>
      <c r="AS26" s="3">
        <f t="shared" si="15"/>
        <v>0</v>
      </c>
      <c r="AT26" s="3">
        <f t="shared" si="15"/>
        <v>11524.73</v>
      </c>
      <c r="AU26" s="3">
        <f t="shared" ref="AU26:BZ26" si="16">AU93</f>
        <v>0</v>
      </c>
      <c r="AV26" s="3">
        <f t="shared" si="16"/>
        <v>67074.95</v>
      </c>
      <c r="AW26" s="3">
        <f t="shared" si="16"/>
        <v>326.44</v>
      </c>
      <c r="AX26" s="3">
        <f t="shared" si="16"/>
        <v>0</v>
      </c>
      <c r="AY26" s="3">
        <f t="shared" si="16"/>
        <v>326.44</v>
      </c>
      <c r="AZ26" s="3">
        <f t="shared" si="16"/>
        <v>66748.509999999995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66748.509999999995</v>
      </c>
      <c r="BZ26" s="3">
        <f t="shared" si="16"/>
        <v>0</v>
      </c>
      <c r="CA26" s="3">
        <f t="shared" ref="CA26:DF26" si="17">CA93</f>
        <v>78273.240000000005</v>
      </c>
      <c r="CB26" s="3">
        <f t="shared" si="17"/>
        <v>0</v>
      </c>
      <c r="CC26" s="3">
        <f t="shared" si="17"/>
        <v>11524.73</v>
      </c>
      <c r="CD26" s="3">
        <f t="shared" si="17"/>
        <v>0</v>
      </c>
      <c r="CE26" s="3">
        <f t="shared" si="17"/>
        <v>67074.95</v>
      </c>
      <c r="CF26" s="3">
        <f t="shared" si="17"/>
        <v>326.44000000000233</v>
      </c>
      <c r="CG26" s="3">
        <f t="shared" si="17"/>
        <v>0</v>
      </c>
      <c r="CH26" s="3">
        <f t="shared" si="17"/>
        <v>326.44000000000233</v>
      </c>
      <c r="CI26" s="3">
        <f t="shared" si="17"/>
        <v>66748.509999999995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DG93</f>
        <v>774800.87</v>
      </c>
      <c r="DH26" s="4">
        <f t="shared" si="18"/>
        <v>514577.1</v>
      </c>
      <c r="DI26" s="4">
        <f t="shared" si="18"/>
        <v>48.5</v>
      </c>
      <c r="DJ26" s="4">
        <f t="shared" si="18"/>
        <v>17.600000000000001</v>
      </c>
      <c r="DK26" s="4">
        <f t="shared" si="18"/>
        <v>260175.27</v>
      </c>
      <c r="DL26" s="4">
        <f t="shared" si="18"/>
        <v>0</v>
      </c>
      <c r="DM26" s="4">
        <f t="shared" si="18"/>
        <v>366.82416639000002</v>
      </c>
      <c r="DN26" s="4">
        <f t="shared" si="18"/>
        <v>0</v>
      </c>
      <c r="DO26" s="4">
        <f t="shared" si="18"/>
        <v>0</v>
      </c>
      <c r="DP26" s="4">
        <f t="shared" si="18"/>
        <v>234841.5</v>
      </c>
      <c r="DQ26" s="4">
        <f t="shared" si="18"/>
        <v>120589.95</v>
      </c>
      <c r="DR26" s="4">
        <f t="shared" si="18"/>
        <v>0</v>
      </c>
      <c r="DS26" s="4">
        <f t="shared" si="18"/>
        <v>0</v>
      </c>
      <c r="DT26" s="4">
        <f t="shared" si="18"/>
        <v>774800.87</v>
      </c>
      <c r="DU26" s="4">
        <f t="shared" si="18"/>
        <v>514577.1</v>
      </c>
      <c r="DV26" s="4">
        <f t="shared" si="18"/>
        <v>48.5</v>
      </c>
      <c r="DW26" s="4">
        <f t="shared" si="18"/>
        <v>17.600000000000001</v>
      </c>
      <c r="DX26" s="4">
        <f t="shared" si="18"/>
        <v>260175.27</v>
      </c>
      <c r="DY26" s="4">
        <f t="shared" si="18"/>
        <v>0</v>
      </c>
      <c r="DZ26" s="4">
        <f t="shared" si="18"/>
        <v>366.82416639000002</v>
      </c>
      <c r="EA26" s="4">
        <f t="shared" si="18"/>
        <v>0</v>
      </c>
      <c r="EB26" s="4">
        <f t="shared" si="18"/>
        <v>0</v>
      </c>
      <c r="EC26" s="4">
        <f t="shared" si="18"/>
        <v>234841.5</v>
      </c>
      <c r="ED26" s="4">
        <f t="shared" si="18"/>
        <v>120589.95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511293.61</v>
      </c>
      <c r="EI26" s="4">
        <f t="shared" si="18"/>
        <v>0</v>
      </c>
      <c r="EJ26" s="4">
        <f t="shared" si="18"/>
        <v>1130232.3200000001</v>
      </c>
      <c r="EK26" s="4">
        <f t="shared" si="18"/>
        <v>0</v>
      </c>
      <c r="EL26" s="4">
        <f t="shared" si="18"/>
        <v>618938.71</v>
      </c>
      <c r="EM26" s="4">
        <f t="shared" ref="EM26:FR26" si="19">EM93</f>
        <v>0</v>
      </c>
      <c r="EN26" s="4">
        <f t="shared" si="19"/>
        <v>514577.1</v>
      </c>
      <c r="EO26" s="4">
        <f t="shared" si="19"/>
        <v>3283.49</v>
      </c>
      <c r="EP26" s="4">
        <f t="shared" si="19"/>
        <v>0</v>
      </c>
      <c r="EQ26" s="4">
        <f t="shared" si="19"/>
        <v>3283.49</v>
      </c>
      <c r="ER26" s="4">
        <f t="shared" si="19"/>
        <v>511293.61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511293.61</v>
      </c>
      <c r="FR26" s="4">
        <f t="shared" si="19"/>
        <v>0</v>
      </c>
      <c r="FS26" s="4">
        <f t="shared" ref="FS26:GX26" si="20">FS93</f>
        <v>1130232.3200000001</v>
      </c>
      <c r="FT26" s="4">
        <f t="shared" si="20"/>
        <v>0</v>
      </c>
      <c r="FU26" s="4">
        <f t="shared" si="20"/>
        <v>618938.71</v>
      </c>
      <c r="FV26" s="4">
        <f t="shared" si="20"/>
        <v>0</v>
      </c>
      <c r="FW26" s="4">
        <f t="shared" si="20"/>
        <v>514577.1</v>
      </c>
      <c r="FX26" s="4">
        <f t="shared" si="20"/>
        <v>3283.4899999999907</v>
      </c>
      <c r="FY26" s="4">
        <f t="shared" si="20"/>
        <v>0</v>
      </c>
      <c r="FZ26" s="4">
        <f t="shared" si="20"/>
        <v>3283.4899999999907</v>
      </c>
      <c r="GA26" s="4">
        <f t="shared" si="20"/>
        <v>511293.61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ROW(SmtRes!A5)</f>
        <v>5</v>
      </c>
      <c r="D28" s="2">
        <f>ROW(EtalonRes!A7)</f>
        <v>7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59" si="21">ROUND(CP28,2)</f>
        <v>136.61000000000001</v>
      </c>
      <c r="P28" s="2">
        <f>ROUND((ROUND((AC28*AW28*I28),2)*BC28),2)</f>
        <v>34.869999999999997</v>
      </c>
      <c r="Q28" s="2">
        <f>(ROUND((ROUND((((ET28*1.1))*AV28*I28),2)*BB28),2)+ROUND((ROUND(((AE28-((EU28*1.1)))*AV28*I28),2)*BS28),2))</f>
        <v>0</v>
      </c>
      <c r="R28" s="2">
        <f>(ROUND((ROUND((((EU28*1.1))*AV28*I28),2)*BS28),2)+ROUND((ROUND(((AE28-((EU28*1.1)))*AV28*I28),2)*BS28),2))</f>
        <v>0</v>
      </c>
      <c r="S28" s="2">
        <f t="shared" ref="S28:S59" si="22">ROUND((ROUND((AF28*AV28*I28),2)*BA28),2)</f>
        <v>101.74</v>
      </c>
      <c r="T28" s="2">
        <f t="shared" ref="T28:T59" si="23">ROUND(CU28*I28,2)</f>
        <v>0</v>
      </c>
      <c r="U28" s="2">
        <f t="shared" ref="U28:U59" si="24">CV28*I28</f>
        <v>8.0619000000000014</v>
      </c>
      <c r="V28" s="2">
        <f t="shared" ref="V28:V59" si="25">CW28*I28</f>
        <v>0</v>
      </c>
      <c r="W28" s="2">
        <f t="shared" ref="W28:W59" si="26">ROUND(CX28*I28,2)</f>
        <v>0</v>
      </c>
      <c r="X28" s="2">
        <f>(ROUND((((S28+ROUND((ROUND((((EU28*1.1))*AV28*I28),2)*BS28),2))*AT28)/100),2)+ROUND(((ROUND((ROUND(((AE28-((EU28*1.1)))*AV28*I28),2)*BS28),2)*AT28)/100),2))</f>
        <v>96.65</v>
      </c>
      <c r="Y28" s="2">
        <f>(ROUND((((S28+ROUND((ROUND((((EU28*1.1))*AV28*I28),2)*BS28),2))*AU28)/100),2)+ROUND(((ROUND((ROUND(((AE28-((EU28*1.1)))*AV28*I28),2)*BS28),2)*AU28)/100),2))</f>
        <v>53.92</v>
      </c>
      <c r="Z28" s="2"/>
      <c r="AA28" s="2">
        <v>60258621</v>
      </c>
      <c r="AB28" s="2">
        <f t="shared" ref="AB28:AB59" si="27">ROUND((AC28+AD28+AF28),6)</f>
        <v>132.04400000000001</v>
      </c>
      <c r="AC28" s="2">
        <f>ROUND(((ES28*1)),6)</f>
        <v>34.869999999999997</v>
      </c>
      <c r="AD28" s="2">
        <f>ROUND(((((ET28*1.1))-((EU28*1.1)))+AE28),6)</f>
        <v>0</v>
      </c>
      <c r="AE28" s="2">
        <f>ROUND(((EU28*1.1)),6)</f>
        <v>0</v>
      </c>
      <c r="AF28" s="2">
        <f>ROUND(((EV28*1.1)),6)</f>
        <v>97.174000000000007</v>
      </c>
      <c r="AG28" s="2">
        <f t="shared" ref="AG28:AG59" si="28">ROUND((AP28),6)</f>
        <v>0</v>
      </c>
      <c r="AH28" s="2">
        <f>((EW28*1.1))</f>
        <v>7.7000000000000011</v>
      </c>
      <c r="AI28" s="2">
        <f>((EX28*1.1))</f>
        <v>0</v>
      </c>
      <c r="AJ28" s="2">
        <f t="shared" ref="AJ28:AJ59" si="29">(AS28)</f>
        <v>0</v>
      </c>
      <c r="AK28" s="2">
        <v>123.21</v>
      </c>
      <c r="AL28" s="2">
        <v>34.869999999999997</v>
      </c>
      <c r="AM28" s="2">
        <v>0</v>
      </c>
      <c r="AN28" s="2">
        <v>0</v>
      </c>
      <c r="AO28" s="2">
        <v>88.34</v>
      </c>
      <c r="AP28" s="2">
        <v>0</v>
      </c>
      <c r="AQ28" s="2">
        <v>7</v>
      </c>
      <c r="AR28" s="2">
        <v>0</v>
      </c>
      <c r="AS28" s="2">
        <v>0</v>
      </c>
      <c r="AT28" s="2">
        <v>95</v>
      </c>
      <c r="AU28" s="2">
        <v>53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22</v>
      </c>
      <c r="BK28" s="2"/>
      <c r="BL28" s="2"/>
      <c r="BM28" s="2">
        <v>69</v>
      </c>
      <c r="BN28" s="2">
        <v>58973116</v>
      </c>
      <c r="BO28" s="2" t="s">
        <v>19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95</v>
      </c>
      <c r="CA28" s="2">
        <v>53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407</v>
      </c>
      <c r="CO28" s="2">
        <v>0</v>
      </c>
      <c r="CP28" s="2">
        <f t="shared" ref="CP28:CP59" si="30">(P28+Q28+S28)</f>
        <v>136.60999999999999</v>
      </c>
      <c r="CQ28" s="2">
        <f>ROUND((ROUND((AC28*AW28*1),2)*BC28),2)</f>
        <v>34.869999999999997</v>
      </c>
      <c r="CR28" s="2">
        <f>(ROUND((ROUND((((ET28*1.1))*AV28*1),2)*BB28),2)+ROUND((ROUND(((AE28-((EU28*1.1)))*AV28*1),2)*BS28),2))</f>
        <v>0</v>
      </c>
      <c r="CS28" s="2">
        <f>(ROUND((ROUND((((EU28*1.1))*AV28*1),2)*BS28),2)+ROUND((ROUND(((AE28-((EU28*1.1)))*AV28*1),2)*BS28),2))</f>
        <v>0</v>
      </c>
      <c r="CT28" s="2">
        <f t="shared" ref="CT28:CT59" si="31">ROUND((ROUND((AF28*AV28*1),2)*BA28),2)</f>
        <v>101.74</v>
      </c>
      <c r="CU28" s="2">
        <f t="shared" ref="CU28:CU59" si="32">AG28</f>
        <v>0</v>
      </c>
      <c r="CV28" s="2">
        <f t="shared" ref="CV28:CV59" si="33">(AH28*AV28)</f>
        <v>8.0619000000000014</v>
      </c>
      <c r="CW28" s="2">
        <f t="shared" ref="CW28:CW59" si="34">AI28</f>
        <v>0</v>
      </c>
      <c r="CX28" s="2">
        <f t="shared" ref="CX28:CX59" si="35">AJ28</f>
        <v>0</v>
      </c>
      <c r="CY28" s="2">
        <f>(ROUND((((S28+ROUND((ROUND((((EU28*1.1))*AV28*1),2)*BS28),2))*AT28)/100),2)+ROUND(((ROUND((ROUND(((AE28-((EU28*1.1)))*AV28*1),2)*BS28),2)*AT28)/100),2))</f>
        <v>96.65</v>
      </c>
      <c r="CZ28" s="2">
        <f>(ROUND((((S28+ROUND((ROUND((((EU28*1.1))*AV28*1),2)*BS28),2))*AU28)/100),2)+ROUND(((ROUND((ROUND(((AE28-((EU28*1.1)))*AV28*1),2)*BS28),2)*AU28)/100),2))</f>
        <v>53.92</v>
      </c>
      <c r="DA28" s="2"/>
      <c r="DB28" s="2">
        <v>1</v>
      </c>
      <c r="DC28" s="2" t="s">
        <v>3</v>
      </c>
      <c r="DD28" s="2" t="s">
        <v>23</v>
      </c>
      <c r="DE28" s="2" t="s">
        <v>24</v>
      </c>
      <c r="DF28" s="2" t="s">
        <v>24</v>
      </c>
      <c r="DG28" s="2" t="s">
        <v>24</v>
      </c>
      <c r="DH28" s="2" t="s">
        <v>3</v>
      </c>
      <c r="DI28" s="2" t="s">
        <v>24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60088533</v>
      </c>
      <c r="EF28" s="2">
        <v>40</v>
      </c>
      <c r="EG28" s="2" t="s">
        <v>25</v>
      </c>
      <c r="EH28" s="2">
        <v>0</v>
      </c>
      <c r="EI28" s="2" t="s">
        <v>3</v>
      </c>
      <c r="EJ28" s="2">
        <v>2</v>
      </c>
      <c r="EK28" s="2">
        <v>69</v>
      </c>
      <c r="EL28" s="2" t="s">
        <v>26</v>
      </c>
      <c r="EM28" s="2" t="s">
        <v>27</v>
      </c>
      <c r="EN28" s="2"/>
      <c r="EO28" s="2" t="s">
        <v>28</v>
      </c>
      <c r="EP28" s="2"/>
      <c r="EQ28" s="2">
        <v>0</v>
      </c>
      <c r="ER28" s="2">
        <v>123.21</v>
      </c>
      <c r="ES28" s="2">
        <v>34.869999999999997</v>
      </c>
      <c r="ET28" s="2">
        <v>0</v>
      </c>
      <c r="EU28" s="2">
        <v>0</v>
      </c>
      <c r="EV28" s="2">
        <v>88.34</v>
      </c>
      <c r="EW28" s="2">
        <v>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95</v>
      </c>
      <c r="FY28" s="2">
        <v>53</v>
      </c>
      <c r="FZ28" s="2"/>
      <c r="GA28" s="2" t="s">
        <v>3</v>
      </c>
      <c r="GB28" s="2"/>
      <c r="GC28" s="2"/>
      <c r="GD28" s="2">
        <v>1</v>
      </c>
      <c r="GE28" s="2"/>
      <c r="GF28" s="2">
        <v>1652728637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36">ROUND(IF(AND(BH28=3,BI28=3,FS28&lt;&gt;0),P28,0),2)</f>
        <v>0</v>
      </c>
      <c r="GM28" s="2">
        <f t="shared" ref="GM28:GM59" si="37">ROUND(O28+X28+Y28,2)+GX28</f>
        <v>287.18</v>
      </c>
      <c r="GN28" s="2">
        <f t="shared" ref="GN28:GN59" si="38">IF(OR(BI28=0,BI28=1),GM28-GX28,0)</f>
        <v>0</v>
      </c>
      <c r="GO28" s="2">
        <f t="shared" ref="GO28:GO59" si="39">IF(BI28=2,GM28-GX28,0)</f>
        <v>287.18</v>
      </c>
      <c r="GP28" s="2">
        <f t="shared" ref="GP28:GP59" si="40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41">ROUND((GT28),6)</f>
        <v>0</v>
      </c>
      <c r="GW28" s="2">
        <v>1</v>
      </c>
      <c r="GX28" s="2">
        <f t="shared" ref="GX28:GX59" si="42">ROUND(HC28*I28,2)</f>
        <v>0</v>
      </c>
      <c r="GY28" s="2"/>
      <c r="GZ28" s="2"/>
      <c r="HA28" s="2">
        <v>0</v>
      </c>
      <c r="HB28" s="2">
        <v>0</v>
      </c>
      <c r="HC28" s="2">
        <f t="shared" ref="HC28:HC59" si="43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ROW(SmtRes!A10)</f>
        <v>10</v>
      </c>
      <c r="D29">
        <f>ROW(EtalonRes!A14)</f>
        <v>14</v>
      </c>
      <c r="E29" t="s">
        <v>18</v>
      </c>
      <c r="F29" t="s">
        <v>19</v>
      </c>
      <c r="G29" t="s">
        <v>20</v>
      </c>
      <c r="H29" t="s">
        <v>21</v>
      </c>
      <c r="I29">
        <v>1</v>
      </c>
      <c r="J29">
        <v>0</v>
      </c>
      <c r="K29">
        <v>1</v>
      </c>
      <c r="O29">
        <f t="shared" si="21"/>
        <v>5990.45</v>
      </c>
      <c r="P29">
        <f>ROUND((ROUND((AC29*AW29*I29),2)*BC29),2)</f>
        <v>395.77</v>
      </c>
      <c r="Q29">
        <f>(ROUND((ROUND((((ET29*1.1))*AV29*I29),2)*BB29),2)+ROUND((ROUND(((AE29-((EU29*1.1)))*AV29*I29),2)*BS29),2))</f>
        <v>0</v>
      </c>
      <c r="R29">
        <f>(ROUND((ROUND((((EU29*1.1))*AV29*I29),2)*BS29),2)+ROUND((ROUND(((AE29-((EU29*1.1)))*AV29*I29),2)*BS29),2))</f>
        <v>0</v>
      </c>
      <c r="S29">
        <f t="shared" si="22"/>
        <v>5594.68</v>
      </c>
      <c r="T29">
        <f t="shared" si="23"/>
        <v>0</v>
      </c>
      <c r="U29">
        <f t="shared" si="24"/>
        <v>8.0619000000000014</v>
      </c>
      <c r="V29">
        <f t="shared" si="25"/>
        <v>0</v>
      </c>
      <c r="W29">
        <f t="shared" si="26"/>
        <v>0</v>
      </c>
      <c r="X29">
        <f>(ROUND((((S29+ROUND((ROUND((((EU29*1.1))*AV29*I29),2)*BS29),2))*AT29)/100),2)+ROUND(((ROUND((ROUND(((AE29-((EU29*1.1)))*AV29*I29),2)*BS29),2)*AT29)/100),2))</f>
        <v>5314.95</v>
      </c>
      <c r="Y29">
        <f>(ROUND((((S29+ROUND((ROUND((((EU29*1.1))*AV29*I29),2)*BS29),2))*AU29)/100),2)+ROUND(((ROUND((ROUND(((AE29-((EU29*1.1)))*AV29*I29),2)*BS29),2)*AU29)/100),2))</f>
        <v>2965.18</v>
      </c>
      <c r="AA29">
        <v>60258618</v>
      </c>
      <c r="AB29">
        <f t="shared" si="27"/>
        <v>132.04400000000001</v>
      </c>
      <c r="AC29">
        <f>ROUND(((ES29*1)),6)</f>
        <v>34.869999999999997</v>
      </c>
      <c r="AD29">
        <f>ROUND(((((ET29*1.1))-((EU29*1.1)))+AE29),6)</f>
        <v>0</v>
      </c>
      <c r="AE29">
        <f>ROUND(((EU29*1.1)),6)</f>
        <v>0</v>
      </c>
      <c r="AF29">
        <f>ROUND(((EV29*1.1)),6)</f>
        <v>97.174000000000007</v>
      </c>
      <c r="AG29">
        <f t="shared" si="28"/>
        <v>0</v>
      </c>
      <c r="AH29">
        <f>((EW29*1.1))</f>
        <v>7.7000000000000011</v>
      </c>
      <c r="AI29">
        <f>((EX29*1.1))</f>
        <v>0</v>
      </c>
      <c r="AJ29">
        <f t="shared" si="29"/>
        <v>0</v>
      </c>
      <c r="AK29">
        <v>123.21</v>
      </c>
      <c r="AL29">
        <v>34.869999999999997</v>
      </c>
      <c r="AM29">
        <v>0</v>
      </c>
      <c r="AN29">
        <v>0</v>
      </c>
      <c r="AO29">
        <v>88.34</v>
      </c>
      <c r="AP29">
        <v>0</v>
      </c>
      <c r="AQ29">
        <v>7</v>
      </c>
      <c r="AR29">
        <v>0</v>
      </c>
      <c r="AS29">
        <v>0</v>
      </c>
      <c r="AT29">
        <v>95</v>
      </c>
      <c r="AU29">
        <v>53</v>
      </c>
      <c r="AV29">
        <v>1.0469999999999999</v>
      </c>
      <c r="AW29">
        <v>1</v>
      </c>
      <c r="AZ29">
        <v>1</v>
      </c>
      <c r="BA29">
        <v>54.99</v>
      </c>
      <c r="BB29">
        <v>1</v>
      </c>
      <c r="BC29">
        <v>11.35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22</v>
      </c>
      <c r="BM29">
        <v>69</v>
      </c>
      <c r="BN29">
        <v>58973116</v>
      </c>
      <c r="BO29" t="s">
        <v>19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95</v>
      </c>
      <c r="CA29">
        <v>53</v>
      </c>
      <c r="CB29" t="s">
        <v>3</v>
      </c>
      <c r="CE29">
        <v>1566</v>
      </c>
      <c r="CF29">
        <v>0</v>
      </c>
      <c r="CG29">
        <v>0</v>
      </c>
      <c r="CM29">
        <v>0</v>
      </c>
      <c r="CN29" t="s">
        <v>407</v>
      </c>
      <c r="CO29">
        <v>0</v>
      </c>
      <c r="CP29">
        <f t="shared" si="30"/>
        <v>5990.4500000000007</v>
      </c>
      <c r="CQ29">
        <f>ROUND((ROUND((AC29*AW29*1),2)*BC29),2)</f>
        <v>395.77</v>
      </c>
      <c r="CR29">
        <f>(ROUND((ROUND((((ET29*1.1))*AV29*1),2)*BB29),2)+ROUND((ROUND(((AE29-((EU29*1.1)))*AV29*1),2)*BS29),2))</f>
        <v>0</v>
      </c>
      <c r="CS29">
        <f>(ROUND((ROUND((((EU29*1.1))*AV29*1),2)*BS29),2)+ROUND((ROUND(((AE29-((EU29*1.1)))*AV29*1),2)*BS29),2))</f>
        <v>0</v>
      </c>
      <c r="CT29">
        <f t="shared" si="31"/>
        <v>5594.68</v>
      </c>
      <c r="CU29">
        <f t="shared" si="32"/>
        <v>0</v>
      </c>
      <c r="CV29">
        <f t="shared" si="33"/>
        <v>8.0619000000000014</v>
      </c>
      <c r="CW29">
        <f t="shared" si="34"/>
        <v>0</v>
      </c>
      <c r="CX29">
        <f t="shared" si="35"/>
        <v>0</v>
      </c>
      <c r="CY29">
        <f>(ROUND((((S29+ROUND((ROUND((((EU29*1.1))*AV29*1),2)*BS29),2))*AT29)/100),2)+ROUND(((ROUND((ROUND(((AE29-((EU29*1.1)))*AV29*1),2)*BS29),2)*AT29)/100),2))</f>
        <v>5314.95</v>
      </c>
      <c r="CZ29">
        <f>(ROUND((((S29+ROUND((ROUND((((EU29*1.1))*AV29*1),2)*BS29),2))*AU29)/100),2)+ROUND(((ROUND((ROUND(((AE29-((EU29*1.1)))*AV29*1),2)*BS29),2)*AU29)/100),2))</f>
        <v>2965.18</v>
      </c>
      <c r="DB29">
        <v>2</v>
      </c>
      <c r="DC29" t="s">
        <v>3</v>
      </c>
      <c r="DD29" t="s">
        <v>23</v>
      </c>
      <c r="DE29" t="s">
        <v>24</v>
      </c>
      <c r="DF29" t="s">
        <v>24</v>
      </c>
      <c r="DG29" t="s">
        <v>24</v>
      </c>
      <c r="DH29" t="s">
        <v>3</v>
      </c>
      <c r="DI29" t="s">
        <v>24</v>
      </c>
      <c r="DJ29" t="s">
        <v>24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21</v>
      </c>
      <c r="DW29" t="s">
        <v>21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60088533</v>
      </c>
      <c r="EF29">
        <v>40</v>
      </c>
      <c r="EG29" t="s">
        <v>25</v>
      </c>
      <c r="EH29">
        <v>0</v>
      </c>
      <c r="EI29" t="s">
        <v>3</v>
      </c>
      <c r="EJ29">
        <v>2</v>
      </c>
      <c r="EK29">
        <v>69</v>
      </c>
      <c r="EL29" t="s">
        <v>26</v>
      </c>
      <c r="EM29" t="s">
        <v>27</v>
      </c>
      <c r="EO29" t="s">
        <v>28</v>
      </c>
      <c r="EQ29">
        <v>0</v>
      </c>
      <c r="ER29">
        <v>123.21</v>
      </c>
      <c r="ES29">
        <v>34.869999999999997</v>
      </c>
      <c r="ET29">
        <v>0</v>
      </c>
      <c r="EU29">
        <v>0</v>
      </c>
      <c r="EV29">
        <v>88.34</v>
      </c>
      <c r="EW29">
        <v>7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95</v>
      </c>
      <c r="FY29">
        <v>53</v>
      </c>
      <c r="GA29" t="s">
        <v>3</v>
      </c>
      <c r="GD29">
        <v>1</v>
      </c>
      <c r="GF29">
        <v>1652728637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36"/>
        <v>0</v>
      </c>
      <c r="GM29">
        <f t="shared" si="37"/>
        <v>14270.58</v>
      </c>
      <c r="GN29">
        <f t="shared" si="38"/>
        <v>0</v>
      </c>
      <c r="GO29">
        <f t="shared" si="39"/>
        <v>14270.58</v>
      </c>
      <c r="GP29">
        <f t="shared" si="40"/>
        <v>0</v>
      </c>
      <c r="GR29">
        <v>0</v>
      </c>
      <c r="GS29">
        <v>3</v>
      </c>
      <c r="GT29">
        <v>0</v>
      </c>
      <c r="GU29" t="s">
        <v>3</v>
      </c>
      <c r="GV29">
        <f t="shared" si="41"/>
        <v>0</v>
      </c>
      <c r="GW29">
        <v>1</v>
      </c>
      <c r="GX29">
        <f t="shared" si="42"/>
        <v>0</v>
      </c>
      <c r="HA29">
        <v>0</v>
      </c>
      <c r="HB29">
        <v>0</v>
      </c>
      <c r="HC29">
        <f t="shared" si="43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29</v>
      </c>
      <c r="F30" s="2" t="s">
        <v>30</v>
      </c>
      <c r="G30" s="2" t="s">
        <v>31</v>
      </c>
      <c r="H30" s="2" t="s">
        <v>32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8561.59</v>
      </c>
      <c r="P30" s="2">
        <f>ROUND((ROUND((AC30*I30),2)*BC30),2)</f>
        <v>8561.59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2"/>
        <v>0</v>
      </c>
      <c r="T30" s="2">
        <f t="shared" si="23"/>
        <v>0</v>
      </c>
      <c r="U30" s="2">
        <f t="shared" si="24"/>
        <v>0</v>
      </c>
      <c r="V30" s="2">
        <f t="shared" si="25"/>
        <v>0</v>
      </c>
      <c r="W30" s="2">
        <f t="shared" si="26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60258621</v>
      </c>
      <c r="AB30" s="2">
        <f t="shared" si="27"/>
        <v>8561.59</v>
      </c>
      <c r="AC30" s="2">
        <f>ROUND((ES30),6)</f>
        <v>8561.59</v>
      </c>
      <c r="AD30" s="2">
        <f>ROUND((((ET30)-(EU30))+AE30),6)</f>
        <v>0</v>
      </c>
      <c r="AE30" s="2">
        <f t="shared" ref="AE30:AF33" si="44">ROUND((EU30),6)</f>
        <v>0</v>
      </c>
      <c r="AF30" s="2">
        <f t="shared" si="44"/>
        <v>0</v>
      </c>
      <c r="AG30" s="2">
        <f t="shared" si="28"/>
        <v>0</v>
      </c>
      <c r="AH30" s="2">
        <f t="shared" ref="AH30:AI33" si="45">(EW30)</f>
        <v>0</v>
      </c>
      <c r="AI30" s="2">
        <f t="shared" si="45"/>
        <v>0</v>
      </c>
      <c r="AJ30" s="2">
        <f t="shared" si="29"/>
        <v>0</v>
      </c>
      <c r="AK30" s="2">
        <v>8561.59</v>
      </c>
      <c r="AL30" s="2">
        <v>8561.59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0"/>
        <v>8561.59</v>
      </c>
      <c r="CQ30" s="2">
        <f>ROUND((ROUND((AC30*1),2)*BC30),2)</f>
        <v>8561.59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1"/>
        <v>0</v>
      </c>
      <c r="CU30" s="2">
        <f t="shared" si="32"/>
        <v>0</v>
      </c>
      <c r="CV30" s="2">
        <f t="shared" si="33"/>
        <v>0</v>
      </c>
      <c r="CW30" s="2">
        <f t="shared" si="34"/>
        <v>0</v>
      </c>
      <c r="CX30" s="2">
        <f t="shared" si="35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60088638</v>
      </c>
      <c r="EF30" s="2">
        <v>130</v>
      </c>
      <c r="EG30" s="2" t="s">
        <v>33</v>
      </c>
      <c r="EH30" s="2">
        <v>0</v>
      </c>
      <c r="EI30" s="2" t="s">
        <v>3</v>
      </c>
      <c r="EJ30" s="2">
        <v>3</v>
      </c>
      <c r="EK30" s="2">
        <v>746</v>
      </c>
      <c r="EL30" s="2" t="s">
        <v>34</v>
      </c>
      <c r="EM30" s="2" t="s">
        <v>35</v>
      </c>
      <c r="EN30" s="2"/>
      <c r="EO30" s="2" t="s">
        <v>3</v>
      </c>
      <c r="EP30" s="2"/>
      <c r="EQ30" s="2">
        <v>0</v>
      </c>
      <c r="ER30" s="2">
        <v>0</v>
      </c>
      <c r="ES30" s="2">
        <v>8561.59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8561.59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36</v>
      </c>
      <c r="GB30" s="2"/>
      <c r="GC30" s="2"/>
      <c r="GD30" s="2">
        <v>1</v>
      </c>
      <c r="GE30" s="2"/>
      <c r="GF30" s="2">
        <v>521336863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6"/>
        <v>0</v>
      </c>
      <c r="GM30" s="2">
        <f t="shared" si="37"/>
        <v>8561.59</v>
      </c>
      <c r="GN30" s="2">
        <f t="shared" si="38"/>
        <v>0</v>
      </c>
      <c r="GO30" s="2">
        <f t="shared" si="39"/>
        <v>0</v>
      </c>
      <c r="GP30" s="2">
        <f t="shared" si="40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1"/>
        <v>0</v>
      </c>
      <c r="GW30" s="2">
        <v>1</v>
      </c>
      <c r="GX30" s="2">
        <f t="shared" si="42"/>
        <v>0</v>
      </c>
      <c r="GY30" s="2"/>
      <c r="GZ30" s="2"/>
      <c r="HA30" s="2">
        <v>0</v>
      </c>
      <c r="HB30" s="2">
        <v>0</v>
      </c>
      <c r="HC30" s="2">
        <f t="shared" si="43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E31" t="s">
        <v>29</v>
      </c>
      <c r="F31" t="s">
        <v>30</v>
      </c>
      <c r="G31" t="s">
        <v>31</v>
      </c>
      <c r="H31" t="s">
        <v>32</v>
      </c>
      <c r="I31">
        <v>1</v>
      </c>
      <c r="J31">
        <v>0</v>
      </c>
      <c r="K31">
        <v>1</v>
      </c>
      <c r="O31">
        <f t="shared" si="21"/>
        <v>65581.78</v>
      </c>
      <c r="P31">
        <f>ROUND((ROUND((AC31*I31),2)*BC31),2)</f>
        <v>65581.78</v>
      </c>
      <c r="Q31">
        <f>(ROUND((ROUND(((ET31)*AV31*I31),2)*BB31),2)+ROUND((ROUND(((AE31-(EU31))*AV31*I31),2)*BS31),2))</f>
        <v>0</v>
      </c>
      <c r="R31">
        <f>(ROUND((ROUND(((EU31)*AV31*I31),2)*BS31),2)+ROUND((ROUND(((AE31-(EU31))*AV31*I31),2)*BS31),2))</f>
        <v>0</v>
      </c>
      <c r="S31">
        <f t="shared" si="22"/>
        <v>0</v>
      </c>
      <c r="T31">
        <f t="shared" si="23"/>
        <v>0</v>
      </c>
      <c r="U31">
        <f t="shared" si="24"/>
        <v>0</v>
      </c>
      <c r="V31">
        <f t="shared" si="25"/>
        <v>0</v>
      </c>
      <c r="W31">
        <f t="shared" si="26"/>
        <v>0</v>
      </c>
      <c r="X31">
        <f>(ROUND((((S31+ROUND((ROUND(((EU31)*AV31*I31),2)*BS31),2))*AT31)/100),2)+ROUND(((ROUND((ROUND(((AE31-(EU31))*AV31*I31),2)*BS31),2)*AT31)/100),2))</f>
        <v>0</v>
      </c>
      <c r="Y31">
        <f>(ROUND((((S31+ROUND((ROUND(((EU31)*AV31*I31),2)*BS31),2))*AU31)/100),2)+ROUND(((ROUND((ROUND(((AE31-(EU31))*AV31*I31),2)*BS31),2)*AU31)/100),2))</f>
        <v>0</v>
      </c>
      <c r="AA31">
        <v>60258618</v>
      </c>
      <c r="AB31">
        <f t="shared" si="27"/>
        <v>8561.59</v>
      </c>
      <c r="AC31">
        <f>ROUND((ES31),6)</f>
        <v>8561.59</v>
      </c>
      <c r="AD31">
        <f>ROUND((((ET31)-(EU31))+AE31),6)</f>
        <v>0</v>
      </c>
      <c r="AE31">
        <f t="shared" si="44"/>
        <v>0</v>
      </c>
      <c r="AF31">
        <f t="shared" si="44"/>
        <v>0</v>
      </c>
      <c r="AG31">
        <f t="shared" si="28"/>
        <v>0</v>
      </c>
      <c r="AH31">
        <f t="shared" si="45"/>
        <v>0</v>
      </c>
      <c r="AI31">
        <f t="shared" si="45"/>
        <v>0</v>
      </c>
      <c r="AJ31">
        <f t="shared" si="29"/>
        <v>0</v>
      </c>
      <c r="AK31">
        <v>8561.59</v>
      </c>
      <c r="AL31">
        <v>8561.59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0</v>
      </c>
      <c r="CA31">
        <v>0</v>
      </c>
      <c r="CB31" t="s">
        <v>3</v>
      </c>
      <c r="CE31">
        <v>1566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0"/>
        <v>65581.78</v>
      </c>
      <c r="CQ31">
        <f>ROUND((ROUND((AC31*1),2)*BC31),2)</f>
        <v>65581.78</v>
      </c>
      <c r="CR31">
        <f>(ROUND((ROUND(((ET31)*AV31*1),2)*BB31),2)+ROUND((ROUND(((AE31-(EU31))*AV31*1),2)*BS31),2))</f>
        <v>0</v>
      </c>
      <c r="CS31">
        <f>(ROUND((ROUND(((EU31)*AV31*1),2)*BS31),2)+ROUND((ROUND(((AE31-(EU31))*AV31*1),2)*BS31),2))</f>
        <v>0</v>
      </c>
      <c r="CT31">
        <f t="shared" si="31"/>
        <v>0</v>
      </c>
      <c r="CU31">
        <f t="shared" si="32"/>
        <v>0</v>
      </c>
      <c r="CV31">
        <f t="shared" si="33"/>
        <v>0</v>
      </c>
      <c r="CW31">
        <f t="shared" si="34"/>
        <v>0</v>
      </c>
      <c r="CX31">
        <f t="shared" si="35"/>
        <v>0</v>
      </c>
      <c r="CY31">
        <f>(ROUND((((S31+ROUND((ROUND(((EU31)*AV31*1),2)*BS31),2))*AT31)/100),2)+ROUND(((ROUND((ROUND(((AE31-(EU31))*AV31*1),2)*BS31),2)*AT31)/100),2))</f>
        <v>0</v>
      </c>
      <c r="CZ31">
        <f>(ROUND((((S31+ROUND((ROUND(((EU31)*AV31*1),2)*BS31),2))*AU31)/100),2)+ROUND(((ROUND((ROUND(((AE31-(EU31))*AV31*1),2)*BS31),2)*AU31)/100),2))</f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1013</v>
      </c>
      <c r="DV31" t="s">
        <v>32</v>
      </c>
      <c r="DW31" t="s">
        <v>32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60088638</v>
      </c>
      <c r="EF31">
        <v>130</v>
      </c>
      <c r="EG31" t="s">
        <v>33</v>
      </c>
      <c r="EH31">
        <v>0</v>
      </c>
      <c r="EI31" t="s">
        <v>3</v>
      </c>
      <c r="EJ31">
        <v>3</v>
      </c>
      <c r="EK31">
        <v>746</v>
      </c>
      <c r="EL31" t="s">
        <v>34</v>
      </c>
      <c r="EM31" t="s">
        <v>35</v>
      </c>
      <c r="EO31" t="s">
        <v>3</v>
      </c>
      <c r="EQ31">
        <v>0</v>
      </c>
      <c r="ER31">
        <v>0</v>
      </c>
      <c r="ES31">
        <v>8561.59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5</v>
      </c>
      <c r="FC31">
        <v>1</v>
      </c>
      <c r="FD31">
        <v>18</v>
      </c>
      <c r="FF31">
        <v>75500</v>
      </c>
      <c r="FQ31">
        <v>0</v>
      </c>
      <c r="FR31">
        <f>P31</f>
        <v>65581.78</v>
      </c>
      <c r="FS31">
        <v>0</v>
      </c>
      <c r="FX31">
        <v>0</v>
      </c>
      <c r="FY31">
        <v>0</v>
      </c>
      <c r="GA31" t="s">
        <v>36</v>
      </c>
      <c r="GD31">
        <v>1</v>
      </c>
      <c r="GF31">
        <v>521336863</v>
      </c>
      <c r="GG31">
        <v>2</v>
      </c>
      <c r="GH31">
        <v>3</v>
      </c>
      <c r="GI31">
        <v>5</v>
      </c>
      <c r="GJ31">
        <v>0</v>
      </c>
      <c r="GK31">
        <v>0</v>
      </c>
      <c r="GL31">
        <f t="shared" si="36"/>
        <v>0</v>
      </c>
      <c r="GM31">
        <f t="shared" si="37"/>
        <v>65581.78</v>
      </c>
      <c r="GN31">
        <f t="shared" si="38"/>
        <v>0</v>
      </c>
      <c r="GO31">
        <f t="shared" si="39"/>
        <v>0</v>
      </c>
      <c r="GP31">
        <f t="shared" si="40"/>
        <v>0</v>
      </c>
      <c r="GR31">
        <v>1</v>
      </c>
      <c r="GS31">
        <v>1</v>
      </c>
      <c r="GT31">
        <v>0</v>
      </c>
      <c r="GU31" t="s">
        <v>3</v>
      </c>
      <c r="GV31">
        <f t="shared" si="41"/>
        <v>0</v>
      </c>
      <c r="GW31">
        <v>1</v>
      </c>
      <c r="GX31">
        <f t="shared" si="42"/>
        <v>0</v>
      </c>
      <c r="HA31">
        <v>0</v>
      </c>
      <c r="HB31">
        <v>0</v>
      </c>
      <c r="HC31">
        <f t="shared" si="43"/>
        <v>0</v>
      </c>
      <c r="HE31" t="s">
        <v>37</v>
      </c>
      <c r="HF31" t="s">
        <v>38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/>
      <c r="D32" s="2"/>
      <c r="E32" s="2" t="s">
        <v>37</v>
      </c>
      <c r="F32" s="2" t="s">
        <v>39</v>
      </c>
      <c r="G32" s="2" t="s">
        <v>40</v>
      </c>
      <c r="H32" s="2" t="s">
        <v>32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1655.62</v>
      </c>
      <c r="P32" s="2">
        <f>ROUND((ROUND((AC32*I32),2)*BC32),2)</f>
        <v>1655.62</v>
      </c>
      <c r="Q32" s="2">
        <f>(ROUND((ROUND(((ET32)*AV32*I32),2)*BB32),2)+ROUND((ROUND(((AE32-(EU32))*AV32*I32),2)*BS32),2))</f>
        <v>0</v>
      </c>
      <c r="R32" s="2">
        <f>(ROUND((ROUND(((EU32)*AV32*I32),2)*BS32),2)+ROUND((ROUND(((AE32-(EU32))*AV32*I32),2)*BS32),2))</f>
        <v>0</v>
      </c>
      <c r="S32" s="2">
        <f t="shared" si="22"/>
        <v>0</v>
      </c>
      <c r="T32" s="2">
        <f t="shared" si="23"/>
        <v>0</v>
      </c>
      <c r="U32" s="2">
        <f t="shared" si="24"/>
        <v>0</v>
      </c>
      <c r="V32" s="2">
        <f t="shared" si="25"/>
        <v>0</v>
      </c>
      <c r="W32" s="2">
        <f t="shared" si="26"/>
        <v>0</v>
      </c>
      <c r="X32" s="2">
        <f>(ROUND((((S32+ROUND((ROUND(((EU32)*AV32*I32),2)*BS32),2))*AT32)/100),2)+ROUND(((ROUND((ROUND(((AE32-(EU32))*AV32*I32),2)*BS32),2)*AT32)/100),2))</f>
        <v>0</v>
      </c>
      <c r="Y32" s="2">
        <f>(ROUND((((S32+ROUND((ROUND(((EU32)*AV32*I32),2)*BS32),2))*AU32)/100),2)+ROUND(((ROUND((ROUND(((AE32-(EU32))*AV32*I32),2)*BS32),2)*AU32)/100),2))</f>
        <v>0</v>
      </c>
      <c r="Z32" s="2"/>
      <c r="AA32" s="2">
        <v>60258621</v>
      </c>
      <c r="AB32" s="2">
        <f t="shared" si="27"/>
        <v>1655.62</v>
      </c>
      <c r="AC32" s="2">
        <f>ROUND((ES32),6)</f>
        <v>1655.62</v>
      </c>
      <c r="AD32" s="2">
        <f>ROUND((((ET32)-(EU32))+AE32),6)</f>
        <v>0</v>
      </c>
      <c r="AE32" s="2">
        <f t="shared" si="44"/>
        <v>0</v>
      </c>
      <c r="AF32" s="2">
        <f t="shared" si="44"/>
        <v>0</v>
      </c>
      <c r="AG32" s="2">
        <f t="shared" si="28"/>
        <v>0</v>
      </c>
      <c r="AH32" s="2">
        <f t="shared" si="45"/>
        <v>0</v>
      </c>
      <c r="AI32" s="2">
        <f t="shared" si="45"/>
        <v>0</v>
      </c>
      <c r="AJ32" s="2">
        <f t="shared" si="29"/>
        <v>0</v>
      </c>
      <c r="AK32" s="2">
        <v>1655.6200000000001</v>
      </c>
      <c r="AL32" s="2">
        <v>1655.6200000000001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3</v>
      </c>
      <c r="BJ32" s="2" t="s">
        <v>3</v>
      </c>
      <c r="BK32" s="2"/>
      <c r="BL32" s="2"/>
      <c r="BM32" s="2">
        <v>746</v>
      </c>
      <c r="BN32" s="2">
        <v>0</v>
      </c>
      <c r="BO32" s="2" t="s">
        <v>3</v>
      </c>
      <c r="BP32" s="2">
        <v>0</v>
      </c>
      <c r="BQ32" s="2">
        <v>130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0</v>
      </c>
      <c r="CA32" s="2">
        <v>0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0"/>
        <v>1655.62</v>
      </c>
      <c r="CQ32" s="2">
        <f>ROUND((ROUND((AC32*1),2)*BC32),2)</f>
        <v>1655.62</v>
      </c>
      <c r="CR32" s="2">
        <f>(ROUND((ROUND(((ET32)*AV32*1),2)*BB32),2)+ROUND((ROUND(((AE32-(EU32))*AV32*1),2)*BS32),2))</f>
        <v>0</v>
      </c>
      <c r="CS32" s="2">
        <f>(ROUND((ROUND(((EU32)*AV32*1),2)*BS32),2)+ROUND((ROUND(((AE32-(EU32))*AV32*1),2)*BS32),2))</f>
        <v>0</v>
      </c>
      <c r="CT32" s="2">
        <f t="shared" si="31"/>
        <v>0</v>
      </c>
      <c r="CU32" s="2">
        <f t="shared" si="32"/>
        <v>0</v>
      </c>
      <c r="CV32" s="2">
        <f t="shared" si="33"/>
        <v>0</v>
      </c>
      <c r="CW32" s="2">
        <f t="shared" si="34"/>
        <v>0</v>
      </c>
      <c r="CX32" s="2">
        <f t="shared" si="35"/>
        <v>0</v>
      </c>
      <c r="CY32" s="2">
        <f>(ROUND((((S32+ROUND((ROUND(((EU32)*AV32*1),2)*BS32),2))*AT32)/100),2)+ROUND(((ROUND((ROUND(((AE32-(EU32))*AV32*1),2)*BS32),2)*AT32)/100),2))</f>
        <v>0</v>
      </c>
      <c r="CZ32" s="2">
        <f>(ROUND((((S32+ROUND((ROUND(((EU32)*AV32*1),2)*BS32),2))*AU32)/100),2)+ROUND(((ROUND((ROUND(((AE32-(EU32))*AV32*1),2)*BS32),2)*AU32)/100),2))</f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32</v>
      </c>
      <c r="DW32" s="2" t="s">
        <v>32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60088638</v>
      </c>
      <c r="EF32" s="2">
        <v>130</v>
      </c>
      <c r="EG32" s="2" t="s">
        <v>33</v>
      </c>
      <c r="EH32" s="2">
        <v>0</v>
      </c>
      <c r="EI32" s="2" t="s">
        <v>3</v>
      </c>
      <c r="EJ32" s="2">
        <v>3</v>
      </c>
      <c r="EK32" s="2">
        <v>746</v>
      </c>
      <c r="EL32" s="2" t="s">
        <v>34</v>
      </c>
      <c r="EM32" s="2" t="s">
        <v>35</v>
      </c>
      <c r="EN32" s="2"/>
      <c r="EO32" s="2" t="s">
        <v>3</v>
      </c>
      <c r="EP32" s="2"/>
      <c r="EQ32" s="2">
        <v>0</v>
      </c>
      <c r="ER32" s="2">
        <v>0</v>
      </c>
      <c r="ES32" s="2">
        <v>1655.6200000000001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f>P32</f>
        <v>1655.62</v>
      </c>
      <c r="FS32" s="2">
        <v>0</v>
      </c>
      <c r="FT32" s="2"/>
      <c r="FU32" s="2"/>
      <c r="FV32" s="2"/>
      <c r="FW32" s="2"/>
      <c r="FX32" s="2">
        <v>0</v>
      </c>
      <c r="FY32" s="2">
        <v>0</v>
      </c>
      <c r="FZ32" s="2"/>
      <c r="GA32" s="2" t="s">
        <v>41</v>
      </c>
      <c r="GB32" s="2"/>
      <c r="GC32" s="2"/>
      <c r="GD32" s="2">
        <v>1</v>
      </c>
      <c r="GE32" s="2"/>
      <c r="GF32" s="2">
        <v>963458923</v>
      </c>
      <c r="GG32" s="2">
        <v>2</v>
      </c>
      <c r="GH32" s="2">
        <v>4</v>
      </c>
      <c r="GI32" s="2">
        <v>-2</v>
      </c>
      <c r="GJ32" s="2">
        <v>0</v>
      </c>
      <c r="GK32" s="2">
        <v>0</v>
      </c>
      <c r="GL32" s="2">
        <f t="shared" si="36"/>
        <v>0</v>
      </c>
      <c r="GM32" s="2">
        <f t="shared" si="37"/>
        <v>1655.62</v>
      </c>
      <c r="GN32" s="2">
        <f t="shared" si="38"/>
        <v>0</v>
      </c>
      <c r="GO32" s="2">
        <f t="shared" si="39"/>
        <v>0</v>
      </c>
      <c r="GP32" s="2">
        <f t="shared" si="40"/>
        <v>0</v>
      </c>
      <c r="GQ32" s="2"/>
      <c r="GR32" s="2">
        <v>0</v>
      </c>
      <c r="GS32" s="2">
        <v>2</v>
      </c>
      <c r="GT32" s="2">
        <v>0</v>
      </c>
      <c r="GU32" s="2" t="s">
        <v>3</v>
      </c>
      <c r="GV32" s="2">
        <f t="shared" si="41"/>
        <v>0</v>
      </c>
      <c r="GW32" s="2">
        <v>1</v>
      </c>
      <c r="GX32" s="2">
        <f t="shared" si="42"/>
        <v>0</v>
      </c>
      <c r="GY32" s="2"/>
      <c r="GZ32" s="2"/>
      <c r="HA32" s="2">
        <v>0</v>
      </c>
      <c r="HB32" s="2">
        <v>0</v>
      </c>
      <c r="HC32" s="2">
        <f t="shared" si="43"/>
        <v>0</v>
      </c>
      <c r="HD32" s="2"/>
      <c r="HE32" s="2" t="s">
        <v>37</v>
      </c>
      <c r="HF32" s="2" t="s">
        <v>38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E33" t="s">
        <v>37</v>
      </c>
      <c r="F33" t="s">
        <v>39</v>
      </c>
      <c r="G33" t="s">
        <v>40</v>
      </c>
      <c r="H33" t="s">
        <v>32</v>
      </c>
      <c r="I33">
        <v>1</v>
      </c>
      <c r="J33">
        <v>0</v>
      </c>
      <c r="K33">
        <v>1</v>
      </c>
      <c r="O33">
        <f t="shared" si="21"/>
        <v>12682.05</v>
      </c>
      <c r="P33">
        <f>ROUND((ROUND((AC33*I33),2)*BC33),2)</f>
        <v>12682.05</v>
      </c>
      <c r="Q33">
        <f>(ROUND((ROUND(((ET33)*AV33*I33),2)*BB33),2)+ROUND((ROUND(((AE33-(EU33))*AV33*I33),2)*BS33),2))</f>
        <v>0</v>
      </c>
      <c r="R33">
        <f>(ROUND((ROUND(((EU33)*AV33*I33),2)*BS33),2)+ROUND((ROUND(((AE33-(EU33))*AV33*I33),2)*BS33),2))</f>
        <v>0</v>
      </c>
      <c r="S33">
        <f t="shared" si="22"/>
        <v>0</v>
      </c>
      <c r="T33">
        <f t="shared" si="23"/>
        <v>0</v>
      </c>
      <c r="U33">
        <f t="shared" si="24"/>
        <v>0</v>
      </c>
      <c r="V33">
        <f t="shared" si="25"/>
        <v>0</v>
      </c>
      <c r="W33">
        <f t="shared" si="26"/>
        <v>0</v>
      </c>
      <c r="X33">
        <f>(ROUND((((S33+ROUND((ROUND(((EU33)*AV33*I33),2)*BS33),2))*AT33)/100),2)+ROUND(((ROUND((ROUND(((AE33-(EU33))*AV33*I33),2)*BS33),2)*AT33)/100),2))</f>
        <v>0</v>
      </c>
      <c r="Y33">
        <f>(ROUND((((S33+ROUND((ROUND(((EU33)*AV33*I33),2)*BS33),2))*AU33)/100),2)+ROUND(((ROUND((ROUND(((AE33-(EU33))*AV33*I33),2)*BS33),2)*AU33)/100),2))</f>
        <v>0</v>
      </c>
      <c r="AA33">
        <v>60258618</v>
      </c>
      <c r="AB33">
        <f t="shared" si="27"/>
        <v>1655.62</v>
      </c>
      <c r="AC33">
        <f>ROUND((ES33),6)</f>
        <v>1655.62</v>
      </c>
      <c r="AD33">
        <f>ROUND((((ET33)-(EU33))+AE33),6)</f>
        <v>0</v>
      </c>
      <c r="AE33">
        <f t="shared" si="44"/>
        <v>0</v>
      </c>
      <c r="AF33">
        <f t="shared" si="44"/>
        <v>0</v>
      </c>
      <c r="AG33">
        <f t="shared" si="28"/>
        <v>0</v>
      </c>
      <c r="AH33">
        <f t="shared" si="45"/>
        <v>0</v>
      </c>
      <c r="AI33">
        <f t="shared" si="45"/>
        <v>0</v>
      </c>
      <c r="AJ33">
        <f t="shared" si="29"/>
        <v>0</v>
      </c>
      <c r="AK33">
        <v>1655.6200000000001</v>
      </c>
      <c r="AL33">
        <v>1655.6200000000001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Z33">
        <v>1</v>
      </c>
      <c r="BA33">
        <v>1</v>
      </c>
      <c r="BB33">
        <v>1</v>
      </c>
      <c r="BC33">
        <v>7.66</v>
      </c>
      <c r="BD33" t="s">
        <v>3</v>
      </c>
      <c r="BE33" t="s">
        <v>3</v>
      </c>
      <c r="BF33" t="s">
        <v>3</v>
      </c>
      <c r="BG33" t="s">
        <v>3</v>
      </c>
      <c r="BH33">
        <v>3</v>
      </c>
      <c r="BI33">
        <v>3</v>
      </c>
      <c r="BJ33" t="s">
        <v>3</v>
      </c>
      <c r="BM33">
        <v>746</v>
      </c>
      <c r="BN33">
        <v>0</v>
      </c>
      <c r="BO33" t="s">
        <v>3</v>
      </c>
      <c r="BP33">
        <v>0</v>
      </c>
      <c r="BQ33">
        <v>130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0</v>
      </c>
      <c r="CA33">
        <v>0</v>
      </c>
      <c r="CB33" t="s">
        <v>3</v>
      </c>
      <c r="CE33">
        <v>1566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0"/>
        <v>12682.05</v>
      </c>
      <c r="CQ33">
        <f>ROUND((ROUND((AC33*1),2)*BC33),2)</f>
        <v>12682.05</v>
      </c>
      <c r="CR33">
        <f>(ROUND((ROUND(((ET33)*AV33*1),2)*BB33),2)+ROUND((ROUND(((AE33-(EU33))*AV33*1),2)*BS33),2))</f>
        <v>0</v>
      </c>
      <c r="CS33">
        <f>(ROUND((ROUND(((EU33)*AV33*1),2)*BS33),2)+ROUND((ROUND(((AE33-(EU33))*AV33*1),2)*BS33),2))</f>
        <v>0</v>
      </c>
      <c r="CT33">
        <f t="shared" si="31"/>
        <v>0</v>
      </c>
      <c r="CU33">
        <f t="shared" si="32"/>
        <v>0</v>
      </c>
      <c r="CV33">
        <f t="shared" si="33"/>
        <v>0</v>
      </c>
      <c r="CW33">
        <f t="shared" si="34"/>
        <v>0</v>
      </c>
      <c r="CX33">
        <f t="shared" si="35"/>
        <v>0</v>
      </c>
      <c r="CY33">
        <f>(ROUND((((S33+ROUND((ROUND(((EU33)*AV33*1),2)*BS33),2))*AT33)/100),2)+ROUND(((ROUND((ROUND(((AE33-(EU33))*AV33*1),2)*BS33),2)*AT33)/100),2))</f>
        <v>0</v>
      </c>
      <c r="CZ33">
        <f>(ROUND((((S33+ROUND((ROUND(((EU33)*AV33*1),2)*BS33),2))*AU33)/100),2)+ROUND(((ROUND((ROUND(((AE33-(EU33))*AV33*1),2)*BS33),2)*AU33)/100),2))</f>
        <v>0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32</v>
      </c>
      <c r="DW33" t="s">
        <v>32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60088638</v>
      </c>
      <c r="EF33">
        <v>130</v>
      </c>
      <c r="EG33" t="s">
        <v>33</v>
      </c>
      <c r="EH33">
        <v>0</v>
      </c>
      <c r="EI33" t="s">
        <v>3</v>
      </c>
      <c r="EJ33">
        <v>3</v>
      </c>
      <c r="EK33">
        <v>746</v>
      </c>
      <c r="EL33" t="s">
        <v>34</v>
      </c>
      <c r="EM33" t="s">
        <v>35</v>
      </c>
      <c r="EO33" t="s">
        <v>3</v>
      </c>
      <c r="EQ33">
        <v>0</v>
      </c>
      <c r="ER33">
        <v>0</v>
      </c>
      <c r="ES33">
        <v>1655.6200000000001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5</v>
      </c>
      <c r="FC33">
        <v>1</v>
      </c>
      <c r="FD33">
        <v>18</v>
      </c>
      <c r="FF33">
        <v>14600</v>
      </c>
      <c r="FQ33">
        <v>0</v>
      </c>
      <c r="FR33">
        <f>P33</f>
        <v>12682.05</v>
      </c>
      <c r="FS33">
        <v>0</v>
      </c>
      <c r="FX33">
        <v>0</v>
      </c>
      <c r="FY33">
        <v>0</v>
      </c>
      <c r="GA33" t="s">
        <v>41</v>
      </c>
      <c r="GD33">
        <v>1</v>
      </c>
      <c r="GF33">
        <v>963458923</v>
      </c>
      <c r="GG33">
        <v>2</v>
      </c>
      <c r="GH33">
        <v>3</v>
      </c>
      <c r="GI33">
        <v>5</v>
      </c>
      <c r="GJ33">
        <v>0</v>
      </c>
      <c r="GK33">
        <v>0</v>
      </c>
      <c r="GL33">
        <f t="shared" si="36"/>
        <v>0</v>
      </c>
      <c r="GM33">
        <f t="shared" si="37"/>
        <v>12682.05</v>
      </c>
      <c r="GN33">
        <f t="shared" si="38"/>
        <v>0</v>
      </c>
      <c r="GO33">
        <f t="shared" si="39"/>
        <v>0</v>
      </c>
      <c r="GP33">
        <f t="shared" si="40"/>
        <v>0</v>
      </c>
      <c r="GR33">
        <v>1</v>
      </c>
      <c r="GS33">
        <v>1</v>
      </c>
      <c r="GT33">
        <v>0</v>
      </c>
      <c r="GU33" t="s">
        <v>3</v>
      </c>
      <c r="GV33">
        <f t="shared" si="41"/>
        <v>0</v>
      </c>
      <c r="GW33">
        <v>1</v>
      </c>
      <c r="GX33">
        <f t="shared" si="42"/>
        <v>0</v>
      </c>
      <c r="HA33">
        <v>0</v>
      </c>
      <c r="HB33">
        <v>0</v>
      </c>
      <c r="HC33">
        <f t="shared" si="43"/>
        <v>0</v>
      </c>
      <c r="HE33" t="s">
        <v>37</v>
      </c>
      <c r="HF33" t="s">
        <v>38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>
        <f>ROW(SmtRes!A14)</f>
        <v>14</v>
      </c>
      <c r="D34" s="2">
        <f>ROW(EtalonRes!A19)</f>
        <v>19</v>
      </c>
      <c r="E34" s="2" t="s">
        <v>42</v>
      </c>
      <c r="F34" s="2" t="s">
        <v>43</v>
      </c>
      <c r="G34" s="2" t="s">
        <v>44</v>
      </c>
      <c r="H34" s="2" t="s">
        <v>21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48.6</v>
      </c>
      <c r="P34" s="2">
        <f>ROUND((ROUND((AC34*AW34*I34),2)*BC34),2)</f>
        <v>2.34</v>
      </c>
      <c r="Q34" s="2">
        <f>(ROUND((ROUND((((ET34*1.1))*AV34*I34),2)*BB34),2)+ROUND((ROUND(((AE34-((EU34*1.1)))*AV34*I34),2)*BS34),2))</f>
        <v>0</v>
      </c>
      <c r="R34" s="2">
        <f>(ROUND((ROUND((((EU34*1.1))*AV34*I34),2)*BS34),2)+ROUND((ROUND(((AE34-((EU34*1.1)))*AV34*I34),2)*BS34),2))</f>
        <v>0</v>
      </c>
      <c r="S34" s="2">
        <f t="shared" si="22"/>
        <v>46.26</v>
      </c>
      <c r="T34" s="2">
        <f t="shared" si="23"/>
        <v>0</v>
      </c>
      <c r="U34" s="2">
        <f t="shared" si="24"/>
        <v>3.6624060000000003</v>
      </c>
      <c r="V34" s="2">
        <f t="shared" si="25"/>
        <v>0</v>
      </c>
      <c r="W34" s="2">
        <f t="shared" si="26"/>
        <v>0</v>
      </c>
      <c r="X34" s="2">
        <f>(ROUND((((S34+ROUND((ROUND((((EU34*1.1))*AV34*I34),2)*BS34),2))*AT34)/100),2)+ROUND(((ROUND((ROUND(((AE34-((EU34*1.1)))*AV34*I34),2)*BS34),2)*AT34)/100),2))</f>
        <v>41.63</v>
      </c>
      <c r="Y34" s="2">
        <f>(ROUND((((S34+ROUND((ROUND((((EU34*1.1))*AV34*I34),2)*BS34),2))*AU34)/100),2)+ROUND(((ROUND((ROUND(((AE34-((EU34*1.1)))*AV34*I34),2)*BS34),2)*AU34)/100),2))</f>
        <v>21.28</v>
      </c>
      <c r="Z34" s="2"/>
      <c r="AA34" s="2">
        <v>60258621</v>
      </c>
      <c r="AB34" s="2">
        <f t="shared" si="27"/>
        <v>46.527000000000001</v>
      </c>
      <c r="AC34" s="2">
        <f>ROUND(((ES34*1)),6)</f>
        <v>2.34</v>
      </c>
      <c r="AD34" s="2">
        <f>ROUND(((((ET34*1.1))-((EU34*1.1)))+AE34),6)</f>
        <v>0</v>
      </c>
      <c r="AE34" s="2">
        <f>ROUND(((EU34*1.1)),6)</f>
        <v>0</v>
      </c>
      <c r="AF34" s="2">
        <f>ROUND(((EV34*1.1)),6)</f>
        <v>44.186999999999998</v>
      </c>
      <c r="AG34" s="2">
        <f t="shared" si="28"/>
        <v>0</v>
      </c>
      <c r="AH34" s="2">
        <f>((EW34*1.1))</f>
        <v>3.4980000000000007</v>
      </c>
      <c r="AI34" s="2">
        <f>((EX34*1.1))</f>
        <v>0</v>
      </c>
      <c r="AJ34" s="2">
        <f t="shared" si="29"/>
        <v>0</v>
      </c>
      <c r="AK34" s="2">
        <v>42.51</v>
      </c>
      <c r="AL34" s="2">
        <v>2.34</v>
      </c>
      <c r="AM34" s="2">
        <v>0</v>
      </c>
      <c r="AN34" s="2">
        <v>0</v>
      </c>
      <c r="AO34" s="2">
        <v>40.17</v>
      </c>
      <c r="AP34" s="2">
        <v>0</v>
      </c>
      <c r="AQ34" s="2">
        <v>3.18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45</v>
      </c>
      <c r="BK34" s="2"/>
      <c r="BL34" s="2"/>
      <c r="BM34" s="2">
        <v>68</v>
      </c>
      <c r="BN34" s="2">
        <v>58973116</v>
      </c>
      <c r="BO34" s="2" t="s">
        <v>43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407</v>
      </c>
      <c r="CO34" s="2">
        <v>0</v>
      </c>
      <c r="CP34" s="2">
        <f t="shared" si="30"/>
        <v>48.599999999999994</v>
      </c>
      <c r="CQ34" s="2">
        <f>ROUND((ROUND((AC34*AW34*1),2)*BC34),2)</f>
        <v>2.34</v>
      </c>
      <c r="CR34" s="2">
        <f>(ROUND((ROUND((((ET34*1.1))*AV34*1),2)*BB34),2)+ROUND((ROUND(((AE34-((EU34*1.1)))*AV34*1),2)*BS34),2))</f>
        <v>0</v>
      </c>
      <c r="CS34" s="2">
        <f>(ROUND((ROUND((((EU34*1.1))*AV34*1),2)*BS34),2)+ROUND((ROUND(((AE34-((EU34*1.1)))*AV34*1),2)*BS34),2))</f>
        <v>0</v>
      </c>
      <c r="CT34" s="2">
        <f t="shared" si="31"/>
        <v>46.26</v>
      </c>
      <c r="CU34" s="2">
        <f t="shared" si="32"/>
        <v>0</v>
      </c>
      <c r="CV34" s="2">
        <f t="shared" si="33"/>
        <v>3.6624060000000003</v>
      </c>
      <c r="CW34" s="2">
        <f t="shared" si="34"/>
        <v>0</v>
      </c>
      <c r="CX34" s="2">
        <f t="shared" si="35"/>
        <v>0</v>
      </c>
      <c r="CY34" s="2">
        <f>(ROUND((((S34+ROUND((ROUND((((EU34*1.1))*AV34*1),2)*BS34),2))*AT34)/100),2)+ROUND(((ROUND((ROUND(((AE34-((EU34*1.1)))*AV34*1),2)*BS34),2)*AT34)/100),2))</f>
        <v>41.63</v>
      </c>
      <c r="CZ34" s="2">
        <f>(ROUND((((S34+ROUND((ROUND((((EU34*1.1))*AV34*1),2)*BS34),2))*AU34)/100),2)+ROUND(((ROUND((ROUND(((AE34-((EU34*1.1)))*AV34*1),2)*BS34),2)*AU34)/100),2))</f>
        <v>21.28</v>
      </c>
      <c r="DA34" s="2"/>
      <c r="DB34" s="2">
        <v>3</v>
      </c>
      <c r="DC34" s="2" t="s">
        <v>3</v>
      </c>
      <c r="DD34" s="2" t="s">
        <v>23</v>
      </c>
      <c r="DE34" s="2" t="s">
        <v>24</v>
      </c>
      <c r="DF34" s="2" t="s">
        <v>24</v>
      </c>
      <c r="DG34" s="2" t="s">
        <v>24</v>
      </c>
      <c r="DH34" s="2" t="s">
        <v>3</v>
      </c>
      <c r="DI34" s="2" t="s">
        <v>24</v>
      </c>
      <c r="DJ34" s="2" t="s">
        <v>24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21</v>
      </c>
      <c r="DW34" s="2" t="s">
        <v>21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60088532</v>
      </c>
      <c r="EF34" s="2">
        <v>40</v>
      </c>
      <c r="EG34" s="2" t="s">
        <v>25</v>
      </c>
      <c r="EH34" s="2">
        <v>0</v>
      </c>
      <c r="EI34" s="2" t="s">
        <v>3</v>
      </c>
      <c r="EJ34" s="2">
        <v>2</v>
      </c>
      <c r="EK34" s="2">
        <v>68</v>
      </c>
      <c r="EL34" s="2" t="s">
        <v>46</v>
      </c>
      <c r="EM34" s="2" t="s">
        <v>47</v>
      </c>
      <c r="EN34" s="2"/>
      <c r="EO34" s="2" t="s">
        <v>28</v>
      </c>
      <c r="EP34" s="2"/>
      <c r="EQ34" s="2">
        <v>0</v>
      </c>
      <c r="ER34" s="2">
        <v>42.51</v>
      </c>
      <c r="ES34" s="2">
        <v>2.34</v>
      </c>
      <c r="ET34" s="2">
        <v>0</v>
      </c>
      <c r="EU34" s="2">
        <v>0</v>
      </c>
      <c r="EV34" s="2">
        <v>40.17</v>
      </c>
      <c r="EW34" s="2">
        <v>3.18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1548884140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6"/>
        <v>0</v>
      </c>
      <c r="GM34" s="2">
        <f t="shared" si="37"/>
        <v>111.51</v>
      </c>
      <c r="GN34" s="2">
        <f t="shared" si="38"/>
        <v>0</v>
      </c>
      <c r="GO34" s="2">
        <f t="shared" si="39"/>
        <v>111.51</v>
      </c>
      <c r="GP34" s="2">
        <f t="shared" si="40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1"/>
        <v>0</v>
      </c>
      <c r="GW34" s="2">
        <v>1</v>
      </c>
      <c r="GX34" s="2">
        <f t="shared" si="42"/>
        <v>0</v>
      </c>
      <c r="GY34" s="2"/>
      <c r="GZ34" s="2"/>
      <c r="HA34" s="2">
        <v>0</v>
      </c>
      <c r="HB34" s="2">
        <v>0</v>
      </c>
      <c r="HC34" s="2">
        <f t="shared" si="43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C35">
        <f>ROW(SmtRes!A18)</f>
        <v>18</v>
      </c>
      <c r="D35">
        <f>ROW(EtalonRes!A24)</f>
        <v>24</v>
      </c>
      <c r="E35" t="s">
        <v>42</v>
      </c>
      <c r="F35" t="s">
        <v>43</v>
      </c>
      <c r="G35" t="s">
        <v>44</v>
      </c>
      <c r="H35" t="s">
        <v>21</v>
      </c>
      <c r="I35">
        <v>1</v>
      </c>
      <c r="J35">
        <v>0</v>
      </c>
      <c r="K35">
        <v>1</v>
      </c>
      <c r="O35">
        <f t="shared" si="21"/>
        <v>2567.85</v>
      </c>
      <c r="P35">
        <f>ROUND((ROUND((AC35*AW35*I35),2)*BC35),2)</f>
        <v>24.01</v>
      </c>
      <c r="Q35">
        <f>(ROUND((ROUND((((ET35*1.1))*AV35*I35),2)*BB35),2)+ROUND((ROUND(((AE35-((EU35*1.1)))*AV35*I35),2)*BS35),2))</f>
        <v>0</v>
      </c>
      <c r="R35">
        <f>(ROUND((ROUND((((EU35*1.1))*AV35*I35),2)*BS35),2)+ROUND((ROUND(((AE35-((EU35*1.1)))*AV35*I35),2)*BS35),2))</f>
        <v>0</v>
      </c>
      <c r="S35">
        <f t="shared" si="22"/>
        <v>2543.84</v>
      </c>
      <c r="T35">
        <f t="shared" si="23"/>
        <v>0</v>
      </c>
      <c r="U35">
        <f t="shared" si="24"/>
        <v>3.6624060000000003</v>
      </c>
      <c r="V35">
        <f t="shared" si="25"/>
        <v>0</v>
      </c>
      <c r="W35">
        <f t="shared" si="26"/>
        <v>0</v>
      </c>
      <c r="X35">
        <f>(ROUND((((S35+ROUND((ROUND((((EU35*1.1))*AV35*I35),2)*BS35),2))*AT35)/100),2)+ROUND(((ROUND((ROUND(((AE35-((EU35*1.1)))*AV35*I35),2)*BS35),2)*AT35)/100),2))</f>
        <v>2289.46</v>
      </c>
      <c r="Y35">
        <f>(ROUND((((S35+ROUND((ROUND((((EU35*1.1))*AV35*I35),2)*BS35),2))*AU35)/100),2)+ROUND(((ROUND((ROUND(((AE35-((EU35*1.1)))*AV35*I35),2)*BS35),2)*AU35)/100),2))</f>
        <v>1170.17</v>
      </c>
      <c r="AA35">
        <v>60258618</v>
      </c>
      <c r="AB35">
        <f t="shared" si="27"/>
        <v>46.527000000000001</v>
      </c>
      <c r="AC35">
        <f>ROUND(((ES35*1)),6)</f>
        <v>2.34</v>
      </c>
      <c r="AD35">
        <f>ROUND(((((ET35*1.1))-((EU35*1.1)))+AE35),6)</f>
        <v>0</v>
      </c>
      <c r="AE35">
        <f>ROUND(((EU35*1.1)),6)</f>
        <v>0</v>
      </c>
      <c r="AF35">
        <f>ROUND(((EV35*1.1)),6)</f>
        <v>44.186999999999998</v>
      </c>
      <c r="AG35">
        <f t="shared" si="28"/>
        <v>0</v>
      </c>
      <c r="AH35">
        <f>((EW35*1.1))</f>
        <v>3.4980000000000007</v>
      </c>
      <c r="AI35">
        <f>((EX35*1.1))</f>
        <v>0</v>
      </c>
      <c r="AJ35">
        <f t="shared" si="29"/>
        <v>0</v>
      </c>
      <c r="AK35">
        <v>42.51</v>
      </c>
      <c r="AL35">
        <v>2.34</v>
      </c>
      <c r="AM35">
        <v>0</v>
      </c>
      <c r="AN35">
        <v>0</v>
      </c>
      <c r="AO35">
        <v>40.17</v>
      </c>
      <c r="AP35">
        <v>0</v>
      </c>
      <c r="AQ35">
        <v>3.18</v>
      </c>
      <c r="AR35">
        <v>0</v>
      </c>
      <c r="AS35">
        <v>0</v>
      </c>
      <c r="AT35">
        <v>90</v>
      </c>
      <c r="AU35">
        <v>46</v>
      </c>
      <c r="AV35">
        <v>1.0469999999999999</v>
      </c>
      <c r="AW35">
        <v>1</v>
      </c>
      <c r="AZ35">
        <v>1</v>
      </c>
      <c r="BA35">
        <v>54.99</v>
      </c>
      <c r="BB35">
        <v>1</v>
      </c>
      <c r="BC35">
        <v>10.26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2</v>
      </c>
      <c r="BJ35" t="s">
        <v>45</v>
      </c>
      <c r="BM35">
        <v>68</v>
      </c>
      <c r="BN35">
        <v>58973116</v>
      </c>
      <c r="BO35" t="s">
        <v>43</v>
      </c>
      <c r="BP35">
        <v>1</v>
      </c>
      <c r="BQ35">
        <v>40</v>
      </c>
      <c r="BR35">
        <v>0</v>
      </c>
      <c r="BS35">
        <v>54.99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90</v>
      </c>
      <c r="CA35">
        <v>46</v>
      </c>
      <c r="CB35" t="s">
        <v>3</v>
      </c>
      <c r="CE35">
        <v>1566</v>
      </c>
      <c r="CF35">
        <v>0</v>
      </c>
      <c r="CG35">
        <v>0</v>
      </c>
      <c r="CM35">
        <v>0</v>
      </c>
      <c r="CN35" t="s">
        <v>407</v>
      </c>
      <c r="CO35">
        <v>0</v>
      </c>
      <c r="CP35">
        <f t="shared" si="30"/>
        <v>2567.8500000000004</v>
      </c>
      <c r="CQ35">
        <f>ROUND((ROUND((AC35*AW35*1),2)*BC35),2)</f>
        <v>24.01</v>
      </c>
      <c r="CR35">
        <f>(ROUND((ROUND((((ET35*1.1))*AV35*1),2)*BB35),2)+ROUND((ROUND(((AE35-((EU35*1.1)))*AV35*1),2)*BS35),2))</f>
        <v>0</v>
      </c>
      <c r="CS35">
        <f>(ROUND((ROUND((((EU35*1.1))*AV35*1),2)*BS35),2)+ROUND((ROUND(((AE35-((EU35*1.1)))*AV35*1),2)*BS35),2))</f>
        <v>0</v>
      </c>
      <c r="CT35">
        <f t="shared" si="31"/>
        <v>2543.84</v>
      </c>
      <c r="CU35">
        <f t="shared" si="32"/>
        <v>0</v>
      </c>
      <c r="CV35">
        <f t="shared" si="33"/>
        <v>3.6624060000000003</v>
      </c>
      <c r="CW35">
        <f t="shared" si="34"/>
        <v>0</v>
      </c>
      <c r="CX35">
        <f t="shared" si="35"/>
        <v>0</v>
      </c>
      <c r="CY35">
        <f>(ROUND((((S35+ROUND((ROUND((((EU35*1.1))*AV35*1),2)*BS35),2))*AT35)/100),2)+ROUND(((ROUND((ROUND(((AE35-((EU35*1.1)))*AV35*1),2)*BS35),2)*AT35)/100),2))</f>
        <v>2289.46</v>
      </c>
      <c r="CZ35">
        <f>(ROUND((((S35+ROUND((ROUND((((EU35*1.1))*AV35*1),2)*BS35),2))*AU35)/100),2)+ROUND(((ROUND((ROUND(((AE35-((EU35*1.1)))*AV35*1),2)*BS35),2)*AU35)/100),2))</f>
        <v>1170.17</v>
      </c>
      <c r="DB35">
        <v>4</v>
      </c>
      <c r="DC35" t="s">
        <v>3</v>
      </c>
      <c r="DD35" t="s">
        <v>23</v>
      </c>
      <c r="DE35" t="s">
        <v>24</v>
      </c>
      <c r="DF35" t="s">
        <v>24</v>
      </c>
      <c r="DG35" t="s">
        <v>24</v>
      </c>
      <c r="DH35" t="s">
        <v>3</v>
      </c>
      <c r="DI35" t="s">
        <v>24</v>
      </c>
      <c r="DJ35" t="s">
        <v>24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1013</v>
      </c>
      <c r="DV35" t="s">
        <v>21</v>
      </c>
      <c r="DW35" t="s">
        <v>21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60088532</v>
      </c>
      <c r="EF35">
        <v>40</v>
      </c>
      <c r="EG35" t="s">
        <v>25</v>
      </c>
      <c r="EH35">
        <v>0</v>
      </c>
      <c r="EI35" t="s">
        <v>3</v>
      </c>
      <c r="EJ35">
        <v>2</v>
      </c>
      <c r="EK35">
        <v>68</v>
      </c>
      <c r="EL35" t="s">
        <v>46</v>
      </c>
      <c r="EM35" t="s">
        <v>47</v>
      </c>
      <c r="EO35" t="s">
        <v>28</v>
      </c>
      <c r="EQ35">
        <v>0</v>
      </c>
      <c r="ER35">
        <v>42.51</v>
      </c>
      <c r="ES35">
        <v>2.34</v>
      </c>
      <c r="ET35">
        <v>0</v>
      </c>
      <c r="EU35">
        <v>0</v>
      </c>
      <c r="EV35">
        <v>40.17</v>
      </c>
      <c r="EW35">
        <v>3.18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90</v>
      </c>
      <c r="FY35">
        <v>46</v>
      </c>
      <c r="GA35" t="s">
        <v>3</v>
      </c>
      <c r="GD35">
        <v>1</v>
      </c>
      <c r="GF35">
        <v>1548884140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36"/>
        <v>0</v>
      </c>
      <c r="GM35">
        <f t="shared" si="37"/>
        <v>6027.48</v>
      </c>
      <c r="GN35">
        <f t="shared" si="38"/>
        <v>0</v>
      </c>
      <c r="GO35">
        <f t="shared" si="39"/>
        <v>6027.48</v>
      </c>
      <c r="GP35">
        <f t="shared" si="40"/>
        <v>0</v>
      </c>
      <c r="GR35">
        <v>0</v>
      </c>
      <c r="GS35">
        <v>3</v>
      </c>
      <c r="GT35">
        <v>0</v>
      </c>
      <c r="GU35" t="s">
        <v>3</v>
      </c>
      <c r="GV35">
        <f t="shared" si="41"/>
        <v>0</v>
      </c>
      <c r="GW35">
        <v>1</v>
      </c>
      <c r="GX35">
        <f t="shared" si="42"/>
        <v>0</v>
      </c>
      <c r="HA35">
        <v>0</v>
      </c>
      <c r="HB35">
        <v>0</v>
      </c>
      <c r="HC35">
        <f t="shared" si="43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/>
      <c r="D36" s="2"/>
      <c r="E36" s="2" t="s">
        <v>48</v>
      </c>
      <c r="F36" s="2" t="s">
        <v>49</v>
      </c>
      <c r="G36" s="2" t="s">
        <v>50</v>
      </c>
      <c r="H36" s="2" t="s">
        <v>32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1280.27</v>
      </c>
      <c r="P36" s="2">
        <f>ROUND((ROUND((AC36*I36),2)*BC36),2)</f>
        <v>1280.27</v>
      </c>
      <c r="Q36" s="2">
        <f>(ROUND((ROUND(((ET36)*AV36*I36),2)*BB36),2)+ROUND((ROUND(((AE36-(EU36))*AV36*I36),2)*BS36),2))</f>
        <v>0</v>
      </c>
      <c r="R36" s="2">
        <f>(ROUND((ROUND(((EU36)*AV36*I36),2)*BS36),2)+ROUND((ROUND(((AE36-(EU36))*AV36*I36),2)*BS36),2))</f>
        <v>0</v>
      </c>
      <c r="S36" s="2">
        <f t="shared" si="22"/>
        <v>0</v>
      </c>
      <c r="T36" s="2">
        <f t="shared" si="23"/>
        <v>0</v>
      </c>
      <c r="U36" s="2">
        <f t="shared" si="24"/>
        <v>0</v>
      </c>
      <c r="V36" s="2">
        <f t="shared" si="25"/>
        <v>0</v>
      </c>
      <c r="W36" s="2">
        <f t="shared" si="26"/>
        <v>0</v>
      </c>
      <c r="X36" s="2">
        <f>(ROUND((((S36+ROUND((ROUND(((EU36)*AV36*I36),2)*BS36),2))*AT36)/100),2)+ROUND(((ROUND((ROUND(((AE36-(EU36))*AV36*I36),2)*BS36),2)*AT36)/100),2))</f>
        <v>0</v>
      </c>
      <c r="Y36" s="2">
        <f>(ROUND((((S36+ROUND((ROUND(((EU36)*AV36*I36),2)*BS36),2))*AU36)/100),2)+ROUND(((ROUND((ROUND(((AE36-(EU36))*AV36*I36),2)*BS36),2)*AU36)/100),2))</f>
        <v>0</v>
      </c>
      <c r="Z36" s="2"/>
      <c r="AA36" s="2">
        <v>60258621</v>
      </c>
      <c r="AB36" s="2">
        <f t="shared" si="27"/>
        <v>1280.27</v>
      </c>
      <c r="AC36" s="2">
        <f>ROUND((ES36),6)</f>
        <v>1280.27</v>
      </c>
      <c r="AD36" s="2">
        <f>ROUND((((ET36)-(EU36))+AE36),6)</f>
        <v>0</v>
      </c>
      <c r="AE36" s="2">
        <f>ROUND((EU36),6)</f>
        <v>0</v>
      </c>
      <c r="AF36" s="2">
        <f>ROUND((EV36),6)</f>
        <v>0</v>
      </c>
      <c r="AG36" s="2">
        <f t="shared" si="28"/>
        <v>0</v>
      </c>
      <c r="AH36" s="2">
        <f>(EW36)</f>
        <v>0</v>
      </c>
      <c r="AI36" s="2">
        <f>(EX36)</f>
        <v>0</v>
      </c>
      <c r="AJ36" s="2">
        <f t="shared" si="29"/>
        <v>0</v>
      </c>
      <c r="AK36" s="2">
        <v>1280.27</v>
      </c>
      <c r="AL36" s="2">
        <v>1280.27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3</v>
      </c>
      <c r="BJ36" s="2" t="s">
        <v>3</v>
      </c>
      <c r="BK36" s="2"/>
      <c r="BL36" s="2"/>
      <c r="BM36" s="2">
        <v>746</v>
      </c>
      <c r="BN36" s="2">
        <v>0</v>
      </c>
      <c r="BO36" s="2" t="s">
        <v>3</v>
      </c>
      <c r="BP36" s="2">
        <v>0</v>
      </c>
      <c r="BQ36" s="2">
        <v>130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0</v>
      </c>
      <c r="CA36" s="2">
        <v>0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0"/>
        <v>1280.27</v>
      </c>
      <c r="CQ36" s="2">
        <f>ROUND((ROUND((AC36*1),2)*BC36),2)</f>
        <v>1280.27</v>
      </c>
      <c r="CR36" s="2">
        <f>(ROUND((ROUND(((ET36)*AV36*1),2)*BB36),2)+ROUND((ROUND(((AE36-(EU36))*AV36*1),2)*BS36),2))</f>
        <v>0</v>
      </c>
      <c r="CS36" s="2">
        <f>(ROUND((ROUND(((EU36)*AV36*1),2)*BS36),2)+ROUND((ROUND(((AE36-(EU36))*AV36*1),2)*BS36),2))</f>
        <v>0</v>
      </c>
      <c r="CT36" s="2">
        <f t="shared" si="31"/>
        <v>0</v>
      </c>
      <c r="CU36" s="2">
        <f t="shared" si="32"/>
        <v>0</v>
      </c>
      <c r="CV36" s="2">
        <f t="shared" si="33"/>
        <v>0</v>
      </c>
      <c r="CW36" s="2">
        <f t="shared" si="34"/>
        <v>0</v>
      </c>
      <c r="CX36" s="2">
        <f t="shared" si="35"/>
        <v>0</v>
      </c>
      <c r="CY36" s="2">
        <f>(ROUND((((S36+ROUND((ROUND(((EU36)*AV36*1),2)*BS36),2))*AT36)/100),2)+ROUND(((ROUND((ROUND(((AE36-(EU36))*AV36*1),2)*BS36),2)*AT36)/100),2))</f>
        <v>0</v>
      </c>
      <c r="CZ36" s="2">
        <f>(ROUND((((S36+ROUND((ROUND(((EU36)*AV36*1),2)*BS36),2))*AU36)/100),2)+ROUND(((ROUND((ROUND(((AE36-(EU36))*AV36*1),2)*BS36),2)*AU36)/100),2))</f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32</v>
      </c>
      <c r="DW36" s="2" t="s">
        <v>32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60088638</v>
      </c>
      <c r="EF36" s="2">
        <v>130</v>
      </c>
      <c r="EG36" s="2" t="s">
        <v>33</v>
      </c>
      <c r="EH36" s="2">
        <v>0</v>
      </c>
      <c r="EI36" s="2" t="s">
        <v>3</v>
      </c>
      <c r="EJ36" s="2">
        <v>3</v>
      </c>
      <c r="EK36" s="2">
        <v>746</v>
      </c>
      <c r="EL36" s="2" t="s">
        <v>34</v>
      </c>
      <c r="EM36" s="2" t="s">
        <v>35</v>
      </c>
      <c r="EN36" s="2"/>
      <c r="EO36" s="2" t="s">
        <v>3</v>
      </c>
      <c r="EP36" s="2"/>
      <c r="EQ36" s="2">
        <v>0</v>
      </c>
      <c r="ER36" s="2">
        <v>0</v>
      </c>
      <c r="ES36" s="2">
        <v>1280.27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f>P36</f>
        <v>1280.27</v>
      </c>
      <c r="FS36" s="2">
        <v>0</v>
      </c>
      <c r="FT36" s="2"/>
      <c r="FU36" s="2"/>
      <c r="FV36" s="2"/>
      <c r="FW36" s="2"/>
      <c r="FX36" s="2">
        <v>0</v>
      </c>
      <c r="FY36" s="2">
        <v>0</v>
      </c>
      <c r="FZ36" s="2"/>
      <c r="GA36" s="2" t="s">
        <v>51</v>
      </c>
      <c r="GB36" s="2"/>
      <c r="GC36" s="2"/>
      <c r="GD36" s="2">
        <v>1</v>
      </c>
      <c r="GE36" s="2"/>
      <c r="GF36" s="2">
        <v>-410713413</v>
      </c>
      <c r="GG36" s="2">
        <v>2</v>
      </c>
      <c r="GH36" s="2">
        <v>4</v>
      </c>
      <c r="GI36" s="2">
        <v>-2</v>
      </c>
      <c r="GJ36" s="2">
        <v>0</v>
      </c>
      <c r="GK36" s="2">
        <v>0</v>
      </c>
      <c r="GL36" s="2">
        <f t="shared" si="36"/>
        <v>0</v>
      </c>
      <c r="GM36" s="2">
        <f t="shared" si="37"/>
        <v>1280.27</v>
      </c>
      <c r="GN36" s="2">
        <f t="shared" si="38"/>
        <v>0</v>
      </c>
      <c r="GO36" s="2">
        <f t="shared" si="39"/>
        <v>0</v>
      </c>
      <c r="GP36" s="2">
        <f t="shared" si="40"/>
        <v>0</v>
      </c>
      <c r="GQ36" s="2"/>
      <c r="GR36" s="2">
        <v>0</v>
      </c>
      <c r="GS36" s="2">
        <v>2</v>
      </c>
      <c r="GT36" s="2">
        <v>0</v>
      </c>
      <c r="GU36" s="2" t="s">
        <v>3</v>
      </c>
      <c r="GV36" s="2">
        <f t="shared" si="41"/>
        <v>0</v>
      </c>
      <c r="GW36" s="2">
        <v>1</v>
      </c>
      <c r="GX36" s="2">
        <f t="shared" si="42"/>
        <v>0</v>
      </c>
      <c r="GY36" s="2"/>
      <c r="GZ36" s="2"/>
      <c r="HA36" s="2">
        <v>0</v>
      </c>
      <c r="HB36" s="2">
        <v>0</v>
      </c>
      <c r="HC36" s="2">
        <f t="shared" si="43"/>
        <v>0</v>
      </c>
      <c r="HD36" s="2"/>
      <c r="HE36" s="2" t="s">
        <v>37</v>
      </c>
      <c r="HF36" s="2" t="s">
        <v>38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E37" t="s">
        <v>48</v>
      </c>
      <c r="F37" t="s">
        <v>49</v>
      </c>
      <c r="G37" t="s">
        <v>50</v>
      </c>
      <c r="H37" t="s">
        <v>32</v>
      </c>
      <c r="I37">
        <v>1</v>
      </c>
      <c r="J37">
        <v>0</v>
      </c>
      <c r="K37">
        <v>1</v>
      </c>
      <c r="O37">
        <f t="shared" si="21"/>
        <v>9806.8700000000008</v>
      </c>
      <c r="P37">
        <f>ROUND((ROUND((AC37*I37),2)*BC37),2)</f>
        <v>9806.8700000000008</v>
      </c>
      <c r="Q37">
        <f>(ROUND((ROUND(((ET37)*AV37*I37),2)*BB37),2)+ROUND((ROUND(((AE37-(EU37))*AV37*I37),2)*BS37),2))</f>
        <v>0</v>
      </c>
      <c r="R37">
        <f>(ROUND((ROUND(((EU37)*AV37*I37),2)*BS37),2)+ROUND((ROUND(((AE37-(EU37))*AV37*I37),2)*BS37),2))</f>
        <v>0</v>
      </c>
      <c r="S37">
        <f t="shared" si="22"/>
        <v>0</v>
      </c>
      <c r="T37">
        <f t="shared" si="23"/>
        <v>0</v>
      </c>
      <c r="U37">
        <f t="shared" si="24"/>
        <v>0</v>
      </c>
      <c r="V37">
        <f t="shared" si="25"/>
        <v>0</v>
      </c>
      <c r="W37">
        <f t="shared" si="26"/>
        <v>0</v>
      </c>
      <c r="X37">
        <f>(ROUND((((S37+ROUND((ROUND(((EU37)*AV37*I37),2)*BS37),2))*AT37)/100),2)+ROUND(((ROUND((ROUND(((AE37-(EU37))*AV37*I37),2)*BS37),2)*AT37)/100),2))</f>
        <v>0</v>
      </c>
      <c r="Y37">
        <f>(ROUND((((S37+ROUND((ROUND(((EU37)*AV37*I37),2)*BS37),2))*AU37)/100),2)+ROUND(((ROUND((ROUND(((AE37-(EU37))*AV37*I37),2)*BS37),2)*AU37)/100),2))</f>
        <v>0</v>
      </c>
      <c r="AA37">
        <v>60258618</v>
      </c>
      <c r="AB37">
        <f t="shared" si="27"/>
        <v>1280.27</v>
      </c>
      <c r="AC37">
        <f>ROUND((ES37),6)</f>
        <v>1280.27</v>
      </c>
      <c r="AD37">
        <f>ROUND((((ET37)-(EU37))+AE37),6)</f>
        <v>0</v>
      </c>
      <c r="AE37">
        <f>ROUND((EU37),6)</f>
        <v>0</v>
      </c>
      <c r="AF37">
        <f>ROUND((EV37),6)</f>
        <v>0</v>
      </c>
      <c r="AG37">
        <f t="shared" si="28"/>
        <v>0</v>
      </c>
      <c r="AH37">
        <f>(EW37)</f>
        <v>0</v>
      </c>
      <c r="AI37">
        <f>(EX37)</f>
        <v>0</v>
      </c>
      <c r="AJ37">
        <f t="shared" si="29"/>
        <v>0</v>
      </c>
      <c r="AK37">
        <v>1280.27</v>
      </c>
      <c r="AL37">
        <v>1280.27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</v>
      </c>
      <c r="AZ37">
        <v>1</v>
      </c>
      <c r="BA37">
        <v>1</v>
      </c>
      <c r="BB37">
        <v>1</v>
      </c>
      <c r="BC37">
        <v>7.66</v>
      </c>
      <c r="BD37" t="s">
        <v>3</v>
      </c>
      <c r="BE37" t="s">
        <v>3</v>
      </c>
      <c r="BF37" t="s">
        <v>3</v>
      </c>
      <c r="BG37" t="s">
        <v>3</v>
      </c>
      <c r="BH37">
        <v>3</v>
      </c>
      <c r="BI37">
        <v>3</v>
      </c>
      <c r="BJ37" t="s">
        <v>3</v>
      </c>
      <c r="BM37">
        <v>746</v>
      </c>
      <c r="BN37">
        <v>0</v>
      </c>
      <c r="BO37" t="s">
        <v>3</v>
      </c>
      <c r="BP37">
        <v>0</v>
      </c>
      <c r="BQ37">
        <v>130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0</v>
      </c>
      <c r="CA37">
        <v>0</v>
      </c>
      <c r="CB37" t="s">
        <v>3</v>
      </c>
      <c r="CE37">
        <v>1566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30"/>
        <v>9806.8700000000008</v>
      </c>
      <c r="CQ37">
        <f>ROUND((ROUND((AC37*1),2)*BC37),2)</f>
        <v>9806.8700000000008</v>
      </c>
      <c r="CR37">
        <f>(ROUND((ROUND(((ET37)*AV37*1),2)*BB37),2)+ROUND((ROUND(((AE37-(EU37))*AV37*1),2)*BS37),2))</f>
        <v>0</v>
      </c>
      <c r="CS37">
        <f>(ROUND((ROUND(((EU37)*AV37*1),2)*BS37),2)+ROUND((ROUND(((AE37-(EU37))*AV37*1),2)*BS37),2))</f>
        <v>0</v>
      </c>
      <c r="CT37">
        <f t="shared" si="31"/>
        <v>0</v>
      </c>
      <c r="CU37">
        <f t="shared" si="32"/>
        <v>0</v>
      </c>
      <c r="CV37">
        <f t="shared" si="33"/>
        <v>0</v>
      </c>
      <c r="CW37">
        <f t="shared" si="34"/>
        <v>0</v>
      </c>
      <c r="CX37">
        <f t="shared" si="35"/>
        <v>0</v>
      </c>
      <c r="CY37">
        <f>(ROUND((((S37+ROUND((ROUND(((EU37)*AV37*1),2)*BS37),2))*AT37)/100),2)+ROUND(((ROUND((ROUND(((AE37-(EU37))*AV37*1),2)*BS37),2)*AT37)/100),2))</f>
        <v>0</v>
      </c>
      <c r="CZ37">
        <f>(ROUND((((S37+ROUND((ROUND(((EU37)*AV37*1),2)*BS37),2))*AU37)/100),2)+ROUND(((ROUND((ROUND(((AE37-(EU37))*AV37*1),2)*BS37),2)*AU37)/100),2))</f>
        <v>0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1013</v>
      </c>
      <c r="DV37" t="s">
        <v>32</v>
      </c>
      <c r="DW37" t="s">
        <v>32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60088638</v>
      </c>
      <c r="EF37">
        <v>130</v>
      </c>
      <c r="EG37" t="s">
        <v>33</v>
      </c>
      <c r="EH37">
        <v>0</v>
      </c>
      <c r="EI37" t="s">
        <v>3</v>
      </c>
      <c r="EJ37">
        <v>3</v>
      </c>
      <c r="EK37">
        <v>746</v>
      </c>
      <c r="EL37" t="s">
        <v>34</v>
      </c>
      <c r="EM37" t="s">
        <v>35</v>
      </c>
      <c r="EO37" t="s">
        <v>3</v>
      </c>
      <c r="EQ37">
        <v>0</v>
      </c>
      <c r="ER37">
        <v>0</v>
      </c>
      <c r="ES37">
        <v>1280.27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5</v>
      </c>
      <c r="FC37">
        <v>1</v>
      </c>
      <c r="FD37">
        <v>18</v>
      </c>
      <c r="FF37">
        <v>11290</v>
      </c>
      <c r="FQ37">
        <v>0</v>
      </c>
      <c r="FR37">
        <f>P37</f>
        <v>9806.8700000000008</v>
      </c>
      <c r="FS37">
        <v>0</v>
      </c>
      <c r="FX37">
        <v>0</v>
      </c>
      <c r="FY37">
        <v>0</v>
      </c>
      <c r="GA37" t="s">
        <v>51</v>
      </c>
      <c r="GD37">
        <v>1</v>
      </c>
      <c r="GF37">
        <v>-410713413</v>
      </c>
      <c r="GG37">
        <v>2</v>
      </c>
      <c r="GH37">
        <v>3</v>
      </c>
      <c r="GI37">
        <v>5</v>
      </c>
      <c r="GJ37">
        <v>0</v>
      </c>
      <c r="GK37">
        <v>0</v>
      </c>
      <c r="GL37">
        <f t="shared" si="36"/>
        <v>0</v>
      </c>
      <c r="GM37">
        <f t="shared" si="37"/>
        <v>9806.8700000000008</v>
      </c>
      <c r="GN37">
        <f t="shared" si="38"/>
        <v>0</v>
      </c>
      <c r="GO37">
        <f t="shared" si="39"/>
        <v>0</v>
      </c>
      <c r="GP37">
        <f t="shared" si="40"/>
        <v>0</v>
      </c>
      <c r="GR37">
        <v>1</v>
      </c>
      <c r="GS37">
        <v>1</v>
      </c>
      <c r="GT37">
        <v>0</v>
      </c>
      <c r="GU37" t="s">
        <v>3</v>
      </c>
      <c r="GV37">
        <f t="shared" si="41"/>
        <v>0</v>
      </c>
      <c r="GW37">
        <v>1</v>
      </c>
      <c r="GX37">
        <f t="shared" si="42"/>
        <v>0</v>
      </c>
      <c r="HA37">
        <v>0</v>
      </c>
      <c r="HB37">
        <v>0</v>
      </c>
      <c r="HC37">
        <f t="shared" si="43"/>
        <v>0</v>
      </c>
      <c r="HE37" t="s">
        <v>37</v>
      </c>
      <c r="HF37" t="s">
        <v>38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>
        <f>ROW(SmtRes!A19)</f>
        <v>19</v>
      </c>
      <c r="D38" s="2">
        <f>ROW(EtalonRes!A25)</f>
        <v>25</v>
      </c>
      <c r="E38" s="2" t="s">
        <v>52</v>
      </c>
      <c r="F38" s="2" t="s">
        <v>53</v>
      </c>
      <c r="G38" s="2" t="s">
        <v>54</v>
      </c>
      <c r="H38" s="2" t="s">
        <v>21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1"/>
        <v>122.06</v>
      </c>
      <c r="P38" s="2">
        <f>ROUND((ROUND((AC38*AW38*I38),2)*BC38),2)</f>
        <v>12.53</v>
      </c>
      <c r="Q38" s="2">
        <f>(ROUND((ROUND((((ET38*1.1))*AV38*I38),2)*BB38),2)+ROUND((ROUND(((AE38-((EU38*1.1)))*AV38*I38),2)*BS38),2))</f>
        <v>7.0000000000000007E-2</v>
      </c>
      <c r="R38" s="2">
        <f>(ROUND((ROUND((((EU38*1.1))*AV38*I38),2)*BS38),2)+ROUND((ROUND(((AE38-((EU38*1.1)))*AV38*I38),2)*BS38),2))</f>
        <v>0.01</v>
      </c>
      <c r="S38" s="2">
        <f t="shared" si="22"/>
        <v>109.46</v>
      </c>
      <c r="T38" s="2">
        <f t="shared" si="23"/>
        <v>0</v>
      </c>
      <c r="U38" s="2">
        <f t="shared" si="24"/>
        <v>8.2922399999999996</v>
      </c>
      <c r="V38" s="2">
        <f t="shared" si="25"/>
        <v>0</v>
      </c>
      <c r="W38" s="2">
        <f t="shared" si="26"/>
        <v>0</v>
      </c>
      <c r="X38" s="2">
        <f>(ROUND((((S38+ROUND((ROUND((((EU38*1.1))*AV38*I38),2)*BS38),2))*AT38)/100),2)+ROUND(((ROUND((ROUND(((AE38-((EU38*1.1)))*AV38*I38),2)*BS38),2)*AT38)/100),2))</f>
        <v>98.52</v>
      </c>
      <c r="Y38" s="2">
        <f>(ROUND((((S38+ROUND((ROUND((((EU38*1.1))*AV38*I38),2)*BS38),2))*AU38)/100),2)+ROUND(((ROUND((ROUND(((AE38-((EU38*1.1)))*AV38*I38),2)*BS38),2)*AU38)/100),2))</f>
        <v>50.36</v>
      </c>
      <c r="Z38" s="2"/>
      <c r="AA38" s="2">
        <v>60258621</v>
      </c>
      <c r="AB38" s="2">
        <f t="shared" si="27"/>
        <v>117.14</v>
      </c>
      <c r="AC38" s="2">
        <f>ROUND(((ES38*1)),6)</f>
        <v>12.53</v>
      </c>
      <c r="AD38" s="2">
        <f>ROUND(((((ET38*1.1))-((EU38*1.1)))+AE38),6)</f>
        <v>6.6000000000000003E-2</v>
      </c>
      <c r="AE38" s="2">
        <f>ROUND(((EU38*1.1)),6)</f>
        <v>1.0999999999999999E-2</v>
      </c>
      <c r="AF38" s="2">
        <f>ROUND(((EV38*1.1)),6)</f>
        <v>104.544</v>
      </c>
      <c r="AG38" s="2">
        <f t="shared" si="28"/>
        <v>0</v>
      </c>
      <c r="AH38" s="2">
        <f>((EW38*1.1))</f>
        <v>7.9200000000000008</v>
      </c>
      <c r="AI38" s="2">
        <f>((EX38*1.1))</f>
        <v>0</v>
      </c>
      <c r="AJ38" s="2">
        <f t="shared" si="29"/>
        <v>0</v>
      </c>
      <c r="AK38" s="2">
        <v>107.63</v>
      </c>
      <c r="AL38" s="2">
        <v>12.53</v>
      </c>
      <c r="AM38" s="2">
        <v>0.06</v>
      </c>
      <c r="AN38" s="2">
        <v>0.01</v>
      </c>
      <c r="AO38" s="2">
        <v>95.04</v>
      </c>
      <c r="AP38" s="2">
        <v>0</v>
      </c>
      <c r="AQ38" s="2">
        <v>7.2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55</v>
      </c>
      <c r="BK38" s="2"/>
      <c r="BL38" s="2"/>
      <c r="BM38" s="2">
        <v>68</v>
      </c>
      <c r="BN38" s="2">
        <v>58973116</v>
      </c>
      <c r="BO38" s="2" t="s">
        <v>53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407</v>
      </c>
      <c r="CO38" s="2">
        <v>0</v>
      </c>
      <c r="CP38" s="2">
        <f t="shared" si="30"/>
        <v>122.05999999999999</v>
      </c>
      <c r="CQ38" s="2">
        <f>ROUND((ROUND((AC38*AW38*1),2)*BC38),2)</f>
        <v>12.53</v>
      </c>
      <c r="CR38" s="2">
        <f>(ROUND((ROUND((((ET38*1.1))*AV38*1),2)*BB38),2)+ROUND((ROUND(((AE38-((EU38*1.1)))*AV38*1),2)*BS38),2))</f>
        <v>7.0000000000000007E-2</v>
      </c>
      <c r="CS38" s="2">
        <f>(ROUND((ROUND((((EU38*1.1))*AV38*1),2)*BS38),2)+ROUND((ROUND(((AE38-((EU38*1.1)))*AV38*1),2)*BS38),2))</f>
        <v>0.01</v>
      </c>
      <c r="CT38" s="2">
        <f t="shared" si="31"/>
        <v>109.46</v>
      </c>
      <c r="CU38" s="2">
        <f t="shared" si="32"/>
        <v>0</v>
      </c>
      <c r="CV38" s="2">
        <f t="shared" si="33"/>
        <v>8.2922399999999996</v>
      </c>
      <c r="CW38" s="2">
        <f t="shared" si="34"/>
        <v>0</v>
      </c>
      <c r="CX38" s="2">
        <f t="shared" si="35"/>
        <v>0</v>
      </c>
      <c r="CY38" s="2">
        <f>(ROUND((((S38+ROUND((ROUND((((EU38*1.1))*AV38*1),2)*BS38),2))*AT38)/100),2)+ROUND(((ROUND((ROUND(((AE38-((EU38*1.1)))*AV38*1),2)*BS38),2)*AT38)/100),2))</f>
        <v>98.52</v>
      </c>
      <c r="CZ38" s="2">
        <f>(ROUND((((S38+ROUND((ROUND((((EU38*1.1))*AV38*1),2)*BS38),2))*AU38)/100),2)+ROUND(((ROUND((ROUND(((AE38-((EU38*1.1)))*AV38*1),2)*BS38),2)*AU38)/100),2))</f>
        <v>50.36</v>
      </c>
      <c r="DA38" s="2"/>
      <c r="DB38" s="2">
        <v>5</v>
      </c>
      <c r="DC38" s="2" t="s">
        <v>3</v>
      </c>
      <c r="DD38" s="2" t="s">
        <v>23</v>
      </c>
      <c r="DE38" s="2" t="s">
        <v>24</v>
      </c>
      <c r="DF38" s="2" t="s">
        <v>24</v>
      </c>
      <c r="DG38" s="2" t="s">
        <v>24</v>
      </c>
      <c r="DH38" s="2" t="s">
        <v>3</v>
      </c>
      <c r="DI38" s="2" t="s">
        <v>24</v>
      </c>
      <c r="DJ38" s="2" t="s">
        <v>24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21</v>
      </c>
      <c r="DW38" s="2" t="s">
        <v>21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60088532</v>
      </c>
      <c r="EF38" s="2">
        <v>40</v>
      </c>
      <c r="EG38" s="2" t="s">
        <v>25</v>
      </c>
      <c r="EH38" s="2">
        <v>0</v>
      </c>
      <c r="EI38" s="2" t="s">
        <v>3</v>
      </c>
      <c r="EJ38" s="2">
        <v>2</v>
      </c>
      <c r="EK38" s="2">
        <v>68</v>
      </c>
      <c r="EL38" s="2" t="s">
        <v>46</v>
      </c>
      <c r="EM38" s="2" t="s">
        <v>47</v>
      </c>
      <c r="EN38" s="2"/>
      <c r="EO38" s="2" t="s">
        <v>28</v>
      </c>
      <c r="EP38" s="2"/>
      <c r="EQ38" s="2">
        <v>0</v>
      </c>
      <c r="ER38" s="2">
        <v>107.63</v>
      </c>
      <c r="ES38" s="2">
        <v>12.53</v>
      </c>
      <c r="ET38" s="2">
        <v>0.06</v>
      </c>
      <c r="EU38" s="2">
        <v>0.01</v>
      </c>
      <c r="EV38" s="2">
        <v>95.04</v>
      </c>
      <c r="EW38" s="2">
        <v>7.2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723018335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36"/>
        <v>0</v>
      </c>
      <c r="GM38" s="2">
        <f t="shared" si="37"/>
        <v>270.94</v>
      </c>
      <c r="GN38" s="2">
        <f t="shared" si="38"/>
        <v>0</v>
      </c>
      <c r="GO38" s="2">
        <f t="shared" si="39"/>
        <v>270.94</v>
      </c>
      <c r="GP38" s="2">
        <f t="shared" si="40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41"/>
        <v>0</v>
      </c>
      <c r="GW38" s="2">
        <v>1</v>
      </c>
      <c r="GX38" s="2">
        <f t="shared" si="42"/>
        <v>0</v>
      </c>
      <c r="GY38" s="2"/>
      <c r="GZ38" s="2"/>
      <c r="HA38" s="2">
        <v>0</v>
      </c>
      <c r="HB38" s="2">
        <v>0</v>
      </c>
      <c r="HC38" s="2">
        <f t="shared" si="43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C39">
        <f>ROW(SmtRes!A20)</f>
        <v>20</v>
      </c>
      <c r="D39">
        <f>ROW(EtalonRes!A26)</f>
        <v>26</v>
      </c>
      <c r="E39" t="s">
        <v>52</v>
      </c>
      <c r="F39" t="s">
        <v>53</v>
      </c>
      <c r="G39" t="s">
        <v>54</v>
      </c>
      <c r="H39" t="s">
        <v>21</v>
      </c>
      <c r="I39">
        <v>1</v>
      </c>
      <c r="J39">
        <v>0</v>
      </c>
      <c r="K39">
        <v>1</v>
      </c>
      <c r="O39">
        <f t="shared" si="21"/>
        <v>6144.36</v>
      </c>
      <c r="P39">
        <f>ROUND((ROUND((AC39*AW39*I39),2)*BC39),2)</f>
        <v>123.92</v>
      </c>
      <c r="Q39">
        <f>(ROUND((ROUND((((ET39*1.1))*AV39*I39),2)*BB39),2)+ROUND((ROUND(((AE39-((EU39*1.1)))*AV39*I39),2)*BS39),2))</f>
        <v>1.23</v>
      </c>
      <c r="R39">
        <f>(ROUND((ROUND((((EU39*1.1))*AV39*I39),2)*BS39),2)+ROUND((ROUND(((AE39-((EU39*1.1)))*AV39*I39),2)*BS39),2))</f>
        <v>0.55000000000000004</v>
      </c>
      <c r="S39">
        <f t="shared" si="22"/>
        <v>6019.21</v>
      </c>
      <c r="T39">
        <f t="shared" si="23"/>
        <v>0</v>
      </c>
      <c r="U39">
        <f t="shared" si="24"/>
        <v>8.2922399999999996</v>
      </c>
      <c r="V39">
        <f t="shared" si="25"/>
        <v>0</v>
      </c>
      <c r="W39">
        <f t="shared" si="26"/>
        <v>0</v>
      </c>
      <c r="X39">
        <f>(ROUND((((S39+ROUND((ROUND((((EU39*1.1))*AV39*I39),2)*BS39),2))*AT39)/100),2)+ROUND(((ROUND((ROUND(((AE39-((EU39*1.1)))*AV39*I39),2)*BS39),2)*AT39)/100),2))</f>
        <v>5417.78</v>
      </c>
      <c r="Y39">
        <f>(ROUND((((S39+ROUND((ROUND((((EU39*1.1))*AV39*I39),2)*BS39),2))*AU39)/100),2)+ROUND(((ROUND((ROUND(((AE39-((EU39*1.1)))*AV39*I39),2)*BS39),2)*AU39)/100),2))</f>
        <v>2769.09</v>
      </c>
      <c r="AA39">
        <v>60258618</v>
      </c>
      <c r="AB39">
        <f t="shared" si="27"/>
        <v>117.14</v>
      </c>
      <c r="AC39">
        <f>ROUND(((ES39*1)),6)</f>
        <v>12.53</v>
      </c>
      <c r="AD39">
        <f>ROUND(((((ET39*1.1))-((EU39*1.1)))+AE39),6)</f>
        <v>6.6000000000000003E-2</v>
      </c>
      <c r="AE39">
        <f>ROUND(((EU39*1.1)),6)</f>
        <v>1.0999999999999999E-2</v>
      </c>
      <c r="AF39">
        <f>ROUND(((EV39*1.1)),6)</f>
        <v>104.544</v>
      </c>
      <c r="AG39">
        <f t="shared" si="28"/>
        <v>0</v>
      </c>
      <c r="AH39">
        <f>((EW39*1.1))</f>
        <v>7.9200000000000008</v>
      </c>
      <c r="AI39">
        <f>((EX39*1.1))</f>
        <v>0</v>
      </c>
      <c r="AJ39">
        <f t="shared" si="29"/>
        <v>0</v>
      </c>
      <c r="AK39">
        <v>107.63</v>
      </c>
      <c r="AL39">
        <v>12.53</v>
      </c>
      <c r="AM39">
        <v>0.06</v>
      </c>
      <c r="AN39">
        <v>0.01</v>
      </c>
      <c r="AO39">
        <v>95.04</v>
      </c>
      <c r="AP39">
        <v>0</v>
      </c>
      <c r="AQ39">
        <v>7.2</v>
      </c>
      <c r="AR39">
        <v>0</v>
      </c>
      <c r="AS39">
        <v>0</v>
      </c>
      <c r="AT39">
        <v>90</v>
      </c>
      <c r="AU39">
        <v>46</v>
      </c>
      <c r="AV39">
        <v>1.0469999999999999</v>
      </c>
      <c r="AW39">
        <v>1</v>
      </c>
      <c r="AZ39">
        <v>1</v>
      </c>
      <c r="BA39">
        <v>54.99</v>
      </c>
      <c r="BB39">
        <v>17.5</v>
      </c>
      <c r="BC39">
        <v>9.89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2</v>
      </c>
      <c r="BJ39" t="s">
        <v>55</v>
      </c>
      <c r="BM39">
        <v>68</v>
      </c>
      <c r="BN39">
        <v>58973116</v>
      </c>
      <c r="BO39" t="s">
        <v>53</v>
      </c>
      <c r="BP39">
        <v>1</v>
      </c>
      <c r="BQ39">
        <v>40</v>
      </c>
      <c r="BR39">
        <v>0</v>
      </c>
      <c r="BS39">
        <v>54.99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90</v>
      </c>
      <c r="CA39">
        <v>46</v>
      </c>
      <c r="CB39" t="s">
        <v>3</v>
      </c>
      <c r="CE39">
        <v>1566</v>
      </c>
      <c r="CF39">
        <v>0</v>
      </c>
      <c r="CG39">
        <v>0</v>
      </c>
      <c r="CM39">
        <v>0</v>
      </c>
      <c r="CN39" t="s">
        <v>407</v>
      </c>
      <c r="CO39">
        <v>0</v>
      </c>
      <c r="CP39">
        <f t="shared" si="30"/>
        <v>6144.36</v>
      </c>
      <c r="CQ39">
        <f>ROUND((ROUND((AC39*AW39*1),2)*BC39),2)</f>
        <v>123.92</v>
      </c>
      <c r="CR39">
        <f>(ROUND((ROUND((((ET39*1.1))*AV39*1),2)*BB39),2)+ROUND((ROUND(((AE39-((EU39*1.1)))*AV39*1),2)*BS39),2))</f>
        <v>1.23</v>
      </c>
      <c r="CS39">
        <f>(ROUND((ROUND((((EU39*1.1))*AV39*1),2)*BS39),2)+ROUND((ROUND(((AE39-((EU39*1.1)))*AV39*1),2)*BS39),2))</f>
        <v>0.55000000000000004</v>
      </c>
      <c r="CT39">
        <f t="shared" si="31"/>
        <v>6019.21</v>
      </c>
      <c r="CU39">
        <f t="shared" si="32"/>
        <v>0</v>
      </c>
      <c r="CV39">
        <f t="shared" si="33"/>
        <v>8.2922399999999996</v>
      </c>
      <c r="CW39">
        <f t="shared" si="34"/>
        <v>0</v>
      </c>
      <c r="CX39">
        <f t="shared" si="35"/>
        <v>0</v>
      </c>
      <c r="CY39">
        <f>(ROUND((((S39+ROUND((ROUND((((EU39*1.1))*AV39*1),2)*BS39),2))*AT39)/100),2)+ROUND(((ROUND((ROUND(((AE39-((EU39*1.1)))*AV39*1),2)*BS39),2)*AT39)/100),2))</f>
        <v>5417.78</v>
      </c>
      <c r="CZ39">
        <f>(ROUND((((S39+ROUND((ROUND((((EU39*1.1))*AV39*1),2)*BS39),2))*AU39)/100),2)+ROUND(((ROUND((ROUND(((AE39-((EU39*1.1)))*AV39*1),2)*BS39),2)*AU39)/100),2))</f>
        <v>2769.09</v>
      </c>
      <c r="DB39">
        <v>6</v>
      </c>
      <c r="DC39" t="s">
        <v>3</v>
      </c>
      <c r="DD39" t="s">
        <v>23</v>
      </c>
      <c r="DE39" t="s">
        <v>24</v>
      </c>
      <c r="DF39" t="s">
        <v>24</v>
      </c>
      <c r="DG39" t="s">
        <v>24</v>
      </c>
      <c r="DH39" t="s">
        <v>3</v>
      </c>
      <c r="DI39" t="s">
        <v>24</v>
      </c>
      <c r="DJ39" t="s">
        <v>24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1013</v>
      </c>
      <c r="DV39" t="s">
        <v>21</v>
      </c>
      <c r="DW39" t="s">
        <v>21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60088532</v>
      </c>
      <c r="EF39">
        <v>40</v>
      </c>
      <c r="EG39" t="s">
        <v>25</v>
      </c>
      <c r="EH39">
        <v>0</v>
      </c>
      <c r="EI39" t="s">
        <v>3</v>
      </c>
      <c r="EJ39">
        <v>2</v>
      </c>
      <c r="EK39">
        <v>68</v>
      </c>
      <c r="EL39" t="s">
        <v>46</v>
      </c>
      <c r="EM39" t="s">
        <v>47</v>
      </c>
      <c r="EO39" t="s">
        <v>28</v>
      </c>
      <c r="EQ39">
        <v>0</v>
      </c>
      <c r="ER39">
        <v>107.63</v>
      </c>
      <c r="ES39">
        <v>12.53</v>
      </c>
      <c r="ET39">
        <v>0.06</v>
      </c>
      <c r="EU39">
        <v>0.01</v>
      </c>
      <c r="EV39">
        <v>95.04</v>
      </c>
      <c r="EW39">
        <v>7.2</v>
      </c>
      <c r="EX39">
        <v>0</v>
      </c>
      <c r="EY39">
        <v>0</v>
      </c>
      <c r="FQ39">
        <v>0</v>
      </c>
      <c r="FR39">
        <v>0</v>
      </c>
      <c r="FS39">
        <v>0</v>
      </c>
      <c r="FX39">
        <v>90</v>
      </c>
      <c r="FY39">
        <v>46</v>
      </c>
      <c r="GA39" t="s">
        <v>3</v>
      </c>
      <c r="GD39">
        <v>1</v>
      </c>
      <c r="GF39">
        <v>723018335</v>
      </c>
      <c r="GG39">
        <v>2</v>
      </c>
      <c r="GH39">
        <v>1</v>
      </c>
      <c r="GI39">
        <v>2</v>
      </c>
      <c r="GJ39">
        <v>0</v>
      </c>
      <c r="GK39">
        <v>0</v>
      </c>
      <c r="GL39">
        <f t="shared" si="36"/>
        <v>0</v>
      </c>
      <c r="GM39">
        <f t="shared" si="37"/>
        <v>14331.23</v>
      </c>
      <c r="GN39">
        <f t="shared" si="38"/>
        <v>0</v>
      </c>
      <c r="GO39">
        <f t="shared" si="39"/>
        <v>14331.23</v>
      </c>
      <c r="GP39">
        <f t="shared" si="40"/>
        <v>0</v>
      </c>
      <c r="GR39">
        <v>0</v>
      </c>
      <c r="GS39">
        <v>3</v>
      </c>
      <c r="GT39">
        <v>0</v>
      </c>
      <c r="GU39" t="s">
        <v>3</v>
      </c>
      <c r="GV39">
        <f t="shared" si="41"/>
        <v>0</v>
      </c>
      <c r="GW39">
        <v>1</v>
      </c>
      <c r="GX39">
        <f t="shared" si="42"/>
        <v>0</v>
      </c>
      <c r="HA39">
        <v>0</v>
      </c>
      <c r="HB39">
        <v>0</v>
      </c>
      <c r="HC39">
        <f t="shared" si="43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56</v>
      </c>
      <c r="F40" s="2" t="s">
        <v>57</v>
      </c>
      <c r="G40" s="2" t="s">
        <v>58</v>
      </c>
      <c r="H40" s="2" t="s">
        <v>32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9985.5400000000009</v>
      </c>
      <c r="P40" s="2">
        <f>ROUND((ROUND((AC40*I40),2)*BC40),2)</f>
        <v>9985.5400000000009</v>
      </c>
      <c r="Q40" s="2">
        <f>(ROUND((ROUND(((ET40)*AV40*I40),2)*BB40),2)+ROUND((ROUND(((AE40-(EU40))*AV40*I40),2)*BS40),2))</f>
        <v>0</v>
      </c>
      <c r="R40" s="2">
        <f>(ROUND((ROUND(((EU40)*AV40*I40),2)*BS40),2)+ROUND((ROUND(((AE40-(EU40))*AV40*I40),2)*BS40),2))</f>
        <v>0</v>
      </c>
      <c r="S40" s="2">
        <f t="shared" si="22"/>
        <v>0</v>
      </c>
      <c r="T40" s="2">
        <f t="shared" si="23"/>
        <v>0</v>
      </c>
      <c r="U40" s="2">
        <f t="shared" si="24"/>
        <v>0</v>
      </c>
      <c r="V40" s="2">
        <f t="shared" si="25"/>
        <v>0</v>
      </c>
      <c r="W40" s="2">
        <f t="shared" si="26"/>
        <v>0</v>
      </c>
      <c r="X40" s="2">
        <f>(ROUND((((S40+ROUND((ROUND(((EU40)*AV40*I40),2)*BS40),2))*AT40)/100),2)+ROUND(((ROUND((ROUND(((AE40-(EU40))*AV40*I40),2)*BS40),2)*AT40)/100),2))</f>
        <v>0</v>
      </c>
      <c r="Y40" s="2">
        <f>(ROUND((((S40+ROUND((ROUND(((EU40)*AV40*I40),2)*BS40),2))*AU40)/100),2)+ROUND(((ROUND((ROUND(((AE40-(EU40))*AV40*I40),2)*BS40),2)*AU40)/100),2))</f>
        <v>0</v>
      </c>
      <c r="Z40" s="2"/>
      <c r="AA40" s="2">
        <v>60258621</v>
      </c>
      <c r="AB40" s="2">
        <f t="shared" si="27"/>
        <v>9985.5400000000009</v>
      </c>
      <c r="AC40" s="2">
        <f>ROUND((ES40),6)</f>
        <v>9985.5400000000009</v>
      </c>
      <c r="AD40" s="2">
        <f>ROUND((((ET40)-(EU40))+AE40),6)</f>
        <v>0</v>
      </c>
      <c r="AE40" s="2">
        <f>ROUND((EU40),6)</f>
        <v>0</v>
      </c>
      <c r="AF40" s="2">
        <f>ROUND((EV40),6)</f>
        <v>0</v>
      </c>
      <c r="AG40" s="2">
        <f t="shared" si="28"/>
        <v>0</v>
      </c>
      <c r="AH40" s="2">
        <f>(EW40)</f>
        <v>0</v>
      </c>
      <c r="AI40" s="2">
        <f>(EX40)</f>
        <v>0</v>
      </c>
      <c r="AJ40" s="2">
        <f t="shared" si="29"/>
        <v>0</v>
      </c>
      <c r="AK40" s="2">
        <v>9985.5399999999991</v>
      </c>
      <c r="AL40" s="2">
        <v>9985.5399999999991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3</v>
      </c>
      <c r="BJ40" s="2" t="s">
        <v>3</v>
      </c>
      <c r="BK40" s="2"/>
      <c r="BL40" s="2"/>
      <c r="BM40" s="2">
        <v>746</v>
      </c>
      <c r="BN40" s="2">
        <v>0</v>
      </c>
      <c r="BO40" s="2" t="s">
        <v>3</v>
      </c>
      <c r="BP40" s="2">
        <v>0</v>
      </c>
      <c r="BQ40" s="2">
        <v>130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0"/>
        <v>9985.5400000000009</v>
      </c>
      <c r="CQ40" s="2">
        <f>ROUND((ROUND((AC40*1),2)*BC40),2)</f>
        <v>9985.5400000000009</v>
      </c>
      <c r="CR40" s="2">
        <f>(ROUND((ROUND(((ET40)*AV40*1),2)*BB40),2)+ROUND((ROUND(((AE40-(EU40))*AV40*1),2)*BS40),2))</f>
        <v>0</v>
      </c>
      <c r="CS40" s="2">
        <f>(ROUND((ROUND(((EU40)*AV40*1),2)*BS40),2)+ROUND((ROUND(((AE40-(EU40))*AV40*1),2)*BS40),2))</f>
        <v>0</v>
      </c>
      <c r="CT40" s="2">
        <f t="shared" si="31"/>
        <v>0</v>
      </c>
      <c r="CU40" s="2">
        <f t="shared" si="32"/>
        <v>0</v>
      </c>
      <c r="CV40" s="2">
        <f t="shared" si="33"/>
        <v>0</v>
      </c>
      <c r="CW40" s="2">
        <f t="shared" si="34"/>
        <v>0</v>
      </c>
      <c r="CX40" s="2">
        <f t="shared" si="35"/>
        <v>0</v>
      </c>
      <c r="CY40" s="2">
        <f>(ROUND((((S40+ROUND((ROUND(((EU40)*AV40*1),2)*BS40),2))*AT40)/100),2)+ROUND(((ROUND((ROUND(((AE40-(EU40))*AV40*1),2)*BS40),2)*AT40)/100),2))</f>
        <v>0</v>
      </c>
      <c r="CZ40" s="2">
        <f>(ROUND((((S40+ROUND((ROUND(((EU40)*AV40*1),2)*BS40),2))*AU40)/100),2)+ROUND(((ROUND((ROUND(((AE40-(EU40))*AV40*1),2)*BS40),2)*AU40)/100),2))</f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32</v>
      </c>
      <c r="DW40" s="2" t="s">
        <v>32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60088638</v>
      </c>
      <c r="EF40" s="2">
        <v>130</v>
      </c>
      <c r="EG40" s="2" t="s">
        <v>33</v>
      </c>
      <c r="EH40" s="2">
        <v>0</v>
      </c>
      <c r="EI40" s="2" t="s">
        <v>3</v>
      </c>
      <c r="EJ40" s="2">
        <v>3</v>
      </c>
      <c r="EK40" s="2">
        <v>746</v>
      </c>
      <c r="EL40" s="2" t="s">
        <v>34</v>
      </c>
      <c r="EM40" s="2" t="s">
        <v>35</v>
      </c>
      <c r="EN40" s="2"/>
      <c r="EO40" s="2" t="s">
        <v>3</v>
      </c>
      <c r="EP40" s="2"/>
      <c r="EQ40" s="2">
        <v>0</v>
      </c>
      <c r="ER40" s="2">
        <v>0</v>
      </c>
      <c r="ES40" s="2">
        <v>9985.5399999999991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f>P40</f>
        <v>9985.5400000000009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59</v>
      </c>
      <c r="GB40" s="2"/>
      <c r="GC40" s="2"/>
      <c r="GD40" s="2">
        <v>1</v>
      </c>
      <c r="GE40" s="2"/>
      <c r="GF40" s="2">
        <v>1190544240</v>
      </c>
      <c r="GG40" s="2">
        <v>2</v>
      </c>
      <c r="GH40" s="2">
        <v>4</v>
      </c>
      <c r="GI40" s="2">
        <v>-2</v>
      </c>
      <c r="GJ40" s="2">
        <v>0</v>
      </c>
      <c r="GK40" s="2">
        <v>0</v>
      </c>
      <c r="GL40" s="2">
        <f t="shared" si="36"/>
        <v>0</v>
      </c>
      <c r="GM40" s="2">
        <f t="shared" si="37"/>
        <v>9985.5400000000009</v>
      </c>
      <c r="GN40" s="2">
        <f t="shared" si="38"/>
        <v>0</v>
      </c>
      <c r="GO40" s="2">
        <f t="shared" si="39"/>
        <v>0</v>
      </c>
      <c r="GP40" s="2">
        <f t="shared" si="40"/>
        <v>0</v>
      </c>
      <c r="GQ40" s="2"/>
      <c r="GR40" s="2">
        <v>0</v>
      </c>
      <c r="GS40" s="2">
        <v>2</v>
      </c>
      <c r="GT40" s="2">
        <v>0</v>
      </c>
      <c r="GU40" s="2" t="s">
        <v>3</v>
      </c>
      <c r="GV40" s="2">
        <f t="shared" si="41"/>
        <v>0</v>
      </c>
      <c r="GW40" s="2">
        <v>1</v>
      </c>
      <c r="GX40" s="2">
        <f t="shared" si="42"/>
        <v>0</v>
      </c>
      <c r="GY40" s="2"/>
      <c r="GZ40" s="2"/>
      <c r="HA40" s="2">
        <v>0</v>
      </c>
      <c r="HB40" s="2">
        <v>0</v>
      </c>
      <c r="HC40" s="2">
        <f t="shared" si="43"/>
        <v>0</v>
      </c>
      <c r="HD40" s="2"/>
      <c r="HE40" s="2" t="s">
        <v>37</v>
      </c>
      <c r="HF40" s="2" t="s">
        <v>38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E41" t="s">
        <v>56</v>
      </c>
      <c r="F41" t="s">
        <v>57</v>
      </c>
      <c r="G41" t="s">
        <v>58</v>
      </c>
      <c r="H41" t="s">
        <v>32</v>
      </c>
      <c r="I41">
        <v>1</v>
      </c>
      <c r="J41">
        <v>0</v>
      </c>
      <c r="K41">
        <v>1</v>
      </c>
      <c r="O41">
        <f t="shared" si="21"/>
        <v>76489.240000000005</v>
      </c>
      <c r="P41">
        <f>ROUND((ROUND((AC41*I41),2)*BC41),2)</f>
        <v>76489.240000000005</v>
      </c>
      <c r="Q41">
        <f>(ROUND((ROUND(((ET41)*AV41*I41),2)*BB41),2)+ROUND((ROUND(((AE41-(EU41))*AV41*I41),2)*BS41),2))</f>
        <v>0</v>
      </c>
      <c r="R41">
        <f>(ROUND((ROUND(((EU41)*AV41*I41),2)*BS41),2)+ROUND((ROUND(((AE41-(EU41))*AV41*I41),2)*BS41),2))</f>
        <v>0</v>
      </c>
      <c r="S41">
        <f t="shared" si="22"/>
        <v>0</v>
      </c>
      <c r="T41">
        <f t="shared" si="23"/>
        <v>0</v>
      </c>
      <c r="U41">
        <f t="shared" si="24"/>
        <v>0</v>
      </c>
      <c r="V41">
        <f t="shared" si="25"/>
        <v>0</v>
      </c>
      <c r="W41">
        <f t="shared" si="26"/>
        <v>0</v>
      </c>
      <c r="X41">
        <f>(ROUND((((S41+ROUND((ROUND(((EU41)*AV41*I41),2)*BS41),2))*AT41)/100),2)+ROUND(((ROUND((ROUND(((AE41-(EU41))*AV41*I41),2)*BS41),2)*AT41)/100),2))</f>
        <v>0</v>
      </c>
      <c r="Y41">
        <f>(ROUND((((S41+ROUND((ROUND(((EU41)*AV41*I41),2)*BS41),2))*AU41)/100),2)+ROUND(((ROUND((ROUND(((AE41-(EU41))*AV41*I41),2)*BS41),2)*AU41)/100),2))</f>
        <v>0</v>
      </c>
      <c r="AA41">
        <v>60258618</v>
      </c>
      <c r="AB41">
        <f t="shared" si="27"/>
        <v>9985.5400000000009</v>
      </c>
      <c r="AC41">
        <f>ROUND((ES41),6)</f>
        <v>9985.5400000000009</v>
      </c>
      <c r="AD41">
        <f>ROUND((((ET41)-(EU41))+AE41),6)</f>
        <v>0</v>
      </c>
      <c r="AE41">
        <f>ROUND((EU41),6)</f>
        <v>0</v>
      </c>
      <c r="AF41">
        <f>ROUND((EV41),6)</f>
        <v>0</v>
      </c>
      <c r="AG41">
        <f t="shared" si="28"/>
        <v>0</v>
      </c>
      <c r="AH41">
        <f>(EW41)</f>
        <v>0</v>
      </c>
      <c r="AI41">
        <f>(EX41)</f>
        <v>0</v>
      </c>
      <c r="AJ41">
        <f t="shared" si="29"/>
        <v>0</v>
      </c>
      <c r="AK41">
        <v>9985.5399999999991</v>
      </c>
      <c r="AL41">
        <v>9985.5399999999991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7.66</v>
      </c>
      <c r="BD41" t="s">
        <v>3</v>
      </c>
      <c r="BE41" t="s">
        <v>3</v>
      </c>
      <c r="BF41" t="s">
        <v>3</v>
      </c>
      <c r="BG41" t="s">
        <v>3</v>
      </c>
      <c r="BH41">
        <v>3</v>
      </c>
      <c r="BI41">
        <v>3</v>
      </c>
      <c r="BJ41" t="s">
        <v>3</v>
      </c>
      <c r="BM41">
        <v>746</v>
      </c>
      <c r="BN41">
        <v>0</v>
      </c>
      <c r="BO41" t="s">
        <v>3</v>
      </c>
      <c r="BP41">
        <v>0</v>
      </c>
      <c r="BQ41">
        <v>130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0</v>
      </c>
      <c r="CA41">
        <v>0</v>
      </c>
      <c r="CB41" t="s">
        <v>3</v>
      </c>
      <c r="CE41">
        <v>1566</v>
      </c>
      <c r="CF41">
        <v>0</v>
      </c>
      <c r="CG41">
        <v>0</v>
      </c>
      <c r="CM41">
        <v>0</v>
      </c>
      <c r="CN41" t="s">
        <v>3</v>
      </c>
      <c r="CO41">
        <v>0</v>
      </c>
      <c r="CP41">
        <f t="shared" si="30"/>
        <v>76489.240000000005</v>
      </c>
      <c r="CQ41">
        <f>ROUND((ROUND((AC41*1),2)*BC41),2)</f>
        <v>76489.240000000005</v>
      </c>
      <c r="CR41">
        <f>(ROUND((ROUND(((ET41)*AV41*1),2)*BB41),2)+ROUND((ROUND(((AE41-(EU41))*AV41*1),2)*BS41),2))</f>
        <v>0</v>
      </c>
      <c r="CS41">
        <f>(ROUND((ROUND(((EU41)*AV41*1),2)*BS41),2)+ROUND((ROUND(((AE41-(EU41))*AV41*1),2)*BS41),2))</f>
        <v>0</v>
      </c>
      <c r="CT41">
        <f t="shared" si="31"/>
        <v>0</v>
      </c>
      <c r="CU41">
        <f t="shared" si="32"/>
        <v>0</v>
      </c>
      <c r="CV41">
        <f t="shared" si="33"/>
        <v>0</v>
      </c>
      <c r="CW41">
        <f t="shared" si="34"/>
        <v>0</v>
      </c>
      <c r="CX41">
        <f t="shared" si="35"/>
        <v>0</v>
      </c>
      <c r="CY41">
        <f>(ROUND((((S41+ROUND((ROUND(((EU41)*AV41*1),2)*BS41),2))*AT41)/100),2)+ROUND(((ROUND((ROUND(((AE41-(EU41))*AV41*1),2)*BS41),2)*AT41)/100),2))</f>
        <v>0</v>
      </c>
      <c r="CZ41">
        <f>(ROUND((((S41+ROUND((ROUND(((EU41)*AV41*1),2)*BS41),2))*AU41)/100),2)+ROUND(((ROUND((ROUND(((AE41-(EU41))*AV41*1),2)*BS41),2)*AU41)/100),2))</f>
        <v>0</v>
      </c>
      <c r="DC41" t="s">
        <v>3</v>
      </c>
      <c r="DD41" t="s">
        <v>3</v>
      </c>
      <c r="DE41" t="s">
        <v>3</v>
      </c>
      <c r="DF41" t="s">
        <v>3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1013</v>
      </c>
      <c r="DV41" t="s">
        <v>32</v>
      </c>
      <c r="DW41" t="s">
        <v>32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60088638</v>
      </c>
      <c r="EF41">
        <v>130</v>
      </c>
      <c r="EG41" t="s">
        <v>33</v>
      </c>
      <c r="EH41">
        <v>0</v>
      </c>
      <c r="EI41" t="s">
        <v>3</v>
      </c>
      <c r="EJ41">
        <v>3</v>
      </c>
      <c r="EK41">
        <v>746</v>
      </c>
      <c r="EL41" t="s">
        <v>34</v>
      </c>
      <c r="EM41" t="s">
        <v>35</v>
      </c>
      <c r="EO41" t="s">
        <v>3</v>
      </c>
      <c r="EQ41">
        <v>0</v>
      </c>
      <c r="ER41">
        <v>0</v>
      </c>
      <c r="ES41">
        <v>9985.5399999999991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5</v>
      </c>
      <c r="FC41">
        <v>1</v>
      </c>
      <c r="FD41">
        <v>18</v>
      </c>
      <c r="FF41">
        <v>88057</v>
      </c>
      <c r="FQ41">
        <v>0</v>
      </c>
      <c r="FR41">
        <f>P41</f>
        <v>76489.240000000005</v>
      </c>
      <c r="FS41">
        <v>0</v>
      </c>
      <c r="FX41">
        <v>0</v>
      </c>
      <c r="FY41">
        <v>0</v>
      </c>
      <c r="GA41" t="s">
        <v>59</v>
      </c>
      <c r="GD41">
        <v>1</v>
      </c>
      <c r="GF41">
        <v>1190544240</v>
      </c>
      <c r="GG41">
        <v>2</v>
      </c>
      <c r="GH41">
        <v>3</v>
      </c>
      <c r="GI41">
        <v>5</v>
      </c>
      <c r="GJ41">
        <v>0</v>
      </c>
      <c r="GK41">
        <v>0</v>
      </c>
      <c r="GL41">
        <f t="shared" si="36"/>
        <v>0</v>
      </c>
      <c r="GM41">
        <f t="shared" si="37"/>
        <v>76489.240000000005</v>
      </c>
      <c r="GN41">
        <f t="shared" si="38"/>
        <v>0</v>
      </c>
      <c r="GO41">
        <f t="shared" si="39"/>
        <v>0</v>
      </c>
      <c r="GP41">
        <f t="shared" si="40"/>
        <v>0</v>
      </c>
      <c r="GR41">
        <v>1</v>
      </c>
      <c r="GS41">
        <v>1</v>
      </c>
      <c r="GT41">
        <v>0</v>
      </c>
      <c r="GU41" t="s">
        <v>3</v>
      </c>
      <c r="GV41">
        <f t="shared" si="41"/>
        <v>0</v>
      </c>
      <c r="GW41">
        <v>1</v>
      </c>
      <c r="GX41">
        <f t="shared" si="42"/>
        <v>0</v>
      </c>
      <c r="HA41">
        <v>0</v>
      </c>
      <c r="HB41">
        <v>0</v>
      </c>
      <c r="HC41">
        <f t="shared" si="43"/>
        <v>0</v>
      </c>
      <c r="HE41" t="s">
        <v>37</v>
      </c>
      <c r="HF41" t="s">
        <v>38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>
        <f>ROW(SmtRes!A21)</f>
        <v>21</v>
      </c>
      <c r="D42" s="2">
        <f>ROW(EtalonRes!A27)</f>
        <v>27</v>
      </c>
      <c r="E42" s="2" t="s">
        <v>60</v>
      </c>
      <c r="F42" s="2" t="s">
        <v>61</v>
      </c>
      <c r="G42" s="2" t="s">
        <v>62</v>
      </c>
      <c r="H42" s="2" t="s">
        <v>21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20.53</v>
      </c>
      <c r="P42" s="2">
        <f>ROUND((ROUND((AC42*AW42*I42),2)*BC42),2)</f>
        <v>1.96</v>
      </c>
      <c r="Q42" s="2">
        <f>(ROUND((ROUND((((ET42*1.1))*AV42*I42),2)*BB42),2)+ROUND((ROUND(((AE42-((EU42*1.1)))*AV42*I42),2)*BS42),2))</f>
        <v>0.06</v>
      </c>
      <c r="R42" s="2">
        <f>(ROUND((ROUND((((EU42*1.1))*AV42*I42),2)*BS42),2)+ROUND((ROUND(((AE42-((EU42*1.1)))*AV42*I42),2)*BS42),2))</f>
        <v>0.01</v>
      </c>
      <c r="S42" s="2">
        <f t="shared" si="22"/>
        <v>18.510000000000002</v>
      </c>
      <c r="T42" s="2">
        <f t="shared" si="23"/>
        <v>0</v>
      </c>
      <c r="U42" s="2">
        <f t="shared" si="24"/>
        <v>1.3820399999999999</v>
      </c>
      <c r="V42" s="2">
        <f t="shared" si="25"/>
        <v>0</v>
      </c>
      <c r="W42" s="2">
        <f t="shared" si="26"/>
        <v>0</v>
      </c>
      <c r="X42" s="2">
        <f>(ROUND((((S42+ROUND((ROUND((((EU42*1.1))*AV42*I42),2)*BS42),2))*AT42)/100),2)+ROUND(((ROUND((ROUND(((AE42-((EU42*1.1)))*AV42*I42),2)*BS42),2)*AT42)/100),2))</f>
        <v>16.670000000000002</v>
      </c>
      <c r="Y42" s="2">
        <f>(ROUND((((S42+ROUND((ROUND((((EU42*1.1))*AV42*I42),2)*BS42),2))*AU42)/100),2)+ROUND(((ROUND((ROUND(((AE42-((EU42*1.1)))*AV42*I42),2)*BS42),2)*AU42)/100),2))</f>
        <v>8.52</v>
      </c>
      <c r="Z42" s="2"/>
      <c r="AA42" s="2">
        <v>60258621</v>
      </c>
      <c r="AB42" s="2">
        <f t="shared" si="27"/>
        <v>19.692</v>
      </c>
      <c r="AC42" s="2">
        <f>ROUND(((ES42*1)),6)</f>
        <v>1.96</v>
      </c>
      <c r="AD42" s="2">
        <f>ROUND(((((ET42*1.1))-((EU42*1.1)))+AE42),6)</f>
        <v>5.5E-2</v>
      </c>
      <c r="AE42" s="2">
        <f>ROUND(((EU42*1.1)),6)</f>
        <v>1.0999999999999999E-2</v>
      </c>
      <c r="AF42" s="2">
        <f>ROUND(((EV42*1.1)),6)</f>
        <v>17.677</v>
      </c>
      <c r="AG42" s="2">
        <f t="shared" si="28"/>
        <v>0</v>
      </c>
      <c r="AH42" s="2">
        <f>((EW42*1.1))</f>
        <v>1.32</v>
      </c>
      <c r="AI42" s="2">
        <f>((EX42*1.1))</f>
        <v>0</v>
      </c>
      <c r="AJ42" s="2">
        <f t="shared" si="29"/>
        <v>0</v>
      </c>
      <c r="AK42" s="2">
        <v>18.079999999999998</v>
      </c>
      <c r="AL42" s="2">
        <v>1.96</v>
      </c>
      <c r="AM42" s="2">
        <v>0.05</v>
      </c>
      <c r="AN42" s="2">
        <v>0.01</v>
      </c>
      <c r="AO42" s="2">
        <v>16.07</v>
      </c>
      <c r="AP42" s="2">
        <v>0</v>
      </c>
      <c r="AQ42" s="2">
        <v>1.2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63</v>
      </c>
      <c r="BK42" s="2"/>
      <c r="BL42" s="2"/>
      <c r="BM42" s="2">
        <v>68</v>
      </c>
      <c r="BN42" s="2">
        <v>58973116</v>
      </c>
      <c r="BO42" s="2" t="s">
        <v>61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407</v>
      </c>
      <c r="CO42" s="2">
        <v>0</v>
      </c>
      <c r="CP42" s="2">
        <f t="shared" si="30"/>
        <v>20.53</v>
      </c>
      <c r="CQ42" s="2">
        <f>ROUND((ROUND((AC42*AW42*1),2)*BC42),2)</f>
        <v>1.96</v>
      </c>
      <c r="CR42" s="2">
        <f>(ROUND((ROUND((((ET42*1.1))*AV42*1),2)*BB42),2)+ROUND((ROUND(((AE42-((EU42*1.1)))*AV42*1),2)*BS42),2))</f>
        <v>0.06</v>
      </c>
      <c r="CS42" s="2">
        <f>(ROUND((ROUND((((EU42*1.1))*AV42*1),2)*BS42),2)+ROUND((ROUND(((AE42-((EU42*1.1)))*AV42*1),2)*BS42),2))</f>
        <v>0.01</v>
      </c>
      <c r="CT42" s="2">
        <f t="shared" si="31"/>
        <v>18.510000000000002</v>
      </c>
      <c r="CU42" s="2">
        <f t="shared" si="32"/>
        <v>0</v>
      </c>
      <c r="CV42" s="2">
        <f t="shared" si="33"/>
        <v>1.3820399999999999</v>
      </c>
      <c r="CW42" s="2">
        <f t="shared" si="34"/>
        <v>0</v>
      </c>
      <c r="CX42" s="2">
        <f t="shared" si="35"/>
        <v>0</v>
      </c>
      <c r="CY42" s="2">
        <f>(ROUND((((S42+ROUND((ROUND((((EU42*1.1))*AV42*1),2)*BS42),2))*AT42)/100),2)+ROUND(((ROUND((ROUND(((AE42-((EU42*1.1)))*AV42*1),2)*BS42),2)*AT42)/100),2))</f>
        <v>16.670000000000002</v>
      </c>
      <c r="CZ42" s="2">
        <f>(ROUND((((S42+ROUND((ROUND((((EU42*1.1))*AV42*1),2)*BS42),2))*AU42)/100),2)+ROUND(((ROUND((ROUND(((AE42-((EU42*1.1)))*AV42*1),2)*BS42),2)*AU42)/100),2))</f>
        <v>8.52</v>
      </c>
      <c r="DA42" s="2"/>
      <c r="DB42" s="2">
        <v>7</v>
      </c>
      <c r="DC42" s="2" t="s">
        <v>3</v>
      </c>
      <c r="DD42" s="2" t="s">
        <v>23</v>
      </c>
      <c r="DE42" s="2" t="s">
        <v>24</v>
      </c>
      <c r="DF42" s="2" t="s">
        <v>24</v>
      </c>
      <c r="DG42" s="2" t="s">
        <v>24</v>
      </c>
      <c r="DH42" s="2" t="s">
        <v>3</v>
      </c>
      <c r="DI42" s="2" t="s">
        <v>24</v>
      </c>
      <c r="DJ42" s="2" t="s">
        <v>24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21</v>
      </c>
      <c r="DW42" s="2" t="s">
        <v>21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60088532</v>
      </c>
      <c r="EF42" s="2">
        <v>40</v>
      </c>
      <c r="EG42" s="2" t="s">
        <v>25</v>
      </c>
      <c r="EH42" s="2">
        <v>0</v>
      </c>
      <c r="EI42" s="2" t="s">
        <v>3</v>
      </c>
      <c r="EJ42" s="2">
        <v>2</v>
      </c>
      <c r="EK42" s="2">
        <v>68</v>
      </c>
      <c r="EL42" s="2" t="s">
        <v>46</v>
      </c>
      <c r="EM42" s="2" t="s">
        <v>47</v>
      </c>
      <c r="EN42" s="2"/>
      <c r="EO42" s="2" t="s">
        <v>28</v>
      </c>
      <c r="EP42" s="2"/>
      <c r="EQ42" s="2">
        <v>0</v>
      </c>
      <c r="ER42" s="2">
        <v>18.079999999999998</v>
      </c>
      <c r="ES42" s="2">
        <v>1.96</v>
      </c>
      <c r="ET42" s="2">
        <v>0.05</v>
      </c>
      <c r="EU42" s="2">
        <v>0.01</v>
      </c>
      <c r="EV42" s="2">
        <v>16.07</v>
      </c>
      <c r="EW42" s="2">
        <v>1.2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1665592289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36"/>
        <v>0</v>
      </c>
      <c r="GM42" s="2">
        <f t="shared" si="37"/>
        <v>45.72</v>
      </c>
      <c r="GN42" s="2">
        <f t="shared" si="38"/>
        <v>0</v>
      </c>
      <c r="GO42" s="2">
        <f t="shared" si="39"/>
        <v>45.72</v>
      </c>
      <c r="GP42" s="2">
        <f t="shared" si="40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41"/>
        <v>0</v>
      </c>
      <c r="GW42" s="2">
        <v>1</v>
      </c>
      <c r="GX42" s="2">
        <f t="shared" si="42"/>
        <v>0</v>
      </c>
      <c r="GY42" s="2"/>
      <c r="GZ42" s="2"/>
      <c r="HA42" s="2">
        <v>0</v>
      </c>
      <c r="HB42" s="2">
        <v>0</v>
      </c>
      <c r="HC42" s="2">
        <f t="shared" si="43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C43">
        <f>ROW(SmtRes!A22)</f>
        <v>22</v>
      </c>
      <c r="D43">
        <f>ROW(EtalonRes!A28)</f>
        <v>28</v>
      </c>
      <c r="E43" t="s">
        <v>60</v>
      </c>
      <c r="F43" t="s">
        <v>61</v>
      </c>
      <c r="G43" t="s">
        <v>62</v>
      </c>
      <c r="H43" t="s">
        <v>21</v>
      </c>
      <c r="I43">
        <v>1</v>
      </c>
      <c r="J43">
        <v>0</v>
      </c>
      <c r="K43">
        <v>1</v>
      </c>
      <c r="O43">
        <f t="shared" si="21"/>
        <v>1038.3800000000001</v>
      </c>
      <c r="P43">
        <f>ROUND((ROUND((AC43*AW43*I43),2)*BC43),2)</f>
        <v>19.38</v>
      </c>
      <c r="Q43">
        <f>(ROUND((ROUND((((ET43*1.1))*AV43*I43),2)*BB43),2)+ROUND((ROUND(((AE43-((EU43*1.1)))*AV43*I43),2)*BS43),2))</f>
        <v>1.1399999999999999</v>
      </c>
      <c r="R43">
        <f>(ROUND((ROUND((((EU43*1.1))*AV43*I43),2)*BS43),2)+ROUND((ROUND(((AE43-((EU43*1.1)))*AV43*I43),2)*BS43),2))</f>
        <v>0.55000000000000004</v>
      </c>
      <c r="S43">
        <f t="shared" si="22"/>
        <v>1017.86</v>
      </c>
      <c r="T43">
        <f t="shared" si="23"/>
        <v>0</v>
      </c>
      <c r="U43">
        <f t="shared" si="24"/>
        <v>1.3820399999999999</v>
      </c>
      <c r="V43">
        <f t="shared" si="25"/>
        <v>0</v>
      </c>
      <c r="W43">
        <f t="shared" si="26"/>
        <v>0</v>
      </c>
      <c r="X43">
        <f>(ROUND((((S43+ROUND((ROUND((((EU43*1.1))*AV43*I43),2)*BS43),2))*AT43)/100),2)+ROUND(((ROUND((ROUND(((AE43-((EU43*1.1)))*AV43*I43),2)*BS43),2)*AT43)/100),2))</f>
        <v>916.57</v>
      </c>
      <c r="Y43">
        <f>(ROUND((((S43+ROUND((ROUND((((EU43*1.1))*AV43*I43),2)*BS43),2))*AU43)/100),2)+ROUND(((ROUND((ROUND(((AE43-((EU43*1.1)))*AV43*I43),2)*BS43),2)*AU43)/100),2))</f>
        <v>468.47</v>
      </c>
      <c r="AA43">
        <v>60258618</v>
      </c>
      <c r="AB43">
        <f t="shared" si="27"/>
        <v>19.692</v>
      </c>
      <c r="AC43">
        <f>ROUND(((ES43*1)),6)</f>
        <v>1.96</v>
      </c>
      <c r="AD43">
        <f>ROUND(((((ET43*1.1))-((EU43*1.1)))+AE43),6)</f>
        <v>5.5E-2</v>
      </c>
      <c r="AE43">
        <f>ROUND(((EU43*1.1)),6)</f>
        <v>1.0999999999999999E-2</v>
      </c>
      <c r="AF43">
        <f>ROUND(((EV43*1.1)),6)</f>
        <v>17.677</v>
      </c>
      <c r="AG43">
        <f t="shared" si="28"/>
        <v>0</v>
      </c>
      <c r="AH43">
        <f>((EW43*1.1))</f>
        <v>1.32</v>
      </c>
      <c r="AI43">
        <f>((EX43*1.1))</f>
        <v>0</v>
      </c>
      <c r="AJ43">
        <f t="shared" si="29"/>
        <v>0</v>
      </c>
      <c r="AK43">
        <v>18.079999999999998</v>
      </c>
      <c r="AL43">
        <v>1.96</v>
      </c>
      <c r="AM43">
        <v>0.05</v>
      </c>
      <c r="AN43">
        <v>0.01</v>
      </c>
      <c r="AO43">
        <v>16.07</v>
      </c>
      <c r="AP43">
        <v>0</v>
      </c>
      <c r="AQ43">
        <v>1.2</v>
      </c>
      <c r="AR43">
        <v>0</v>
      </c>
      <c r="AS43">
        <v>0</v>
      </c>
      <c r="AT43">
        <v>90</v>
      </c>
      <c r="AU43">
        <v>46</v>
      </c>
      <c r="AV43">
        <v>1.0469999999999999</v>
      </c>
      <c r="AW43">
        <v>1</v>
      </c>
      <c r="AZ43">
        <v>1</v>
      </c>
      <c r="BA43">
        <v>54.99</v>
      </c>
      <c r="BB43">
        <v>19</v>
      </c>
      <c r="BC43">
        <v>9.89</v>
      </c>
      <c r="BD43" t="s">
        <v>3</v>
      </c>
      <c r="BE43" t="s">
        <v>3</v>
      </c>
      <c r="BF43" t="s">
        <v>3</v>
      </c>
      <c r="BG43" t="s">
        <v>3</v>
      </c>
      <c r="BH43">
        <v>0</v>
      </c>
      <c r="BI43">
        <v>2</v>
      </c>
      <c r="BJ43" t="s">
        <v>63</v>
      </c>
      <c r="BM43">
        <v>68</v>
      </c>
      <c r="BN43">
        <v>58973116</v>
      </c>
      <c r="BO43" t="s">
        <v>61</v>
      </c>
      <c r="BP43">
        <v>1</v>
      </c>
      <c r="BQ43">
        <v>40</v>
      </c>
      <c r="BR43">
        <v>0</v>
      </c>
      <c r="BS43">
        <v>54.99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90</v>
      </c>
      <c r="CA43">
        <v>46</v>
      </c>
      <c r="CB43" t="s">
        <v>3</v>
      </c>
      <c r="CE43">
        <v>1566</v>
      </c>
      <c r="CF43">
        <v>0</v>
      </c>
      <c r="CG43">
        <v>0</v>
      </c>
      <c r="CM43">
        <v>0</v>
      </c>
      <c r="CN43" t="s">
        <v>407</v>
      </c>
      <c r="CO43">
        <v>0</v>
      </c>
      <c r="CP43">
        <f t="shared" si="30"/>
        <v>1038.3800000000001</v>
      </c>
      <c r="CQ43">
        <f>ROUND((ROUND((AC43*AW43*1),2)*BC43),2)</f>
        <v>19.38</v>
      </c>
      <c r="CR43">
        <f>(ROUND((ROUND((((ET43*1.1))*AV43*1),2)*BB43),2)+ROUND((ROUND(((AE43-((EU43*1.1)))*AV43*1),2)*BS43),2))</f>
        <v>1.1399999999999999</v>
      </c>
      <c r="CS43">
        <f>(ROUND((ROUND((((EU43*1.1))*AV43*1),2)*BS43),2)+ROUND((ROUND(((AE43-((EU43*1.1)))*AV43*1),2)*BS43),2))</f>
        <v>0.55000000000000004</v>
      </c>
      <c r="CT43">
        <f t="shared" si="31"/>
        <v>1017.86</v>
      </c>
      <c r="CU43">
        <f t="shared" si="32"/>
        <v>0</v>
      </c>
      <c r="CV43">
        <f t="shared" si="33"/>
        <v>1.3820399999999999</v>
      </c>
      <c r="CW43">
        <f t="shared" si="34"/>
        <v>0</v>
      </c>
      <c r="CX43">
        <f t="shared" si="35"/>
        <v>0</v>
      </c>
      <c r="CY43">
        <f>(ROUND((((S43+ROUND((ROUND((((EU43*1.1))*AV43*1),2)*BS43),2))*AT43)/100),2)+ROUND(((ROUND((ROUND(((AE43-((EU43*1.1)))*AV43*1),2)*BS43),2)*AT43)/100),2))</f>
        <v>916.57</v>
      </c>
      <c r="CZ43">
        <f>(ROUND((((S43+ROUND((ROUND((((EU43*1.1))*AV43*1),2)*BS43),2))*AU43)/100),2)+ROUND(((ROUND((ROUND(((AE43-((EU43*1.1)))*AV43*1),2)*BS43),2)*AU43)/100),2))</f>
        <v>468.47</v>
      </c>
      <c r="DB43">
        <v>8</v>
      </c>
      <c r="DC43" t="s">
        <v>3</v>
      </c>
      <c r="DD43" t="s">
        <v>23</v>
      </c>
      <c r="DE43" t="s">
        <v>24</v>
      </c>
      <c r="DF43" t="s">
        <v>24</v>
      </c>
      <c r="DG43" t="s">
        <v>24</v>
      </c>
      <c r="DH43" t="s">
        <v>3</v>
      </c>
      <c r="DI43" t="s">
        <v>24</v>
      </c>
      <c r="DJ43" t="s">
        <v>24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1013</v>
      </c>
      <c r="DV43" t="s">
        <v>21</v>
      </c>
      <c r="DW43" t="s">
        <v>21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60088532</v>
      </c>
      <c r="EF43">
        <v>40</v>
      </c>
      <c r="EG43" t="s">
        <v>25</v>
      </c>
      <c r="EH43">
        <v>0</v>
      </c>
      <c r="EI43" t="s">
        <v>3</v>
      </c>
      <c r="EJ43">
        <v>2</v>
      </c>
      <c r="EK43">
        <v>68</v>
      </c>
      <c r="EL43" t="s">
        <v>46</v>
      </c>
      <c r="EM43" t="s">
        <v>47</v>
      </c>
      <c r="EO43" t="s">
        <v>28</v>
      </c>
      <c r="EQ43">
        <v>0</v>
      </c>
      <c r="ER43">
        <v>18.079999999999998</v>
      </c>
      <c r="ES43">
        <v>1.96</v>
      </c>
      <c r="ET43">
        <v>0.05</v>
      </c>
      <c r="EU43">
        <v>0.01</v>
      </c>
      <c r="EV43">
        <v>16.07</v>
      </c>
      <c r="EW43">
        <v>1.2</v>
      </c>
      <c r="EX43">
        <v>0</v>
      </c>
      <c r="EY43">
        <v>0</v>
      </c>
      <c r="FQ43">
        <v>0</v>
      </c>
      <c r="FR43">
        <v>0</v>
      </c>
      <c r="FS43">
        <v>0</v>
      </c>
      <c r="FX43">
        <v>90</v>
      </c>
      <c r="FY43">
        <v>46</v>
      </c>
      <c r="GA43" t="s">
        <v>3</v>
      </c>
      <c r="GD43">
        <v>1</v>
      </c>
      <c r="GF43">
        <v>1665592289</v>
      </c>
      <c r="GG43">
        <v>2</v>
      </c>
      <c r="GH43">
        <v>1</v>
      </c>
      <c r="GI43">
        <v>2</v>
      </c>
      <c r="GJ43">
        <v>0</v>
      </c>
      <c r="GK43">
        <v>0</v>
      </c>
      <c r="GL43">
        <f t="shared" si="36"/>
        <v>0</v>
      </c>
      <c r="GM43">
        <f t="shared" si="37"/>
        <v>2423.42</v>
      </c>
      <c r="GN43">
        <f t="shared" si="38"/>
        <v>0</v>
      </c>
      <c r="GO43">
        <f t="shared" si="39"/>
        <v>2423.42</v>
      </c>
      <c r="GP43">
        <f t="shared" si="40"/>
        <v>0</v>
      </c>
      <c r="GR43">
        <v>0</v>
      </c>
      <c r="GS43">
        <v>3</v>
      </c>
      <c r="GT43">
        <v>0</v>
      </c>
      <c r="GU43" t="s">
        <v>3</v>
      </c>
      <c r="GV43">
        <f t="shared" si="41"/>
        <v>0</v>
      </c>
      <c r="GW43">
        <v>1</v>
      </c>
      <c r="GX43">
        <f t="shared" si="42"/>
        <v>0</v>
      </c>
      <c r="HA43">
        <v>0</v>
      </c>
      <c r="HB43">
        <v>0</v>
      </c>
      <c r="HC43">
        <f t="shared" si="43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/>
      <c r="D44" s="2"/>
      <c r="E44" s="2" t="s">
        <v>64</v>
      </c>
      <c r="F44" s="2" t="s">
        <v>65</v>
      </c>
      <c r="G44" s="2" t="s">
        <v>66</v>
      </c>
      <c r="H44" s="2" t="s">
        <v>32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997.8</v>
      </c>
      <c r="P44" s="2">
        <f>ROUND((ROUND((AC44*I44),2)*BC44),2)</f>
        <v>997.8</v>
      </c>
      <c r="Q44" s="2">
        <f>(ROUND((ROUND(((ET44)*AV44*I44),2)*BB44),2)+ROUND((ROUND(((AE44-(EU44))*AV44*I44),2)*BS44),2))</f>
        <v>0</v>
      </c>
      <c r="R44" s="2">
        <f>(ROUND((ROUND(((EU44)*AV44*I44),2)*BS44),2)+ROUND((ROUND(((AE44-(EU44))*AV44*I44),2)*BS44),2))</f>
        <v>0</v>
      </c>
      <c r="S44" s="2">
        <f t="shared" si="22"/>
        <v>0</v>
      </c>
      <c r="T44" s="2">
        <f t="shared" si="23"/>
        <v>0</v>
      </c>
      <c r="U44" s="2">
        <f t="shared" si="24"/>
        <v>0</v>
      </c>
      <c r="V44" s="2">
        <f t="shared" si="25"/>
        <v>0</v>
      </c>
      <c r="W44" s="2">
        <f t="shared" si="26"/>
        <v>0</v>
      </c>
      <c r="X44" s="2">
        <f>(ROUND((((S44+ROUND((ROUND(((EU44)*AV44*I44),2)*BS44),2))*AT44)/100),2)+ROUND(((ROUND((ROUND(((AE44-(EU44))*AV44*I44),2)*BS44),2)*AT44)/100),2))</f>
        <v>0</v>
      </c>
      <c r="Y44" s="2">
        <f>(ROUND((((S44+ROUND((ROUND(((EU44)*AV44*I44),2)*BS44),2))*AU44)/100),2)+ROUND(((ROUND((ROUND(((AE44-(EU44))*AV44*I44),2)*BS44),2)*AU44)/100),2))</f>
        <v>0</v>
      </c>
      <c r="Z44" s="2"/>
      <c r="AA44" s="2">
        <v>60258621</v>
      </c>
      <c r="AB44" s="2">
        <f t="shared" si="27"/>
        <v>997.8</v>
      </c>
      <c r="AC44" s="2">
        <f>ROUND((ES44),6)</f>
        <v>997.8</v>
      </c>
      <c r="AD44" s="2">
        <f>ROUND((((ET44)-(EU44))+AE44),6)</f>
        <v>0</v>
      </c>
      <c r="AE44" s="2">
        <f>ROUND((EU44),6)</f>
        <v>0</v>
      </c>
      <c r="AF44" s="2">
        <f>ROUND((EV44),6)</f>
        <v>0</v>
      </c>
      <c r="AG44" s="2">
        <f t="shared" si="28"/>
        <v>0</v>
      </c>
      <c r="AH44" s="2">
        <f>(EW44)</f>
        <v>0</v>
      </c>
      <c r="AI44" s="2">
        <f>(EX44)</f>
        <v>0</v>
      </c>
      <c r="AJ44" s="2">
        <f t="shared" si="29"/>
        <v>0</v>
      </c>
      <c r="AK44" s="2">
        <v>997.80000000000007</v>
      </c>
      <c r="AL44" s="2">
        <v>997.80000000000007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3</v>
      </c>
      <c r="BJ44" s="2" t="s">
        <v>3</v>
      </c>
      <c r="BK44" s="2"/>
      <c r="BL44" s="2"/>
      <c r="BM44" s="2">
        <v>746</v>
      </c>
      <c r="BN44" s="2">
        <v>0</v>
      </c>
      <c r="BO44" s="2" t="s">
        <v>3</v>
      </c>
      <c r="BP44" s="2">
        <v>0</v>
      </c>
      <c r="BQ44" s="2">
        <v>130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0</v>
      </c>
      <c r="CA44" s="2">
        <v>0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0"/>
        <v>997.8</v>
      </c>
      <c r="CQ44" s="2">
        <f>ROUND((ROUND((AC44*1),2)*BC44),2)</f>
        <v>997.8</v>
      </c>
      <c r="CR44" s="2">
        <f>(ROUND((ROUND(((ET44)*AV44*1),2)*BB44),2)+ROUND((ROUND(((AE44-(EU44))*AV44*1),2)*BS44),2))</f>
        <v>0</v>
      </c>
      <c r="CS44" s="2">
        <f>(ROUND((ROUND(((EU44)*AV44*1),2)*BS44),2)+ROUND((ROUND(((AE44-(EU44))*AV44*1),2)*BS44),2))</f>
        <v>0</v>
      </c>
      <c r="CT44" s="2">
        <f t="shared" si="31"/>
        <v>0</v>
      </c>
      <c r="CU44" s="2">
        <f t="shared" si="32"/>
        <v>0</v>
      </c>
      <c r="CV44" s="2">
        <f t="shared" si="33"/>
        <v>0</v>
      </c>
      <c r="CW44" s="2">
        <f t="shared" si="34"/>
        <v>0</v>
      </c>
      <c r="CX44" s="2">
        <f t="shared" si="35"/>
        <v>0</v>
      </c>
      <c r="CY44" s="2">
        <f>(ROUND((((S44+ROUND((ROUND(((EU44)*AV44*1),2)*BS44),2))*AT44)/100),2)+ROUND(((ROUND((ROUND(((AE44-(EU44))*AV44*1),2)*BS44),2)*AT44)/100),2))</f>
        <v>0</v>
      </c>
      <c r="CZ44" s="2">
        <f>(ROUND((((S44+ROUND((ROUND(((EU44)*AV44*1),2)*BS44),2))*AU44)/100),2)+ROUND(((ROUND((ROUND(((AE44-(EU44))*AV44*1),2)*BS44),2)*AU44)/100),2))</f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32</v>
      </c>
      <c r="DW44" s="2" t="s">
        <v>32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60088638</v>
      </c>
      <c r="EF44" s="2">
        <v>130</v>
      </c>
      <c r="EG44" s="2" t="s">
        <v>33</v>
      </c>
      <c r="EH44" s="2">
        <v>0</v>
      </c>
      <c r="EI44" s="2" t="s">
        <v>3</v>
      </c>
      <c r="EJ44" s="2">
        <v>3</v>
      </c>
      <c r="EK44" s="2">
        <v>746</v>
      </c>
      <c r="EL44" s="2" t="s">
        <v>34</v>
      </c>
      <c r="EM44" s="2" t="s">
        <v>35</v>
      </c>
      <c r="EN44" s="2"/>
      <c r="EO44" s="2" t="s">
        <v>3</v>
      </c>
      <c r="EP44" s="2"/>
      <c r="EQ44" s="2">
        <v>0</v>
      </c>
      <c r="ER44" s="2">
        <v>0</v>
      </c>
      <c r="ES44" s="2">
        <v>997.80000000000007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f>P44</f>
        <v>997.8</v>
      </c>
      <c r="FS44" s="2">
        <v>0</v>
      </c>
      <c r="FT44" s="2"/>
      <c r="FU44" s="2"/>
      <c r="FV44" s="2"/>
      <c r="FW44" s="2"/>
      <c r="FX44" s="2">
        <v>0</v>
      </c>
      <c r="FY44" s="2">
        <v>0</v>
      </c>
      <c r="FZ44" s="2"/>
      <c r="GA44" s="2" t="s">
        <v>67</v>
      </c>
      <c r="GB44" s="2"/>
      <c r="GC44" s="2"/>
      <c r="GD44" s="2">
        <v>1</v>
      </c>
      <c r="GE44" s="2"/>
      <c r="GF44" s="2">
        <v>-1747575220</v>
      </c>
      <c r="GG44" s="2">
        <v>2</v>
      </c>
      <c r="GH44" s="2">
        <v>4</v>
      </c>
      <c r="GI44" s="2">
        <v>-2</v>
      </c>
      <c r="GJ44" s="2">
        <v>0</v>
      </c>
      <c r="GK44" s="2">
        <v>0</v>
      </c>
      <c r="GL44" s="2">
        <f t="shared" si="36"/>
        <v>0</v>
      </c>
      <c r="GM44" s="2">
        <f t="shared" si="37"/>
        <v>997.8</v>
      </c>
      <c r="GN44" s="2">
        <f t="shared" si="38"/>
        <v>0</v>
      </c>
      <c r="GO44" s="2">
        <f t="shared" si="39"/>
        <v>0</v>
      </c>
      <c r="GP44" s="2">
        <f t="shared" si="40"/>
        <v>0</v>
      </c>
      <c r="GQ44" s="2"/>
      <c r="GR44" s="2">
        <v>0</v>
      </c>
      <c r="GS44" s="2">
        <v>2</v>
      </c>
      <c r="GT44" s="2">
        <v>0</v>
      </c>
      <c r="GU44" s="2" t="s">
        <v>3</v>
      </c>
      <c r="GV44" s="2">
        <f t="shared" si="41"/>
        <v>0</v>
      </c>
      <c r="GW44" s="2">
        <v>1</v>
      </c>
      <c r="GX44" s="2">
        <f t="shared" si="42"/>
        <v>0</v>
      </c>
      <c r="GY44" s="2"/>
      <c r="GZ44" s="2"/>
      <c r="HA44" s="2">
        <v>0</v>
      </c>
      <c r="HB44" s="2">
        <v>0</v>
      </c>
      <c r="HC44" s="2">
        <f t="shared" si="43"/>
        <v>0</v>
      </c>
      <c r="HD44" s="2"/>
      <c r="HE44" s="2" t="s">
        <v>37</v>
      </c>
      <c r="HF44" s="2" t="s">
        <v>38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E45" t="s">
        <v>64</v>
      </c>
      <c r="F45" t="s">
        <v>65</v>
      </c>
      <c r="G45" t="s">
        <v>66</v>
      </c>
      <c r="H45" t="s">
        <v>32</v>
      </c>
      <c r="I45">
        <v>1</v>
      </c>
      <c r="J45">
        <v>0</v>
      </c>
      <c r="K45">
        <v>1</v>
      </c>
      <c r="O45">
        <f t="shared" si="21"/>
        <v>7643.15</v>
      </c>
      <c r="P45">
        <f>ROUND((ROUND((AC45*I45),2)*BC45),2)</f>
        <v>7643.15</v>
      </c>
      <c r="Q45">
        <f>(ROUND((ROUND(((ET45)*AV45*I45),2)*BB45),2)+ROUND((ROUND(((AE45-(EU45))*AV45*I45),2)*BS45),2))</f>
        <v>0</v>
      </c>
      <c r="R45">
        <f>(ROUND((ROUND(((EU45)*AV45*I45),2)*BS45),2)+ROUND((ROUND(((AE45-(EU45))*AV45*I45),2)*BS45),2))</f>
        <v>0</v>
      </c>
      <c r="S45">
        <f t="shared" si="22"/>
        <v>0</v>
      </c>
      <c r="T45">
        <f t="shared" si="23"/>
        <v>0</v>
      </c>
      <c r="U45">
        <f t="shared" si="24"/>
        <v>0</v>
      </c>
      <c r="V45">
        <f t="shared" si="25"/>
        <v>0</v>
      </c>
      <c r="W45">
        <f t="shared" si="26"/>
        <v>0</v>
      </c>
      <c r="X45">
        <f>(ROUND((((S45+ROUND((ROUND(((EU45)*AV45*I45),2)*BS45),2))*AT45)/100),2)+ROUND(((ROUND((ROUND(((AE45-(EU45))*AV45*I45),2)*BS45),2)*AT45)/100),2))</f>
        <v>0</v>
      </c>
      <c r="Y45">
        <f>(ROUND((((S45+ROUND((ROUND(((EU45)*AV45*I45),2)*BS45),2))*AU45)/100),2)+ROUND(((ROUND((ROUND(((AE45-(EU45))*AV45*I45),2)*BS45),2)*AU45)/100),2))</f>
        <v>0</v>
      </c>
      <c r="AA45">
        <v>60258618</v>
      </c>
      <c r="AB45">
        <f t="shared" si="27"/>
        <v>997.8</v>
      </c>
      <c r="AC45">
        <f>ROUND((ES45),6)</f>
        <v>997.8</v>
      </c>
      <c r="AD45">
        <f>ROUND((((ET45)-(EU45))+AE45),6)</f>
        <v>0</v>
      </c>
      <c r="AE45">
        <f>ROUND((EU45),6)</f>
        <v>0</v>
      </c>
      <c r="AF45">
        <f>ROUND((EV45),6)</f>
        <v>0</v>
      </c>
      <c r="AG45">
        <f t="shared" si="28"/>
        <v>0</v>
      </c>
      <c r="AH45">
        <f>(EW45)</f>
        <v>0</v>
      </c>
      <c r="AI45">
        <f>(EX45)</f>
        <v>0</v>
      </c>
      <c r="AJ45">
        <f t="shared" si="29"/>
        <v>0</v>
      </c>
      <c r="AK45">
        <v>997.80000000000007</v>
      </c>
      <c r="AL45">
        <v>997.80000000000007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Z45">
        <v>1</v>
      </c>
      <c r="BA45">
        <v>1</v>
      </c>
      <c r="BB45">
        <v>1</v>
      </c>
      <c r="BC45">
        <v>7.66</v>
      </c>
      <c r="BD45" t="s">
        <v>3</v>
      </c>
      <c r="BE45" t="s">
        <v>3</v>
      </c>
      <c r="BF45" t="s">
        <v>3</v>
      </c>
      <c r="BG45" t="s">
        <v>3</v>
      </c>
      <c r="BH45">
        <v>3</v>
      </c>
      <c r="BI45">
        <v>3</v>
      </c>
      <c r="BJ45" t="s">
        <v>3</v>
      </c>
      <c r="BM45">
        <v>746</v>
      </c>
      <c r="BN45">
        <v>0</v>
      </c>
      <c r="BO45" t="s">
        <v>3</v>
      </c>
      <c r="BP45">
        <v>0</v>
      </c>
      <c r="BQ45">
        <v>130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0</v>
      </c>
      <c r="CA45">
        <v>0</v>
      </c>
      <c r="CB45" t="s">
        <v>3</v>
      </c>
      <c r="CE45">
        <v>1566</v>
      </c>
      <c r="CF45">
        <v>0</v>
      </c>
      <c r="CG45">
        <v>0</v>
      </c>
      <c r="CM45">
        <v>0</v>
      </c>
      <c r="CN45" t="s">
        <v>3</v>
      </c>
      <c r="CO45">
        <v>0</v>
      </c>
      <c r="CP45">
        <f t="shared" si="30"/>
        <v>7643.15</v>
      </c>
      <c r="CQ45">
        <f>ROUND((ROUND((AC45*1),2)*BC45),2)</f>
        <v>7643.15</v>
      </c>
      <c r="CR45">
        <f>(ROUND((ROUND(((ET45)*AV45*1),2)*BB45),2)+ROUND((ROUND(((AE45-(EU45))*AV45*1),2)*BS45),2))</f>
        <v>0</v>
      </c>
      <c r="CS45">
        <f>(ROUND((ROUND(((EU45)*AV45*1),2)*BS45),2)+ROUND((ROUND(((AE45-(EU45))*AV45*1),2)*BS45),2))</f>
        <v>0</v>
      </c>
      <c r="CT45">
        <f t="shared" si="31"/>
        <v>0</v>
      </c>
      <c r="CU45">
        <f t="shared" si="32"/>
        <v>0</v>
      </c>
      <c r="CV45">
        <f t="shared" si="33"/>
        <v>0</v>
      </c>
      <c r="CW45">
        <f t="shared" si="34"/>
        <v>0</v>
      </c>
      <c r="CX45">
        <f t="shared" si="35"/>
        <v>0</v>
      </c>
      <c r="CY45">
        <f>(ROUND((((S45+ROUND((ROUND(((EU45)*AV45*1),2)*BS45),2))*AT45)/100),2)+ROUND(((ROUND((ROUND(((AE45-(EU45))*AV45*1),2)*BS45),2)*AT45)/100),2))</f>
        <v>0</v>
      </c>
      <c r="CZ45">
        <f>(ROUND((((S45+ROUND((ROUND(((EU45)*AV45*1),2)*BS45),2))*AU45)/100),2)+ROUND(((ROUND((ROUND(((AE45-(EU45))*AV45*1),2)*BS45),2)*AU45)/100),2))</f>
        <v>0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1013</v>
      </c>
      <c r="DV45" t="s">
        <v>32</v>
      </c>
      <c r="DW45" t="s">
        <v>32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60088638</v>
      </c>
      <c r="EF45">
        <v>130</v>
      </c>
      <c r="EG45" t="s">
        <v>33</v>
      </c>
      <c r="EH45">
        <v>0</v>
      </c>
      <c r="EI45" t="s">
        <v>3</v>
      </c>
      <c r="EJ45">
        <v>3</v>
      </c>
      <c r="EK45">
        <v>746</v>
      </c>
      <c r="EL45" t="s">
        <v>34</v>
      </c>
      <c r="EM45" t="s">
        <v>35</v>
      </c>
      <c r="EO45" t="s">
        <v>3</v>
      </c>
      <c r="EQ45">
        <v>0</v>
      </c>
      <c r="ER45">
        <v>0</v>
      </c>
      <c r="ES45">
        <v>997.80000000000007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5</v>
      </c>
      <c r="FC45">
        <v>1</v>
      </c>
      <c r="FD45">
        <v>18</v>
      </c>
      <c r="FF45">
        <v>8799</v>
      </c>
      <c r="FQ45">
        <v>0</v>
      </c>
      <c r="FR45">
        <f>P45</f>
        <v>7643.15</v>
      </c>
      <c r="FS45">
        <v>0</v>
      </c>
      <c r="FX45">
        <v>0</v>
      </c>
      <c r="FY45">
        <v>0</v>
      </c>
      <c r="GA45" t="s">
        <v>67</v>
      </c>
      <c r="GD45">
        <v>1</v>
      </c>
      <c r="GF45">
        <v>-1747575220</v>
      </c>
      <c r="GG45">
        <v>2</v>
      </c>
      <c r="GH45">
        <v>3</v>
      </c>
      <c r="GI45">
        <v>5</v>
      </c>
      <c r="GJ45">
        <v>0</v>
      </c>
      <c r="GK45">
        <v>0</v>
      </c>
      <c r="GL45">
        <f t="shared" si="36"/>
        <v>0</v>
      </c>
      <c r="GM45">
        <f t="shared" si="37"/>
        <v>7643.15</v>
      </c>
      <c r="GN45">
        <f t="shared" si="38"/>
        <v>0</v>
      </c>
      <c r="GO45">
        <f t="shared" si="39"/>
        <v>0</v>
      </c>
      <c r="GP45">
        <f t="shared" si="40"/>
        <v>0</v>
      </c>
      <c r="GR45">
        <v>1</v>
      </c>
      <c r="GS45">
        <v>1</v>
      </c>
      <c r="GT45">
        <v>0</v>
      </c>
      <c r="GU45" t="s">
        <v>3</v>
      </c>
      <c r="GV45">
        <f t="shared" si="41"/>
        <v>0</v>
      </c>
      <c r="GW45">
        <v>1</v>
      </c>
      <c r="GX45">
        <f t="shared" si="42"/>
        <v>0</v>
      </c>
      <c r="HA45">
        <v>0</v>
      </c>
      <c r="HB45">
        <v>0</v>
      </c>
      <c r="HC45">
        <f t="shared" si="43"/>
        <v>0</v>
      </c>
      <c r="HE45" t="s">
        <v>37</v>
      </c>
      <c r="HF45" t="s">
        <v>38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>
        <f>ROW(SmtRes!A23)</f>
        <v>23</v>
      </c>
      <c r="D46" s="2">
        <f>ROW(EtalonRes!A29)</f>
        <v>29</v>
      </c>
      <c r="E46" s="2" t="s">
        <v>68</v>
      </c>
      <c r="F46" s="2" t="s">
        <v>69</v>
      </c>
      <c r="G46" s="2" t="s">
        <v>70</v>
      </c>
      <c r="H46" s="2" t="s">
        <v>21</v>
      </c>
      <c r="I46" s="2">
        <v>1</v>
      </c>
      <c r="J46" s="2">
        <v>0</v>
      </c>
      <c r="K46" s="2">
        <v>1</v>
      </c>
      <c r="L46" s="2"/>
      <c r="M46" s="2"/>
      <c r="N46" s="2"/>
      <c r="O46" s="2">
        <f t="shared" si="21"/>
        <v>93.97</v>
      </c>
      <c r="P46" s="2">
        <f>ROUND((ROUND((AC46*AW46*I46),2)*BC46),2)</f>
        <v>4.83</v>
      </c>
      <c r="Q46" s="2">
        <f>(ROUND((ROUND((((ET46*1.1))*AV46*I46),2)*BB46),2)+ROUND((ROUND(((AE46-((EU46*1.1)))*AV46*I46),2)*BS46),2))</f>
        <v>0.06</v>
      </c>
      <c r="R46" s="2">
        <f>(ROUND((ROUND((((EU46*1.1))*AV46*I46),2)*BS46),2)+ROUND((ROUND(((AE46-((EU46*1.1)))*AV46*I46),2)*BS46),2))</f>
        <v>0.01</v>
      </c>
      <c r="S46" s="2">
        <f t="shared" si="22"/>
        <v>89.08</v>
      </c>
      <c r="T46" s="2">
        <f t="shared" si="23"/>
        <v>0</v>
      </c>
      <c r="U46" s="2">
        <f t="shared" si="24"/>
        <v>6.5646899999999997</v>
      </c>
      <c r="V46" s="2">
        <f t="shared" si="25"/>
        <v>0</v>
      </c>
      <c r="W46" s="2">
        <f t="shared" si="26"/>
        <v>0</v>
      </c>
      <c r="X46" s="2">
        <f>(ROUND((((S46+ROUND((ROUND((((EU46*1.1))*AV46*I46),2)*BS46),2))*AT46)/100),2)+ROUND(((ROUND((ROUND(((AE46-((EU46*1.1)))*AV46*I46),2)*BS46),2)*AT46)/100),2))</f>
        <v>80.180000000000007</v>
      </c>
      <c r="Y46" s="2">
        <f>(ROUND((((S46+ROUND((ROUND((((EU46*1.1))*AV46*I46),2)*BS46),2))*AU46)/100),2)+ROUND(((ROUND((ROUND(((AE46-((EU46*1.1)))*AV46*I46),2)*BS46),2)*AU46)/100),2))</f>
        <v>40.98</v>
      </c>
      <c r="Z46" s="2"/>
      <c r="AA46" s="2">
        <v>60258621</v>
      </c>
      <c r="AB46" s="2">
        <f t="shared" si="27"/>
        <v>89.97</v>
      </c>
      <c r="AC46" s="2">
        <f>ROUND(((ES46*1)),6)</f>
        <v>4.83</v>
      </c>
      <c r="AD46" s="2">
        <f>ROUND(((((ET46*1.1))-((EU46*1.1)))+AE46),6)</f>
        <v>5.5E-2</v>
      </c>
      <c r="AE46" s="2">
        <f>ROUND(((EU46*1.1)),6)</f>
        <v>1.0999999999999999E-2</v>
      </c>
      <c r="AF46" s="2">
        <f>ROUND(((EV46*1.1)),6)</f>
        <v>85.084999999999994</v>
      </c>
      <c r="AG46" s="2">
        <f t="shared" si="28"/>
        <v>0</v>
      </c>
      <c r="AH46" s="2">
        <f>((EW46*1.1))</f>
        <v>6.2700000000000005</v>
      </c>
      <c r="AI46" s="2">
        <f>((EX46*1.1))</f>
        <v>0</v>
      </c>
      <c r="AJ46" s="2">
        <f t="shared" si="29"/>
        <v>0</v>
      </c>
      <c r="AK46" s="2">
        <v>82.23</v>
      </c>
      <c r="AL46" s="2">
        <v>4.83</v>
      </c>
      <c r="AM46" s="2">
        <v>0.05</v>
      </c>
      <c r="AN46" s="2">
        <v>0.01</v>
      </c>
      <c r="AO46" s="2">
        <v>77.349999999999994</v>
      </c>
      <c r="AP46" s="2">
        <v>0</v>
      </c>
      <c r="AQ46" s="2">
        <v>5.7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71</v>
      </c>
      <c r="BK46" s="2"/>
      <c r="BL46" s="2"/>
      <c r="BM46" s="2">
        <v>68</v>
      </c>
      <c r="BN46" s="2">
        <v>58973116</v>
      </c>
      <c r="BO46" s="2" t="s">
        <v>69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407</v>
      </c>
      <c r="CO46" s="2">
        <v>0</v>
      </c>
      <c r="CP46" s="2">
        <f t="shared" si="30"/>
        <v>93.97</v>
      </c>
      <c r="CQ46" s="2">
        <f>ROUND((ROUND((AC46*AW46*1),2)*BC46),2)</f>
        <v>4.83</v>
      </c>
      <c r="CR46" s="2">
        <f>(ROUND((ROUND((((ET46*1.1))*AV46*1),2)*BB46),2)+ROUND((ROUND(((AE46-((EU46*1.1)))*AV46*1),2)*BS46),2))</f>
        <v>0.06</v>
      </c>
      <c r="CS46" s="2">
        <f>(ROUND((ROUND((((EU46*1.1))*AV46*1),2)*BS46),2)+ROUND((ROUND(((AE46-((EU46*1.1)))*AV46*1),2)*BS46),2))</f>
        <v>0.01</v>
      </c>
      <c r="CT46" s="2">
        <f t="shared" si="31"/>
        <v>89.08</v>
      </c>
      <c r="CU46" s="2">
        <f t="shared" si="32"/>
        <v>0</v>
      </c>
      <c r="CV46" s="2">
        <f t="shared" si="33"/>
        <v>6.5646899999999997</v>
      </c>
      <c r="CW46" s="2">
        <f t="shared" si="34"/>
        <v>0</v>
      </c>
      <c r="CX46" s="2">
        <f t="shared" si="35"/>
        <v>0</v>
      </c>
      <c r="CY46" s="2">
        <f>(ROUND((((S46+ROUND((ROUND((((EU46*1.1))*AV46*1),2)*BS46),2))*AT46)/100),2)+ROUND(((ROUND((ROUND(((AE46-((EU46*1.1)))*AV46*1),2)*BS46),2)*AT46)/100),2))</f>
        <v>80.180000000000007</v>
      </c>
      <c r="CZ46" s="2">
        <f>(ROUND((((S46+ROUND((ROUND((((EU46*1.1))*AV46*1),2)*BS46),2))*AU46)/100),2)+ROUND(((ROUND((ROUND(((AE46-((EU46*1.1)))*AV46*1),2)*BS46),2)*AU46)/100),2))</f>
        <v>40.98</v>
      </c>
      <c r="DA46" s="2"/>
      <c r="DB46" s="2">
        <v>9</v>
      </c>
      <c r="DC46" s="2" t="s">
        <v>3</v>
      </c>
      <c r="DD46" s="2" t="s">
        <v>23</v>
      </c>
      <c r="DE46" s="2" t="s">
        <v>24</v>
      </c>
      <c r="DF46" s="2" t="s">
        <v>24</v>
      </c>
      <c r="DG46" s="2" t="s">
        <v>24</v>
      </c>
      <c r="DH46" s="2" t="s">
        <v>3</v>
      </c>
      <c r="DI46" s="2" t="s">
        <v>24</v>
      </c>
      <c r="DJ46" s="2" t="s">
        <v>24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21</v>
      </c>
      <c r="DW46" s="2" t="s">
        <v>21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60088532</v>
      </c>
      <c r="EF46" s="2">
        <v>40</v>
      </c>
      <c r="EG46" s="2" t="s">
        <v>25</v>
      </c>
      <c r="EH46" s="2">
        <v>0</v>
      </c>
      <c r="EI46" s="2" t="s">
        <v>3</v>
      </c>
      <c r="EJ46" s="2">
        <v>2</v>
      </c>
      <c r="EK46" s="2">
        <v>68</v>
      </c>
      <c r="EL46" s="2" t="s">
        <v>46</v>
      </c>
      <c r="EM46" s="2" t="s">
        <v>47</v>
      </c>
      <c r="EN46" s="2"/>
      <c r="EO46" s="2" t="s">
        <v>28</v>
      </c>
      <c r="EP46" s="2"/>
      <c r="EQ46" s="2">
        <v>0</v>
      </c>
      <c r="ER46" s="2">
        <v>82.23</v>
      </c>
      <c r="ES46" s="2">
        <v>4.83</v>
      </c>
      <c r="ET46" s="2">
        <v>0.05</v>
      </c>
      <c r="EU46" s="2">
        <v>0.01</v>
      </c>
      <c r="EV46" s="2">
        <v>77.349999999999994</v>
      </c>
      <c r="EW46" s="2">
        <v>5.7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1762388533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36"/>
        <v>0</v>
      </c>
      <c r="GM46" s="2">
        <f t="shared" si="37"/>
        <v>215.13</v>
      </c>
      <c r="GN46" s="2">
        <f t="shared" si="38"/>
        <v>0</v>
      </c>
      <c r="GO46" s="2">
        <f t="shared" si="39"/>
        <v>215.13</v>
      </c>
      <c r="GP46" s="2">
        <f t="shared" si="40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1"/>
        <v>0</v>
      </c>
      <c r="GW46" s="2">
        <v>1</v>
      </c>
      <c r="GX46" s="2">
        <f t="shared" si="42"/>
        <v>0</v>
      </c>
      <c r="GY46" s="2"/>
      <c r="GZ46" s="2"/>
      <c r="HA46" s="2">
        <v>0</v>
      </c>
      <c r="HB46" s="2">
        <v>0</v>
      </c>
      <c r="HC46" s="2">
        <f t="shared" si="43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C47">
        <f>ROW(SmtRes!A24)</f>
        <v>24</v>
      </c>
      <c r="D47">
        <f>ROW(EtalonRes!A30)</f>
        <v>30</v>
      </c>
      <c r="E47" t="s">
        <v>68</v>
      </c>
      <c r="F47" t="s">
        <v>69</v>
      </c>
      <c r="G47" t="s">
        <v>70</v>
      </c>
      <c r="H47" t="s">
        <v>21</v>
      </c>
      <c r="I47">
        <v>1</v>
      </c>
      <c r="J47">
        <v>0</v>
      </c>
      <c r="K47">
        <v>1</v>
      </c>
      <c r="O47">
        <f t="shared" si="21"/>
        <v>4947.42</v>
      </c>
      <c r="P47">
        <f>ROUND((ROUND((AC47*AW47*I47),2)*BC47),2)</f>
        <v>47.77</v>
      </c>
      <c r="Q47">
        <f>(ROUND((ROUND((((ET47*1.1))*AV47*I47),2)*BB47),2)+ROUND((ROUND(((AE47-((EU47*1.1)))*AV47*I47),2)*BS47),2))</f>
        <v>1.1399999999999999</v>
      </c>
      <c r="R47">
        <f>(ROUND((ROUND((((EU47*1.1))*AV47*I47),2)*BS47),2)+ROUND((ROUND(((AE47-((EU47*1.1)))*AV47*I47),2)*BS47),2))</f>
        <v>0.55000000000000004</v>
      </c>
      <c r="S47">
        <f t="shared" si="22"/>
        <v>4898.51</v>
      </c>
      <c r="T47">
        <f t="shared" si="23"/>
        <v>0</v>
      </c>
      <c r="U47">
        <f t="shared" si="24"/>
        <v>6.5646899999999997</v>
      </c>
      <c r="V47">
        <f t="shared" si="25"/>
        <v>0</v>
      </c>
      <c r="W47">
        <f t="shared" si="26"/>
        <v>0</v>
      </c>
      <c r="X47">
        <f>(ROUND((((S47+ROUND((ROUND((((EU47*1.1))*AV47*I47),2)*BS47),2))*AT47)/100),2)+ROUND(((ROUND((ROUND(((AE47-((EU47*1.1)))*AV47*I47),2)*BS47),2)*AT47)/100),2))</f>
        <v>4409.1499999999996</v>
      </c>
      <c r="Y47">
        <f>(ROUND((((S47+ROUND((ROUND((((EU47*1.1))*AV47*I47),2)*BS47),2))*AU47)/100),2)+ROUND(((ROUND((ROUND(((AE47-((EU47*1.1)))*AV47*I47),2)*BS47),2)*AU47)/100),2))</f>
        <v>2253.5700000000002</v>
      </c>
      <c r="AA47">
        <v>60258618</v>
      </c>
      <c r="AB47">
        <f t="shared" si="27"/>
        <v>89.97</v>
      </c>
      <c r="AC47">
        <f>ROUND(((ES47*1)),6)</f>
        <v>4.83</v>
      </c>
      <c r="AD47">
        <f>ROUND(((((ET47*1.1))-((EU47*1.1)))+AE47),6)</f>
        <v>5.5E-2</v>
      </c>
      <c r="AE47">
        <f>ROUND(((EU47*1.1)),6)</f>
        <v>1.0999999999999999E-2</v>
      </c>
      <c r="AF47">
        <f>ROUND(((EV47*1.1)),6)</f>
        <v>85.084999999999994</v>
      </c>
      <c r="AG47">
        <f t="shared" si="28"/>
        <v>0</v>
      </c>
      <c r="AH47">
        <f>((EW47*1.1))</f>
        <v>6.2700000000000005</v>
      </c>
      <c r="AI47">
        <f>((EX47*1.1))</f>
        <v>0</v>
      </c>
      <c r="AJ47">
        <f t="shared" si="29"/>
        <v>0</v>
      </c>
      <c r="AK47">
        <v>82.23</v>
      </c>
      <c r="AL47">
        <v>4.83</v>
      </c>
      <c r="AM47">
        <v>0.05</v>
      </c>
      <c r="AN47">
        <v>0.01</v>
      </c>
      <c r="AO47">
        <v>77.349999999999994</v>
      </c>
      <c r="AP47">
        <v>0</v>
      </c>
      <c r="AQ47">
        <v>5.7</v>
      </c>
      <c r="AR47">
        <v>0</v>
      </c>
      <c r="AS47">
        <v>0</v>
      </c>
      <c r="AT47">
        <v>90</v>
      </c>
      <c r="AU47">
        <v>46</v>
      </c>
      <c r="AV47">
        <v>1.0469999999999999</v>
      </c>
      <c r="AW47">
        <v>1</v>
      </c>
      <c r="AZ47">
        <v>1</v>
      </c>
      <c r="BA47">
        <v>54.99</v>
      </c>
      <c r="BB47">
        <v>19</v>
      </c>
      <c r="BC47">
        <v>9.89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2</v>
      </c>
      <c r="BJ47" t="s">
        <v>71</v>
      </c>
      <c r="BM47">
        <v>68</v>
      </c>
      <c r="BN47">
        <v>58973116</v>
      </c>
      <c r="BO47" t="s">
        <v>69</v>
      </c>
      <c r="BP47">
        <v>1</v>
      </c>
      <c r="BQ47">
        <v>40</v>
      </c>
      <c r="BR47">
        <v>0</v>
      </c>
      <c r="BS47">
        <v>54.99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90</v>
      </c>
      <c r="CA47">
        <v>46</v>
      </c>
      <c r="CB47" t="s">
        <v>3</v>
      </c>
      <c r="CE47">
        <v>1566</v>
      </c>
      <c r="CF47">
        <v>0</v>
      </c>
      <c r="CG47">
        <v>0</v>
      </c>
      <c r="CM47">
        <v>0</v>
      </c>
      <c r="CN47" t="s">
        <v>407</v>
      </c>
      <c r="CO47">
        <v>0</v>
      </c>
      <c r="CP47">
        <f t="shared" si="30"/>
        <v>4947.42</v>
      </c>
      <c r="CQ47">
        <f>ROUND((ROUND((AC47*AW47*1),2)*BC47),2)</f>
        <v>47.77</v>
      </c>
      <c r="CR47">
        <f>(ROUND((ROUND((((ET47*1.1))*AV47*1),2)*BB47),2)+ROUND((ROUND(((AE47-((EU47*1.1)))*AV47*1),2)*BS47),2))</f>
        <v>1.1399999999999999</v>
      </c>
      <c r="CS47">
        <f>(ROUND((ROUND((((EU47*1.1))*AV47*1),2)*BS47),2)+ROUND((ROUND(((AE47-((EU47*1.1)))*AV47*1),2)*BS47),2))</f>
        <v>0.55000000000000004</v>
      </c>
      <c r="CT47">
        <f t="shared" si="31"/>
        <v>4898.51</v>
      </c>
      <c r="CU47">
        <f t="shared" si="32"/>
        <v>0</v>
      </c>
      <c r="CV47">
        <f t="shared" si="33"/>
        <v>6.5646899999999997</v>
      </c>
      <c r="CW47">
        <f t="shared" si="34"/>
        <v>0</v>
      </c>
      <c r="CX47">
        <f t="shared" si="35"/>
        <v>0</v>
      </c>
      <c r="CY47">
        <f>(ROUND((((S47+ROUND((ROUND((((EU47*1.1))*AV47*1),2)*BS47),2))*AT47)/100),2)+ROUND(((ROUND((ROUND(((AE47-((EU47*1.1)))*AV47*1),2)*BS47),2)*AT47)/100),2))</f>
        <v>4409.1499999999996</v>
      </c>
      <c r="CZ47">
        <f>(ROUND((((S47+ROUND((ROUND((((EU47*1.1))*AV47*1),2)*BS47),2))*AU47)/100),2)+ROUND(((ROUND((ROUND(((AE47-((EU47*1.1)))*AV47*1),2)*BS47),2)*AU47)/100),2))</f>
        <v>2253.5700000000002</v>
      </c>
      <c r="DB47">
        <v>10</v>
      </c>
      <c r="DC47" t="s">
        <v>3</v>
      </c>
      <c r="DD47" t="s">
        <v>23</v>
      </c>
      <c r="DE47" t="s">
        <v>24</v>
      </c>
      <c r="DF47" t="s">
        <v>24</v>
      </c>
      <c r="DG47" t="s">
        <v>24</v>
      </c>
      <c r="DH47" t="s">
        <v>3</v>
      </c>
      <c r="DI47" t="s">
        <v>24</v>
      </c>
      <c r="DJ47" t="s">
        <v>24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1013</v>
      </c>
      <c r="DV47" t="s">
        <v>21</v>
      </c>
      <c r="DW47" t="s">
        <v>21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60088532</v>
      </c>
      <c r="EF47">
        <v>40</v>
      </c>
      <c r="EG47" t="s">
        <v>25</v>
      </c>
      <c r="EH47">
        <v>0</v>
      </c>
      <c r="EI47" t="s">
        <v>3</v>
      </c>
      <c r="EJ47">
        <v>2</v>
      </c>
      <c r="EK47">
        <v>68</v>
      </c>
      <c r="EL47" t="s">
        <v>46</v>
      </c>
      <c r="EM47" t="s">
        <v>47</v>
      </c>
      <c r="EO47" t="s">
        <v>28</v>
      </c>
      <c r="EQ47">
        <v>0</v>
      </c>
      <c r="ER47">
        <v>82.23</v>
      </c>
      <c r="ES47">
        <v>4.83</v>
      </c>
      <c r="ET47">
        <v>0.05</v>
      </c>
      <c r="EU47">
        <v>0.01</v>
      </c>
      <c r="EV47">
        <v>77.349999999999994</v>
      </c>
      <c r="EW47">
        <v>5.7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90</v>
      </c>
      <c r="FY47">
        <v>46</v>
      </c>
      <c r="GA47" t="s">
        <v>3</v>
      </c>
      <c r="GD47">
        <v>1</v>
      </c>
      <c r="GF47">
        <v>1762388533</v>
      </c>
      <c r="GG47">
        <v>2</v>
      </c>
      <c r="GH47">
        <v>1</v>
      </c>
      <c r="GI47">
        <v>2</v>
      </c>
      <c r="GJ47">
        <v>0</v>
      </c>
      <c r="GK47">
        <v>0</v>
      </c>
      <c r="GL47">
        <f t="shared" si="36"/>
        <v>0</v>
      </c>
      <c r="GM47">
        <f t="shared" si="37"/>
        <v>11610.14</v>
      </c>
      <c r="GN47">
        <f t="shared" si="38"/>
        <v>0</v>
      </c>
      <c r="GO47">
        <f t="shared" si="39"/>
        <v>11610.14</v>
      </c>
      <c r="GP47">
        <f t="shared" si="40"/>
        <v>0</v>
      </c>
      <c r="GR47">
        <v>0</v>
      </c>
      <c r="GS47">
        <v>3</v>
      </c>
      <c r="GT47">
        <v>0</v>
      </c>
      <c r="GU47" t="s">
        <v>3</v>
      </c>
      <c r="GV47">
        <f t="shared" si="41"/>
        <v>0</v>
      </c>
      <c r="GW47">
        <v>1</v>
      </c>
      <c r="GX47">
        <f t="shared" si="42"/>
        <v>0</v>
      </c>
      <c r="HA47">
        <v>0</v>
      </c>
      <c r="HB47">
        <v>0</v>
      </c>
      <c r="HC47">
        <f t="shared" si="43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/>
      <c r="D48" s="2"/>
      <c r="E48" s="2" t="s">
        <v>72</v>
      </c>
      <c r="F48" s="2" t="s">
        <v>73</v>
      </c>
      <c r="G48" s="2" t="s">
        <v>74</v>
      </c>
      <c r="H48" s="2" t="s">
        <v>32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1"/>
        <v>2396.35</v>
      </c>
      <c r="P48" s="2">
        <f>ROUND((ROUND((AC48*I48),2)*BC48),2)</f>
        <v>2396.35</v>
      </c>
      <c r="Q48" s="2">
        <f>(ROUND((ROUND(((ET48)*AV48*I48),2)*BB48),2)+ROUND((ROUND(((AE48-(EU48))*AV48*I48),2)*BS48),2))</f>
        <v>0</v>
      </c>
      <c r="R48" s="2">
        <f>(ROUND((ROUND(((EU48)*AV48*I48),2)*BS48),2)+ROUND((ROUND(((AE48-(EU48))*AV48*I48),2)*BS48),2))</f>
        <v>0</v>
      </c>
      <c r="S48" s="2">
        <f t="shared" si="22"/>
        <v>0</v>
      </c>
      <c r="T48" s="2">
        <f t="shared" si="23"/>
        <v>0</v>
      </c>
      <c r="U48" s="2">
        <f t="shared" si="24"/>
        <v>0</v>
      </c>
      <c r="V48" s="2">
        <f t="shared" si="25"/>
        <v>0</v>
      </c>
      <c r="W48" s="2">
        <f t="shared" si="26"/>
        <v>0</v>
      </c>
      <c r="X48" s="2">
        <f>(ROUND((((S48+ROUND((ROUND(((EU48)*AV48*I48),2)*BS48),2))*AT48)/100),2)+ROUND(((ROUND((ROUND(((AE48-(EU48))*AV48*I48),2)*BS48),2)*AT48)/100),2))</f>
        <v>0</v>
      </c>
      <c r="Y48" s="2">
        <f>(ROUND((((S48+ROUND((ROUND(((EU48)*AV48*I48),2)*BS48),2))*AU48)/100),2)+ROUND(((ROUND((ROUND(((AE48-(EU48))*AV48*I48),2)*BS48),2)*AU48)/100),2))</f>
        <v>0</v>
      </c>
      <c r="Z48" s="2"/>
      <c r="AA48" s="2">
        <v>60258621</v>
      </c>
      <c r="AB48" s="2">
        <f t="shared" si="27"/>
        <v>2396.35</v>
      </c>
      <c r="AC48" s="2">
        <f>ROUND((ES48),6)</f>
        <v>2396.35</v>
      </c>
      <c r="AD48" s="2">
        <f>ROUND((((ET48)-(EU48))+AE48),6)</f>
        <v>0</v>
      </c>
      <c r="AE48" s="2">
        <f>ROUND((EU48),6)</f>
        <v>0</v>
      </c>
      <c r="AF48" s="2">
        <f>ROUND((EV48),6)</f>
        <v>0</v>
      </c>
      <c r="AG48" s="2">
        <f t="shared" si="28"/>
        <v>0</v>
      </c>
      <c r="AH48" s="2">
        <f>(EW48)</f>
        <v>0</v>
      </c>
      <c r="AI48" s="2">
        <f>(EX48)</f>
        <v>0</v>
      </c>
      <c r="AJ48" s="2">
        <f t="shared" si="29"/>
        <v>0</v>
      </c>
      <c r="AK48" s="2">
        <v>2396.35</v>
      </c>
      <c r="AL48" s="2">
        <v>2396.35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3</v>
      </c>
      <c r="BJ48" s="2" t="s">
        <v>3</v>
      </c>
      <c r="BK48" s="2"/>
      <c r="BL48" s="2"/>
      <c r="BM48" s="2">
        <v>746</v>
      </c>
      <c r="BN48" s="2">
        <v>0</v>
      </c>
      <c r="BO48" s="2" t="s">
        <v>3</v>
      </c>
      <c r="BP48" s="2">
        <v>0</v>
      </c>
      <c r="BQ48" s="2">
        <v>130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0"/>
        <v>2396.35</v>
      </c>
      <c r="CQ48" s="2">
        <f>ROUND((ROUND((AC48*1),2)*BC48),2)</f>
        <v>2396.35</v>
      </c>
      <c r="CR48" s="2">
        <f>(ROUND((ROUND(((ET48)*AV48*1),2)*BB48),2)+ROUND((ROUND(((AE48-(EU48))*AV48*1),2)*BS48),2))</f>
        <v>0</v>
      </c>
      <c r="CS48" s="2">
        <f>(ROUND((ROUND(((EU48)*AV48*1),2)*BS48),2)+ROUND((ROUND(((AE48-(EU48))*AV48*1),2)*BS48),2))</f>
        <v>0</v>
      </c>
      <c r="CT48" s="2">
        <f t="shared" si="31"/>
        <v>0</v>
      </c>
      <c r="CU48" s="2">
        <f t="shared" si="32"/>
        <v>0</v>
      </c>
      <c r="CV48" s="2">
        <f t="shared" si="33"/>
        <v>0</v>
      </c>
      <c r="CW48" s="2">
        <f t="shared" si="34"/>
        <v>0</v>
      </c>
      <c r="CX48" s="2">
        <f t="shared" si="35"/>
        <v>0</v>
      </c>
      <c r="CY48" s="2">
        <f>(ROUND((((S48+ROUND((ROUND(((EU48)*AV48*1),2)*BS48),2))*AT48)/100),2)+ROUND(((ROUND((ROUND(((AE48-(EU48))*AV48*1),2)*BS48),2)*AT48)/100),2))</f>
        <v>0</v>
      </c>
      <c r="CZ48" s="2">
        <f>(ROUND((((S48+ROUND((ROUND(((EU48)*AV48*1),2)*BS48),2))*AU48)/100),2)+ROUND(((ROUND((ROUND(((AE48-(EU48))*AV48*1),2)*BS48),2)*AU48)/100),2))</f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32</v>
      </c>
      <c r="DW48" s="2" t="s">
        <v>32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60088638</v>
      </c>
      <c r="EF48" s="2">
        <v>130</v>
      </c>
      <c r="EG48" s="2" t="s">
        <v>33</v>
      </c>
      <c r="EH48" s="2">
        <v>0</v>
      </c>
      <c r="EI48" s="2" t="s">
        <v>3</v>
      </c>
      <c r="EJ48" s="2">
        <v>3</v>
      </c>
      <c r="EK48" s="2">
        <v>746</v>
      </c>
      <c r="EL48" s="2" t="s">
        <v>34</v>
      </c>
      <c r="EM48" s="2" t="s">
        <v>35</v>
      </c>
      <c r="EN48" s="2"/>
      <c r="EO48" s="2" t="s">
        <v>3</v>
      </c>
      <c r="EP48" s="2"/>
      <c r="EQ48" s="2">
        <v>0</v>
      </c>
      <c r="ER48" s="2">
        <v>0</v>
      </c>
      <c r="ES48" s="2">
        <v>2396.35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f>P48</f>
        <v>2396.35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75</v>
      </c>
      <c r="GB48" s="2"/>
      <c r="GC48" s="2"/>
      <c r="GD48" s="2">
        <v>1</v>
      </c>
      <c r="GE48" s="2"/>
      <c r="GF48" s="2">
        <v>-1794690275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36"/>
        <v>0</v>
      </c>
      <c r="GM48" s="2">
        <f t="shared" si="37"/>
        <v>2396.35</v>
      </c>
      <c r="GN48" s="2">
        <f t="shared" si="38"/>
        <v>0</v>
      </c>
      <c r="GO48" s="2">
        <f t="shared" si="39"/>
        <v>0</v>
      </c>
      <c r="GP48" s="2">
        <f t="shared" si="40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1"/>
        <v>0</v>
      </c>
      <c r="GW48" s="2">
        <v>1</v>
      </c>
      <c r="GX48" s="2">
        <f t="shared" si="42"/>
        <v>0</v>
      </c>
      <c r="GY48" s="2"/>
      <c r="GZ48" s="2"/>
      <c r="HA48" s="2">
        <v>0</v>
      </c>
      <c r="HB48" s="2">
        <v>0</v>
      </c>
      <c r="HC48" s="2">
        <f t="shared" si="43"/>
        <v>0</v>
      </c>
      <c r="HD48" s="2"/>
      <c r="HE48" s="2" t="s">
        <v>37</v>
      </c>
      <c r="HF48" s="2" t="s">
        <v>38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E49" t="s">
        <v>72</v>
      </c>
      <c r="F49" t="s">
        <v>73</v>
      </c>
      <c r="G49" t="s">
        <v>74</v>
      </c>
      <c r="H49" t="s">
        <v>32</v>
      </c>
      <c r="I49">
        <v>1</v>
      </c>
      <c r="J49">
        <v>0</v>
      </c>
      <c r="K49">
        <v>1</v>
      </c>
      <c r="O49">
        <f t="shared" si="21"/>
        <v>18356.04</v>
      </c>
      <c r="P49">
        <f>ROUND((ROUND((AC49*I49),2)*BC49),2)</f>
        <v>18356.04</v>
      </c>
      <c r="Q49">
        <f>(ROUND((ROUND(((ET49)*AV49*I49),2)*BB49),2)+ROUND((ROUND(((AE49-(EU49))*AV49*I49),2)*BS49),2))</f>
        <v>0</v>
      </c>
      <c r="R49">
        <f>(ROUND((ROUND(((EU49)*AV49*I49),2)*BS49),2)+ROUND((ROUND(((AE49-(EU49))*AV49*I49),2)*BS49),2))</f>
        <v>0</v>
      </c>
      <c r="S49">
        <f t="shared" si="22"/>
        <v>0</v>
      </c>
      <c r="T49">
        <f t="shared" si="23"/>
        <v>0</v>
      </c>
      <c r="U49">
        <f t="shared" si="24"/>
        <v>0</v>
      </c>
      <c r="V49">
        <f t="shared" si="25"/>
        <v>0</v>
      </c>
      <c r="W49">
        <f t="shared" si="26"/>
        <v>0</v>
      </c>
      <c r="X49">
        <f>(ROUND((((S49+ROUND((ROUND(((EU49)*AV49*I49),2)*BS49),2))*AT49)/100),2)+ROUND(((ROUND((ROUND(((AE49-(EU49))*AV49*I49),2)*BS49),2)*AT49)/100),2))</f>
        <v>0</v>
      </c>
      <c r="Y49">
        <f>(ROUND((((S49+ROUND((ROUND(((EU49)*AV49*I49),2)*BS49),2))*AU49)/100),2)+ROUND(((ROUND((ROUND(((AE49-(EU49))*AV49*I49),2)*BS49),2)*AU49)/100),2))</f>
        <v>0</v>
      </c>
      <c r="AA49">
        <v>60258618</v>
      </c>
      <c r="AB49">
        <f t="shared" si="27"/>
        <v>2396.35</v>
      </c>
      <c r="AC49">
        <f>ROUND((ES49),6)</f>
        <v>2396.35</v>
      </c>
      <c r="AD49">
        <f>ROUND((((ET49)-(EU49))+AE49),6)</f>
        <v>0</v>
      </c>
      <c r="AE49">
        <f>ROUND((EU49),6)</f>
        <v>0</v>
      </c>
      <c r="AF49">
        <f>ROUND((EV49),6)</f>
        <v>0</v>
      </c>
      <c r="AG49">
        <f t="shared" si="28"/>
        <v>0</v>
      </c>
      <c r="AH49">
        <f>(EW49)</f>
        <v>0</v>
      </c>
      <c r="AI49">
        <f>(EX49)</f>
        <v>0</v>
      </c>
      <c r="AJ49">
        <f t="shared" si="29"/>
        <v>0</v>
      </c>
      <c r="AK49">
        <v>2396.35</v>
      </c>
      <c r="AL49">
        <v>2396.35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7.66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3</v>
      </c>
      <c r="BJ49" t="s">
        <v>3</v>
      </c>
      <c r="BM49">
        <v>746</v>
      </c>
      <c r="BN49">
        <v>0</v>
      </c>
      <c r="BO49" t="s">
        <v>3</v>
      </c>
      <c r="BP49">
        <v>0</v>
      </c>
      <c r="BQ49">
        <v>130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0</v>
      </c>
      <c r="CA49">
        <v>0</v>
      </c>
      <c r="CB49" t="s">
        <v>3</v>
      </c>
      <c r="CE49">
        <v>1566</v>
      </c>
      <c r="CF49">
        <v>0</v>
      </c>
      <c r="CG49">
        <v>0</v>
      </c>
      <c r="CM49">
        <v>0</v>
      </c>
      <c r="CN49" t="s">
        <v>3</v>
      </c>
      <c r="CO49">
        <v>0</v>
      </c>
      <c r="CP49">
        <f t="shared" si="30"/>
        <v>18356.04</v>
      </c>
      <c r="CQ49">
        <f>ROUND((ROUND((AC49*1),2)*BC49),2)</f>
        <v>18356.04</v>
      </c>
      <c r="CR49">
        <f>(ROUND((ROUND(((ET49)*AV49*1),2)*BB49),2)+ROUND((ROUND(((AE49-(EU49))*AV49*1),2)*BS49),2))</f>
        <v>0</v>
      </c>
      <c r="CS49">
        <f>(ROUND((ROUND(((EU49)*AV49*1),2)*BS49),2)+ROUND((ROUND(((AE49-(EU49))*AV49*1),2)*BS49),2))</f>
        <v>0</v>
      </c>
      <c r="CT49">
        <f t="shared" si="31"/>
        <v>0</v>
      </c>
      <c r="CU49">
        <f t="shared" si="32"/>
        <v>0</v>
      </c>
      <c r="CV49">
        <f t="shared" si="33"/>
        <v>0</v>
      </c>
      <c r="CW49">
        <f t="shared" si="34"/>
        <v>0</v>
      </c>
      <c r="CX49">
        <f t="shared" si="35"/>
        <v>0</v>
      </c>
      <c r="CY49">
        <f>(ROUND((((S49+ROUND((ROUND(((EU49)*AV49*1),2)*BS49),2))*AT49)/100),2)+ROUND(((ROUND((ROUND(((AE49-(EU49))*AV49*1),2)*BS49),2)*AT49)/100),2))</f>
        <v>0</v>
      </c>
      <c r="CZ49">
        <f>(ROUND((((S49+ROUND((ROUND(((EU49)*AV49*1),2)*BS49),2))*AU49)/100),2)+ROUND(((ROUND((ROUND(((AE49-(EU49))*AV49*1),2)*BS49),2)*AU49)/100),2))</f>
        <v>0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1013</v>
      </c>
      <c r="DV49" t="s">
        <v>32</v>
      </c>
      <c r="DW49" t="s">
        <v>32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60088638</v>
      </c>
      <c r="EF49">
        <v>130</v>
      </c>
      <c r="EG49" t="s">
        <v>33</v>
      </c>
      <c r="EH49">
        <v>0</v>
      </c>
      <c r="EI49" t="s">
        <v>3</v>
      </c>
      <c r="EJ49">
        <v>3</v>
      </c>
      <c r="EK49">
        <v>746</v>
      </c>
      <c r="EL49" t="s">
        <v>34</v>
      </c>
      <c r="EM49" t="s">
        <v>35</v>
      </c>
      <c r="EO49" t="s">
        <v>3</v>
      </c>
      <c r="EQ49">
        <v>0</v>
      </c>
      <c r="ER49">
        <v>0</v>
      </c>
      <c r="ES49">
        <v>2396.35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5</v>
      </c>
      <c r="FC49">
        <v>1</v>
      </c>
      <c r="FD49">
        <v>18</v>
      </c>
      <c r="FF49">
        <v>21132</v>
      </c>
      <c r="FQ49">
        <v>0</v>
      </c>
      <c r="FR49">
        <f>P49</f>
        <v>18356.04</v>
      </c>
      <c r="FS49">
        <v>0</v>
      </c>
      <c r="FX49">
        <v>0</v>
      </c>
      <c r="FY49">
        <v>0</v>
      </c>
      <c r="GA49" t="s">
        <v>75</v>
      </c>
      <c r="GD49">
        <v>1</v>
      </c>
      <c r="GF49">
        <v>-1794690275</v>
      </c>
      <c r="GG49">
        <v>2</v>
      </c>
      <c r="GH49">
        <v>3</v>
      </c>
      <c r="GI49">
        <v>5</v>
      </c>
      <c r="GJ49">
        <v>0</v>
      </c>
      <c r="GK49">
        <v>0</v>
      </c>
      <c r="GL49">
        <f t="shared" si="36"/>
        <v>0</v>
      </c>
      <c r="GM49">
        <f t="shared" si="37"/>
        <v>18356.04</v>
      </c>
      <c r="GN49">
        <f t="shared" si="38"/>
        <v>0</v>
      </c>
      <c r="GO49">
        <f t="shared" si="39"/>
        <v>0</v>
      </c>
      <c r="GP49">
        <f t="shared" si="40"/>
        <v>0</v>
      </c>
      <c r="GR49">
        <v>1</v>
      </c>
      <c r="GS49">
        <v>1</v>
      </c>
      <c r="GT49">
        <v>0</v>
      </c>
      <c r="GU49" t="s">
        <v>3</v>
      </c>
      <c r="GV49">
        <f t="shared" si="41"/>
        <v>0</v>
      </c>
      <c r="GW49">
        <v>1</v>
      </c>
      <c r="GX49">
        <f t="shared" si="42"/>
        <v>0</v>
      </c>
      <c r="HA49">
        <v>0</v>
      </c>
      <c r="HB49">
        <v>0</v>
      </c>
      <c r="HC49">
        <f t="shared" si="43"/>
        <v>0</v>
      </c>
      <c r="HE49" t="s">
        <v>37</v>
      </c>
      <c r="HF49" t="s">
        <v>38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>
        <f>ROW(SmtRes!A25)</f>
        <v>25</v>
      </c>
      <c r="D50" s="2">
        <f>ROW(EtalonRes!A31)</f>
        <v>31</v>
      </c>
      <c r="E50" s="2" t="s">
        <v>76</v>
      </c>
      <c r="F50" s="2" t="s">
        <v>77</v>
      </c>
      <c r="G50" s="2" t="s">
        <v>78</v>
      </c>
      <c r="H50" s="2" t="s">
        <v>21</v>
      </c>
      <c r="I50" s="2">
        <v>1</v>
      </c>
      <c r="J50" s="2">
        <v>0</v>
      </c>
      <c r="K50" s="2">
        <v>1</v>
      </c>
      <c r="L50" s="2"/>
      <c r="M50" s="2"/>
      <c r="N50" s="2"/>
      <c r="O50" s="2">
        <f t="shared" si="21"/>
        <v>58.93</v>
      </c>
      <c r="P50" s="2">
        <f>ROUND((ROUND((AC50*AW50*I50),2)*BC50),2)</f>
        <v>3.36</v>
      </c>
      <c r="Q50" s="2">
        <f>(ROUND((ROUND((((ET50*1.1))*AV50*I50),2)*BB50),2)+ROUND((ROUND(((AE50-((EU50*1.1)))*AV50*I50),2)*BS50),2))</f>
        <v>0.06</v>
      </c>
      <c r="R50" s="2">
        <f>(ROUND((ROUND((((EU50*1.1))*AV50*I50),2)*BS50),2)+ROUND((ROUND(((AE50-((EU50*1.1)))*AV50*I50),2)*BS50),2))</f>
        <v>0.01</v>
      </c>
      <c r="S50" s="2">
        <f t="shared" si="22"/>
        <v>55.51</v>
      </c>
      <c r="T50" s="2">
        <f t="shared" si="23"/>
        <v>0</v>
      </c>
      <c r="U50" s="2">
        <f t="shared" si="24"/>
        <v>4.1461199999999998</v>
      </c>
      <c r="V50" s="2">
        <f t="shared" si="25"/>
        <v>0</v>
      </c>
      <c r="W50" s="2">
        <f t="shared" si="26"/>
        <v>0</v>
      </c>
      <c r="X50" s="2">
        <f>(ROUND((((S50+ROUND((ROUND((((EU50*1.1))*AV50*I50),2)*BS50),2))*AT50)/100),2)+ROUND(((ROUND((ROUND(((AE50-((EU50*1.1)))*AV50*I50),2)*BS50),2)*AT50)/100),2))</f>
        <v>49.97</v>
      </c>
      <c r="Y50" s="2">
        <f>(ROUND((((S50+ROUND((ROUND((((EU50*1.1))*AV50*I50),2)*BS50),2))*AU50)/100),2)+ROUND(((ROUND((ROUND(((AE50-((EU50*1.1)))*AV50*I50),2)*BS50),2)*AU50)/100),2))</f>
        <v>25.54</v>
      </c>
      <c r="Z50" s="2"/>
      <c r="AA50" s="2">
        <v>60258621</v>
      </c>
      <c r="AB50" s="2">
        <f t="shared" si="27"/>
        <v>56.435000000000002</v>
      </c>
      <c r="AC50" s="2">
        <f>ROUND(((ES50*1)),6)</f>
        <v>3.36</v>
      </c>
      <c r="AD50" s="2">
        <f>ROUND(((((ET50*1.1))-((EU50*1.1)))+AE50),6)</f>
        <v>5.5E-2</v>
      </c>
      <c r="AE50" s="2">
        <f>ROUND(((EU50*1.1)),6)</f>
        <v>1.0999999999999999E-2</v>
      </c>
      <c r="AF50" s="2">
        <f>ROUND(((EV50*1.1)),6)</f>
        <v>53.02</v>
      </c>
      <c r="AG50" s="2">
        <f t="shared" si="28"/>
        <v>0</v>
      </c>
      <c r="AH50" s="2">
        <f>((EW50*1.1))</f>
        <v>3.9600000000000004</v>
      </c>
      <c r="AI50" s="2">
        <f>((EX50*1.1))</f>
        <v>0</v>
      </c>
      <c r="AJ50" s="2">
        <f t="shared" si="29"/>
        <v>0</v>
      </c>
      <c r="AK50" s="2">
        <v>51.61</v>
      </c>
      <c r="AL50" s="2">
        <v>3.36</v>
      </c>
      <c r="AM50" s="2">
        <v>0.05</v>
      </c>
      <c r="AN50" s="2">
        <v>0.01</v>
      </c>
      <c r="AO50" s="2">
        <v>48.2</v>
      </c>
      <c r="AP50" s="2">
        <v>0</v>
      </c>
      <c r="AQ50" s="2">
        <v>3.6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79</v>
      </c>
      <c r="BK50" s="2"/>
      <c r="BL50" s="2"/>
      <c r="BM50" s="2">
        <v>68</v>
      </c>
      <c r="BN50" s="2">
        <v>58973116</v>
      </c>
      <c r="BO50" s="2" t="s">
        <v>77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407</v>
      </c>
      <c r="CO50" s="2">
        <v>0</v>
      </c>
      <c r="CP50" s="2">
        <f t="shared" si="30"/>
        <v>58.93</v>
      </c>
      <c r="CQ50" s="2">
        <f>ROUND((ROUND((AC50*AW50*1),2)*BC50),2)</f>
        <v>3.36</v>
      </c>
      <c r="CR50" s="2">
        <f>(ROUND((ROUND((((ET50*1.1))*AV50*1),2)*BB50),2)+ROUND((ROUND(((AE50-((EU50*1.1)))*AV50*1),2)*BS50),2))</f>
        <v>0.06</v>
      </c>
      <c r="CS50" s="2">
        <f>(ROUND((ROUND((((EU50*1.1))*AV50*1),2)*BS50),2)+ROUND((ROUND(((AE50-((EU50*1.1)))*AV50*1),2)*BS50),2))</f>
        <v>0.01</v>
      </c>
      <c r="CT50" s="2">
        <f t="shared" si="31"/>
        <v>55.51</v>
      </c>
      <c r="CU50" s="2">
        <f t="shared" si="32"/>
        <v>0</v>
      </c>
      <c r="CV50" s="2">
        <f t="shared" si="33"/>
        <v>4.1461199999999998</v>
      </c>
      <c r="CW50" s="2">
        <f t="shared" si="34"/>
        <v>0</v>
      </c>
      <c r="CX50" s="2">
        <f t="shared" si="35"/>
        <v>0</v>
      </c>
      <c r="CY50" s="2">
        <f>(ROUND((((S50+ROUND((ROUND((((EU50*1.1))*AV50*1),2)*BS50),2))*AT50)/100),2)+ROUND(((ROUND((ROUND(((AE50-((EU50*1.1)))*AV50*1),2)*BS50),2)*AT50)/100),2))</f>
        <v>49.97</v>
      </c>
      <c r="CZ50" s="2">
        <f>(ROUND((((S50+ROUND((ROUND((((EU50*1.1))*AV50*1),2)*BS50),2))*AU50)/100),2)+ROUND(((ROUND((ROUND(((AE50-((EU50*1.1)))*AV50*1),2)*BS50),2)*AU50)/100),2))</f>
        <v>25.54</v>
      </c>
      <c r="DA50" s="2"/>
      <c r="DB50" s="2">
        <v>11</v>
      </c>
      <c r="DC50" s="2" t="s">
        <v>3</v>
      </c>
      <c r="DD50" s="2" t="s">
        <v>23</v>
      </c>
      <c r="DE50" s="2" t="s">
        <v>24</v>
      </c>
      <c r="DF50" s="2" t="s">
        <v>24</v>
      </c>
      <c r="DG50" s="2" t="s">
        <v>24</v>
      </c>
      <c r="DH50" s="2" t="s">
        <v>3</v>
      </c>
      <c r="DI50" s="2" t="s">
        <v>24</v>
      </c>
      <c r="DJ50" s="2" t="s">
        <v>24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21</v>
      </c>
      <c r="DW50" s="2" t="s">
        <v>21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60088532</v>
      </c>
      <c r="EF50" s="2">
        <v>40</v>
      </c>
      <c r="EG50" s="2" t="s">
        <v>25</v>
      </c>
      <c r="EH50" s="2">
        <v>0</v>
      </c>
      <c r="EI50" s="2" t="s">
        <v>3</v>
      </c>
      <c r="EJ50" s="2">
        <v>2</v>
      </c>
      <c r="EK50" s="2">
        <v>68</v>
      </c>
      <c r="EL50" s="2" t="s">
        <v>46</v>
      </c>
      <c r="EM50" s="2" t="s">
        <v>47</v>
      </c>
      <c r="EN50" s="2"/>
      <c r="EO50" s="2" t="s">
        <v>28</v>
      </c>
      <c r="EP50" s="2"/>
      <c r="EQ50" s="2">
        <v>0</v>
      </c>
      <c r="ER50" s="2">
        <v>51.61</v>
      </c>
      <c r="ES50" s="2">
        <v>3.36</v>
      </c>
      <c r="ET50" s="2">
        <v>0.05</v>
      </c>
      <c r="EU50" s="2">
        <v>0.01</v>
      </c>
      <c r="EV50" s="2">
        <v>48.2</v>
      </c>
      <c r="EW50" s="2">
        <v>3.6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743435106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36"/>
        <v>0</v>
      </c>
      <c r="GM50" s="2">
        <f t="shared" si="37"/>
        <v>134.44</v>
      </c>
      <c r="GN50" s="2">
        <f t="shared" si="38"/>
        <v>0</v>
      </c>
      <c r="GO50" s="2">
        <f t="shared" si="39"/>
        <v>134.44</v>
      </c>
      <c r="GP50" s="2">
        <f t="shared" si="40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41"/>
        <v>0</v>
      </c>
      <c r="GW50" s="2">
        <v>1</v>
      </c>
      <c r="GX50" s="2">
        <f t="shared" si="42"/>
        <v>0</v>
      </c>
      <c r="GY50" s="2"/>
      <c r="GZ50" s="2"/>
      <c r="HA50" s="2">
        <v>0</v>
      </c>
      <c r="HB50" s="2">
        <v>0</v>
      </c>
      <c r="HC50" s="2">
        <f t="shared" si="43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C51">
        <f>ROW(SmtRes!A26)</f>
        <v>26</v>
      </c>
      <c r="D51">
        <f>ROW(EtalonRes!A32)</f>
        <v>32</v>
      </c>
      <c r="E51" t="s">
        <v>76</v>
      </c>
      <c r="F51" t="s">
        <v>77</v>
      </c>
      <c r="G51" t="s">
        <v>78</v>
      </c>
      <c r="H51" t="s">
        <v>21</v>
      </c>
      <c r="I51">
        <v>1</v>
      </c>
      <c r="J51">
        <v>0</v>
      </c>
      <c r="K51">
        <v>1</v>
      </c>
      <c r="O51">
        <f t="shared" si="21"/>
        <v>3086.86</v>
      </c>
      <c r="P51">
        <f>ROUND((ROUND((AC51*AW51*I51),2)*BC51),2)</f>
        <v>33.229999999999997</v>
      </c>
      <c r="Q51">
        <f>(ROUND((ROUND((((ET51*1.1))*AV51*I51),2)*BB51),2)+ROUND((ROUND(((AE51-((EU51*1.1)))*AV51*I51),2)*BS51),2))</f>
        <v>1.1399999999999999</v>
      </c>
      <c r="R51">
        <f>(ROUND((ROUND((((EU51*1.1))*AV51*I51),2)*BS51),2)+ROUND((ROUND(((AE51-((EU51*1.1)))*AV51*I51),2)*BS51),2))</f>
        <v>0.55000000000000004</v>
      </c>
      <c r="S51">
        <f t="shared" si="22"/>
        <v>3052.49</v>
      </c>
      <c r="T51">
        <f t="shared" si="23"/>
        <v>0</v>
      </c>
      <c r="U51">
        <f t="shared" si="24"/>
        <v>4.1461199999999998</v>
      </c>
      <c r="V51">
        <f t="shared" si="25"/>
        <v>0</v>
      </c>
      <c r="W51">
        <f t="shared" si="26"/>
        <v>0</v>
      </c>
      <c r="X51">
        <f>(ROUND((((S51+ROUND((ROUND((((EU51*1.1))*AV51*I51),2)*BS51),2))*AT51)/100),2)+ROUND(((ROUND((ROUND(((AE51-((EU51*1.1)))*AV51*I51),2)*BS51),2)*AT51)/100),2))</f>
        <v>2747.74</v>
      </c>
      <c r="Y51">
        <f>(ROUND((((S51+ROUND((ROUND((((EU51*1.1))*AV51*I51),2)*BS51),2))*AU51)/100),2)+ROUND(((ROUND((ROUND(((AE51-((EU51*1.1)))*AV51*I51),2)*BS51),2)*AU51)/100),2))</f>
        <v>1404.4</v>
      </c>
      <c r="AA51">
        <v>60258618</v>
      </c>
      <c r="AB51">
        <f t="shared" si="27"/>
        <v>56.435000000000002</v>
      </c>
      <c r="AC51">
        <f>ROUND(((ES51*1)),6)</f>
        <v>3.36</v>
      </c>
      <c r="AD51">
        <f>ROUND(((((ET51*1.1))-((EU51*1.1)))+AE51),6)</f>
        <v>5.5E-2</v>
      </c>
      <c r="AE51">
        <f>ROUND(((EU51*1.1)),6)</f>
        <v>1.0999999999999999E-2</v>
      </c>
      <c r="AF51">
        <f>ROUND(((EV51*1.1)),6)</f>
        <v>53.02</v>
      </c>
      <c r="AG51">
        <f t="shared" si="28"/>
        <v>0</v>
      </c>
      <c r="AH51">
        <f>((EW51*1.1))</f>
        <v>3.9600000000000004</v>
      </c>
      <c r="AI51">
        <f>((EX51*1.1))</f>
        <v>0</v>
      </c>
      <c r="AJ51">
        <f t="shared" si="29"/>
        <v>0</v>
      </c>
      <c r="AK51">
        <v>51.61</v>
      </c>
      <c r="AL51">
        <v>3.36</v>
      </c>
      <c r="AM51">
        <v>0.05</v>
      </c>
      <c r="AN51">
        <v>0.01</v>
      </c>
      <c r="AO51">
        <v>48.2</v>
      </c>
      <c r="AP51">
        <v>0</v>
      </c>
      <c r="AQ51">
        <v>3.6</v>
      </c>
      <c r="AR51">
        <v>0</v>
      </c>
      <c r="AS51">
        <v>0</v>
      </c>
      <c r="AT51">
        <v>90</v>
      </c>
      <c r="AU51">
        <v>46</v>
      </c>
      <c r="AV51">
        <v>1.0469999999999999</v>
      </c>
      <c r="AW51">
        <v>1</v>
      </c>
      <c r="AZ51">
        <v>1</v>
      </c>
      <c r="BA51">
        <v>54.99</v>
      </c>
      <c r="BB51">
        <v>19</v>
      </c>
      <c r="BC51">
        <v>9.89</v>
      </c>
      <c r="BD51" t="s">
        <v>3</v>
      </c>
      <c r="BE51" t="s">
        <v>3</v>
      </c>
      <c r="BF51" t="s">
        <v>3</v>
      </c>
      <c r="BG51" t="s">
        <v>3</v>
      </c>
      <c r="BH51">
        <v>0</v>
      </c>
      <c r="BI51">
        <v>2</v>
      </c>
      <c r="BJ51" t="s">
        <v>79</v>
      </c>
      <c r="BM51">
        <v>68</v>
      </c>
      <c r="BN51">
        <v>58973116</v>
      </c>
      <c r="BO51" t="s">
        <v>77</v>
      </c>
      <c r="BP51">
        <v>1</v>
      </c>
      <c r="BQ51">
        <v>40</v>
      </c>
      <c r="BR51">
        <v>0</v>
      </c>
      <c r="BS51">
        <v>54.99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90</v>
      </c>
      <c r="CA51">
        <v>46</v>
      </c>
      <c r="CB51" t="s">
        <v>3</v>
      </c>
      <c r="CE51">
        <v>1566</v>
      </c>
      <c r="CF51">
        <v>0</v>
      </c>
      <c r="CG51">
        <v>0</v>
      </c>
      <c r="CM51">
        <v>0</v>
      </c>
      <c r="CN51" t="s">
        <v>407</v>
      </c>
      <c r="CO51">
        <v>0</v>
      </c>
      <c r="CP51">
        <f t="shared" si="30"/>
        <v>3086.8599999999997</v>
      </c>
      <c r="CQ51">
        <f>ROUND((ROUND((AC51*AW51*1),2)*BC51),2)</f>
        <v>33.229999999999997</v>
      </c>
      <c r="CR51">
        <f>(ROUND((ROUND((((ET51*1.1))*AV51*1),2)*BB51),2)+ROUND((ROUND(((AE51-((EU51*1.1)))*AV51*1),2)*BS51),2))</f>
        <v>1.1399999999999999</v>
      </c>
      <c r="CS51">
        <f>(ROUND((ROUND((((EU51*1.1))*AV51*1),2)*BS51),2)+ROUND((ROUND(((AE51-((EU51*1.1)))*AV51*1),2)*BS51),2))</f>
        <v>0.55000000000000004</v>
      </c>
      <c r="CT51">
        <f t="shared" si="31"/>
        <v>3052.49</v>
      </c>
      <c r="CU51">
        <f t="shared" si="32"/>
        <v>0</v>
      </c>
      <c r="CV51">
        <f t="shared" si="33"/>
        <v>4.1461199999999998</v>
      </c>
      <c r="CW51">
        <f t="shared" si="34"/>
        <v>0</v>
      </c>
      <c r="CX51">
        <f t="shared" si="35"/>
        <v>0</v>
      </c>
      <c r="CY51">
        <f>(ROUND((((S51+ROUND((ROUND((((EU51*1.1))*AV51*1),2)*BS51),2))*AT51)/100),2)+ROUND(((ROUND((ROUND(((AE51-((EU51*1.1)))*AV51*1),2)*BS51),2)*AT51)/100),2))</f>
        <v>2747.74</v>
      </c>
      <c r="CZ51">
        <f>(ROUND((((S51+ROUND((ROUND((((EU51*1.1))*AV51*1),2)*BS51),2))*AU51)/100),2)+ROUND(((ROUND((ROUND(((AE51-((EU51*1.1)))*AV51*1),2)*BS51),2)*AU51)/100),2))</f>
        <v>1404.4</v>
      </c>
      <c r="DB51">
        <v>12</v>
      </c>
      <c r="DC51" t="s">
        <v>3</v>
      </c>
      <c r="DD51" t="s">
        <v>23</v>
      </c>
      <c r="DE51" t="s">
        <v>24</v>
      </c>
      <c r="DF51" t="s">
        <v>24</v>
      </c>
      <c r="DG51" t="s">
        <v>24</v>
      </c>
      <c r="DH51" t="s">
        <v>3</v>
      </c>
      <c r="DI51" t="s">
        <v>24</v>
      </c>
      <c r="DJ51" t="s">
        <v>24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1013</v>
      </c>
      <c r="DV51" t="s">
        <v>21</v>
      </c>
      <c r="DW51" t="s">
        <v>21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60088532</v>
      </c>
      <c r="EF51">
        <v>40</v>
      </c>
      <c r="EG51" t="s">
        <v>25</v>
      </c>
      <c r="EH51">
        <v>0</v>
      </c>
      <c r="EI51" t="s">
        <v>3</v>
      </c>
      <c r="EJ51">
        <v>2</v>
      </c>
      <c r="EK51">
        <v>68</v>
      </c>
      <c r="EL51" t="s">
        <v>46</v>
      </c>
      <c r="EM51" t="s">
        <v>47</v>
      </c>
      <c r="EO51" t="s">
        <v>28</v>
      </c>
      <c r="EQ51">
        <v>0</v>
      </c>
      <c r="ER51">
        <v>51.61</v>
      </c>
      <c r="ES51">
        <v>3.36</v>
      </c>
      <c r="ET51">
        <v>0.05</v>
      </c>
      <c r="EU51">
        <v>0.01</v>
      </c>
      <c r="EV51">
        <v>48.2</v>
      </c>
      <c r="EW51">
        <v>3.6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90</v>
      </c>
      <c r="FY51">
        <v>46</v>
      </c>
      <c r="GA51" t="s">
        <v>3</v>
      </c>
      <c r="GD51">
        <v>1</v>
      </c>
      <c r="GF51">
        <v>743435106</v>
      </c>
      <c r="GG51">
        <v>2</v>
      </c>
      <c r="GH51">
        <v>1</v>
      </c>
      <c r="GI51">
        <v>2</v>
      </c>
      <c r="GJ51">
        <v>0</v>
      </c>
      <c r="GK51">
        <v>0</v>
      </c>
      <c r="GL51">
        <f t="shared" si="36"/>
        <v>0</v>
      </c>
      <c r="GM51">
        <f t="shared" si="37"/>
        <v>7239</v>
      </c>
      <c r="GN51">
        <f t="shared" si="38"/>
        <v>0</v>
      </c>
      <c r="GO51">
        <f t="shared" si="39"/>
        <v>7239</v>
      </c>
      <c r="GP51">
        <f t="shared" si="40"/>
        <v>0</v>
      </c>
      <c r="GR51">
        <v>0</v>
      </c>
      <c r="GS51">
        <v>3</v>
      </c>
      <c r="GT51">
        <v>0</v>
      </c>
      <c r="GU51" t="s">
        <v>3</v>
      </c>
      <c r="GV51">
        <f t="shared" si="41"/>
        <v>0</v>
      </c>
      <c r="GW51">
        <v>1</v>
      </c>
      <c r="GX51">
        <f t="shared" si="42"/>
        <v>0</v>
      </c>
      <c r="HA51">
        <v>0</v>
      </c>
      <c r="HB51">
        <v>0</v>
      </c>
      <c r="HC51">
        <f t="shared" si="43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80</v>
      </c>
      <c r="F52" s="2" t="s">
        <v>81</v>
      </c>
      <c r="G52" s="2" t="s">
        <v>82</v>
      </c>
      <c r="H52" s="2" t="s">
        <v>32</v>
      </c>
      <c r="I52" s="2">
        <v>1</v>
      </c>
      <c r="J52" s="2">
        <v>0</v>
      </c>
      <c r="K52" s="2">
        <v>1</v>
      </c>
      <c r="L52" s="2"/>
      <c r="M52" s="2"/>
      <c r="N52" s="2"/>
      <c r="O52" s="2">
        <f t="shared" si="21"/>
        <v>1829.8</v>
      </c>
      <c r="P52" s="2">
        <f>ROUND((ROUND((AC52*I52),2)*BC52),2)</f>
        <v>1829.8</v>
      </c>
      <c r="Q52" s="2">
        <f>(ROUND((ROUND(((ET52)*AV52*I52),2)*BB52),2)+ROUND((ROUND(((AE52-(EU52))*AV52*I52),2)*BS52),2))</f>
        <v>0</v>
      </c>
      <c r="R52" s="2">
        <f>(ROUND((ROUND(((EU52)*AV52*I52),2)*BS52),2)+ROUND((ROUND(((AE52-(EU52))*AV52*I52),2)*BS52),2))</f>
        <v>0</v>
      </c>
      <c r="S52" s="2">
        <f t="shared" si="22"/>
        <v>0</v>
      </c>
      <c r="T52" s="2">
        <f t="shared" si="23"/>
        <v>0</v>
      </c>
      <c r="U52" s="2">
        <f t="shared" si="24"/>
        <v>0</v>
      </c>
      <c r="V52" s="2">
        <f t="shared" si="25"/>
        <v>0</v>
      </c>
      <c r="W52" s="2">
        <f t="shared" si="26"/>
        <v>0</v>
      </c>
      <c r="X52" s="2">
        <f>(ROUND((((S52+ROUND((ROUND(((EU52)*AV52*I52),2)*BS52),2))*AT52)/100),2)+ROUND(((ROUND((ROUND(((AE52-(EU52))*AV52*I52),2)*BS52),2)*AT52)/100),2))</f>
        <v>0</v>
      </c>
      <c r="Y52" s="2">
        <f>(ROUND((((S52+ROUND((ROUND(((EU52)*AV52*I52),2)*BS52),2))*AU52)/100),2)+ROUND(((ROUND((ROUND(((AE52-(EU52))*AV52*I52),2)*BS52),2)*AU52)/100),2))</f>
        <v>0</v>
      </c>
      <c r="Z52" s="2"/>
      <c r="AA52" s="2">
        <v>60258621</v>
      </c>
      <c r="AB52" s="2">
        <f t="shared" si="27"/>
        <v>1829.8</v>
      </c>
      <c r="AC52" s="2">
        <f>ROUND((ES52),6)</f>
        <v>1829.8</v>
      </c>
      <c r="AD52" s="2">
        <f>ROUND((((ET52)-(EU52))+AE52),6)</f>
        <v>0</v>
      </c>
      <c r="AE52" s="2">
        <f>ROUND((EU52),6)</f>
        <v>0</v>
      </c>
      <c r="AF52" s="2">
        <f>ROUND((EV52),6)</f>
        <v>0</v>
      </c>
      <c r="AG52" s="2">
        <f t="shared" si="28"/>
        <v>0</v>
      </c>
      <c r="AH52" s="2">
        <f>(EW52)</f>
        <v>0</v>
      </c>
      <c r="AI52" s="2">
        <f>(EX52)</f>
        <v>0</v>
      </c>
      <c r="AJ52" s="2">
        <f t="shared" si="29"/>
        <v>0</v>
      </c>
      <c r="AK52" s="2">
        <v>1829.8000000000002</v>
      </c>
      <c r="AL52" s="2">
        <v>1829.8000000000002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3</v>
      </c>
      <c r="BK52" s="2"/>
      <c r="BL52" s="2"/>
      <c r="BM52" s="2">
        <v>746</v>
      </c>
      <c r="BN52" s="2">
        <v>0</v>
      </c>
      <c r="BO52" s="2" t="s">
        <v>3</v>
      </c>
      <c r="BP52" s="2">
        <v>0</v>
      </c>
      <c r="BQ52" s="2">
        <v>130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0"/>
        <v>1829.8</v>
      </c>
      <c r="CQ52" s="2">
        <f>ROUND((ROUND((AC52*1),2)*BC52),2)</f>
        <v>1829.8</v>
      </c>
      <c r="CR52" s="2">
        <f>(ROUND((ROUND(((ET52)*AV52*1),2)*BB52),2)+ROUND((ROUND(((AE52-(EU52))*AV52*1),2)*BS52),2))</f>
        <v>0</v>
      </c>
      <c r="CS52" s="2">
        <f>(ROUND((ROUND(((EU52)*AV52*1),2)*BS52),2)+ROUND((ROUND(((AE52-(EU52))*AV52*1),2)*BS52),2))</f>
        <v>0</v>
      </c>
      <c r="CT52" s="2">
        <f t="shared" si="31"/>
        <v>0</v>
      </c>
      <c r="CU52" s="2">
        <f t="shared" si="32"/>
        <v>0</v>
      </c>
      <c r="CV52" s="2">
        <f t="shared" si="33"/>
        <v>0</v>
      </c>
      <c r="CW52" s="2">
        <f t="shared" si="34"/>
        <v>0</v>
      </c>
      <c r="CX52" s="2">
        <f t="shared" si="35"/>
        <v>0</v>
      </c>
      <c r="CY52" s="2">
        <f>(ROUND((((S52+ROUND((ROUND(((EU52)*AV52*1),2)*BS52),2))*AT52)/100),2)+ROUND(((ROUND((ROUND(((AE52-(EU52))*AV52*1),2)*BS52),2)*AT52)/100),2))</f>
        <v>0</v>
      </c>
      <c r="CZ52" s="2">
        <f>(ROUND((((S52+ROUND((ROUND(((EU52)*AV52*1),2)*BS52),2))*AU52)/100),2)+ROUND(((ROUND((ROUND(((AE52-(EU52))*AV52*1),2)*BS52),2)*AU52)/100),2))</f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32</v>
      </c>
      <c r="DW52" s="2" t="s">
        <v>32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60088638</v>
      </c>
      <c r="EF52" s="2">
        <v>130</v>
      </c>
      <c r="EG52" s="2" t="s">
        <v>33</v>
      </c>
      <c r="EH52" s="2">
        <v>0</v>
      </c>
      <c r="EI52" s="2" t="s">
        <v>3</v>
      </c>
      <c r="EJ52" s="2">
        <v>3</v>
      </c>
      <c r="EK52" s="2">
        <v>746</v>
      </c>
      <c r="EL52" s="2" t="s">
        <v>34</v>
      </c>
      <c r="EM52" s="2" t="s">
        <v>35</v>
      </c>
      <c r="EN52" s="2"/>
      <c r="EO52" s="2" t="s">
        <v>3</v>
      </c>
      <c r="EP52" s="2"/>
      <c r="EQ52" s="2">
        <v>0</v>
      </c>
      <c r="ER52" s="2">
        <v>0</v>
      </c>
      <c r="ES52" s="2">
        <v>1829.8000000000002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>P52</f>
        <v>1829.8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83</v>
      </c>
      <c r="GB52" s="2"/>
      <c r="GC52" s="2"/>
      <c r="GD52" s="2">
        <v>1</v>
      </c>
      <c r="GE52" s="2"/>
      <c r="GF52" s="2">
        <v>1667450026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36"/>
        <v>0</v>
      </c>
      <c r="GM52" s="2">
        <f t="shared" si="37"/>
        <v>1829.8</v>
      </c>
      <c r="GN52" s="2">
        <f t="shared" si="38"/>
        <v>0</v>
      </c>
      <c r="GO52" s="2">
        <f t="shared" si="39"/>
        <v>0</v>
      </c>
      <c r="GP52" s="2">
        <f t="shared" si="40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1"/>
        <v>0</v>
      </c>
      <c r="GW52" s="2">
        <v>1</v>
      </c>
      <c r="GX52" s="2">
        <f t="shared" si="42"/>
        <v>0</v>
      </c>
      <c r="GY52" s="2"/>
      <c r="GZ52" s="2"/>
      <c r="HA52" s="2">
        <v>0</v>
      </c>
      <c r="HB52" s="2">
        <v>0</v>
      </c>
      <c r="HC52" s="2">
        <f t="shared" si="43"/>
        <v>0</v>
      </c>
      <c r="HD52" s="2"/>
      <c r="HE52" s="2" t="s">
        <v>37</v>
      </c>
      <c r="HF52" s="2" t="s">
        <v>38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E53" t="s">
        <v>80</v>
      </c>
      <c r="F53" t="s">
        <v>81</v>
      </c>
      <c r="G53" t="s">
        <v>82</v>
      </c>
      <c r="H53" t="s">
        <v>32</v>
      </c>
      <c r="I53">
        <v>1</v>
      </c>
      <c r="J53">
        <v>0</v>
      </c>
      <c r="K53">
        <v>1</v>
      </c>
      <c r="O53">
        <f t="shared" si="21"/>
        <v>14016.27</v>
      </c>
      <c r="P53">
        <f>ROUND((ROUND((AC53*I53),2)*BC53),2)</f>
        <v>14016.27</v>
      </c>
      <c r="Q53">
        <f>(ROUND((ROUND(((ET53)*AV53*I53),2)*BB53),2)+ROUND((ROUND(((AE53-(EU53))*AV53*I53),2)*BS53),2))</f>
        <v>0</v>
      </c>
      <c r="R53">
        <f>(ROUND((ROUND(((EU53)*AV53*I53),2)*BS53),2)+ROUND((ROUND(((AE53-(EU53))*AV53*I53),2)*BS53),2))</f>
        <v>0</v>
      </c>
      <c r="S53">
        <f t="shared" si="22"/>
        <v>0</v>
      </c>
      <c r="T53">
        <f t="shared" si="23"/>
        <v>0</v>
      </c>
      <c r="U53">
        <f t="shared" si="24"/>
        <v>0</v>
      </c>
      <c r="V53">
        <f t="shared" si="25"/>
        <v>0</v>
      </c>
      <c r="W53">
        <f t="shared" si="26"/>
        <v>0</v>
      </c>
      <c r="X53">
        <f>(ROUND((((S53+ROUND((ROUND(((EU53)*AV53*I53),2)*BS53),2))*AT53)/100),2)+ROUND(((ROUND((ROUND(((AE53-(EU53))*AV53*I53),2)*BS53),2)*AT53)/100),2))</f>
        <v>0</v>
      </c>
      <c r="Y53">
        <f>(ROUND((((S53+ROUND((ROUND(((EU53)*AV53*I53),2)*BS53),2))*AU53)/100),2)+ROUND(((ROUND((ROUND(((AE53-(EU53))*AV53*I53),2)*BS53),2)*AU53)/100),2))</f>
        <v>0</v>
      </c>
      <c r="AA53">
        <v>60258618</v>
      </c>
      <c r="AB53">
        <f t="shared" si="27"/>
        <v>1829.8</v>
      </c>
      <c r="AC53">
        <f>ROUND((ES53),6)</f>
        <v>1829.8</v>
      </c>
      <c r="AD53">
        <f>ROUND((((ET53)-(EU53))+AE53),6)</f>
        <v>0</v>
      </c>
      <c r="AE53">
        <f>ROUND((EU53),6)</f>
        <v>0</v>
      </c>
      <c r="AF53">
        <f>ROUND((EV53),6)</f>
        <v>0</v>
      </c>
      <c r="AG53">
        <f t="shared" si="28"/>
        <v>0</v>
      </c>
      <c r="AH53">
        <f>(EW53)</f>
        <v>0</v>
      </c>
      <c r="AI53">
        <f>(EX53)</f>
        <v>0</v>
      </c>
      <c r="AJ53">
        <f t="shared" si="29"/>
        <v>0</v>
      </c>
      <c r="AK53">
        <v>1829.8000000000002</v>
      </c>
      <c r="AL53">
        <v>1829.8000000000002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7.66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3</v>
      </c>
      <c r="BJ53" t="s">
        <v>3</v>
      </c>
      <c r="BM53">
        <v>746</v>
      </c>
      <c r="BN53">
        <v>0</v>
      </c>
      <c r="BO53" t="s">
        <v>3</v>
      </c>
      <c r="BP53">
        <v>0</v>
      </c>
      <c r="BQ53">
        <v>130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0</v>
      </c>
      <c r="CA53">
        <v>0</v>
      </c>
      <c r="CB53" t="s">
        <v>3</v>
      </c>
      <c r="CE53">
        <v>1566</v>
      </c>
      <c r="CF53">
        <v>0</v>
      </c>
      <c r="CG53">
        <v>0</v>
      </c>
      <c r="CM53">
        <v>0</v>
      </c>
      <c r="CN53" t="s">
        <v>3</v>
      </c>
      <c r="CO53">
        <v>0</v>
      </c>
      <c r="CP53">
        <f t="shared" si="30"/>
        <v>14016.27</v>
      </c>
      <c r="CQ53">
        <f>ROUND((ROUND((AC53*1),2)*BC53),2)</f>
        <v>14016.27</v>
      </c>
      <c r="CR53">
        <f>(ROUND((ROUND(((ET53)*AV53*1),2)*BB53),2)+ROUND((ROUND(((AE53-(EU53))*AV53*1),2)*BS53),2))</f>
        <v>0</v>
      </c>
      <c r="CS53">
        <f>(ROUND((ROUND(((EU53)*AV53*1),2)*BS53),2)+ROUND((ROUND(((AE53-(EU53))*AV53*1),2)*BS53),2))</f>
        <v>0</v>
      </c>
      <c r="CT53">
        <f t="shared" si="31"/>
        <v>0</v>
      </c>
      <c r="CU53">
        <f t="shared" si="32"/>
        <v>0</v>
      </c>
      <c r="CV53">
        <f t="shared" si="33"/>
        <v>0</v>
      </c>
      <c r="CW53">
        <f t="shared" si="34"/>
        <v>0</v>
      </c>
      <c r="CX53">
        <f t="shared" si="35"/>
        <v>0</v>
      </c>
      <c r="CY53">
        <f>(ROUND((((S53+ROUND((ROUND(((EU53)*AV53*1),2)*BS53),2))*AT53)/100),2)+ROUND(((ROUND((ROUND(((AE53-(EU53))*AV53*1),2)*BS53),2)*AT53)/100),2))</f>
        <v>0</v>
      </c>
      <c r="CZ53">
        <f>(ROUND((((S53+ROUND((ROUND(((EU53)*AV53*1),2)*BS53),2))*AU53)/100),2)+ROUND(((ROUND((ROUND(((AE53-(EU53))*AV53*1),2)*BS53),2)*AU53)/100),2))</f>
        <v>0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1013</v>
      </c>
      <c r="DV53" t="s">
        <v>32</v>
      </c>
      <c r="DW53" t="s">
        <v>32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60088638</v>
      </c>
      <c r="EF53">
        <v>130</v>
      </c>
      <c r="EG53" t="s">
        <v>33</v>
      </c>
      <c r="EH53">
        <v>0</v>
      </c>
      <c r="EI53" t="s">
        <v>3</v>
      </c>
      <c r="EJ53">
        <v>3</v>
      </c>
      <c r="EK53">
        <v>746</v>
      </c>
      <c r="EL53" t="s">
        <v>34</v>
      </c>
      <c r="EM53" t="s">
        <v>35</v>
      </c>
      <c r="EO53" t="s">
        <v>3</v>
      </c>
      <c r="EQ53">
        <v>0</v>
      </c>
      <c r="ER53">
        <v>0</v>
      </c>
      <c r="ES53">
        <v>1829.8000000000002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5</v>
      </c>
      <c r="FC53">
        <v>1</v>
      </c>
      <c r="FD53">
        <v>18</v>
      </c>
      <c r="FF53">
        <v>16136</v>
      </c>
      <c r="FQ53">
        <v>0</v>
      </c>
      <c r="FR53">
        <f>P53</f>
        <v>14016.27</v>
      </c>
      <c r="FS53">
        <v>0</v>
      </c>
      <c r="FX53">
        <v>0</v>
      </c>
      <c r="FY53">
        <v>0</v>
      </c>
      <c r="GA53" t="s">
        <v>83</v>
      </c>
      <c r="GD53">
        <v>1</v>
      </c>
      <c r="GF53">
        <v>1667450026</v>
      </c>
      <c r="GG53">
        <v>2</v>
      </c>
      <c r="GH53">
        <v>3</v>
      </c>
      <c r="GI53">
        <v>5</v>
      </c>
      <c r="GJ53">
        <v>0</v>
      </c>
      <c r="GK53">
        <v>0</v>
      </c>
      <c r="GL53">
        <f t="shared" si="36"/>
        <v>0</v>
      </c>
      <c r="GM53">
        <f t="shared" si="37"/>
        <v>14016.27</v>
      </c>
      <c r="GN53">
        <f t="shared" si="38"/>
        <v>0</v>
      </c>
      <c r="GO53">
        <f t="shared" si="39"/>
        <v>0</v>
      </c>
      <c r="GP53">
        <f t="shared" si="40"/>
        <v>0</v>
      </c>
      <c r="GR53">
        <v>1</v>
      </c>
      <c r="GS53">
        <v>1</v>
      </c>
      <c r="GT53">
        <v>0</v>
      </c>
      <c r="GU53" t="s">
        <v>3</v>
      </c>
      <c r="GV53">
        <f t="shared" si="41"/>
        <v>0</v>
      </c>
      <c r="GW53">
        <v>1</v>
      </c>
      <c r="GX53">
        <f t="shared" si="42"/>
        <v>0</v>
      </c>
      <c r="HA53">
        <v>0</v>
      </c>
      <c r="HB53">
        <v>0</v>
      </c>
      <c r="HC53">
        <f t="shared" si="43"/>
        <v>0</v>
      </c>
      <c r="HE53" t="s">
        <v>37</v>
      </c>
      <c r="HF53" t="s">
        <v>38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>
        <f>ROW(SmtRes!A30)</f>
        <v>30</v>
      </c>
      <c r="D54" s="2">
        <f>ROW(EtalonRes!A37)</f>
        <v>37</v>
      </c>
      <c r="E54" s="2" t="s">
        <v>84</v>
      </c>
      <c r="F54" s="2" t="s">
        <v>43</v>
      </c>
      <c r="G54" s="2" t="s">
        <v>44</v>
      </c>
      <c r="H54" s="2" t="s">
        <v>21</v>
      </c>
      <c r="I54" s="2">
        <v>3</v>
      </c>
      <c r="J54" s="2">
        <v>0</v>
      </c>
      <c r="K54" s="2">
        <v>3</v>
      </c>
      <c r="L54" s="2"/>
      <c r="M54" s="2"/>
      <c r="N54" s="2"/>
      <c r="O54" s="2">
        <f t="shared" si="21"/>
        <v>145.81</v>
      </c>
      <c r="P54" s="2">
        <f>ROUND((ROUND((AC54*AW54*I54),2)*BC54),2)</f>
        <v>7.02</v>
      </c>
      <c r="Q54" s="2">
        <f>(ROUND((ROUND((((ET54*1.1))*AV54*I54),2)*BB54),2)+ROUND((ROUND(((AE54-((EU54*1.1)))*AV54*I54),2)*BS54),2))</f>
        <v>0</v>
      </c>
      <c r="R54" s="2">
        <f>(ROUND((ROUND((((EU54*1.1))*AV54*I54),2)*BS54),2)+ROUND((ROUND(((AE54-((EU54*1.1)))*AV54*I54),2)*BS54),2))</f>
        <v>0</v>
      </c>
      <c r="S54" s="2">
        <f t="shared" si="22"/>
        <v>138.79</v>
      </c>
      <c r="T54" s="2">
        <f t="shared" si="23"/>
        <v>0</v>
      </c>
      <c r="U54" s="2">
        <f t="shared" si="24"/>
        <v>10.987218</v>
      </c>
      <c r="V54" s="2">
        <f t="shared" si="25"/>
        <v>0</v>
      </c>
      <c r="W54" s="2">
        <f t="shared" si="26"/>
        <v>0</v>
      </c>
      <c r="X54" s="2">
        <f>(ROUND((((S54+ROUND((ROUND((((EU54*1.1))*AV54*I54),2)*BS54),2))*AT54)/100),2)+ROUND(((ROUND((ROUND(((AE54-((EU54*1.1)))*AV54*I54),2)*BS54),2)*AT54)/100),2))</f>
        <v>124.91</v>
      </c>
      <c r="Y54" s="2">
        <f>(ROUND((((S54+ROUND((ROUND((((EU54*1.1))*AV54*I54),2)*BS54),2))*AU54)/100),2)+ROUND(((ROUND((ROUND(((AE54-((EU54*1.1)))*AV54*I54),2)*BS54),2)*AU54)/100),2))</f>
        <v>63.84</v>
      </c>
      <c r="Z54" s="2"/>
      <c r="AA54" s="2">
        <v>60258621</v>
      </c>
      <c r="AB54" s="2">
        <f t="shared" si="27"/>
        <v>46.527000000000001</v>
      </c>
      <c r="AC54" s="2">
        <f>ROUND(((ES54*1)),6)</f>
        <v>2.34</v>
      </c>
      <c r="AD54" s="2">
        <f>ROUND(((((ET54*1.1))-((EU54*1.1)))+AE54),6)</f>
        <v>0</v>
      </c>
      <c r="AE54" s="2">
        <f>ROUND(((EU54*1.1)),6)</f>
        <v>0</v>
      </c>
      <c r="AF54" s="2">
        <f>ROUND(((EV54*1.1)),6)</f>
        <v>44.186999999999998</v>
      </c>
      <c r="AG54" s="2">
        <f t="shared" si="28"/>
        <v>0</v>
      </c>
      <c r="AH54" s="2">
        <f>((EW54*1.1))</f>
        <v>3.4980000000000007</v>
      </c>
      <c r="AI54" s="2">
        <f>((EX54*1.1))</f>
        <v>0</v>
      </c>
      <c r="AJ54" s="2">
        <f t="shared" si="29"/>
        <v>0</v>
      </c>
      <c r="AK54" s="2">
        <v>42.51</v>
      </c>
      <c r="AL54" s="2">
        <v>2.34</v>
      </c>
      <c r="AM54" s="2">
        <v>0</v>
      </c>
      <c r="AN54" s="2">
        <v>0</v>
      </c>
      <c r="AO54" s="2">
        <v>40.17</v>
      </c>
      <c r="AP54" s="2">
        <v>0</v>
      </c>
      <c r="AQ54" s="2">
        <v>3.18</v>
      </c>
      <c r="AR54" s="2">
        <v>0</v>
      </c>
      <c r="AS54" s="2">
        <v>0</v>
      </c>
      <c r="AT54" s="2">
        <v>90</v>
      </c>
      <c r="AU54" s="2">
        <v>46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45</v>
      </c>
      <c r="BK54" s="2"/>
      <c r="BL54" s="2"/>
      <c r="BM54" s="2">
        <v>68</v>
      </c>
      <c r="BN54" s="2">
        <v>58973116</v>
      </c>
      <c r="BO54" s="2" t="s">
        <v>43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90</v>
      </c>
      <c r="CA54" s="2">
        <v>46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407</v>
      </c>
      <c r="CO54" s="2">
        <v>0</v>
      </c>
      <c r="CP54" s="2">
        <f t="shared" si="30"/>
        <v>145.81</v>
      </c>
      <c r="CQ54" s="2">
        <f>ROUND((ROUND((AC54*AW54*1),2)*BC54),2)</f>
        <v>2.34</v>
      </c>
      <c r="CR54" s="2">
        <f>(ROUND((ROUND((((ET54*1.1))*AV54*1),2)*BB54),2)+ROUND((ROUND(((AE54-((EU54*1.1)))*AV54*1),2)*BS54),2))</f>
        <v>0</v>
      </c>
      <c r="CS54" s="2">
        <f>(ROUND((ROUND((((EU54*1.1))*AV54*1),2)*BS54),2)+ROUND((ROUND(((AE54-((EU54*1.1)))*AV54*1),2)*BS54),2))</f>
        <v>0</v>
      </c>
      <c r="CT54" s="2">
        <f t="shared" si="31"/>
        <v>46.26</v>
      </c>
      <c r="CU54" s="2">
        <f t="shared" si="32"/>
        <v>0</v>
      </c>
      <c r="CV54" s="2">
        <f t="shared" si="33"/>
        <v>3.6624060000000003</v>
      </c>
      <c r="CW54" s="2">
        <f t="shared" si="34"/>
        <v>0</v>
      </c>
      <c r="CX54" s="2">
        <f t="shared" si="35"/>
        <v>0</v>
      </c>
      <c r="CY54" s="2">
        <f>(ROUND((((S54+ROUND((ROUND((((EU54*1.1))*AV54*1),2)*BS54),2))*AT54)/100),2)+ROUND(((ROUND((ROUND(((AE54-((EU54*1.1)))*AV54*1),2)*BS54),2)*AT54)/100),2))</f>
        <v>124.91</v>
      </c>
      <c r="CZ54" s="2">
        <f>(ROUND((((S54+ROUND((ROUND((((EU54*1.1))*AV54*1),2)*BS54),2))*AU54)/100),2)+ROUND(((ROUND((ROUND(((AE54-((EU54*1.1)))*AV54*1),2)*BS54),2)*AU54)/100),2))</f>
        <v>63.84</v>
      </c>
      <c r="DA54" s="2"/>
      <c r="DB54" s="2">
        <v>13</v>
      </c>
      <c r="DC54" s="2" t="s">
        <v>3</v>
      </c>
      <c r="DD54" s="2" t="s">
        <v>23</v>
      </c>
      <c r="DE54" s="2" t="s">
        <v>24</v>
      </c>
      <c r="DF54" s="2" t="s">
        <v>24</v>
      </c>
      <c r="DG54" s="2" t="s">
        <v>24</v>
      </c>
      <c r="DH54" s="2" t="s">
        <v>3</v>
      </c>
      <c r="DI54" s="2" t="s">
        <v>24</v>
      </c>
      <c r="DJ54" s="2" t="s">
        <v>24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21</v>
      </c>
      <c r="DW54" s="2" t="s">
        <v>21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60088532</v>
      </c>
      <c r="EF54" s="2">
        <v>40</v>
      </c>
      <c r="EG54" s="2" t="s">
        <v>25</v>
      </c>
      <c r="EH54" s="2">
        <v>0</v>
      </c>
      <c r="EI54" s="2" t="s">
        <v>3</v>
      </c>
      <c r="EJ54" s="2">
        <v>2</v>
      </c>
      <c r="EK54" s="2">
        <v>68</v>
      </c>
      <c r="EL54" s="2" t="s">
        <v>46</v>
      </c>
      <c r="EM54" s="2" t="s">
        <v>47</v>
      </c>
      <c r="EN54" s="2"/>
      <c r="EO54" s="2" t="s">
        <v>28</v>
      </c>
      <c r="EP54" s="2"/>
      <c r="EQ54" s="2">
        <v>0</v>
      </c>
      <c r="ER54" s="2">
        <v>42.51</v>
      </c>
      <c r="ES54" s="2">
        <v>2.34</v>
      </c>
      <c r="ET54" s="2">
        <v>0</v>
      </c>
      <c r="EU54" s="2">
        <v>0</v>
      </c>
      <c r="EV54" s="2">
        <v>40.17</v>
      </c>
      <c r="EW54" s="2">
        <v>3.18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90</v>
      </c>
      <c r="FY54" s="2">
        <v>46</v>
      </c>
      <c r="FZ54" s="2"/>
      <c r="GA54" s="2" t="s">
        <v>3</v>
      </c>
      <c r="GB54" s="2"/>
      <c r="GC54" s="2"/>
      <c r="GD54" s="2">
        <v>1</v>
      </c>
      <c r="GE54" s="2"/>
      <c r="GF54" s="2">
        <v>1548884140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36"/>
        <v>0</v>
      </c>
      <c r="GM54" s="2">
        <f t="shared" si="37"/>
        <v>334.56</v>
      </c>
      <c r="GN54" s="2">
        <f t="shared" si="38"/>
        <v>0</v>
      </c>
      <c r="GO54" s="2">
        <f t="shared" si="39"/>
        <v>334.56</v>
      </c>
      <c r="GP54" s="2">
        <f t="shared" si="40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1"/>
        <v>0</v>
      </c>
      <c r="GW54" s="2">
        <v>1</v>
      </c>
      <c r="GX54" s="2">
        <f t="shared" si="42"/>
        <v>0</v>
      </c>
      <c r="GY54" s="2"/>
      <c r="GZ54" s="2"/>
      <c r="HA54" s="2">
        <v>0</v>
      </c>
      <c r="HB54" s="2">
        <v>0</v>
      </c>
      <c r="HC54" s="2">
        <f t="shared" si="43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C55">
        <f>ROW(SmtRes!A34)</f>
        <v>34</v>
      </c>
      <c r="D55">
        <f>ROW(EtalonRes!A42)</f>
        <v>42</v>
      </c>
      <c r="E55" t="s">
        <v>84</v>
      </c>
      <c r="F55" t="s">
        <v>43</v>
      </c>
      <c r="G55" t="s">
        <v>44</v>
      </c>
      <c r="H55" t="s">
        <v>21</v>
      </c>
      <c r="I55">
        <v>3</v>
      </c>
      <c r="J55">
        <v>0</v>
      </c>
      <c r="K55">
        <v>3</v>
      </c>
      <c r="O55">
        <f t="shared" si="21"/>
        <v>7704.09</v>
      </c>
      <c r="P55">
        <f>ROUND((ROUND((AC55*AW55*I55),2)*BC55),2)</f>
        <v>72.03</v>
      </c>
      <c r="Q55">
        <f>(ROUND((ROUND((((ET55*1.1))*AV55*I55),2)*BB55),2)+ROUND((ROUND(((AE55-((EU55*1.1)))*AV55*I55),2)*BS55),2))</f>
        <v>0</v>
      </c>
      <c r="R55">
        <f>(ROUND((ROUND((((EU55*1.1))*AV55*I55),2)*BS55),2)+ROUND((ROUND(((AE55-((EU55*1.1)))*AV55*I55),2)*BS55),2))</f>
        <v>0</v>
      </c>
      <c r="S55">
        <f t="shared" si="22"/>
        <v>7632.06</v>
      </c>
      <c r="T55">
        <f t="shared" si="23"/>
        <v>0</v>
      </c>
      <c r="U55">
        <f t="shared" si="24"/>
        <v>10.987218</v>
      </c>
      <c r="V55">
        <f t="shared" si="25"/>
        <v>0</v>
      </c>
      <c r="W55">
        <f t="shared" si="26"/>
        <v>0</v>
      </c>
      <c r="X55">
        <f>(ROUND((((S55+ROUND((ROUND((((EU55*1.1))*AV55*I55),2)*BS55),2))*AT55)/100),2)+ROUND(((ROUND((ROUND(((AE55-((EU55*1.1)))*AV55*I55),2)*BS55),2)*AT55)/100),2))</f>
        <v>6868.85</v>
      </c>
      <c r="Y55">
        <f>(ROUND((((S55+ROUND((ROUND((((EU55*1.1))*AV55*I55),2)*BS55),2))*AU55)/100),2)+ROUND(((ROUND((ROUND(((AE55-((EU55*1.1)))*AV55*I55),2)*BS55),2)*AU55)/100),2))</f>
        <v>3510.75</v>
      </c>
      <c r="AA55">
        <v>60258618</v>
      </c>
      <c r="AB55">
        <f t="shared" si="27"/>
        <v>46.527000000000001</v>
      </c>
      <c r="AC55">
        <f>ROUND(((ES55*1)),6)</f>
        <v>2.34</v>
      </c>
      <c r="AD55">
        <f>ROUND(((((ET55*1.1))-((EU55*1.1)))+AE55),6)</f>
        <v>0</v>
      </c>
      <c r="AE55">
        <f>ROUND(((EU55*1.1)),6)</f>
        <v>0</v>
      </c>
      <c r="AF55">
        <f>ROUND(((EV55*1.1)),6)</f>
        <v>44.186999999999998</v>
      </c>
      <c r="AG55">
        <f t="shared" si="28"/>
        <v>0</v>
      </c>
      <c r="AH55">
        <f>((EW55*1.1))</f>
        <v>3.4980000000000007</v>
      </c>
      <c r="AI55">
        <f>((EX55*1.1))</f>
        <v>0</v>
      </c>
      <c r="AJ55">
        <f t="shared" si="29"/>
        <v>0</v>
      </c>
      <c r="AK55">
        <v>42.51</v>
      </c>
      <c r="AL55">
        <v>2.34</v>
      </c>
      <c r="AM55">
        <v>0</v>
      </c>
      <c r="AN55">
        <v>0</v>
      </c>
      <c r="AO55">
        <v>40.17</v>
      </c>
      <c r="AP55">
        <v>0</v>
      </c>
      <c r="AQ55">
        <v>3.18</v>
      </c>
      <c r="AR55">
        <v>0</v>
      </c>
      <c r="AS55">
        <v>0</v>
      </c>
      <c r="AT55">
        <v>90</v>
      </c>
      <c r="AU55">
        <v>46</v>
      </c>
      <c r="AV55">
        <v>1.0469999999999999</v>
      </c>
      <c r="AW55">
        <v>1</v>
      </c>
      <c r="AZ55">
        <v>1</v>
      </c>
      <c r="BA55">
        <v>54.99</v>
      </c>
      <c r="BB55">
        <v>1</v>
      </c>
      <c r="BC55">
        <v>10.26</v>
      </c>
      <c r="BD55" t="s">
        <v>3</v>
      </c>
      <c r="BE55" t="s">
        <v>3</v>
      </c>
      <c r="BF55" t="s">
        <v>3</v>
      </c>
      <c r="BG55" t="s">
        <v>3</v>
      </c>
      <c r="BH55">
        <v>0</v>
      </c>
      <c r="BI55">
        <v>2</v>
      </c>
      <c r="BJ55" t="s">
        <v>45</v>
      </c>
      <c r="BM55">
        <v>68</v>
      </c>
      <c r="BN55">
        <v>58973116</v>
      </c>
      <c r="BO55" t="s">
        <v>43</v>
      </c>
      <c r="BP55">
        <v>1</v>
      </c>
      <c r="BQ55">
        <v>40</v>
      </c>
      <c r="BR55">
        <v>0</v>
      </c>
      <c r="BS55">
        <v>54.99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90</v>
      </c>
      <c r="CA55">
        <v>46</v>
      </c>
      <c r="CB55" t="s">
        <v>3</v>
      </c>
      <c r="CE55">
        <v>1566</v>
      </c>
      <c r="CF55">
        <v>0</v>
      </c>
      <c r="CG55">
        <v>0</v>
      </c>
      <c r="CM55">
        <v>0</v>
      </c>
      <c r="CN55" t="s">
        <v>407</v>
      </c>
      <c r="CO55">
        <v>0</v>
      </c>
      <c r="CP55">
        <f t="shared" si="30"/>
        <v>7704.09</v>
      </c>
      <c r="CQ55">
        <f>ROUND((ROUND((AC55*AW55*1),2)*BC55),2)</f>
        <v>24.01</v>
      </c>
      <c r="CR55">
        <f>(ROUND((ROUND((((ET55*1.1))*AV55*1),2)*BB55),2)+ROUND((ROUND(((AE55-((EU55*1.1)))*AV55*1),2)*BS55),2))</f>
        <v>0</v>
      </c>
      <c r="CS55">
        <f>(ROUND((ROUND((((EU55*1.1))*AV55*1),2)*BS55),2)+ROUND((ROUND(((AE55-((EU55*1.1)))*AV55*1),2)*BS55),2))</f>
        <v>0</v>
      </c>
      <c r="CT55">
        <f t="shared" si="31"/>
        <v>2543.84</v>
      </c>
      <c r="CU55">
        <f t="shared" si="32"/>
        <v>0</v>
      </c>
      <c r="CV55">
        <f t="shared" si="33"/>
        <v>3.6624060000000003</v>
      </c>
      <c r="CW55">
        <f t="shared" si="34"/>
        <v>0</v>
      </c>
      <c r="CX55">
        <f t="shared" si="35"/>
        <v>0</v>
      </c>
      <c r="CY55">
        <f>(ROUND((((S55+ROUND((ROUND((((EU55*1.1))*AV55*1),2)*BS55),2))*AT55)/100),2)+ROUND(((ROUND((ROUND(((AE55-((EU55*1.1)))*AV55*1),2)*BS55),2)*AT55)/100),2))</f>
        <v>6868.85</v>
      </c>
      <c r="CZ55">
        <f>(ROUND((((S55+ROUND((ROUND((((EU55*1.1))*AV55*1),2)*BS55),2))*AU55)/100),2)+ROUND(((ROUND((ROUND(((AE55-((EU55*1.1)))*AV55*1),2)*BS55),2)*AU55)/100),2))</f>
        <v>3510.75</v>
      </c>
      <c r="DB55">
        <v>14</v>
      </c>
      <c r="DC55" t="s">
        <v>3</v>
      </c>
      <c r="DD55" t="s">
        <v>23</v>
      </c>
      <c r="DE55" t="s">
        <v>24</v>
      </c>
      <c r="DF55" t="s">
        <v>24</v>
      </c>
      <c r="DG55" t="s">
        <v>24</v>
      </c>
      <c r="DH55" t="s">
        <v>3</v>
      </c>
      <c r="DI55" t="s">
        <v>24</v>
      </c>
      <c r="DJ55" t="s">
        <v>24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1013</v>
      </c>
      <c r="DV55" t="s">
        <v>21</v>
      </c>
      <c r="DW55" t="s">
        <v>21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60088532</v>
      </c>
      <c r="EF55">
        <v>40</v>
      </c>
      <c r="EG55" t="s">
        <v>25</v>
      </c>
      <c r="EH55">
        <v>0</v>
      </c>
      <c r="EI55" t="s">
        <v>3</v>
      </c>
      <c r="EJ55">
        <v>2</v>
      </c>
      <c r="EK55">
        <v>68</v>
      </c>
      <c r="EL55" t="s">
        <v>46</v>
      </c>
      <c r="EM55" t="s">
        <v>47</v>
      </c>
      <c r="EO55" t="s">
        <v>28</v>
      </c>
      <c r="EQ55">
        <v>0</v>
      </c>
      <c r="ER55">
        <v>42.51</v>
      </c>
      <c r="ES55">
        <v>2.34</v>
      </c>
      <c r="ET55">
        <v>0</v>
      </c>
      <c r="EU55">
        <v>0</v>
      </c>
      <c r="EV55">
        <v>40.17</v>
      </c>
      <c r="EW55">
        <v>3.18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90</v>
      </c>
      <c r="FY55">
        <v>46</v>
      </c>
      <c r="GA55" t="s">
        <v>3</v>
      </c>
      <c r="GD55">
        <v>1</v>
      </c>
      <c r="GF55">
        <v>1548884140</v>
      </c>
      <c r="GG55">
        <v>2</v>
      </c>
      <c r="GH55">
        <v>1</v>
      </c>
      <c r="GI55">
        <v>2</v>
      </c>
      <c r="GJ55">
        <v>0</v>
      </c>
      <c r="GK55">
        <v>0</v>
      </c>
      <c r="GL55">
        <f t="shared" si="36"/>
        <v>0</v>
      </c>
      <c r="GM55">
        <f t="shared" si="37"/>
        <v>18083.689999999999</v>
      </c>
      <c r="GN55">
        <f t="shared" si="38"/>
        <v>0</v>
      </c>
      <c r="GO55">
        <f t="shared" si="39"/>
        <v>18083.689999999999</v>
      </c>
      <c r="GP55">
        <f t="shared" si="40"/>
        <v>0</v>
      </c>
      <c r="GR55">
        <v>0</v>
      </c>
      <c r="GS55">
        <v>3</v>
      </c>
      <c r="GT55">
        <v>0</v>
      </c>
      <c r="GU55" t="s">
        <v>3</v>
      </c>
      <c r="GV55">
        <f t="shared" si="41"/>
        <v>0</v>
      </c>
      <c r="GW55">
        <v>1</v>
      </c>
      <c r="GX55">
        <f t="shared" si="42"/>
        <v>0</v>
      </c>
      <c r="HA55">
        <v>0</v>
      </c>
      <c r="HB55">
        <v>0</v>
      </c>
      <c r="HC55">
        <f t="shared" si="43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85</v>
      </c>
      <c r="F56" s="2" t="s">
        <v>86</v>
      </c>
      <c r="G56" s="2" t="s">
        <v>87</v>
      </c>
      <c r="H56" s="2" t="s">
        <v>32</v>
      </c>
      <c r="I56" s="2">
        <v>3</v>
      </c>
      <c r="J56" s="2">
        <v>0</v>
      </c>
      <c r="K56" s="2">
        <v>3</v>
      </c>
      <c r="L56" s="2"/>
      <c r="M56" s="2"/>
      <c r="N56" s="2"/>
      <c r="O56" s="2">
        <f t="shared" si="21"/>
        <v>2523.75</v>
      </c>
      <c r="P56" s="2">
        <f>ROUND((ROUND((AC56*I56),2)*BC56),2)</f>
        <v>2523.75</v>
      </c>
      <c r="Q56" s="2">
        <f>(ROUND((ROUND(((ET56)*AV56*I56),2)*BB56),2)+ROUND((ROUND(((AE56-(EU56))*AV56*I56),2)*BS56),2))</f>
        <v>0</v>
      </c>
      <c r="R56" s="2">
        <f>(ROUND((ROUND(((EU56)*AV56*I56),2)*BS56),2)+ROUND((ROUND(((AE56-(EU56))*AV56*I56),2)*BS56),2))</f>
        <v>0</v>
      </c>
      <c r="S56" s="2">
        <f t="shared" si="22"/>
        <v>0</v>
      </c>
      <c r="T56" s="2">
        <f t="shared" si="23"/>
        <v>0</v>
      </c>
      <c r="U56" s="2">
        <f t="shared" si="24"/>
        <v>0</v>
      </c>
      <c r="V56" s="2">
        <f t="shared" si="25"/>
        <v>0</v>
      </c>
      <c r="W56" s="2">
        <f t="shared" si="26"/>
        <v>0</v>
      </c>
      <c r="X56" s="2">
        <f>(ROUND((((S56+ROUND((ROUND(((EU56)*AV56*I56),2)*BS56),2))*AT56)/100),2)+ROUND(((ROUND((ROUND(((AE56-(EU56))*AV56*I56),2)*BS56),2)*AT56)/100),2))</f>
        <v>0</v>
      </c>
      <c r="Y56" s="2">
        <f>(ROUND((((S56+ROUND((ROUND(((EU56)*AV56*I56),2)*BS56),2))*AU56)/100),2)+ROUND(((ROUND((ROUND(((AE56-(EU56))*AV56*I56),2)*BS56),2)*AU56)/100),2))</f>
        <v>0</v>
      </c>
      <c r="Z56" s="2"/>
      <c r="AA56" s="2">
        <v>60258621</v>
      </c>
      <c r="AB56" s="2">
        <f t="shared" si="27"/>
        <v>841.25</v>
      </c>
      <c r="AC56" s="2">
        <f>ROUND((ES56),6)</f>
        <v>841.25</v>
      </c>
      <c r="AD56" s="2">
        <f>ROUND((((ET56)-(EU56))+AE56),6)</f>
        <v>0</v>
      </c>
      <c r="AE56" s="2">
        <f t="shared" ref="AE56:AF59" si="46">ROUND((EU56),6)</f>
        <v>0</v>
      </c>
      <c r="AF56" s="2">
        <f t="shared" si="46"/>
        <v>0</v>
      </c>
      <c r="AG56" s="2">
        <f t="shared" si="28"/>
        <v>0</v>
      </c>
      <c r="AH56" s="2">
        <f t="shared" ref="AH56:AI59" si="47">(EW56)</f>
        <v>0</v>
      </c>
      <c r="AI56" s="2">
        <f t="shared" si="47"/>
        <v>0</v>
      </c>
      <c r="AJ56" s="2">
        <f t="shared" si="29"/>
        <v>0</v>
      </c>
      <c r="AK56" s="2">
        <v>841.25</v>
      </c>
      <c r="AL56" s="2">
        <v>841.25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3</v>
      </c>
      <c r="BJ56" s="2" t="s">
        <v>3</v>
      </c>
      <c r="BK56" s="2"/>
      <c r="BL56" s="2"/>
      <c r="BM56" s="2">
        <v>746</v>
      </c>
      <c r="BN56" s="2">
        <v>0</v>
      </c>
      <c r="BO56" s="2" t="s">
        <v>3</v>
      </c>
      <c r="BP56" s="2">
        <v>0</v>
      </c>
      <c r="BQ56" s="2">
        <v>130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30"/>
        <v>2523.75</v>
      </c>
      <c r="CQ56" s="2">
        <f>ROUND((ROUND((AC56*1),2)*BC56),2)</f>
        <v>841.25</v>
      </c>
      <c r="CR56" s="2">
        <f>(ROUND((ROUND(((ET56)*AV56*1),2)*BB56),2)+ROUND((ROUND(((AE56-(EU56))*AV56*1),2)*BS56),2))</f>
        <v>0</v>
      </c>
      <c r="CS56" s="2">
        <f>(ROUND((ROUND(((EU56)*AV56*1),2)*BS56),2)+ROUND((ROUND(((AE56-(EU56))*AV56*1),2)*BS56),2))</f>
        <v>0</v>
      </c>
      <c r="CT56" s="2">
        <f t="shared" si="31"/>
        <v>0</v>
      </c>
      <c r="CU56" s="2">
        <f t="shared" si="32"/>
        <v>0</v>
      </c>
      <c r="CV56" s="2">
        <f t="shared" si="33"/>
        <v>0</v>
      </c>
      <c r="CW56" s="2">
        <f t="shared" si="34"/>
        <v>0</v>
      </c>
      <c r="CX56" s="2">
        <f t="shared" si="35"/>
        <v>0</v>
      </c>
      <c r="CY56" s="2">
        <f>(ROUND((((S56+ROUND((ROUND(((EU56)*AV56*1),2)*BS56),2))*AT56)/100),2)+ROUND(((ROUND((ROUND(((AE56-(EU56))*AV56*1),2)*BS56),2)*AT56)/100),2))</f>
        <v>0</v>
      </c>
      <c r="CZ56" s="2">
        <f>(ROUND((((S56+ROUND((ROUND(((EU56)*AV56*1),2)*BS56),2))*AU56)/100),2)+ROUND(((ROUND((ROUND(((AE56-(EU56))*AV56*1),2)*BS56),2)*AU56)/100),2))</f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32</v>
      </c>
      <c r="DW56" s="2" t="s">
        <v>32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60088638</v>
      </c>
      <c r="EF56" s="2">
        <v>130</v>
      </c>
      <c r="EG56" s="2" t="s">
        <v>33</v>
      </c>
      <c r="EH56" s="2">
        <v>0</v>
      </c>
      <c r="EI56" s="2" t="s">
        <v>3</v>
      </c>
      <c r="EJ56" s="2">
        <v>3</v>
      </c>
      <c r="EK56" s="2">
        <v>746</v>
      </c>
      <c r="EL56" s="2" t="s">
        <v>34</v>
      </c>
      <c r="EM56" s="2" t="s">
        <v>35</v>
      </c>
      <c r="EN56" s="2"/>
      <c r="EO56" s="2" t="s">
        <v>3</v>
      </c>
      <c r="EP56" s="2"/>
      <c r="EQ56" s="2">
        <v>0</v>
      </c>
      <c r="ER56" s="2">
        <v>0</v>
      </c>
      <c r="ES56" s="2">
        <v>841.25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f>P56</f>
        <v>2523.75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88</v>
      </c>
      <c r="GB56" s="2"/>
      <c r="GC56" s="2"/>
      <c r="GD56" s="2">
        <v>1</v>
      </c>
      <c r="GE56" s="2"/>
      <c r="GF56" s="2">
        <v>-64086888</v>
      </c>
      <c r="GG56" s="2">
        <v>2</v>
      </c>
      <c r="GH56" s="2">
        <v>4</v>
      </c>
      <c r="GI56" s="2">
        <v>-2</v>
      </c>
      <c r="GJ56" s="2">
        <v>0</v>
      </c>
      <c r="GK56" s="2">
        <v>0</v>
      </c>
      <c r="GL56" s="2">
        <f t="shared" si="36"/>
        <v>0</v>
      </c>
      <c r="GM56" s="2">
        <f t="shared" si="37"/>
        <v>2523.75</v>
      </c>
      <c r="GN56" s="2">
        <f t="shared" si="38"/>
        <v>0</v>
      </c>
      <c r="GO56" s="2">
        <f t="shared" si="39"/>
        <v>0</v>
      </c>
      <c r="GP56" s="2">
        <f t="shared" si="40"/>
        <v>0</v>
      </c>
      <c r="GQ56" s="2"/>
      <c r="GR56" s="2">
        <v>0</v>
      </c>
      <c r="GS56" s="2">
        <v>2</v>
      </c>
      <c r="GT56" s="2">
        <v>0</v>
      </c>
      <c r="GU56" s="2" t="s">
        <v>3</v>
      </c>
      <c r="GV56" s="2">
        <f t="shared" si="41"/>
        <v>0</v>
      </c>
      <c r="GW56" s="2">
        <v>1</v>
      </c>
      <c r="GX56" s="2">
        <f t="shared" si="42"/>
        <v>0</v>
      </c>
      <c r="GY56" s="2"/>
      <c r="GZ56" s="2"/>
      <c r="HA56" s="2">
        <v>0</v>
      </c>
      <c r="HB56" s="2">
        <v>0</v>
      </c>
      <c r="HC56" s="2">
        <f t="shared" si="43"/>
        <v>0</v>
      </c>
      <c r="HD56" s="2"/>
      <c r="HE56" s="2" t="s">
        <v>37</v>
      </c>
      <c r="HF56" s="2" t="s">
        <v>38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E57" t="s">
        <v>85</v>
      </c>
      <c r="F57" t="s">
        <v>86</v>
      </c>
      <c r="G57" t="s">
        <v>87</v>
      </c>
      <c r="H57" t="s">
        <v>32</v>
      </c>
      <c r="I57">
        <v>3</v>
      </c>
      <c r="J57">
        <v>0</v>
      </c>
      <c r="K57">
        <v>3</v>
      </c>
      <c r="O57">
        <f t="shared" si="21"/>
        <v>19331.93</v>
      </c>
      <c r="P57">
        <f>ROUND((ROUND((AC57*I57),2)*BC57),2)</f>
        <v>19331.93</v>
      </c>
      <c r="Q57">
        <f>(ROUND((ROUND(((ET57)*AV57*I57),2)*BB57),2)+ROUND((ROUND(((AE57-(EU57))*AV57*I57),2)*BS57),2))</f>
        <v>0</v>
      </c>
      <c r="R57">
        <f>(ROUND((ROUND(((EU57)*AV57*I57),2)*BS57),2)+ROUND((ROUND(((AE57-(EU57))*AV57*I57),2)*BS57),2))</f>
        <v>0</v>
      </c>
      <c r="S57">
        <f t="shared" si="22"/>
        <v>0</v>
      </c>
      <c r="T57">
        <f t="shared" si="23"/>
        <v>0</v>
      </c>
      <c r="U57">
        <f t="shared" si="24"/>
        <v>0</v>
      </c>
      <c r="V57">
        <f t="shared" si="25"/>
        <v>0</v>
      </c>
      <c r="W57">
        <f t="shared" si="26"/>
        <v>0</v>
      </c>
      <c r="X57">
        <f>(ROUND((((S57+ROUND((ROUND(((EU57)*AV57*I57),2)*BS57),2))*AT57)/100),2)+ROUND(((ROUND((ROUND(((AE57-(EU57))*AV57*I57),2)*BS57),2)*AT57)/100),2))</f>
        <v>0</v>
      </c>
      <c r="Y57">
        <f>(ROUND((((S57+ROUND((ROUND(((EU57)*AV57*I57),2)*BS57),2))*AU57)/100),2)+ROUND(((ROUND((ROUND(((AE57-(EU57))*AV57*I57),2)*BS57),2)*AU57)/100),2))</f>
        <v>0</v>
      </c>
      <c r="AA57">
        <v>60258618</v>
      </c>
      <c r="AB57">
        <f t="shared" si="27"/>
        <v>841.25</v>
      </c>
      <c r="AC57">
        <f>ROUND((ES57),6)</f>
        <v>841.25</v>
      </c>
      <c r="AD57">
        <f>ROUND((((ET57)-(EU57))+AE57),6)</f>
        <v>0</v>
      </c>
      <c r="AE57">
        <f t="shared" si="46"/>
        <v>0</v>
      </c>
      <c r="AF57">
        <f t="shared" si="46"/>
        <v>0</v>
      </c>
      <c r="AG57">
        <f t="shared" si="28"/>
        <v>0</v>
      </c>
      <c r="AH57">
        <f t="shared" si="47"/>
        <v>0</v>
      </c>
      <c r="AI57">
        <f t="shared" si="47"/>
        <v>0</v>
      </c>
      <c r="AJ57">
        <f t="shared" si="29"/>
        <v>0</v>
      </c>
      <c r="AK57">
        <v>841.25</v>
      </c>
      <c r="AL57">
        <v>841.25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7.66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3</v>
      </c>
      <c r="BJ57" t="s">
        <v>3</v>
      </c>
      <c r="BM57">
        <v>746</v>
      </c>
      <c r="BN57">
        <v>0</v>
      </c>
      <c r="BO57" t="s">
        <v>3</v>
      </c>
      <c r="BP57">
        <v>0</v>
      </c>
      <c r="BQ57">
        <v>130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0</v>
      </c>
      <c r="CA57">
        <v>0</v>
      </c>
      <c r="CB57" t="s">
        <v>3</v>
      </c>
      <c r="CE57">
        <v>1566</v>
      </c>
      <c r="CF57">
        <v>0</v>
      </c>
      <c r="CG57">
        <v>0</v>
      </c>
      <c r="CM57">
        <v>0</v>
      </c>
      <c r="CN57" t="s">
        <v>3</v>
      </c>
      <c r="CO57">
        <v>0</v>
      </c>
      <c r="CP57">
        <f t="shared" si="30"/>
        <v>19331.93</v>
      </c>
      <c r="CQ57">
        <f>ROUND((ROUND((AC57*1),2)*BC57),2)</f>
        <v>6443.98</v>
      </c>
      <c r="CR57">
        <f>(ROUND((ROUND(((ET57)*AV57*1),2)*BB57),2)+ROUND((ROUND(((AE57-(EU57))*AV57*1),2)*BS57),2))</f>
        <v>0</v>
      </c>
      <c r="CS57">
        <f>(ROUND((ROUND(((EU57)*AV57*1),2)*BS57),2)+ROUND((ROUND(((AE57-(EU57))*AV57*1),2)*BS57),2))</f>
        <v>0</v>
      </c>
      <c r="CT57">
        <f t="shared" si="31"/>
        <v>0</v>
      </c>
      <c r="CU57">
        <f t="shared" si="32"/>
        <v>0</v>
      </c>
      <c r="CV57">
        <f t="shared" si="33"/>
        <v>0</v>
      </c>
      <c r="CW57">
        <f t="shared" si="34"/>
        <v>0</v>
      </c>
      <c r="CX57">
        <f t="shared" si="35"/>
        <v>0</v>
      </c>
      <c r="CY57">
        <f>(ROUND((((S57+ROUND((ROUND(((EU57)*AV57*1),2)*BS57),2))*AT57)/100),2)+ROUND(((ROUND((ROUND(((AE57-(EU57))*AV57*1),2)*BS57),2)*AT57)/100),2))</f>
        <v>0</v>
      </c>
      <c r="CZ57">
        <f>(ROUND((((S57+ROUND((ROUND(((EU57)*AV57*1),2)*BS57),2))*AU57)/100),2)+ROUND(((ROUND((ROUND(((AE57-(EU57))*AV57*1),2)*BS57),2)*AU57)/100),2))</f>
        <v>0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1013</v>
      </c>
      <c r="DV57" t="s">
        <v>32</v>
      </c>
      <c r="DW57" t="s">
        <v>32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60088638</v>
      </c>
      <c r="EF57">
        <v>130</v>
      </c>
      <c r="EG57" t="s">
        <v>33</v>
      </c>
      <c r="EH57">
        <v>0</v>
      </c>
      <c r="EI57" t="s">
        <v>3</v>
      </c>
      <c r="EJ57">
        <v>3</v>
      </c>
      <c r="EK57">
        <v>746</v>
      </c>
      <c r="EL57" t="s">
        <v>34</v>
      </c>
      <c r="EM57" t="s">
        <v>35</v>
      </c>
      <c r="EO57" t="s">
        <v>3</v>
      </c>
      <c r="EQ57">
        <v>0</v>
      </c>
      <c r="ER57">
        <v>0</v>
      </c>
      <c r="ES57">
        <v>841.25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5</v>
      </c>
      <c r="FC57">
        <v>1</v>
      </c>
      <c r="FD57">
        <v>18</v>
      </c>
      <c r="FF57">
        <v>7418.45</v>
      </c>
      <c r="FQ57">
        <v>0</v>
      </c>
      <c r="FR57">
        <f>P57</f>
        <v>19331.93</v>
      </c>
      <c r="FS57">
        <v>0</v>
      </c>
      <c r="FX57">
        <v>0</v>
      </c>
      <c r="FY57">
        <v>0</v>
      </c>
      <c r="GA57" t="s">
        <v>88</v>
      </c>
      <c r="GD57">
        <v>1</v>
      </c>
      <c r="GF57">
        <v>-64086888</v>
      </c>
      <c r="GG57">
        <v>2</v>
      </c>
      <c r="GH57">
        <v>3</v>
      </c>
      <c r="GI57">
        <v>5</v>
      </c>
      <c r="GJ57">
        <v>0</v>
      </c>
      <c r="GK57">
        <v>0</v>
      </c>
      <c r="GL57">
        <f t="shared" si="36"/>
        <v>0</v>
      </c>
      <c r="GM57">
        <f t="shared" si="37"/>
        <v>19331.93</v>
      </c>
      <c r="GN57">
        <f t="shared" si="38"/>
        <v>0</v>
      </c>
      <c r="GO57">
        <f t="shared" si="39"/>
        <v>0</v>
      </c>
      <c r="GP57">
        <f t="shared" si="40"/>
        <v>0</v>
      </c>
      <c r="GR57">
        <v>1</v>
      </c>
      <c r="GS57">
        <v>1</v>
      </c>
      <c r="GT57">
        <v>0</v>
      </c>
      <c r="GU57" t="s">
        <v>3</v>
      </c>
      <c r="GV57">
        <f t="shared" si="41"/>
        <v>0</v>
      </c>
      <c r="GW57">
        <v>1</v>
      </c>
      <c r="GX57">
        <f t="shared" si="42"/>
        <v>0</v>
      </c>
      <c r="HA57">
        <v>0</v>
      </c>
      <c r="HB57">
        <v>0</v>
      </c>
      <c r="HC57">
        <f t="shared" si="43"/>
        <v>0</v>
      </c>
      <c r="HE57" t="s">
        <v>37</v>
      </c>
      <c r="HF57" t="s">
        <v>38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17</v>
      </c>
      <c r="B58" s="2">
        <v>1</v>
      </c>
      <c r="C58" s="2"/>
      <c r="D58" s="2"/>
      <c r="E58" s="2" t="s">
        <v>89</v>
      </c>
      <c r="F58" s="2" t="s">
        <v>90</v>
      </c>
      <c r="G58" s="2" t="s">
        <v>91</v>
      </c>
      <c r="H58" s="2" t="s">
        <v>32</v>
      </c>
      <c r="I58" s="2">
        <v>3</v>
      </c>
      <c r="J58" s="2">
        <v>0</v>
      </c>
      <c r="K58" s="2">
        <v>3</v>
      </c>
      <c r="L58" s="2"/>
      <c r="M58" s="2"/>
      <c r="N58" s="2"/>
      <c r="O58" s="2">
        <f t="shared" si="21"/>
        <v>479.67</v>
      </c>
      <c r="P58" s="2">
        <f>ROUND((ROUND((AC58*I58),2)*BC58),2)</f>
        <v>479.67</v>
      </c>
      <c r="Q58" s="2">
        <f>(ROUND((ROUND(((ET58)*AV58*I58),2)*BB58),2)+ROUND((ROUND(((AE58-(EU58))*AV58*I58),2)*BS58),2))</f>
        <v>0</v>
      </c>
      <c r="R58" s="2">
        <f>(ROUND((ROUND(((EU58)*AV58*I58),2)*BS58),2)+ROUND((ROUND(((AE58-(EU58))*AV58*I58),2)*BS58),2))</f>
        <v>0</v>
      </c>
      <c r="S58" s="2">
        <f t="shared" si="22"/>
        <v>0</v>
      </c>
      <c r="T58" s="2">
        <f t="shared" si="23"/>
        <v>0</v>
      </c>
      <c r="U58" s="2">
        <f t="shared" si="24"/>
        <v>0</v>
      </c>
      <c r="V58" s="2">
        <f t="shared" si="25"/>
        <v>0</v>
      </c>
      <c r="W58" s="2">
        <f t="shared" si="26"/>
        <v>0</v>
      </c>
      <c r="X58" s="2">
        <f>(ROUND((((S58+ROUND((ROUND(((EU58)*AV58*I58),2)*BS58),2))*AT58)/100),2)+ROUND(((ROUND((ROUND(((AE58-(EU58))*AV58*I58),2)*BS58),2)*AT58)/100),2))</f>
        <v>0</v>
      </c>
      <c r="Y58" s="2">
        <f>(ROUND((((S58+ROUND((ROUND(((EU58)*AV58*I58),2)*BS58),2))*AU58)/100),2)+ROUND(((ROUND((ROUND(((AE58-(EU58))*AV58*I58),2)*BS58),2)*AU58)/100),2))</f>
        <v>0</v>
      </c>
      <c r="Z58" s="2"/>
      <c r="AA58" s="2">
        <v>60258621</v>
      </c>
      <c r="AB58" s="2">
        <f t="shared" si="27"/>
        <v>159.88999999999999</v>
      </c>
      <c r="AC58" s="2">
        <f>ROUND((ES58),6)</f>
        <v>159.88999999999999</v>
      </c>
      <c r="AD58" s="2">
        <f>ROUND((((ET58)-(EU58))+AE58),6)</f>
        <v>0</v>
      </c>
      <c r="AE58" s="2">
        <f t="shared" si="46"/>
        <v>0</v>
      </c>
      <c r="AF58" s="2">
        <f t="shared" si="46"/>
        <v>0</v>
      </c>
      <c r="AG58" s="2">
        <f t="shared" si="28"/>
        <v>0</v>
      </c>
      <c r="AH58" s="2">
        <f t="shared" si="47"/>
        <v>0</v>
      </c>
      <c r="AI58" s="2">
        <f t="shared" si="47"/>
        <v>0</v>
      </c>
      <c r="AJ58" s="2">
        <f t="shared" si="29"/>
        <v>0</v>
      </c>
      <c r="AK58" s="2">
        <v>159.88999999999999</v>
      </c>
      <c r="AL58" s="2">
        <v>159.88999999999999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3</v>
      </c>
      <c r="BJ58" s="2" t="s">
        <v>3</v>
      </c>
      <c r="BK58" s="2"/>
      <c r="BL58" s="2"/>
      <c r="BM58" s="2">
        <v>746</v>
      </c>
      <c r="BN58" s="2">
        <v>0</v>
      </c>
      <c r="BO58" s="2" t="s">
        <v>3</v>
      </c>
      <c r="BP58" s="2">
        <v>0</v>
      </c>
      <c r="BQ58" s="2">
        <v>130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0</v>
      </c>
      <c r="CA58" s="2">
        <v>0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0"/>
        <v>479.67</v>
      </c>
      <c r="CQ58" s="2">
        <f>ROUND((ROUND((AC58*1),2)*BC58),2)</f>
        <v>159.88999999999999</v>
      </c>
      <c r="CR58" s="2">
        <f>(ROUND((ROUND(((ET58)*AV58*1),2)*BB58),2)+ROUND((ROUND(((AE58-(EU58))*AV58*1),2)*BS58),2))</f>
        <v>0</v>
      </c>
      <c r="CS58" s="2">
        <f>(ROUND((ROUND(((EU58)*AV58*1),2)*BS58),2)+ROUND((ROUND(((AE58-(EU58))*AV58*1),2)*BS58),2))</f>
        <v>0</v>
      </c>
      <c r="CT58" s="2">
        <f t="shared" si="31"/>
        <v>0</v>
      </c>
      <c r="CU58" s="2">
        <f t="shared" si="32"/>
        <v>0</v>
      </c>
      <c r="CV58" s="2">
        <f t="shared" si="33"/>
        <v>0</v>
      </c>
      <c r="CW58" s="2">
        <f t="shared" si="34"/>
        <v>0</v>
      </c>
      <c r="CX58" s="2">
        <f t="shared" si="35"/>
        <v>0</v>
      </c>
      <c r="CY58" s="2">
        <f>(ROUND((((S58+ROUND((ROUND(((EU58)*AV58*1),2)*BS58),2))*AT58)/100),2)+ROUND(((ROUND((ROUND(((AE58-(EU58))*AV58*1),2)*BS58),2)*AT58)/100),2))</f>
        <v>0</v>
      </c>
      <c r="CZ58" s="2">
        <f>(ROUND((((S58+ROUND((ROUND(((EU58)*AV58*1),2)*BS58),2))*AU58)/100),2)+ROUND(((ROUND((ROUND(((AE58-(EU58))*AV58*1),2)*BS58),2)*AU58)/100),2))</f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32</v>
      </c>
      <c r="DW58" s="2" t="s">
        <v>32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60088638</v>
      </c>
      <c r="EF58" s="2">
        <v>130</v>
      </c>
      <c r="EG58" s="2" t="s">
        <v>33</v>
      </c>
      <c r="EH58" s="2">
        <v>0</v>
      </c>
      <c r="EI58" s="2" t="s">
        <v>3</v>
      </c>
      <c r="EJ58" s="2">
        <v>3</v>
      </c>
      <c r="EK58" s="2">
        <v>746</v>
      </c>
      <c r="EL58" s="2" t="s">
        <v>34</v>
      </c>
      <c r="EM58" s="2" t="s">
        <v>35</v>
      </c>
      <c r="EN58" s="2"/>
      <c r="EO58" s="2" t="s">
        <v>3</v>
      </c>
      <c r="EP58" s="2"/>
      <c r="EQ58" s="2">
        <v>0</v>
      </c>
      <c r="ER58" s="2">
        <v>0</v>
      </c>
      <c r="ES58" s="2">
        <v>159.88999999999999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f>P58</f>
        <v>479.67</v>
      </c>
      <c r="FS58" s="2">
        <v>0</v>
      </c>
      <c r="FT58" s="2"/>
      <c r="FU58" s="2"/>
      <c r="FV58" s="2"/>
      <c r="FW58" s="2"/>
      <c r="FX58" s="2">
        <v>0</v>
      </c>
      <c r="FY58" s="2">
        <v>0</v>
      </c>
      <c r="FZ58" s="2"/>
      <c r="GA58" s="2" t="s">
        <v>92</v>
      </c>
      <c r="GB58" s="2"/>
      <c r="GC58" s="2"/>
      <c r="GD58" s="2">
        <v>1</v>
      </c>
      <c r="GE58" s="2"/>
      <c r="GF58" s="2">
        <v>680371573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36"/>
        <v>0</v>
      </c>
      <c r="GM58" s="2">
        <f t="shared" si="37"/>
        <v>479.67</v>
      </c>
      <c r="GN58" s="2">
        <f t="shared" si="38"/>
        <v>0</v>
      </c>
      <c r="GO58" s="2">
        <f t="shared" si="39"/>
        <v>0</v>
      </c>
      <c r="GP58" s="2">
        <f t="shared" si="40"/>
        <v>0</v>
      </c>
      <c r="GQ58" s="2"/>
      <c r="GR58" s="2">
        <v>0</v>
      </c>
      <c r="GS58" s="2">
        <v>2</v>
      </c>
      <c r="GT58" s="2">
        <v>0</v>
      </c>
      <c r="GU58" s="2" t="s">
        <v>3</v>
      </c>
      <c r="GV58" s="2">
        <f t="shared" si="41"/>
        <v>0</v>
      </c>
      <c r="GW58" s="2">
        <v>1</v>
      </c>
      <c r="GX58" s="2">
        <f t="shared" si="42"/>
        <v>0</v>
      </c>
      <c r="GY58" s="2"/>
      <c r="GZ58" s="2"/>
      <c r="HA58" s="2">
        <v>0</v>
      </c>
      <c r="HB58" s="2">
        <v>0</v>
      </c>
      <c r="HC58" s="2">
        <f t="shared" si="43"/>
        <v>0</v>
      </c>
      <c r="HD58" s="2"/>
      <c r="HE58" s="2" t="s">
        <v>37</v>
      </c>
      <c r="HF58" s="2" t="s">
        <v>38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17</v>
      </c>
      <c r="B59">
        <v>1</v>
      </c>
      <c r="E59" t="s">
        <v>89</v>
      </c>
      <c r="F59" t="s">
        <v>90</v>
      </c>
      <c r="G59" t="s">
        <v>91</v>
      </c>
      <c r="H59" t="s">
        <v>32</v>
      </c>
      <c r="I59">
        <v>3</v>
      </c>
      <c r="J59">
        <v>0</v>
      </c>
      <c r="K59">
        <v>3</v>
      </c>
      <c r="O59">
        <f t="shared" si="21"/>
        <v>3674.27</v>
      </c>
      <c r="P59">
        <f>ROUND((ROUND((AC59*I59),2)*BC59),2)</f>
        <v>3674.27</v>
      </c>
      <c r="Q59">
        <f>(ROUND((ROUND(((ET59)*AV59*I59),2)*BB59),2)+ROUND((ROUND(((AE59-(EU59))*AV59*I59),2)*BS59),2))</f>
        <v>0</v>
      </c>
      <c r="R59">
        <f>(ROUND((ROUND(((EU59)*AV59*I59),2)*BS59),2)+ROUND((ROUND(((AE59-(EU59))*AV59*I59),2)*BS59),2))</f>
        <v>0</v>
      </c>
      <c r="S59">
        <f t="shared" si="22"/>
        <v>0</v>
      </c>
      <c r="T59">
        <f t="shared" si="23"/>
        <v>0</v>
      </c>
      <c r="U59">
        <f t="shared" si="24"/>
        <v>0</v>
      </c>
      <c r="V59">
        <f t="shared" si="25"/>
        <v>0</v>
      </c>
      <c r="W59">
        <f t="shared" si="26"/>
        <v>0</v>
      </c>
      <c r="X59">
        <f>(ROUND((((S59+ROUND((ROUND(((EU59)*AV59*I59),2)*BS59),2))*AT59)/100),2)+ROUND(((ROUND((ROUND(((AE59-(EU59))*AV59*I59),2)*BS59),2)*AT59)/100),2))</f>
        <v>0</v>
      </c>
      <c r="Y59">
        <f>(ROUND((((S59+ROUND((ROUND(((EU59)*AV59*I59),2)*BS59),2))*AU59)/100),2)+ROUND(((ROUND((ROUND(((AE59-(EU59))*AV59*I59),2)*BS59),2)*AU59)/100),2))</f>
        <v>0</v>
      </c>
      <c r="AA59">
        <v>60258618</v>
      </c>
      <c r="AB59">
        <f t="shared" si="27"/>
        <v>159.88999999999999</v>
      </c>
      <c r="AC59">
        <f>ROUND((ES59),6)</f>
        <v>159.88999999999999</v>
      </c>
      <c r="AD59">
        <f>ROUND((((ET59)-(EU59))+AE59),6)</f>
        <v>0</v>
      </c>
      <c r="AE59">
        <f t="shared" si="46"/>
        <v>0</v>
      </c>
      <c r="AF59">
        <f t="shared" si="46"/>
        <v>0</v>
      </c>
      <c r="AG59">
        <f t="shared" si="28"/>
        <v>0</v>
      </c>
      <c r="AH59">
        <f t="shared" si="47"/>
        <v>0</v>
      </c>
      <c r="AI59">
        <f t="shared" si="47"/>
        <v>0</v>
      </c>
      <c r="AJ59">
        <f t="shared" si="29"/>
        <v>0</v>
      </c>
      <c r="AK59">
        <v>159.88999999999999</v>
      </c>
      <c r="AL59">
        <v>159.88999999999999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1</v>
      </c>
      <c r="AZ59">
        <v>1</v>
      </c>
      <c r="BA59">
        <v>1</v>
      </c>
      <c r="BB59">
        <v>1</v>
      </c>
      <c r="BC59">
        <v>7.66</v>
      </c>
      <c r="BD59" t="s">
        <v>3</v>
      </c>
      <c r="BE59" t="s">
        <v>3</v>
      </c>
      <c r="BF59" t="s">
        <v>3</v>
      </c>
      <c r="BG59" t="s">
        <v>3</v>
      </c>
      <c r="BH59">
        <v>3</v>
      </c>
      <c r="BI59">
        <v>3</v>
      </c>
      <c r="BJ59" t="s">
        <v>3</v>
      </c>
      <c r="BM59">
        <v>746</v>
      </c>
      <c r="BN59">
        <v>0</v>
      </c>
      <c r="BO59" t="s">
        <v>3</v>
      </c>
      <c r="BP59">
        <v>0</v>
      </c>
      <c r="BQ59">
        <v>130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0</v>
      </c>
      <c r="CA59">
        <v>0</v>
      </c>
      <c r="CB59" t="s">
        <v>3</v>
      </c>
      <c r="CE59">
        <v>1566</v>
      </c>
      <c r="CF59">
        <v>0</v>
      </c>
      <c r="CG59">
        <v>0</v>
      </c>
      <c r="CM59">
        <v>0</v>
      </c>
      <c r="CN59" t="s">
        <v>3</v>
      </c>
      <c r="CO59">
        <v>0</v>
      </c>
      <c r="CP59">
        <f t="shared" si="30"/>
        <v>3674.27</v>
      </c>
      <c r="CQ59">
        <f>ROUND((ROUND((AC59*1),2)*BC59),2)</f>
        <v>1224.76</v>
      </c>
      <c r="CR59">
        <f>(ROUND((ROUND(((ET59)*AV59*1),2)*BB59),2)+ROUND((ROUND(((AE59-(EU59))*AV59*1),2)*BS59),2))</f>
        <v>0</v>
      </c>
      <c r="CS59">
        <f>(ROUND((ROUND(((EU59)*AV59*1),2)*BS59),2)+ROUND((ROUND(((AE59-(EU59))*AV59*1),2)*BS59),2))</f>
        <v>0</v>
      </c>
      <c r="CT59">
        <f t="shared" si="31"/>
        <v>0</v>
      </c>
      <c r="CU59">
        <f t="shared" si="32"/>
        <v>0</v>
      </c>
      <c r="CV59">
        <f t="shared" si="33"/>
        <v>0</v>
      </c>
      <c r="CW59">
        <f t="shared" si="34"/>
        <v>0</v>
      </c>
      <c r="CX59">
        <f t="shared" si="35"/>
        <v>0</v>
      </c>
      <c r="CY59">
        <f>(ROUND((((S59+ROUND((ROUND(((EU59)*AV59*1),2)*BS59),2))*AT59)/100),2)+ROUND(((ROUND((ROUND(((AE59-(EU59))*AV59*1),2)*BS59),2)*AT59)/100),2))</f>
        <v>0</v>
      </c>
      <c r="CZ59">
        <f>(ROUND((((S59+ROUND((ROUND(((EU59)*AV59*1),2)*BS59),2))*AU59)/100),2)+ROUND(((ROUND((ROUND(((AE59-(EU59))*AV59*1),2)*BS59),2)*AU59)/100),2))</f>
        <v>0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>
        <v>0</v>
      </c>
      <c r="DO59">
        <v>0</v>
      </c>
      <c r="DP59">
        <v>1</v>
      </c>
      <c r="DQ59">
        <v>1</v>
      </c>
      <c r="DU59">
        <v>1013</v>
      </c>
      <c r="DV59" t="s">
        <v>32</v>
      </c>
      <c r="DW59" t="s">
        <v>32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60088638</v>
      </c>
      <c r="EF59">
        <v>130</v>
      </c>
      <c r="EG59" t="s">
        <v>33</v>
      </c>
      <c r="EH59">
        <v>0</v>
      </c>
      <c r="EI59" t="s">
        <v>3</v>
      </c>
      <c r="EJ59">
        <v>3</v>
      </c>
      <c r="EK59">
        <v>746</v>
      </c>
      <c r="EL59" t="s">
        <v>34</v>
      </c>
      <c r="EM59" t="s">
        <v>35</v>
      </c>
      <c r="EO59" t="s">
        <v>3</v>
      </c>
      <c r="EQ59">
        <v>0</v>
      </c>
      <c r="ER59">
        <v>0</v>
      </c>
      <c r="ES59">
        <v>159.88999999999999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5</v>
      </c>
      <c r="FC59">
        <v>1</v>
      </c>
      <c r="FD59">
        <v>18</v>
      </c>
      <c r="FF59">
        <v>1410</v>
      </c>
      <c r="FQ59">
        <v>0</v>
      </c>
      <c r="FR59">
        <f>P59</f>
        <v>3674.27</v>
      </c>
      <c r="FS59">
        <v>0</v>
      </c>
      <c r="FX59">
        <v>0</v>
      </c>
      <c r="FY59">
        <v>0</v>
      </c>
      <c r="GA59" t="s">
        <v>92</v>
      </c>
      <c r="GD59">
        <v>1</v>
      </c>
      <c r="GF59">
        <v>680371573</v>
      </c>
      <c r="GG59">
        <v>2</v>
      </c>
      <c r="GH59">
        <v>3</v>
      </c>
      <c r="GI59">
        <v>5</v>
      </c>
      <c r="GJ59">
        <v>0</v>
      </c>
      <c r="GK59">
        <v>0</v>
      </c>
      <c r="GL59">
        <f t="shared" si="36"/>
        <v>0</v>
      </c>
      <c r="GM59">
        <f t="shared" si="37"/>
        <v>3674.27</v>
      </c>
      <c r="GN59">
        <f t="shared" si="38"/>
        <v>0</v>
      </c>
      <c r="GO59">
        <f t="shared" si="39"/>
        <v>0</v>
      </c>
      <c r="GP59">
        <f t="shared" si="40"/>
        <v>0</v>
      </c>
      <c r="GR59">
        <v>1</v>
      </c>
      <c r="GS59">
        <v>1</v>
      </c>
      <c r="GT59">
        <v>0</v>
      </c>
      <c r="GU59" t="s">
        <v>3</v>
      </c>
      <c r="GV59">
        <f t="shared" si="41"/>
        <v>0</v>
      </c>
      <c r="GW59">
        <v>1</v>
      </c>
      <c r="GX59">
        <f t="shared" si="42"/>
        <v>0</v>
      </c>
      <c r="HA59">
        <v>0</v>
      </c>
      <c r="HB59">
        <v>0</v>
      </c>
      <c r="HC59">
        <f t="shared" si="43"/>
        <v>0</v>
      </c>
      <c r="HE59" t="s">
        <v>37</v>
      </c>
      <c r="HF59" t="s">
        <v>38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">
      <c r="A60" s="2">
        <v>17</v>
      </c>
      <c r="B60" s="2">
        <v>1</v>
      </c>
      <c r="C60" s="2">
        <f>ROW(SmtRes!A35)</f>
        <v>35</v>
      </c>
      <c r="D60" s="2">
        <f>ROW(EtalonRes!A43)</f>
        <v>43</v>
      </c>
      <c r="E60" s="2" t="s">
        <v>93</v>
      </c>
      <c r="F60" s="2" t="s">
        <v>61</v>
      </c>
      <c r="G60" s="2" t="s">
        <v>62</v>
      </c>
      <c r="H60" s="2" t="s">
        <v>21</v>
      </c>
      <c r="I60" s="2">
        <v>1</v>
      </c>
      <c r="J60" s="2">
        <v>0</v>
      </c>
      <c r="K60" s="2">
        <v>1</v>
      </c>
      <c r="L60" s="2"/>
      <c r="M60" s="2"/>
      <c r="N60" s="2"/>
      <c r="O60" s="2">
        <f t="shared" ref="O60:O91" si="48">ROUND(CP60,2)</f>
        <v>20.53</v>
      </c>
      <c r="P60" s="2">
        <f>ROUND((ROUND((AC60*AW60*I60),2)*BC60),2)</f>
        <v>1.96</v>
      </c>
      <c r="Q60" s="2">
        <f>(ROUND((ROUND((((ET60*1.1))*AV60*I60),2)*BB60),2)+ROUND((ROUND(((AE60-((EU60*1.1)))*AV60*I60),2)*BS60),2))</f>
        <v>0.06</v>
      </c>
      <c r="R60" s="2">
        <f>(ROUND((ROUND((((EU60*1.1))*AV60*I60),2)*BS60),2)+ROUND((ROUND(((AE60-((EU60*1.1)))*AV60*I60),2)*BS60),2))</f>
        <v>0.01</v>
      </c>
      <c r="S60" s="2">
        <f t="shared" ref="S60:S91" si="49">ROUND((ROUND((AF60*AV60*I60),2)*BA60),2)</f>
        <v>18.510000000000002</v>
      </c>
      <c r="T60" s="2">
        <f t="shared" ref="T60:T91" si="50">ROUND(CU60*I60,2)</f>
        <v>0</v>
      </c>
      <c r="U60" s="2">
        <f t="shared" ref="U60:U91" si="51">CV60*I60</f>
        <v>1.3820399999999999</v>
      </c>
      <c r="V60" s="2">
        <f t="shared" ref="V60:V91" si="52">CW60*I60</f>
        <v>0</v>
      </c>
      <c r="W60" s="2">
        <f t="shared" ref="W60:W91" si="53">ROUND(CX60*I60,2)</f>
        <v>0</v>
      </c>
      <c r="X60" s="2">
        <f>(ROUND((((S60+ROUND((ROUND((((EU60*1.1))*AV60*I60),2)*BS60),2))*AT60)/100),2)+ROUND(((ROUND((ROUND(((AE60-((EU60*1.1)))*AV60*I60),2)*BS60),2)*AT60)/100),2))</f>
        <v>16.670000000000002</v>
      </c>
      <c r="Y60" s="2">
        <f>(ROUND((((S60+ROUND((ROUND((((EU60*1.1))*AV60*I60),2)*BS60),2))*AU60)/100),2)+ROUND(((ROUND((ROUND(((AE60-((EU60*1.1)))*AV60*I60),2)*BS60),2)*AU60)/100),2))</f>
        <v>8.52</v>
      </c>
      <c r="Z60" s="2"/>
      <c r="AA60" s="2">
        <v>60258621</v>
      </c>
      <c r="AB60" s="2">
        <f t="shared" ref="AB60:AB91" si="54">ROUND((AC60+AD60+AF60),6)</f>
        <v>19.692</v>
      </c>
      <c r="AC60" s="2">
        <f>ROUND(((ES60*1)),6)</f>
        <v>1.96</v>
      </c>
      <c r="AD60" s="2">
        <f>ROUND(((((ET60*1.1))-((EU60*1.1)))+AE60),6)</f>
        <v>5.5E-2</v>
      </c>
      <c r="AE60" s="2">
        <f>ROUND(((EU60*1.1)),6)</f>
        <v>1.0999999999999999E-2</v>
      </c>
      <c r="AF60" s="2">
        <f>ROUND(((EV60*1.1)),6)</f>
        <v>17.677</v>
      </c>
      <c r="AG60" s="2">
        <f t="shared" ref="AG60:AG91" si="55">ROUND((AP60),6)</f>
        <v>0</v>
      </c>
      <c r="AH60" s="2">
        <f>((EW60*1.1))</f>
        <v>1.32</v>
      </c>
      <c r="AI60" s="2">
        <f>((EX60*1.1))</f>
        <v>0</v>
      </c>
      <c r="AJ60" s="2">
        <f t="shared" ref="AJ60:AJ91" si="56">(AS60)</f>
        <v>0</v>
      </c>
      <c r="AK60" s="2">
        <v>18.079999999999998</v>
      </c>
      <c r="AL60" s="2">
        <v>1.96</v>
      </c>
      <c r="AM60" s="2">
        <v>0.05</v>
      </c>
      <c r="AN60" s="2">
        <v>0.01</v>
      </c>
      <c r="AO60" s="2">
        <v>16.07</v>
      </c>
      <c r="AP60" s="2">
        <v>0</v>
      </c>
      <c r="AQ60" s="2">
        <v>1.2</v>
      </c>
      <c r="AR60" s="2">
        <v>0</v>
      </c>
      <c r="AS60" s="2">
        <v>0</v>
      </c>
      <c r="AT60" s="2">
        <v>90</v>
      </c>
      <c r="AU60" s="2">
        <v>46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63</v>
      </c>
      <c r="BK60" s="2"/>
      <c r="BL60" s="2"/>
      <c r="BM60" s="2">
        <v>68</v>
      </c>
      <c r="BN60" s="2">
        <v>58973116</v>
      </c>
      <c r="BO60" s="2" t="s">
        <v>61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90</v>
      </c>
      <c r="CA60" s="2">
        <v>46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407</v>
      </c>
      <c r="CO60" s="2">
        <v>0</v>
      </c>
      <c r="CP60" s="2">
        <f t="shared" ref="CP60:CP91" si="57">(P60+Q60+S60)</f>
        <v>20.53</v>
      </c>
      <c r="CQ60" s="2">
        <f>ROUND((ROUND((AC60*AW60*1),2)*BC60),2)</f>
        <v>1.96</v>
      </c>
      <c r="CR60" s="2">
        <f>(ROUND((ROUND((((ET60*1.1))*AV60*1),2)*BB60),2)+ROUND((ROUND(((AE60-((EU60*1.1)))*AV60*1),2)*BS60),2))</f>
        <v>0.06</v>
      </c>
      <c r="CS60" s="2">
        <f>(ROUND((ROUND((((EU60*1.1))*AV60*1),2)*BS60),2)+ROUND((ROUND(((AE60-((EU60*1.1)))*AV60*1),2)*BS60),2))</f>
        <v>0.01</v>
      </c>
      <c r="CT60" s="2">
        <f t="shared" ref="CT60:CT91" si="58">ROUND((ROUND((AF60*AV60*1),2)*BA60),2)</f>
        <v>18.510000000000002</v>
      </c>
      <c r="CU60" s="2">
        <f t="shared" ref="CU60:CU91" si="59">AG60</f>
        <v>0</v>
      </c>
      <c r="CV60" s="2">
        <f t="shared" ref="CV60:CV91" si="60">(AH60*AV60)</f>
        <v>1.3820399999999999</v>
      </c>
      <c r="CW60" s="2">
        <f t="shared" ref="CW60:CW91" si="61">AI60</f>
        <v>0</v>
      </c>
      <c r="CX60" s="2">
        <f t="shared" ref="CX60:CX91" si="62">AJ60</f>
        <v>0</v>
      </c>
      <c r="CY60" s="2">
        <f>(ROUND((((S60+ROUND((ROUND((((EU60*1.1))*AV60*1),2)*BS60),2))*AT60)/100),2)+ROUND(((ROUND((ROUND(((AE60-((EU60*1.1)))*AV60*1),2)*BS60),2)*AT60)/100),2))</f>
        <v>16.670000000000002</v>
      </c>
      <c r="CZ60" s="2">
        <f>(ROUND((((S60+ROUND((ROUND((((EU60*1.1))*AV60*1),2)*BS60),2))*AU60)/100),2)+ROUND(((ROUND((ROUND(((AE60-((EU60*1.1)))*AV60*1),2)*BS60),2)*AU60)/100),2))</f>
        <v>8.52</v>
      </c>
      <c r="DA60" s="2"/>
      <c r="DB60" s="2">
        <v>15</v>
      </c>
      <c r="DC60" s="2" t="s">
        <v>3</v>
      </c>
      <c r="DD60" s="2" t="s">
        <v>23</v>
      </c>
      <c r="DE60" s="2" t="s">
        <v>24</v>
      </c>
      <c r="DF60" s="2" t="s">
        <v>24</v>
      </c>
      <c r="DG60" s="2" t="s">
        <v>24</v>
      </c>
      <c r="DH60" s="2" t="s">
        <v>3</v>
      </c>
      <c r="DI60" s="2" t="s">
        <v>24</v>
      </c>
      <c r="DJ60" s="2" t="s">
        <v>24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21</v>
      </c>
      <c r="DW60" s="2" t="s">
        <v>21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60088532</v>
      </c>
      <c r="EF60" s="2">
        <v>40</v>
      </c>
      <c r="EG60" s="2" t="s">
        <v>25</v>
      </c>
      <c r="EH60" s="2">
        <v>0</v>
      </c>
      <c r="EI60" s="2" t="s">
        <v>3</v>
      </c>
      <c r="EJ60" s="2">
        <v>2</v>
      </c>
      <c r="EK60" s="2">
        <v>68</v>
      </c>
      <c r="EL60" s="2" t="s">
        <v>46</v>
      </c>
      <c r="EM60" s="2" t="s">
        <v>47</v>
      </c>
      <c r="EN60" s="2"/>
      <c r="EO60" s="2" t="s">
        <v>28</v>
      </c>
      <c r="EP60" s="2"/>
      <c r="EQ60" s="2">
        <v>0</v>
      </c>
      <c r="ER60" s="2">
        <v>18.079999999999998</v>
      </c>
      <c r="ES60" s="2">
        <v>1.96</v>
      </c>
      <c r="ET60" s="2">
        <v>0.05</v>
      </c>
      <c r="EU60" s="2">
        <v>0.01</v>
      </c>
      <c r="EV60" s="2">
        <v>16.07</v>
      </c>
      <c r="EW60" s="2">
        <v>1.2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90</v>
      </c>
      <c r="FY60" s="2">
        <v>46</v>
      </c>
      <c r="FZ60" s="2"/>
      <c r="GA60" s="2" t="s">
        <v>3</v>
      </c>
      <c r="GB60" s="2"/>
      <c r="GC60" s="2"/>
      <c r="GD60" s="2">
        <v>1</v>
      </c>
      <c r="GE60" s="2"/>
      <c r="GF60" s="2">
        <v>1665592289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ref="GL60:GL91" si="63">ROUND(IF(AND(BH60=3,BI60=3,FS60&lt;&gt;0),P60,0),2)</f>
        <v>0</v>
      </c>
      <c r="GM60" s="2">
        <f t="shared" ref="GM60:GM91" si="64">ROUND(O60+X60+Y60,2)+GX60</f>
        <v>45.72</v>
      </c>
      <c r="GN60" s="2">
        <f t="shared" ref="GN60:GN91" si="65">IF(OR(BI60=0,BI60=1),GM60-GX60,0)</f>
        <v>0</v>
      </c>
      <c r="GO60" s="2">
        <f t="shared" ref="GO60:GO91" si="66">IF(BI60=2,GM60-GX60,0)</f>
        <v>45.72</v>
      </c>
      <c r="GP60" s="2">
        <f t="shared" ref="GP60:GP91" si="67">IF(BI60=4,GM60-GX60,0)</f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ref="GV60:GV91" si="68">ROUND((GT60),6)</f>
        <v>0</v>
      </c>
      <c r="GW60" s="2">
        <v>1</v>
      </c>
      <c r="GX60" s="2">
        <f t="shared" ref="GX60:GX91" si="69">ROUND(HC60*I60,2)</f>
        <v>0</v>
      </c>
      <c r="GY60" s="2"/>
      <c r="GZ60" s="2"/>
      <c r="HA60" s="2">
        <v>0</v>
      </c>
      <c r="HB60" s="2">
        <v>0</v>
      </c>
      <c r="HC60" s="2">
        <f t="shared" ref="HC60:HC91" si="70">GV60*GW60</f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>
        <v>17</v>
      </c>
      <c r="B61">
        <v>1</v>
      </c>
      <c r="C61">
        <f>ROW(SmtRes!A36)</f>
        <v>36</v>
      </c>
      <c r="D61">
        <f>ROW(EtalonRes!A44)</f>
        <v>44</v>
      </c>
      <c r="E61" t="s">
        <v>93</v>
      </c>
      <c r="F61" t="s">
        <v>61</v>
      </c>
      <c r="G61" t="s">
        <v>62</v>
      </c>
      <c r="H61" t="s">
        <v>21</v>
      </c>
      <c r="I61">
        <v>1</v>
      </c>
      <c r="J61">
        <v>0</v>
      </c>
      <c r="K61">
        <v>1</v>
      </c>
      <c r="O61">
        <f t="shared" si="48"/>
        <v>1038.3800000000001</v>
      </c>
      <c r="P61">
        <f>ROUND((ROUND((AC61*AW61*I61),2)*BC61),2)</f>
        <v>19.38</v>
      </c>
      <c r="Q61">
        <f>(ROUND((ROUND((((ET61*1.1))*AV61*I61),2)*BB61),2)+ROUND((ROUND(((AE61-((EU61*1.1)))*AV61*I61),2)*BS61),2))</f>
        <v>1.1399999999999999</v>
      </c>
      <c r="R61">
        <f>(ROUND((ROUND((((EU61*1.1))*AV61*I61),2)*BS61),2)+ROUND((ROUND(((AE61-((EU61*1.1)))*AV61*I61),2)*BS61),2))</f>
        <v>0.55000000000000004</v>
      </c>
      <c r="S61">
        <f t="shared" si="49"/>
        <v>1017.86</v>
      </c>
      <c r="T61">
        <f t="shared" si="50"/>
        <v>0</v>
      </c>
      <c r="U61">
        <f t="shared" si="51"/>
        <v>1.3820399999999999</v>
      </c>
      <c r="V61">
        <f t="shared" si="52"/>
        <v>0</v>
      </c>
      <c r="W61">
        <f t="shared" si="53"/>
        <v>0</v>
      </c>
      <c r="X61">
        <f>(ROUND((((S61+ROUND((ROUND((((EU61*1.1))*AV61*I61),2)*BS61),2))*AT61)/100),2)+ROUND(((ROUND((ROUND(((AE61-((EU61*1.1)))*AV61*I61),2)*BS61),2)*AT61)/100),2))</f>
        <v>916.57</v>
      </c>
      <c r="Y61">
        <f>(ROUND((((S61+ROUND((ROUND((((EU61*1.1))*AV61*I61),2)*BS61),2))*AU61)/100),2)+ROUND(((ROUND((ROUND(((AE61-((EU61*1.1)))*AV61*I61),2)*BS61),2)*AU61)/100),2))</f>
        <v>468.47</v>
      </c>
      <c r="AA61">
        <v>60258618</v>
      </c>
      <c r="AB61">
        <f t="shared" si="54"/>
        <v>19.692</v>
      </c>
      <c r="AC61">
        <f>ROUND(((ES61*1)),6)</f>
        <v>1.96</v>
      </c>
      <c r="AD61">
        <f>ROUND(((((ET61*1.1))-((EU61*1.1)))+AE61),6)</f>
        <v>5.5E-2</v>
      </c>
      <c r="AE61">
        <f>ROUND(((EU61*1.1)),6)</f>
        <v>1.0999999999999999E-2</v>
      </c>
      <c r="AF61">
        <f>ROUND(((EV61*1.1)),6)</f>
        <v>17.677</v>
      </c>
      <c r="AG61">
        <f t="shared" si="55"/>
        <v>0</v>
      </c>
      <c r="AH61">
        <f>((EW61*1.1))</f>
        <v>1.32</v>
      </c>
      <c r="AI61">
        <f>((EX61*1.1))</f>
        <v>0</v>
      </c>
      <c r="AJ61">
        <f t="shared" si="56"/>
        <v>0</v>
      </c>
      <c r="AK61">
        <v>18.079999999999998</v>
      </c>
      <c r="AL61">
        <v>1.96</v>
      </c>
      <c r="AM61">
        <v>0.05</v>
      </c>
      <c r="AN61">
        <v>0.01</v>
      </c>
      <c r="AO61">
        <v>16.07</v>
      </c>
      <c r="AP61">
        <v>0</v>
      </c>
      <c r="AQ61">
        <v>1.2</v>
      </c>
      <c r="AR61">
        <v>0</v>
      </c>
      <c r="AS61">
        <v>0</v>
      </c>
      <c r="AT61">
        <v>90</v>
      </c>
      <c r="AU61">
        <v>46</v>
      </c>
      <c r="AV61">
        <v>1.0469999999999999</v>
      </c>
      <c r="AW61">
        <v>1</v>
      </c>
      <c r="AZ61">
        <v>1</v>
      </c>
      <c r="BA61">
        <v>54.99</v>
      </c>
      <c r="BB61">
        <v>19</v>
      </c>
      <c r="BC61">
        <v>9.89</v>
      </c>
      <c r="BD61" t="s">
        <v>3</v>
      </c>
      <c r="BE61" t="s">
        <v>3</v>
      </c>
      <c r="BF61" t="s">
        <v>3</v>
      </c>
      <c r="BG61" t="s">
        <v>3</v>
      </c>
      <c r="BH61">
        <v>0</v>
      </c>
      <c r="BI61">
        <v>2</v>
      </c>
      <c r="BJ61" t="s">
        <v>63</v>
      </c>
      <c r="BM61">
        <v>68</v>
      </c>
      <c r="BN61">
        <v>58973116</v>
      </c>
      <c r="BO61" t="s">
        <v>61</v>
      </c>
      <c r="BP61">
        <v>1</v>
      </c>
      <c r="BQ61">
        <v>40</v>
      </c>
      <c r="BR61">
        <v>0</v>
      </c>
      <c r="BS61">
        <v>54.99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90</v>
      </c>
      <c r="CA61">
        <v>46</v>
      </c>
      <c r="CB61" t="s">
        <v>3</v>
      </c>
      <c r="CE61">
        <v>1566</v>
      </c>
      <c r="CF61">
        <v>0</v>
      </c>
      <c r="CG61">
        <v>0</v>
      </c>
      <c r="CM61">
        <v>0</v>
      </c>
      <c r="CN61" t="s">
        <v>407</v>
      </c>
      <c r="CO61">
        <v>0</v>
      </c>
      <c r="CP61">
        <f t="shared" si="57"/>
        <v>1038.3800000000001</v>
      </c>
      <c r="CQ61">
        <f>ROUND((ROUND((AC61*AW61*1),2)*BC61),2)</f>
        <v>19.38</v>
      </c>
      <c r="CR61">
        <f>(ROUND((ROUND((((ET61*1.1))*AV61*1),2)*BB61),2)+ROUND((ROUND(((AE61-((EU61*1.1)))*AV61*1),2)*BS61),2))</f>
        <v>1.1399999999999999</v>
      </c>
      <c r="CS61">
        <f>(ROUND((ROUND((((EU61*1.1))*AV61*1),2)*BS61),2)+ROUND((ROUND(((AE61-((EU61*1.1)))*AV61*1),2)*BS61),2))</f>
        <v>0.55000000000000004</v>
      </c>
      <c r="CT61">
        <f t="shared" si="58"/>
        <v>1017.86</v>
      </c>
      <c r="CU61">
        <f t="shared" si="59"/>
        <v>0</v>
      </c>
      <c r="CV61">
        <f t="shared" si="60"/>
        <v>1.3820399999999999</v>
      </c>
      <c r="CW61">
        <f t="shared" si="61"/>
        <v>0</v>
      </c>
      <c r="CX61">
        <f t="shared" si="62"/>
        <v>0</v>
      </c>
      <c r="CY61">
        <f>(ROUND((((S61+ROUND((ROUND((((EU61*1.1))*AV61*1),2)*BS61),2))*AT61)/100),2)+ROUND(((ROUND((ROUND(((AE61-((EU61*1.1)))*AV61*1),2)*BS61),2)*AT61)/100),2))</f>
        <v>916.57</v>
      </c>
      <c r="CZ61">
        <f>(ROUND((((S61+ROUND((ROUND((((EU61*1.1))*AV61*1),2)*BS61),2))*AU61)/100),2)+ROUND(((ROUND((ROUND(((AE61-((EU61*1.1)))*AV61*1),2)*BS61),2)*AU61)/100),2))</f>
        <v>468.47</v>
      </c>
      <c r="DB61">
        <v>16</v>
      </c>
      <c r="DC61" t="s">
        <v>3</v>
      </c>
      <c r="DD61" t="s">
        <v>23</v>
      </c>
      <c r="DE61" t="s">
        <v>24</v>
      </c>
      <c r="DF61" t="s">
        <v>24</v>
      </c>
      <c r="DG61" t="s">
        <v>24</v>
      </c>
      <c r="DH61" t="s">
        <v>3</v>
      </c>
      <c r="DI61" t="s">
        <v>24</v>
      </c>
      <c r="DJ61" t="s">
        <v>24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1013</v>
      </c>
      <c r="DV61" t="s">
        <v>21</v>
      </c>
      <c r="DW61" t="s">
        <v>21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60088532</v>
      </c>
      <c r="EF61">
        <v>40</v>
      </c>
      <c r="EG61" t="s">
        <v>25</v>
      </c>
      <c r="EH61">
        <v>0</v>
      </c>
      <c r="EI61" t="s">
        <v>3</v>
      </c>
      <c r="EJ61">
        <v>2</v>
      </c>
      <c r="EK61">
        <v>68</v>
      </c>
      <c r="EL61" t="s">
        <v>46</v>
      </c>
      <c r="EM61" t="s">
        <v>47</v>
      </c>
      <c r="EO61" t="s">
        <v>28</v>
      </c>
      <c r="EQ61">
        <v>0</v>
      </c>
      <c r="ER61">
        <v>18.079999999999998</v>
      </c>
      <c r="ES61">
        <v>1.96</v>
      </c>
      <c r="ET61">
        <v>0.05</v>
      </c>
      <c r="EU61">
        <v>0.01</v>
      </c>
      <c r="EV61">
        <v>16.07</v>
      </c>
      <c r="EW61">
        <v>1.2</v>
      </c>
      <c r="EX61">
        <v>0</v>
      </c>
      <c r="EY61">
        <v>0</v>
      </c>
      <c r="FQ61">
        <v>0</v>
      </c>
      <c r="FR61">
        <v>0</v>
      </c>
      <c r="FS61">
        <v>0</v>
      </c>
      <c r="FX61">
        <v>90</v>
      </c>
      <c r="FY61">
        <v>46</v>
      </c>
      <c r="GA61" t="s">
        <v>3</v>
      </c>
      <c r="GD61">
        <v>1</v>
      </c>
      <c r="GF61">
        <v>1665592289</v>
      </c>
      <c r="GG61">
        <v>2</v>
      </c>
      <c r="GH61">
        <v>1</v>
      </c>
      <c r="GI61">
        <v>2</v>
      </c>
      <c r="GJ61">
        <v>0</v>
      </c>
      <c r="GK61">
        <v>0</v>
      </c>
      <c r="GL61">
        <f t="shared" si="63"/>
        <v>0</v>
      </c>
      <c r="GM61">
        <f t="shared" si="64"/>
        <v>2423.42</v>
      </c>
      <c r="GN61">
        <f t="shared" si="65"/>
        <v>0</v>
      </c>
      <c r="GO61">
        <f t="shared" si="66"/>
        <v>2423.42</v>
      </c>
      <c r="GP61">
        <f t="shared" si="67"/>
        <v>0</v>
      </c>
      <c r="GR61">
        <v>0</v>
      </c>
      <c r="GS61">
        <v>3</v>
      </c>
      <c r="GT61">
        <v>0</v>
      </c>
      <c r="GU61" t="s">
        <v>3</v>
      </c>
      <c r="GV61">
        <f t="shared" si="68"/>
        <v>0</v>
      </c>
      <c r="GW61">
        <v>1</v>
      </c>
      <c r="GX61">
        <f t="shared" si="69"/>
        <v>0</v>
      </c>
      <c r="HA61">
        <v>0</v>
      </c>
      <c r="HB61">
        <v>0</v>
      </c>
      <c r="HC61">
        <f t="shared" si="70"/>
        <v>0</v>
      </c>
      <c r="HE61" t="s">
        <v>3</v>
      </c>
      <c r="HF61" t="s">
        <v>3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2" spans="1:255" x14ac:dyDescent="0.2">
      <c r="A62" s="2">
        <v>17</v>
      </c>
      <c r="B62" s="2">
        <v>1</v>
      </c>
      <c r="C62" s="2"/>
      <c r="D62" s="2"/>
      <c r="E62" s="2" t="s">
        <v>94</v>
      </c>
      <c r="F62" s="2" t="s">
        <v>95</v>
      </c>
      <c r="G62" s="2" t="s">
        <v>96</v>
      </c>
      <c r="H62" s="2" t="s">
        <v>32</v>
      </c>
      <c r="I62" s="2">
        <v>1</v>
      </c>
      <c r="J62" s="2">
        <v>0</v>
      </c>
      <c r="K62" s="2">
        <v>1</v>
      </c>
      <c r="L62" s="2"/>
      <c r="M62" s="2"/>
      <c r="N62" s="2"/>
      <c r="O62" s="2">
        <f t="shared" si="48"/>
        <v>159.15</v>
      </c>
      <c r="P62" s="2">
        <f>ROUND((ROUND((AC62*I62),2)*BC62),2)</f>
        <v>159.15</v>
      </c>
      <c r="Q62" s="2">
        <f>(ROUND((ROUND(((ET62)*AV62*I62),2)*BB62),2)+ROUND((ROUND(((AE62-(EU62))*AV62*I62),2)*BS62),2))</f>
        <v>0</v>
      </c>
      <c r="R62" s="2">
        <f>(ROUND((ROUND(((EU62)*AV62*I62),2)*BS62),2)+ROUND((ROUND(((AE62-(EU62))*AV62*I62),2)*BS62),2))</f>
        <v>0</v>
      </c>
      <c r="S62" s="2">
        <f t="shared" si="49"/>
        <v>0</v>
      </c>
      <c r="T62" s="2">
        <f t="shared" si="50"/>
        <v>0</v>
      </c>
      <c r="U62" s="2">
        <f t="shared" si="51"/>
        <v>0</v>
      </c>
      <c r="V62" s="2">
        <f t="shared" si="52"/>
        <v>0</v>
      </c>
      <c r="W62" s="2">
        <f t="shared" si="53"/>
        <v>0</v>
      </c>
      <c r="X62" s="2">
        <f>(ROUND((((S62+ROUND((ROUND(((EU62)*AV62*I62),2)*BS62),2))*AT62)/100),2)+ROUND(((ROUND((ROUND(((AE62-(EU62))*AV62*I62),2)*BS62),2)*AT62)/100),2))</f>
        <v>0</v>
      </c>
      <c r="Y62" s="2">
        <f>(ROUND((((S62+ROUND((ROUND(((EU62)*AV62*I62),2)*BS62),2))*AU62)/100),2)+ROUND(((ROUND((ROUND(((AE62-(EU62))*AV62*I62),2)*BS62),2)*AU62)/100),2))</f>
        <v>0</v>
      </c>
      <c r="Z62" s="2"/>
      <c r="AA62" s="2">
        <v>60258621</v>
      </c>
      <c r="AB62" s="2">
        <f t="shared" si="54"/>
        <v>159.15</v>
      </c>
      <c r="AC62" s="2">
        <f>ROUND((ES62),6)</f>
        <v>159.15</v>
      </c>
      <c r="AD62" s="2">
        <f>ROUND((((ET62)-(EU62))+AE62),6)</f>
        <v>0</v>
      </c>
      <c r="AE62" s="2">
        <f>ROUND((EU62),6)</f>
        <v>0</v>
      </c>
      <c r="AF62" s="2">
        <f>ROUND((EV62),6)</f>
        <v>0</v>
      </c>
      <c r="AG62" s="2">
        <f t="shared" si="55"/>
        <v>0</v>
      </c>
      <c r="AH62" s="2">
        <f>(EW62)</f>
        <v>0</v>
      </c>
      <c r="AI62" s="2">
        <f>(EX62)</f>
        <v>0</v>
      </c>
      <c r="AJ62" s="2">
        <f t="shared" si="56"/>
        <v>0</v>
      </c>
      <c r="AK62" s="2">
        <v>159.15</v>
      </c>
      <c r="AL62" s="2">
        <v>159.15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3</v>
      </c>
      <c r="BJ62" s="2" t="s">
        <v>3</v>
      </c>
      <c r="BK62" s="2"/>
      <c r="BL62" s="2"/>
      <c r="BM62" s="2">
        <v>746</v>
      </c>
      <c r="BN62" s="2">
        <v>0</v>
      </c>
      <c r="BO62" s="2" t="s">
        <v>3</v>
      </c>
      <c r="BP62" s="2">
        <v>0</v>
      </c>
      <c r="BQ62" s="2">
        <v>130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0</v>
      </c>
      <c r="CA62" s="2">
        <v>0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57"/>
        <v>159.15</v>
      </c>
      <c r="CQ62" s="2">
        <f>ROUND((ROUND((AC62*1),2)*BC62),2)</f>
        <v>159.15</v>
      </c>
      <c r="CR62" s="2">
        <f>(ROUND((ROUND(((ET62)*AV62*1),2)*BB62),2)+ROUND((ROUND(((AE62-(EU62))*AV62*1),2)*BS62),2))</f>
        <v>0</v>
      </c>
      <c r="CS62" s="2">
        <f>(ROUND((ROUND(((EU62)*AV62*1),2)*BS62),2)+ROUND((ROUND(((AE62-(EU62))*AV62*1),2)*BS62),2))</f>
        <v>0</v>
      </c>
      <c r="CT62" s="2">
        <f t="shared" si="58"/>
        <v>0</v>
      </c>
      <c r="CU62" s="2">
        <f t="shared" si="59"/>
        <v>0</v>
      </c>
      <c r="CV62" s="2">
        <f t="shared" si="60"/>
        <v>0</v>
      </c>
      <c r="CW62" s="2">
        <f t="shared" si="61"/>
        <v>0</v>
      </c>
      <c r="CX62" s="2">
        <f t="shared" si="62"/>
        <v>0</v>
      </c>
      <c r="CY62" s="2">
        <f>(ROUND((((S62+ROUND((ROUND(((EU62)*AV62*1),2)*BS62),2))*AT62)/100),2)+ROUND(((ROUND((ROUND(((AE62-(EU62))*AV62*1),2)*BS62),2)*AT62)/100),2))</f>
        <v>0</v>
      </c>
      <c r="CZ62" s="2">
        <f>(ROUND((((S62+ROUND((ROUND(((EU62)*AV62*1),2)*BS62),2))*AU62)/100),2)+ROUND(((ROUND((ROUND(((AE62-(EU62))*AV62*1),2)*BS62),2)*AU62)/100),2))</f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32</v>
      </c>
      <c r="DW62" s="2" t="s">
        <v>32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60088638</v>
      </c>
      <c r="EF62" s="2">
        <v>130</v>
      </c>
      <c r="EG62" s="2" t="s">
        <v>33</v>
      </c>
      <c r="EH62" s="2">
        <v>0</v>
      </c>
      <c r="EI62" s="2" t="s">
        <v>3</v>
      </c>
      <c r="EJ62" s="2">
        <v>3</v>
      </c>
      <c r="EK62" s="2">
        <v>746</v>
      </c>
      <c r="EL62" s="2" t="s">
        <v>34</v>
      </c>
      <c r="EM62" s="2" t="s">
        <v>35</v>
      </c>
      <c r="EN62" s="2"/>
      <c r="EO62" s="2" t="s">
        <v>3</v>
      </c>
      <c r="EP62" s="2"/>
      <c r="EQ62" s="2">
        <v>0</v>
      </c>
      <c r="ER62" s="2">
        <v>0</v>
      </c>
      <c r="ES62" s="2">
        <v>159.15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f>P62</f>
        <v>159.15</v>
      </c>
      <c r="FS62" s="2">
        <v>0</v>
      </c>
      <c r="FT62" s="2"/>
      <c r="FU62" s="2"/>
      <c r="FV62" s="2"/>
      <c r="FW62" s="2"/>
      <c r="FX62" s="2">
        <v>0</v>
      </c>
      <c r="FY62" s="2">
        <v>0</v>
      </c>
      <c r="FZ62" s="2"/>
      <c r="GA62" s="2" t="s">
        <v>97</v>
      </c>
      <c r="GB62" s="2"/>
      <c r="GC62" s="2"/>
      <c r="GD62" s="2">
        <v>1</v>
      </c>
      <c r="GE62" s="2"/>
      <c r="GF62" s="2">
        <v>-568813654</v>
      </c>
      <c r="GG62" s="2">
        <v>2</v>
      </c>
      <c r="GH62" s="2">
        <v>4</v>
      </c>
      <c r="GI62" s="2">
        <v>-2</v>
      </c>
      <c r="GJ62" s="2">
        <v>0</v>
      </c>
      <c r="GK62" s="2">
        <v>0</v>
      </c>
      <c r="GL62" s="2">
        <f t="shared" si="63"/>
        <v>0</v>
      </c>
      <c r="GM62" s="2">
        <f t="shared" si="64"/>
        <v>159.15</v>
      </c>
      <c r="GN62" s="2">
        <f t="shared" si="65"/>
        <v>0</v>
      </c>
      <c r="GO62" s="2">
        <f t="shared" si="66"/>
        <v>0</v>
      </c>
      <c r="GP62" s="2">
        <f t="shared" si="67"/>
        <v>0</v>
      </c>
      <c r="GQ62" s="2"/>
      <c r="GR62" s="2">
        <v>0</v>
      </c>
      <c r="GS62" s="2">
        <v>2</v>
      </c>
      <c r="GT62" s="2">
        <v>0</v>
      </c>
      <c r="GU62" s="2" t="s">
        <v>3</v>
      </c>
      <c r="GV62" s="2">
        <f t="shared" si="68"/>
        <v>0</v>
      </c>
      <c r="GW62" s="2">
        <v>1</v>
      </c>
      <c r="GX62" s="2">
        <f t="shared" si="69"/>
        <v>0</v>
      </c>
      <c r="GY62" s="2"/>
      <c r="GZ62" s="2"/>
      <c r="HA62" s="2">
        <v>0</v>
      </c>
      <c r="HB62" s="2">
        <v>0</v>
      </c>
      <c r="HC62" s="2">
        <f t="shared" si="70"/>
        <v>0</v>
      </c>
      <c r="HD62" s="2"/>
      <c r="HE62" s="2" t="s">
        <v>37</v>
      </c>
      <c r="HF62" s="2" t="s">
        <v>38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>
        <v>17</v>
      </c>
      <c r="B63">
        <v>1</v>
      </c>
      <c r="E63" t="s">
        <v>94</v>
      </c>
      <c r="F63" t="s">
        <v>95</v>
      </c>
      <c r="G63" t="s">
        <v>96</v>
      </c>
      <c r="H63" t="s">
        <v>32</v>
      </c>
      <c r="I63">
        <v>1</v>
      </c>
      <c r="J63">
        <v>0</v>
      </c>
      <c r="K63">
        <v>1</v>
      </c>
      <c r="O63">
        <f t="shared" si="48"/>
        <v>1219.0899999999999</v>
      </c>
      <c r="P63">
        <f>ROUND((ROUND((AC63*I63),2)*BC63),2)</f>
        <v>1219.0899999999999</v>
      </c>
      <c r="Q63">
        <f>(ROUND((ROUND(((ET63)*AV63*I63),2)*BB63),2)+ROUND((ROUND(((AE63-(EU63))*AV63*I63),2)*BS63),2))</f>
        <v>0</v>
      </c>
      <c r="R63">
        <f>(ROUND((ROUND(((EU63)*AV63*I63),2)*BS63),2)+ROUND((ROUND(((AE63-(EU63))*AV63*I63),2)*BS63),2))</f>
        <v>0</v>
      </c>
      <c r="S63">
        <f t="shared" si="49"/>
        <v>0</v>
      </c>
      <c r="T63">
        <f t="shared" si="50"/>
        <v>0</v>
      </c>
      <c r="U63">
        <f t="shared" si="51"/>
        <v>0</v>
      </c>
      <c r="V63">
        <f t="shared" si="52"/>
        <v>0</v>
      </c>
      <c r="W63">
        <f t="shared" si="53"/>
        <v>0</v>
      </c>
      <c r="X63">
        <f>(ROUND((((S63+ROUND((ROUND(((EU63)*AV63*I63),2)*BS63),2))*AT63)/100),2)+ROUND(((ROUND((ROUND(((AE63-(EU63))*AV63*I63),2)*BS63),2)*AT63)/100),2))</f>
        <v>0</v>
      </c>
      <c r="Y63">
        <f>(ROUND((((S63+ROUND((ROUND(((EU63)*AV63*I63),2)*BS63),2))*AU63)/100),2)+ROUND(((ROUND((ROUND(((AE63-(EU63))*AV63*I63),2)*BS63),2)*AU63)/100),2))</f>
        <v>0</v>
      </c>
      <c r="AA63">
        <v>60258618</v>
      </c>
      <c r="AB63">
        <f t="shared" si="54"/>
        <v>159.15</v>
      </c>
      <c r="AC63">
        <f>ROUND((ES63),6)</f>
        <v>159.15</v>
      </c>
      <c r="AD63">
        <f>ROUND((((ET63)-(EU63))+AE63),6)</f>
        <v>0</v>
      </c>
      <c r="AE63">
        <f>ROUND((EU63),6)</f>
        <v>0</v>
      </c>
      <c r="AF63">
        <f>ROUND((EV63),6)</f>
        <v>0</v>
      </c>
      <c r="AG63">
        <f t="shared" si="55"/>
        <v>0</v>
      </c>
      <c r="AH63">
        <f>(EW63)</f>
        <v>0</v>
      </c>
      <c r="AI63">
        <f>(EX63)</f>
        <v>0</v>
      </c>
      <c r="AJ63">
        <f t="shared" si="56"/>
        <v>0</v>
      </c>
      <c r="AK63">
        <v>159.15</v>
      </c>
      <c r="AL63">
        <v>159.15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Z63">
        <v>1</v>
      </c>
      <c r="BA63">
        <v>1</v>
      </c>
      <c r="BB63">
        <v>1</v>
      </c>
      <c r="BC63">
        <v>7.66</v>
      </c>
      <c r="BD63" t="s">
        <v>3</v>
      </c>
      <c r="BE63" t="s">
        <v>3</v>
      </c>
      <c r="BF63" t="s">
        <v>3</v>
      </c>
      <c r="BG63" t="s">
        <v>3</v>
      </c>
      <c r="BH63">
        <v>3</v>
      </c>
      <c r="BI63">
        <v>3</v>
      </c>
      <c r="BJ63" t="s">
        <v>3</v>
      </c>
      <c r="BM63">
        <v>746</v>
      </c>
      <c r="BN63">
        <v>0</v>
      </c>
      <c r="BO63" t="s">
        <v>3</v>
      </c>
      <c r="BP63">
        <v>0</v>
      </c>
      <c r="BQ63">
        <v>130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 t="s">
        <v>3</v>
      </c>
      <c r="BZ63">
        <v>0</v>
      </c>
      <c r="CA63">
        <v>0</v>
      </c>
      <c r="CB63" t="s">
        <v>3</v>
      </c>
      <c r="CE63">
        <v>1566</v>
      </c>
      <c r="CF63">
        <v>0</v>
      </c>
      <c r="CG63">
        <v>0</v>
      </c>
      <c r="CM63">
        <v>0</v>
      </c>
      <c r="CN63" t="s">
        <v>3</v>
      </c>
      <c r="CO63">
        <v>0</v>
      </c>
      <c r="CP63">
        <f t="shared" si="57"/>
        <v>1219.0899999999999</v>
      </c>
      <c r="CQ63">
        <f>ROUND((ROUND((AC63*1),2)*BC63),2)</f>
        <v>1219.0899999999999</v>
      </c>
      <c r="CR63">
        <f>(ROUND((ROUND(((ET63)*AV63*1),2)*BB63),2)+ROUND((ROUND(((AE63-(EU63))*AV63*1),2)*BS63),2))</f>
        <v>0</v>
      </c>
      <c r="CS63">
        <f>(ROUND((ROUND(((EU63)*AV63*1),2)*BS63),2)+ROUND((ROUND(((AE63-(EU63))*AV63*1),2)*BS63),2))</f>
        <v>0</v>
      </c>
      <c r="CT63">
        <f t="shared" si="58"/>
        <v>0</v>
      </c>
      <c r="CU63">
        <f t="shared" si="59"/>
        <v>0</v>
      </c>
      <c r="CV63">
        <f t="shared" si="60"/>
        <v>0</v>
      </c>
      <c r="CW63">
        <f t="shared" si="61"/>
        <v>0</v>
      </c>
      <c r="CX63">
        <f t="shared" si="62"/>
        <v>0</v>
      </c>
      <c r="CY63">
        <f>(ROUND((((S63+ROUND((ROUND(((EU63)*AV63*1),2)*BS63),2))*AT63)/100),2)+ROUND(((ROUND((ROUND(((AE63-(EU63))*AV63*1),2)*BS63),2)*AT63)/100),2))</f>
        <v>0</v>
      </c>
      <c r="CZ63">
        <f>(ROUND((((S63+ROUND((ROUND(((EU63)*AV63*1),2)*BS63),2))*AU63)/100),2)+ROUND(((ROUND((ROUND(((AE63-(EU63))*AV63*1),2)*BS63),2)*AU63)/100),2))</f>
        <v>0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>
        <v>0</v>
      </c>
      <c r="DO63">
        <v>0</v>
      </c>
      <c r="DP63">
        <v>1</v>
      </c>
      <c r="DQ63">
        <v>1</v>
      </c>
      <c r="DU63">
        <v>1013</v>
      </c>
      <c r="DV63" t="s">
        <v>32</v>
      </c>
      <c r="DW63" t="s">
        <v>32</v>
      </c>
      <c r="DX63">
        <v>1</v>
      </c>
      <c r="DZ63" t="s">
        <v>3</v>
      </c>
      <c r="EA63" t="s">
        <v>3</v>
      </c>
      <c r="EB63" t="s">
        <v>3</v>
      </c>
      <c r="EC63" t="s">
        <v>3</v>
      </c>
      <c r="EE63">
        <v>60088638</v>
      </c>
      <c r="EF63">
        <v>130</v>
      </c>
      <c r="EG63" t="s">
        <v>33</v>
      </c>
      <c r="EH63">
        <v>0</v>
      </c>
      <c r="EI63" t="s">
        <v>3</v>
      </c>
      <c r="EJ63">
        <v>3</v>
      </c>
      <c r="EK63">
        <v>746</v>
      </c>
      <c r="EL63" t="s">
        <v>34</v>
      </c>
      <c r="EM63" t="s">
        <v>35</v>
      </c>
      <c r="EO63" t="s">
        <v>3</v>
      </c>
      <c r="EQ63">
        <v>0</v>
      </c>
      <c r="ER63">
        <v>0</v>
      </c>
      <c r="ES63">
        <v>159.15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5</v>
      </c>
      <c r="FC63">
        <v>1</v>
      </c>
      <c r="FD63">
        <v>18</v>
      </c>
      <c r="FF63">
        <v>1403.46</v>
      </c>
      <c r="FQ63">
        <v>0</v>
      </c>
      <c r="FR63">
        <f>P63</f>
        <v>1219.0899999999999</v>
      </c>
      <c r="FS63">
        <v>0</v>
      </c>
      <c r="FX63">
        <v>0</v>
      </c>
      <c r="FY63">
        <v>0</v>
      </c>
      <c r="GA63" t="s">
        <v>97</v>
      </c>
      <c r="GD63">
        <v>1</v>
      </c>
      <c r="GF63">
        <v>-568813654</v>
      </c>
      <c r="GG63">
        <v>2</v>
      </c>
      <c r="GH63">
        <v>3</v>
      </c>
      <c r="GI63">
        <v>5</v>
      </c>
      <c r="GJ63">
        <v>0</v>
      </c>
      <c r="GK63">
        <v>0</v>
      </c>
      <c r="GL63">
        <f t="shared" si="63"/>
        <v>0</v>
      </c>
      <c r="GM63">
        <f t="shared" si="64"/>
        <v>1219.0899999999999</v>
      </c>
      <c r="GN63">
        <f t="shared" si="65"/>
        <v>0</v>
      </c>
      <c r="GO63">
        <f t="shared" si="66"/>
        <v>0</v>
      </c>
      <c r="GP63">
        <f t="shared" si="67"/>
        <v>0</v>
      </c>
      <c r="GR63">
        <v>1</v>
      </c>
      <c r="GS63">
        <v>1</v>
      </c>
      <c r="GT63">
        <v>0</v>
      </c>
      <c r="GU63" t="s">
        <v>3</v>
      </c>
      <c r="GV63">
        <f t="shared" si="68"/>
        <v>0</v>
      </c>
      <c r="GW63">
        <v>1</v>
      </c>
      <c r="GX63">
        <f t="shared" si="69"/>
        <v>0</v>
      </c>
      <c r="HA63">
        <v>0</v>
      </c>
      <c r="HB63">
        <v>0</v>
      </c>
      <c r="HC63">
        <f t="shared" si="70"/>
        <v>0</v>
      </c>
      <c r="HE63" t="s">
        <v>37</v>
      </c>
      <c r="HF63" t="s">
        <v>38</v>
      </c>
      <c r="HM63" t="s">
        <v>3</v>
      </c>
      <c r="HN63" t="s">
        <v>3</v>
      </c>
      <c r="HO63" t="s">
        <v>3</v>
      </c>
      <c r="HP63" t="s">
        <v>3</v>
      </c>
      <c r="HQ63" t="s">
        <v>3</v>
      </c>
      <c r="HS63">
        <v>0</v>
      </c>
      <c r="IK63">
        <v>0</v>
      </c>
    </row>
    <row r="64" spans="1:255" x14ac:dyDescent="0.2">
      <c r="A64" s="2">
        <v>17</v>
      </c>
      <c r="B64" s="2">
        <v>1</v>
      </c>
      <c r="C64" s="2">
        <f>ROW(SmtRes!A37)</f>
        <v>37</v>
      </c>
      <c r="D64" s="2">
        <f>ROW(EtalonRes!A45)</f>
        <v>45</v>
      </c>
      <c r="E64" s="2" t="s">
        <v>98</v>
      </c>
      <c r="F64" s="2" t="s">
        <v>61</v>
      </c>
      <c r="G64" s="2" t="s">
        <v>62</v>
      </c>
      <c r="H64" s="2" t="s">
        <v>21</v>
      </c>
      <c r="I64" s="2">
        <v>2</v>
      </c>
      <c r="J64" s="2">
        <v>0</v>
      </c>
      <c r="K64" s="2">
        <v>2</v>
      </c>
      <c r="L64" s="2"/>
      <c r="M64" s="2"/>
      <c r="N64" s="2"/>
      <c r="O64" s="2">
        <f t="shared" si="48"/>
        <v>41.06</v>
      </c>
      <c r="P64" s="2">
        <f>ROUND((ROUND((AC64*AW64*I64),2)*BC64),2)</f>
        <v>3.92</v>
      </c>
      <c r="Q64" s="2">
        <f>(ROUND((ROUND((((ET64*1.1))*AV64*I64),2)*BB64),2)+ROUND((ROUND(((AE64-((EU64*1.1)))*AV64*I64),2)*BS64),2))</f>
        <v>0.12</v>
      </c>
      <c r="R64" s="2">
        <f>(ROUND((ROUND((((EU64*1.1))*AV64*I64),2)*BS64),2)+ROUND((ROUND(((AE64-((EU64*1.1)))*AV64*I64),2)*BS64),2))</f>
        <v>0.02</v>
      </c>
      <c r="S64" s="2">
        <f t="shared" si="49"/>
        <v>37.020000000000003</v>
      </c>
      <c r="T64" s="2">
        <f t="shared" si="50"/>
        <v>0</v>
      </c>
      <c r="U64" s="2">
        <f t="shared" si="51"/>
        <v>2.7640799999999999</v>
      </c>
      <c r="V64" s="2">
        <f t="shared" si="52"/>
        <v>0</v>
      </c>
      <c r="W64" s="2">
        <f t="shared" si="53"/>
        <v>0</v>
      </c>
      <c r="X64" s="2">
        <f>(ROUND((((S64+ROUND((ROUND((((EU64*1.1))*AV64*I64),2)*BS64),2))*AT64)/100),2)+ROUND(((ROUND((ROUND(((AE64-((EU64*1.1)))*AV64*I64),2)*BS64),2)*AT64)/100),2))</f>
        <v>33.340000000000003</v>
      </c>
      <c r="Y64" s="2">
        <f>(ROUND((((S64+ROUND((ROUND((((EU64*1.1))*AV64*I64),2)*BS64),2))*AU64)/100),2)+ROUND(((ROUND((ROUND(((AE64-((EU64*1.1)))*AV64*I64),2)*BS64),2)*AU64)/100),2))</f>
        <v>17.04</v>
      </c>
      <c r="Z64" s="2"/>
      <c r="AA64" s="2">
        <v>60258621</v>
      </c>
      <c r="AB64" s="2">
        <f t="shared" si="54"/>
        <v>19.692</v>
      </c>
      <c r="AC64" s="2">
        <f>ROUND(((ES64*1)),6)</f>
        <v>1.96</v>
      </c>
      <c r="AD64" s="2">
        <f>ROUND(((((ET64*1.1))-((EU64*1.1)))+AE64),6)</f>
        <v>5.5E-2</v>
      </c>
      <c r="AE64" s="2">
        <f>ROUND(((EU64*1.1)),6)</f>
        <v>1.0999999999999999E-2</v>
      </c>
      <c r="AF64" s="2">
        <f>ROUND(((EV64*1.1)),6)</f>
        <v>17.677</v>
      </c>
      <c r="AG64" s="2">
        <f t="shared" si="55"/>
        <v>0</v>
      </c>
      <c r="AH64" s="2">
        <f>((EW64*1.1))</f>
        <v>1.32</v>
      </c>
      <c r="AI64" s="2">
        <f>((EX64*1.1))</f>
        <v>0</v>
      </c>
      <c r="AJ64" s="2">
        <f t="shared" si="56"/>
        <v>0</v>
      </c>
      <c r="AK64" s="2">
        <v>18.079999999999998</v>
      </c>
      <c r="AL64" s="2">
        <v>1.96</v>
      </c>
      <c r="AM64" s="2">
        <v>0.05</v>
      </c>
      <c r="AN64" s="2">
        <v>0.01</v>
      </c>
      <c r="AO64" s="2">
        <v>16.07</v>
      </c>
      <c r="AP64" s="2">
        <v>0</v>
      </c>
      <c r="AQ64" s="2">
        <v>1.2</v>
      </c>
      <c r="AR64" s="2">
        <v>0</v>
      </c>
      <c r="AS64" s="2">
        <v>0</v>
      </c>
      <c r="AT64" s="2">
        <v>90</v>
      </c>
      <c r="AU64" s="2">
        <v>46</v>
      </c>
      <c r="AV64" s="2">
        <v>1.0469999999999999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0</v>
      </c>
      <c r="BI64" s="2">
        <v>2</v>
      </c>
      <c r="BJ64" s="2" t="s">
        <v>63</v>
      </c>
      <c r="BK64" s="2"/>
      <c r="BL64" s="2"/>
      <c r="BM64" s="2">
        <v>68</v>
      </c>
      <c r="BN64" s="2">
        <v>58973116</v>
      </c>
      <c r="BO64" s="2" t="s">
        <v>61</v>
      </c>
      <c r="BP64" s="2">
        <v>1</v>
      </c>
      <c r="BQ64" s="2">
        <v>40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90</v>
      </c>
      <c r="CA64" s="2">
        <v>46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407</v>
      </c>
      <c r="CO64" s="2">
        <v>0</v>
      </c>
      <c r="CP64" s="2">
        <f t="shared" si="57"/>
        <v>41.06</v>
      </c>
      <c r="CQ64" s="2">
        <f>ROUND((ROUND((AC64*AW64*1),2)*BC64),2)</f>
        <v>1.96</v>
      </c>
      <c r="CR64" s="2">
        <f>(ROUND((ROUND((((ET64*1.1))*AV64*1),2)*BB64),2)+ROUND((ROUND(((AE64-((EU64*1.1)))*AV64*1),2)*BS64),2))</f>
        <v>0.06</v>
      </c>
      <c r="CS64" s="2">
        <f>(ROUND((ROUND((((EU64*1.1))*AV64*1),2)*BS64),2)+ROUND((ROUND(((AE64-((EU64*1.1)))*AV64*1),2)*BS64),2))</f>
        <v>0.01</v>
      </c>
      <c r="CT64" s="2">
        <f t="shared" si="58"/>
        <v>18.510000000000002</v>
      </c>
      <c r="CU64" s="2">
        <f t="shared" si="59"/>
        <v>0</v>
      </c>
      <c r="CV64" s="2">
        <f t="shared" si="60"/>
        <v>1.3820399999999999</v>
      </c>
      <c r="CW64" s="2">
        <f t="shared" si="61"/>
        <v>0</v>
      </c>
      <c r="CX64" s="2">
        <f t="shared" si="62"/>
        <v>0</v>
      </c>
      <c r="CY64" s="2">
        <f>(ROUND((((S64+ROUND((ROUND((((EU64*1.1))*AV64*1),2)*BS64),2))*AT64)/100),2)+ROUND(((ROUND((ROUND(((AE64-((EU64*1.1)))*AV64*1),2)*BS64),2)*AT64)/100),2))</f>
        <v>33.33</v>
      </c>
      <c r="CZ64" s="2">
        <f>(ROUND((((S64+ROUND((ROUND((((EU64*1.1))*AV64*1),2)*BS64),2))*AU64)/100),2)+ROUND(((ROUND((ROUND(((AE64-((EU64*1.1)))*AV64*1),2)*BS64),2)*AU64)/100),2))</f>
        <v>17.03</v>
      </c>
      <c r="DA64" s="2"/>
      <c r="DB64" s="2">
        <v>17</v>
      </c>
      <c r="DC64" s="2" t="s">
        <v>3</v>
      </c>
      <c r="DD64" s="2" t="s">
        <v>23</v>
      </c>
      <c r="DE64" s="2" t="s">
        <v>24</v>
      </c>
      <c r="DF64" s="2" t="s">
        <v>24</v>
      </c>
      <c r="DG64" s="2" t="s">
        <v>24</v>
      </c>
      <c r="DH64" s="2" t="s">
        <v>3</v>
      </c>
      <c r="DI64" s="2" t="s">
        <v>24</v>
      </c>
      <c r="DJ64" s="2" t="s">
        <v>24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1013</v>
      </c>
      <c r="DV64" s="2" t="s">
        <v>21</v>
      </c>
      <c r="DW64" s="2" t="s">
        <v>21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60088532</v>
      </c>
      <c r="EF64" s="2">
        <v>40</v>
      </c>
      <c r="EG64" s="2" t="s">
        <v>25</v>
      </c>
      <c r="EH64" s="2">
        <v>0</v>
      </c>
      <c r="EI64" s="2" t="s">
        <v>3</v>
      </c>
      <c r="EJ64" s="2">
        <v>2</v>
      </c>
      <c r="EK64" s="2">
        <v>68</v>
      </c>
      <c r="EL64" s="2" t="s">
        <v>46</v>
      </c>
      <c r="EM64" s="2" t="s">
        <v>47</v>
      </c>
      <c r="EN64" s="2"/>
      <c r="EO64" s="2" t="s">
        <v>28</v>
      </c>
      <c r="EP64" s="2"/>
      <c r="EQ64" s="2">
        <v>0</v>
      </c>
      <c r="ER64" s="2">
        <v>18.079999999999998</v>
      </c>
      <c r="ES64" s="2">
        <v>1.96</v>
      </c>
      <c r="ET64" s="2">
        <v>0.05</v>
      </c>
      <c r="EU64" s="2">
        <v>0.01</v>
      </c>
      <c r="EV64" s="2">
        <v>16.07</v>
      </c>
      <c r="EW64" s="2">
        <v>1.2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90</v>
      </c>
      <c r="FY64" s="2">
        <v>46</v>
      </c>
      <c r="FZ64" s="2"/>
      <c r="GA64" s="2" t="s">
        <v>3</v>
      </c>
      <c r="GB64" s="2"/>
      <c r="GC64" s="2"/>
      <c r="GD64" s="2">
        <v>1</v>
      </c>
      <c r="GE64" s="2"/>
      <c r="GF64" s="2">
        <v>1665592289</v>
      </c>
      <c r="GG64" s="2">
        <v>2</v>
      </c>
      <c r="GH64" s="2">
        <v>1</v>
      </c>
      <c r="GI64" s="2">
        <v>2</v>
      </c>
      <c r="GJ64" s="2">
        <v>0</v>
      </c>
      <c r="GK64" s="2">
        <v>0</v>
      </c>
      <c r="GL64" s="2">
        <f t="shared" si="63"/>
        <v>0</v>
      </c>
      <c r="GM64" s="2">
        <f t="shared" si="64"/>
        <v>91.44</v>
      </c>
      <c r="GN64" s="2">
        <f t="shared" si="65"/>
        <v>0</v>
      </c>
      <c r="GO64" s="2">
        <f t="shared" si="66"/>
        <v>91.44</v>
      </c>
      <c r="GP64" s="2">
        <f t="shared" si="67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68"/>
        <v>0</v>
      </c>
      <c r="GW64" s="2">
        <v>1</v>
      </c>
      <c r="GX64" s="2">
        <f t="shared" si="69"/>
        <v>0</v>
      </c>
      <c r="GY64" s="2"/>
      <c r="GZ64" s="2"/>
      <c r="HA64" s="2">
        <v>0</v>
      </c>
      <c r="HB64" s="2">
        <v>0</v>
      </c>
      <c r="HC64" s="2">
        <f t="shared" si="70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>
        <v>17</v>
      </c>
      <c r="B65">
        <v>1</v>
      </c>
      <c r="C65">
        <f>ROW(SmtRes!A38)</f>
        <v>38</v>
      </c>
      <c r="D65">
        <f>ROW(EtalonRes!A46)</f>
        <v>46</v>
      </c>
      <c r="E65" t="s">
        <v>98</v>
      </c>
      <c r="F65" t="s">
        <v>61</v>
      </c>
      <c r="G65" t="s">
        <v>62</v>
      </c>
      <c r="H65" t="s">
        <v>21</v>
      </c>
      <c r="I65">
        <v>2</v>
      </c>
      <c r="J65">
        <v>0</v>
      </c>
      <c r="K65">
        <v>2</v>
      </c>
      <c r="O65">
        <f t="shared" si="48"/>
        <v>2076.7800000000002</v>
      </c>
      <c r="P65">
        <f>ROUND((ROUND((AC65*AW65*I65),2)*BC65),2)</f>
        <v>38.770000000000003</v>
      </c>
      <c r="Q65">
        <f>(ROUND((ROUND((((ET65*1.1))*AV65*I65),2)*BB65),2)+ROUND((ROUND(((AE65-((EU65*1.1)))*AV65*I65),2)*BS65),2))</f>
        <v>2.2799999999999998</v>
      </c>
      <c r="R65">
        <f>(ROUND((ROUND((((EU65*1.1))*AV65*I65),2)*BS65),2)+ROUND((ROUND(((AE65-((EU65*1.1)))*AV65*I65),2)*BS65),2))</f>
        <v>1.1000000000000001</v>
      </c>
      <c r="S65">
        <f t="shared" si="49"/>
        <v>2035.73</v>
      </c>
      <c r="T65">
        <f t="shared" si="50"/>
        <v>0</v>
      </c>
      <c r="U65">
        <f t="shared" si="51"/>
        <v>2.7640799999999999</v>
      </c>
      <c r="V65">
        <f t="shared" si="52"/>
        <v>0</v>
      </c>
      <c r="W65">
        <f t="shared" si="53"/>
        <v>0</v>
      </c>
      <c r="X65">
        <f>(ROUND((((S65+ROUND((ROUND((((EU65*1.1))*AV65*I65),2)*BS65),2))*AT65)/100),2)+ROUND(((ROUND((ROUND(((AE65-((EU65*1.1)))*AV65*I65),2)*BS65),2)*AT65)/100),2))</f>
        <v>1833.15</v>
      </c>
      <c r="Y65">
        <f>(ROUND((((S65+ROUND((ROUND((((EU65*1.1))*AV65*I65),2)*BS65),2))*AU65)/100),2)+ROUND(((ROUND((ROUND(((AE65-((EU65*1.1)))*AV65*I65),2)*BS65),2)*AU65)/100),2))</f>
        <v>936.94</v>
      </c>
      <c r="AA65">
        <v>60258618</v>
      </c>
      <c r="AB65">
        <f t="shared" si="54"/>
        <v>19.692</v>
      </c>
      <c r="AC65">
        <f>ROUND(((ES65*1)),6)</f>
        <v>1.96</v>
      </c>
      <c r="AD65">
        <f>ROUND(((((ET65*1.1))-((EU65*1.1)))+AE65),6)</f>
        <v>5.5E-2</v>
      </c>
      <c r="AE65">
        <f>ROUND(((EU65*1.1)),6)</f>
        <v>1.0999999999999999E-2</v>
      </c>
      <c r="AF65">
        <f>ROUND(((EV65*1.1)),6)</f>
        <v>17.677</v>
      </c>
      <c r="AG65">
        <f t="shared" si="55"/>
        <v>0</v>
      </c>
      <c r="AH65">
        <f>((EW65*1.1))</f>
        <v>1.32</v>
      </c>
      <c r="AI65">
        <f>((EX65*1.1))</f>
        <v>0</v>
      </c>
      <c r="AJ65">
        <f t="shared" si="56"/>
        <v>0</v>
      </c>
      <c r="AK65">
        <v>18.079999999999998</v>
      </c>
      <c r="AL65">
        <v>1.96</v>
      </c>
      <c r="AM65">
        <v>0.05</v>
      </c>
      <c r="AN65">
        <v>0.01</v>
      </c>
      <c r="AO65">
        <v>16.07</v>
      </c>
      <c r="AP65">
        <v>0</v>
      </c>
      <c r="AQ65">
        <v>1.2</v>
      </c>
      <c r="AR65">
        <v>0</v>
      </c>
      <c r="AS65">
        <v>0</v>
      </c>
      <c r="AT65">
        <v>90</v>
      </c>
      <c r="AU65">
        <v>46</v>
      </c>
      <c r="AV65">
        <v>1.0469999999999999</v>
      </c>
      <c r="AW65">
        <v>1</v>
      </c>
      <c r="AZ65">
        <v>1</v>
      </c>
      <c r="BA65">
        <v>54.99</v>
      </c>
      <c r="BB65">
        <v>19</v>
      </c>
      <c r="BC65">
        <v>9.89</v>
      </c>
      <c r="BD65" t="s">
        <v>3</v>
      </c>
      <c r="BE65" t="s">
        <v>3</v>
      </c>
      <c r="BF65" t="s">
        <v>3</v>
      </c>
      <c r="BG65" t="s">
        <v>3</v>
      </c>
      <c r="BH65">
        <v>0</v>
      </c>
      <c r="BI65">
        <v>2</v>
      </c>
      <c r="BJ65" t="s">
        <v>63</v>
      </c>
      <c r="BM65">
        <v>68</v>
      </c>
      <c r="BN65">
        <v>58973116</v>
      </c>
      <c r="BO65" t="s">
        <v>61</v>
      </c>
      <c r="BP65">
        <v>1</v>
      </c>
      <c r="BQ65">
        <v>40</v>
      </c>
      <c r="BR65">
        <v>0</v>
      </c>
      <c r="BS65">
        <v>54.99</v>
      </c>
      <c r="BT65">
        <v>1</v>
      </c>
      <c r="BU65">
        <v>1</v>
      </c>
      <c r="BV65">
        <v>1</v>
      </c>
      <c r="BW65">
        <v>1</v>
      </c>
      <c r="BX65">
        <v>1</v>
      </c>
      <c r="BY65" t="s">
        <v>3</v>
      </c>
      <c r="BZ65">
        <v>90</v>
      </c>
      <c r="CA65">
        <v>46</v>
      </c>
      <c r="CB65" t="s">
        <v>3</v>
      </c>
      <c r="CE65">
        <v>1566</v>
      </c>
      <c r="CF65">
        <v>0</v>
      </c>
      <c r="CG65">
        <v>0</v>
      </c>
      <c r="CM65">
        <v>0</v>
      </c>
      <c r="CN65" t="s">
        <v>407</v>
      </c>
      <c r="CO65">
        <v>0</v>
      </c>
      <c r="CP65">
        <f t="shared" si="57"/>
        <v>2076.7800000000002</v>
      </c>
      <c r="CQ65">
        <f>ROUND((ROUND((AC65*AW65*1),2)*BC65),2)</f>
        <v>19.38</v>
      </c>
      <c r="CR65">
        <f>(ROUND((ROUND((((ET65*1.1))*AV65*1),2)*BB65),2)+ROUND((ROUND(((AE65-((EU65*1.1)))*AV65*1),2)*BS65),2))</f>
        <v>1.1399999999999999</v>
      </c>
      <c r="CS65">
        <f>(ROUND((ROUND((((EU65*1.1))*AV65*1),2)*BS65),2)+ROUND((ROUND(((AE65-((EU65*1.1)))*AV65*1),2)*BS65),2))</f>
        <v>0.55000000000000004</v>
      </c>
      <c r="CT65">
        <f t="shared" si="58"/>
        <v>1017.86</v>
      </c>
      <c r="CU65">
        <f t="shared" si="59"/>
        <v>0</v>
      </c>
      <c r="CV65">
        <f t="shared" si="60"/>
        <v>1.3820399999999999</v>
      </c>
      <c r="CW65">
        <f t="shared" si="61"/>
        <v>0</v>
      </c>
      <c r="CX65">
        <f t="shared" si="62"/>
        <v>0</v>
      </c>
      <c r="CY65">
        <f>(ROUND((((S65+ROUND((ROUND((((EU65*1.1))*AV65*1),2)*BS65),2))*AT65)/100),2)+ROUND(((ROUND((ROUND(((AE65-((EU65*1.1)))*AV65*1),2)*BS65),2)*AT65)/100),2))</f>
        <v>1832.65</v>
      </c>
      <c r="CZ65">
        <f>(ROUND((((S65+ROUND((ROUND((((EU65*1.1))*AV65*1),2)*BS65),2))*AU65)/100),2)+ROUND(((ROUND((ROUND(((AE65-((EU65*1.1)))*AV65*1),2)*BS65),2)*AU65)/100),2))</f>
        <v>936.69</v>
      </c>
      <c r="DB65">
        <v>18</v>
      </c>
      <c r="DC65" t="s">
        <v>3</v>
      </c>
      <c r="DD65" t="s">
        <v>23</v>
      </c>
      <c r="DE65" t="s">
        <v>24</v>
      </c>
      <c r="DF65" t="s">
        <v>24</v>
      </c>
      <c r="DG65" t="s">
        <v>24</v>
      </c>
      <c r="DH65" t="s">
        <v>3</v>
      </c>
      <c r="DI65" t="s">
        <v>24</v>
      </c>
      <c r="DJ65" t="s">
        <v>24</v>
      </c>
      <c r="DK65" t="s">
        <v>3</v>
      </c>
      <c r="DL65" t="s">
        <v>3</v>
      </c>
      <c r="DM65" t="s">
        <v>3</v>
      </c>
      <c r="DN65">
        <v>0</v>
      </c>
      <c r="DO65">
        <v>0</v>
      </c>
      <c r="DP65">
        <v>1</v>
      </c>
      <c r="DQ65">
        <v>1</v>
      </c>
      <c r="DU65">
        <v>1013</v>
      </c>
      <c r="DV65" t="s">
        <v>21</v>
      </c>
      <c r="DW65" t="s">
        <v>21</v>
      </c>
      <c r="DX65">
        <v>1</v>
      </c>
      <c r="DZ65" t="s">
        <v>3</v>
      </c>
      <c r="EA65" t="s">
        <v>3</v>
      </c>
      <c r="EB65" t="s">
        <v>3</v>
      </c>
      <c r="EC65" t="s">
        <v>3</v>
      </c>
      <c r="EE65">
        <v>60088532</v>
      </c>
      <c r="EF65">
        <v>40</v>
      </c>
      <c r="EG65" t="s">
        <v>25</v>
      </c>
      <c r="EH65">
        <v>0</v>
      </c>
      <c r="EI65" t="s">
        <v>3</v>
      </c>
      <c r="EJ65">
        <v>2</v>
      </c>
      <c r="EK65">
        <v>68</v>
      </c>
      <c r="EL65" t="s">
        <v>46</v>
      </c>
      <c r="EM65" t="s">
        <v>47</v>
      </c>
      <c r="EO65" t="s">
        <v>28</v>
      </c>
      <c r="EQ65">
        <v>0</v>
      </c>
      <c r="ER65">
        <v>18.079999999999998</v>
      </c>
      <c r="ES65">
        <v>1.96</v>
      </c>
      <c r="ET65">
        <v>0.05</v>
      </c>
      <c r="EU65">
        <v>0.01</v>
      </c>
      <c r="EV65">
        <v>16.07</v>
      </c>
      <c r="EW65">
        <v>1.2</v>
      </c>
      <c r="EX65">
        <v>0</v>
      </c>
      <c r="EY65">
        <v>0</v>
      </c>
      <c r="FQ65">
        <v>0</v>
      </c>
      <c r="FR65">
        <v>0</v>
      </c>
      <c r="FS65">
        <v>0</v>
      </c>
      <c r="FX65">
        <v>90</v>
      </c>
      <c r="FY65">
        <v>46</v>
      </c>
      <c r="GA65" t="s">
        <v>3</v>
      </c>
      <c r="GD65">
        <v>1</v>
      </c>
      <c r="GF65">
        <v>1665592289</v>
      </c>
      <c r="GG65">
        <v>2</v>
      </c>
      <c r="GH65">
        <v>1</v>
      </c>
      <c r="GI65">
        <v>2</v>
      </c>
      <c r="GJ65">
        <v>0</v>
      </c>
      <c r="GK65">
        <v>0</v>
      </c>
      <c r="GL65">
        <f t="shared" si="63"/>
        <v>0</v>
      </c>
      <c r="GM65">
        <f t="shared" si="64"/>
        <v>4846.87</v>
      </c>
      <c r="GN65">
        <f t="shared" si="65"/>
        <v>0</v>
      </c>
      <c r="GO65">
        <f t="shared" si="66"/>
        <v>4846.87</v>
      </c>
      <c r="GP65">
        <f t="shared" si="67"/>
        <v>0</v>
      </c>
      <c r="GR65">
        <v>0</v>
      </c>
      <c r="GS65">
        <v>3</v>
      </c>
      <c r="GT65">
        <v>0</v>
      </c>
      <c r="GU65" t="s">
        <v>3</v>
      </c>
      <c r="GV65">
        <f t="shared" si="68"/>
        <v>0</v>
      </c>
      <c r="GW65">
        <v>1</v>
      </c>
      <c r="GX65">
        <f t="shared" si="69"/>
        <v>0</v>
      </c>
      <c r="HA65">
        <v>0</v>
      </c>
      <c r="HB65">
        <v>0</v>
      </c>
      <c r="HC65">
        <f t="shared" si="70"/>
        <v>0</v>
      </c>
      <c r="HE65" t="s">
        <v>3</v>
      </c>
      <c r="HF65" t="s">
        <v>3</v>
      </c>
      <c r="HM65" t="s">
        <v>3</v>
      </c>
      <c r="HN65" t="s">
        <v>3</v>
      </c>
      <c r="HO65" t="s">
        <v>3</v>
      </c>
      <c r="HP65" t="s">
        <v>3</v>
      </c>
      <c r="HQ65" t="s">
        <v>3</v>
      </c>
      <c r="HS65">
        <v>0</v>
      </c>
      <c r="IK65">
        <v>0</v>
      </c>
    </row>
    <row r="66" spans="1:255" x14ac:dyDescent="0.2">
      <c r="A66" s="2">
        <v>17</v>
      </c>
      <c r="B66" s="2">
        <v>1</v>
      </c>
      <c r="C66" s="2"/>
      <c r="D66" s="2"/>
      <c r="E66" s="2" t="s">
        <v>99</v>
      </c>
      <c r="F66" s="2" t="s">
        <v>100</v>
      </c>
      <c r="G66" s="2" t="s">
        <v>101</v>
      </c>
      <c r="H66" s="2" t="s">
        <v>32</v>
      </c>
      <c r="I66" s="2">
        <v>2</v>
      </c>
      <c r="J66" s="2">
        <v>0</v>
      </c>
      <c r="K66" s="2">
        <v>2</v>
      </c>
      <c r="L66" s="2"/>
      <c r="M66" s="2"/>
      <c r="N66" s="2"/>
      <c r="O66" s="2">
        <f t="shared" si="48"/>
        <v>154.6</v>
      </c>
      <c r="P66" s="2">
        <f>ROUND((ROUND((AC66*I66),2)*BC66),2)</f>
        <v>154.6</v>
      </c>
      <c r="Q66" s="2">
        <f>(ROUND((ROUND(((ET66)*AV66*I66),2)*BB66),2)+ROUND((ROUND(((AE66-(EU66))*AV66*I66),2)*BS66),2))</f>
        <v>0</v>
      </c>
      <c r="R66" s="2">
        <f>(ROUND((ROUND(((EU66)*AV66*I66),2)*BS66),2)+ROUND((ROUND(((AE66-(EU66))*AV66*I66),2)*BS66),2))</f>
        <v>0</v>
      </c>
      <c r="S66" s="2">
        <f t="shared" si="49"/>
        <v>0</v>
      </c>
      <c r="T66" s="2">
        <f t="shared" si="50"/>
        <v>0</v>
      </c>
      <c r="U66" s="2">
        <f t="shared" si="51"/>
        <v>0</v>
      </c>
      <c r="V66" s="2">
        <f t="shared" si="52"/>
        <v>0</v>
      </c>
      <c r="W66" s="2">
        <f t="shared" si="53"/>
        <v>0</v>
      </c>
      <c r="X66" s="2">
        <f>(ROUND((((S66+ROUND((ROUND(((EU66)*AV66*I66),2)*BS66),2))*AT66)/100),2)+ROUND(((ROUND((ROUND(((AE66-(EU66))*AV66*I66),2)*BS66),2)*AT66)/100),2))</f>
        <v>0</v>
      </c>
      <c r="Y66" s="2">
        <f>(ROUND((((S66+ROUND((ROUND(((EU66)*AV66*I66),2)*BS66),2))*AU66)/100),2)+ROUND(((ROUND((ROUND(((AE66-(EU66))*AV66*I66),2)*BS66),2)*AU66)/100),2))</f>
        <v>0</v>
      </c>
      <c r="Z66" s="2"/>
      <c r="AA66" s="2">
        <v>60258621</v>
      </c>
      <c r="AB66" s="2">
        <f t="shared" si="54"/>
        <v>77.3</v>
      </c>
      <c r="AC66" s="2">
        <f>ROUND((ES66),6)</f>
        <v>77.3</v>
      </c>
      <c r="AD66" s="2">
        <f>ROUND((((ET66)-(EU66))+AE66),6)</f>
        <v>0</v>
      </c>
      <c r="AE66" s="2">
        <f>ROUND((EU66),6)</f>
        <v>0</v>
      </c>
      <c r="AF66" s="2">
        <f>ROUND((EV66),6)</f>
        <v>0</v>
      </c>
      <c r="AG66" s="2">
        <f t="shared" si="55"/>
        <v>0</v>
      </c>
      <c r="AH66" s="2">
        <f>(EW66)</f>
        <v>0</v>
      </c>
      <c r="AI66" s="2">
        <f>(EX66)</f>
        <v>0</v>
      </c>
      <c r="AJ66" s="2">
        <f t="shared" si="56"/>
        <v>0</v>
      </c>
      <c r="AK66" s="2">
        <v>77.3</v>
      </c>
      <c r="AL66" s="2">
        <v>77.3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1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3</v>
      </c>
      <c r="BI66" s="2">
        <v>3</v>
      </c>
      <c r="BJ66" s="2" t="s">
        <v>3</v>
      </c>
      <c r="BK66" s="2"/>
      <c r="BL66" s="2"/>
      <c r="BM66" s="2">
        <v>746</v>
      </c>
      <c r="BN66" s="2">
        <v>0</v>
      </c>
      <c r="BO66" s="2" t="s">
        <v>3</v>
      </c>
      <c r="BP66" s="2">
        <v>0</v>
      </c>
      <c r="BQ66" s="2">
        <v>130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0</v>
      </c>
      <c r="CA66" s="2">
        <v>0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57"/>
        <v>154.6</v>
      </c>
      <c r="CQ66" s="2">
        <f>ROUND((ROUND((AC66*1),2)*BC66),2)</f>
        <v>77.3</v>
      </c>
      <c r="CR66" s="2">
        <f>(ROUND((ROUND(((ET66)*AV66*1),2)*BB66),2)+ROUND((ROUND(((AE66-(EU66))*AV66*1),2)*BS66),2))</f>
        <v>0</v>
      </c>
      <c r="CS66" s="2">
        <f>(ROUND((ROUND(((EU66)*AV66*1),2)*BS66),2)+ROUND((ROUND(((AE66-(EU66))*AV66*1),2)*BS66),2))</f>
        <v>0</v>
      </c>
      <c r="CT66" s="2">
        <f t="shared" si="58"/>
        <v>0</v>
      </c>
      <c r="CU66" s="2">
        <f t="shared" si="59"/>
        <v>0</v>
      </c>
      <c r="CV66" s="2">
        <f t="shared" si="60"/>
        <v>0</v>
      </c>
      <c r="CW66" s="2">
        <f t="shared" si="61"/>
        <v>0</v>
      </c>
      <c r="CX66" s="2">
        <f t="shared" si="62"/>
        <v>0</v>
      </c>
      <c r="CY66" s="2">
        <f>(ROUND((((S66+ROUND((ROUND(((EU66)*AV66*1),2)*BS66),2))*AT66)/100),2)+ROUND(((ROUND((ROUND(((AE66-(EU66))*AV66*1),2)*BS66),2)*AT66)/100),2))</f>
        <v>0</v>
      </c>
      <c r="CZ66" s="2">
        <f>(ROUND((((S66+ROUND((ROUND(((EU66)*AV66*1),2)*BS66),2))*AU66)/100),2)+ROUND(((ROUND((ROUND(((AE66-(EU66))*AV66*1),2)*BS66),2)*AU66)/100),2))</f>
        <v>0</v>
      </c>
      <c r="DA66" s="2"/>
      <c r="DB66" s="2"/>
      <c r="DC66" s="2" t="s">
        <v>3</v>
      </c>
      <c r="DD66" s="2" t="s">
        <v>3</v>
      </c>
      <c r="DE66" s="2" t="s">
        <v>3</v>
      </c>
      <c r="DF66" s="2" t="s">
        <v>3</v>
      </c>
      <c r="DG66" s="2" t="s">
        <v>3</v>
      </c>
      <c r="DH66" s="2" t="s">
        <v>3</v>
      </c>
      <c r="DI66" s="2" t="s">
        <v>3</v>
      </c>
      <c r="DJ66" s="2" t="s">
        <v>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32</v>
      </c>
      <c r="DW66" s="2" t="s">
        <v>32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60088638</v>
      </c>
      <c r="EF66" s="2">
        <v>130</v>
      </c>
      <c r="EG66" s="2" t="s">
        <v>33</v>
      </c>
      <c r="EH66" s="2">
        <v>0</v>
      </c>
      <c r="EI66" s="2" t="s">
        <v>3</v>
      </c>
      <c r="EJ66" s="2">
        <v>3</v>
      </c>
      <c r="EK66" s="2">
        <v>746</v>
      </c>
      <c r="EL66" s="2" t="s">
        <v>34</v>
      </c>
      <c r="EM66" s="2" t="s">
        <v>35</v>
      </c>
      <c r="EN66" s="2"/>
      <c r="EO66" s="2" t="s">
        <v>3</v>
      </c>
      <c r="EP66" s="2"/>
      <c r="EQ66" s="2">
        <v>0</v>
      </c>
      <c r="ER66" s="2">
        <v>0</v>
      </c>
      <c r="ES66" s="2">
        <v>77.3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f>P66</f>
        <v>154.6</v>
      </c>
      <c r="FS66" s="2">
        <v>0</v>
      </c>
      <c r="FT66" s="2"/>
      <c r="FU66" s="2"/>
      <c r="FV66" s="2"/>
      <c r="FW66" s="2"/>
      <c r="FX66" s="2">
        <v>0</v>
      </c>
      <c r="FY66" s="2">
        <v>0</v>
      </c>
      <c r="FZ66" s="2"/>
      <c r="GA66" s="2" t="s">
        <v>102</v>
      </c>
      <c r="GB66" s="2"/>
      <c r="GC66" s="2"/>
      <c r="GD66" s="2">
        <v>1</v>
      </c>
      <c r="GE66" s="2"/>
      <c r="GF66" s="2">
        <v>424247577</v>
      </c>
      <c r="GG66" s="2">
        <v>2</v>
      </c>
      <c r="GH66" s="2">
        <v>4</v>
      </c>
      <c r="GI66" s="2">
        <v>-2</v>
      </c>
      <c r="GJ66" s="2">
        <v>0</v>
      </c>
      <c r="GK66" s="2">
        <v>0</v>
      </c>
      <c r="GL66" s="2">
        <f t="shared" si="63"/>
        <v>0</v>
      </c>
      <c r="GM66" s="2">
        <f t="shared" si="64"/>
        <v>154.6</v>
      </c>
      <c r="GN66" s="2">
        <f t="shared" si="65"/>
        <v>0</v>
      </c>
      <c r="GO66" s="2">
        <f t="shared" si="66"/>
        <v>0</v>
      </c>
      <c r="GP66" s="2">
        <f t="shared" si="67"/>
        <v>0</v>
      </c>
      <c r="GQ66" s="2"/>
      <c r="GR66" s="2">
        <v>0</v>
      </c>
      <c r="GS66" s="2">
        <v>2</v>
      </c>
      <c r="GT66" s="2">
        <v>0</v>
      </c>
      <c r="GU66" s="2" t="s">
        <v>3</v>
      </c>
      <c r="GV66" s="2">
        <f t="shared" si="68"/>
        <v>0</v>
      </c>
      <c r="GW66" s="2">
        <v>1</v>
      </c>
      <c r="GX66" s="2">
        <f t="shared" si="69"/>
        <v>0</v>
      </c>
      <c r="GY66" s="2"/>
      <c r="GZ66" s="2"/>
      <c r="HA66" s="2">
        <v>0</v>
      </c>
      <c r="HB66" s="2">
        <v>0</v>
      </c>
      <c r="HC66" s="2">
        <f t="shared" si="70"/>
        <v>0</v>
      </c>
      <c r="HD66" s="2"/>
      <c r="HE66" s="2" t="s">
        <v>37</v>
      </c>
      <c r="HF66" s="2" t="s">
        <v>38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>
        <v>17</v>
      </c>
      <c r="B67">
        <v>1</v>
      </c>
      <c r="E67" t="s">
        <v>99</v>
      </c>
      <c r="F67" t="s">
        <v>100</v>
      </c>
      <c r="G67" t="s">
        <v>101</v>
      </c>
      <c r="H67" t="s">
        <v>32</v>
      </c>
      <c r="I67">
        <v>2</v>
      </c>
      <c r="J67">
        <v>0</v>
      </c>
      <c r="K67">
        <v>2</v>
      </c>
      <c r="O67">
        <f t="shared" si="48"/>
        <v>1184.24</v>
      </c>
      <c r="P67">
        <f>ROUND((ROUND((AC67*I67),2)*BC67),2)</f>
        <v>1184.24</v>
      </c>
      <c r="Q67">
        <f>(ROUND((ROUND(((ET67)*AV67*I67),2)*BB67),2)+ROUND((ROUND(((AE67-(EU67))*AV67*I67),2)*BS67),2))</f>
        <v>0</v>
      </c>
      <c r="R67">
        <f>(ROUND((ROUND(((EU67)*AV67*I67),2)*BS67),2)+ROUND((ROUND(((AE67-(EU67))*AV67*I67),2)*BS67),2))</f>
        <v>0</v>
      </c>
      <c r="S67">
        <f t="shared" si="49"/>
        <v>0</v>
      </c>
      <c r="T67">
        <f t="shared" si="50"/>
        <v>0</v>
      </c>
      <c r="U67">
        <f t="shared" si="51"/>
        <v>0</v>
      </c>
      <c r="V67">
        <f t="shared" si="52"/>
        <v>0</v>
      </c>
      <c r="W67">
        <f t="shared" si="53"/>
        <v>0</v>
      </c>
      <c r="X67">
        <f>(ROUND((((S67+ROUND((ROUND(((EU67)*AV67*I67),2)*BS67),2))*AT67)/100),2)+ROUND(((ROUND((ROUND(((AE67-(EU67))*AV67*I67),2)*BS67),2)*AT67)/100),2))</f>
        <v>0</v>
      </c>
      <c r="Y67">
        <f>(ROUND((((S67+ROUND((ROUND(((EU67)*AV67*I67),2)*BS67),2))*AU67)/100),2)+ROUND(((ROUND((ROUND(((AE67-(EU67))*AV67*I67),2)*BS67),2)*AU67)/100),2))</f>
        <v>0</v>
      </c>
      <c r="AA67">
        <v>60258618</v>
      </c>
      <c r="AB67">
        <f t="shared" si="54"/>
        <v>77.3</v>
      </c>
      <c r="AC67">
        <f>ROUND((ES67),6)</f>
        <v>77.3</v>
      </c>
      <c r="AD67">
        <f>ROUND((((ET67)-(EU67))+AE67),6)</f>
        <v>0</v>
      </c>
      <c r="AE67">
        <f>ROUND((EU67),6)</f>
        <v>0</v>
      </c>
      <c r="AF67">
        <f>ROUND((EV67),6)</f>
        <v>0</v>
      </c>
      <c r="AG67">
        <f t="shared" si="55"/>
        <v>0</v>
      </c>
      <c r="AH67">
        <f>(EW67)</f>
        <v>0</v>
      </c>
      <c r="AI67">
        <f>(EX67)</f>
        <v>0</v>
      </c>
      <c r="AJ67">
        <f t="shared" si="56"/>
        <v>0</v>
      </c>
      <c r="AK67">
        <v>77.3</v>
      </c>
      <c r="AL67">
        <v>77.3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Z67">
        <v>1</v>
      </c>
      <c r="BA67">
        <v>1</v>
      </c>
      <c r="BB67">
        <v>1</v>
      </c>
      <c r="BC67">
        <v>7.66</v>
      </c>
      <c r="BD67" t="s">
        <v>3</v>
      </c>
      <c r="BE67" t="s">
        <v>3</v>
      </c>
      <c r="BF67" t="s">
        <v>3</v>
      </c>
      <c r="BG67" t="s">
        <v>3</v>
      </c>
      <c r="BH67">
        <v>3</v>
      </c>
      <c r="BI67">
        <v>3</v>
      </c>
      <c r="BJ67" t="s">
        <v>3</v>
      </c>
      <c r="BM67">
        <v>746</v>
      </c>
      <c r="BN67">
        <v>0</v>
      </c>
      <c r="BO67" t="s">
        <v>3</v>
      </c>
      <c r="BP67">
        <v>0</v>
      </c>
      <c r="BQ67">
        <v>130</v>
      </c>
      <c r="BR67">
        <v>0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 t="s">
        <v>3</v>
      </c>
      <c r="BZ67">
        <v>0</v>
      </c>
      <c r="CA67">
        <v>0</v>
      </c>
      <c r="CB67" t="s">
        <v>3</v>
      </c>
      <c r="CE67">
        <v>1566</v>
      </c>
      <c r="CF67">
        <v>0</v>
      </c>
      <c r="CG67">
        <v>0</v>
      </c>
      <c r="CM67">
        <v>0</v>
      </c>
      <c r="CN67" t="s">
        <v>3</v>
      </c>
      <c r="CO67">
        <v>0</v>
      </c>
      <c r="CP67">
        <f t="shared" si="57"/>
        <v>1184.24</v>
      </c>
      <c r="CQ67">
        <f>ROUND((ROUND((AC67*1),2)*BC67),2)</f>
        <v>592.12</v>
      </c>
      <c r="CR67">
        <f>(ROUND((ROUND(((ET67)*AV67*1),2)*BB67),2)+ROUND((ROUND(((AE67-(EU67))*AV67*1),2)*BS67),2))</f>
        <v>0</v>
      </c>
      <c r="CS67">
        <f>(ROUND((ROUND(((EU67)*AV67*1),2)*BS67),2)+ROUND((ROUND(((AE67-(EU67))*AV67*1),2)*BS67),2))</f>
        <v>0</v>
      </c>
      <c r="CT67">
        <f t="shared" si="58"/>
        <v>0</v>
      </c>
      <c r="CU67">
        <f t="shared" si="59"/>
        <v>0</v>
      </c>
      <c r="CV67">
        <f t="shared" si="60"/>
        <v>0</v>
      </c>
      <c r="CW67">
        <f t="shared" si="61"/>
        <v>0</v>
      </c>
      <c r="CX67">
        <f t="shared" si="62"/>
        <v>0</v>
      </c>
      <c r="CY67">
        <f>(ROUND((((S67+ROUND((ROUND(((EU67)*AV67*1),2)*BS67),2))*AT67)/100),2)+ROUND(((ROUND((ROUND(((AE67-(EU67))*AV67*1),2)*BS67),2)*AT67)/100),2))</f>
        <v>0</v>
      </c>
      <c r="CZ67">
        <f>(ROUND((((S67+ROUND((ROUND(((EU67)*AV67*1),2)*BS67),2))*AU67)/100),2)+ROUND(((ROUND((ROUND(((AE67-(EU67))*AV67*1),2)*BS67),2)*AU67)/100),2))</f>
        <v>0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>
        <v>0</v>
      </c>
      <c r="DO67">
        <v>0</v>
      </c>
      <c r="DP67">
        <v>1</v>
      </c>
      <c r="DQ67">
        <v>1</v>
      </c>
      <c r="DU67">
        <v>1013</v>
      </c>
      <c r="DV67" t="s">
        <v>32</v>
      </c>
      <c r="DW67" t="s">
        <v>32</v>
      </c>
      <c r="DX67">
        <v>1</v>
      </c>
      <c r="DZ67" t="s">
        <v>3</v>
      </c>
      <c r="EA67" t="s">
        <v>3</v>
      </c>
      <c r="EB67" t="s">
        <v>3</v>
      </c>
      <c r="EC67" t="s">
        <v>3</v>
      </c>
      <c r="EE67">
        <v>60088638</v>
      </c>
      <c r="EF67">
        <v>130</v>
      </c>
      <c r="EG67" t="s">
        <v>33</v>
      </c>
      <c r="EH67">
        <v>0</v>
      </c>
      <c r="EI67" t="s">
        <v>3</v>
      </c>
      <c r="EJ67">
        <v>3</v>
      </c>
      <c r="EK67">
        <v>746</v>
      </c>
      <c r="EL67" t="s">
        <v>34</v>
      </c>
      <c r="EM67" t="s">
        <v>35</v>
      </c>
      <c r="EO67" t="s">
        <v>3</v>
      </c>
      <c r="EQ67">
        <v>0</v>
      </c>
      <c r="ER67">
        <v>0</v>
      </c>
      <c r="ES67">
        <v>77.3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5</v>
      </c>
      <c r="FC67">
        <v>1</v>
      </c>
      <c r="FD67">
        <v>18</v>
      </c>
      <c r="FF67">
        <v>681.72</v>
      </c>
      <c r="FQ67">
        <v>0</v>
      </c>
      <c r="FR67">
        <f>P67</f>
        <v>1184.24</v>
      </c>
      <c r="FS67">
        <v>0</v>
      </c>
      <c r="FX67">
        <v>0</v>
      </c>
      <c r="FY67">
        <v>0</v>
      </c>
      <c r="GA67" t="s">
        <v>102</v>
      </c>
      <c r="GD67">
        <v>1</v>
      </c>
      <c r="GF67">
        <v>424247577</v>
      </c>
      <c r="GG67">
        <v>2</v>
      </c>
      <c r="GH67">
        <v>3</v>
      </c>
      <c r="GI67">
        <v>5</v>
      </c>
      <c r="GJ67">
        <v>0</v>
      </c>
      <c r="GK67">
        <v>0</v>
      </c>
      <c r="GL67">
        <f t="shared" si="63"/>
        <v>0</v>
      </c>
      <c r="GM67">
        <f t="shared" si="64"/>
        <v>1184.24</v>
      </c>
      <c r="GN67">
        <f t="shared" si="65"/>
        <v>0</v>
      </c>
      <c r="GO67">
        <f t="shared" si="66"/>
        <v>0</v>
      </c>
      <c r="GP67">
        <f t="shared" si="67"/>
        <v>0</v>
      </c>
      <c r="GR67">
        <v>1</v>
      </c>
      <c r="GS67">
        <v>1</v>
      </c>
      <c r="GT67">
        <v>0</v>
      </c>
      <c r="GU67" t="s">
        <v>3</v>
      </c>
      <c r="GV67">
        <f t="shared" si="68"/>
        <v>0</v>
      </c>
      <c r="GW67">
        <v>1</v>
      </c>
      <c r="GX67">
        <f t="shared" si="69"/>
        <v>0</v>
      </c>
      <c r="HA67">
        <v>0</v>
      </c>
      <c r="HB67">
        <v>0</v>
      </c>
      <c r="HC67">
        <f t="shared" si="70"/>
        <v>0</v>
      </c>
      <c r="HE67" t="s">
        <v>37</v>
      </c>
      <c r="HF67" t="s">
        <v>38</v>
      </c>
      <c r="HM67" t="s">
        <v>3</v>
      </c>
      <c r="HN67" t="s">
        <v>3</v>
      </c>
      <c r="HO67" t="s">
        <v>3</v>
      </c>
      <c r="HP67" t="s">
        <v>3</v>
      </c>
      <c r="HQ67" t="s">
        <v>3</v>
      </c>
      <c r="HS67">
        <v>0</v>
      </c>
      <c r="IK67">
        <v>0</v>
      </c>
    </row>
    <row r="68" spans="1:255" x14ac:dyDescent="0.2">
      <c r="A68" s="2">
        <v>17</v>
      </c>
      <c r="B68" s="2">
        <v>1</v>
      </c>
      <c r="C68" s="2">
        <f>ROW(SmtRes!A39)</f>
        <v>39</v>
      </c>
      <c r="D68" s="2">
        <f>ROW(EtalonRes!A47)</f>
        <v>47</v>
      </c>
      <c r="E68" s="2" t="s">
        <v>103</v>
      </c>
      <c r="F68" s="2" t="s">
        <v>104</v>
      </c>
      <c r="G68" s="2" t="s">
        <v>105</v>
      </c>
      <c r="H68" s="2" t="s">
        <v>21</v>
      </c>
      <c r="I68" s="2">
        <v>30</v>
      </c>
      <c r="J68" s="2">
        <v>0</v>
      </c>
      <c r="K68" s="2">
        <v>30</v>
      </c>
      <c r="L68" s="2"/>
      <c r="M68" s="2"/>
      <c r="N68" s="2"/>
      <c r="O68" s="2">
        <f t="shared" si="48"/>
        <v>1717.14</v>
      </c>
      <c r="P68" s="2">
        <f>ROUND((ROUND((AC68*AW68*I68),2)*BC68),2)</f>
        <v>50.4</v>
      </c>
      <c r="Q68" s="2">
        <f>(ROUND((ROUND((((ET68*1.1))*AV68*I68),2)*BB68),2)+ROUND((ROUND(((AE68-((EU68*1.1)))*AV68*I68),2)*BS68),2))</f>
        <v>1.38</v>
      </c>
      <c r="R68" s="2">
        <f>(ROUND((ROUND((((EU68*1.1))*AV68*I68),2)*BS68),2)+ROUND((ROUND(((AE68-((EU68*1.1)))*AV68*I68),2)*BS68),2))</f>
        <v>0</v>
      </c>
      <c r="S68" s="2">
        <f t="shared" si="49"/>
        <v>1665.36</v>
      </c>
      <c r="T68" s="2">
        <f t="shared" si="50"/>
        <v>0</v>
      </c>
      <c r="U68" s="2">
        <f t="shared" si="51"/>
        <v>124.3836</v>
      </c>
      <c r="V68" s="2">
        <f t="shared" si="52"/>
        <v>0</v>
      </c>
      <c r="W68" s="2">
        <f t="shared" si="53"/>
        <v>0</v>
      </c>
      <c r="X68" s="2">
        <f>(ROUND((((S68+ROUND((ROUND((((EU68*1.1))*AV68*I68),2)*BS68),2))*AT68)/100),2)+ROUND(((ROUND((ROUND(((AE68-((EU68*1.1)))*AV68*I68),2)*BS68),2)*AT68)/100),2))</f>
        <v>1498.82</v>
      </c>
      <c r="Y68" s="2">
        <f>(ROUND((((S68+ROUND((ROUND((((EU68*1.1))*AV68*I68),2)*BS68),2))*AU68)/100),2)+ROUND(((ROUND((ROUND(((AE68-((EU68*1.1)))*AV68*I68),2)*BS68),2)*AU68)/100),2))</f>
        <v>766.07</v>
      </c>
      <c r="Z68" s="2"/>
      <c r="AA68" s="2">
        <v>60258621</v>
      </c>
      <c r="AB68" s="2">
        <f t="shared" si="54"/>
        <v>54.744</v>
      </c>
      <c r="AC68" s="2">
        <f>ROUND(((ES68*1)),6)</f>
        <v>1.68</v>
      </c>
      <c r="AD68" s="2">
        <f>ROUND(((((ET68*1.1))-((EU68*1.1)))+AE68),6)</f>
        <v>4.3999999999999997E-2</v>
      </c>
      <c r="AE68" s="2">
        <f>ROUND(((EU68*1.1)),6)</f>
        <v>0</v>
      </c>
      <c r="AF68" s="2">
        <f>ROUND(((EV68*1.1)),6)</f>
        <v>53.02</v>
      </c>
      <c r="AG68" s="2">
        <f t="shared" si="55"/>
        <v>0</v>
      </c>
      <c r="AH68" s="2">
        <f>((EW68*1.1))</f>
        <v>3.9600000000000004</v>
      </c>
      <c r="AI68" s="2">
        <f>((EX68*1.1))</f>
        <v>0</v>
      </c>
      <c r="AJ68" s="2">
        <f t="shared" si="56"/>
        <v>0</v>
      </c>
      <c r="AK68" s="2">
        <v>49.92</v>
      </c>
      <c r="AL68" s="2">
        <v>1.68</v>
      </c>
      <c r="AM68" s="2">
        <v>0.04</v>
      </c>
      <c r="AN68" s="2">
        <v>0</v>
      </c>
      <c r="AO68" s="2">
        <v>48.2</v>
      </c>
      <c r="AP68" s="2">
        <v>0</v>
      </c>
      <c r="AQ68" s="2">
        <v>3.6</v>
      </c>
      <c r="AR68" s="2">
        <v>0</v>
      </c>
      <c r="AS68" s="2">
        <v>0</v>
      </c>
      <c r="AT68" s="2">
        <v>90</v>
      </c>
      <c r="AU68" s="2">
        <v>46</v>
      </c>
      <c r="AV68" s="2">
        <v>1.0469999999999999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0</v>
      </c>
      <c r="BI68" s="2">
        <v>2</v>
      </c>
      <c r="BJ68" s="2" t="s">
        <v>106</v>
      </c>
      <c r="BK68" s="2"/>
      <c r="BL68" s="2"/>
      <c r="BM68" s="2">
        <v>68</v>
      </c>
      <c r="BN68" s="2">
        <v>58973116</v>
      </c>
      <c r="BO68" s="2" t="s">
        <v>104</v>
      </c>
      <c r="BP68" s="2">
        <v>1</v>
      </c>
      <c r="BQ68" s="2">
        <v>40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90</v>
      </c>
      <c r="CA68" s="2">
        <v>46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407</v>
      </c>
      <c r="CO68" s="2">
        <v>0</v>
      </c>
      <c r="CP68" s="2">
        <f t="shared" si="57"/>
        <v>1717.1399999999999</v>
      </c>
      <c r="CQ68" s="2">
        <f>ROUND((ROUND((AC68*AW68*1),2)*BC68),2)</f>
        <v>1.68</v>
      </c>
      <c r="CR68" s="2">
        <f>(ROUND((ROUND((((ET68*1.1))*AV68*1),2)*BB68),2)+ROUND((ROUND(((AE68-((EU68*1.1)))*AV68*1),2)*BS68),2))</f>
        <v>0.05</v>
      </c>
      <c r="CS68" s="2">
        <f>(ROUND((ROUND((((EU68*1.1))*AV68*1),2)*BS68),2)+ROUND((ROUND(((AE68-((EU68*1.1)))*AV68*1),2)*BS68),2))</f>
        <v>0</v>
      </c>
      <c r="CT68" s="2">
        <f t="shared" si="58"/>
        <v>55.51</v>
      </c>
      <c r="CU68" s="2">
        <f t="shared" si="59"/>
        <v>0</v>
      </c>
      <c r="CV68" s="2">
        <f t="shared" si="60"/>
        <v>4.1461199999999998</v>
      </c>
      <c r="CW68" s="2">
        <f t="shared" si="61"/>
        <v>0</v>
      </c>
      <c r="CX68" s="2">
        <f t="shared" si="62"/>
        <v>0</v>
      </c>
      <c r="CY68" s="2">
        <f>(ROUND((((S68+ROUND((ROUND((((EU68*1.1))*AV68*1),2)*BS68),2))*AT68)/100),2)+ROUND(((ROUND((ROUND(((AE68-((EU68*1.1)))*AV68*1),2)*BS68),2)*AT68)/100),2))</f>
        <v>1498.82</v>
      </c>
      <c r="CZ68" s="2">
        <f>(ROUND((((S68+ROUND((ROUND((((EU68*1.1))*AV68*1),2)*BS68),2))*AU68)/100),2)+ROUND(((ROUND((ROUND(((AE68-((EU68*1.1)))*AV68*1),2)*BS68),2)*AU68)/100),2))</f>
        <v>766.07</v>
      </c>
      <c r="DA68" s="2"/>
      <c r="DB68" s="2">
        <v>19</v>
      </c>
      <c r="DC68" s="2" t="s">
        <v>3</v>
      </c>
      <c r="DD68" s="2" t="s">
        <v>23</v>
      </c>
      <c r="DE68" s="2" t="s">
        <v>24</v>
      </c>
      <c r="DF68" s="2" t="s">
        <v>24</v>
      </c>
      <c r="DG68" s="2" t="s">
        <v>24</v>
      </c>
      <c r="DH68" s="2" t="s">
        <v>3</v>
      </c>
      <c r="DI68" s="2" t="s">
        <v>24</v>
      </c>
      <c r="DJ68" s="2" t="s">
        <v>24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1013</v>
      </c>
      <c r="DV68" s="2" t="s">
        <v>21</v>
      </c>
      <c r="DW68" s="2" t="s">
        <v>21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60088532</v>
      </c>
      <c r="EF68" s="2">
        <v>40</v>
      </c>
      <c r="EG68" s="2" t="s">
        <v>25</v>
      </c>
      <c r="EH68" s="2">
        <v>0</v>
      </c>
      <c r="EI68" s="2" t="s">
        <v>3</v>
      </c>
      <c r="EJ68" s="2">
        <v>2</v>
      </c>
      <c r="EK68" s="2">
        <v>68</v>
      </c>
      <c r="EL68" s="2" t="s">
        <v>46</v>
      </c>
      <c r="EM68" s="2" t="s">
        <v>47</v>
      </c>
      <c r="EN68" s="2"/>
      <c r="EO68" s="2" t="s">
        <v>28</v>
      </c>
      <c r="EP68" s="2"/>
      <c r="EQ68" s="2">
        <v>0</v>
      </c>
      <c r="ER68" s="2">
        <v>49.92</v>
      </c>
      <c r="ES68" s="2">
        <v>1.68</v>
      </c>
      <c r="ET68" s="2">
        <v>0.04</v>
      </c>
      <c r="EU68" s="2">
        <v>0</v>
      </c>
      <c r="EV68" s="2">
        <v>48.2</v>
      </c>
      <c r="EW68" s="2">
        <v>3.6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90</v>
      </c>
      <c r="FY68" s="2">
        <v>46</v>
      </c>
      <c r="FZ68" s="2"/>
      <c r="GA68" s="2" t="s">
        <v>3</v>
      </c>
      <c r="GB68" s="2"/>
      <c r="GC68" s="2"/>
      <c r="GD68" s="2">
        <v>1</v>
      </c>
      <c r="GE68" s="2"/>
      <c r="GF68" s="2">
        <v>-1118583181</v>
      </c>
      <c r="GG68" s="2">
        <v>2</v>
      </c>
      <c r="GH68" s="2">
        <v>1</v>
      </c>
      <c r="GI68" s="2">
        <v>2</v>
      </c>
      <c r="GJ68" s="2">
        <v>0</v>
      </c>
      <c r="GK68" s="2">
        <v>0</v>
      </c>
      <c r="GL68" s="2">
        <f t="shared" si="63"/>
        <v>0</v>
      </c>
      <c r="GM68" s="2">
        <f t="shared" si="64"/>
        <v>3982.03</v>
      </c>
      <c r="GN68" s="2">
        <f t="shared" si="65"/>
        <v>0</v>
      </c>
      <c r="GO68" s="2">
        <f t="shared" si="66"/>
        <v>3982.03</v>
      </c>
      <c r="GP68" s="2">
        <f t="shared" si="67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68"/>
        <v>0</v>
      </c>
      <c r="GW68" s="2">
        <v>1</v>
      </c>
      <c r="GX68" s="2">
        <f t="shared" si="69"/>
        <v>0</v>
      </c>
      <c r="GY68" s="2"/>
      <c r="GZ68" s="2"/>
      <c r="HA68" s="2">
        <v>0</v>
      </c>
      <c r="HB68" s="2">
        <v>0</v>
      </c>
      <c r="HC68" s="2">
        <f t="shared" si="70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>
        <v>17</v>
      </c>
      <c r="B69">
        <v>1</v>
      </c>
      <c r="C69">
        <f>ROW(SmtRes!A40)</f>
        <v>40</v>
      </c>
      <c r="D69">
        <f>ROW(EtalonRes!A48)</f>
        <v>48</v>
      </c>
      <c r="E69" t="s">
        <v>103</v>
      </c>
      <c r="F69" t="s">
        <v>104</v>
      </c>
      <c r="G69" t="s">
        <v>105</v>
      </c>
      <c r="H69" t="s">
        <v>21</v>
      </c>
      <c r="I69">
        <v>30</v>
      </c>
      <c r="J69">
        <v>0</v>
      </c>
      <c r="K69">
        <v>30</v>
      </c>
      <c r="O69">
        <f t="shared" si="48"/>
        <v>92090.41</v>
      </c>
      <c r="P69">
        <f>ROUND((ROUND((AC69*AW69*I69),2)*BC69),2)</f>
        <v>498.46</v>
      </c>
      <c r="Q69">
        <f>(ROUND((ROUND((((ET69*1.1))*AV69*I69),2)*BB69),2)+ROUND((ROUND(((AE69-((EU69*1.1)))*AV69*I69),2)*BS69),2))</f>
        <v>13.8</v>
      </c>
      <c r="R69">
        <f>(ROUND((ROUND((((EU69*1.1))*AV69*I69),2)*BS69),2)+ROUND((ROUND(((AE69-((EU69*1.1)))*AV69*I69),2)*BS69),2))</f>
        <v>0</v>
      </c>
      <c r="S69">
        <f t="shared" si="49"/>
        <v>91578.15</v>
      </c>
      <c r="T69">
        <f t="shared" si="50"/>
        <v>0</v>
      </c>
      <c r="U69">
        <f t="shared" si="51"/>
        <v>124.3836</v>
      </c>
      <c r="V69">
        <f t="shared" si="52"/>
        <v>0</v>
      </c>
      <c r="W69">
        <f t="shared" si="53"/>
        <v>0</v>
      </c>
      <c r="X69">
        <f>(ROUND((((S69+ROUND((ROUND((((EU69*1.1))*AV69*I69),2)*BS69),2))*AT69)/100),2)+ROUND(((ROUND((ROUND(((AE69-((EU69*1.1)))*AV69*I69),2)*BS69),2)*AT69)/100),2))</f>
        <v>82420.34</v>
      </c>
      <c r="Y69">
        <f>(ROUND((((S69+ROUND((ROUND((((EU69*1.1))*AV69*I69),2)*BS69),2))*AU69)/100),2)+ROUND(((ROUND((ROUND(((AE69-((EU69*1.1)))*AV69*I69),2)*BS69),2)*AU69)/100),2))</f>
        <v>42125.95</v>
      </c>
      <c r="AA69">
        <v>60258618</v>
      </c>
      <c r="AB69">
        <f t="shared" si="54"/>
        <v>54.744</v>
      </c>
      <c r="AC69">
        <f>ROUND(((ES69*1)),6)</f>
        <v>1.68</v>
      </c>
      <c r="AD69">
        <f>ROUND(((((ET69*1.1))-((EU69*1.1)))+AE69),6)</f>
        <v>4.3999999999999997E-2</v>
      </c>
      <c r="AE69">
        <f>ROUND(((EU69*1.1)),6)</f>
        <v>0</v>
      </c>
      <c r="AF69">
        <f>ROUND(((EV69*1.1)),6)</f>
        <v>53.02</v>
      </c>
      <c r="AG69">
        <f t="shared" si="55"/>
        <v>0</v>
      </c>
      <c r="AH69">
        <f>((EW69*1.1))</f>
        <v>3.9600000000000004</v>
      </c>
      <c r="AI69">
        <f>((EX69*1.1))</f>
        <v>0</v>
      </c>
      <c r="AJ69">
        <f t="shared" si="56"/>
        <v>0</v>
      </c>
      <c r="AK69">
        <v>49.92</v>
      </c>
      <c r="AL69">
        <v>1.68</v>
      </c>
      <c r="AM69">
        <v>0.04</v>
      </c>
      <c r="AN69">
        <v>0</v>
      </c>
      <c r="AO69">
        <v>48.2</v>
      </c>
      <c r="AP69">
        <v>0</v>
      </c>
      <c r="AQ69">
        <v>3.6</v>
      </c>
      <c r="AR69">
        <v>0</v>
      </c>
      <c r="AS69">
        <v>0</v>
      </c>
      <c r="AT69">
        <v>90</v>
      </c>
      <c r="AU69">
        <v>46</v>
      </c>
      <c r="AV69">
        <v>1.0469999999999999</v>
      </c>
      <c r="AW69">
        <v>1</v>
      </c>
      <c r="AZ69">
        <v>1</v>
      </c>
      <c r="BA69">
        <v>54.99</v>
      </c>
      <c r="BB69">
        <v>10</v>
      </c>
      <c r="BC69">
        <v>9.89</v>
      </c>
      <c r="BD69" t="s">
        <v>3</v>
      </c>
      <c r="BE69" t="s">
        <v>3</v>
      </c>
      <c r="BF69" t="s">
        <v>3</v>
      </c>
      <c r="BG69" t="s">
        <v>3</v>
      </c>
      <c r="BH69">
        <v>0</v>
      </c>
      <c r="BI69">
        <v>2</v>
      </c>
      <c r="BJ69" t="s">
        <v>106</v>
      </c>
      <c r="BM69">
        <v>68</v>
      </c>
      <c r="BN69">
        <v>58973116</v>
      </c>
      <c r="BO69" t="s">
        <v>104</v>
      </c>
      <c r="BP69">
        <v>1</v>
      </c>
      <c r="BQ69">
        <v>40</v>
      </c>
      <c r="BR69">
        <v>0</v>
      </c>
      <c r="BS69">
        <v>54.99</v>
      </c>
      <c r="BT69">
        <v>1</v>
      </c>
      <c r="BU69">
        <v>1</v>
      </c>
      <c r="BV69">
        <v>1</v>
      </c>
      <c r="BW69">
        <v>1</v>
      </c>
      <c r="BX69">
        <v>1</v>
      </c>
      <c r="BY69" t="s">
        <v>3</v>
      </c>
      <c r="BZ69">
        <v>90</v>
      </c>
      <c r="CA69">
        <v>46</v>
      </c>
      <c r="CB69" t="s">
        <v>3</v>
      </c>
      <c r="CE69">
        <v>1566</v>
      </c>
      <c r="CF69">
        <v>0</v>
      </c>
      <c r="CG69">
        <v>0</v>
      </c>
      <c r="CM69">
        <v>0</v>
      </c>
      <c r="CN69" t="s">
        <v>407</v>
      </c>
      <c r="CO69">
        <v>0</v>
      </c>
      <c r="CP69">
        <f t="shared" si="57"/>
        <v>92090.409999999989</v>
      </c>
      <c r="CQ69">
        <f>ROUND((ROUND((AC69*AW69*1),2)*BC69),2)</f>
        <v>16.62</v>
      </c>
      <c r="CR69">
        <f>(ROUND((ROUND((((ET69*1.1))*AV69*1),2)*BB69),2)+ROUND((ROUND(((AE69-((EU69*1.1)))*AV69*1),2)*BS69),2))</f>
        <v>0.5</v>
      </c>
      <c r="CS69">
        <f>(ROUND((ROUND((((EU69*1.1))*AV69*1),2)*BS69),2)+ROUND((ROUND(((AE69-((EU69*1.1)))*AV69*1),2)*BS69),2))</f>
        <v>0</v>
      </c>
      <c r="CT69">
        <f t="shared" si="58"/>
        <v>3052.49</v>
      </c>
      <c r="CU69">
        <f t="shared" si="59"/>
        <v>0</v>
      </c>
      <c r="CV69">
        <f t="shared" si="60"/>
        <v>4.1461199999999998</v>
      </c>
      <c r="CW69">
        <f t="shared" si="61"/>
        <v>0</v>
      </c>
      <c r="CX69">
        <f t="shared" si="62"/>
        <v>0</v>
      </c>
      <c r="CY69">
        <f>(ROUND((((S69+ROUND((ROUND((((EU69*1.1))*AV69*1),2)*BS69),2))*AT69)/100),2)+ROUND(((ROUND((ROUND(((AE69-((EU69*1.1)))*AV69*1),2)*BS69),2)*AT69)/100),2))</f>
        <v>82420.34</v>
      </c>
      <c r="CZ69">
        <f>(ROUND((((S69+ROUND((ROUND((((EU69*1.1))*AV69*1),2)*BS69),2))*AU69)/100),2)+ROUND(((ROUND((ROUND(((AE69-((EU69*1.1)))*AV69*1),2)*BS69),2)*AU69)/100),2))</f>
        <v>42125.95</v>
      </c>
      <c r="DB69">
        <v>20</v>
      </c>
      <c r="DC69" t="s">
        <v>3</v>
      </c>
      <c r="DD69" t="s">
        <v>23</v>
      </c>
      <c r="DE69" t="s">
        <v>24</v>
      </c>
      <c r="DF69" t="s">
        <v>24</v>
      </c>
      <c r="DG69" t="s">
        <v>24</v>
      </c>
      <c r="DH69" t="s">
        <v>3</v>
      </c>
      <c r="DI69" t="s">
        <v>24</v>
      </c>
      <c r="DJ69" t="s">
        <v>24</v>
      </c>
      <c r="DK69" t="s">
        <v>3</v>
      </c>
      <c r="DL69" t="s">
        <v>3</v>
      </c>
      <c r="DM69" t="s">
        <v>3</v>
      </c>
      <c r="DN69">
        <v>0</v>
      </c>
      <c r="DO69">
        <v>0</v>
      </c>
      <c r="DP69">
        <v>1</v>
      </c>
      <c r="DQ69">
        <v>1</v>
      </c>
      <c r="DU69">
        <v>1013</v>
      </c>
      <c r="DV69" t="s">
        <v>21</v>
      </c>
      <c r="DW69" t="s">
        <v>21</v>
      </c>
      <c r="DX69">
        <v>1</v>
      </c>
      <c r="DZ69" t="s">
        <v>3</v>
      </c>
      <c r="EA69" t="s">
        <v>3</v>
      </c>
      <c r="EB69" t="s">
        <v>3</v>
      </c>
      <c r="EC69" t="s">
        <v>3</v>
      </c>
      <c r="EE69">
        <v>60088532</v>
      </c>
      <c r="EF69">
        <v>40</v>
      </c>
      <c r="EG69" t="s">
        <v>25</v>
      </c>
      <c r="EH69">
        <v>0</v>
      </c>
      <c r="EI69" t="s">
        <v>3</v>
      </c>
      <c r="EJ69">
        <v>2</v>
      </c>
      <c r="EK69">
        <v>68</v>
      </c>
      <c r="EL69" t="s">
        <v>46</v>
      </c>
      <c r="EM69" t="s">
        <v>47</v>
      </c>
      <c r="EO69" t="s">
        <v>28</v>
      </c>
      <c r="EQ69">
        <v>0</v>
      </c>
      <c r="ER69">
        <v>49.92</v>
      </c>
      <c r="ES69">
        <v>1.68</v>
      </c>
      <c r="ET69">
        <v>0.04</v>
      </c>
      <c r="EU69">
        <v>0</v>
      </c>
      <c r="EV69">
        <v>48.2</v>
      </c>
      <c r="EW69">
        <v>3.6</v>
      </c>
      <c r="EX69">
        <v>0</v>
      </c>
      <c r="EY69">
        <v>0</v>
      </c>
      <c r="FQ69">
        <v>0</v>
      </c>
      <c r="FR69">
        <v>0</v>
      </c>
      <c r="FS69">
        <v>0</v>
      </c>
      <c r="FX69">
        <v>90</v>
      </c>
      <c r="FY69">
        <v>46</v>
      </c>
      <c r="GA69" t="s">
        <v>3</v>
      </c>
      <c r="GD69">
        <v>1</v>
      </c>
      <c r="GF69">
        <v>-1118583181</v>
      </c>
      <c r="GG69">
        <v>2</v>
      </c>
      <c r="GH69">
        <v>1</v>
      </c>
      <c r="GI69">
        <v>2</v>
      </c>
      <c r="GJ69">
        <v>0</v>
      </c>
      <c r="GK69">
        <v>0</v>
      </c>
      <c r="GL69">
        <f t="shared" si="63"/>
        <v>0</v>
      </c>
      <c r="GM69">
        <f t="shared" si="64"/>
        <v>216636.7</v>
      </c>
      <c r="GN69">
        <f t="shared" si="65"/>
        <v>0</v>
      </c>
      <c r="GO69">
        <f t="shared" si="66"/>
        <v>216636.7</v>
      </c>
      <c r="GP69">
        <f t="shared" si="67"/>
        <v>0</v>
      </c>
      <c r="GR69">
        <v>0</v>
      </c>
      <c r="GS69">
        <v>3</v>
      </c>
      <c r="GT69">
        <v>0</v>
      </c>
      <c r="GU69" t="s">
        <v>3</v>
      </c>
      <c r="GV69">
        <f t="shared" si="68"/>
        <v>0</v>
      </c>
      <c r="GW69">
        <v>1</v>
      </c>
      <c r="GX69">
        <f t="shared" si="69"/>
        <v>0</v>
      </c>
      <c r="HA69">
        <v>0</v>
      </c>
      <c r="HB69">
        <v>0</v>
      </c>
      <c r="HC69">
        <f t="shared" si="70"/>
        <v>0</v>
      </c>
      <c r="HE69" t="s">
        <v>3</v>
      </c>
      <c r="HF69" t="s">
        <v>3</v>
      </c>
      <c r="HM69" t="s">
        <v>3</v>
      </c>
      <c r="HN69" t="s">
        <v>3</v>
      </c>
      <c r="HO69" t="s">
        <v>3</v>
      </c>
      <c r="HP69" t="s">
        <v>3</v>
      </c>
      <c r="HQ69" t="s">
        <v>3</v>
      </c>
      <c r="HS69">
        <v>0</v>
      </c>
      <c r="IK69">
        <v>0</v>
      </c>
    </row>
    <row r="70" spans="1:255" x14ac:dyDescent="0.2">
      <c r="A70" s="2">
        <v>17</v>
      </c>
      <c r="B70" s="2">
        <v>1</v>
      </c>
      <c r="C70" s="2"/>
      <c r="D70" s="2"/>
      <c r="E70" s="2" t="s">
        <v>107</v>
      </c>
      <c r="F70" s="2" t="s">
        <v>108</v>
      </c>
      <c r="G70" s="2" t="s">
        <v>109</v>
      </c>
      <c r="H70" s="2" t="s">
        <v>32</v>
      </c>
      <c r="I70" s="2">
        <v>30</v>
      </c>
      <c r="J70" s="2">
        <v>0</v>
      </c>
      <c r="K70" s="2">
        <v>30</v>
      </c>
      <c r="L70" s="2"/>
      <c r="M70" s="2"/>
      <c r="N70" s="2"/>
      <c r="O70" s="2">
        <f t="shared" si="48"/>
        <v>7202.1</v>
      </c>
      <c r="P70" s="2">
        <f>ROUND((ROUND((AC70*I70),2)*BC70),2)</f>
        <v>7202.1</v>
      </c>
      <c r="Q70" s="2">
        <f>(ROUND((ROUND(((ET70)*AV70*I70),2)*BB70),2)+ROUND((ROUND(((AE70-(EU70))*AV70*I70),2)*BS70),2))</f>
        <v>0</v>
      </c>
      <c r="R70" s="2">
        <f>(ROUND((ROUND(((EU70)*AV70*I70),2)*BS70),2)+ROUND((ROUND(((AE70-(EU70))*AV70*I70),2)*BS70),2))</f>
        <v>0</v>
      </c>
      <c r="S70" s="2">
        <f t="shared" si="49"/>
        <v>0</v>
      </c>
      <c r="T70" s="2">
        <f t="shared" si="50"/>
        <v>0</v>
      </c>
      <c r="U70" s="2">
        <f t="shared" si="51"/>
        <v>0</v>
      </c>
      <c r="V70" s="2">
        <f t="shared" si="52"/>
        <v>0</v>
      </c>
      <c r="W70" s="2">
        <f t="shared" si="53"/>
        <v>0</v>
      </c>
      <c r="X70" s="2">
        <f>(ROUND((((S70+ROUND((ROUND(((EU70)*AV70*I70),2)*BS70),2))*AT70)/100),2)+ROUND(((ROUND((ROUND(((AE70-(EU70))*AV70*I70),2)*BS70),2)*AT70)/100),2))</f>
        <v>0</v>
      </c>
      <c r="Y70" s="2">
        <f>(ROUND((((S70+ROUND((ROUND(((EU70)*AV70*I70),2)*BS70),2))*AU70)/100),2)+ROUND(((ROUND((ROUND(((AE70-(EU70))*AV70*I70),2)*BS70),2)*AU70)/100),2))</f>
        <v>0</v>
      </c>
      <c r="Z70" s="2"/>
      <c r="AA70" s="2">
        <v>60258621</v>
      </c>
      <c r="AB70" s="2">
        <f t="shared" si="54"/>
        <v>240.07</v>
      </c>
      <c r="AC70" s="2">
        <f>ROUND((ES70),6)</f>
        <v>240.07</v>
      </c>
      <c r="AD70" s="2">
        <f>ROUND((((ET70)-(EU70))+AE70),6)</f>
        <v>0</v>
      </c>
      <c r="AE70" s="2">
        <f>ROUND((EU70),6)</f>
        <v>0</v>
      </c>
      <c r="AF70" s="2">
        <f>ROUND((EV70),6)</f>
        <v>0</v>
      </c>
      <c r="AG70" s="2">
        <f t="shared" si="55"/>
        <v>0</v>
      </c>
      <c r="AH70" s="2">
        <f>(EW70)</f>
        <v>0</v>
      </c>
      <c r="AI70" s="2">
        <f>(EX70)</f>
        <v>0</v>
      </c>
      <c r="AJ70" s="2">
        <f t="shared" si="56"/>
        <v>0</v>
      </c>
      <c r="AK70" s="2">
        <v>240.07</v>
      </c>
      <c r="AL70" s="2">
        <v>240.07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3</v>
      </c>
      <c r="BJ70" s="2" t="s">
        <v>3</v>
      </c>
      <c r="BK70" s="2"/>
      <c r="BL70" s="2"/>
      <c r="BM70" s="2">
        <v>746</v>
      </c>
      <c r="BN70" s="2">
        <v>0</v>
      </c>
      <c r="BO70" s="2" t="s">
        <v>3</v>
      </c>
      <c r="BP70" s="2">
        <v>0</v>
      </c>
      <c r="BQ70" s="2">
        <v>130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0</v>
      </c>
      <c r="CA70" s="2">
        <v>0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57"/>
        <v>7202.1</v>
      </c>
      <c r="CQ70" s="2">
        <f>ROUND((ROUND((AC70*1),2)*BC70),2)</f>
        <v>240.07</v>
      </c>
      <c r="CR70" s="2">
        <f>(ROUND((ROUND(((ET70)*AV70*1),2)*BB70),2)+ROUND((ROUND(((AE70-(EU70))*AV70*1),2)*BS70),2))</f>
        <v>0</v>
      </c>
      <c r="CS70" s="2">
        <f>(ROUND((ROUND(((EU70)*AV70*1),2)*BS70),2)+ROUND((ROUND(((AE70-(EU70))*AV70*1),2)*BS70),2))</f>
        <v>0</v>
      </c>
      <c r="CT70" s="2">
        <f t="shared" si="58"/>
        <v>0</v>
      </c>
      <c r="CU70" s="2">
        <f t="shared" si="59"/>
        <v>0</v>
      </c>
      <c r="CV70" s="2">
        <f t="shared" si="60"/>
        <v>0</v>
      </c>
      <c r="CW70" s="2">
        <f t="shared" si="61"/>
        <v>0</v>
      </c>
      <c r="CX70" s="2">
        <f t="shared" si="62"/>
        <v>0</v>
      </c>
      <c r="CY70" s="2">
        <f>(ROUND((((S70+ROUND((ROUND(((EU70)*AV70*1),2)*BS70),2))*AT70)/100),2)+ROUND(((ROUND((ROUND(((AE70-(EU70))*AV70*1),2)*BS70),2)*AT70)/100),2))</f>
        <v>0</v>
      </c>
      <c r="CZ70" s="2">
        <f>(ROUND((((S70+ROUND((ROUND(((EU70)*AV70*1),2)*BS70),2))*AU70)/100),2)+ROUND(((ROUND((ROUND(((AE70-(EU70))*AV70*1),2)*BS70),2)*AU70)/100),2))</f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1013</v>
      </c>
      <c r="DV70" s="2" t="s">
        <v>32</v>
      </c>
      <c r="DW70" s="2" t="s">
        <v>32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60088638</v>
      </c>
      <c r="EF70" s="2">
        <v>130</v>
      </c>
      <c r="EG70" s="2" t="s">
        <v>33</v>
      </c>
      <c r="EH70" s="2">
        <v>0</v>
      </c>
      <c r="EI70" s="2" t="s">
        <v>3</v>
      </c>
      <c r="EJ70" s="2">
        <v>3</v>
      </c>
      <c r="EK70" s="2">
        <v>746</v>
      </c>
      <c r="EL70" s="2" t="s">
        <v>34</v>
      </c>
      <c r="EM70" s="2" t="s">
        <v>35</v>
      </c>
      <c r="EN70" s="2"/>
      <c r="EO70" s="2" t="s">
        <v>3</v>
      </c>
      <c r="EP70" s="2"/>
      <c r="EQ70" s="2">
        <v>0</v>
      </c>
      <c r="ER70" s="2">
        <v>0</v>
      </c>
      <c r="ES70" s="2">
        <v>240.07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f>P70</f>
        <v>7202.1</v>
      </c>
      <c r="FS70" s="2">
        <v>0</v>
      </c>
      <c r="FT70" s="2"/>
      <c r="FU70" s="2"/>
      <c r="FV70" s="2"/>
      <c r="FW70" s="2"/>
      <c r="FX70" s="2">
        <v>0</v>
      </c>
      <c r="FY70" s="2">
        <v>0</v>
      </c>
      <c r="FZ70" s="2"/>
      <c r="GA70" s="2" t="s">
        <v>110</v>
      </c>
      <c r="GB70" s="2"/>
      <c r="GC70" s="2"/>
      <c r="GD70" s="2">
        <v>1</v>
      </c>
      <c r="GE70" s="2"/>
      <c r="GF70" s="2">
        <v>1183657808</v>
      </c>
      <c r="GG70" s="2">
        <v>2</v>
      </c>
      <c r="GH70" s="2">
        <v>4</v>
      </c>
      <c r="GI70" s="2">
        <v>-2</v>
      </c>
      <c r="GJ70" s="2">
        <v>0</v>
      </c>
      <c r="GK70" s="2">
        <v>0</v>
      </c>
      <c r="GL70" s="2">
        <f t="shared" si="63"/>
        <v>0</v>
      </c>
      <c r="GM70" s="2">
        <f t="shared" si="64"/>
        <v>7202.1</v>
      </c>
      <c r="GN70" s="2">
        <f t="shared" si="65"/>
        <v>0</v>
      </c>
      <c r="GO70" s="2">
        <f t="shared" si="66"/>
        <v>0</v>
      </c>
      <c r="GP70" s="2">
        <f t="shared" si="67"/>
        <v>0</v>
      </c>
      <c r="GQ70" s="2"/>
      <c r="GR70" s="2">
        <v>0</v>
      </c>
      <c r="GS70" s="2">
        <v>2</v>
      </c>
      <c r="GT70" s="2">
        <v>0</v>
      </c>
      <c r="GU70" s="2" t="s">
        <v>3</v>
      </c>
      <c r="GV70" s="2">
        <f t="shared" si="68"/>
        <v>0</v>
      </c>
      <c r="GW70" s="2">
        <v>1</v>
      </c>
      <c r="GX70" s="2">
        <f t="shared" si="69"/>
        <v>0</v>
      </c>
      <c r="GY70" s="2"/>
      <c r="GZ70" s="2"/>
      <c r="HA70" s="2">
        <v>0</v>
      </c>
      <c r="HB70" s="2">
        <v>0</v>
      </c>
      <c r="HC70" s="2">
        <f t="shared" si="70"/>
        <v>0</v>
      </c>
      <c r="HD70" s="2"/>
      <c r="HE70" s="2" t="s">
        <v>37</v>
      </c>
      <c r="HF70" s="2" t="s">
        <v>38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>
        <v>17</v>
      </c>
      <c r="B71">
        <v>1</v>
      </c>
      <c r="E71" t="s">
        <v>107</v>
      </c>
      <c r="F71" t="s">
        <v>108</v>
      </c>
      <c r="G71" t="s">
        <v>109</v>
      </c>
      <c r="H71" t="s">
        <v>32</v>
      </c>
      <c r="I71">
        <v>30</v>
      </c>
      <c r="J71">
        <v>0</v>
      </c>
      <c r="K71">
        <v>30</v>
      </c>
      <c r="O71">
        <f t="shared" si="48"/>
        <v>55168.09</v>
      </c>
      <c r="P71">
        <f>ROUND((ROUND((AC71*I71),2)*BC71),2)</f>
        <v>55168.09</v>
      </c>
      <c r="Q71">
        <f>(ROUND((ROUND(((ET71)*AV71*I71),2)*BB71),2)+ROUND((ROUND(((AE71-(EU71))*AV71*I71),2)*BS71),2))</f>
        <v>0</v>
      </c>
      <c r="R71">
        <f>(ROUND((ROUND(((EU71)*AV71*I71),2)*BS71),2)+ROUND((ROUND(((AE71-(EU71))*AV71*I71),2)*BS71),2))</f>
        <v>0</v>
      </c>
      <c r="S71">
        <f t="shared" si="49"/>
        <v>0</v>
      </c>
      <c r="T71">
        <f t="shared" si="50"/>
        <v>0</v>
      </c>
      <c r="U71">
        <f t="shared" si="51"/>
        <v>0</v>
      </c>
      <c r="V71">
        <f t="shared" si="52"/>
        <v>0</v>
      </c>
      <c r="W71">
        <f t="shared" si="53"/>
        <v>0</v>
      </c>
      <c r="X71">
        <f>(ROUND((((S71+ROUND((ROUND(((EU71)*AV71*I71),2)*BS71),2))*AT71)/100),2)+ROUND(((ROUND((ROUND(((AE71-(EU71))*AV71*I71),2)*BS71),2)*AT71)/100),2))</f>
        <v>0</v>
      </c>
      <c r="Y71">
        <f>(ROUND((((S71+ROUND((ROUND(((EU71)*AV71*I71),2)*BS71),2))*AU71)/100),2)+ROUND(((ROUND((ROUND(((AE71-(EU71))*AV71*I71),2)*BS71),2)*AU71)/100),2))</f>
        <v>0</v>
      </c>
      <c r="AA71">
        <v>60258618</v>
      </c>
      <c r="AB71">
        <f t="shared" si="54"/>
        <v>240.07</v>
      </c>
      <c r="AC71">
        <f>ROUND((ES71),6)</f>
        <v>240.07</v>
      </c>
      <c r="AD71">
        <f>ROUND((((ET71)-(EU71))+AE71),6)</f>
        <v>0</v>
      </c>
      <c r="AE71">
        <f>ROUND((EU71),6)</f>
        <v>0</v>
      </c>
      <c r="AF71">
        <f>ROUND((EV71),6)</f>
        <v>0</v>
      </c>
      <c r="AG71">
        <f t="shared" si="55"/>
        <v>0</v>
      </c>
      <c r="AH71">
        <f>(EW71)</f>
        <v>0</v>
      </c>
      <c r="AI71">
        <f>(EX71)</f>
        <v>0</v>
      </c>
      <c r="AJ71">
        <f t="shared" si="56"/>
        <v>0</v>
      </c>
      <c r="AK71">
        <v>240.07</v>
      </c>
      <c r="AL71">
        <v>240.07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1</v>
      </c>
      <c r="AZ71">
        <v>1</v>
      </c>
      <c r="BA71">
        <v>1</v>
      </c>
      <c r="BB71">
        <v>1</v>
      </c>
      <c r="BC71">
        <v>7.66</v>
      </c>
      <c r="BD71" t="s">
        <v>3</v>
      </c>
      <c r="BE71" t="s">
        <v>3</v>
      </c>
      <c r="BF71" t="s">
        <v>3</v>
      </c>
      <c r="BG71" t="s">
        <v>3</v>
      </c>
      <c r="BH71">
        <v>3</v>
      </c>
      <c r="BI71">
        <v>3</v>
      </c>
      <c r="BJ71" t="s">
        <v>3</v>
      </c>
      <c r="BM71">
        <v>746</v>
      </c>
      <c r="BN71">
        <v>0</v>
      </c>
      <c r="BO71" t="s">
        <v>3</v>
      </c>
      <c r="BP71">
        <v>0</v>
      </c>
      <c r="BQ71">
        <v>130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 t="s">
        <v>3</v>
      </c>
      <c r="BZ71">
        <v>0</v>
      </c>
      <c r="CA71">
        <v>0</v>
      </c>
      <c r="CB71" t="s">
        <v>3</v>
      </c>
      <c r="CE71">
        <v>1566</v>
      </c>
      <c r="CF71">
        <v>0</v>
      </c>
      <c r="CG71">
        <v>0</v>
      </c>
      <c r="CM71">
        <v>0</v>
      </c>
      <c r="CN71" t="s">
        <v>3</v>
      </c>
      <c r="CO71">
        <v>0</v>
      </c>
      <c r="CP71">
        <f t="shared" si="57"/>
        <v>55168.09</v>
      </c>
      <c r="CQ71">
        <f>ROUND((ROUND((AC71*1),2)*BC71),2)</f>
        <v>1838.94</v>
      </c>
      <c r="CR71">
        <f>(ROUND((ROUND(((ET71)*AV71*1),2)*BB71),2)+ROUND((ROUND(((AE71-(EU71))*AV71*1),2)*BS71),2))</f>
        <v>0</v>
      </c>
      <c r="CS71">
        <f>(ROUND((ROUND(((EU71)*AV71*1),2)*BS71),2)+ROUND((ROUND(((AE71-(EU71))*AV71*1),2)*BS71),2))</f>
        <v>0</v>
      </c>
      <c r="CT71">
        <f t="shared" si="58"/>
        <v>0</v>
      </c>
      <c r="CU71">
        <f t="shared" si="59"/>
        <v>0</v>
      </c>
      <c r="CV71">
        <f t="shared" si="60"/>
        <v>0</v>
      </c>
      <c r="CW71">
        <f t="shared" si="61"/>
        <v>0</v>
      </c>
      <c r="CX71">
        <f t="shared" si="62"/>
        <v>0</v>
      </c>
      <c r="CY71">
        <f>(ROUND((((S71+ROUND((ROUND(((EU71)*AV71*1),2)*BS71),2))*AT71)/100),2)+ROUND(((ROUND((ROUND(((AE71-(EU71))*AV71*1),2)*BS71),2)*AT71)/100),2))</f>
        <v>0</v>
      </c>
      <c r="CZ71">
        <f>(ROUND((((S71+ROUND((ROUND(((EU71)*AV71*1),2)*BS71),2))*AU71)/100),2)+ROUND(((ROUND((ROUND(((AE71-(EU71))*AV71*1),2)*BS71),2)*AU71)/100),2))</f>
        <v>0</v>
      </c>
      <c r="DC71" t="s">
        <v>3</v>
      </c>
      <c r="DD71" t="s">
        <v>3</v>
      </c>
      <c r="DE71" t="s">
        <v>3</v>
      </c>
      <c r="DF71" t="s">
        <v>3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>
        <v>0</v>
      </c>
      <c r="DO71">
        <v>0</v>
      </c>
      <c r="DP71">
        <v>1</v>
      </c>
      <c r="DQ71">
        <v>1</v>
      </c>
      <c r="DU71">
        <v>1013</v>
      </c>
      <c r="DV71" t="s">
        <v>32</v>
      </c>
      <c r="DW71" t="s">
        <v>32</v>
      </c>
      <c r="DX71">
        <v>1</v>
      </c>
      <c r="DZ71" t="s">
        <v>3</v>
      </c>
      <c r="EA71" t="s">
        <v>3</v>
      </c>
      <c r="EB71" t="s">
        <v>3</v>
      </c>
      <c r="EC71" t="s">
        <v>3</v>
      </c>
      <c r="EE71">
        <v>60088638</v>
      </c>
      <c r="EF71">
        <v>130</v>
      </c>
      <c r="EG71" t="s">
        <v>33</v>
      </c>
      <c r="EH71">
        <v>0</v>
      </c>
      <c r="EI71" t="s">
        <v>3</v>
      </c>
      <c r="EJ71">
        <v>3</v>
      </c>
      <c r="EK71">
        <v>746</v>
      </c>
      <c r="EL71" t="s">
        <v>34</v>
      </c>
      <c r="EM71" t="s">
        <v>35</v>
      </c>
      <c r="EO71" t="s">
        <v>3</v>
      </c>
      <c r="EQ71">
        <v>0</v>
      </c>
      <c r="ER71">
        <v>0</v>
      </c>
      <c r="ES71">
        <v>240.07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5</v>
      </c>
      <c r="FC71">
        <v>1</v>
      </c>
      <c r="FD71">
        <v>18</v>
      </c>
      <c r="FF71">
        <v>2117</v>
      </c>
      <c r="FQ71">
        <v>0</v>
      </c>
      <c r="FR71">
        <f>P71</f>
        <v>55168.09</v>
      </c>
      <c r="FS71">
        <v>0</v>
      </c>
      <c r="FX71">
        <v>0</v>
      </c>
      <c r="FY71">
        <v>0</v>
      </c>
      <c r="GA71" t="s">
        <v>110</v>
      </c>
      <c r="GD71">
        <v>1</v>
      </c>
      <c r="GF71">
        <v>1183657808</v>
      </c>
      <c r="GG71">
        <v>2</v>
      </c>
      <c r="GH71">
        <v>3</v>
      </c>
      <c r="GI71">
        <v>5</v>
      </c>
      <c r="GJ71">
        <v>0</v>
      </c>
      <c r="GK71">
        <v>0</v>
      </c>
      <c r="GL71">
        <f t="shared" si="63"/>
        <v>0</v>
      </c>
      <c r="GM71">
        <f t="shared" si="64"/>
        <v>55168.09</v>
      </c>
      <c r="GN71">
        <f t="shared" si="65"/>
        <v>0</v>
      </c>
      <c r="GO71">
        <f t="shared" si="66"/>
        <v>0</v>
      </c>
      <c r="GP71">
        <f t="shared" si="67"/>
        <v>0</v>
      </c>
      <c r="GR71">
        <v>1</v>
      </c>
      <c r="GS71">
        <v>1</v>
      </c>
      <c r="GT71">
        <v>0</v>
      </c>
      <c r="GU71" t="s">
        <v>3</v>
      </c>
      <c r="GV71">
        <f t="shared" si="68"/>
        <v>0</v>
      </c>
      <c r="GW71">
        <v>1</v>
      </c>
      <c r="GX71">
        <f t="shared" si="69"/>
        <v>0</v>
      </c>
      <c r="HA71">
        <v>0</v>
      </c>
      <c r="HB71">
        <v>0</v>
      </c>
      <c r="HC71">
        <f t="shared" si="70"/>
        <v>0</v>
      </c>
      <c r="HE71" t="s">
        <v>37</v>
      </c>
      <c r="HF71" t="s">
        <v>38</v>
      </c>
      <c r="HM71" t="s">
        <v>3</v>
      </c>
      <c r="HN71" t="s">
        <v>3</v>
      </c>
      <c r="HO71" t="s">
        <v>3</v>
      </c>
      <c r="HP71" t="s">
        <v>3</v>
      </c>
      <c r="HQ71" t="s">
        <v>3</v>
      </c>
      <c r="HS71">
        <v>0</v>
      </c>
      <c r="IK71">
        <v>0</v>
      </c>
    </row>
    <row r="72" spans="1:255" x14ac:dyDescent="0.2">
      <c r="A72" s="2">
        <v>17</v>
      </c>
      <c r="B72" s="2">
        <v>1</v>
      </c>
      <c r="C72" s="2">
        <f>ROW(SmtRes!A41)</f>
        <v>41</v>
      </c>
      <c r="D72" s="2">
        <f>ROW(EtalonRes!A49)</f>
        <v>49</v>
      </c>
      <c r="E72" s="2" t="s">
        <v>111</v>
      </c>
      <c r="F72" s="2" t="s">
        <v>112</v>
      </c>
      <c r="G72" s="2" t="s">
        <v>113</v>
      </c>
      <c r="H72" s="2" t="s">
        <v>21</v>
      </c>
      <c r="I72" s="2">
        <v>86</v>
      </c>
      <c r="J72" s="2">
        <v>0</v>
      </c>
      <c r="K72" s="2">
        <v>86</v>
      </c>
      <c r="L72" s="2"/>
      <c r="M72" s="2"/>
      <c r="N72" s="2"/>
      <c r="O72" s="2">
        <f t="shared" si="48"/>
        <v>1140.19</v>
      </c>
      <c r="P72" s="2">
        <f>ROUND((ROUND((AC72*AW72*I72),2)*BC72),2)</f>
        <v>90.3</v>
      </c>
      <c r="Q72" s="2">
        <f>(ROUND((ROUND((((ET72*1.1))*AV72*I72),2)*BB72),2)+ROUND((ROUND(((AE72-((EU72*1.1)))*AV72*I72),2)*BS72),2))</f>
        <v>0</v>
      </c>
      <c r="R72" s="2">
        <f>(ROUND((ROUND((((EU72*1.1))*AV72*I72),2)*BS72),2)+ROUND((ROUND(((AE72-((EU72*1.1)))*AV72*I72),2)*BS72),2))</f>
        <v>0</v>
      </c>
      <c r="S72" s="2">
        <f t="shared" si="49"/>
        <v>1049.8900000000001</v>
      </c>
      <c r="T72" s="2">
        <f t="shared" si="50"/>
        <v>0</v>
      </c>
      <c r="U72" s="2">
        <f t="shared" si="51"/>
        <v>83.198808</v>
      </c>
      <c r="V72" s="2">
        <f t="shared" si="52"/>
        <v>0</v>
      </c>
      <c r="W72" s="2">
        <f t="shared" si="53"/>
        <v>0</v>
      </c>
      <c r="X72" s="2">
        <f>(ROUND((((S72+ROUND((ROUND((((EU72*1.1))*AV72*I72),2)*BS72),2))*AT72)/100),2)+ROUND(((ROUND((ROUND(((AE72-((EU72*1.1)))*AV72*I72),2)*BS72),2)*AT72)/100),2))</f>
        <v>944.9</v>
      </c>
      <c r="Y72" s="2">
        <f>(ROUND((((S72+ROUND((ROUND((((EU72*1.1))*AV72*I72),2)*BS72),2))*AU72)/100),2)+ROUND(((ROUND((ROUND(((AE72-((EU72*1.1)))*AV72*I72),2)*BS72),2)*AU72)/100),2))</f>
        <v>482.95</v>
      </c>
      <c r="Z72" s="2"/>
      <c r="AA72" s="2">
        <v>60258621</v>
      </c>
      <c r="AB72" s="2">
        <f t="shared" si="54"/>
        <v>12.71</v>
      </c>
      <c r="AC72" s="2">
        <f>ROUND(((ES72*1)),6)</f>
        <v>1.05</v>
      </c>
      <c r="AD72" s="2">
        <f>ROUND(((((ET72*1.1))-((EU72*1.1)))+AE72),6)</f>
        <v>0</v>
      </c>
      <c r="AE72" s="2">
        <f>ROUND(((EU72*1.1)),6)</f>
        <v>0</v>
      </c>
      <c r="AF72" s="2">
        <f>ROUND(((EV72*1.1)),6)</f>
        <v>11.66</v>
      </c>
      <c r="AG72" s="2">
        <f t="shared" si="55"/>
        <v>0</v>
      </c>
      <c r="AH72" s="2">
        <f>((EW72*1.1))</f>
        <v>0.92400000000000004</v>
      </c>
      <c r="AI72" s="2">
        <f>((EX72*1.1))</f>
        <v>0</v>
      </c>
      <c r="AJ72" s="2">
        <f t="shared" si="56"/>
        <v>0</v>
      </c>
      <c r="AK72" s="2">
        <v>11.65</v>
      </c>
      <c r="AL72" s="2">
        <v>1.05</v>
      </c>
      <c r="AM72" s="2">
        <v>0</v>
      </c>
      <c r="AN72" s="2">
        <v>0</v>
      </c>
      <c r="AO72" s="2">
        <v>10.6</v>
      </c>
      <c r="AP72" s="2">
        <v>0</v>
      </c>
      <c r="AQ72" s="2">
        <v>0.84</v>
      </c>
      <c r="AR72" s="2">
        <v>0</v>
      </c>
      <c r="AS72" s="2">
        <v>0</v>
      </c>
      <c r="AT72" s="2">
        <v>90</v>
      </c>
      <c r="AU72" s="2">
        <v>46</v>
      </c>
      <c r="AV72" s="2">
        <v>1.0469999999999999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0</v>
      </c>
      <c r="BI72" s="2">
        <v>2</v>
      </c>
      <c r="BJ72" s="2" t="s">
        <v>114</v>
      </c>
      <c r="BK72" s="2"/>
      <c r="BL72" s="2"/>
      <c r="BM72" s="2">
        <v>68</v>
      </c>
      <c r="BN72" s="2">
        <v>58973116</v>
      </c>
      <c r="BO72" s="2" t="s">
        <v>112</v>
      </c>
      <c r="BP72" s="2">
        <v>1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90</v>
      </c>
      <c r="CA72" s="2">
        <v>46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407</v>
      </c>
      <c r="CO72" s="2">
        <v>0</v>
      </c>
      <c r="CP72" s="2">
        <f t="shared" si="57"/>
        <v>1140.19</v>
      </c>
      <c r="CQ72" s="2">
        <f>ROUND((ROUND((AC72*AW72*1),2)*BC72),2)</f>
        <v>1.05</v>
      </c>
      <c r="CR72" s="2">
        <f>(ROUND((ROUND((((ET72*1.1))*AV72*1),2)*BB72),2)+ROUND((ROUND(((AE72-((EU72*1.1)))*AV72*1),2)*BS72),2))</f>
        <v>0</v>
      </c>
      <c r="CS72" s="2">
        <f>(ROUND((ROUND((((EU72*1.1))*AV72*1),2)*BS72),2)+ROUND((ROUND(((AE72-((EU72*1.1)))*AV72*1),2)*BS72),2))</f>
        <v>0</v>
      </c>
      <c r="CT72" s="2">
        <f t="shared" si="58"/>
        <v>12.21</v>
      </c>
      <c r="CU72" s="2">
        <f t="shared" si="59"/>
        <v>0</v>
      </c>
      <c r="CV72" s="2">
        <f t="shared" si="60"/>
        <v>0.96742799999999995</v>
      </c>
      <c r="CW72" s="2">
        <f t="shared" si="61"/>
        <v>0</v>
      </c>
      <c r="CX72" s="2">
        <f t="shared" si="62"/>
        <v>0</v>
      </c>
      <c r="CY72" s="2">
        <f>(ROUND((((S72+ROUND((ROUND((((EU72*1.1))*AV72*1),2)*BS72),2))*AT72)/100),2)+ROUND(((ROUND((ROUND(((AE72-((EU72*1.1)))*AV72*1),2)*BS72),2)*AT72)/100),2))</f>
        <v>944.9</v>
      </c>
      <c r="CZ72" s="2">
        <f>(ROUND((((S72+ROUND((ROUND((((EU72*1.1))*AV72*1),2)*BS72),2))*AU72)/100),2)+ROUND(((ROUND((ROUND(((AE72-((EU72*1.1)))*AV72*1),2)*BS72),2)*AU72)/100),2))</f>
        <v>482.95</v>
      </c>
      <c r="DA72" s="2"/>
      <c r="DB72" s="2">
        <v>21</v>
      </c>
      <c r="DC72" s="2" t="s">
        <v>3</v>
      </c>
      <c r="DD72" s="2" t="s">
        <v>23</v>
      </c>
      <c r="DE72" s="2" t="s">
        <v>24</v>
      </c>
      <c r="DF72" s="2" t="s">
        <v>24</v>
      </c>
      <c r="DG72" s="2" t="s">
        <v>24</v>
      </c>
      <c r="DH72" s="2" t="s">
        <v>3</v>
      </c>
      <c r="DI72" s="2" t="s">
        <v>24</v>
      </c>
      <c r="DJ72" s="2" t="s">
        <v>24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1013</v>
      </c>
      <c r="DV72" s="2" t="s">
        <v>21</v>
      </c>
      <c r="DW72" s="2" t="s">
        <v>21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60088532</v>
      </c>
      <c r="EF72" s="2">
        <v>40</v>
      </c>
      <c r="EG72" s="2" t="s">
        <v>25</v>
      </c>
      <c r="EH72" s="2">
        <v>0</v>
      </c>
      <c r="EI72" s="2" t="s">
        <v>3</v>
      </c>
      <c r="EJ72" s="2">
        <v>2</v>
      </c>
      <c r="EK72" s="2">
        <v>68</v>
      </c>
      <c r="EL72" s="2" t="s">
        <v>46</v>
      </c>
      <c r="EM72" s="2" t="s">
        <v>47</v>
      </c>
      <c r="EN72" s="2"/>
      <c r="EO72" s="2" t="s">
        <v>28</v>
      </c>
      <c r="EP72" s="2"/>
      <c r="EQ72" s="2">
        <v>0</v>
      </c>
      <c r="ER72" s="2">
        <v>11.65</v>
      </c>
      <c r="ES72" s="2">
        <v>1.05</v>
      </c>
      <c r="ET72" s="2">
        <v>0</v>
      </c>
      <c r="EU72" s="2">
        <v>0</v>
      </c>
      <c r="EV72" s="2">
        <v>10.6</v>
      </c>
      <c r="EW72" s="2">
        <v>0.84</v>
      </c>
      <c r="EX72" s="2">
        <v>0</v>
      </c>
      <c r="EY72" s="2">
        <v>0</v>
      </c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90</v>
      </c>
      <c r="FY72" s="2">
        <v>46</v>
      </c>
      <c r="FZ72" s="2"/>
      <c r="GA72" s="2" t="s">
        <v>3</v>
      </c>
      <c r="GB72" s="2"/>
      <c r="GC72" s="2"/>
      <c r="GD72" s="2">
        <v>1</v>
      </c>
      <c r="GE72" s="2"/>
      <c r="GF72" s="2">
        <v>1491178318</v>
      </c>
      <c r="GG72" s="2">
        <v>2</v>
      </c>
      <c r="GH72" s="2">
        <v>1</v>
      </c>
      <c r="GI72" s="2">
        <v>2</v>
      </c>
      <c r="GJ72" s="2">
        <v>0</v>
      </c>
      <c r="GK72" s="2">
        <v>0</v>
      </c>
      <c r="GL72" s="2">
        <f t="shared" si="63"/>
        <v>0</v>
      </c>
      <c r="GM72" s="2">
        <f t="shared" si="64"/>
        <v>2568.04</v>
      </c>
      <c r="GN72" s="2">
        <f t="shared" si="65"/>
        <v>0</v>
      </c>
      <c r="GO72" s="2">
        <f t="shared" si="66"/>
        <v>2568.04</v>
      </c>
      <c r="GP72" s="2">
        <f t="shared" si="67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68"/>
        <v>0</v>
      </c>
      <c r="GW72" s="2">
        <v>1</v>
      </c>
      <c r="GX72" s="2">
        <f t="shared" si="69"/>
        <v>0</v>
      </c>
      <c r="GY72" s="2"/>
      <c r="GZ72" s="2"/>
      <c r="HA72" s="2">
        <v>0</v>
      </c>
      <c r="HB72" s="2">
        <v>0</v>
      </c>
      <c r="HC72" s="2">
        <f t="shared" si="70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>
        <v>17</v>
      </c>
      <c r="B73">
        <v>1</v>
      </c>
      <c r="C73">
        <f>ROW(SmtRes!A42)</f>
        <v>42</v>
      </c>
      <c r="D73">
        <f>ROW(EtalonRes!A50)</f>
        <v>50</v>
      </c>
      <c r="E73" t="s">
        <v>111</v>
      </c>
      <c r="F73" t="s">
        <v>112</v>
      </c>
      <c r="G73" t="s">
        <v>113</v>
      </c>
      <c r="H73" t="s">
        <v>21</v>
      </c>
      <c r="I73">
        <v>86</v>
      </c>
      <c r="J73">
        <v>0</v>
      </c>
      <c r="K73">
        <v>86</v>
      </c>
      <c r="O73">
        <f t="shared" si="48"/>
        <v>58626.52</v>
      </c>
      <c r="P73">
        <f>ROUND((ROUND((AC73*AW73*I73),2)*BC73),2)</f>
        <v>893.07</v>
      </c>
      <c r="Q73">
        <f>(ROUND((ROUND((((ET73*1.1))*AV73*I73),2)*BB73),2)+ROUND((ROUND(((AE73-((EU73*1.1)))*AV73*I73),2)*BS73),2))</f>
        <v>0</v>
      </c>
      <c r="R73">
        <f>(ROUND((ROUND((((EU73*1.1))*AV73*I73),2)*BS73),2)+ROUND((ROUND(((AE73-((EU73*1.1)))*AV73*I73),2)*BS73),2))</f>
        <v>0</v>
      </c>
      <c r="S73">
        <f t="shared" si="49"/>
        <v>57733.45</v>
      </c>
      <c r="T73">
        <f t="shared" si="50"/>
        <v>0</v>
      </c>
      <c r="U73">
        <f t="shared" si="51"/>
        <v>83.198808</v>
      </c>
      <c r="V73">
        <f t="shared" si="52"/>
        <v>0</v>
      </c>
      <c r="W73">
        <f t="shared" si="53"/>
        <v>0</v>
      </c>
      <c r="X73">
        <f>(ROUND((((S73+ROUND((ROUND((((EU73*1.1))*AV73*I73),2)*BS73),2))*AT73)/100),2)+ROUND(((ROUND((ROUND(((AE73-((EU73*1.1)))*AV73*I73),2)*BS73),2)*AT73)/100),2))</f>
        <v>51960.11</v>
      </c>
      <c r="Y73">
        <f>(ROUND((((S73+ROUND((ROUND((((EU73*1.1))*AV73*I73),2)*BS73),2))*AU73)/100),2)+ROUND(((ROUND((ROUND(((AE73-((EU73*1.1)))*AV73*I73),2)*BS73),2)*AU73)/100),2))</f>
        <v>26557.39</v>
      </c>
      <c r="AA73">
        <v>60258618</v>
      </c>
      <c r="AB73">
        <f t="shared" si="54"/>
        <v>12.71</v>
      </c>
      <c r="AC73">
        <f>ROUND(((ES73*1)),6)</f>
        <v>1.05</v>
      </c>
      <c r="AD73">
        <f>ROUND(((((ET73*1.1))-((EU73*1.1)))+AE73),6)</f>
        <v>0</v>
      </c>
      <c r="AE73">
        <f>ROUND(((EU73*1.1)),6)</f>
        <v>0</v>
      </c>
      <c r="AF73">
        <f>ROUND(((EV73*1.1)),6)</f>
        <v>11.66</v>
      </c>
      <c r="AG73">
        <f t="shared" si="55"/>
        <v>0</v>
      </c>
      <c r="AH73">
        <f>((EW73*1.1))</f>
        <v>0.92400000000000004</v>
      </c>
      <c r="AI73">
        <f>((EX73*1.1))</f>
        <v>0</v>
      </c>
      <c r="AJ73">
        <f t="shared" si="56"/>
        <v>0</v>
      </c>
      <c r="AK73">
        <v>11.65</v>
      </c>
      <c r="AL73">
        <v>1.05</v>
      </c>
      <c r="AM73">
        <v>0</v>
      </c>
      <c r="AN73">
        <v>0</v>
      </c>
      <c r="AO73">
        <v>10.6</v>
      </c>
      <c r="AP73">
        <v>0</v>
      </c>
      <c r="AQ73">
        <v>0.84</v>
      </c>
      <c r="AR73">
        <v>0</v>
      </c>
      <c r="AS73">
        <v>0</v>
      </c>
      <c r="AT73">
        <v>90</v>
      </c>
      <c r="AU73">
        <v>46</v>
      </c>
      <c r="AV73">
        <v>1.0469999999999999</v>
      </c>
      <c r="AW73">
        <v>1</v>
      </c>
      <c r="AZ73">
        <v>1</v>
      </c>
      <c r="BA73">
        <v>54.99</v>
      </c>
      <c r="BB73">
        <v>1</v>
      </c>
      <c r="BC73">
        <v>9.89</v>
      </c>
      <c r="BD73" t="s">
        <v>3</v>
      </c>
      <c r="BE73" t="s">
        <v>3</v>
      </c>
      <c r="BF73" t="s">
        <v>3</v>
      </c>
      <c r="BG73" t="s">
        <v>3</v>
      </c>
      <c r="BH73">
        <v>0</v>
      </c>
      <c r="BI73">
        <v>2</v>
      </c>
      <c r="BJ73" t="s">
        <v>114</v>
      </c>
      <c r="BM73">
        <v>68</v>
      </c>
      <c r="BN73">
        <v>58973116</v>
      </c>
      <c r="BO73" t="s">
        <v>112</v>
      </c>
      <c r="BP73">
        <v>1</v>
      </c>
      <c r="BQ73">
        <v>40</v>
      </c>
      <c r="BR73">
        <v>0</v>
      </c>
      <c r="BS73">
        <v>54.99</v>
      </c>
      <c r="BT73">
        <v>1</v>
      </c>
      <c r="BU73">
        <v>1</v>
      </c>
      <c r="BV73">
        <v>1</v>
      </c>
      <c r="BW73">
        <v>1</v>
      </c>
      <c r="BX73">
        <v>1</v>
      </c>
      <c r="BY73" t="s">
        <v>3</v>
      </c>
      <c r="BZ73">
        <v>90</v>
      </c>
      <c r="CA73">
        <v>46</v>
      </c>
      <c r="CB73" t="s">
        <v>3</v>
      </c>
      <c r="CE73">
        <v>1566</v>
      </c>
      <c r="CF73">
        <v>0</v>
      </c>
      <c r="CG73">
        <v>0</v>
      </c>
      <c r="CM73">
        <v>0</v>
      </c>
      <c r="CN73" t="s">
        <v>407</v>
      </c>
      <c r="CO73">
        <v>0</v>
      </c>
      <c r="CP73">
        <f t="shared" si="57"/>
        <v>58626.52</v>
      </c>
      <c r="CQ73">
        <f>ROUND((ROUND((AC73*AW73*1),2)*BC73),2)</f>
        <v>10.38</v>
      </c>
      <c r="CR73">
        <f>(ROUND((ROUND((((ET73*1.1))*AV73*1),2)*BB73),2)+ROUND((ROUND(((AE73-((EU73*1.1)))*AV73*1),2)*BS73),2))</f>
        <v>0</v>
      </c>
      <c r="CS73">
        <f>(ROUND((ROUND((((EU73*1.1))*AV73*1),2)*BS73),2)+ROUND((ROUND(((AE73-((EU73*1.1)))*AV73*1),2)*BS73),2))</f>
        <v>0</v>
      </c>
      <c r="CT73">
        <f t="shared" si="58"/>
        <v>671.43</v>
      </c>
      <c r="CU73">
        <f t="shared" si="59"/>
        <v>0</v>
      </c>
      <c r="CV73">
        <f t="shared" si="60"/>
        <v>0.96742799999999995</v>
      </c>
      <c r="CW73">
        <f t="shared" si="61"/>
        <v>0</v>
      </c>
      <c r="CX73">
        <f t="shared" si="62"/>
        <v>0</v>
      </c>
      <c r="CY73">
        <f>(ROUND((((S73+ROUND((ROUND((((EU73*1.1))*AV73*1),2)*BS73),2))*AT73)/100),2)+ROUND(((ROUND((ROUND(((AE73-((EU73*1.1)))*AV73*1),2)*BS73),2)*AT73)/100),2))</f>
        <v>51960.11</v>
      </c>
      <c r="CZ73">
        <f>(ROUND((((S73+ROUND((ROUND((((EU73*1.1))*AV73*1),2)*BS73),2))*AU73)/100),2)+ROUND(((ROUND((ROUND(((AE73-((EU73*1.1)))*AV73*1),2)*BS73),2)*AU73)/100),2))</f>
        <v>26557.39</v>
      </c>
      <c r="DB73">
        <v>22</v>
      </c>
      <c r="DC73" t="s">
        <v>3</v>
      </c>
      <c r="DD73" t="s">
        <v>23</v>
      </c>
      <c r="DE73" t="s">
        <v>24</v>
      </c>
      <c r="DF73" t="s">
        <v>24</v>
      </c>
      <c r="DG73" t="s">
        <v>24</v>
      </c>
      <c r="DH73" t="s">
        <v>3</v>
      </c>
      <c r="DI73" t="s">
        <v>24</v>
      </c>
      <c r="DJ73" t="s">
        <v>24</v>
      </c>
      <c r="DK73" t="s">
        <v>3</v>
      </c>
      <c r="DL73" t="s">
        <v>3</v>
      </c>
      <c r="DM73" t="s">
        <v>3</v>
      </c>
      <c r="DN73">
        <v>0</v>
      </c>
      <c r="DO73">
        <v>0</v>
      </c>
      <c r="DP73">
        <v>1</v>
      </c>
      <c r="DQ73">
        <v>1</v>
      </c>
      <c r="DU73">
        <v>1013</v>
      </c>
      <c r="DV73" t="s">
        <v>21</v>
      </c>
      <c r="DW73" t="s">
        <v>21</v>
      </c>
      <c r="DX73">
        <v>1</v>
      </c>
      <c r="DZ73" t="s">
        <v>3</v>
      </c>
      <c r="EA73" t="s">
        <v>3</v>
      </c>
      <c r="EB73" t="s">
        <v>3</v>
      </c>
      <c r="EC73" t="s">
        <v>3</v>
      </c>
      <c r="EE73">
        <v>60088532</v>
      </c>
      <c r="EF73">
        <v>40</v>
      </c>
      <c r="EG73" t="s">
        <v>25</v>
      </c>
      <c r="EH73">
        <v>0</v>
      </c>
      <c r="EI73" t="s">
        <v>3</v>
      </c>
      <c r="EJ73">
        <v>2</v>
      </c>
      <c r="EK73">
        <v>68</v>
      </c>
      <c r="EL73" t="s">
        <v>46</v>
      </c>
      <c r="EM73" t="s">
        <v>47</v>
      </c>
      <c r="EO73" t="s">
        <v>28</v>
      </c>
      <c r="EQ73">
        <v>0</v>
      </c>
      <c r="ER73">
        <v>11.65</v>
      </c>
      <c r="ES73">
        <v>1.05</v>
      </c>
      <c r="ET73">
        <v>0</v>
      </c>
      <c r="EU73">
        <v>0</v>
      </c>
      <c r="EV73">
        <v>10.6</v>
      </c>
      <c r="EW73">
        <v>0.84</v>
      </c>
      <c r="EX73">
        <v>0</v>
      </c>
      <c r="EY73">
        <v>0</v>
      </c>
      <c r="FQ73">
        <v>0</v>
      </c>
      <c r="FR73">
        <v>0</v>
      </c>
      <c r="FS73">
        <v>0</v>
      </c>
      <c r="FX73">
        <v>90</v>
      </c>
      <c r="FY73">
        <v>46</v>
      </c>
      <c r="GA73" t="s">
        <v>3</v>
      </c>
      <c r="GD73">
        <v>1</v>
      </c>
      <c r="GF73">
        <v>1491178318</v>
      </c>
      <c r="GG73">
        <v>2</v>
      </c>
      <c r="GH73">
        <v>1</v>
      </c>
      <c r="GI73">
        <v>2</v>
      </c>
      <c r="GJ73">
        <v>0</v>
      </c>
      <c r="GK73">
        <v>0</v>
      </c>
      <c r="GL73">
        <f t="shared" si="63"/>
        <v>0</v>
      </c>
      <c r="GM73">
        <f t="shared" si="64"/>
        <v>137144.01999999999</v>
      </c>
      <c r="GN73">
        <f t="shared" si="65"/>
        <v>0</v>
      </c>
      <c r="GO73">
        <f t="shared" si="66"/>
        <v>137144.01999999999</v>
      </c>
      <c r="GP73">
        <f t="shared" si="67"/>
        <v>0</v>
      </c>
      <c r="GR73">
        <v>0</v>
      </c>
      <c r="GS73">
        <v>3</v>
      </c>
      <c r="GT73">
        <v>0</v>
      </c>
      <c r="GU73" t="s">
        <v>3</v>
      </c>
      <c r="GV73">
        <f t="shared" si="68"/>
        <v>0</v>
      </c>
      <c r="GW73">
        <v>1</v>
      </c>
      <c r="GX73">
        <f t="shared" si="69"/>
        <v>0</v>
      </c>
      <c r="HA73">
        <v>0</v>
      </c>
      <c r="HB73">
        <v>0</v>
      </c>
      <c r="HC73">
        <f t="shared" si="70"/>
        <v>0</v>
      </c>
      <c r="HE73" t="s">
        <v>3</v>
      </c>
      <c r="HF73" t="s">
        <v>3</v>
      </c>
      <c r="HM73" t="s">
        <v>3</v>
      </c>
      <c r="HN73" t="s">
        <v>3</v>
      </c>
      <c r="HO73" t="s">
        <v>3</v>
      </c>
      <c r="HP73" t="s">
        <v>3</v>
      </c>
      <c r="HQ73" t="s">
        <v>3</v>
      </c>
      <c r="HS73">
        <v>0</v>
      </c>
      <c r="IK73">
        <v>0</v>
      </c>
    </row>
    <row r="74" spans="1:255" x14ac:dyDescent="0.2">
      <c r="A74" s="2">
        <v>17</v>
      </c>
      <c r="B74" s="2">
        <v>1</v>
      </c>
      <c r="C74" s="2"/>
      <c r="D74" s="2"/>
      <c r="E74" s="2" t="s">
        <v>115</v>
      </c>
      <c r="F74" s="2" t="s">
        <v>116</v>
      </c>
      <c r="G74" s="2" t="s">
        <v>117</v>
      </c>
      <c r="H74" s="2" t="s">
        <v>32</v>
      </c>
      <c r="I74" s="2">
        <v>86</v>
      </c>
      <c r="J74" s="2">
        <v>0</v>
      </c>
      <c r="K74" s="2">
        <v>86</v>
      </c>
      <c r="L74" s="2"/>
      <c r="M74" s="2"/>
      <c r="N74" s="2"/>
      <c r="O74" s="2">
        <f t="shared" si="48"/>
        <v>20927.240000000002</v>
      </c>
      <c r="P74" s="2">
        <f>ROUND((ROUND((AC74*I74),2)*BC74),2)</f>
        <v>20927.240000000002</v>
      </c>
      <c r="Q74" s="2">
        <f>(ROUND((ROUND(((ET74)*AV74*I74),2)*BB74),2)+ROUND((ROUND(((AE74-(EU74))*AV74*I74),2)*BS74),2))</f>
        <v>0</v>
      </c>
      <c r="R74" s="2">
        <f>(ROUND((ROUND(((EU74)*AV74*I74),2)*BS74),2)+ROUND((ROUND(((AE74-(EU74))*AV74*I74),2)*BS74),2))</f>
        <v>0</v>
      </c>
      <c r="S74" s="2">
        <f t="shared" si="49"/>
        <v>0</v>
      </c>
      <c r="T74" s="2">
        <f t="shared" si="50"/>
        <v>0</v>
      </c>
      <c r="U74" s="2">
        <f t="shared" si="51"/>
        <v>0</v>
      </c>
      <c r="V74" s="2">
        <f t="shared" si="52"/>
        <v>0</v>
      </c>
      <c r="W74" s="2">
        <f t="shared" si="53"/>
        <v>0</v>
      </c>
      <c r="X74" s="2">
        <f>(ROUND((((S74+ROUND((ROUND(((EU74)*AV74*I74),2)*BS74),2))*AT74)/100),2)+ROUND(((ROUND((ROUND(((AE74-(EU74))*AV74*I74),2)*BS74),2)*AT74)/100),2))</f>
        <v>0</v>
      </c>
      <c r="Y74" s="2">
        <f>(ROUND((((S74+ROUND((ROUND(((EU74)*AV74*I74),2)*BS74),2))*AU74)/100),2)+ROUND(((ROUND((ROUND(((AE74-(EU74))*AV74*I74),2)*BS74),2)*AU74)/100),2))</f>
        <v>0</v>
      </c>
      <c r="Z74" s="2"/>
      <c r="AA74" s="2">
        <v>60258621</v>
      </c>
      <c r="AB74" s="2">
        <f t="shared" si="54"/>
        <v>243.34</v>
      </c>
      <c r="AC74" s="2">
        <f>ROUND((ES74),6)</f>
        <v>243.34</v>
      </c>
      <c r="AD74" s="2">
        <f>ROUND((((ET74)-(EU74))+AE74),6)</f>
        <v>0</v>
      </c>
      <c r="AE74" s="2">
        <f>ROUND((EU74),6)</f>
        <v>0</v>
      </c>
      <c r="AF74" s="2">
        <f>ROUND((EV74),6)</f>
        <v>0</v>
      </c>
      <c r="AG74" s="2">
        <f t="shared" si="55"/>
        <v>0</v>
      </c>
      <c r="AH74" s="2">
        <f>(EW74)</f>
        <v>0</v>
      </c>
      <c r="AI74" s="2">
        <f>(EX74)</f>
        <v>0</v>
      </c>
      <c r="AJ74" s="2">
        <f t="shared" si="56"/>
        <v>0</v>
      </c>
      <c r="AK74" s="2">
        <v>243.33999999999997</v>
      </c>
      <c r="AL74" s="2">
        <v>243.33999999999997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3</v>
      </c>
      <c r="BJ74" s="2" t="s">
        <v>3</v>
      </c>
      <c r="BK74" s="2"/>
      <c r="BL74" s="2"/>
      <c r="BM74" s="2">
        <v>746</v>
      </c>
      <c r="BN74" s="2">
        <v>0</v>
      </c>
      <c r="BO74" s="2" t="s">
        <v>3</v>
      </c>
      <c r="BP74" s="2">
        <v>0</v>
      </c>
      <c r="BQ74" s="2">
        <v>130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0</v>
      </c>
      <c r="CA74" s="2">
        <v>0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57"/>
        <v>20927.240000000002</v>
      </c>
      <c r="CQ74" s="2">
        <f>ROUND((ROUND((AC74*1),2)*BC74),2)</f>
        <v>243.34</v>
      </c>
      <c r="CR74" s="2">
        <f>(ROUND((ROUND(((ET74)*AV74*1),2)*BB74),2)+ROUND((ROUND(((AE74-(EU74))*AV74*1),2)*BS74),2))</f>
        <v>0</v>
      </c>
      <c r="CS74" s="2">
        <f>(ROUND((ROUND(((EU74)*AV74*1),2)*BS74),2)+ROUND((ROUND(((AE74-(EU74))*AV74*1),2)*BS74),2))</f>
        <v>0</v>
      </c>
      <c r="CT74" s="2">
        <f t="shared" si="58"/>
        <v>0</v>
      </c>
      <c r="CU74" s="2">
        <f t="shared" si="59"/>
        <v>0</v>
      </c>
      <c r="CV74" s="2">
        <f t="shared" si="60"/>
        <v>0</v>
      </c>
      <c r="CW74" s="2">
        <f t="shared" si="61"/>
        <v>0</v>
      </c>
      <c r="CX74" s="2">
        <f t="shared" si="62"/>
        <v>0</v>
      </c>
      <c r="CY74" s="2">
        <f>(ROUND((((S74+ROUND((ROUND(((EU74)*AV74*1),2)*BS74),2))*AT74)/100),2)+ROUND(((ROUND((ROUND(((AE74-(EU74))*AV74*1),2)*BS74),2)*AT74)/100),2))</f>
        <v>0</v>
      </c>
      <c r="CZ74" s="2">
        <f>(ROUND((((S74+ROUND((ROUND(((EU74)*AV74*1),2)*BS74),2))*AU74)/100),2)+ROUND(((ROUND((ROUND(((AE74-(EU74))*AV74*1),2)*BS74),2)*AU74)/100),2))</f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1013</v>
      </c>
      <c r="DV74" s="2" t="s">
        <v>32</v>
      </c>
      <c r="DW74" s="2" t="s">
        <v>32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60088638</v>
      </c>
      <c r="EF74" s="2">
        <v>130</v>
      </c>
      <c r="EG74" s="2" t="s">
        <v>33</v>
      </c>
      <c r="EH74" s="2">
        <v>0</v>
      </c>
      <c r="EI74" s="2" t="s">
        <v>3</v>
      </c>
      <c r="EJ74" s="2">
        <v>3</v>
      </c>
      <c r="EK74" s="2">
        <v>746</v>
      </c>
      <c r="EL74" s="2" t="s">
        <v>34</v>
      </c>
      <c r="EM74" s="2" t="s">
        <v>35</v>
      </c>
      <c r="EN74" s="2"/>
      <c r="EO74" s="2" t="s">
        <v>3</v>
      </c>
      <c r="EP74" s="2"/>
      <c r="EQ74" s="2">
        <v>0</v>
      </c>
      <c r="ER74" s="2">
        <v>0</v>
      </c>
      <c r="ES74" s="2">
        <v>243.33999999999997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f>P74</f>
        <v>20927.240000000002</v>
      </c>
      <c r="FS74" s="2">
        <v>0</v>
      </c>
      <c r="FT74" s="2"/>
      <c r="FU74" s="2"/>
      <c r="FV74" s="2"/>
      <c r="FW74" s="2"/>
      <c r="FX74" s="2">
        <v>0</v>
      </c>
      <c r="FY74" s="2">
        <v>0</v>
      </c>
      <c r="FZ74" s="2"/>
      <c r="GA74" s="2" t="s">
        <v>118</v>
      </c>
      <c r="GB74" s="2"/>
      <c r="GC74" s="2"/>
      <c r="GD74" s="2">
        <v>1</v>
      </c>
      <c r="GE74" s="2"/>
      <c r="GF74" s="2">
        <v>1074458305</v>
      </c>
      <c r="GG74" s="2">
        <v>2</v>
      </c>
      <c r="GH74" s="2">
        <v>4</v>
      </c>
      <c r="GI74" s="2">
        <v>-2</v>
      </c>
      <c r="GJ74" s="2">
        <v>0</v>
      </c>
      <c r="GK74" s="2">
        <v>0</v>
      </c>
      <c r="GL74" s="2">
        <f t="shared" si="63"/>
        <v>0</v>
      </c>
      <c r="GM74" s="2">
        <f t="shared" si="64"/>
        <v>20927.240000000002</v>
      </c>
      <c r="GN74" s="2">
        <f t="shared" si="65"/>
        <v>0</v>
      </c>
      <c r="GO74" s="2">
        <f t="shared" si="66"/>
        <v>0</v>
      </c>
      <c r="GP74" s="2">
        <f t="shared" si="67"/>
        <v>0</v>
      </c>
      <c r="GQ74" s="2"/>
      <c r="GR74" s="2">
        <v>0</v>
      </c>
      <c r="GS74" s="2">
        <v>2</v>
      </c>
      <c r="GT74" s="2">
        <v>0</v>
      </c>
      <c r="GU74" s="2" t="s">
        <v>3</v>
      </c>
      <c r="GV74" s="2">
        <f t="shared" si="68"/>
        <v>0</v>
      </c>
      <c r="GW74" s="2">
        <v>1</v>
      </c>
      <c r="GX74" s="2">
        <f t="shared" si="69"/>
        <v>0</v>
      </c>
      <c r="GY74" s="2"/>
      <c r="GZ74" s="2"/>
      <c r="HA74" s="2">
        <v>0</v>
      </c>
      <c r="HB74" s="2">
        <v>0</v>
      </c>
      <c r="HC74" s="2">
        <f t="shared" si="70"/>
        <v>0</v>
      </c>
      <c r="HD74" s="2"/>
      <c r="HE74" s="2" t="s">
        <v>37</v>
      </c>
      <c r="HF74" s="2" t="s">
        <v>38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>
        <v>17</v>
      </c>
      <c r="B75">
        <v>1</v>
      </c>
      <c r="E75" t="s">
        <v>115</v>
      </c>
      <c r="F75" t="s">
        <v>116</v>
      </c>
      <c r="G75" t="s">
        <v>117</v>
      </c>
      <c r="H75" t="s">
        <v>32</v>
      </c>
      <c r="I75">
        <v>86</v>
      </c>
      <c r="J75">
        <v>0</v>
      </c>
      <c r="K75">
        <v>86</v>
      </c>
      <c r="O75">
        <f t="shared" si="48"/>
        <v>160302.66</v>
      </c>
      <c r="P75">
        <f>ROUND((ROUND((AC75*I75),2)*BC75),2)</f>
        <v>160302.66</v>
      </c>
      <c r="Q75">
        <f>(ROUND((ROUND(((ET75)*AV75*I75),2)*BB75),2)+ROUND((ROUND(((AE75-(EU75))*AV75*I75),2)*BS75),2))</f>
        <v>0</v>
      </c>
      <c r="R75">
        <f>(ROUND((ROUND(((EU75)*AV75*I75),2)*BS75),2)+ROUND((ROUND(((AE75-(EU75))*AV75*I75),2)*BS75),2))</f>
        <v>0</v>
      </c>
      <c r="S75">
        <f t="shared" si="49"/>
        <v>0</v>
      </c>
      <c r="T75">
        <f t="shared" si="50"/>
        <v>0</v>
      </c>
      <c r="U75">
        <f t="shared" si="51"/>
        <v>0</v>
      </c>
      <c r="V75">
        <f t="shared" si="52"/>
        <v>0</v>
      </c>
      <c r="W75">
        <f t="shared" si="53"/>
        <v>0</v>
      </c>
      <c r="X75">
        <f>(ROUND((((S75+ROUND((ROUND(((EU75)*AV75*I75),2)*BS75),2))*AT75)/100),2)+ROUND(((ROUND((ROUND(((AE75-(EU75))*AV75*I75),2)*BS75),2)*AT75)/100),2))</f>
        <v>0</v>
      </c>
      <c r="Y75">
        <f>(ROUND((((S75+ROUND((ROUND(((EU75)*AV75*I75),2)*BS75),2))*AU75)/100),2)+ROUND(((ROUND((ROUND(((AE75-(EU75))*AV75*I75),2)*BS75),2)*AU75)/100),2))</f>
        <v>0</v>
      </c>
      <c r="AA75">
        <v>60258618</v>
      </c>
      <c r="AB75">
        <f t="shared" si="54"/>
        <v>243.34</v>
      </c>
      <c r="AC75">
        <f>ROUND((ES75),6)</f>
        <v>243.34</v>
      </c>
      <c r="AD75">
        <f>ROUND((((ET75)-(EU75))+AE75),6)</f>
        <v>0</v>
      </c>
      <c r="AE75">
        <f>ROUND((EU75),6)</f>
        <v>0</v>
      </c>
      <c r="AF75">
        <f>ROUND((EV75),6)</f>
        <v>0</v>
      </c>
      <c r="AG75">
        <f t="shared" si="55"/>
        <v>0</v>
      </c>
      <c r="AH75">
        <f>(EW75)</f>
        <v>0</v>
      </c>
      <c r="AI75">
        <f>(EX75)</f>
        <v>0</v>
      </c>
      <c r="AJ75">
        <f t="shared" si="56"/>
        <v>0</v>
      </c>
      <c r="AK75">
        <v>243.33999999999997</v>
      </c>
      <c r="AL75">
        <v>243.33999999999997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Z75">
        <v>1</v>
      </c>
      <c r="BA75">
        <v>1</v>
      </c>
      <c r="BB75">
        <v>1</v>
      </c>
      <c r="BC75">
        <v>7.66</v>
      </c>
      <c r="BD75" t="s">
        <v>3</v>
      </c>
      <c r="BE75" t="s">
        <v>3</v>
      </c>
      <c r="BF75" t="s">
        <v>3</v>
      </c>
      <c r="BG75" t="s">
        <v>3</v>
      </c>
      <c r="BH75">
        <v>3</v>
      </c>
      <c r="BI75">
        <v>3</v>
      </c>
      <c r="BJ75" t="s">
        <v>3</v>
      </c>
      <c r="BM75">
        <v>746</v>
      </c>
      <c r="BN75">
        <v>0</v>
      </c>
      <c r="BO75" t="s">
        <v>3</v>
      </c>
      <c r="BP75">
        <v>0</v>
      </c>
      <c r="BQ75">
        <v>130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 t="s">
        <v>3</v>
      </c>
      <c r="BZ75">
        <v>0</v>
      </c>
      <c r="CA75">
        <v>0</v>
      </c>
      <c r="CB75" t="s">
        <v>3</v>
      </c>
      <c r="CE75">
        <v>1566</v>
      </c>
      <c r="CF75">
        <v>0</v>
      </c>
      <c r="CG75">
        <v>0</v>
      </c>
      <c r="CM75">
        <v>0</v>
      </c>
      <c r="CN75" t="s">
        <v>3</v>
      </c>
      <c r="CO75">
        <v>0</v>
      </c>
      <c r="CP75">
        <f t="shared" si="57"/>
        <v>160302.66</v>
      </c>
      <c r="CQ75">
        <f>ROUND((ROUND((AC75*1),2)*BC75),2)</f>
        <v>1863.98</v>
      </c>
      <c r="CR75">
        <f>(ROUND((ROUND(((ET75)*AV75*1),2)*BB75),2)+ROUND((ROUND(((AE75-(EU75))*AV75*1),2)*BS75),2))</f>
        <v>0</v>
      </c>
      <c r="CS75">
        <f>(ROUND((ROUND(((EU75)*AV75*1),2)*BS75),2)+ROUND((ROUND(((AE75-(EU75))*AV75*1),2)*BS75),2))</f>
        <v>0</v>
      </c>
      <c r="CT75">
        <f t="shared" si="58"/>
        <v>0</v>
      </c>
      <c r="CU75">
        <f t="shared" si="59"/>
        <v>0</v>
      </c>
      <c r="CV75">
        <f t="shared" si="60"/>
        <v>0</v>
      </c>
      <c r="CW75">
        <f t="shared" si="61"/>
        <v>0</v>
      </c>
      <c r="CX75">
        <f t="shared" si="62"/>
        <v>0</v>
      </c>
      <c r="CY75">
        <f>(ROUND((((S75+ROUND((ROUND(((EU75)*AV75*1),2)*BS75),2))*AT75)/100),2)+ROUND(((ROUND((ROUND(((AE75-(EU75))*AV75*1),2)*BS75),2)*AT75)/100),2))</f>
        <v>0</v>
      </c>
      <c r="CZ75">
        <f>(ROUND((((S75+ROUND((ROUND(((EU75)*AV75*1),2)*BS75),2))*AU75)/100),2)+ROUND(((ROUND((ROUND(((AE75-(EU75))*AV75*1),2)*BS75),2)*AU75)/100),2))</f>
        <v>0</v>
      </c>
      <c r="DC75" t="s">
        <v>3</v>
      </c>
      <c r="DD75" t="s">
        <v>3</v>
      </c>
      <c r="DE75" t="s">
        <v>3</v>
      </c>
      <c r="DF75" t="s">
        <v>3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>
        <v>0</v>
      </c>
      <c r="DO75">
        <v>0</v>
      </c>
      <c r="DP75">
        <v>1</v>
      </c>
      <c r="DQ75">
        <v>1</v>
      </c>
      <c r="DU75">
        <v>1013</v>
      </c>
      <c r="DV75" t="s">
        <v>32</v>
      </c>
      <c r="DW75" t="s">
        <v>32</v>
      </c>
      <c r="DX75">
        <v>1</v>
      </c>
      <c r="DZ75" t="s">
        <v>3</v>
      </c>
      <c r="EA75" t="s">
        <v>3</v>
      </c>
      <c r="EB75" t="s">
        <v>3</v>
      </c>
      <c r="EC75" t="s">
        <v>3</v>
      </c>
      <c r="EE75">
        <v>60088638</v>
      </c>
      <c r="EF75">
        <v>130</v>
      </c>
      <c r="EG75" t="s">
        <v>33</v>
      </c>
      <c r="EH75">
        <v>0</v>
      </c>
      <c r="EI75" t="s">
        <v>3</v>
      </c>
      <c r="EJ75">
        <v>3</v>
      </c>
      <c r="EK75">
        <v>746</v>
      </c>
      <c r="EL75" t="s">
        <v>34</v>
      </c>
      <c r="EM75" t="s">
        <v>35</v>
      </c>
      <c r="EO75" t="s">
        <v>3</v>
      </c>
      <c r="EQ75">
        <v>0</v>
      </c>
      <c r="ER75">
        <v>0</v>
      </c>
      <c r="ES75">
        <v>243.33999999999997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5</v>
      </c>
      <c r="FC75">
        <v>1</v>
      </c>
      <c r="FD75">
        <v>18</v>
      </c>
      <c r="FF75">
        <v>2145.87</v>
      </c>
      <c r="FQ75">
        <v>0</v>
      </c>
      <c r="FR75">
        <f>P75</f>
        <v>160302.66</v>
      </c>
      <c r="FS75">
        <v>0</v>
      </c>
      <c r="FX75">
        <v>0</v>
      </c>
      <c r="FY75">
        <v>0</v>
      </c>
      <c r="GA75" t="s">
        <v>118</v>
      </c>
      <c r="GD75">
        <v>1</v>
      </c>
      <c r="GF75">
        <v>1074458305</v>
      </c>
      <c r="GG75">
        <v>2</v>
      </c>
      <c r="GH75">
        <v>3</v>
      </c>
      <c r="GI75">
        <v>5</v>
      </c>
      <c r="GJ75">
        <v>0</v>
      </c>
      <c r="GK75">
        <v>0</v>
      </c>
      <c r="GL75">
        <f t="shared" si="63"/>
        <v>0</v>
      </c>
      <c r="GM75">
        <f t="shared" si="64"/>
        <v>160302.66</v>
      </c>
      <c r="GN75">
        <f t="shared" si="65"/>
        <v>0</v>
      </c>
      <c r="GO75">
        <f t="shared" si="66"/>
        <v>0</v>
      </c>
      <c r="GP75">
        <f t="shared" si="67"/>
        <v>0</v>
      </c>
      <c r="GR75">
        <v>1</v>
      </c>
      <c r="GS75">
        <v>1</v>
      </c>
      <c r="GT75">
        <v>0</v>
      </c>
      <c r="GU75" t="s">
        <v>3</v>
      </c>
      <c r="GV75">
        <f t="shared" si="68"/>
        <v>0</v>
      </c>
      <c r="GW75">
        <v>1</v>
      </c>
      <c r="GX75">
        <f t="shared" si="69"/>
        <v>0</v>
      </c>
      <c r="HA75">
        <v>0</v>
      </c>
      <c r="HB75">
        <v>0</v>
      </c>
      <c r="HC75">
        <f t="shared" si="70"/>
        <v>0</v>
      </c>
      <c r="HE75" t="s">
        <v>37</v>
      </c>
      <c r="HF75" t="s">
        <v>38</v>
      </c>
      <c r="HM75" t="s">
        <v>3</v>
      </c>
      <c r="HN75" t="s">
        <v>3</v>
      </c>
      <c r="HO75" t="s">
        <v>3</v>
      </c>
      <c r="HP75" t="s">
        <v>3</v>
      </c>
      <c r="HQ75" t="s">
        <v>3</v>
      </c>
      <c r="HS75">
        <v>0</v>
      </c>
      <c r="IK75">
        <v>0</v>
      </c>
    </row>
    <row r="76" spans="1:255" x14ac:dyDescent="0.2">
      <c r="A76" s="2">
        <v>17</v>
      </c>
      <c r="B76" s="2">
        <v>1</v>
      </c>
      <c r="C76" s="2">
        <f>ROW(SmtRes!A43)</f>
        <v>43</v>
      </c>
      <c r="D76" s="2">
        <f>ROW(EtalonRes!A51)</f>
        <v>51</v>
      </c>
      <c r="E76" s="2" t="s">
        <v>119</v>
      </c>
      <c r="F76" s="2" t="s">
        <v>112</v>
      </c>
      <c r="G76" s="2" t="s">
        <v>113</v>
      </c>
      <c r="H76" s="2" t="s">
        <v>21</v>
      </c>
      <c r="I76" s="2">
        <v>90</v>
      </c>
      <c r="J76" s="2">
        <v>0</v>
      </c>
      <c r="K76" s="2">
        <v>90</v>
      </c>
      <c r="L76" s="2"/>
      <c r="M76" s="2"/>
      <c r="N76" s="2"/>
      <c r="O76" s="2">
        <f t="shared" si="48"/>
        <v>1193.22</v>
      </c>
      <c r="P76" s="2">
        <f>ROUND((ROUND((AC76*AW76*I76),2)*BC76),2)</f>
        <v>94.5</v>
      </c>
      <c r="Q76" s="2">
        <f>(ROUND((ROUND((((ET76*1.1))*AV76*I76),2)*BB76),2)+ROUND((ROUND(((AE76-((EU76*1.1)))*AV76*I76),2)*BS76),2))</f>
        <v>0</v>
      </c>
      <c r="R76" s="2">
        <f>(ROUND((ROUND((((EU76*1.1))*AV76*I76),2)*BS76),2)+ROUND((ROUND(((AE76-((EU76*1.1)))*AV76*I76),2)*BS76),2))</f>
        <v>0</v>
      </c>
      <c r="S76" s="2">
        <f t="shared" si="49"/>
        <v>1098.72</v>
      </c>
      <c r="T76" s="2">
        <f t="shared" si="50"/>
        <v>0</v>
      </c>
      <c r="U76" s="2">
        <f t="shared" si="51"/>
        <v>87.068519999999992</v>
      </c>
      <c r="V76" s="2">
        <f t="shared" si="52"/>
        <v>0</v>
      </c>
      <c r="W76" s="2">
        <f t="shared" si="53"/>
        <v>0</v>
      </c>
      <c r="X76" s="2">
        <f>(ROUND((((S76+ROUND((ROUND((((EU76*1.1))*AV76*I76),2)*BS76),2))*AT76)/100),2)+ROUND(((ROUND((ROUND(((AE76-((EU76*1.1)))*AV76*I76),2)*BS76),2)*AT76)/100),2))</f>
        <v>988.85</v>
      </c>
      <c r="Y76" s="2">
        <f>(ROUND((((S76+ROUND((ROUND((((EU76*1.1))*AV76*I76),2)*BS76),2))*AU76)/100),2)+ROUND(((ROUND((ROUND(((AE76-((EU76*1.1)))*AV76*I76),2)*BS76),2)*AU76)/100),2))</f>
        <v>505.41</v>
      </c>
      <c r="Z76" s="2"/>
      <c r="AA76" s="2">
        <v>60258621</v>
      </c>
      <c r="AB76" s="2">
        <f t="shared" si="54"/>
        <v>12.71</v>
      </c>
      <c r="AC76" s="2">
        <f>ROUND(((ES76*1)),6)</f>
        <v>1.05</v>
      </c>
      <c r="AD76" s="2">
        <f>ROUND(((((ET76*1.1))-((EU76*1.1)))+AE76),6)</f>
        <v>0</v>
      </c>
      <c r="AE76" s="2">
        <f>ROUND(((EU76*1.1)),6)</f>
        <v>0</v>
      </c>
      <c r="AF76" s="2">
        <f>ROUND(((EV76*1.1)),6)</f>
        <v>11.66</v>
      </c>
      <c r="AG76" s="2">
        <f t="shared" si="55"/>
        <v>0</v>
      </c>
      <c r="AH76" s="2">
        <f>((EW76*1.1))</f>
        <v>0.92400000000000004</v>
      </c>
      <c r="AI76" s="2">
        <f>((EX76*1.1))</f>
        <v>0</v>
      </c>
      <c r="AJ76" s="2">
        <f t="shared" si="56"/>
        <v>0</v>
      </c>
      <c r="AK76" s="2">
        <v>11.65</v>
      </c>
      <c r="AL76" s="2">
        <v>1.05</v>
      </c>
      <c r="AM76" s="2">
        <v>0</v>
      </c>
      <c r="AN76" s="2">
        <v>0</v>
      </c>
      <c r="AO76" s="2">
        <v>10.6</v>
      </c>
      <c r="AP76" s="2">
        <v>0</v>
      </c>
      <c r="AQ76" s="2">
        <v>0.84</v>
      </c>
      <c r="AR76" s="2">
        <v>0</v>
      </c>
      <c r="AS76" s="2">
        <v>0</v>
      </c>
      <c r="AT76" s="2">
        <v>90</v>
      </c>
      <c r="AU76" s="2">
        <v>46</v>
      </c>
      <c r="AV76" s="2">
        <v>1.0469999999999999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0</v>
      </c>
      <c r="BI76" s="2">
        <v>2</v>
      </c>
      <c r="BJ76" s="2" t="s">
        <v>114</v>
      </c>
      <c r="BK76" s="2"/>
      <c r="BL76" s="2"/>
      <c r="BM76" s="2">
        <v>68</v>
      </c>
      <c r="BN76" s="2">
        <v>58973116</v>
      </c>
      <c r="BO76" s="2" t="s">
        <v>112</v>
      </c>
      <c r="BP76" s="2">
        <v>1</v>
      </c>
      <c r="BQ76" s="2">
        <v>40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90</v>
      </c>
      <c r="CA76" s="2">
        <v>46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407</v>
      </c>
      <c r="CO76" s="2">
        <v>0</v>
      </c>
      <c r="CP76" s="2">
        <f t="shared" si="57"/>
        <v>1193.22</v>
      </c>
      <c r="CQ76" s="2">
        <f>ROUND((ROUND((AC76*AW76*1),2)*BC76),2)</f>
        <v>1.05</v>
      </c>
      <c r="CR76" s="2">
        <f>(ROUND((ROUND((((ET76*1.1))*AV76*1),2)*BB76),2)+ROUND((ROUND(((AE76-((EU76*1.1)))*AV76*1),2)*BS76),2))</f>
        <v>0</v>
      </c>
      <c r="CS76" s="2">
        <f>(ROUND((ROUND((((EU76*1.1))*AV76*1),2)*BS76),2)+ROUND((ROUND(((AE76-((EU76*1.1)))*AV76*1),2)*BS76),2))</f>
        <v>0</v>
      </c>
      <c r="CT76" s="2">
        <f t="shared" si="58"/>
        <v>12.21</v>
      </c>
      <c r="CU76" s="2">
        <f t="shared" si="59"/>
        <v>0</v>
      </c>
      <c r="CV76" s="2">
        <f t="shared" si="60"/>
        <v>0.96742799999999995</v>
      </c>
      <c r="CW76" s="2">
        <f t="shared" si="61"/>
        <v>0</v>
      </c>
      <c r="CX76" s="2">
        <f t="shared" si="62"/>
        <v>0</v>
      </c>
      <c r="CY76" s="2">
        <f>(ROUND((((S76+ROUND((ROUND((((EU76*1.1))*AV76*1),2)*BS76),2))*AT76)/100),2)+ROUND(((ROUND((ROUND(((AE76-((EU76*1.1)))*AV76*1),2)*BS76),2)*AT76)/100),2))</f>
        <v>988.85</v>
      </c>
      <c r="CZ76" s="2">
        <f>(ROUND((((S76+ROUND((ROUND((((EU76*1.1))*AV76*1),2)*BS76),2))*AU76)/100),2)+ROUND(((ROUND((ROUND(((AE76-((EU76*1.1)))*AV76*1),2)*BS76),2)*AU76)/100),2))</f>
        <v>505.41</v>
      </c>
      <c r="DA76" s="2"/>
      <c r="DB76" s="2">
        <v>23</v>
      </c>
      <c r="DC76" s="2" t="s">
        <v>3</v>
      </c>
      <c r="DD76" s="2" t="s">
        <v>23</v>
      </c>
      <c r="DE76" s="2" t="s">
        <v>24</v>
      </c>
      <c r="DF76" s="2" t="s">
        <v>24</v>
      </c>
      <c r="DG76" s="2" t="s">
        <v>24</v>
      </c>
      <c r="DH76" s="2" t="s">
        <v>3</v>
      </c>
      <c r="DI76" s="2" t="s">
        <v>24</v>
      </c>
      <c r="DJ76" s="2" t="s">
        <v>24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1013</v>
      </c>
      <c r="DV76" s="2" t="s">
        <v>21</v>
      </c>
      <c r="DW76" s="2" t="s">
        <v>21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60088532</v>
      </c>
      <c r="EF76" s="2">
        <v>40</v>
      </c>
      <c r="EG76" s="2" t="s">
        <v>25</v>
      </c>
      <c r="EH76" s="2">
        <v>0</v>
      </c>
      <c r="EI76" s="2" t="s">
        <v>3</v>
      </c>
      <c r="EJ76" s="2">
        <v>2</v>
      </c>
      <c r="EK76" s="2">
        <v>68</v>
      </c>
      <c r="EL76" s="2" t="s">
        <v>46</v>
      </c>
      <c r="EM76" s="2" t="s">
        <v>47</v>
      </c>
      <c r="EN76" s="2"/>
      <c r="EO76" s="2" t="s">
        <v>28</v>
      </c>
      <c r="EP76" s="2"/>
      <c r="EQ76" s="2">
        <v>0</v>
      </c>
      <c r="ER76" s="2">
        <v>11.65</v>
      </c>
      <c r="ES76" s="2">
        <v>1.05</v>
      </c>
      <c r="ET76" s="2">
        <v>0</v>
      </c>
      <c r="EU76" s="2">
        <v>0</v>
      </c>
      <c r="EV76" s="2">
        <v>10.6</v>
      </c>
      <c r="EW76" s="2">
        <v>0.84</v>
      </c>
      <c r="EX76" s="2">
        <v>0</v>
      </c>
      <c r="EY76" s="2">
        <v>0</v>
      </c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90</v>
      </c>
      <c r="FY76" s="2">
        <v>46</v>
      </c>
      <c r="FZ76" s="2"/>
      <c r="GA76" s="2" t="s">
        <v>3</v>
      </c>
      <c r="GB76" s="2"/>
      <c r="GC76" s="2"/>
      <c r="GD76" s="2">
        <v>1</v>
      </c>
      <c r="GE76" s="2"/>
      <c r="GF76" s="2">
        <v>1491178318</v>
      </c>
      <c r="GG76" s="2">
        <v>2</v>
      </c>
      <c r="GH76" s="2">
        <v>1</v>
      </c>
      <c r="GI76" s="2">
        <v>2</v>
      </c>
      <c r="GJ76" s="2">
        <v>0</v>
      </c>
      <c r="GK76" s="2">
        <v>0</v>
      </c>
      <c r="GL76" s="2">
        <f t="shared" si="63"/>
        <v>0</v>
      </c>
      <c r="GM76" s="2">
        <f t="shared" si="64"/>
        <v>2687.48</v>
      </c>
      <c r="GN76" s="2">
        <f t="shared" si="65"/>
        <v>0</v>
      </c>
      <c r="GO76" s="2">
        <f t="shared" si="66"/>
        <v>2687.48</v>
      </c>
      <c r="GP76" s="2">
        <f t="shared" si="67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68"/>
        <v>0</v>
      </c>
      <c r="GW76" s="2">
        <v>1</v>
      </c>
      <c r="GX76" s="2">
        <f t="shared" si="69"/>
        <v>0</v>
      </c>
      <c r="GY76" s="2"/>
      <c r="GZ76" s="2"/>
      <c r="HA76" s="2">
        <v>0</v>
      </c>
      <c r="HB76" s="2">
        <v>0</v>
      </c>
      <c r="HC76" s="2">
        <f t="shared" si="70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>
        <v>17</v>
      </c>
      <c r="B77">
        <v>1</v>
      </c>
      <c r="C77">
        <f>ROW(SmtRes!A44)</f>
        <v>44</v>
      </c>
      <c r="D77">
        <f>ROW(EtalonRes!A52)</f>
        <v>52</v>
      </c>
      <c r="E77" t="s">
        <v>119</v>
      </c>
      <c r="F77" t="s">
        <v>112</v>
      </c>
      <c r="G77" t="s">
        <v>113</v>
      </c>
      <c r="H77" t="s">
        <v>21</v>
      </c>
      <c r="I77">
        <v>90</v>
      </c>
      <c r="J77">
        <v>0</v>
      </c>
      <c r="K77">
        <v>90</v>
      </c>
      <c r="O77">
        <f t="shared" si="48"/>
        <v>61353.22</v>
      </c>
      <c r="P77">
        <f>ROUND((ROUND((AC77*AW77*I77),2)*BC77),2)</f>
        <v>934.61</v>
      </c>
      <c r="Q77">
        <f>(ROUND((ROUND((((ET77*1.1))*AV77*I77),2)*BB77),2)+ROUND((ROUND(((AE77-((EU77*1.1)))*AV77*I77),2)*BS77),2))</f>
        <v>0</v>
      </c>
      <c r="R77">
        <f>(ROUND((ROUND((((EU77*1.1))*AV77*I77),2)*BS77),2)+ROUND((ROUND(((AE77-((EU77*1.1)))*AV77*I77),2)*BS77),2))</f>
        <v>0</v>
      </c>
      <c r="S77">
        <f t="shared" si="49"/>
        <v>60418.61</v>
      </c>
      <c r="T77">
        <f t="shared" si="50"/>
        <v>0</v>
      </c>
      <c r="U77">
        <f t="shared" si="51"/>
        <v>87.068519999999992</v>
      </c>
      <c r="V77">
        <f t="shared" si="52"/>
        <v>0</v>
      </c>
      <c r="W77">
        <f t="shared" si="53"/>
        <v>0</v>
      </c>
      <c r="X77">
        <f>(ROUND((((S77+ROUND((ROUND((((EU77*1.1))*AV77*I77),2)*BS77),2))*AT77)/100),2)+ROUND(((ROUND((ROUND(((AE77-((EU77*1.1)))*AV77*I77),2)*BS77),2)*AT77)/100),2))</f>
        <v>54376.75</v>
      </c>
      <c r="Y77">
        <f>(ROUND((((S77+ROUND((ROUND((((EU77*1.1))*AV77*I77),2)*BS77),2))*AU77)/100),2)+ROUND(((ROUND((ROUND(((AE77-((EU77*1.1)))*AV77*I77),2)*BS77),2)*AU77)/100),2))</f>
        <v>27792.560000000001</v>
      </c>
      <c r="AA77">
        <v>60258618</v>
      </c>
      <c r="AB77">
        <f t="shared" si="54"/>
        <v>12.71</v>
      </c>
      <c r="AC77">
        <f>ROUND(((ES77*1)),6)</f>
        <v>1.05</v>
      </c>
      <c r="AD77">
        <f>ROUND(((((ET77*1.1))-((EU77*1.1)))+AE77),6)</f>
        <v>0</v>
      </c>
      <c r="AE77">
        <f>ROUND(((EU77*1.1)),6)</f>
        <v>0</v>
      </c>
      <c r="AF77">
        <f>ROUND(((EV77*1.1)),6)</f>
        <v>11.66</v>
      </c>
      <c r="AG77">
        <f t="shared" si="55"/>
        <v>0</v>
      </c>
      <c r="AH77">
        <f>((EW77*1.1))</f>
        <v>0.92400000000000004</v>
      </c>
      <c r="AI77">
        <f>((EX77*1.1))</f>
        <v>0</v>
      </c>
      <c r="AJ77">
        <f t="shared" si="56"/>
        <v>0</v>
      </c>
      <c r="AK77">
        <v>11.65</v>
      </c>
      <c r="AL77">
        <v>1.05</v>
      </c>
      <c r="AM77">
        <v>0</v>
      </c>
      <c r="AN77">
        <v>0</v>
      </c>
      <c r="AO77">
        <v>10.6</v>
      </c>
      <c r="AP77">
        <v>0</v>
      </c>
      <c r="AQ77">
        <v>0.84</v>
      </c>
      <c r="AR77">
        <v>0</v>
      </c>
      <c r="AS77">
        <v>0</v>
      </c>
      <c r="AT77">
        <v>90</v>
      </c>
      <c r="AU77">
        <v>46</v>
      </c>
      <c r="AV77">
        <v>1.0469999999999999</v>
      </c>
      <c r="AW77">
        <v>1</v>
      </c>
      <c r="AZ77">
        <v>1</v>
      </c>
      <c r="BA77">
        <v>54.99</v>
      </c>
      <c r="BB77">
        <v>1</v>
      </c>
      <c r="BC77">
        <v>9.89</v>
      </c>
      <c r="BD77" t="s">
        <v>3</v>
      </c>
      <c r="BE77" t="s">
        <v>3</v>
      </c>
      <c r="BF77" t="s">
        <v>3</v>
      </c>
      <c r="BG77" t="s">
        <v>3</v>
      </c>
      <c r="BH77">
        <v>0</v>
      </c>
      <c r="BI77">
        <v>2</v>
      </c>
      <c r="BJ77" t="s">
        <v>114</v>
      </c>
      <c r="BM77">
        <v>68</v>
      </c>
      <c r="BN77">
        <v>58973116</v>
      </c>
      <c r="BO77" t="s">
        <v>112</v>
      </c>
      <c r="BP77">
        <v>1</v>
      </c>
      <c r="BQ77">
        <v>40</v>
      </c>
      <c r="BR77">
        <v>0</v>
      </c>
      <c r="BS77">
        <v>54.99</v>
      </c>
      <c r="BT77">
        <v>1</v>
      </c>
      <c r="BU77">
        <v>1</v>
      </c>
      <c r="BV77">
        <v>1</v>
      </c>
      <c r="BW77">
        <v>1</v>
      </c>
      <c r="BX77">
        <v>1</v>
      </c>
      <c r="BY77" t="s">
        <v>3</v>
      </c>
      <c r="BZ77">
        <v>90</v>
      </c>
      <c r="CA77">
        <v>46</v>
      </c>
      <c r="CB77" t="s">
        <v>3</v>
      </c>
      <c r="CE77">
        <v>1566</v>
      </c>
      <c r="CF77">
        <v>0</v>
      </c>
      <c r="CG77">
        <v>0</v>
      </c>
      <c r="CM77">
        <v>0</v>
      </c>
      <c r="CN77" t="s">
        <v>407</v>
      </c>
      <c r="CO77">
        <v>0</v>
      </c>
      <c r="CP77">
        <f t="shared" si="57"/>
        <v>61353.22</v>
      </c>
      <c r="CQ77">
        <f>ROUND((ROUND((AC77*AW77*1),2)*BC77),2)</f>
        <v>10.38</v>
      </c>
      <c r="CR77">
        <f>(ROUND((ROUND((((ET77*1.1))*AV77*1),2)*BB77),2)+ROUND((ROUND(((AE77-((EU77*1.1)))*AV77*1),2)*BS77),2))</f>
        <v>0</v>
      </c>
      <c r="CS77">
        <f>(ROUND((ROUND((((EU77*1.1))*AV77*1),2)*BS77),2)+ROUND((ROUND(((AE77-((EU77*1.1)))*AV77*1),2)*BS77),2))</f>
        <v>0</v>
      </c>
      <c r="CT77">
        <f t="shared" si="58"/>
        <v>671.43</v>
      </c>
      <c r="CU77">
        <f t="shared" si="59"/>
        <v>0</v>
      </c>
      <c r="CV77">
        <f t="shared" si="60"/>
        <v>0.96742799999999995</v>
      </c>
      <c r="CW77">
        <f t="shared" si="61"/>
        <v>0</v>
      </c>
      <c r="CX77">
        <f t="shared" si="62"/>
        <v>0</v>
      </c>
      <c r="CY77">
        <f>(ROUND((((S77+ROUND((ROUND((((EU77*1.1))*AV77*1),2)*BS77),2))*AT77)/100),2)+ROUND(((ROUND((ROUND(((AE77-((EU77*1.1)))*AV77*1),2)*BS77),2)*AT77)/100),2))</f>
        <v>54376.75</v>
      </c>
      <c r="CZ77">
        <f>(ROUND((((S77+ROUND((ROUND((((EU77*1.1))*AV77*1),2)*BS77),2))*AU77)/100),2)+ROUND(((ROUND((ROUND(((AE77-((EU77*1.1)))*AV77*1),2)*BS77),2)*AU77)/100),2))</f>
        <v>27792.560000000001</v>
      </c>
      <c r="DB77">
        <v>24</v>
      </c>
      <c r="DC77" t="s">
        <v>3</v>
      </c>
      <c r="DD77" t="s">
        <v>23</v>
      </c>
      <c r="DE77" t="s">
        <v>24</v>
      </c>
      <c r="DF77" t="s">
        <v>24</v>
      </c>
      <c r="DG77" t="s">
        <v>24</v>
      </c>
      <c r="DH77" t="s">
        <v>3</v>
      </c>
      <c r="DI77" t="s">
        <v>24</v>
      </c>
      <c r="DJ77" t="s">
        <v>24</v>
      </c>
      <c r="DK77" t="s">
        <v>3</v>
      </c>
      <c r="DL77" t="s">
        <v>3</v>
      </c>
      <c r="DM77" t="s">
        <v>3</v>
      </c>
      <c r="DN77">
        <v>0</v>
      </c>
      <c r="DO77">
        <v>0</v>
      </c>
      <c r="DP77">
        <v>1</v>
      </c>
      <c r="DQ77">
        <v>1</v>
      </c>
      <c r="DU77">
        <v>1013</v>
      </c>
      <c r="DV77" t="s">
        <v>21</v>
      </c>
      <c r="DW77" t="s">
        <v>21</v>
      </c>
      <c r="DX77">
        <v>1</v>
      </c>
      <c r="DZ77" t="s">
        <v>3</v>
      </c>
      <c r="EA77" t="s">
        <v>3</v>
      </c>
      <c r="EB77" t="s">
        <v>3</v>
      </c>
      <c r="EC77" t="s">
        <v>3</v>
      </c>
      <c r="EE77">
        <v>60088532</v>
      </c>
      <c r="EF77">
        <v>40</v>
      </c>
      <c r="EG77" t="s">
        <v>25</v>
      </c>
      <c r="EH77">
        <v>0</v>
      </c>
      <c r="EI77" t="s">
        <v>3</v>
      </c>
      <c r="EJ77">
        <v>2</v>
      </c>
      <c r="EK77">
        <v>68</v>
      </c>
      <c r="EL77" t="s">
        <v>46</v>
      </c>
      <c r="EM77" t="s">
        <v>47</v>
      </c>
      <c r="EO77" t="s">
        <v>28</v>
      </c>
      <c r="EQ77">
        <v>0</v>
      </c>
      <c r="ER77">
        <v>11.65</v>
      </c>
      <c r="ES77">
        <v>1.05</v>
      </c>
      <c r="ET77">
        <v>0</v>
      </c>
      <c r="EU77">
        <v>0</v>
      </c>
      <c r="EV77">
        <v>10.6</v>
      </c>
      <c r="EW77">
        <v>0.84</v>
      </c>
      <c r="EX77">
        <v>0</v>
      </c>
      <c r="EY77">
        <v>0</v>
      </c>
      <c r="FQ77">
        <v>0</v>
      </c>
      <c r="FR77">
        <v>0</v>
      </c>
      <c r="FS77">
        <v>0</v>
      </c>
      <c r="FX77">
        <v>90</v>
      </c>
      <c r="FY77">
        <v>46</v>
      </c>
      <c r="GA77" t="s">
        <v>3</v>
      </c>
      <c r="GD77">
        <v>1</v>
      </c>
      <c r="GF77">
        <v>1491178318</v>
      </c>
      <c r="GG77">
        <v>2</v>
      </c>
      <c r="GH77">
        <v>1</v>
      </c>
      <c r="GI77">
        <v>2</v>
      </c>
      <c r="GJ77">
        <v>0</v>
      </c>
      <c r="GK77">
        <v>0</v>
      </c>
      <c r="GL77">
        <f t="shared" si="63"/>
        <v>0</v>
      </c>
      <c r="GM77">
        <f t="shared" si="64"/>
        <v>143522.53</v>
      </c>
      <c r="GN77">
        <f t="shared" si="65"/>
        <v>0</v>
      </c>
      <c r="GO77">
        <f t="shared" si="66"/>
        <v>143522.53</v>
      </c>
      <c r="GP77">
        <f t="shared" si="67"/>
        <v>0</v>
      </c>
      <c r="GR77">
        <v>0</v>
      </c>
      <c r="GS77">
        <v>3</v>
      </c>
      <c r="GT77">
        <v>0</v>
      </c>
      <c r="GU77" t="s">
        <v>3</v>
      </c>
      <c r="GV77">
        <f t="shared" si="68"/>
        <v>0</v>
      </c>
      <c r="GW77">
        <v>1</v>
      </c>
      <c r="GX77">
        <f t="shared" si="69"/>
        <v>0</v>
      </c>
      <c r="HA77">
        <v>0</v>
      </c>
      <c r="HB77">
        <v>0</v>
      </c>
      <c r="HC77">
        <f t="shared" si="70"/>
        <v>0</v>
      </c>
      <c r="HE77" t="s">
        <v>3</v>
      </c>
      <c r="HF77" t="s">
        <v>3</v>
      </c>
      <c r="HM77" t="s">
        <v>3</v>
      </c>
      <c r="HN77" t="s">
        <v>3</v>
      </c>
      <c r="HO77" t="s">
        <v>3</v>
      </c>
      <c r="HP77" t="s">
        <v>3</v>
      </c>
      <c r="HQ77" t="s">
        <v>3</v>
      </c>
      <c r="HS77">
        <v>0</v>
      </c>
      <c r="IK77">
        <v>0</v>
      </c>
    </row>
    <row r="78" spans="1:255" x14ac:dyDescent="0.2">
      <c r="A78" s="2">
        <v>17</v>
      </c>
      <c r="B78" s="2">
        <v>1</v>
      </c>
      <c r="C78" s="2"/>
      <c r="D78" s="2"/>
      <c r="E78" s="2" t="s">
        <v>120</v>
      </c>
      <c r="F78" s="2" t="s">
        <v>121</v>
      </c>
      <c r="G78" s="2" t="s">
        <v>122</v>
      </c>
      <c r="H78" s="2" t="s">
        <v>32</v>
      </c>
      <c r="I78" s="2">
        <v>90</v>
      </c>
      <c r="J78" s="2">
        <v>0</v>
      </c>
      <c r="K78" s="2">
        <v>90</v>
      </c>
      <c r="L78" s="2"/>
      <c r="M78" s="2"/>
      <c r="N78" s="2"/>
      <c r="O78" s="2">
        <f t="shared" si="48"/>
        <v>6419.7</v>
      </c>
      <c r="P78" s="2">
        <f>ROUND((ROUND((AC78*I78),2)*BC78),2)</f>
        <v>6419.7</v>
      </c>
      <c r="Q78" s="2">
        <f>(ROUND((ROUND(((ET78)*AV78*I78),2)*BB78),2)+ROUND((ROUND(((AE78-(EU78))*AV78*I78),2)*BS78),2))</f>
        <v>0</v>
      </c>
      <c r="R78" s="2">
        <f>(ROUND((ROUND(((EU78)*AV78*I78),2)*BS78),2)+ROUND((ROUND(((AE78-(EU78))*AV78*I78),2)*BS78),2))</f>
        <v>0</v>
      </c>
      <c r="S78" s="2">
        <f t="shared" si="49"/>
        <v>0</v>
      </c>
      <c r="T78" s="2">
        <f t="shared" si="50"/>
        <v>0</v>
      </c>
      <c r="U78" s="2">
        <f t="shared" si="51"/>
        <v>0</v>
      </c>
      <c r="V78" s="2">
        <f t="shared" si="52"/>
        <v>0</v>
      </c>
      <c r="W78" s="2">
        <f t="shared" si="53"/>
        <v>0</v>
      </c>
      <c r="X78" s="2">
        <f>(ROUND((((S78+ROUND((ROUND(((EU78)*AV78*I78),2)*BS78),2))*AT78)/100),2)+ROUND(((ROUND((ROUND(((AE78-(EU78))*AV78*I78),2)*BS78),2)*AT78)/100),2))</f>
        <v>0</v>
      </c>
      <c r="Y78" s="2">
        <f>(ROUND((((S78+ROUND((ROUND(((EU78)*AV78*I78),2)*BS78),2))*AU78)/100),2)+ROUND(((ROUND((ROUND(((AE78-(EU78))*AV78*I78),2)*BS78),2)*AU78)/100),2))</f>
        <v>0</v>
      </c>
      <c r="Z78" s="2"/>
      <c r="AA78" s="2">
        <v>60258621</v>
      </c>
      <c r="AB78" s="2">
        <f t="shared" si="54"/>
        <v>71.33</v>
      </c>
      <c r="AC78" s="2">
        <f>ROUND((ES78),6)</f>
        <v>71.33</v>
      </c>
      <c r="AD78" s="2">
        <f>ROUND((((ET78)-(EU78))+AE78),6)</f>
        <v>0</v>
      </c>
      <c r="AE78" s="2">
        <f>ROUND((EU78),6)</f>
        <v>0</v>
      </c>
      <c r="AF78" s="2">
        <f>ROUND((EV78),6)</f>
        <v>0</v>
      </c>
      <c r="AG78" s="2">
        <f t="shared" si="55"/>
        <v>0</v>
      </c>
      <c r="AH78" s="2">
        <f>(EW78)</f>
        <v>0</v>
      </c>
      <c r="AI78" s="2">
        <f>(EX78)</f>
        <v>0</v>
      </c>
      <c r="AJ78" s="2">
        <f t="shared" si="56"/>
        <v>0</v>
      </c>
      <c r="AK78" s="2">
        <v>71.33</v>
      </c>
      <c r="AL78" s="2">
        <v>71.33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3</v>
      </c>
      <c r="BJ78" s="2" t="s">
        <v>3</v>
      </c>
      <c r="BK78" s="2"/>
      <c r="BL78" s="2"/>
      <c r="BM78" s="2">
        <v>746</v>
      </c>
      <c r="BN78" s="2">
        <v>0</v>
      </c>
      <c r="BO78" s="2" t="s">
        <v>3</v>
      </c>
      <c r="BP78" s="2">
        <v>0</v>
      </c>
      <c r="BQ78" s="2">
        <v>130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0</v>
      </c>
      <c r="CA78" s="2">
        <v>0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</v>
      </c>
      <c r="CO78" s="2">
        <v>0</v>
      </c>
      <c r="CP78" s="2">
        <f t="shared" si="57"/>
        <v>6419.7</v>
      </c>
      <c r="CQ78" s="2">
        <f>ROUND((ROUND((AC78*1),2)*BC78),2)</f>
        <v>71.33</v>
      </c>
      <c r="CR78" s="2">
        <f>(ROUND((ROUND(((ET78)*AV78*1),2)*BB78),2)+ROUND((ROUND(((AE78-(EU78))*AV78*1),2)*BS78),2))</f>
        <v>0</v>
      </c>
      <c r="CS78" s="2">
        <f>(ROUND((ROUND(((EU78)*AV78*1),2)*BS78),2)+ROUND((ROUND(((AE78-(EU78))*AV78*1),2)*BS78),2))</f>
        <v>0</v>
      </c>
      <c r="CT78" s="2">
        <f t="shared" si="58"/>
        <v>0</v>
      </c>
      <c r="CU78" s="2">
        <f t="shared" si="59"/>
        <v>0</v>
      </c>
      <c r="CV78" s="2">
        <f t="shared" si="60"/>
        <v>0</v>
      </c>
      <c r="CW78" s="2">
        <f t="shared" si="61"/>
        <v>0</v>
      </c>
      <c r="CX78" s="2">
        <f t="shared" si="62"/>
        <v>0</v>
      </c>
      <c r="CY78" s="2">
        <f>(ROUND((((S78+ROUND((ROUND(((EU78)*AV78*1),2)*BS78),2))*AT78)/100),2)+ROUND(((ROUND((ROUND(((AE78-(EU78))*AV78*1),2)*BS78),2)*AT78)/100),2))</f>
        <v>0</v>
      </c>
      <c r="CZ78" s="2">
        <f>(ROUND((((S78+ROUND((ROUND(((EU78)*AV78*1),2)*BS78),2))*AU78)/100),2)+ROUND(((ROUND((ROUND(((AE78-(EU78))*AV78*1),2)*BS78),2)*AU78)/100),2))</f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1013</v>
      </c>
      <c r="DV78" s="2" t="s">
        <v>32</v>
      </c>
      <c r="DW78" s="2" t="s">
        <v>32</v>
      </c>
      <c r="DX78" s="2">
        <v>1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60088638</v>
      </c>
      <c r="EF78" s="2">
        <v>130</v>
      </c>
      <c r="EG78" s="2" t="s">
        <v>33</v>
      </c>
      <c r="EH78" s="2">
        <v>0</v>
      </c>
      <c r="EI78" s="2" t="s">
        <v>3</v>
      </c>
      <c r="EJ78" s="2">
        <v>3</v>
      </c>
      <c r="EK78" s="2">
        <v>746</v>
      </c>
      <c r="EL78" s="2" t="s">
        <v>34</v>
      </c>
      <c r="EM78" s="2" t="s">
        <v>35</v>
      </c>
      <c r="EN78" s="2"/>
      <c r="EO78" s="2" t="s">
        <v>3</v>
      </c>
      <c r="EP78" s="2"/>
      <c r="EQ78" s="2">
        <v>0</v>
      </c>
      <c r="ER78" s="2">
        <v>0</v>
      </c>
      <c r="ES78" s="2">
        <v>71.33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f>P78</f>
        <v>6419.7</v>
      </c>
      <c r="FS78" s="2">
        <v>0</v>
      </c>
      <c r="FT78" s="2"/>
      <c r="FU78" s="2"/>
      <c r="FV78" s="2"/>
      <c r="FW78" s="2"/>
      <c r="FX78" s="2">
        <v>0</v>
      </c>
      <c r="FY78" s="2">
        <v>0</v>
      </c>
      <c r="FZ78" s="2"/>
      <c r="GA78" s="2" t="s">
        <v>123</v>
      </c>
      <c r="GB78" s="2"/>
      <c r="GC78" s="2"/>
      <c r="GD78" s="2">
        <v>1</v>
      </c>
      <c r="GE78" s="2"/>
      <c r="GF78" s="2">
        <v>-860310970</v>
      </c>
      <c r="GG78" s="2">
        <v>2</v>
      </c>
      <c r="GH78" s="2">
        <v>4</v>
      </c>
      <c r="GI78" s="2">
        <v>-2</v>
      </c>
      <c r="GJ78" s="2">
        <v>0</v>
      </c>
      <c r="GK78" s="2">
        <v>0</v>
      </c>
      <c r="GL78" s="2">
        <f t="shared" si="63"/>
        <v>0</v>
      </c>
      <c r="GM78" s="2">
        <f t="shared" si="64"/>
        <v>6419.7</v>
      </c>
      <c r="GN78" s="2">
        <f t="shared" si="65"/>
        <v>0</v>
      </c>
      <c r="GO78" s="2">
        <f t="shared" si="66"/>
        <v>0</v>
      </c>
      <c r="GP78" s="2">
        <f t="shared" si="67"/>
        <v>0</v>
      </c>
      <c r="GQ78" s="2"/>
      <c r="GR78" s="2">
        <v>0</v>
      </c>
      <c r="GS78" s="2">
        <v>2</v>
      </c>
      <c r="GT78" s="2">
        <v>0</v>
      </c>
      <c r="GU78" s="2" t="s">
        <v>3</v>
      </c>
      <c r="GV78" s="2">
        <f t="shared" si="68"/>
        <v>0</v>
      </c>
      <c r="GW78" s="2">
        <v>1</v>
      </c>
      <c r="GX78" s="2">
        <f t="shared" si="69"/>
        <v>0</v>
      </c>
      <c r="GY78" s="2"/>
      <c r="GZ78" s="2"/>
      <c r="HA78" s="2">
        <v>0</v>
      </c>
      <c r="HB78" s="2">
        <v>0</v>
      </c>
      <c r="HC78" s="2">
        <f t="shared" si="70"/>
        <v>0</v>
      </c>
      <c r="HD78" s="2"/>
      <c r="HE78" s="2" t="s">
        <v>37</v>
      </c>
      <c r="HF78" s="2" t="s">
        <v>38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">
      <c r="A79">
        <v>17</v>
      </c>
      <c r="B79">
        <v>1</v>
      </c>
      <c r="E79" t="s">
        <v>120</v>
      </c>
      <c r="F79" t="s">
        <v>121</v>
      </c>
      <c r="G79" t="s">
        <v>122</v>
      </c>
      <c r="H79" t="s">
        <v>32</v>
      </c>
      <c r="I79">
        <v>90</v>
      </c>
      <c r="J79">
        <v>0</v>
      </c>
      <c r="K79">
        <v>90</v>
      </c>
      <c r="O79">
        <f t="shared" si="48"/>
        <v>49174.9</v>
      </c>
      <c r="P79">
        <f>ROUND((ROUND((AC79*I79),2)*BC79),2)</f>
        <v>49174.9</v>
      </c>
      <c r="Q79">
        <f>(ROUND((ROUND(((ET79)*AV79*I79),2)*BB79),2)+ROUND((ROUND(((AE79-(EU79))*AV79*I79),2)*BS79),2))</f>
        <v>0</v>
      </c>
      <c r="R79">
        <f>(ROUND((ROUND(((EU79)*AV79*I79),2)*BS79),2)+ROUND((ROUND(((AE79-(EU79))*AV79*I79),2)*BS79),2))</f>
        <v>0</v>
      </c>
      <c r="S79">
        <f t="shared" si="49"/>
        <v>0</v>
      </c>
      <c r="T79">
        <f t="shared" si="50"/>
        <v>0</v>
      </c>
      <c r="U79">
        <f t="shared" si="51"/>
        <v>0</v>
      </c>
      <c r="V79">
        <f t="shared" si="52"/>
        <v>0</v>
      </c>
      <c r="W79">
        <f t="shared" si="53"/>
        <v>0</v>
      </c>
      <c r="X79">
        <f>(ROUND((((S79+ROUND((ROUND(((EU79)*AV79*I79),2)*BS79),2))*AT79)/100),2)+ROUND(((ROUND((ROUND(((AE79-(EU79))*AV79*I79),2)*BS79),2)*AT79)/100),2))</f>
        <v>0</v>
      </c>
      <c r="Y79">
        <f>(ROUND((((S79+ROUND((ROUND(((EU79)*AV79*I79),2)*BS79),2))*AU79)/100),2)+ROUND(((ROUND((ROUND(((AE79-(EU79))*AV79*I79),2)*BS79),2)*AU79)/100),2))</f>
        <v>0</v>
      </c>
      <c r="AA79">
        <v>60258618</v>
      </c>
      <c r="AB79">
        <f t="shared" si="54"/>
        <v>71.33</v>
      </c>
      <c r="AC79">
        <f>ROUND((ES79),6)</f>
        <v>71.33</v>
      </c>
      <c r="AD79">
        <f>ROUND((((ET79)-(EU79))+AE79),6)</f>
        <v>0</v>
      </c>
      <c r="AE79">
        <f>ROUND((EU79),6)</f>
        <v>0</v>
      </c>
      <c r="AF79">
        <f>ROUND((EV79),6)</f>
        <v>0</v>
      </c>
      <c r="AG79">
        <f t="shared" si="55"/>
        <v>0</v>
      </c>
      <c r="AH79">
        <f>(EW79)</f>
        <v>0</v>
      </c>
      <c r="AI79">
        <f>(EX79)</f>
        <v>0</v>
      </c>
      <c r="AJ79">
        <f t="shared" si="56"/>
        <v>0</v>
      </c>
      <c r="AK79">
        <v>71.33</v>
      </c>
      <c r="AL79">
        <v>71.33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Z79">
        <v>1</v>
      </c>
      <c r="BA79">
        <v>1</v>
      </c>
      <c r="BB79">
        <v>1</v>
      </c>
      <c r="BC79">
        <v>7.66</v>
      </c>
      <c r="BD79" t="s">
        <v>3</v>
      </c>
      <c r="BE79" t="s">
        <v>3</v>
      </c>
      <c r="BF79" t="s">
        <v>3</v>
      </c>
      <c r="BG79" t="s">
        <v>3</v>
      </c>
      <c r="BH79">
        <v>3</v>
      </c>
      <c r="BI79">
        <v>3</v>
      </c>
      <c r="BJ79" t="s">
        <v>3</v>
      </c>
      <c r="BM79">
        <v>746</v>
      </c>
      <c r="BN79">
        <v>0</v>
      </c>
      <c r="BO79" t="s">
        <v>3</v>
      </c>
      <c r="BP79">
        <v>0</v>
      </c>
      <c r="BQ79">
        <v>130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 t="s">
        <v>3</v>
      </c>
      <c r="BZ79">
        <v>0</v>
      </c>
      <c r="CA79">
        <v>0</v>
      </c>
      <c r="CB79" t="s">
        <v>3</v>
      </c>
      <c r="CE79">
        <v>1566</v>
      </c>
      <c r="CF79">
        <v>0</v>
      </c>
      <c r="CG79">
        <v>0</v>
      </c>
      <c r="CM79">
        <v>0</v>
      </c>
      <c r="CN79" t="s">
        <v>3</v>
      </c>
      <c r="CO79">
        <v>0</v>
      </c>
      <c r="CP79">
        <f t="shared" si="57"/>
        <v>49174.9</v>
      </c>
      <c r="CQ79">
        <f>ROUND((ROUND((AC79*1),2)*BC79),2)</f>
        <v>546.39</v>
      </c>
      <c r="CR79">
        <f>(ROUND((ROUND(((ET79)*AV79*1),2)*BB79),2)+ROUND((ROUND(((AE79-(EU79))*AV79*1),2)*BS79),2))</f>
        <v>0</v>
      </c>
      <c r="CS79">
        <f>(ROUND((ROUND(((EU79)*AV79*1),2)*BS79),2)+ROUND((ROUND(((AE79-(EU79))*AV79*1),2)*BS79),2))</f>
        <v>0</v>
      </c>
      <c r="CT79">
        <f t="shared" si="58"/>
        <v>0</v>
      </c>
      <c r="CU79">
        <f t="shared" si="59"/>
        <v>0</v>
      </c>
      <c r="CV79">
        <f t="shared" si="60"/>
        <v>0</v>
      </c>
      <c r="CW79">
        <f t="shared" si="61"/>
        <v>0</v>
      </c>
      <c r="CX79">
        <f t="shared" si="62"/>
        <v>0</v>
      </c>
      <c r="CY79">
        <f>(ROUND((((S79+ROUND((ROUND(((EU79)*AV79*1),2)*BS79),2))*AT79)/100),2)+ROUND(((ROUND((ROUND(((AE79-(EU79))*AV79*1),2)*BS79),2)*AT79)/100),2))</f>
        <v>0</v>
      </c>
      <c r="CZ79">
        <f>(ROUND((((S79+ROUND((ROUND(((EU79)*AV79*1),2)*BS79),2))*AU79)/100),2)+ROUND(((ROUND((ROUND(((AE79-(EU79))*AV79*1),2)*BS79),2)*AU79)/100),2))</f>
        <v>0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>
        <v>0</v>
      </c>
      <c r="DO79">
        <v>0</v>
      </c>
      <c r="DP79">
        <v>1</v>
      </c>
      <c r="DQ79">
        <v>1</v>
      </c>
      <c r="DU79">
        <v>1013</v>
      </c>
      <c r="DV79" t="s">
        <v>32</v>
      </c>
      <c r="DW79" t="s">
        <v>32</v>
      </c>
      <c r="DX79">
        <v>1</v>
      </c>
      <c r="DZ79" t="s">
        <v>3</v>
      </c>
      <c r="EA79" t="s">
        <v>3</v>
      </c>
      <c r="EB79" t="s">
        <v>3</v>
      </c>
      <c r="EC79" t="s">
        <v>3</v>
      </c>
      <c r="EE79">
        <v>60088638</v>
      </c>
      <c r="EF79">
        <v>130</v>
      </c>
      <c r="EG79" t="s">
        <v>33</v>
      </c>
      <c r="EH79">
        <v>0</v>
      </c>
      <c r="EI79" t="s">
        <v>3</v>
      </c>
      <c r="EJ79">
        <v>3</v>
      </c>
      <c r="EK79">
        <v>746</v>
      </c>
      <c r="EL79" t="s">
        <v>34</v>
      </c>
      <c r="EM79" t="s">
        <v>35</v>
      </c>
      <c r="EO79" t="s">
        <v>3</v>
      </c>
      <c r="EQ79">
        <v>0</v>
      </c>
      <c r="ER79">
        <v>0</v>
      </c>
      <c r="ES79">
        <v>71.33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5</v>
      </c>
      <c r="FC79">
        <v>1</v>
      </c>
      <c r="FD79">
        <v>18</v>
      </c>
      <c r="FF79">
        <v>629</v>
      </c>
      <c r="FQ79">
        <v>0</v>
      </c>
      <c r="FR79">
        <f>P79</f>
        <v>49174.9</v>
      </c>
      <c r="FS79">
        <v>0</v>
      </c>
      <c r="FX79">
        <v>0</v>
      </c>
      <c r="FY79">
        <v>0</v>
      </c>
      <c r="GA79" t="s">
        <v>123</v>
      </c>
      <c r="GD79">
        <v>1</v>
      </c>
      <c r="GF79">
        <v>-860310970</v>
      </c>
      <c r="GG79">
        <v>2</v>
      </c>
      <c r="GH79">
        <v>3</v>
      </c>
      <c r="GI79">
        <v>5</v>
      </c>
      <c r="GJ79">
        <v>0</v>
      </c>
      <c r="GK79">
        <v>0</v>
      </c>
      <c r="GL79">
        <f t="shared" si="63"/>
        <v>0</v>
      </c>
      <c r="GM79">
        <f t="shared" si="64"/>
        <v>49174.9</v>
      </c>
      <c r="GN79">
        <f t="shared" si="65"/>
        <v>0</v>
      </c>
      <c r="GO79">
        <f t="shared" si="66"/>
        <v>0</v>
      </c>
      <c r="GP79">
        <f t="shared" si="67"/>
        <v>0</v>
      </c>
      <c r="GR79">
        <v>1</v>
      </c>
      <c r="GS79">
        <v>1</v>
      </c>
      <c r="GT79">
        <v>0</v>
      </c>
      <c r="GU79" t="s">
        <v>3</v>
      </c>
      <c r="GV79">
        <f t="shared" si="68"/>
        <v>0</v>
      </c>
      <c r="GW79">
        <v>1</v>
      </c>
      <c r="GX79">
        <f t="shared" si="69"/>
        <v>0</v>
      </c>
      <c r="HA79">
        <v>0</v>
      </c>
      <c r="HB79">
        <v>0</v>
      </c>
      <c r="HC79">
        <f t="shared" si="70"/>
        <v>0</v>
      </c>
      <c r="HE79" t="s">
        <v>37</v>
      </c>
      <c r="HF79" t="s">
        <v>38</v>
      </c>
      <c r="HM79" t="s">
        <v>3</v>
      </c>
      <c r="HN79" t="s">
        <v>3</v>
      </c>
      <c r="HO79" t="s">
        <v>3</v>
      </c>
      <c r="HP79" t="s">
        <v>3</v>
      </c>
      <c r="HQ79" t="s">
        <v>3</v>
      </c>
      <c r="HS79">
        <v>0</v>
      </c>
      <c r="IK79">
        <v>0</v>
      </c>
    </row>
    <row r="80" spans="1:255" x14ac:dyDescent="0.2">
      <c r="A80" s="2">
        <v>17</v>
      </c>
      <c r="B80" s="2">
        <v>1</v>
      </c>
      <c r="C80" s="2">
        <f>ROW(SmtRes!A45)</f>
        <v>45</v>
      </c>
      <c r="D80" s="2">
        <f>ROW(EtalonRes!A53)</f>
        <v>53</v>
      </c>
      <c r="E80" s="2" t="s">
        <v>124</v>
      </c>
      <c r="F80" s="2" t="s">
        <v>61</v>
      </c>
      <c r="G80" s="2" t="s">
        <v>62</v>
      </c>
      <c r="H80" s="2" t="s">
        <v>21</v>
      </c>
      <c r="I80" s="2">
        <v>9</v>
      </c>
      <c r="J80" s="2">
        <v>0</v>
      </c>
      <c r="K80" s="2">
        <v>9</v>
      </c>
      <c r="L80" s="2"/>
      <c r="M80" s="2"/>
      <c r="N80" s="2"/>
      <c r="O80" s="2">
        <f t="shared" si="48"/>
        <v>184.73</v>
      </c>
      <c r="P80" s="2">
        <f>ROUND((ROUND((AC80*AW80*I80),2)*BC80),2)</f>
        <v>17.64</v>
      </c>
      <c r="Q80" s="2">
        <f>(ROUND((ROUND((((ET80*1.1))*AV80*I80),2)*BB80),2)+ROUND((ROUND(((AE80-((EU80*1.1)))*AV80*I80),2)*BS80),2))</f>
        <v>0.52</v>
      </c>
      <c r="R80" s="2">
        <f>(ROUND((ROUND((((EU80*1.1))*AV80*I80),2)*BS80),2)+ROUND((ROUND(((AE80-((EU80*1.1)))*AV80*I80),2)*BS80),2))</f>
        <v>0.1</v>
      </c>
      <c r="S80" s="2">
        <f t="shared" si="49"/>
        <v>166.57</v>
      </c>
      <c r="T80" s="2">
        <f t="shared" si="50"/>
        <v>0</v>
      </c>
      <c r="U80" s="2">
        <f t="shared" si="51"/>
        <v>12.438359999999999</v>
      </c>
      <c r="V80" s="2">
        <f t="shared" si="52"/>
        <v>0</v>
      </c>
      <c r="W80" s="2">
        <f t="shared" si="53"/>
        <v>0</v>
      </c>
      <c r="X80" s="2">
        <f>(ROUND((((S80+ROUND((ROUND((((EU80*1.1))*AV80*I80),2)*BS80),2))*AT80)/100),2)+ROUND(((ROUND((ROUND(((AE80-((EU80*1.1)))*AV80*I80),2)*BS80),2)*AT80)/100),2))</f>
        <v>150</v>
      </c>
      <c r="Y80" s="2">
        <f>(ROUND((((S80+ROUND((ROUND((((EU80*1.1))*AV80*I80),2)*BS80),2))*AU80)/100),2)+ROUND(((ROUND((ROUND(((AE80-((EU80*1.1)))*AV80*I80),2)*BS80),2)*AU80)/100),2))</f>
        <v>76.67</v>
      </c>
      <c r="Z80" s="2"/>
      <c r="AA80" s="2">
        <v>60258621</v>
      </c>
      <c r="AB80" s="2">
        <f t="shared" si="54"/>
        <v>19.692</v>
      </c>
      <c r="AC80" s="2">
        <f>ROUND(((ES80*1)),6)</f>
        <v>1.96</v>
      </c>
      <c r="AD80" s="2">
        <f>ROUND(((((ET80*1.1))-((EU80*1.1)))+AE80),6)</f>
        <v>5.5E-2</v>
      </c>
      <c r="AE80" s="2">
        <f>ROUND(((EU80*1.1)),6)</f>
        <v>1.0999999999999999E-2</v>
      </c>
      <c r="AF80" s="2">
        <f>ROUND(((EV80*1.1)),6)</f>
        <v>17.677</v>
      </c>
      <c r="AG80" s="2">
        <f t="shared" si="55"/>
        <v>0</v>
      </c>
      <c r="AH80" s="2">
        <f>((EW80*1.1))</f>
        <v>1.32</v>
      </c>
      <c r="AI80" s="2">
        <f>((EX80*1.1))</f>
        <v>0</v>
      </c>
      <c r="AJ80" s="2">
        <f t="shared" si="56"/>
        <v>0</v>
      </c>
      <c r="AK80" s="2">
        <v>18.079999999999998</v>
      </c>
      <c r="AL80" s="2">
        <v>1.96</v>
      </c>
      <c r="AM80" s="2">
        <v>0.05</v>
      </c>
      <c r="AN80" s="2">
        <v>0.01</v>
      </c>
      <c r="AO80" s="2">
        <v>16.07</v>
      </c>
      <c r="AP80" s="2">
        <v>0</v>
      </c>
      <c r="AQ80" s="2">
        <v>1.2</v>
      </c>
      <c r="AR80" s="2">
        <v>0</v>
      </c>
      <c r="AS80" s="2">
        <v>0</v>
      </c>
      <c r="AT80" s="2">
        <v>90</v>
      </c>
      <c r="AU80" s="2">
        <v>46</v>
      </c>
      <c r="AV80" s="2">
        <v>1.0469999999999999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0</v>
      </c>
      <c r="BI80" s="2">
        <v>2</v>
      </c>
      <c r="BJ80" s="2" t="s">
        <v>63</v>
      </c>
      <c r="BK80" s="2"/>
      <c r="BL80" s="2"/>
      <c r="BM80" s="2">
        <v>68</v>
      </c>
      <c r="BN80" s="2">
        <v>58973116</v>
      </c>
      <c r="BO80" s="2" t="s">
        <v>61</v>
      </c>
      <c r="BP80" s="2">
        <v>1</v>
      </c>
      <c r="BQ80" s="2">
        <v>40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90</v>
      </c>
      <c r="CA80" s="2">
        <v>46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407</v>
      </c>
      <c r="CO80" s="2">
        <v>0</v>
      </c>
      <c r="CP80" s="2">
        <f t="shared" si="57"/>
        <v>184.73</v>
      </c>
      <c r="CQ80" s="2">
        <f>ROUND((ROUND((AC80*AW80*1),2)*BC80),2)</f>
        <v>1.96</v>
      </c>
      <c r="CR80" s="2">
        <f>(ROUND((ROUND((((ET80*1.1))*AV80*1),2)*BB80),2)+ROUND((ROUND(((AE80-((EU80*1.1)))*AV80*1),2)*BS80),2))</f>
        <v>0.06</v>
      </c>
      <c r="CS80" s="2">
        <f>(ROUND((ROUND((((EU80*1.1))*AV80*1),2)*BS80),2)+ROUND((ROUND(((AE80-((EU80*1.1)))*AV80*1),2)*BS80),2))</f>
        <v>0.01</v>
      </c>
      <c r="CT80" s="2">
        <f t="shared" si="58"/>
        <v>18.510000000000002</v>
      </c>
      <c r="CU80" s="2">
        <f t="shared" si="59"/>
        <v>0</v>
      </c>
      <c r="CV80" s="2">
        <f t="shared" si="60"/>
        <v>1.3820399999999999</v>
      </c>
      <c r="CW80" s="2">
        <f t="shared" si="61"/>
        <v>0</v>
      </c>
      <c r="CX80" s="2">
        <f t="shared" si="62"/>
        <v>0</v>
      </c>
      <c r="CY80" s="2">
        <f>(ROUND((((S80+ROUND((ROUND((((EU80*1.1))*AV80*1),2)*BS80),2))*AT80)/100),2)+ROUND(((ROUND((ROUND(((AE80-((EU80*1.1)))*AV80*1),2)*BS80),2)*AT80)/100),2))</f>
        <v>149.91999999999999</v>
      </c>
      <c r="CZ80" s="2">
        <f>(ROUND((((S80+ROUND((ROUND((((EU80*1.1))*AV80*1),2)*BS80),2))*AU80)/100),2)+ROUND(((ROUND((ROUND(((AE80-((EU80*1.1)))*AV80*1),2)*BS80),2)*AU80)/100),2))</f>
        <v>76.63</v>
      </c>
      <c r="DA80" s="2"/>
      <c r="DB80" s="2">
        <v>25</v>
      </c>
      <c r="DC80" s="2" t="s">
        <v>3</v>
      </c>
      <c r="DD80" s="2" t="s">
        <v>23</v>
      </c>
      <c r="DE80" s="2" t="s">
        <v>24</v>
      </c>
      <c r="DF80" s="2" t="s">
        <v>24</v>
      </c>
      <c r="DG80" s="2" t="s">
        <v>24</v>
      </c>
      <c r="DH80" s="2" t="s">
        <v>3</v>
      </c>
      <c r="DI80" s="2" t="s">
        <v>24</v>
      </c>
      <c r="DJ80" s="2" t="s">
        <v>24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1013</v>
      </c>
      <c r="DV80" s="2" t="s">
        <v>21</v>
      </c>
      <c r="DW80" s="2" t="s">
        <v>21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60088532</v>
      </c>
      <c r="EF80" s="2">
        <v>40</v>
      </c>
      <c r="EG80" s="2" t="s">
        <v>25</v>
      </c>
      <c r="EH80" s="2">
        <v>0</v>
      </c>
      <c r="EI80" s="2" t="s">
        <v>3</v>
      </c>
      <c r="EJ80" s="2">
        <v>2</v>
      </c>
      <c r="EK80" s="2">
        <v>68</v>
      </c>
      <c r="EL80" s="2" t="s">
        <v>46</v>
      </c>
      <c r="EM80" s="2" t="s">
        <v>47</v>
      </c>
      <c r="EN80" s="2"/>
      <c r="EO80" s="2" t="s">
        <v>28</v>
      </c>
      <c r="EP80" s="2"/>
      <c r="EQ80" s="2">
        <v>0</v>
      </c>
      <c r="ER80" s="2">
        <v>18.079999999999998</v>
      </c>
      <c r="ES80" s="2">
        <v>1.96</v>
      </c>
      <c r="ET80" s="2">
        <v>0.05</v>
      </c>
      <c r="EU80" s="2">
        <v>0.01</v>
      </c>
      <c r="EV80" s="2">
        <v>16.07</v>
      </c>
      <c r="EW80" s="2">
        <v>1.2</v>
      </c>
      <c r="EX80" s="2">
        <v>0</v>
      </c>
      <c r="EY80" s="2">
        <v>0</v>
      </c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90</v>
      </c>
      <c r="FY80" s="2">
        <v>46</v>
      </c>
      <c r="FZ80" s="2"/>
      <c r="GA80" s="2" t="s">
        <v>3</v>
      </c>
      <c r="GB80" s="2"/>
      <c r="GC80" s="2"/>
      <c r="GD80" s="2">
        <v>1</v>
      </c>
      <c r="GE80" s="2"/>
      <c r="GF80" s="2">
        <v>1665592289</v>
      </c>
      <c r="GG80" s="2">
        <v>2</v>
      </c>
      <c r="GH80" s="2">
        <v>1</v>
      </c>
      <c r="GI80" s="2">
        <v>2</v>
      </c>
      <c r="GJ80" s="2">
        <v>0</v>
      </c>
      <c r="GK80" s="2">
        <v>0</v>
      </c>
      <c r="GL80" s="2">
        <f t="shared" si="63"/>
        <v>0</v>
      </c>
      <c r="GM80" s="2">
        <f t="shared" si="64"/>
        <v>411.4</v>
      </c>
      <c r="GN80" s="2">
        <f t="shared" si="65"/>
        <v>0</v>
      </c>
      <c r="GO80" s="2">
        <f t="shared" si="66"/>
        <v>411.4</v>
      </c>
      <c r="GP80" s="2">
        <f t="shared" si="67"/>
        <v>0</v>
      </c>
      <c r="GQ80" s="2"/>
      <c r="GR80" s="2">
        <v>0</v>
      </c>
      <c r="GS80" s="2">
        <v>3</v>
      </c>
      <c r="GT80" s="2">
        <v>0</v>
      </c>
      <c r="GU80" s="2" t="s">
        <v>3</v>
      </c>
      <c r="GV80" s="2">
        <f t="shared" si="68"/>
        <v>0</v>
      </c>
      <c r="GW80" s="2">
        <v>1</v>
      </c>
      <c r="GX80" s="2">
        <f t="shared" si="69"/>
        <v>0</v>
      </c>
      <c r="GY80" s="2"/>
      <c r="GZ80" s="2"/>
      <c r="HA80" s="2">
        <v>0</v>
      </c>
      <c r="HB80" s="2">
        <v>0</v>
      </c>
      <c r="HC80" s="2">
        <f t="shared" si="70"/>
        <v>0</v>
      </c>
      <c r="HD80" s="2"/>
      <c r="HE80" s="2" t="s">
        <v>3</v>
      </c>
      <c r="HF80" s="2" t="s">
        <v>3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">
      <c r="A81">
        <v>17</v>
      </c>
      <c r="B81">
        <v>1</v>
      </c>
      <c r="C81">
        <f>ROW(SmtRes!A46)</f>
        <v>46</v>
      </c>
      <c r="D81">
        <f>ROW(EtalonRes!A54)</f>
        <v>54</v>
      </c>
      <c r="E81" t="s">
        <v>124</v>
      </c>
      <c r="F81" t="s">
        <v>61</v>
      </c>
      <c r="G81" t="s">
        <v>62</v>
      </c>
      <c r="H81" t="s">
        <v>21</v>
      </c>
      <c r="I81">
        <v>9</v>
      </c>
      <c r="J81">
        <v>0</v>
      </c>
      <c r="K81">
        <v>9</v>
      </c>
      <c r="O81">
        <f t="shared" si="48"/>
        <v>9344.02</v>
      </c>
      <c r="P81">
        <f>ROUND((ROUND((AC81*AW81*I81),2)*BC81),2)</f>
        <v>174.46</v>
      </c>
      <c r="Q81">
        <f>(ROUND((ROUND((((ET81*1.1))*AV81*I81),2)*BB81),2)+ROUND((ROUND(((AE81-((EU81*1.1)))*AV81*I81),2)*BS81),2))</f>
        <v>9.8800000000000008</v>
      </c>
      <c r="R81">
        <f>(ROUND((ROUND((((EU81*1.1))*AV81*I81),2)*BS81),2)+ROUND((ROUND(((AE81-((EU81*1.1)))*AV81*I81),2)*BS81),2))</f>
        <v>5.5</v>
      </c>
      <c r="S81">
        <f t="shared" si="49"/>
        <v>9159.68</v>
      </c>
      <c r="T81">
        <f t="shared" si="50"/>
        <v>0</v>
      </c>
      <c r="U81">
        <f t="shared" si="51"/>
        <v>12.438359999999999</v>
      </c>
      <c r="V81">
        <f t="shared" si="52"/>
        <v>0</v>
      </c>
      <c r="W81">
        <f t="shared" si="53"/>
        <v>0</v>
      </c>
      <c r="X81">
        <f>(ROUND((((S81+ROUND((ROUND((((EU81*1.1))*AV81*I81),2)*BS81),2))*AT81)/100),2)+ROUND(((ROUND((ROUND(((AE81-((EU81*1.1)))*AV81*I81),2)*BS81),2)*AT81)/100),2))</f>
        <v>8248.66</v>
      </c>
      <c r="Y81">
        <f>(ROUND((((S81+ROUND((ROUND((((EU81*1.1))*AV81*I81),2)*BS81),2))*AU81)/100),2)+ROUND(((ROUND((ROUND(((AE81-((EU81*1.1)))*AV81*I81),2)*BS81),2)*AU81)/100),2))</f>
        <v>4215.9799999999996</v>
      </c>
      <c r="AA81">
        <v>60258618</v>
      </c>
      <c r="AB81">
        <f t="shared" si="54"/>
        <v>19.692</v>
      </c>
      <c r="AC81">
        <f>ROUND(((ES81*1)),6)</f>
        <v>1.96</v>
      </c>
      <c r="AD81">
        <f>ROUND(((((ET81*1.1))-((EU81*1.1)))+AE81),6)</f>
        <v>5.5E-2</v>
      </c>
      <c r="AE81">
        <f>ROUND(((EU81*1.1)),6)</f>
        <v>1.0999999999999999E-2</v>
      </c>
      <c r="AF81">
        <f>ROUND(((EV81*1.1)),6)</f>
        <v>17.677</v>
      </c>
      <c r="AG81">
        <f t="shared" si="55"/>
        <v>0</v>
      </c>
      <c r="AH81">
        <f>((EW81*1.1))</f>
        <v>1.32</v>
      </c>
      <c r="AI81">
        <f>((EX81*1.1))</f>
        <v>0</v>
      </c>
      <c r="AJ81">
        <f t="shared" si="56"/>
        <v>0</v>
      </c>
      <c r="AK81">
        <v>18.079999999999998</v>
      </c>
      <c r="AL81">
        <v>1.96</v>
      </c>
      <c r="AM81">
        <v>0.05</v>
      </c>
      <c r="AN81">
        <v>0.01</v>
      </c>
      <c r="AO81">
        <v>16.07</v>
      </c>
      <c r="AP81">
        <v>0</v>
      </c>
      <c r="AQ81">
        <v>1.2</v>
      </c>
      <c r="AR81">
        <v>0</v>
      </c>
      <c r="AS81">
        <v>0</v>
      </c>
      <c r="AT81">
        <v>90</v>
      </c>
      <c r="AU81">
        <v>46</v>
      </c>
      <c r="AV81">
        <v>1.0469999999999999</v>
      </c>
      <c r="AW81">
        <v>1</v>
      </c>
      <c r="AZ81">
        <v>1</v>
      </c>
      <c r="BA81">
        <v>54.99</v>
      </c>
      <c r="BB81">
        <v>19</v>
      </c>
      <c r="BC81">
        <v>9.89</v>
      </c>
      <c r="BD81" t="s">
        <v>3</v>
      </c>
      <c r="BE81" t="s">
        <v>3</v>
      </c>
      <c r="BF81" t="s">
        <v>3</v>
      </c>
      <c r="BG81" t="s">
        <v>3</v>
      </c>
      <c r="BH81">
        <v>0</v>
      </c>
      <c r="BI81">
        <v>2</v>
      </c>
      <c r="BJ81" t="s">
        <v>63</v>
      </c>
      <c r="BM81">
        <v>68</v>
      </c>
      <c r="BN81">
        <v>58973116</v>
      </c>
      <c r="BO81" t="s">
        <v>61</v>
      </c>
      <c r="BP81">
        <v>1</v>
      </c>
      <c r="BQ81">
        <v>40</v>
      </c>
      <c r="BR81">
        <v>0</v>
      </c>
      <c r="BS81">
        <v>54.99</v>
      </c>
      <c r="BT81">
        <v>1</v>
      </c>
      <c r="BU81">
        <v>1</v>
      </c>
      <c r="BV81">
        <v>1</v>
      </c>
      <c r="BW81">
        <v>1</v>
      </c>
      <c r="BX81">
        <v>1</v>
      </c>
      <c r="BY81" t="s">
        <v>3</v>
      </c>
      <c r="BZ81">
        <v>90</v>
      </c>
      <c r="CA81">
        <v>46</v>
      </c>
      <c r="CB81" t="s">
        <v>3</v>
      </c>
      <c r="CE81">
        <v>1566</v>
      </c>
      <c r="CF81">
        <v>0</v>
      </c>
      <c r="CG81">
        <v>0</v>
      </c>
      <c r="CM81">
        <v>0</v>
      </c>
      <c r="CN81" t="s">
        <v>407</v>
      </c>
      <c r="CO81">
        <v>0</v>
      </c>
      <c r="CP81">
        <f t="shared" si="57"/>
        <v>9344.02</v>
      </c>
      <c r="CQ81">
        <f>ROUND((ROUND((AC81*AW81*1),2)*BC81),2)</f>
        <v>19.38</v>
      </c>
      <c r="CR81">
        <f>(ROUND((ROUND((((ET81*1.1))*AV81*1),2)*BB81),2)+ROUND((ROUND(((AE81-((EU81*1.1)))*AV81*1),2)*BS81),2))</f>
        <v>1.1399999999999999</v>
      </c>
      <c r="CS81">
        <f>(ROUND((ROUND((((EU81*1.1))*AV81*1),2)*BS81),2)+ROUND((ROUND(((AE81-((EU81*1.1)))*AV81*1),2)*BS81),2))</f>
        <v>0.55000000000000004</v>
      </c>
      <c r="CT81">
        <f t="shared" si="58"/>
        <v>1017.86</v>
      </c>
      <c r="CU81">
        <f t="shared" si="59"/>
        <v>0</v>
      </c>
      <c r="CV81">
        <f t="shared" si="60"/>
        <v>1.3820399999999999</v>
      </c>
      <c r="CW81">
        <f t="shared" si="61"/>
        <v>0</v>
      </c>
      <c r="CX81">
        <f t="shared" si="62"/>
        <v>0</v>
      </c>
      <c r="CY81">
        <f>(ROUND((((S81+ROUND((ROUND((((EU81*1.1))*AV81*1),2)*BS81),2))*AT81)/100),2)+ROUND(((ROUND((ROUND(((AE81-((EU81*1.1)))*AV81*1),2)*BS81),2)*AT81)/100),2))</f>
        <v>8244.2099999999991</v>
      </c>
      <c r="CZ81">
        <f>(ROUND((((S81+ROUND((ROUND((((EU81*1.1))*AV81*1),2)*BS81),2))*AU81)/100),2)+ROUND(((ROUND((ROUND(((AE81-((EU81*1.1)))*AV81*1),2)*BS81),2)*AU81)/100),2))</f>
        <v>4213.71</v>
      </c>
      <c r="DB81">
        <v>26</v>
      </c>
      <c r="DC81" t="s">
        <v>3</v>
      </c>
      <c r="DD81" t="s">
        <v>23</v>
      </c>
      <c r="DE81" t="s">
        <v>24</v>
      </c>
      <c r="DF81" t="s">
        <v>24</v>
      </c>
      <c r="DG81" t="s">
        <v>24</v>
      </c>
      <c r="DH81" t="s">
        <v>3</v>
      </c>
      <c r="DI81" t="s">
        <v>24</v>
      </c>
      <c r="DJ81" t="s">
        <v>24</v>
      </c>
      <c r="DK81" t="s">
        <v>3</v>
      </c>
      <c r="DL81" t="s">
        <v>3</v>
      </c>
      <c r="DM81" t="s">
        <v>3</v>
      </c>
      <c r="DN81">
        <v>0</v>
      </c>
      <c r="DO81">
        <v>0</v>
      </c>
      <c r="DP81">
        <v>1</v>
      </c>
      <c r="DQ81">
        <v>1</v>
      </c>
      <c r="DU81">
        <v>1013</v>
      </c>
      <c r="DV81" t="s">
        <v>21</v>
      </c>
      <c r="DW81" t="s">
        <v>21</v>
      </c>
      <c r="DX81">
        <v>1</v>
      </c>
      <c r="DZ81" t="s">
        <v>3</v>
      </c>
      <c r="EA81" t="s">
        <v>3</v>
      </c>
      <c r="EB81" t="s">
        <v>3</v>
      </c>
      <c r="EC81" t="s">
        <v>3</v>
      </c>
      <c r="EE81">
        <v>60088532</v>
      </c>
      <c r="EF81">
        <v>40</v>
      </c>
      <c r="EG81" t="s">
        <v>25</v>
      </c>
      <c r="EH81">
        <v>0</v>
      </c>
      <c r="EI81" t="s">
        <v>3</v>
      </c>
      <c r="EJ81">
        <v>2</v>
      </c>
      <c r="EK81">
        <v>68</v>
      </c>
      <c r="EL81" t="s">
        <v>46</v>
      </c>
      <c r="EM81" t="s">
        <v>47</v>
      </c>
      <c r="EO81" t="s">
        <v>28</v>
      </c>
      <c r="EQ81">
        <v>0</v>
      </c>
      <c r="ER81">
        <v>18.079999999999998</v>
      </c>
      <c r="ES81">
        <v>1.96</v>
      </c>
      <c r="ET81">
        <v>0.05</v>
      </c>
      <c r="EU81">
        <v>0.01</v>
      </c>
      <c r="EV81">
        <v>16.07</v>
      </c>
      <c r="EW81">
        <v>1.2</v>
      </c>
      <c r="EX81">
        <v>0</v>
      </c>
      <c r="EY81">
        <v>0</v>
      </c>
      <c r="FQ81">
        <v>0</v>
      </c>
      <c r="FR81">
        <v>0</v>
      </c>
      <c r="FS81">
        <v>0</v>
      </c>
      <c r="FX81">
        <v>90</v>
      </c>
      <c r="FY81">
        <v>46</v>
      </c>
      <c r="GA81" t="s">
        <v>3</v>
      </c>
      <c r="GD81">
        <v>1</v>
      </c>
      <c r="GF81">
        <v>1665592289</v>
      </c>
      <c r="GG81">
        <v>2</v>
      </c>
      <c r="GH81">
        <v>1</v>
      </c>
      <c r="GI81">
        <v>2</v>
      </c>
      <c r="GJ81">
        <v>0</v>
      </c>
      <c r="GK81">
        <v>0</v>
      </c>
      <c r="GL81">
        <f t="shared" si="63"/>
        <v>0</v>
      </c>
      <c r="GM81">
        <f t="shared" si="64"/>
        <v>21808.66</v>
      </c>
      <c r="GN81">
        <f t="shared" si="65"/>
        <v>0</v>
      </c>
      <c r="GO81">
        <f t="shared" si="66"/>
        <v>21808.66</v>
      </c>
      <c r="GP81">
        <f t="shared" si="67"/>
        <v>0</v>
      </c>
      <c r="GR81">
        <v>0</v>
      </c>
      <c r="GS81">
        <v>3</v>
      </c>
      <c r="GT81">
        <v>0</v>
      </c>
      <c r="GU81" t="s">
        <v>3</v>
      </c>
      <c r="GV81">
        <f t="shared" si="68"/>
        <v>0</v>
      </c>
      <c r="GW81">
        <v>1</v>
      </c>
      <c r="GX81">
        <f t="shared" si="69"/>
        <v>0</v>
      </c>
      <c r="HA81">
        <v>0</v>
      </c>
      <c r="HB81">
        <v>0</v>
      </c>
      <c r="HC81">
        <f t="shared" si="70"/>
        <v>0</v>
      </c>
      <c r="HE81" t="s">
        <v>3</v>
      </c>
      <c r="HF81" t="s">
        <v>3</v>
      </c>
      <c r="HM81" t="s">
        <v>3</v>
      </c>
      <c r="HN81" t="s">
        <v>3</v>
      </c>
      <c r="HO81" t="s">
        <v>3</v>
      </c>
      <c r="HP81" t="s">
        <v>3</v>
      </c>
      <c r="HQ81" t="s">
        <v>3</v>
      </c>
      <c r="HS81">
        <v>0</v>
      </c>
      <c r="IK81">
        <v>0</v>
      </c>
    </row>
    <row r="82" spans="1:255" x14ac:dyDescent="0.2">
      <c r="A82" s="2">
        <v>17</v>
      </c>
      <c r="B82" s="2">
        <v>1</v>
      </c>
      <c r="C82" s="2"/>
      <c r="D82" s="2"/>
      <c r="E82" s="2" t="s">
        <v>125</v>
      </c>
      <c r="F82" s="2" t="s">
        <v>126</v>
      </c>
      <c r="G82" s="2" t="s">
        <v>127</v>
      </c>
      <c r="H82" s="2" t="s">
        <v>32</v>
      </c>
      <c r="I82" s="2">
        <v>9</v>
      </c>
      <c r="J82" s="2">
        <v>0</v>
      </c>
      <c r="K82" s="2">
        <v>9</v>
      </c>
      <c r="L82" s="2"/>
      <c r="M82" s="2"/>
      <c r="N82" s="2"/>
      <c r="O82" s="2">
        <f t="shared" si="48"/>
        <v>1668.78</v>
      </c>
      <c r="P82" s="2">
        <f>ROUND((ROUND((AC82*I82),2)*BC82),2)</f>
        <v>1668.78</v>
      </c>
      <c r="Q82" s="2">
        <f>(ROUND((ROUND(((ET82)*AV82*I82),2)*BB82),2)+ROUND((ROUND(((AE82-(EU82))*AV82*I82),2)*BS82),2))</f>
        <v>0</v>
      </c>
      <c r="R82" s="2">
        <f>(ROUND((ROUND(((EU82)*AV82*I82),2)*BS82),2)+ROUND((ROUND(((AE82-(EU82))*AV82*I82),2)*BS82),2))</f>
        <v>0</v>
      </c>
      <c r="S82" s="2">
        <f t="shared" si="49"/>
        <v>0</v>
      </c>
      <c r="T82" s="2">
        <f t="shared" si="50"/>
        <v>0</v>
      </c>
      <c r="U82" s="2">
        <f t="shared" si="51"/>
        <v>0</v>
      </c>
      <c r="V82" s="2">
        <f t="shared" si="52"/>
        <v>0</v>
      </c>
      <c r="W82" s="2">
        <f t="shared" si="53"/>
        <v>0</v>
      </c>
      <c r="X82" s="2">
        <f>(ROUND((((S82+ROUND((ROUND(((EU82)*AV82*I82),2)*BS82),2))*AT82)/100),2)+ROUND(((ROUND((ROUND(((AE82-(EU82))*AV82*I82),2)*BS82),2)*AT82)/100),2))</f>
        <v>0</v>
      </c>
      <c r="Y82" s="2">
        <f>(ROUND((((S82+ROUND((ROUND(((EU82)*AV82*I82),2)*BS82),2))*AU82)/100),2)+ROUND(((ROUND((ROUND(((AE82-(EU82))*AV82*I82),2)*BS82),2)*AU82)/100),2))</f>
        <v>0</v>
      </c>
      <c r="Z82" s="2"/>
      <c r="AA82" s="2">
        <v>60258621</v>
      </c>
      <c r="AB82" s="2">
        <f t="shared" si="54"/>
        <v>185.42</v>
      </c>
      <c r="AC82" s="2">
        <f>ROUND((ES82),6)</f>
        <v>185.42</v>
      </c>
      <c r="AD82" s="2">
        <f>ROUND((((ET82)-(EU82))+AE82),6)</f>
        <v>0</v>
      </c>
      <c r="AE82" s="2">
        <f>ROUND((EU82),6)</f>
        <v>0</v>
      </c>
      <c r="AF82" s="2">
        <f>ROUND((EV82),6)</f>
        <v>0</v>
      </c>
      <c r="AG82" s="2">
        <f t="shared" si="55"/>
        <v>0</v>
      </c>
      <c r="AH82" s="2">
        <f>(EW82)</f>
        <v>0</v>
      </c>
      <c r="AI82" s="2">
        <f>(EX82)</f>
        <v>0</v>
      </c>
      <c r="AJ82" s="2">
        <f t="shared" si="56"/>
        <v>0</v>
      </c>
      <c r="AK82" s="2">
        <v>185.42</v>
      </c>
      <c r="AL82" s="2">
        <v>185.42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1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3</v>
      </c>
      <c r="BI82" s="2">
        <v>3</v>
      </c>
      <c r="BJ82" s="2" t="s">
        <v>3</v>
      </c>
      <c r="BK82" s="2"/>
      <c r="BL82" s="2"/>
      <c r="BM82" s="2">
        <v>746</v>
      </c>
      <c r="BN82" s="2">
        <v>0</v>
      </c>
      <c r="BO82" s="2" t="s">
        <v>3</v>
      </c>
      <c r="BP82" s="2">
        <v>0</v>
      </c>
      <c r="BQ82" s="2">
        <v>130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0</v>
      </c>
      <c r="CA82" s="2">
        <v>0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</v>
      </c>
      <c r="CO82" s="2">
        <v>0</v>
      </c>
      <c r="CP82" s="2">
        <f t="shared" si="57"/>
        <v>1668.78</v>
      </c>
      <c r="CQ82" s="2">
        <f>ROUND((ROUND((AC82*1),2)*BC82),2)</f>
        <v>185.42</v>
      </c>
      <c r="CR82" s="2">
        <f>(ROUND((ROUND(((ET82)*AV82*1),2)*BB82),2)+ROUND((ROUND(((AE82-(EU82))*AV82*1),2)*BS82),2))</f>
        <v>0</v>
      </c>
      <c r="CS82" s="2">
        <f>(ROUND((ROUND(((EU82)*AV82*1),2)*BS82),2)+ROUND((ROUND(((AE82-(EU82))*AV82*1),2)*BS82),2))</f>
        <v>0</v>
      </c>
      <c r="CT82" s="2">
        <f t="shared" si="58"/>
        <v>0</v>
      </c>
      <c r="CU82" s="2">
        <f t="shared" si="59"/>
        <v>0</v>
      </c>
      <c r="CV82" s="2">
        <f t="shared" si="60"/>
        <v>0</v>
      </c>
      <c r="CW82" s="2">
        <f t="shared" si="61"/>
        <v>0</v>
      </c>
      <c r="CX82" s="2">
        <f t="shared" si="62"/>
        <v>0</v>
      </c>
      <c r="CY82" s="2">
        <f>(ROUND((((S82+ROUND((ROUND(((EU82)*AV82*1),2)*BS82),2))*AT82)/100),2)+ROUND(((ROUND((ROUND(((AE82-(EU82))*AV82*1),2)*BS82),2)*AT82)/100),2))</f>
        <v>0</v>
      </c>
      <c r="CZ82" s="2">
        <f>(ROUND((((S82+ROUND((ROUND(((EU82)*AV82*1),2)*BS82),2))*AU82)/100),2)+ROUND(((ROUND((ROUND(((AE82-(EU82))*AV82*1),2)*BS82),2)*AU82)/100),2))</f>
        <v>0</v>
      </c>
      <c r="DA82" s="2"/>
      <c r="DB82" s="2"/>
      <c r="DC82" s="2" t="s">
        <v>3</v>
      </c>
      <c r="DD82" s="2" t="s">
        <v>3</v>
      </c>
      <c r="DE82" s="2" t="s">
        <v>3</v>
      </c>
      <c r="DF82" s="2" t="s">
        <v>3</v>
      </c>
      <c r="DG82" s="2" t="s">
        <v>3</v>
      </c>
      <c r="DH82" s="2" t="s">
        <v>3</v>
      </c>
      <c r="DI82" s="2" t="s">
        <v>3</v>
      </c>
      <c r="DJ82" s="2" t="s">
        <v>3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1013</v>
      </c>
      <c r="DV82" s="2" t="s">
        <v>32</v>
      </c>
      <c r="DW82" s="2" t="s">
        <v>32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60088638</v>
      </c>
      <c r="EF82" s="2">
        <v>130</v>
      </c>
      <c r="EG82" s="2" t="s">
        <v>33</v>
      </c>
      <c r="EH82" s="2">
        <v>0</v>
      </c>
      <c r="EI82" s="2" t="s">
        <v>3</v>
      </c>
      <c r="EJ82" s="2">
        <v>3</v>
      </c>
      <c r="EK82" s="2">
        <v>746</v>
      </c>
      <c r="EL82" s="2" t="s">
        <v>34</v>
      </c>
      <c r="EM82" s="2" t="s">
        <v>35</v>
      </c>
      <c r="EN82" s="2"/>
      <c r="EO82" s="2" t="s">
        <v>3</v>
      </c>
      <c r="EP82" s="2"/>
      <c r="EQ82" s="2">
        <v>0</v>
      </c>
      <c r="ER82" s="2">
        <v>0</v>
      </c>
      <c r="ES82" s="2">
        <v>185.42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f>P82</f>
        <v>1668.78</v>
      </c>
      <c r="FS82" s="2">
        <v>0</v>
      </c>
      <c r="FT82" s="2"/>
      <c r="FU82" s="2"/>
      <c r="FV82" s="2"/>
      <c r="FW82" s="2"/>
      <c r="FX82" s="2">
        <v>0</v>
      </c>
      <c r="FY82" s="2">
        <v>0</v>
      </c>
      <c r="FZ82" s="2"/>
      <c r="GA82" s="2" t="s">
        <v>128</v>
      </c>
      <c r="GB82" s="2"/>
      <c r="GC82" s="2"/>
      <c r="GD82" s="2">
        <v>1</v>
      </c>
      <c r="GE82" s="2"/>
      <c r="GF82" s="2">
        <v>2042603437</v>
      </c>
      <c r="GG82" s="2">
        <v>2</v>
      </c>
      <c r="GH82" s="2">
        <v>4</v>
      </c>
      <c r="GI82" s="2">
        <v>-2</v>
      </c>
      <c r="GJ82" s="2">
        <v>0</v>
      </c>
      <c r="GK82" s="2">
        <v>0</v>
      </c>
      <c r="GL82" s="2">
        <f t="shared" si="63"/>
        <v>0</v>
      </c>
      <c r="GM82" s="2">
        <f t="shared" si="64"/>
        <v>1668.78</v>
      </c>
      <c r="GN82" s="2">
        <f t="shared" si="65"/>
        <v>0</v>
      </c>
      <c r="GO82" s="2">
        <f t="shared" si="66"/>
        <v>0</v>
      </c>
      <c r="GP82" s="2">
        <f t="shared" si="67"/>
        <v>0</v>
      </c>
      <c r="GQ82" s="2"/>
      <c r="GR82" s="2">
        <v>0</v>
      </c>
      <c r="GS82" s="2">
        <v>2</v>
      </c>
      <c r="GT82" s="2">
        <v>0</v>
      </c>
      <c r="GU82" s="2" t="s">
        <v>3</v>
      </c>
      <c r="GV82" s="2">
        <f t="shared" si="68"/>
        <v>0</v>
      </c>
      <c r="GW82" s="2">
        <v>1</v>
      </c>
      <c r="GX82" s="2">
        <f t="shared" si="69"/>
        <v>0</v>
      </c>
      <c r="GY82" s="2"/>
      <c r="GZ82" s="2"/>
      <c r="HA82" s="2">
        <v>0</v>
      </c>
      <c r="HB82" s="2">
        <v>0</v>
      </c>
      <c r="HC82" s="2">
        <f t="shared" si="70"/>
        <v>0</v>
      </c>
      <c r="HD82" s="2"/>
      <c r="HE82" s="2" t="s">
        <v>37</v>
      </c>
      <c r="HF82" s="2" t="s">
        <v>38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">
      <c r="A83">
        <v>17</v>
      </c>
      <c r="B83">
        <v>1</v>
      </c>
      <c r="E83" t="s">
        <v>125</v>
      </c>
      <c r="F83" t="s">
        <v>126</v>
      </c>
      <c r="G83" t="s">
        <v>127</v>
      </c>
      <c r="H83" t="s">
        <v>32</v>
      </c>
      <c r="I83">
        <v>9</v>
      </c>
      <c r="J83">
        <v>0</v>
      </c>
      <c r="K83">
        <v>9</v>
      </c>
      <c r="O83">
        <f t="shared" si="48"/>
        <v>12782.85</v>
      </c>
      <c r="P83">
        <f>ROUND((ROUND((AC83*I83),2)*BC83),2)</f>
        <v>12782.85</v>
      </c>
      <c r="Q83">
        <f>(ROUND((ROUND(((ET83)*AV83*I83),2)*BB83),2)+ROUND((ROUND(((AE83-(EU83))*AV83*I83),2)*BS83),2))</f>
        <v>0</v>
      </c>
      <c r="R83">
        <f>(ROUND((ROUND(((EU83)*AV83*I83),2)*BS83),2)+ROUND((ROUND(((AE83-(EU83))*AV83*I83),2)*BS83),2))</f>
        <v>0</v>
      </c>
      <c r="S83">
        <f t="shared" si="49"/>
        <v>0</v>
      </c>
      <c r="T83">
        <f t="shared" si="50"/>
        <v>0</v>
      </c>
      <c r="U83">
        <f t="shared" si="51"/>
        <v>0</v>
      </c>
      <c r="V83">
        <f t="shared" si="52"/>
        <v>0</v>
      </c>
      <c r="W83">
        <f t="shared" si="53"/>
        <v>0</v>
      </c>
      <c r="X83">
        <f>(ROUND((((S83+ROUND((ROUND(((EU83)*AV83*I83),2)*BS83),2))*AT83)/100),2)+ROUND(((ROUND((ROUND(((AE83-(EU83))*AV83*I83),2)*BS83),2)*AT83)/100),2))</f>
        <v>0</v>
      </c>
      <c r="Y83">
        <f>(ROUND((((S83+ROUND((ROUND(((EU83)*AV83*I83),2)*BS83),2))*AU83)/100),2)+ROUND(((ROUND((ROUND(((AE83-(EU83))*AV83*I83),2)*BS83),2)*AU83)/100),2))</f>
        <v>0</v>
      </c>
      <c r="AA83">
        <v>60258618</v>
      </c>
      <c r="AB83">
        <f t="shared" si="54"/>
        <v>185.42</v>
      </c>
      <c r="AC83">
        <f>ROUND((ES83),6)</f>
        <v>185.42</v>
      </c>
      <c r="AD83">
        <f>ROUND((((ET83)-(EU83))+AE83),6)</f>
        <v>0</v>
      </c>
      <c r="AE83">
        <f>ROUND((EU83),6)</f>
        <v>0</v>
      </c>
      <c r="AF83">
        <f>ROUND((EV83),6)</f>
        <v>0</v>
      </c>
      <c r="AG83">
        <f t="shared" si="55"/>
        <v>0</v>
      </c>
      <c r="AH83">
        <f>(EW83)</f>
        <v>0</v>
      </c>
      <c r="AI83">
        <f>(EX83)</f>
        <v>0</v>
      </c>
      <c r="AJ83">
        <f t="shared" si="56"/>
        <v>0</v>
      </c>
      <c r="AK83">
        <v>185.42</v>
      </c>
      <c r="AL83">
        <v>185.42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Z83">
        <v>1</v>
      </c>
      <c r="BA83">
        <v>1</v>
      </c>
      <c r="BB83">
        <v>1</v>
      </c>
      <c r="BC83">
        <v>7.66</v>
      </c>
      <c r="BD83" t="s">
        <v>3</v>
      </c>
      <c r="BE83" t="s">
        <v>3</v>
      </c>
      <c r="BF83" t="s">
        <v>3</v>
      </c>
      <c r="BG83" t="s">
        <v>3</v>
      </c>
      <c r="BH83">
        <v>3</v>
      </c>
      <c r="BI83">
        <v>3</v>
      </c>
      <c r="BJ83" t="s">
        <v>3</v>
      </c>
      <c r="BM83">
        <v>746</v>
      </c>
      <c r="BN83">
        <v>0</v>
      </c>
      <c r="BO83" t="s">
        <v>3</v>
      </c>
      <c r="BP83">
        <v>0</v>
      </c>
      <c r="BQ83">
        <v>130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 t="s">
        <v>3</v>
      </c>
      <c r="BZ83">
        <v>0</v>
      </c>
      <c r="CA83">
        <v>0</v>
      </c>
      <c r="CB83" t="s">
        <v>3</v>
      </c>
      <c r="CE83">
        <v>1566</v>
      </c>
      <c r="CF83">
        <v>0</v>
      </c>
      <c r="CG83">
        <v>0</v>
      </c>
      <c r="CM83">
        <v>0</v>
      </c>
      <c r="CN83" t="s">
        <v>3</v>
      </c>
      <c r="CO83">
        <v>0</v>
      </c>
      <c r="CP83">
        <f t="shared" si="57"/>
        <v>12782.85</v>
      </c>
      <c r="CQ83">
        <f>ROUND((ROUND((AC83*1),2)*BC83),2)</f>
        <v>1420.32</v>
      </c>
      <c r="CR83">
        <f>(ROUND((ROUND(((ET83)*AV83*1),2)*BB83),2)+ROUND((ROUND(((AE83-(EU83))*AV83*1),2)*BS83),2))</f>
        <v>0</v>
      </c>
      <c r="CS83">
        <f>(ROUND((ROUND(((EU83)*AV83*1),2)*BS83),2)+ROUND((ROUND(((AE83-(EU83))*AV83*1),2)*BS83),2))</f>
        <v>0</v>
      </c>
      <c r="CT83">
        <f t="shared" si="58"/>
        <v>0</v>
      </c>
      <c r="CU83">
        <f t="shared" si="59"/>
        <v>0</v>
      </c>
      <c r="CV83">
        <f t="shared" si="60"/>
        <v>0</v>
      </c>
      <c r="CW83">
        <f t="shared" si="61"/>
        <v>0</v>
      </c>
      <c r="CX83">
        <f t="shared" si="62"/>
        <v>0</v>
      </c>
      <c r="CY83">
        <f>(ROUND((((S83+ROUND((ROUND(((EU83)*AV83*1),2)*BS83),2))*AT83)/100),2)+ROUND(((ROUND((ROUND(((AE83-(EU83))*AV83*1),2)*BS83),2)*AT83)/100),2))</f>
        <v>0</v>
      </c>
      <c r="CZ83">
        <f>(ROUND((((S83+ROUND((ROUND(((EU83)*AV83*1),2)*BS83),2))*AU83)/100),2)+ROUND(((ROUND((ROUND(((AE83-(EU83))*AV83*1),2)*BS83),2)*AU83)/100),2))</f>
        <v>0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>
        <v>0</v>
      </c>
      <c r="DO83">
        <v>0</v>
      </c>
      <c r="DP83">
        <v>1</v>
      </c>
      <c r="DQ83">
        <v>1</v>
      </c>
      <c r="DU83">
        <v>1013</v>
      </c>
      <c r="DV83" t="s">
        <v>32</v>
      </c>
      <c r="DW83" t="s">
        <v>32</v>
      </c>
      <c r="DX83">
        <v>1</v>
      </c>
      <c r="DZ83" t="s">
        <v>3</v>
      </c>
      <c r="EA83" t="s">
        <v>3</v>
      </c>
      <c r="EB83" t="s">
        <v>3</v>
      </c>
      <c r="EC83" t="s">
        <v>3</v>
      </c>
      <c r="EE83">
        <v>60088638</v>
      </c>
      <c r="EF83">
        <v>130</v>
      </c>
      <c r="EG83" t="s">
        <v>33</v>
      </c>
      <c r="EH83">
        <v>0</v>
      </c>
      <c r="EI83" t="s">
        <v>3</v>
      </c>
      <c r="EJ83">
        <v>3</v>
      </c>
      <c r="EK83">
        <v>746</v>
      </c>
      <c r="EL83" t="s">
        <v>34</v>
      </c>
      <c r="EM83" t="s">
        <v>35</v>
      </c>
      <c r="EO83" t="s">
        <v>3</v>
      </c>
      <c r="EQ83">
        <v>0</v>
      </c>
      <c r="ER83">
        <v>0</v>
      </c>
      <c r="ES83">
        <v>185.42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5</v>
      </c>
      <c r="FC83">
        <v>1</v>
      </c>
      <c r="FD83">
        <v>18</v>
      </c>
      <c r="FF83">
        <v>1635.11</v>
      </c>
      <c r="FQ83">
        <v>0</v>
      </c>
      <c r="FR83">
        <f>P83</f>
        <v>12782.85</v>
      </c>
      <c r="FS83">
        <v>0</v>
      </c>
      <c r="FX83">
        <v>0</v>
      </c>
      <c r="FY83">
        <v>0</v>
      </c>
      <c r="GA83" t="s">
        <v>128</v>
      </c>
      <c r="GD83">
        <v>1</v>
      </c>
      <c r="GF83">
        <v>2042603437</v>
      </c>
      <c r="GG83">
        <v>2</v>
      </c>
      <c r="GH83">
        <v>3</v>
      </c>
      <c r="GI83">
        <v>5</v>
      </c>
      <c r="GJ83">
        <v>0</v>
      </c>
      <c r="GK83">
        <v>0</v>
      </c>
      <c r="GL83">
        <f t="shared" si="63"/>
        <v>0</v>
      </c>
      <c r="GM83">
        <f t="shared" si="64"/>
        <v>12782.85</v>
      </c>
      <c r="GN83">
        <f t="shared" si="65"/>
        <v>0</v>
      </c>
      <c r="GO83">
        <f t="shared" si="66"/>
        <v>0</v>
      </c>
      <c r="GP83">
        <f t="shared" si="67"/>
        <v>0</v>
      </c>
      <c r="GR83">
        <v>1</v>
      </c>
      <c r="GS83">
        <v>1</v>
      </c>
      <c r="GT83">
        <v>0</v>
      </c>
      <c r="GU83" t="s">
        <v>3</v>
      </c>
      <c r="GV83">
        <f t="shared" si="68"/>
        <v>0</v>
      </c>
      <c r="GW83">
        <v>1</v>
      </c>
      <c r="GX83">
        <f t="shared" si="69"/>
        <v>0</v>
      </c>
      <c r="HA83">
        <v>0</v>
      </c>
      <c r="HB83">
        <v>0</v>
      </c>
      <c r="HC83">
        <f t="shared" si="70"/>
        <v>0</v>
      </c>
      <c r="HE83" t="s">
        <v>37</v>
      </c>
      <c r="HF83" t="s">
        <v>38</v>
      </c>
      <c r="HM83" t="s">
        <v>3</v>
      </c>
      <c r="HN83" t="s">
        <v>3</v>
      </c>
      <c r="HO83" t="s">
        <v>3</v>
      </c>
      <c r="HP83" t="s">
        <v>3</v>
      </c>
      <c r="HQ83" t="s">
        <v>3</v>
      </c>
      <c r="HS83">
        <v>0</v>
      </c>
      <c r="IK83">
        <v>0</v>
      </c>
    </row>
    <row r="84" spans="1:255" x14ac:dyDescent="0.2">
      <c r="A84" s="2">
        <v>17</v>
      </c>
      <c r="B84" s="2">
        <v>1</v>
      </c>
      <c r="C84" s="2">
        <f>ROW(SmtRes!A48)</f>
        <v>48</v>
      </c>
      <c r="D84" s="2">
        <f>ROW(EtalonRes!A57)</f>
        <v>57</v>
      </c>
      <c r="E84" s="2" t="s">
        <v>129</v>
      </c>
      <c r="F84" s="2" t="s">
        <v>130</v>
      </c>
      <c r="G84" s="2" t="s">
        <v>131</v>
      </c>
      <c r="H84" s="2" t="s">
        <v>21</v>
      </c>
      <c r="I84" s="2">
        <v>10</v>
      </c>
      <c r="J84" s="2">
        <v>0</v>
      </c>
      <c r="K84" s="2">
        <v>10</v>
      </c>
      <c r="L84" s="2"/>
      <c r="M84" s="2"/>
      <c r="N84" s="2"/>
      <c r="O84" s="2">
        <f t="shared" si="48"/>
        <v>123.23</v>
      </c>
      <c r="P84" s="2">
        <f>ROUND((ROUND((AC84*AW84*I84),2)*BC84),2)</f>
        <v>0</v>
      </c>
      <c r="Q84" s="2">
        <f>(ROUND((ROUND((((ET84*1.1))*AV84*I84),2)*BB84),2)+ROUND((ROUND(((AE84-((EU84*1.1)))*AV84*I84),2)*BS84),2))</f>
        <v>0</v>
      </c>
      <c r="R84" s="2">
        <f>(ROUND((ROUND((((EU84*1.1))*AV84*I84),2)*BS84),2)+ROUND((ROUND(((AE84-((EU84*1.1)))*AV84*I84),2)*BS84),2))</f>
        <v>0</v>
      </c>
      <c r="S84" s="2">
        <f t="shared" si="49"/>
        <v>123.23</v>
      </c>
      <c r="T84" s="2">
        <f t="shared" si="50"/>
        <v>0</v>
      </c>
      <c r="U84" s="2">
        <f t="shared" si="51"/>
        <v>11.516999999999999</v>
      </c>
      <c r="V84" s="2">
        <f t="shared" si="52"/>
        <v>0</v>
      </c>
      <c r="W84" s="2">
        <f t="shared" si="53"/>
        <v>0</v>
      </c>
      <c r="X84" s="2">
        <f>(ROUND((((S84+ROUND((ROUND((((EU84*1.1))*AV84*I84),2)*BS84),2))*AT84)/100),2)+ROUND(((ROUND((ROUND(((AE84-((EU84*1.1)))*AV84*I84),2)*BS84),2)*AT84)/100),2))</f>
        <v>117.07</v>
      </c>
      <c r="Y84" s="2">
        <f>(ROUND((((S84+ROUND((ROUND((((EU84*1.1))*AV84*I84),2)*BS84),2))*AU84)/100),2)+ROUND(((ROUND((ROUND(((AE84-((EU84*1.1)))*AV84*I84),2)*BS84),2)*AU84)/100),2))</f>
        <v>65.31</v>
      </c>
      <c r="Z84" s="2"/>
      <c r="AA84" s="2">
        <v>60258621</v>
      </c>
      <c r="AB84" s="2">
        <f t="shared" si="54"/>
        <v>11.77</v>
      </c>
      <c r="AC84" s="2">
        <f>ROUND(((ES84*1)),6)</f>
        <v>0</v>
      </c>
      <c r="AD84" s="2">
        <f>ROUND(((((ET84*1.1))-((EU84*1.1)))+AE84),6)</f>
        <v>0</v>
      </c>
      <c r="AE84" s="2">
        <f>ROUND(((EU84*1.1)),6)</f>
        <v>0</v>
      </c>
      <c r="AF84" s="2">
        <f>ROUND(((EV84*1.1)),6)</f>
        <v>11.77</v>
      </c>
      <c r="AG84" s="2">
        <f t="shared" si="55"/>
        <v>0</v>
      </c>
      <c r="AH84" s="2">
        <f>((EW84*1.1))</f>
        <v>1.1000000000000001</v>
      </c>
      <c r="AI84" s="2">
        <f>((EX84*1.1))</f>
        <v>0</v>
      </c>
      <c r="AJ84" s="2">
        <f t="shared" si="56"/>
        <v>0</v>
      </c>
      <c r="AK84" s="2">
        <v>10.7</v>
      </c>
      <c r="AL84" s="2">
        <v>0</v>
      </c>
      <c r="AM84" s="2">
        <v>0</v>
      </c>
      <c r="AN84" s="2">
        <v>0</v>
      </c>
      <c r="AO84" s="2">
        <v>10.7</v>
      </c>
      <c r="AP84" s="2">
        <v>0</v>
      </c>
      <c r="AQ84" s="2">
        <v>1</v>
      </c>
      <c r="AR84" s="2">
        <v>0</v>
      </c>
      <c r="AS84" s="2">
        <v>0</v>
      </c>
      <c r="AT84" s="2">
        <v>95</v>
      </c>
      <c r="AU84" s="2">
        <v>53</v>
      </c>
      <c r="AV84" s="2">
        <v>1.0469999999999999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0</v>
      </c>
      <c r="BI84" s="2">
        <v>2</v>
      </c>
      <c r="BJ84" s="2" t="s">
        <v>132</v>
      </c>
      <c r="BK84" s="2"/>
      <c r="BL84" s="2"/>
      <c r="BM84" s="2">
        <v>69</v>
      </c>
      <c r="BN84" s="2">
        <v>58973116</v>
      </c>
      <c r="BO84" s="2" t="s">
        <v>130</v>
      </c>
      <c r="BP84" s="2">
        <v>1</v>
      </c>
      <c r="BQ84" s="2">
        <v>40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95</v>
      </c>
      <c r="CA84" s="2">
        <v>53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407</v>
      </c>
      <c r="CO84" s="2">
        <v>0</v>
      </c>
      <c r="CP84" s="2">
        <f t="shared" si="57"/>
        <v>123.23</v>
      </c>
      <c r="CQ84" s="2">
        <f>ROUND((ROUND((AC84*AW84*1),2)*BC84),2)</f>
        <v>0</v>
      </c>
      <c r="CR84" s="2">
        <f>(ROUND((ROUND((((ET84*1.1))*AV84*1),2)*BB84),2)+ROUND((ROUND(((AE84-((EU84*1.1)))*AV84*1),2)*BS84),2))</f>
        <v>0</v>
      </c>
      <c r="CS84" s="2">
        <f>(ROUND((ROUND((((EU84*1.1))*AV84*1),2)*BS84),2)+ROUND((ROUND(((AE84-((EU84*1.1)))*AV84*1),2)*BS84),2))</f>
        <v>0</v>
      </c>
      <c r="CT84" s="2">
        <f t="shared" si="58"/>
        <v>12.32</v>
      </c>
      <c r="CU84" s="2">
        <f t="shared" si="59"/>
        <v>0</v>
      </c>
      <c r="CV84" s="2">
        <f t="shared" si="60"/>
        <v>1.1516999999999999</v>
      </c>
      <c r="CW84" s="2">
        <f t="shared" si="61"/>
        <v>0</v>
      </c>
      <c r="CX84" s="2">
        <f t="shared" si="62"/>
        <v>0</v>
      </c>
      <c r="CY84" s="2">
        <f>(ROUND((((S84+ROUND((ROUND((((EU84*1.1))*AV84*1),2)*BS84),2))*AT84)/100),2)+ROUND(((ROUND((ROUND(((AE84-((EU84*1.1)))*AV84*1),2)*BS84),2)*AT84)/100),2))</f>
        <v>117.07</v>
      </c>
      <c r="CZ84" s="2">
        <f>(ROUND((((S84+ROUND((ROUND((((EU84*1.1))*AV84*1),2)*BS84),2))*AU84)/100),2)+ROUND(((ROUND((ROUND(((AE84-((EU84*1.1)))*AV84*1),2)*BS84),2)*AU84)/100),2))</f>
        <v>65.31</v>
      </c>
      <c r="DA84" s="2"/>
      <c r="DB84" s="2">
        <v>27</v>
      </c>
      <c r="DC84" s="2" t="s">
        <v>3</v>
      </c>
      <c r="DD84" s="2" t="s">
        <v>23</v>
      </c>
      <c r="DE84" s="2" t="s">
        <v>24</v>
      </c>
      <c r="DF84" s="2" t="s">
        <v>24</v>
      </c>
      <c r="DG84" s="2" t="s">
        <v>24</v>
      </c>
      <c r="DH84" s="2" t="s">
        <v>3</v>
      </c>
      <c r="DI84" s="2" t="s">
        <v>24</v>
      </c>
      <c r="DJ84" s="2" t="s">
        <v>24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1013</v>
      </c>
      <c r="DV84" s="2" t="s">
        <v>21</v>
      </c>
      <c r="DW84" s="2" t="s">
        <v>21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60088533</v>
      </c>
      <c r="EF84" s="2">
        <v>40</v>
      </c>
      <c r="EG84" s="2" t="s">
        <v>25</v>
      </c>
      <c r="EH84" s="2">
        <v>0</v>
      </c>
      <c r="EI84" s="2" t="s">
        <v>3</v>
      </c>
      <c r="EJ84" s="2">
        <v>2</v>
      </c>
      <c r="EK84" s="2">
        <v>69</v>
      </c>
      <c r="EL84" s="2" t="s">
        <v>26</v>
      </c>
      <c r="EM84" s="2" t="s">
        <v>27</v>
      </c>
      <c r="EN84" s="2"/>
      <c r="EO84" s="2" t="s">
        <v>28</v>
      </c>
      <c r="EP84" s="2"/>
      <c r="EQ84" s="2">
        <v>0</v>
      </c>
      <c r="ER84" s="2">
        <v>10.7</v>
      </c>
      <c r="ES84" s="2">
        <v>0</v>
      </c>
      <c r="ET84" s="2">
        <v>0</v>
      </c>
      <c r="EU84" s="2">
        <v>0</v>
      </c>
      <c r="EV84" s="2">
        <v>10.7</v>
      </c>
      <c r="EW84" s="2">
        <v>1</v>
      </c>
      <c r="EX84" s="2">
        <v>0</v>
      </c>
      <c r="EY84" s="2">
        <v>0</v>
      </c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95</v>
      </c>
      <c r="FY84" s="2">
        <v>53</v>
      </c>
      <c r="FZ84" s="2"/>
      <c r="GA84" s="2" t="s">
        <v>3</v>
      </c>
      <c r="GB84" s="2"/>
      <c r="GC84" s="2"/>
      <c r="GD84" s="2">
        <v>1</v>
      </c>
      <c r="GE84" s="2"/>
      <c r="GF84" s="2">
        <v>-1595364230</v>
      </c>
      <c r="GG84" s="2">
        <v>2</v>
      </c>
      <c r="GH84" s="2">
        <v>1</v>
      </c>
      <c r="GI84" s="2">
        <v>2</v>
      </c>
      <c r="GJ84" s="2">
        <v>0</v>
      </c>
      <c r="GK84" s="2">
        <v>0</v>
      </c>
      <c r="GL84" s="2">
        <f t="shared" si="63"/>
        <v>0</v>
      </c>
      <c r="GM84" s="2">
        <f t="shared" si="64"/>
        <v>305.61</v>
      </c>
      <c r="GN84" s="2">
        <f t="shared" si="65"/>
        <v>0</v>
      </c>
      <c r="GO84" s="2">
        <f t="shared" si="66"/>
        <v>305.61</v>
      </c>
      <c r="GP84" s="2">
        <f t="shared" si="67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68"/>
        <v>0</v>
      </c>
      <c r="GW84" s="2">
        <v>1</v>
      </c>
      <c r="GX84" s="2">
        <f t="shared" si="69"/>
        <v>0</v>
      </c>
      <c r="GY84" s="2"/>
      <c r="GZ84" s="2"/>
      <c r="HA84" s="2">
        <v>0</v>
      </c>
      <c r="HB84" s="2">
        <v>0</v>
      </c>
      <c r="HC84" s="2">
        <f t="shared" si="70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">
      <c r="A85">
        <v>17</v>
      </c>
      <c r="B85">
        <v>1</v>
      </c>
      <c r="C85">
        <f>ROW(SmtRes!A50)</f>
        <v>50</v>
      </c>
      <c r="D85">
        <f>ROW(EtalonRes!A60)</f>
        <v>60</v>
      </c>
      <c r="E85" t="s">
        <v>129</v>
      </c>
      <c r="F85" t="s">
        <v>130</v>
      </c>
      <c r="G85" t="s">
        <v>131</v>
      </c>
      <c r="H85" t="s">
        <v>21</v>
      </c>
      <c r="I85">
        <v>10</v>
      </c>
      <c r="J85">
        <v>0</v>
      </c>
      <c r="K85">
        <v>10</v>
      </c>
      <c r="O85">
        <f t="shared" si="48"/>
        <v>6776.42</v>
      </c>
      <c r="P85">
        <f>ROUND((ROUND((AC85*AW85*I85),2)*BC85),2)</f>
        <v>0</v>
      </c>
      <c r="Q85">
        <f>(ROUND((ROUND((((ET85*1.1))*AV85*I85),2)*BB85),2)+ROUND((ROUND(((AE85-((EU85*1.1)))*AV85*I85),2)*BS85),2))</f>
        <v>0</v>
      </c>
      <c r="R85">
        <f>(ROUND((ROUND((((EU85*1.1))*AV85*I85),2)*BS85),2)+ROUND((ROUND(((AE85-((EU85*1.1)))*AV85*I85),2)*BS85),2))</f>
        <v>0</v>
      </c>
      <c r="S85">
        <f t="shared" si="49"/>
        <v>6776.42</v>
      </c>
      <c r="T85">
        <f t="shared" si="50"/>
        <v>0</v>
      </c>
      <c r="U85">
        <f t="shared" si="51"/>
        <v>11.516999999999999</v>
      </c>
      <c r="V85">
        <f t="shared" si="52"/>
        <v>0</v>
      </c>
      <c r="W85">
        <f t="shared" si="53"/>
        <v>0</v>
      </c>
      <c r="X85">
        <f>(ROUND((((S85+ROUND((ROUND((((EU85*1.1))*AV85*I85),2)*BS85),2))*AT85)/100),2)+ROUND(((ROUND((ROUND(((AE85-((EU85*1.1)))*AV85*I85),2)*BS85),2)*AT85)/100),2))</f>
        <v>6437.6</v>
      </c>
      <c r="Y85">
        <f>(ROUND((((S85+ROUND((ROUND((((EU85*1.1))*AV85*I85),2)*BS85),2))*AU85)/100),2)+ROUND(((ROUND((ROUND(((AE85-((EU85*1.1)))*AV85*I85),2)*BS85),2)*AU85)/100),2))</f>
        <v>3591.5</v>
      </c>
      <c r="AA85">
        <v>60258618</v>
      </c>
      <c r="AB85">
        <f t="shared" si="54"/>
        <v>11.77</v>
      </c>
      <c r="AC85">
        <f>ROUND(((ES85*1)),6)</f>
        <v>0</v>
      </c>
      <c r="AD85">
        <f>ROUND(((((ET85*1.1))-((EU85*1.1)))+AE85),6)</f>
        <v>0</v>
      </c>
      <c r="AE85">
        <f>ROUND(((EU85*1.1)),6)</f>
        <v>0</v>
      </c>
      <c r="AF85">
        <f>ROUND(((EV85*1.1)),6)</f>
        <v>11.77</v>
      </c>
      <c r="AG85">
        <f t="shared" si="55"/>
        <v>0</v>
      </c>
      <c r="AH85">
        <f>((EW85*1.1))</f>
        <v>1.1000000000000001</v>
      </c>
      <c r="AI85">
        <f>((EX85*1.1))</f>
        <v>0</v>
      </c>
      <c r="AJ85">
        <f t="shared" si="56"/>
        <v>0</v>
      </c>
      <c r="AK85">
        <v>10.7</v>
      </c>
      <c r="AL85">
        <v>0</v>
      </c>
      <c r="AM85">
        <v>0</v>
      </c>
      <c r="AN85">
        <v>0</v>
      </c>
      <c r="AO85">
        <v>10.7</v>
      </c>
      <c r="AP85">
        <v>0</v>
      </c>
      <c r="AQ85">
        <v>1</v>
      </c>
      <c r="AR85">
        <v>0</v>
      </c>
      <c r="AS85">
        <v>0</v>
      </c>
      <c r="AT85">
        <v>95</v>
      </c>
      <c r="AU85">
        <v>53</v>
      </c>
      <c r="AV85">
        <v>1.0469999999999999</v>
      </c>
      <c r="AW85">
        <v>1</v>
      </c>
      <c r="AZ85">
        <v>1</v>
      </c>
      <c r="BA85">
        <v>54.99</v>
      </c>
      <c r="BB85">
        <v>1</v>
      </c>
      <c r="BC85">
        <v>1</v>
      </c>
      <c r="BD85" t="s">
        <v>3</v>
      </c>
      <c r="BE85" t="s">
        <v>3</v>
      </c>
      <c r="BF85" t="s">
        <v>3</v>
      </c>
      <c r="BG85" t="s">
        <v>3</v>
      </c>
      <c r="BH85">
        <v>0</v>
      </c>
      <c r="BI85">
        <v>2</v>
      </c>
      <c r="BJ85" t="s">
        <v>132</v>
      </c>
      <c r="BM85">
        <v>69</v>
      </c>
      <c r="BN85">
        <v>58973116</v>
      </c>
      <c r="BO85" t="s">
        <v>130</v>
      </c>
      <c r="BP85">
        <v>1</v>
      </c>
      <c r="BQ85">
        <v>40</v>
      </c>
      <c r="BR85">
        <v>0</v>
      </c>
      <c r="BS85">
        <v>54.99</v>
      </c>
      <c r="BT85">
        <v>1</v>
      </c>
      <c r="BU85">
        <v>1</v>
      </c>
      <c r="BV85">
        <v>1</v>
      </c>
      <c r="BW85">
        <v>1</v>
      </c>
      <c r="BX85">
        <v>1</v>
      </c>
      <c r="BY85" t="s">
        <v>3</v>
      </c>
      <c r="BZ85">
        <v>95</v>
      </c>
      <c r="CA85">
        <v>53</v>
      </c>
      <c r="CB85" t="s">
        <v>3</v>
      </c>
      <c r="CE85">
        <v>1566</v>
      </c>
      <c r="CF85">
        <v>0</v>
      </c>
      <c r="CG85">
        <v>0</v>
      </c>
      <c r="CM85">
        <v>0</v>
      </c>
      <c r="CN85" t="s">
        <v>407</v>
      </c>
      <c r="CO85">
        <v>0</v>
      </c>
      <c r="CP85">
        <f t="shared" si="57"/>
        <v>6776.42</v>
      </c>
      <c r="CQ85">
        <f>ROUND((ROUND((AC85*AW85*1),2)*BC85),2)</f>
        <v>0</v>
      </c>
      <c r="CR85">
        <f>(ROUND((ROUND((((ET85*1.1))*AV85*1),2)*BB85),2)+ROUND((ROUND(((AE85-((EU85*1.1)))*AV85*1),2)*BS85),2))</f>
        <v>0</v>
      </c>
      <c r="CS85">
        <f>(ROUND((ROUND((((EU85*1.1))*AV85*1),2)*BS85),2)+ROUND((ROUND(((AE85-((EU85*1.1)))*AV85*1),2)*BS85),2))</f>
        <v>0</v>
      </c>
      <c r="CT85">
        <f t="shared" si="58"/>
        <v>677.48</v>
      </c>
      <c r="CU85">
        <f t="shared" si="59"/>
        <v>0</v>
      </c>
      <c r="CV85">
        <f t="shared" si="60"/>
        <v>1.1516999999999999</v>
      </c>
      <c r="CW85">
        <f t="shared" si="61"/>
        <v>0</v>
      </c>
      <c r="CX85">
        <f t="shared" si="62"/>
        <v>0</v>
      </c>
      <c r="CY85">
        <f>(ROUND((((S85+ROUND((ROUND((((EU85*1.1))*AV85*1),2)*BS85),2))*AT85)/100),2)+ROUND(((ROUND((ROUND(((AE85-((EU85*1.1)))*AV85*1),2)*BS85),2)*AT85)/100),2))</f>
        <v>6437.6</v>
      </c>
      <c r="CZ85">
        <f>(ROUND((((S85+ROUND((ROUND((((EU85*1.1))*AV85*1),2)*BS85),2))*AU85)/100),2)+ROUND(((ROUND((ROUND(((AE85-((EU85*1.1)))*AV85*1),2)*BS85),2)*AU85)/100),2))</f>
        <v>3591.5</v>
      </c>
      <c r="DB85">
        <v>28</v>
      </c>
      <c r="DC85" t="s">
        <v>3</v>
      </c>
      <c r="DD85" t="s">
        <v>23</v>
      </c>
      <c r="DE85" t="s">
        <v>24</v>
      </c>
      <c r="DF85" t="s">
        <v>24</v>
      </c>
      <c r="DG85" t="s">
        <v>24</v>
      </c>
      <c r="DH85" t="s">
        <v>3</v>
      </c>
      <c r="DI85" t="s">
        <v>24</v>
      </c>
      <c r="DJ85" t="s">
        <v>24</v>
      </c>
      <c r="DK85" t="s">
        <v>3</v>
      </c>
      <c r="DL85" t="s">
        <v>3</v>
      </c>
      <c r="DM85" t="s">
        <v>3</v>
      </c>
      <c r="DN85">
        <v>0</v>
      </c>
      <c r="DO85">
        <v>0</v>
      </c>
      <c r="DP85">
        <v>1</v>
      </c>
      <c r="DQ85">
        <v>1</v>
      </c>
      <c r="DU85">
        <v>1013</v>
      </c>
      <c r="DV85" t="s">
        <v>21</v>
      </c>
      <c r="DW85" t="s">
        <v>21</v>
      </c>
      <c r="DX85">
        <v>1</v>
      </c>
      <c r="DZ85" t="s">
        <v>3</v>
      </c>
      <c r="EA85" t="s">
        <v>3</v>
      </c>
      <c r="EB85" t="s">
        <v>3</v>
      </c>
      <c r="EC85" t="s">
        <v>3</v>
      </c>
      <c r="EE85">
        <v>60088533</v>
      </c>
      <c r="EF85">
        <v>40</v>
      </c>
      <c r="EG85" t="s">
        <v>25</v>
      </c>
      <c r="EH85">
        <v>0</v>
      </c>
      <c r="EI85" t="s">
        <v>3</v>
      </c>
      <c r="EJ85">
        <v>2</v>
      </c>
      <c r="EK85">
        <v>69</v>
      </c>
      <c r="EL85" t="s">
        <v>26</v>
      </c>
      <c r="EM85" t="s">
        <v>27</v>
      </c>
      <c r="EO85" t="s">
        <v>28</v>
      </c>
      <c r="EQ85">
        <v>0</v>
      </c>
      <c r="ER85">
        <v>10.7</v>
      </c>
      <c r="ES85">
        <v>0</v>
      </c>
      <c r="ET85">
        <v>0</v>
      </c>
      <c r="EU85">
        <v>0</v>
      </c>
      <c r="EV85">
        <v>10.7</v>
      </c>
      <c r="EW85">
        <v>1</v>
      </c>
      <c r="EX85">
        <v>0</v>
      </c>
      <c r="EY85">
        <v>0</v>
      </c>
      <c r="FQ85">
        <v>0</v>
      </c>
      <c r="FR85">
        <v>0</v>
      </c>
      <c r="FS85">
        <v>0</v>
      </c>
      <c r="FX85">
        <v>95</v>
      </c>
      <c r="FY85">
        <v>53</v>
      </c>
      <c r="GA85" t="s">
        <v>3</v>
      </c>
      <c r="GD85">
        <v>1</v>
      </c>
      <c r="GF85">
        <v>-1595364230</v>
      </c>
      <c r="GG85">
        <v>2</v>
      </c>
      <c r="GH85">
        <v>1</v>
      </c>
      <c r="GI85">
        <v>2</v>
      </c>
      <c r="GJ85">
        <v>0</v>
      </c>
      <c r="GK85">
        <v>0</v>
      </c>
      <c r="GL85">
        <f t="shared" si="63"/>
        <v>0</v>
      </c>
      <c r="GM85">
        <f t="shared" si="64"/>
        <v>16805.52</v>
      </c>
      <c r="GN85">
        <f t="shared" si="65"/>
        <v>0</v>
      </c>
      <c r="GO85">
        <f t="shared" si="66"/>
        <v>16805.52</v>
      </c>
      <c r="GP85">
        <f t="shared" si="67"/>
        <v>0</v>
      </c>
      <c r="GR85">
        <v>0</v>
      </c>
      <c r="GS85">
        <v>3</v>
      </c>
      <c r="GT85">
        <v>0</v>
      </c>
      <c r="GU85" t="s">
        <v>3</v>
      </c>
      <c r="GV85">
        <f t="shared" si="68"/>
        <v>0</v>
      </c>
      <c r="GW85">
        <v>1</v>
      </c>
      <c r="GX85">
        <f t="shared" si="69"/>
        <v>0</v>
      </c>
      <c r="HA85">
        <v>0</v>
      </c>
      <c r="HB85">
        <v>0</v>
      </c>
      <c r="HC85">
        <f t="shared" si="70"/>
        <v>0</v>
      </c>
      <c r="HE85" t="s">
        <v>3</v>
      </c>
      <c r="HF85" t="s">
        <v>3</v>
      </c>
      <c r="HM85" t="s">
        <v>3</v>
      </c>
      <c r="HN85" t="s">
        <v>3</v>
      </c>
      <c r="HO85" t="s">
        <v>3</v>
      </c>
      <c r="HP85" t="s">
        <v>3</v>
      </c>
      <c r="HQ85" t="s">
        <v>3</v>
      </c>
      <c r="HS85">
        <v>0</v>
      </c>
      <c r="IK85">
        <v>0</v>
      </c>
    </row>
    <row r="86" spans="1:255" x14ac:dyDescent="0.2">
      <c r="A86" s="2">
        <v>17</v>
      </c>
      <c r="B86" s="2">
        <v>1</v>
      </c>
      <c r="C86" s="2"/>
      <c r="D86" s="2"/>
      <c r="E86" s="2" t="s">
        <v>133</v>
      </c>
      <c r="F86" s="2" t="s">
        <v>134</v>
      </c>
      <c r="G86" s="2" t="s">
        <v>135</v>
      </c>
      <c r="H86" s="2" t="s">
        <v>32</v>
      </c>
      <c r="I86" s="2">
        <v>10</v>
      </c>
      <c r="J86" s="2">
        <v>0</v>
      </c>
      <c r="K86" s="2">
        <v>10</v>
      </c>
      <c r="L86" s="2"/>
      <c r="M86" s="2"/>
      <c r="N86" s="2"/>
      <c r="O86" s="2">
        <f t="shared" si="48"/>
        <v>480.8</v>
      </c>
      <c r="P86" s="2">
        <f>ROUND((ROUND((AC86*I86),2)*BC86),2)</f>
        <v>480.8</v>
      </c>
      <c r="Q86" s="2">
        <f>(ROUND((ROUND(((ET86)*AV86*I86),2)*BB86),2)+ROUND((ROUND(((AE86-(EU86))*AV86*I86),2)*BS86),2))</f>
        <v>0</v>
      </c>
      <c r="R86" s="2">
        <f>(ROUND((ROUND(((EU86)*AV86*I86),2)*BS86),2)+ROUND((ROUND(((AE86-(EU86))*AV86*I86),2)*BS86),2))</f>
        <v>0</v>
      </c>
      <c r="S86" s="2">
        <f t="shared" si="49"/>
        <v>0</v>
      </c>
      <c r="T86" s="2">
        <f t="shared" si="50"/>
        <v>0</v>
      </c>
      <c r="U86" s="2">
        <f t="shared" si="51"/>
        <v>0</v>
      </c>
      <c r="V86" s="2">
        <f t="shared" si="52"/>
        <v>0</v>
      </c>
      <c r="W86" s="2">
        <f t="shared" si="53"/>
        <v>0</v>
      </c>
      <c r="X86" s="2">
        <f>(ROUND((((S86+ROUND((ROUND(((EU86)*AV86*I86),2)*BS86),2))*AT86)/100),2)+ROUND(((ROUND((ROUND(((AE86-(EU86))*AV86*I86),2)*BS86),2)*AT86)/100),2))</f>
        <v>0</v>
      </c>
      <c r="Y86" s="2">
        <f>(ROUND((((S86+ROUND((ROUND(((EU86)*AV86*I86),2)*BS86),2))*AU86)/100),2)+ROUND(((ROUND((ROUND(((AE86-(EU86))*AV86*I86),2)*BS86),2)*AU86)/100),2))</f>
        <v>0</v>
      </c>
      <c r="Z86" s="2"/>
      <c r="AA86" s="2">
        <v>60258621</v>
      </c>
      <c r="AB86" s="2">
        <f t="shared" si="54"/>
        <v>48.08</v>
      </c>
      <c r="AC86" s="2">
        <f>ROUND((ES86),6)</f>
        <v>48.08</v>
      </c>
      <c r="AD86" s="2">
        <f>ROUND((((ET86)-(EU86))+AE86),6)</f>
        <v>0</v>
      </c>
      <c r="AE86" s="2">
        <f>ROUND((EU86),6)</f>
        <v>0</v>
      </c>
      <c r="AF86" s="2">
        <f>ROUND((EV86),6)</f>
        <v>0</v>
      </c>
      <c r="AG86" s="2">
        <f t="shared" si="55"/>
        <v>0</v>
      </c>
      <c r="AH86" s="2">
        <f>(EW86)</f>
        <v>0</v>
      </c>
      <c r="AI86" s="2">
        <f>(EX86)</f>
        <v>0</v>
      </c>
      <c r="AJ86" s="2">
        <f t="shared" si="56"/>
        <v>0</v>
      </c>
      <c r="AK86" s="2">
        <v>48.080000000000005</v>
      </c>
      <c r="AL86" s="2">
        <v>48.080000000000005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3</v>
      </c>
      <c r="BJ86" s="2" t="s">
        <v>3</v>
      </c>
      <c r="BK86" s="2"/>
      <c r="BL86" s="2"/>
      <c r="BM86" s="2">
        <v>746</v>
      </c>
      <c r="BN86" s="2">
        <v>0</v>
      </c>
      <c r="BO86" s="2" t="s">
        <v>3</v>
      </c>
      <c r="BP86" s="2">
        <v>0</v>
      </c>
      <c r="BQ86" s="2">
        <v>130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0</v>
      </c>
      <c r="CA86" s="2">
        <v>0</v>
      </c>
      <c r="CB86" s="2" t="s">
        <v>3</v>
      </c>
      <c r="CC86" s="2"/>
      <c r="CD86" s="2"/>
      <c r="CE86" s="2">
        <v>1566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57"/>
        <v>480.8</v>
      </c>
      <c r="CQ86" s="2">
        <f>ROUND((ROUND((AC86*1),2)*BC86),2)</f>
        <v>48.08</v>
      </c>
      <c r="CR86" s="2">
        <f>(ROUND((ROUND(((ET86)*AV86*1),2)*BB86),2)+ROUND((ROUND(((AE86-(EU86))*AV86*1),2)*BS86),2))</f>
        <v>0</v>
      </c>
      <c r="CS86" s="2">
        <f>(ROUND((ROUND(((EU86)*AV86*1),2)*BS86),2)+ROUND((ROUND(((AE86-(EU86))*AV86*1),2)*BS86),2))</f>
        <v>0</v>
      </c>
      <c r="CT86" s="2">
        <f t="shared" si="58"/>
        <v>0</v>
      </c>
      <c r="CU86" s="2">
        <f t="shared" si="59"/>
        <v>0</v>
      </c>
      <c r="CV86" s="2">
        <f t="shared" si="60"/>
        <v>0</v>
      </c>
      <c r="CW86" s="2">
        <f t="shared" si="61"/>
        <v>0</v>
      </c>
      <c r="CX86" s="2">
        <f t="shared" si="62"/>
        <v>0</v>
      </c>
      <c r="CY86" s="2">
        <f>(ROUND((((S86+ROUND((ROUND(((EU86)*AV86*1),2)*BS86),2))*AT86)/100),2)+ROUND(((ROUND((ROUND(((AE86-(EU86))*AV86*1),2)*BS86),2)*AT86)/100),2))</f>
        <v>0</v>
      </c>
      <c r="CZ86" s="2">
        <f>(ROUND((((S86+ROUND((ROUND(((EU86)*AV86*1),2)*BS86),2))*AU86)/100),2)+ROUND(((ROUND((ROUND(((AE86-(EU86))*AV86*1),2)*BS86),2)*AU86)/100),2))</f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>
        <v>1013</v>
      </c>
      <c r="DV86" s="2" t="s">
        <v>32</v>
      </c>
      <c r="DW86" s="2" t="s">
        <v>32</v>
      </c>
      <c r="DX86" s="2">
        <v>1</v>
      </c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60088638</v>
      </c>
      <c r="EF86" s="2">
        <v>130</v>
      </c>
      <c r="EG86" s="2" t="s">
        <v>33</v>
      </c>
      <c r="EH86" s="2">
        <v>0</v>
      </c>
      <c r="EI86" s="2" t="s">
        <v>3</v>
      </c>
      <c r="EJ86" s="2">
        <v>3</v>
      </c>
      <c r="EK86" s="2">
        <v>746</v>
      </c>
      <c r="EL86" s="2" t="s">
        <v>34</v>
      </c>
      <c r="EM86" s="2" t="s">
        <v>35</v>
      </c>
      <c r="EN86" s="2"/>
      <c r="EO86" s="2" t="s">
        <v>3</v>
      </c>
      <c r="EP86" s="2"/>
      <c r="EQ86" s="2">
        <v>0</v>
      </c>
      <c r="ER86" s="2">
        <v>0</v>
      </c>
      <c r="ES86" s="2">
        <v>48.080000000000005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f>P86</f>
        <v>480.8</v>
      </c>
      <c r="FS86" s="2">
        <v>0</v>
      </c>
      <c r="FT86" s="2"/>
      <c r="FU86" s="2"/>
      <c r="FV86" s="2"/>
      <c r="FW86" s="2"/>
      <c r="FX86" s="2">
        <v>0</v>
      </c>
      <c r="FY86" s="2">
        <v>0</v>
      </c>
      <c r="FZ86" s="2"/>
      <c r="GA86" s="2" t="s">
        <v>136</v>
      </c>
      <c r="GB86" s="2"/>
      <c r="GC86" s="2"/>
      <c r="GD86" s="2">
        <v>1</v>
      </c>
      <c r="GE86" s="2"/>
      <c r="GF86" s="2">
        <v>-1318297422</v>
      </c>
      <c r="GG86" s="2">
        <v>2</v>
      </c>
      <c r="GH86" s="2">
        <v>4</v>
      </c>
      <c r="GI86" s="2">
        <v>-2</v>
      </c>
      <c r="GJ86" s="2">
        <v>0</v>
      </c>
      <c r="GK86" s="2">
        <v>0</v>
      </c>
      <c r="GL86" s="2">
        <f t="shared" si="63"/>
        <v>0</v>
      </c>
      <c r="GM86" s="2">
        <f t="shared" si="64"/>
        <v>480.8</v>
      </c>
      <c r="GN86" s="2">
        <f t="shared" si="65"/>
        <v>0</v>
      </c>
      <c r="GO86" s="2">
        <f t="shared" si="66"/>
        <v>0</v>
      </c>
      <c r="GP86" s="2">
        <f t="shared" si="67"/>
        <v>0</v>
      </c>
      <c r="GQ86" s="2"/>
      <c r="GR86" s="2">
        <v>0</v>
      </c>
      <c r="GS86" s="2">
        <v>2</v>
      </c>
      <c r="GT86" s="2">
        <v>0</v>
      </c>
      <c r="GU86" s="2" t="s">
        <v>3</v>
      </c>
      <c r="GV86" s="2">
        <f t="shared" si="68"/>
        <v>0</v>
      </c>
      <c r="GW86" s="2">
        <v>1</v>
      </c>
      <c r="GX86" s="2">
        <f t="shared" si="69"/>
        <v>0</v>
      </c>
      <c r="GY86" s="2"/>
      <c r="GZ86" s="2"/>
      <c r="HA86" s="2">
        <v>0</v>
      </c>
      <c r="HB86" s="2">
        <v>0</v>
      </c>
      <c r="HC86" s="2">
        <f t="shared" si="70"/>
        <v>0</v>
      </c>
      <c r="HD86" s="2"/>
      <c r="HE86" s="2" t="s">
        <v>37</v>
      </c>
      <c r="HF86" s="2" t="s">
        <v>38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">
      <c r="A87">
        <v>17</v>
      </c>
      <c r="B87">
        <v>1</v>
      </c>
      <c r="E87" t="s">
        <v>133</v>
      </c>
      <c r="F87" t="s">
        <v>134</v>
      </c>
      <c r="G87" t="s">
        <v>135</v>
      </c>
      <c r="H87" t="s">
        <v>32</v>
      </c>
      <c r="I87">
        <v>10</v>
      </c>
      <c r="J87">
        <v>0</v>
      </c>
      <c r="K87">
        <v>10</v>
      </c>
      <c r="O87">
        <f t="shared" si="48"/>
        <v>3682.93</v>
      </c>
      <c r="P87">
        <f>ROUND((ROUND((AC87*I87),2)*BC87),2)</f>
        <v>3682.93</v>
      </c>
      <c r="Q87">
        <f>(ROUND((ROUND(((ET87)*AV87*I87),2)*BB87),2)+ROUND((ROUND(((AE87-(EU87))*AV87*I87),2)*BS87),2))</f>
        <v>0</v>
      </c>
      <c r="R87">
        <f>(ROUND((ROUND(((EU87)*AV87*I87),2)*BS87),2)+ROUND((ROUND(((AE87-(EU87))*AV87*I87),2)*BS87),2))</f>
        <v>0</v>
      </c>
      <c r="S87">
        <f t="shared" si="49"/>
        <v>0</v>
      </c>
      <c r="T87">
        <f t="shared" si="50"/>
        <v>0</v>
      </c>
      <c r="U87">
        <f t="shared" si="51"/>
        <v>0</v>
      </c>
      <c r="V87">
        <f t="shared" si="52"/>
        <v>0</v>
      </c>
      <c r="W87">
        <f t="shared" si="53"/>
        <v>0</v>
      </c>
      <c r="X87">
        <f>(ROUND((((S87+ROUND((ROUND(((EU87)*AV87*I87),2)*BS87),2))*AT87)/100),2)+ROUND(((ROUND((ROUND(((AE87-(EU87))*AV87*I87),2)*BS87),2)*AT87)/100),2))</f>
        <v>0</v>
      </c>
      <c r="Y87">
        <f>(ROUND((((S87+ROUND((ROUND(((EU87)*AV87*I87),2)*BS87),2))*AU87)/100),2)+ROUND(((ROUND((ROUND(((AE87-(EU87))*AV87*I87),2)*BS87),2)*AU87)/100),2))</f>
        <v>0</v>
      </c>
      <c r="AA87">
        <v>60258618</v>
      </c>
      <c r="AB87">
        <f t="shared" si="54"/>
        <v>48.08</v>
      </c>
      <c r="AC87">
        <f>ROUND((ES87),6)</f>
        <v>48.08</v>
      </c>
      <c r="AD87">
        <f>ROUND((((ET87)-(EU87))+AE87),6)</f>
        <v>0</v>
      </c>
      <c r="AE87">
        <f>ROUND((EU87),6)</f>
        <v>0</v>
      </c>
      <c r="AF87">
        <f>ROUND((EV87),6)</f>
        <v>0</v>
      </c>
      <c r="AG87">
        <f t="shared" si="55"/>
        <v>0</v>
      </c>
      <c r="AH87">
        <f>(EW87)</f>
        <v>0</v>
      </c>
      <c r="AI87">
        <f>(EX87)</f>
        <v>0</v>
      </c>
      <c r="AJ87">
        <f t="shared" si="56"/>
        <v>0</v>
      </c>
      <c r="AK87">
        <v>48.080000000000005</v>
      </c>
      <c r="AL87">
        <v>48.080000000000005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1</v>
      </c>
      <c r="AZ87">
        <v>1</v>
      </c>
      <c r="BA87">
        <v>1</v>
      </c>
      <c r="BB87">
        <v>1</v>
      </c>
      <c r="BC87">
        <v>7.66</v>
      </c>
      <c r="BD87" t="s">
        <v>3</v>
      </c>
      <c r="BE87" t="s">
        <v>3</v>
      </c>
      <c r="BF87" t="s">
        <v>3</v>
      </c>
      <c r="BG87" t="s">
        <v>3</v>
      </c>
      <c r="BH87">
        <v>3</v>
      </c>
      <c r="BI87">
        <v>3</v>
      </c>
      <c r="BJ87" t="s">
        <v>3</v>
      </c>
      <c r="BM87">
        <v>746</v>
      </c>
      <c r="BN87">
        <v>0</v>
      </c>
      <c r="BO87" t="s">
        <v>3</v>
      </c>
      <c r="BP87">
        <v>0</v>
      </c>
      <c r="BQ87">
        <v>130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 t="s">
        <v>3</v>
      </c>
      <c r="BZ87">
        <v>0</v>
      </c>
      <c r="CA87">
        <v>0</v>
      </c>
      <c r="CB87" t="s">
        <v>3</v>
      </c>
      <c r="CE87">
        <v>1566</v>
      </c>
      <c r="CF87">
        <v>0</v>
      </c>
      <c r="CG87">
        <v>0</v>
      </c>
      <c r="CM87">
        <v>0</v>
      </c>
      <c r="CN87" t="s">
        <v>3</v>
      </c>
      <c r="CO87">
        <v>0</v>
      </c>
      <c r="CP87">
        <f t="shared" si="57"/>
        <v>3682.93</v>
      </c>
      <c r="CQ87">
        <f>ROUND((ROUND((AC87*1),2)*BC87),2)</f>
        <v>368.29</v>
      </c>
      <c r="CR87">
        <f>(ROUND((ROUND(((ET87)*AV87*1),2)*BB87),2)+ROUND((ROUND(((AE87-(EU87))*AV87*1),2)*BS87),2))</f>
        <v>0</v>
      </c>
      <c r="CS87">
        <f>(ROUND((ROUND(((EU87)*AV87*1),2)*BS87),2)+ROUND((ROUND(((AE87-(EU87))*AV87*1),2)*BS87),2))</f>
        <v>0</v>
      </c>
      <c r="CT87">
        <f t="shared" si="58"/>
        <v>0</v>
      </c>
      <c r="CU87">
        <f t="shared" si="59"/>
        <v>0</v>
      </c>
      <c r="CV87">
        <f t="shared" si="60"/>
        <v>0</v>
      </c>
      <c r="CW87">
        <f t="shared" si="61"/>
        <v>0</v>
      </c>
      <c r="CX87">
        <f t="shared" si="62"/>
        <v>0</v>
      </c>
      <c r="CY87">
        <f>(ROUND((((S87+ROUND((ROUND(((EU87)*AV87*1),2)*BS87),2))*AT87)/100),2)+ROUND(((ROUND((ROUND(((AE87-(EU87))*AV87*1),2)*BS87),2)*AT87)/100),2))</f>
        <v>0</v>
      </c>
      <c r="CZ87">
        <f>(ROUND((((S87+ROUND((ROUND(((EU87)*AV87*1),2)*BS87),2))*AU87)/100),2)+ROUND(((ROUND((ROUND(((AE87-(EU87))*AV87*1),2)*BS87),2)*AU87)/100),2))</f>
        <v>0</v>
      </c>
      <c r="DC87" t="s">
        <v>3</v>
      </c>
      <c r="DD87" t="s">
        <v>3</v>
      </c>
      <c r="DE87" t="s">
        <v>3</v>
      </c>
      <c r="DF87" t="s">
        <v>3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  <c r="DN87">
        <v>0</v>
      </c>
      <c r="DO87">
        <v>0</v>
      </c>
      <c r="DP87">
        <v>1</v>
      </c>
      <c r="DQ87">
        <v>1</v>
      </c>
      <c r="DU87">
        <v>1013</v>
      </c>
      <c r="DV87" t="s">
        <v>32</v>
      </c>
      <c r="DW87" t="s">
        <v>32</v>
      </c>
      <c r="DX87">
        <v>1</v>
      </c>
      <c r="DZ87" t="s">
        <v>3</v>
      </c>
      <c r="EA87" t="s">
        <v>3</v>
      </c>
      <c r="EB87" t="s">
        <v>3</v>
      </c>
      <c r="EC87" t="s">
        <v>3</v>
      </c>
      <c r="EE87">
        <v>60088638</v>
      </c>
      <c r="EF87">
        <v>130</v>
      </c>
      <c r="EG87" t="s">
        <v>33</v>
      </c>
      <c r="EH87">
        <v>0</v>
      </c>
      <c r="EI87" t="s">
        <v>3</v>
      </c>
      <c r="EJ87">
        <v>3</v>
      </c>
      <c r="EK87">
        <v>746</v>
      </c>
      <c r="EL87" t="s">
        <v>34</v>
      </c>
      <c r="EM87" t="s">
        <v>35</v>
      </c>
      <c r="EO87" t="s">
        <v>3</v>
      </c>
      <c r="EQ87">
        <v>0</v>
      </c>
      <c r="ER87">
        <v>0</v>
      </c>
      <c r="ES87">
        <v>48.080000000000005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5</v>
      </c>
      <c r="FC87">
        <v>1</v>
      </c>
      <c r="FD87">
        <v>18</v>
      </c>
      <c r="FF87">
        <v>424</v>
      </c>
      <c r="FQ87">
        <v>0</v>
      </c>
      <c r="FR87">
        <f>P87</f>
        <v>3682.93</v>
      </c>
      <c r="FS87">
        <v>0</v>
      </c>
      <c r="FX87">
        <v>0</v>
      </c>
      <c r="FY87">
        <v>0</v>
      </c>
      <c r="GA87" t="s">
        <v>136</v>
      </c>
      <c r="GD87">
        <v>1</v>
      </c>
      <c r="GF87">
        <v>-1318297422</v>
      </c>
      <c r="GG87">
        <v>2</v>
      </c>
      <c r="GH87">
        <v>3</v>
      </c>
      <c r="GI87">
        <v>5</v>
      </c>
      <c r="GJ87">
        <v>0</v>
      </c>
      <c r="GK87">
        <v>0</v>
      </c>
      <c r="GL87">
        <f t="shared" si="63"/>
        <v>0</v>
      </c>
      <c r="GM87">
        <f t="shared" si="64"/>
        <v>3682.93</v>
      </c>
      <c r="GN87">
        <f t="shared" si="65"/>
        <v>0</v>
      </c>
      <c r="GO87">
        <f t="shared" si="66"/>
        <v>0</v>
      </c>
      <c r="GP87">
        <f t="shared" si="67"/>
        <v>0</v>
      </c>
      <c r="GR87">
        <v>1</v>
      </c>
      <c r="GS87">
        <v>1</v>
      </c>
      <c r="GT87">
        <v>0</v>
      </c>
      <c r="GU87" t="s">
        <v>3</v>
      </c>
      <c r="GV87">
        <f t="shared" si="68"/>
        <v>0</v>
      </c>
      <c r="GW87">
        <v>1</v>
      </c>
      <c r="GX87">
        <f t="shared" si="69"/>
        <v>0</v>
      </c>
      <c r="HA87">
        <v>0</v>
      </c>
      <c r="HB87">
        <v>0</v>
      </c>
      <c r="HC87">
        <f t="shared" si="70"/>
        <v>0</v>
      </c>
      <c r="HE87" t="s">
        <v>37</v>
      </c>
      <c r="HF87" t="s">
        <v>38</v>
      </c>
      <c r="HM87" t="s">
        <v>3</v>
      </c>
      <c r="HN87" t="s">
        <v>3</v>
      </c>
      <c r="HO87" t="s">
        <v>3</v>
      </c>
      <c r="HP87" t="s">
        <v>3</v>
      </c>
      <c r="HQ87" t="s">
        <v>3</v>
      </c>
      <c r="HS87">
        <v>0</v>
      </c>
      <c r="IK87">
        <v>0</v>
      </c>
    </row>
    <row r="88" spans="1:255" x14ac:dyDescent="0.2">
      <c r="A88" s="2">
        <v>17</v>
      </c>
      <c r="B88" s="2">
        <v>1</v>
      </c>
      <c r="C88" s="2">
        <f>ROW(SmtRes!A56)</f>
        <v>56</v>
      </c>
      <c r="D88" s="2">
        <f>ROW(EtalonRes!A68)</f>
        <v>68</v>
      </c>
      <c r="E88" s="2" t="s">
        <v>137</v>
      </c>
      <c r="F88" s="2" t="s">
        <v>138</v>
      </c>
      <c r="G88" s="2" t="s">
        <v>139</v>
      </c>
      <c r="H88" s="2" t="s">
        <v>140</v>
      </c>
      <c r="I88" s="2">
        <f>ROUND(1/100,9)</f>
        <v>0.01</v>
      </c>
      <c r="J88" s="2">
        <v>0</v>
      </c>
      <c r="K88" s="2">
        <f>ROUND(1/100,9)</f>
        <v>0.01</v>
      </c>
      <c r="L88" s="2"/>
      <c r="M88" s="2"/>
      <c r="N88" s="2"/>
      <c r="O88" s="2">
        <f t="shared" si="48"/>
        <v>14.55</v>
      </c>
      <c r="P88" s="2">
        <f>ROUND((ROUND((AC88*AW88*I88),2)*BC88),2)</f>
        <v>0.81</v>
      </c>
      <c r="Q88" s="2">
        <f>(ROUND((ROUND((((ET88*1.1))*AV88*I88),2)*BB88),2)+ROUND((ROUND(((AE88-((EU88*1.1)))*AV88*I88),2)*BS88),2))</f>
        <v>1.07</v>
      </c>
      <c r="R88" s="2">
        <f>(ROUND((ROUND((((EU88*1.1))*AV88*I88),2)*BS88),2)+ROUND((ROUND(((AE88-((EU88*1.1)))*AV88*I88),2)*BS88),2))</f>
        <v>0.15</v>
      </c>
      <c r="S88" s="2">
        <f t="shared" si="49"/>
        <v>12.67</v>
      </c>
      <c r="T88" s="2">
        <f t="shared" si="50"/>
        <v>0</v>
      </c>
      <c r="U88" s="2">
        <f t="shared" si="51"/>
        <v>0.97514439000000008</v>
      </c>
      <c r="V88" s="2">
        <f t="shared" si="52"/>
        <v>0</v>
      </c>
      <c r="W88" s="2">
        <f t="shared" si="53"/>
        <v>0</v>
      </c>
      <c r="X88" s="2">
        <f>(ROUND((((S88+ROUND((ROUND((((EU88*1.1))*AV88*I88),2)*BS88),2))*AT88)/100),2)+ROUND(((ROUND((ROUND(((AE88-((EU88*1.1)))*AV88*I88),2)*BS88),2)*AT88)/100),2))</f>
        <v>12.44</v>
      </c>
      <c r="Y88" s="2">
        <f>(ROUND((((S88+ROUND((ROUND((((EU88*1.1))*AV88*I88),2)*BS88),2))*AU88)/100),2)+ROUND(((ROUND((ROUND(((AE88-((EU88*1.1)))*AV88*I88),2)*BS88),2)*AU88)/100),2))</f>
        <v>6.54</v>
      </c>
      <c r="Z88" s="2"/>
      <c r="AA88" s="2">
        <v>60258621</v>
      </c>
      <c r="AB88" s="2">
        <f t="shared" si="54"/>
        <v>1393.8579999999999</v>
      </c>
      <c r="AC88" s="2">
        <f>ROUND(((ES88*1)),6)</f>
        <v>81.36</v>
      </c>
      <c r="AD88" s="2">
        <f>ROUND(((((ET88*1.1))-((EU88*1.1)))+AE88),6)</f>
        <v>102.652</v>
      </c>
      <c r="AE88" s="2">
        <f>ROUND(((EU88*1.1)),6)</f>
        <v>14.3</v>
      </c>
      <c r="AF88" s="2">
        <f>ROUND(((EV88*1.1)),6)</f>
        <v>1209.846</v>
      </c>
      <c r="AG88" s="2">
        <f t="shared" si="55"/>
        <v>0</v>
      </c>
      <c r="AH88" s="2">
        <f>((EW88*1.1))</f>
        <v>93.137000000000015</v>
      </c>
      <c r="AI88" s="2">
        <f>((EX88*1.1))</f>
        <v>0</v>
      </c>
      <c r="AJ88" s="2">
        <f t="shared" si="56"/>
        <v>0</v>
      </c>
      <c r="AK88" s="2">
        <v>1274.54</v>
      </c>
      <c r="AL88" s="2">
        <v>81.36</v>
      </c>
      <c r="AM88" s="2">
        <v>93.32</v>
      </c>
      <c r="AN88" s="2">
        <v>13</v>
      </c>
      <c r="AO88" s="2">
        <v>1099.8599999999999</v>
      </c>
      <c r="AP88" s="2">
        <v>0</v>
      </c>
      <c r="AQ88" s="2">
        <v>84.67</v>
      </c>
      <c r="AR88" s="2">
        <v>0</v>
      </c>
      <c r="AS88" s="2">
        <v>0</v>
      </c>
      <c r="AT88" s="2">
        <v>97</v>
      </c>
      <c r="AU88" s="2">
        <v>51</v>
      </c>
      <c r="AV88" s="2">
        <v>1.0469999999999999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0</v>
      </c>
      <c r="BI88" s="2">
        <v>2</v>
      </c>
      <c r="BJ88" s="2" t="s">
        <v>141</v>
      </c>
      <c r="BK88" s="2"/>
      <c r="BL88" s="2"/>
      <c r="BM88" s="2">
        <v>67</v>
      </c>
      <c r="BN88" s="2">
        <v>58973116</v>
      </c>
      <c r="BO88" s="2" t="s">
        <v>138</v>
      </c>
      <c r="BP88" s="2">
        <v>1</v>
      </c>
      <c r="BQ88" s="2">
        <v>40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97</v>
      </c>
      <c r="CA88" s="2">
        <v>51</v>
      </c>
      <c r="CB88" s="2" t="s">
        <v>3</v>
      </c>
      <c r="CC88" s="2"/>
      <c r="CD88" s="2"/>
      <c r="CE88" s="2">
        <v>1566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407</v>
      </c>
      <c r="CO88" s="2">
        <v>0</v>
      </c>
      <c r="CP88" s="2">
        <f t="shared" si="57"/>
        <v>14.55</v>
      </c>
      <c r="CQ88" s="2">
        <f>ROUND((ROUND((AC88*AW88*1),2)*BC88),2)</f>
        <v>81.36</v>
      </c>
      <c r="CR88" s="2">
        <f>(ROUND((ROUND((((ET88*1.1))*AV88*1),2)*BB88),2)+ROUND((ROUND(((AE88-((EU88*1.1)))*AV88*1),2)*BS88),2))</f>
        <v>107.48</v>
      </c>
      <c r="CS88" s="2">
        <f>(ROUND((ROUND((((EU88*1.1))*AV88*1),2)*BS88),2)+ROUND((ROUND(((AE88-((EU88*1.1)))*AV88*1),2)*BS88),2))</f>
        <v>14.97</v>
      </c>
      <c r="CT88" s="2">
        <f t="shared" si="58"/>
        <v>1266.71</v>
      </c>
      <c r="CU88" s="2">
        <f t="shared" si="59"/>
        <v>0</v>
      </c>
      <c r="CV88" s="2">
        <f t="shared" si="60"/>
        <v>97.51443900000001</v>
      </c>
      <c r="CW88" s="2">
        <f t="shared" si="61"/>
        <v>0</v>
      </c>
      <c r="CX88" s="2">
        <f t="shared" si="62"/>
        <v>0</v>
      </c>
      <c r="CY88" s="2">
        <f>(ROUND((((S88+ROUND((ROUND((((EU88*1.1))*AV88*1),2)*BS88),2))*AT88)/100),2)+ROUND(((ROUND((ROUND(((AE88-((EU88*1.1)))*AV88*1),2)*BS88),2)*AT88)/100),2))</f>
        <v>26.81</v>
      </c>
      <c r="CZ88" s="2">
        <f>(ROUND((((S88+ROUND((ROUND((((EU88*1.1))*AV88*1),2)*BS88),2))*AU88)/100),2)+ROUND(((ROUND((ROUND(((AE88-((EU88*1.1)))*AV88*1),2)*BS88),2)*AU88)/100),2))</f>
        <v>14.1</v>
      </c>
      <c r="DA88" s="2"/>
      <c r="DB88" s="2">
        <v>29</v>
      </c>
      <c r="DC88" s="2" t="s">
        <v>3</v>
      </c>
      <c r="DD88" s="2" t="s">
        <v>23</v>
      </c>
      <c r="DE88" s="2" t="s">
        <v>24</v>
      </c>
      <c r="DF88" s="2" t="s">
        <v>24</v>
      </c>
      <c r="DG88" s="2" t="s">
        <v>24</v>
      </c>
      <c r="DH88" s="2" t="s">
        <v>3</v>
      </c>
      <c r="DI88" s="2" t="s">
        <v>24</v>
      </c>
      <c r="DJ88" s="2" t="s">
        <v>24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1010</v>
      </c>
      <c r="DV88" s="2" t="s">
        <v>140</v>
      </c>
      <c r="DW88" s="2" t="s">
        <v>140</v>
      </c>
      <c r="DX88" s="2">
        <v>100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60088531</v>
      </c>
      <c r="EF88" s="2">
        <v>40</v>
      </c>
      <c r="EG88" s="2" t="s">
        <v>25</v>
      </c>
      <c r="EH88" s="2">
        <v>0</v>
      </c>
      <c r="EI88" s="2" t="s">
        <v>3</v>
      </c>
      <c r="EJ88" s="2">
        <v>2</v>
      </c>
      <c r="EK88" s="2">
        <v>67</v>
      </c>
      <c r="EL88" s="2" t="s">
        <v>142</v>
      </c>
      <c r="EM88" s="2" t="s">
        <v>143</v>
      </c>
      <c r="EN88" s="2"/>
      <c r="EO88" s="2" t="s">
        <v>28</v>
      </c>
      <c r="EP88" s="2"/>
      <c r="EQ88" s="2">
        <v>0</v>
      </c>
      <c r="ER88" s="2">
        <v>1274.54</v>
      </c>
      <c r="ES88" s="2">
        <v>81.36</v>
      </c>
      <c r="ET88" s="2">
        <v>93.32</v>
      </c>
      <c r="EU88" s="2">
        <v>13</v>
      </c>
      <c r="EV88" s="2">
        <v>1099.8599999999999</v>
      </c>
      <c r="EW88" s="2">
        <v>84.67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97</v>
      </c>
      <c r="FY88" s="2">
        <v>51</v>
      </c>
      <c r="FZ88" s="2"/>
      <c r="GA88" s="2" t="s">
        <v>3</v>
      </c>
      <c r="GB88" s="2"/>
      <c r="GC88" s="2"/>
      <c r="GD88" s="2">
        <v>1</v>
      </c>
      <c r="GE88" s="2"/>
      <c r="GF88" s="2">
        <v>1425619810</v>
      </c>
      <c r="GG88" s="2">
        <v>2</v>
      </c>
      <c r="GH88" s="2">
        <v>1</v>
      </c>
      <c r="GI88" s="2">
        <v>2</v>
      </c>
      <c r="GJ88" s="2">
        <v>0</v>
      </c>
      <c r="GK88" s="2">
        <v>0</v>
      </c>
      <c r="GL88" s="2">
        <f t="shared" si="63"/>
        <v>0</v>
      </c>
      <c r="GM88" s="2">
        <f t="shared" si="64"/>
        <v>33.53</v>
      </c>
      <c r="GN88" s="2">
        <f t="shared" si="65"/>
        <v>0</v>
      </c>
      <c r="GO88" s="2">
        <f t="shared" si="66"/>
        <v>33.53</v>
      </c>
      <c r="GP88" s="2">
        <f t="shared" si="67"/>
        <v>0</v>
      </c>
      <c r="GQ88" s="2"/>
      <c r="GR88" s="2">
        <v>0</v>
      </c>
      <c r="GS88" s="2">
        <v>3</v>
      </c>
      <c r="GT88" s="2">
        <v>0</v>
      </c>
      <c r="GU88" s="2" t="s">
        <v>3</v>
      </c>
      <c r="GV88" s="2">
        <f t="shared" si="68"/>
        <v>0</v>
      </c>
      <c r="GW88" s="2">
        <v>1</v>
      </c>
      <c r="GX88" s="2">
        <f t="shared" si="69"/>
        <v>0</v>
      </c>
      <c r="GY88" s="2"/>
      <c r="GZ88" s="2"/>
      <c r="HA88" s="2">
        <v>0</v>
      </c>
      <c r="HB88" s="2">
        <v>0</v>
      </c>
      <c r="HC88" s="2">
        <f t="shared" si="70"/>
        <v>0</v>
      </c>
      <c r="HD88" s="2"/>
      <c r="HE88" s="2" t="s">
        <v>3</v>
      </c>
      <c r="HF88" s="2" t="s">
        <v>3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">
      <c r="A89">
        <v>17</v>
      </c>
      <c r="B89">
        <v>1</v>
      </c>
      <c r="C89">
        <f>ROW(SmtRes!A62)</f>
        <v>62</v>
      </c>
      <c r="D89">
        <f>ROW(EtalonRes!A76)</f>
        <v>76</v>
      </c>
      <c r="E89" t="s">
        <v>137</v>
      </c>
      <c r="F89" t="s">
        <v>138</v>
      </c>
      <c r="G89" t="s">
        <v>139</v>
      </c>
      <c r="H89" t="s">
        <v>140</v>
      </c>
      <c r="I89">
        <f>ROUND(1/100,9)</f>
        <v>0.01</v>
      </c>
      <c r="J89">
        <v>0</v>
      </c>
      <c r="K89">
        <f>ROUND(1/100,9)</f>
        <v>0.01</v>
      </c>
      <c r="O89">
        <f t="shared" si="48"/>
        <v>722.1</v>
      </c>
      <c r="P89">
        <f>ROUND((ROUND((AC89*AW89*I89),2)*BC89),2)</f>
        <v>8.6300000000000008</v>
      </c>
      <c r="Q89">
        <f>(ROUND((ROUND((((ET89*1.1))*AV89*I89),2)*BB89),2)+ROUND((ROUND(((AE89-((EU89*1.1)))*AV89*I89),2)*BS89),2))</f>
        <v>16.75</v>
      </c>
      <c r="R89">
        <f>(ROUND((ROUND((((EU89*1.1))*AV89*I89),2)*BS89),2)+ROUND((ROUND(((AE89-((EU89*1.1)))*AV89*I89),2)*BS89),2))</f>
        <v>8.25</v>
      </c>
      <c r="S89">
        <f t="shared" si="49"/>
        <v>696.72</v>
      </c>
      <c r="T89">
        <f t="shared" si="50"/>
        <v>0</v>
      </c>
      <c r="U89">
        <f t="shared" si="51"/>
        <v>0.97514439000000008</v>
      </c>
      <c r="V89">
        <f t="shared" si="52"/>
        <v>0</v>
      </c>
      <c r="W89">
        <f t="shared" si="53"/>
        <v>0</v>
      </c>
      <c r="X89">
        <f>(ROUND((((S89+ROUND((ROUND((((EU89*1.1))*AV89*I89),2)*BS89),2))*AT89)/100),2)+ROUND(((ROUND((ROUND(((AE89-((EU89*1.1)))*AV89*I89),2)*BS89),2)*AT89)/100),2))</f>
        <v>683.82</v>
      </c>
      <c r="Y89">
        <f>(ROUND((((S89+ROUND((ROUND((((EU89*1.1))*AV89*I89),2)*BS89),2))*AU89)/100),2)+ROUND(((ROUND((ROUND(((AE89-((EU89*1.1)))*AV89*I89),2)*BS89),2)*AU89)/100),2))</f>
        <v>359.53</v>
      </c>
      <c r="AA89">
        <v>60258618</v>
      </c>
      <c r="AB89">
        <f t="shared" si="54"/>
        <v>1393.8579999999999</v>
      </c>
      <c r="AC89">
        <f>ROUND(((ES89*1)),6)</f>
        <v>81.36</v>
      </c>
      <c r="AD89">
        <f>ROUND(((((ET89*1.1))-((EU89*1.1)))+AE89),6)</f>
        <v>102.652</v>
      </c>
      <c r="AE89">
        <f>ROUND(((EU89*1.1)),6)</f>
        <v>14.3</v>
      </c>
      <c r="AF89">
        <f>ROUND(((EV89*1.1)),6)</f>
        <v>1209.846</v>
      </c>
      <c r="AG89">
        <f t="shared" si="55"/>
        <v>0</v>
      </c>
      <c r="AH89">
        <f>((EW89*1.1))</f>
        <v>93.137000000000015</v>
      </c>
      <c r="AI89">
        <f>((EX89*1.1))</f>
        <v>0</v>
      </c>
      <c r="AJ89">
        <f t="shared" si="56"/>
        <v>0</v>
      </c>
      <c r="AK89">
        <v>1274.54</v>
      </c>
      <c r="AL89">
        <v>81.36</v>
      </c>
      <c r="AM89">
        <v>93.32</v>
      </c>
      <c r="AN89">
        <v>13</v>
      </c>
      <c r="AO89">
        <v>1099.8599999999999</v>
      </c>
      <c r="AP89">
        <v>0</v>
      </c>
      <c r="AQ89">
        <v>84.67</v>
      </c>
      <c r="AR89">
        <v>0</v>
      </c>
      <c r="AS89">
        <v>0</v>
      </c>
      <c r="AT89">
        <v>97</v>
      </c>
      <c r="AU89">
        <v>51</v>
      </c>
      <c r="AV89">
        <v>1.0469999999999999</v>
      </c>
      <c r="AW89">
        <v>1</v>
      </c>
      <c r="AZ89">
        <v>1</v>
      </c>
      <c r="BA89">
        <v>54.99</v>
      </c>
      <c r="BB89">
        <v>15.65</v>
      </c>
      <c r="BC89">
        <v>10.65</v>
      </c>
      <c r="BD89" t="s">
        <v>3</v>
      </c>
      <c r="BE89" t="s">
        <v>3</v>
      </c>
      <c r="BF89" t="s">
        <v>3</v>
      </c>
      <c r="BG89" t="s">
        <v>3</v>
      </c>
      <c r="BH89">
        <v>0</v>
      </c>
      <c r="BI89">
        <v>2</v>
      </c>
      <c r="BJ89" t="s">
        <v>141</v>
      </c>
      <c r="BM89">
        <v>67</v>
      </c>
      <c r="BN89">
        <v>58973116</v>
      </c>
      <c r="BO89" t="s">
        <v>138</v>
      </c>
      <c r="BP89">
        <v>1</v>
      </c>
      <c r="BQ89">
        <v>40</v>
      </c>
      <c r="BR89">
        <v>0</v>
      </c>
      <c r="BS89">
        <v>54.99</v>
      </c>
      <c r="BT89">
        <v>1</v>
      </c>
      <c r="BU89">
        <v>1</v>
      </c>
      <c r="BV89">
        <v>1</v>
      </c>
      <c r="BW89">
        <v>1</v>
      </c>
      <c r="BX89">
        <v>1</v>
      </c>
      <c r="BY89" t="s">
        <v>3</v>
      </c>
      <c r="BZ89">
        <v>97</v>
      </c>
      <c r="CA89">
        <v>51</v>
      </c>
      <c r="CB89" t="s">
        <v>3</v>
      </c>
      <c r="CE89">
        <v>1566</v>
      </c>
      <c r="CF89">
        <v>0</v>
      </c>
      <c r="CG89">
        <v>0</v>
      </c>
      <c r="CM89">
        <v>0</v>
      </c>
      <c r="CN89" t="s">
        <v>407</v>
      </c>
      <c r="CO89">
        <v>0</v>
      </c>
      <c r="CP89">
        <f t="shared" si="57"/>
        <v>722.1</v>
      </c>
      <c r="CQ89">
        <f>ROUND((ROUND((AC89*AW89*1),2)*BC89),2)</f>
        <v>866.48</v>
      </c>
      <c r="CR89">
        <f>(ROUND((ROUND((((ET89*1.1))*AV89*1),2)*BB89),2)+ROUND((ROUND(((AE89-((EU89*1.1)))*AV89*1),2)*BS89),2))</f>
        <v>1682.06</v>
      </c>
      <c r="CS89">
        <f>(ROUND((ROUND((((EU89*1.1))*AV89*1),2)*BS89),2)+ROUND((ROUND(((AE89-((EU89*1.1)))*AV89*1),2)*BS89),2))</f>
        <v>823.2</v>
      </c>
      <c r="CT89">
        <f t="shared" si="58"/>
        <v>69656.38</v>
      </c>
      <c r="CU89">
        <f t="shared" si="59"/>
        <v>0</v>
      </c>
      <c r="CV89">
        <f t="shared" si="60"/>
        <v>97.51443900000001</v>
      </c>
      <c r="CW89">
        <f t="shared" si="61"/>
        <v>0</v>
      </c>
      <c r="CX89">
        <f t="shared" si="62"/>
        <v>0</v>
      </c>
      <c r="CY89">
        <f>(ROUND((((S89+ROUND((ROUND((((EU89*1.1))*AV89*1),2)*BS89),2))*AT89)/100),2)+ROUND(((ROUND((ROUND(((AE89-((EU89*1.1)))*AV89*1),2)*BS89),2)*AT89)/100),2))</f>
        <v>1474.32</v>
      </c>
      <c r="CZ89">
        <f>(ROUND((((S89+ROUND((ROUND((((EU89*1.1))*AV89*1),2)*BS89),2))*AU89)/100),2)+ROUND(((ROUND((ROUND(((AE89-((EU89*1.1)))*AV89*1),2)*BS89),2)*AU89)/100),2))</f>
        <v>775.16</v>
      </c>
      <c r="DB89">
        <v>30</v>
      </c>
      <c r="DC89" t="s">
        <v>3</v>
      </c>
      <c r="DD89" t="s">
        <v>23</v>
      </c>
      <c r="DE89" t="s">
        <v>24</v>
      </c>
      <c r="DF89" t="s">
        <v>24</v>
      </c>
      <c r="DG89" t="s">
        <v>24</v>
      </c>
      <c r="DH89" t="s">
        <v>3</v>
      </c>
      <c r="DI89" t="s">
        <v>24</v>
      </c>
      <c r="DJ89" t="s">
        <v>24</v>
      </c>
      <c r="DK89" t="s">
        <v>3</v>
      </c>
      <c r="DL89" t="s">
        <v>3</v>
      </c>
      <c r="DM89" t="s">
        <v>3</v>
      </c>
      <c r="DN89">
        <v>0</v>
      </c>
      <c r="DO89">
        <v>0</v>
      </c>
      <c r="DP89">
        <v>1</v>
      </c>
      <c r="DQ89">
        <v>1</v>
      </c>
      <c r="DU89">
        <v>1010</v>
      </c>
      <c r="DV89" t="s">
        <v>140</v>
      </c>
      <c r="DW89" t="s">
        <v>140</v>
      </c>
      <c r="DX89">
        <v>100</v>
      </c>
      <c r="DZ89" t="s">
        <v>3</v>
      </c>
      <c r="EA89" t="s">
        <v>3</v>
      </c>
      <c r="EB89" t="s">
        <v>3</v>
      </c>
      <c r="EC89" t="s">
        <v>3</v>
      </c>
      <c r="EE89">
        <v>60088531</v>
      </c>
      <c r="EF89">
        <v>40</v>
      </c>
      <c r="EG89" t="s">
        <v>25</v>
      </c>
      <c r="EH89">
        <v>0</v>
      </c>
      <c r="EI89" t="s">
        <v>3</v>
      </c>
      <c r="EJ89">
        <v>2</v>
      </c>
      <c r="EK89">
        <v>67</v>
      </c>
      <c r="EL89" t="s">
        <v>142</v>
      </c>
      <c r="EM89" t="s">
        <v>143</v>
      </c>
      <c r="EO89" t="s">
        <v>28</v>
      </c>
      <c r="EQ89">
        <v>0</v>
      </c>
      <c r="ER89">
        <v>1274.54</v>
      </c>
      <c r="ES89">
        <v>81.36</v>
      </c>
      <c r="ET89">
        <v>93.32</v>
      </c>
      <c r="EU89">
        <v>13</v>
      </c>
      <c r="EV89">
        <v>1099.8599999999999</v>
      </c>
      <c r="EW89">
        <v>84.67</v>
      </c>
      <c r="EX89">
        <v>0</v>
      </c>
      <c r="EY89">
        <v>0</v>
      </c>
      <c r="FQ89">
        <v>0</v>
      </c>
      <c r="FR89">
        <v>0</v>
      </c>
      <c r="FS89">
        <v>0</v>
      </c>
      <c r="FX89">
        <v>97</v>
      </c>
      <c r="FY89">
        <v>51</v>
      </c>
      <c r="GA89" t="s">
        <v>3</v>
      </c>
      <c r="GD89">
        <v>1</v>
      </c>
      <c r="GF89">
        <v>1425619810</v>
      </c>
      <c r="GG89">
        <v>2</v>
      </c>
      <c r="GH89">
        <v>1</v>
      </c>
      <c r="GI89">
        <v>2</v>
      </c>
      <c r="GJ89">
        <v>0</v>
      </c>
      <c r="GK89">
        <v>0</v>
      </c>
      <c r="GL89">
        <f t="shared" si="63"/>
        <v>0</v>
      </c>
      <c r="GM89">
        <f t="shared" si="64"/>
        <v>1765.45</v>
      </c>
      <c r="GN89">
        <f t="shared" si="65"/>
        <v>0</v>
      </c>
      <c r="GO89">
        <f t="shared" si="66"/>
        <v>1765.45</v>
      </c>
      <c r="GP89">
        <f t="shared" si="67"/>
        <v>0</v>
      </c>
      <c r="GR89">
        <v>0</v>
      </c>
      <c r="GS89">
        <v>3</v>
      </c>
      <c r="GT89">
        <v>0</v>
      </c>
      <c r="GU89" t="s">
        <v>3</v>
      </c>
      <c r="GV89">
        <f t="shared" si="68"/>
        <v>0</v>
      </c>
      <c r="GW89">
        <v>1</v>
      </c>
      <c r="GX89">
        <f t="shared" si="69"/>
        <v>0</v>
      </c>
      <c r="HA89">
        <v>0</v>
      </c>
      <c r="HB89">
        <v>0</v>
      </c>
      <c r="HC89">
        <f t="shared" si="70"/>
        <v>0</v>
      </c>
      <c r="HE89" t="s">
        <v>3</v>
      </c>
      <c r="HF89" t="s">
        <v>3</v>
      </c>
      <c r="HM89" t="s">
        <v>3</v>
      </c>
      <c r="HN89" t="s">
        <v>3</v>
      </c>
      <c r="HO89" t="s">
        <v>3</v>
      </c>
      <c r="HP89" t="s">
        <v>3</v>
      </c>
      <c r="HQ89" t="s">
        <v>3</v>
      </c>
      <c r="HS89">
        <v>0</v>
      </c>
      <c r="IK89">
        <v>0</v>
      </c>
    </row>
    <row r="90" spans="1:255" x14ac:dyDescent="0.2">
      <c r="A90" s="2">
        <v>17</v>
      </c>
      <c r="B90" s="2">
        <v>1</v>
      </c>
      <c r="C90" s="2"/>
      <c r="D90" s="2"/>
      <c r="E90" s="2" t="s">
        <v>144</v>
      </c>
      <c r="F90" s="2" t="s">
        <v>145</v>
      </c>
      <c r="G90" s="2" t="s">
        <v>146</v>
      </c>
      <c r="H90" s="2" t="s">
        <v>32</v>
      </c>
      <c r="I90" s="2">
        <v>1</v>
      </c>
      <c r="J90" s="2">
        <v>0</v>
      </c>
      <c r="K90" s="2">
        <v>1</v>
      </c>
      <c r="L90" s="2"/>
      <c r="M90" s="2"/>
      <c r="N90" s="2"/>
      <c r="O90" s="2">
        <f t="shared" si="48"/>
        <v>25.75</v>
      </c>
      <c r="P90" s="2">
        <f>ROUND((ROUND((AC90*I90),2)*BC90),2)</f>
        <v>25.75</v>
      </c>
      <c r="Q90" s="2">
        <f>(ROUND((ROUND(((ET90)*AV90*I90),2)*BB90),2)+ROUND((ROUND(((AE90-(EU90))*AV90*I90),2)*BS90),2))</f>
        <v>0</v>
      </c>
      <c r="R90" s="2">
        <f>(ROUND((ROUND(((EU90)*AV90*I90),2)*BS90),2)+ROUND((ROUND(((AE90-(EU90))*AV90*I90),2)*BS90),2))</f>
        <v>0</v>
      </c>
      <c r="S90" s="2">
        <f t="shared" si="49"/>
        <v>0</v>
      </c>
      <c r="T90" s="2">
        <f t="shared" si="50"/>
        <v>0</v>
      </c>
      <c r="U90" s="2">
        <f t="shared" si="51"/>
        <v>0</v>
      </c>
      <c r="V90" s="2">
        <f t="shared" si="52"/>
        <v>0</v>
      </c>
      <c r="W90" s="2">
        <f t="shared" si="53"/>
        <v>0</v>
      </c>
      <c r="X90" s="2">
        <f>(ROUND((((S90+ROUND((ROUND(((EU90)*AV90*I90),2)*BS90),2))*AT90)/100),2)+ROUND(((ROUND((ROUND(((AE90-(EU90))*AV90*I90),2)*BS90),2)*AT90)/100),2))</f>
        <v>0</v>
      </c>
      <c r="Y90" s="2">
        <f>(ROUND((((S90+ROUND((ROUND(((EU90)*AV90*I90),2)*BS90),2))*AU90)/100),2)+ROUND(((ROUND((ROUND(((AE90-(EU90))*AV90*I90),2)*BS90),2)*AU90)/100),2))</f>
        <v>0</v>
      </c>
      <c r="Z90" s="2"/>
      <c r="AA90" s="2">
        <v>60258621</v>
      </c>
      <c r="AB90" s="2">
        <f t="shared" si="54"/>
        <v>25.75</v>
      </c>
      <c r="AC90" s="2">
        <f>ROUND((ES90),6)</f>
        <v>25.75</v>
      </c>
      <c r="AD90" s="2">
        <f>ROUND((((ET90)-(EU90))+AE90),6)</f>
        <v>0</v>
      </c>
      <c r="AE90" s="2">
        <f>ROUND((EU90),6)</f>
        <v>0</v>
      </c>
      <c r="AF90" s="2">
        <f>ROUND((EV90),6)</f>
        <v>0</v>
      </c>
      <c r="AG90" s="2">
        <f t="shared" si="55"/>
        <v>0</v>
      </c>
      <c r="AH90" s="2">
        <f>(EW90)</f>
        <v>0</v>
      </c>
      <c r="AI90" s="2">
        <f>(EX90)</f>
        <v>0</v>
      </c>
      <c r="AJ90" s="2">
        <f t="shared" si="56"/>
        <v>0</v>
      </c>
      <c r="AK90" s="2">
        <v>25.749999999999996</v>
      </c>
      <c r="AL90" s="2">
        <v>25.749999999999996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3</v>
      </c>
      <c r="BJ90" s="2" t="s">
        <v>3</v>
      </c>
      <c r="BK90" s="2"/>
      <c r="BL90" s="2"/>
      <c r="BM90" s="2">
        <v>746</v>
      </c>
      <c r="BN90" s="2">
        <v>0</v>
      </c>
      <c r="BO90" s="2" t="s">
        <v>3</v>
      </c>
      <c r="BP90" s="2">
        <v>0</v>
      </c>
      <c r="BQ90" s="2">
        <v>130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0</v>
      </c>
      <c r="CA90" s="2">
        <v>0</v>
      </c>
      <c r="CB90" s="2" t="s">
        <v>3</v>
      </c>
      <c r="CC90" s="2"/>
      <c r="CD90" s="2"/>
      <c r="CE90" s="2">
        <v>1566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3</v>
      </c>
      <c r="CO90" s="2">
        <v>0</v>
      </c>
      <c r="CP90" s="2">
        <f t="shared" si="57"/>
        <v>25.75</v>
      </c>
      <c r="CQ90" s="2">
        <f>ROUND((ROUND((AC90*1),2)*BC90),2)</f>
        <v>25.75</v>
      </c>
      <c r="CR90" s="2">
        <f>(ROUND((ROUND(((ET90)*AV90*1),2)*BB90),2)+ROUND((ROUND(((AE90-(EU90))*AV90*1),2)*BS90),2))</f>
        <v>0</v>
      </c>
      <c r="CS90" s="2">
        <f>(ROUND((ROUND(((EU90)*AV90*1),2)*BS90),2)+ROUND((ROUND(((AE90-(EU90))*AV90*1),2)*BS90),2))</f>
        <v>0</v>
      </c>
      <c r="CT90" s="2">
        <f t="shared" si="58"/>
        <v>0</v>
      </c>
      <c r="CU90" s="2">
        <f t="shared" si="59"/>
        <v>0</v>
      </c>
      <c r="CV90" s="2">
        <f t="shared" si="60"/>
        <v>0</v>
      </c>
      <c r="CW90" s="2">
        <f t="shared" si="61"/>
        <v>0</v>
      </c>
      <c r="CX90" s="2">
        <f t="shared" si="62"/>
        <v>0</v>
      </c>
      <c r="CY90" s="2">
        <f>(ROUND((((S90+ROUND((ROUND(((EU90)*AV90*1),2)*BS90),2))*AT90)/100),2)+ROUND(((ROUND((ROUND(((AE90-(EU90))*AV90*1),2)*BS90),2)*AT90)/100),2))</f>
        <v>0</v>
      </c>
      <c r="CZ90" s="2">
        <f>(ROUND((((S90+ROUND((ROUND(((EU90)*AV90*1),2)*BS90),2))*AU90)/100),2)+ROUND(((ROUND((ROUND(((AE90-(EU90))*AV90*1),2)*BS90),2)*AU90)/100),2))</f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1013</v>
      </c>
      <c r="DV90" s="2" t="s">
        <v>32</v>
      </c>
      <c r="DW90" s="2" t="s">
        <v>32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60088638</v>
      </c>
      <c r="EF90" s="2">
        <v>130</v>
      </c>
      <c r="EG90" s="2" t="s">
        <v>33</v>
      </c>
      <c r="EH90" s="2">
        <v>0</v>
      </c>
      <c r="EI90" s="2" t="s">
        <v>3</v>
      </c>
      <c r="EJ90" s="2">
        <v>3</v>
      </c>
      <c r="EK90" s="2">
        <v>746</v>
      </c>
      <c r="EL90" s="2" t="s">
        <v>34</v>
      </c>
      <c r="EM90" s="2" t="s">
        <v>35</v>
      </c>
      <c r="EN90" s="2"/>
      <c r="EO90" s="2" t="s">
        <v>3</v>
      </c>
      <c r="EP90" s="2"/>
      <c r="EQ90" s="2">
        <v>0</v>
      </c>
      <c r="ER90" s="2">
        <v>0</v>
      </c>
      <c r="ES90" s="2">
        <v>25.749999999999996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f>P90</f>
        <v>25.75</v>
      </c>
      <c r="FS90" s="2">
        <v>0</v>
      </c>
      <c r="FT90" s="2"/>
      <c r="FU90" s="2"/>
      <c r="FV90" s="2"/>
      <c r="FW90" s="2"/>
      <c r="FX90" s="2">
        <v>0</v>
      </c>
      <c r="FY90" s="2">
        <v>0</v>
      </c>
      <c r="FZ90" s="2"/>
      <c r="GA90" s="2" t="s">
        <v>147</v>
      </c>
      <c r="GB90" s="2"/>
      <c r="GC90" s="2"/>
      <c r="GD90" s="2">
        <v>1</v>
      </c>
      <c r="GE90" s="2"/>
      <c r="GF90" s="2">
        <v>-334592409</v>
      </c>
      <c r="GG90" s="2">
        <v>2</v>
      </c>
      <c r="GH90" s="2">
        <v>4</v>
      </c>
      <c r="GI90" s="2">
        <v>-2</v>
      </c>
      <c r="GJ90" s="2">
        <v>0</v>
      </c>
      <c r="GK90" s="2">
        <v>0</v>
      </c>
      <c r="GL90" s="2">
        <f t="shared" si="63"/>
        <v>0</v>
      </c>
      <c r="GM90" s="2">
        <f t="shared" si="64"/>
        <v>25.75</v>
      </c>
      <c r="GN90" s="2">
        <f t="shared" si="65"/>
        <v>0</v>
      </c>
      <c r="GO90" s="2">
        <f t="shared" si="66"/>
        <v>0</v>
      </c>
      <c r="GP90" s="2">
        <f t="shared" si="67"/>
        <v>0</v>
      </c>
      <c r="GQ90" s="2"/>
      <c r="GR90" s="2">
        <v>0</v>
      </c>
      <c r="GS90" s="2">
        <v>2</v>
      </c>
      <c r="GT90" s="2">
        <v>0</v>
      </c>
      <c r="GU90" s="2" t="s">
        <v>3</v>
      </c>
      <c r="GV90" s="2">
        <f t="shared" si="68"/>
        <v>0</v>
      </c>
      <c r="GW90" s="2">
        <v>1</v>
      </c>
      <c r="GX90" s="2">
        <f t="shared" si="69"/>
        <v>0</v>
      </c>
      <c r="GY90" s="2"/>
      <c r="GZ90" s="2"/>
      <c r="HA90" s="2">
        <v>0</v>
      </c>
      <c r="HB90" s="2">
        <v>0</v>
      </c>
      <c r="HC90" s="2">
        <f t="shared" si="70"/>
        <v>0</v>
      </c>
      <c r="HD90" s="2"/>
      <c r="HE90" s="2" t="s">
        <v>37</v>
      </c>
      <c r="HF90" s="2" t="s">
        <v>38</v>
      </c>
      <c r="HG90" s="2"/>
      <c r="HH90" s="2"/>
      <c r="HI90" s="2"/>
      <c r="HJ90" s="2"/>
      <c r="HK90" s="2"/>
      <c r="HL90" s="2"/>
      <c r="HM90" s="2" t="s">
        <v>3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">
      <c r="A91">
        <v>17</v>
      </c>
      <c r="B91">
        <v>1</v>
      </c>
      <c r="E91" t="s">
        <v>144</v>
      </c>
      <c r="F91" t="s">
        <v>145</v>
      </c>
      <c r="G91" t="s">
        <v>146</v>
      </c>
      <c r="H91" t="s">
        <v>32</v>
      </c>
      <c r="I91">
        <v>1</v>
      </c>
      <c r="J91">
        <v>0</v>
      </c>
      <c r="K91">
        <v>1</v>
      </c>
      <c r="O91">
        <f t="shared" si="48"/>
        <v>197.25</v>
      </c>
      <c r="P91">
        <f>ROUND((ROUND((AC91*I91),2)*BC91),2)</f>
        <v>197.25</v>
      </c>
      <c r="Q91">
        <f>(ROUND((ROUND(((ET91)*AV91*I91),2)*BB91),2)+ROUND((ROUND(((AE91-(EU91))*AV91*I91),2)*BS91),2))</f>
        <v>0</v>
      </c>
      <c r="R91">
        <f>(ROUND((ROUND(((EU91)*AV91*I91),2)*BS91),2)+ROUND((ROUND(((AE91-(EU91))*AV91*I91),2)*BS91),2))</f>
        <v>0</v>
      </c>
      <c r="S91">
        <f t="shared" si="49"/>
        <v>0</v>
      </c>
      <c r="T91">
        <f t="shared" si="50"/>
        <v>0</v>
      </c>
      <c r="U91">
        <f t="shared" si="51"/>
        <v>0</v>
      </c>
      <c r="V91">
        <f t="shared" si="52"/>
        <v>0</v>
      </c>
      <c r="W91">
        <f t="shared" si="53"/>
        <v>0</v>
      </c>
      <c r="X91">
        <f>(ROUND((((S91+ROUND((ROUND(((EU91)*AV91*I91),2)*BS91),2))*AT91)/100),2)+ROUND(((ROUND((ROUND(((AE91-(EU91))*AV91*I91),2)*BS91),2)*AT91)/100),2))</f>
        <v>0</v>
      </c>
      <c r="Y91">
        <f>(ROUND((((S91+ROUND((ROUND(((EU91)*AV91*I91),2)*BS91),2))*AU91)/100),2)+ROUND(((ROUND((ROUND(((AE91-(EU91))*AV91*I91),2)*BS91),2)*AU91)/100),2))</f>
        <v>0</v>
      </c>
      <c r="AA91">
        <v>60258618</v>
      </c>
      <c r="AB91">
        <f t="shared" si="54"/>
        <v>25.75</v>
      </c>
      <c r="AC91">
        <f>ROUND((ES91),6)</f>
        <v>25.75</v>
      </c>
      <c r="AD91">
        <f>ROUND((((ET91)-(EU91))+AE91),6)</f>
        <v>0</v>
      </c>
      <c r="AE91">
        <f>ROUND((EU91),6)</f>
        <v>0</v>
      </c>
      <c r="AF91">
        <f>ROUND((EV91),6)</f>
        <v>0</v>
      </c>
      <c r="AG91">
        <f t="shared" si="55"/>
        <v>0</v>
      </c>
      <c r="AH91">
        <f>(EW91)</f>
        <v>0</v>
      </c>
      <c r="AI91">
        <f>(EX91)</f>
        <v>0</v>
      </c>
      <c r="AJ91">
        <f t="shared" si="56"/>
        <v>0</v>
      </c>
      <c r="AK91">
        <v>25.749999999999996</v>
      </c>
      <c r="AL91">
        <v>25.749999999999996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</v>
      </c>
      <c r="AZ91">
        <v>1</v>
      </c>
      <c r="BA91">
        <v>1</v>
      </c>
      <c r="BB91">
        <v>1</v>
      </c>
      <c r="BC91">
        <v>7.66</v>
      </c>
      <c r="BD91" t="s">
        <v>3</v>
      </c>
      <c r="BE91" t="s">
        <v>3</v>
      </c>
      <c r="BF91" t="s">
        <v>3</v>
      </c>
      <c r="BG91" t="s">
        <v>3</v>
      </c>
      <c r="BH91">
        <v>3</v>
      </c>
      <c r="BI91">
        <v>3</v>
      </c>
      <c r="BJ91" t="s">
        <v>3</v>
      </c>
      <c r="BM91">
        <v>746</v>
      </c>
      <c r="BN91">
        <v>0</v>
      </c>
      <c r="BO91" t="s">
        <v>3</v>
      </c>
      <c r="BP91">
        <v>0</v>
      </c>
      <c r="BQ91">
        <v>130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 t="s">
        <v>3</v>
      </c>
      <c r="BZ91">
        <v>0</v>
      </c>
      <c r="CA91">
        <v>0</v>
      </c>
      <c r="CB91" t="s">
        <v>3</v>
      </c>
      <c r="CE91">
        <v>1566</v>
      </c>
      <c r="CF91">
        <v>0</v>
      </c>
      <c r="CG91">
        <v>0</v>
      </c>
      <c r="CM91">
        <v>0</v>
      </c>
      <c r="CN91" t="s">
        <v>3</v>
      </c>
      <c r="CO91">
        <v>0</v>
      </c>
      <c r="CP91">
        <f t="shared" si="57"/>
        <v>197.25</v>
      </c>
      <c r="CQ91">
        <f>ROUND((ROUND((AC91*1),2)*BC91),2)</f>
        <v>197.25</v>
      </c>
      <c r="CR91">
        <f>(ROUND((ROUND(((ET91)*AV91*1),2)*BB91),2)+ROUND((ROUND(((AE91-(EU91))*AV91*1),2)*BS91),2))</f>
        <v>0</v>
      </c>
      <c r="CS91">
        <f>(ROUND((ROUND(((EU91)*AV91*1),2)*BS91),2)+ROUND((ROUND(((AE91-(EU91))*AV91*1),2)*BS91),2))</f>
        <v>0</v>
      </c>
      <c r="CT91">
        <f t="shared" si="58"/>
        <v>0</v>
      </c>
      <c r="CU91">
        <f t="shared" si="59"/>
        <v>0</v>
      </c>
      <c r="CV91">
        <f t="shared" si="60"/>
        <v>0</v>
      </c>
      <c r="CW91">
        <f t="shared" si="61"/>
        <v>0</v>
      </c>
      <c r="CX91">
        <f t="shared" si="62"/>
        <v>0</v>
      </c>
      <c r="CY91">
        <f>(ROUND((((S91+ROUND((ROUND(((EU91)*AV91*1),2)*BS91),2))*AT91)/100),2)+ROUND(((ROUND((ROUND(((AE91-(EU91))*AV91*1),2)*BS91),2)*AT91)/100),2))</f>
        <v>0</v>
      </c>
      <c r="CZ91">
        <f>(ROUND((((S91+ROUND((ROUND(((EU91)*AV91*1),2)*BS91),2))*AU91)/100),2)+ROUND(((ROUND((ROUND(((AE91-(EU91))*AV91*1),2)*BS91),2)*AU91)/100),2))</f>
        <v>0</v>
      </c>
      <c r="DC91" t="s">
        <v>3</v>
      </c>
      <c r="DD91" t="s">
        <v>3</v>
      </c>
      <c r="DE91" t="s">
        <v>3</v>
      </c>
      <c r="DF91" t="s">
        <v>3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  <c r="DN91">
        <v>0</v>
      </c>
      <c r="DO91">
        <v>0</v>
      </c>
      <c r="DP91">
        <v>1</v>
      </c>
      <c r="DQ91">
        <v>1</v>
      </c>
      <c r="DU91">
        <v>1013</v>
      </c>
      <c r="DV91" t="s">
        <v>32</v>
      </c>
      <c r="DW91" t="s">
        <v>32</v>
      </c>
      <c r="DX91">
        <v>1</v>
      </c>
      <c r="DZ91" t="s">
        <v>3</v>
      </c>
      <c r="EA91" t="s">
        <v>3</v>
      </c>
      <c r="EB91" t="s">
        <v>3</v>
      </c>
      <c r="EC91" t="s">
        <v>3</v>
      </c>
      <c r="EE91">
        <v>60088638</v>
      </c>
      <c r="EF91">
        <v>130</v>
      </c>
      <c r="EG91" t="s">
        <v>33</v>
      </c>
      <c r="EH91">
        <v>0</v>
      </c>
      <c r="EI91" t="s">
        <v>3</v>
      </c>
      <c r="EJ91">
        <v>3</v>
      </c>
      <c r="EK91">
        <v>746</v>
      </c>
      <c r="EL91" t="s">
        <v>34</v>
      </c>
      <c r="EM91" t="s">
        <v>35</v>
      </c>
      <c r="EO91" t="s">
        <v>3</v>
      </c>
      <c r="EQ91">
        <v>0</v>
      </c>
      <c r="ER91">
        <v>0</v>
      </c>
      <c r="ES91">
        <v>25.749999999999996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5</v>
      </c>
      <c r="FC91">
        <v>1</v>
      </c>
      <c r="FD91">
        <v>18</v>
      </c>
      <c r="FF91">
        <v>227</v>
      </c>
      <c r="FQ91">
        <v>0</v>
      </c>
      <c r="FR91">
        <f>P91</f>
        <v>197.25</v>
      </c>
      <c r="FS91">
        <v>0</v>
      </c>
      <c r="FX91">
        <v>0</v>
      </c>
      <c r="FY91">
        <v>0</v>
      </c>
      <c r="GA91" t="s">
        <v>147</v>
      </c>
      <c r="GD91">
        <v>1</v>
      </c>
      <c r="GF91">
        <v>-334592409</v>
      </c>
      <c r="GG91">
        <v>2</v>
      </c>
      <c r="GH91">
        <v>3</v>
      </c>
      <c r="GI91">
        <v>5</v>
      </c>
      <c r="GJ91">
        <v>0</v>
      </c>
      <c r="GK91">
        <v>0</v>
      </c>
      <c r="GL91">
        <f t="shared" si="63"/>
        <v>0</v>
      </c>
      <c r="GM91">
        <f t="shared" si="64"/>
        <v>197.25</v>
      </c>
      <c r="GN91">
        <f t="shared" si="65"/>
        <v>0</v>
      </c>
      <c r="GO91">
        <f t="shared" si="66"/>
        <v>0</v>
      </c>
      <c r="GP91">
        <f t="shared" si="67"/>
        <v>0</v>
      </c>
      <c r="GR91">
        <v>1</v>
      </c>
      <c r="GS91">
        <v>1</v>
      </c>
      <c r="GT91">
        <v>0</v>
      </c>
      <c r="GU91" t="s">
        <v>3</v>
      </c>
      <c r="GV91">
        <f t="shared" si="68"/>
        <v>0</v>
      </c>
      <c r="GW91">
        <v>1</v>
      </c>
      <c r="GX91">
        <f t="shared" si="69"/>
        <v>0</v>
      </c>
      <c r="HA91">
        <v>0</v>
      </c>
      <c r="HB91">
        <v>0</v>
      </c>
      <c r="HC91">
        <f t="shared" si="70"/>
        <v>0</v>
      </c>
      <c r="HE91" t="s">
        <v>37</v>
      </c>
      <c r="HF91" t="s">
        <v>38</v>
      </c>
      <c r="HM91" t="s">
        <v>3</v>
      </c>
      <c r="HN91" t="s">
        <v>3</v>
      </c>
      <c r="HO91" t="s">
        <v>3</v>
      </c>
      <c r="HP91" t="s">
        <v>3</v>
      </c>
      <c r="HQ91" t="s">
        <v>3</v>
      </c>
      <c r="HS91">
        <v>0</v>
      </c>
      <c r="IK91">
        <v>0</v>
      </c>
    </row>
    <row r="93" spans="1:255" x14ac:dyDescent="0.2">
      <c r="A93" s="3">
        <v>51</v>
      </c>
      <c r="B93" s="3">
        <f>B24</f>
        <v>1</v>
      </c>
      <c r="C93" s="3">
        <f>A24</f>
        <v>4</v>
      </c>
      <c r="D93" s="3">
        <f>ROW(A24)</f>
        <v>24</v>
      </c>
      <c r="E93" s="3"/>
      <c r="F93" s="3" t="str">
        <f>IF(F24&lt;&gt;"",F24,"")</f>
        <v/>
      </c>
      <c r="G93" s="3" t="str">
        <f>IF(G24&lt;&gt;"",G24,"")</f>
        <v>Оборудование</v>
      </c>
      <c r="H93" s="3">
        <v>0</v>
      </c>
      <c r="I93" s="3"/>
      <c r="J93" s="3"/>
      <c r="K93" s="3"/>
      <c r="L93" s="3"/>
      <c r="M93" s="3"/>
      <c r="N93" s="3"/>
      <c r="O93" s="3">
        <f t="shared" ref="O93:T93" si="71">ROUND(AB93,2)</f>
        <v>71809.67</v>
      </c>
      <c r="P93" s="3">
        <f t="shared" si="71"/>
        <v>67074.95</v>
      </c>
      <c r="Q93" s="3">
        <f t="shared" si="71"/>
        <v>3.4</v>
      </c>
      <c r="R93" s="3">
        <f t="shared" si="71"/>
        <v>0.32</v>
      </c>
      <c r="S93" s="3">
        <f t="shared" si="71"/>
        <v>4731.32</v>
      </c>
      <c r="T93" s="3">
        <f t="shared" si="71"/>
        <v>0</v>
      </c>
      <c r="U93" s="3">
        <f>AH93</f>
        <v>366.82416639000002</v>
      </c>
      <c r="V93" s="3">
        <f>AI93</f>
        <v>0</v>
      </c>
      <c r="W93" s="3">
        <f>ROUND(AJ93,2)</f>
        <v>0</v>
      </c>
      <c r="X93" s="3">
        <f>ROUND(AK93,2)</f>
        <v>4270.62</v>
      </c>
      <c r="Y93" s="3">
        <f>ROUND(AL93,2)</f>
        <v>2192.9499999999998</v>
      </c>
      <c r="Z93" s="3"/>
      <c r="AA93" s="3"/>
      <c r="AB93" s="3">
        <f>ROUND(SUMIF(AA28:AA91,"=60258621",O28:O91),2)</f>
        <v>71809.67</v>
      </c>
      <c r="AC93" s="3">
        <f>ROUND(SUMIF(AA28:AA91,"=60258621",P28:P91),2)</f>
        <v>67074.95</v>
      </c>
      <c r="AD93" s="3">
        <f>ROUND(SUMIF(AA28:AA91,"=60258621",Q28:Q91),2)</f>
        <v>3.4</v>
      </c>
      <c r="AE93" s="3">
        <f>ROUND(SUMIF(AA28:AA91,"=60258621",R28:R91),2)</f>
        <v>0.32</v>
      </c>
      <c r="AF93" s="3">
        <f>ROUND(SUMIF(AA28:AA91,"=60258621",S28:S91),2)</f>
        <v>4731.32</v>
      </c>
      <c r="AG93" s="3">
        <f>ROUND(SUMIF(AA28:AA91,"=60258621",T28:T91),2)</f>
        <v>0</v>
      </c>
      <c r="AH93" s="3">
        <f>SUMIF(AA28:AA91,"=60258621",U28:U91)</f>
        <v>366.82416639000002</v>
      </c>
      <c r="AI93" s="3">
        <f>SUMIF(AA28:AA91,"=60258621",V28:V91)</f>
        <v>0</v>
      </c>
      <c r="AJ93" s="3">
        <f>ROUND(SUMIF(AA28:AA91,"=60258621",W28:W91),2)</f>
        <v>0</v>
      </c>
      <c r="AK93" s="3">
        <f>ROUND(SUMIF(AA28:AA91,"=60258621",X28:X91),2)</f>
        <v>4270.62</v>
      </c>
      <c r="AL93" s="3">
        <f>ROUND(SUMIF(AA28:AA91,"=60258621",Y28:Y91),2)</f>
        <v>2192.9499999999998</v>
      </c>
      <c r="AM93" s="3"/>
      <c r="AN93" s="3"/>
      <c r="AO93" s="3">
        <f t="shared" ref="AO93:BD93" si="72">ROUND(BX93,2)</f>
        <v>0</v>
      </c>
      <c r="AP93" s="3">
        <f t="shared" si="72"/>
        <v>66748.509999999995</v>
      </c>
      <c r="AQ93" s="3">
        <f t="shared" si="72"/>
        <v>0</v>
      </c>
      <c r="AR93" s="3">
        <f t="shared" si="72"/>
        <v>78273.240000000005</v>
      </c>
      <c r="AS93" s="3">
        <f t="shared" si="72"/>
        <v>0</v>
      </c>
      <c r="AT93" s="3">
        <f t="shared" si="72"/>
        <v>11524.73</v>
      </c>
      <c r="AU93" s="3">
        <f t="shared" si="72"/>
        <v>0</v>
      </c>
      <c r="AV93" s="3">
        <f t="shared" si="72"/>
        <v>67074.95</v>
      </c>
      <c r="AW93" s="3">
        <f t="shared" si="72"/>
        <v>326.44</v>
      </c>
      <c r="AX93" s="3">
        <f t="shared" si="72"/>
        <v>0</v>
      </c>
      <c r="AY93" s="3">
        <f t="shared" si="72"/>
        <v>326.44</v>
      </c>
      <c r="AZ93" s="3">
        <f t="shared" si="72"/>
        <v>66748.509999999995</v>
      </c>
      <c r="BA93" s="3">
        <f t="shared" si="72"/>
        <v>0</v>
      </c>
      <c r="BB93" s="3">
        <f t="shared" si="72"/>
        <v>0</v>
      </c>
      <c r="BC93" s="3">
        <f t="shared" si="72"/>
        <v>0</v>
      </c>
      <c r="BD93" s="3">
        <f t="shared" si="72"/>
        <v>0</v>
      </c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>
        <f>ROUND(SUMIF(AA28:AA91,"=60258621",FQ28:FQ91),2)</f>
        <v>0</v>
      </c>
      <c r="BY93" s="3">
        <f>ROUND(SUMIF(AA28:AA91,"=60258621",FR28:FR91),2)</f>
        <v>66748.509999999995</v>
      </c>
      <c r="BZ93" s="3">
        <f>ROUND(SUMIF(AA28:AA91,"=60258621",GL28:GL91),2)</f>
        <v>0</v>
      </c>
      <c r="CA93" s="3">
        <f>ROUND(SUMIF(AA28:AA91,"=60258621",GM28:GM91),2)</f>
        <v>78273.240000000005</v>
      </c>
      <c r="CB93" s="3">
        <f>ROUND(SUMIF(AA28:AA91,"=60258621",GN28:GN91),2)</f>
        <v>0</v>
      </c>
      <c r="CC93" s="3">
        <f>ROUND(SUMIF(AA28:AA91,"=60258621",GO28:GO91),2)</f>
        <v>11524.73</v>
      </c>
      <c r="CD93" s="3">
        <f>ROUND(SUMIF(AA28:AA91,"=60258621",GP28:GP91),2)</f>
        <v>0</v>
      </c>
      <c r="CE93" s="3">
        <f>AC93-BX93</f>
        <v>67074.95</v>
      </c>
      <c r="CF93" s="3">
        <f>AC93-BY93</f>
        <v>326.44000000000233</v>
      </c>
      <c r="CG93" s="3">
        <f>BX93-BZ93</f>
        <v>0</v>
      </c>
      <c r="CH93" s="3">
        <f>AC93-BX93-BY93+BZ93</f>
        <v>326.44000000000233</v>
      </c>
      <c r="CI93" s="3">
        <f>BY93-BZ93</f>
        <v>66748.509999999995</v>
      </c>
      <c r="CJ93" s="3">
        <f>ROUND(SUMIF(AA28:AA91,"=60258621",GX28:GX91),2)</f>
        <v>0</v>
      </c>
      <c r="CK93" s="3">
        <f>ROUND(SUMIF(AA28:AA91,"=60258621",GY28:GY91),2)</f>
        <v>0</v>
      </c>
      <c r="CL93" s="3">
        <f>ROUND(SUMIF(AA28:AA91,"=60258621",GZ28:GZ91),2)</f>
        <v>0</v>
      </c>
      <c r="CM93" s="3">
        <f>ROUND(SUMIF(AA28:AA91,"=60258621",HD28:HD91),2)</f>
        <v>0</v>
      </c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4">
        <f t="shared" ref="DG93:DL93" si="73">ROUND(DT93,2)</f>
        <v>774800.87</v>
      </c>
      <c r="DH93" s="4">
        <f t="shared" si="73"/>
        <v>514577.1</v>
      </c>
      <c r="DI93" s="4">
        <f t="shared" si="73"/>
        <v>48.5</v>
      </c>
      <c r="DJ93" s="4">
        <f t="shared" si="73"/>
        <v>17.600000000000001</v>
      </c>
      <c r="DK93" s="4">
        <f t="shared" si="73"/>
        <v>260175.27</v>
      </c>
      <c r="DL93" s="4">
        <f t="shared" si="73"/>
        <v>0</v>
      </c>
      <c r="DM93" s="4">
        <f>DZ93</f>
        <v>366.82416639000002</v>
      </c>
      <c r="DN93" s="4">
        <f>EA93</f>
        <v>0</v>
      </c>
      <c r="DO93" s="4">
        <f>ROUND(EB93,2)</f>
        <v>0</v>
      </c>
      <c r="DP93" s="4">
        <f>ROUND(EC93,2)</f>
        <v>234841.5</v>
      </c>
      <c r="DQ93" s="4">
        <f>ROUND(ED93,2)</f>
        <v>120589.95</v>
      </c>
      <c r="DR93" s="4"/>
      <c r="DS93" s="4"/>
      <c r="DT93" s="4">
        <f>ROUND(SUMIF(AA28:AA91,"=60258618",O28:O91),2)</f>
        <v>774800.87</v>
      </c>
      <c r="DU93" s="4">
        <f>ROUND(SUMIF(AA28:AA91,"=60258618",P28:P91),2)</f>
        <v>514577.1</v>
      </c>
      <c r="DV93" s="4">
        <f>ROUND(SUMIF(AA28:AA91,"=60258618",Q28:Q91),2)</f>
        <v>48.5</v>
      </c>
      <c r="DW93" s="4">
        <f>ROUND(SUMIF(AA28:AA91,"=60258618",R28:R91),2)</f>
        <v>17.600000000000001</v>
      </c>
      <c r="DX93" s="4">
        <f>ROUND(SUMIF(AA28:AA91,"=60258618",S28:S91),2)</f>
        <v>260175.27</v>
      </c>
      <c r="DY93" s="4">
        <f>ROUND(SUMIF(AA28:AA91,"=60258618",T28:T91),2)</f>
        <v>0</v>
      </c>
      <c r="DZ93" s="4">
        <f>SUMIF(AA28:AA91,"=60258618",U28:U91)</f>
        <v>366.82416639000002</v>
      </c>
      <c r="EA93" s="4">
        <f>SUMIF(AA28:AA91,"=60258618",V28:V91)</f>
        <v>0</v>
      </c>
      <c r="EB93" s="4">
        <f>ROUND(SUMIF(AA28:AA91,"=60258618",W28:W91),2)</f>
        <v>0</v>
      </c>
      <c r="EC93" s="4">
        <f>ROUND(SUMIF(AA28:AA91,"=60258618",X28:X91),2)</f>
        <v>234841.5</v>
      </c>
      <c r="ED93" s="4">
        <f>ROUND(SUMIF(AA28:AA91,"=60258618",Y28:Y91),2)</f>
        <v>120589.95</v>
      </c>
      <c r="EE93" s="4"/>
      <c r="EF93" s="4"/>
      <c r="EG93" s="4">
        <f t="shared" ref="EG93:EV93" si="74">ROUND(FP93,2)</f>
        <v>0</v>
      </c>
      <c r="EH93" s="4">
        <f t="shared" si="74"/>
        <v>511293.61</v>
      </c>
      <c r="EI93" s="4">
        <f t="shared" si="74"/>
        <v>0</v>
      </c>
      <c r="EJ93" s="4">
        <f t="shared" si="74"/>
        <v>1130232.3200000001</v>
      </c>
      <c r="EK93" s="4">
        <f t="shared" si="74"/>
        <v>0</v>
      </c>
      <c r="EL93" s="4">
        <f t="shared" si="74"/>
        <v>618938.71</v>
      </c>
      <c r="EM93" s="4">
        <f t="shared" si="74"/>
        <v>0</v>
      </c>
      <c r="EN93" s="4">
        <f t="shared" si="74"/>
        <v>514577.1</v>
      </c>
      <c r="EO93" s="4">
        <f t="shared" si="74"/>
        <v>3283.49</v>
      </c>
      <c r="EP93" s="4">
        <f t="shared" si="74"/>
        <v>0</v>
      </c>
      <c r="EQ93" s="4">
        <f t="shared" si="74"/>
        <v>3283.49</v>
      </c>
      <c r="ER93" s="4">
        <f t="shared" si="74"/>
        <v>511293.61</v>
      </c>
      <c r="ES93" s="4">
        <f t="shared" si="74"/>
        <v>0</v>
      </c>
      <c r="ET93" s="4">
        <f t="shared" si="74"/>
        <v>0</v>
      </c>
      <c r="EU93" s="4">
        <f t="shared" si="74"/>
        <v>0</v>
      </c>
      <c r="EV93" s="4">
        <f t="shared" si="74"/>
        <v>0</v>
      </c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>
        <f>ROUND(SUMIF(AA28:AA91,"=60258618",FQ28:FQ91),2)</f>
        <v>0</v>
      </c>
      <c r="FQ93" s="4">
        <f>ROUND(SUMIF(AA28:AA91,"=60258618",FR28:FR91),2)</f>
        <v>511293.61</v>
      </c>
      <c r="FR93" s="4">
        <f>ROUND(SUMIF(AA28:AA91,"=60258618",GL28:GL91),2)</f>
        <v>0</v>
      </c>
      <c r="FS93" s="4">
        <f>ROUND(SUMIF(AA28:AA91,"=60258618",GM28:GM91),2)</f>
        <v>1130232.3200000001</v>
      </c>
      <c r="FT93" s="4">
        <f>ROUND(SUMIF(AA28:AA91,"=60258618",GN28:GN91),2)</f>
        <v>0</v>
      </c>
      <c r="FU93" s="4">
        <f>ROUND(SUMIF(AA28:AA91,"=60258618",GO28:GO91),2)</f>
        <v>618938.71</v>
      </c>
      <c r="FV93" s="4">
        <f>ROUND(SUMIF(AA28:AA91,"=60258618",GP28:GP91),2)</f>
        <v>0</v>
      </c>
      <c r="FW93" s="4">
        <f>DU93-FP93</f>
        <v>514577.1</v>
      </c>
      <c r="FX93" s="4">
        <f>DU93-FQ93</f>
        <v>3283.4899999999907</v>
      </c>
      <c r="FY93" s="4">
        <f>FP93-FR93</f>
        <v>0</v>
      </c>
      <c r="FZ93" s="4">
        <f>DU93-FP93-FQ93+FR93</f>
        <v>3283.4899999999907</v>
      </c>
      <c r="GA93" s="4">
        <f>FQ93-FR93</f>
        <v>511293.61</v>
      </c>
      <c r="GB93" s="4">
        <f>ROUND(SUMIF(AA28:AA91,"=60258618",GX28:GX91),2)</f>
        <v>0</v>
      </c>
      <c r="GC93" s="4">
        <f>ROUND(SUMIF(AA28:AA91,"=60258618",GY28:GY91),2)</f>
        <v>0</v>
      </c>
      <c r="GD93" s="4">
        <f>ROUND(SUMIF(AA28:AA91,"=60258618",GZ28:GZ91),2)</f>
        <v>0</v>
      </c>
      <c r="GE93" s="4">
        <f>ROUND(SUMIF(AA28:AA91,"=60258618",HD28:HD91),2)</f>
        <v>0</v>
      </c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>
        <v>0</v>
      </c>
    </row>
    <row r="95" spans="1:255" x14ac:dyDescent="0.2">
      <c r="A95" s="5">
        <v>50</v>
      </c>
      <c r="B95" s="5">
        <v>0</v>
      </c>
      <c r="C95" s="5">
        <v>0</v>
      </c>
      <c r="D95" s="5">
        <v>1</v>
      </c>
      <c r="E95" s="5">
        <v>201</v>
      </c>
      <c r="F95" s="5">
        <f>ROUND(Source!O93,O95)</f>
        <v>71809.67</v>
      </c>
      <c r="G95" s="5" t="s">
        <v>148</v>
      </c>
      <c r="H95" s="5" t="s">
        <v>149</v>
      </c>
      <c r="I95" s="5"/>
      <c r="J95" s="5"/>
      <c r="K95" s="5">
        <v>201</v>
      </c>
      <c r="L95" s="5">
        <v>1</v>
      </c>
      <c r="M95" s="5">
        <v>3</v>
      </c>
      <c r="N95" s="5" t="s">
        <v>3</v>
      </c>
      <c r="O95" s="5">
        <v>2</v>
      </c>
      <c r="P95" s="5">
        <f>ROUND(Source!DG93,O95)</f>
        <v>774800.87</v>
      </c>
      <c r="Q95" s="5"/>
      <c r="R95" s="5"/>
      <c r="S95" s="5"/>
      <c r="T95" s="5"/>
      <c r="U95" s="5"/>
      <c r="V95" s="5"/>
      <c r="W95" s="5">
        <v>71809.67</v>
      </c>
      <c r="X95" s="5">
        <v>1</v>
      </c>
      <c r="Y95" s="5">
        <v>71809.67</v>
      </c>
      <c r="Z95" s="5">
        <v>774800.87</v>
      </c>
      <c r="AA95" s="5">
        <v>1</v>
      </c>
      <c r="AB95" s="5">
        <v>774800.87</v>
      </c>
    </row>
    <row r="96" spans="1:255" x14ac:dyDescent="0.2">
      <c r="A96" s="5">
        <v>50</v>
      </c>
      <c r="B96" s="5">
        <v>0</v>
      </c>
      <c r="C96" s="5">
        <v>0</v>
      </c>
      <c r="D96" s="5">
        <v>1</v>
      </c>
      <c r="E96" s="5">
        <v>202</v>
      </c>
      <c r="F96" s="5">
        <f>ROUND(Source!P93,O96)</f>
        <v>67074.95</v>
      </c>
      <c r="G96" s="5" t="s">
        <v>150</v>
      </c>
      <c r="H96" s="5" t="s">
        <v>151</v>
      </c>
      <c r="I96" s="5"/>
      <c r="J96" s="5"/>
      <c r="K96" s="5">
        <v>202</v>
      </c>
      <c r="L96" s="5">
        <v>2</v>
      </c>
      <c r="M96" s="5">
        <v>3</v>
      </c>
      <c r="N96" s="5" t="s">
        <v>3</v>
      </c>
      <c r="O96" s="5">
        <v>2</v>
      </c>
      <c r="P96" s="5">
        <f>ROUND(Source!DH93,O96)</f>
        <v>514577.1</v>
      </c>
      <c r="Q96" s="5"/>
      <c r="R96" s="5"/>
      <c r="S96" s="5"/>
      <c r="T96" s="5"/>
      <c r="U96" s="5"/>
      <c r="V96" s="5"/>
      <c r="W96" s="5">
        <v>67074.95</v>
      </c>
      <c r="X96" s="5">
        <v>1</v>
      </c>
      <c r="Y96" s="5">
        <v>67074.95</v>
      </c>
      <c r="Z96" s="5">
        <v>514577.1</v>
      </c>
      <c r="AA96" s="5">
        <v>1</v>
      </c>
      <c r="AB96" s="5">
        <v>514577.1</v>
      </c>
    </row>
    <row r="97" spans="1:28" x14ac:dyDescent="0.2">
      <c r="A97" s="5">
        <v>50</v>
      </c>
      <c r="B97" s="5">
        <v>0</v>
      </c>
      <c r="C97" s="5">
        <v>0</v>
      </c>
      <c r="D97" s="5">
        <v>1</v>
      </c>
      <c r="E97" s="5">
        <v>222</v>
      </c>
      <c r="F97" s="5">
        <f>ROUND(Source!AO93,O97)</f>
        <v>0</v>
      </c>
      <c r="G97" s="5" t="s">
        <v>152</v>
      </c>
      <c r="H97" s="5" t="s">
        <v>153</v>
      </c>
      <c r="I97" s="5"/>
      <c r="J97" s="5"/>
      <c r="K97" s="5">
        <v>222</v>
      </c>
      <c r="L97" s="5">
        <v>3</v>
      </c>
      <c r="M97" s="5">
        <v>3</v>
      </c>
      <c r="N97" s="5" t="s">
        <v>3</v>
      </c>
      <c r="O97" s="5">
        <v>2</v>
      </c>
      <c r="P97" s="5">
        <f>ROUND(Source!EG93,O97)</f>
        <v>0</v>
      </c>
      <c r="Q97" s="5"/>
      <c r="R97" s="5"/>
      <c r="S97" s="5"/>
      <c r="T97" s="5"/>
      <c r="U97" s="5"/>
      <c r="V97" s="5"/>
      <c r="W97" s="5">
        <v>0</v>
      </c>
      <c r="X97" s="5">
        <v>1</v>
      </c>
      <c r="Y97" s="5">
        <v>0</v>
      </c>
      <c r="Z97" s="5">
        <v>0</v>
      </c>
      <c r="AA97" s="5">
        <v>1</v>
      </c>
      <c r="AB97" s="5">
        <v>0</v>
      </c>
    </row>
    <row r="98" spans="1:28" x14ac:dyDescent="0.2">
      <c r="A98" s="5">
        <v>50</v>
      </c>
      <c r="B98" s="5">
        <v>0</v>
      </c>
      <c r="C98" s="5">
        <v>0</v>
      </c>
      <c r="D98" s="5">
        <v>1</v>
      </c>
      <c r="E98" s="5">
        <v>225</v>
      </c>
      <c r="F98" s="5">
        <f>ROUND(Source!AV93,O98)</f>
        <v>67074.95</v>
      </c>
      <c r="G98" s="5" t="s">
        <v>154</v>
      </c>
      <c r="H98" s="5" t="s">
        <v>155</v>
      </c>
      <c r="I98" s="5"/>
      <c r="J98" s="5"/>
      <c r="K98" s="5">
        <v>225</v>
      </c>
      <c r="L98" s="5">
        <v>4</v>
      </c>
      <c r="M98" s="5">
        <v>3</v>
      </c>
      <c r="N98" s="5" t="s">
        <v>3</v>
      </c>
      <c r="O98" s="5">
        <v>2</v>
      </c>
      <c r="P98" s="5">
        <f>ROUND(Source!EN93,O98)</f>
        <v>514577.1</v>
      </c>
      <c r="Q98" s="5"/>
      <c r="R98" s="5"/>
      <c r="S98" s="5"/>
      <c r="T98" s="5"/>
      <c r="U98" s="5"/>
      <c r="V98" s="5"/>
      <c r="W98" s="5">
        <v>67074.95</v>
      </c>
      <c r="X98" s="5">
        <v>1</v>
      </c>
      <c r="Y98" s="5">
        <v>67074.95</v>
      </c>
      <c r="Z98" s="5">
        <v>514577.1</v>
      </c>
      <c r="AA98" s="5">
        <v>1</v>
      </c>
      <c r="AB98" s="5">
        <v>514577.1</v>
      </c>
    </row>
    <row r="99" spans="1:28" x14ac:dyDescent="0.2">
      <c r="A99" s="5">
        <v>50</v>
      </c>
      <c r="B99" s="5">
        <v>0</v>
      </c>
      <c r="C99" s="5">
        <v>0</v>
      </c>
      <c r="D99" s="5">
        <v>1</v>
      </c>
      <c r="E99" s="5">
        <v>226</v>
      </c>
      <c r="F99" s="5">
        <f>ROUND(Source!AW93,O99)</f>
        <v>326.44</v>
      </c>
      <c r="G99" s="5" t="s">
        <v>156</v>
      </c>
      <c r="H99" s="5" t="s">
        <v>157</v>
      </c>
      <c r="I99" s="5"/>
      <c r="J99" s="5"/>
      <c r="K99" s="5">
        <v>226</v>
      </c>
      <c r="L99" s="5">
        <v>5</v>
      </c>
      <c r="M99" s="5">
        <v>3</v>
      </c>
      <c r="N99" s="5" t="s">
        <v>3</v>
      </c>
      <c r="O99" s="5">
        <v>2</v>
      </c>
      <c r="P99" s="5">
        <f>ROUND(Source!EO93,O99)</f>
        <v>3283.49</v>
      </c>
      <c r="Q99" s="5"/>
      <c r="R99" s="5"/>
      <c r="S99" s="5"/>
      <c r="T99" s="5"/>
      <c r="U99" s="5"/>
      <c r="V99" s="5"/>
      <c r="W99" s="5">
        <v>326.44</v>
      </c>
      <c r="X99" s="5">
        <v>1</v>
      </c>
      <c r="Y99" s="5">
        <v>326.44</v>
      </c>
      <c r="Z99" s="5">
        <v>3283.49</v>
      </c>
      <c r="AA99" s="5">
        <v>1</v>
      </c>
      <c r="AB99" s="5">
        <v>3283.49</v>
      </c>
    </row>
    <row r="100" spans="1:28" x14ac:dyDescent="0.2">
      <c r="A100" s="5">
        <v>50</v>
      </c>
      <c r="B100" s="5">
        <v>0</v>
      </c>
      <c r="C100" s="5">
        <v>0</v>
      </c>
      <c r="D100" s="5">
        <v>1</v>
      </c>
      <c r="E100" s="5">
        <v>227</v>
      </c>
      <c r="F100" s="5">
        <f>ROUND(Source!AX93,O100)</f>
        <v>0</v>
      </c>
      <c r="G100" s="5" t="s">
        <v>158</v>
      </c>
      <c r="H100" s="5" t="s">
        <v>159</v>
      </c>
      <c r="I100" s="5"/>
      <c r="J100" s="5"/>
      <c r="K100" s="5">
        <v>227</v>
      </c>
      <c r="L100" s="5">
        <v>6</v>
      </c>
      <c r="M100" s="5">
        <v>3</v>
      </c>
      <c r="N100" s="5" t="s">
        <v>3</v>
      </c>
      <c r="O100" s="5">
        <v>2</v>
      </c>
      <c r="P100" s="5">
        <f>ROUND(Source!EP93,O100)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8" x14ac:dyDescent="0.2">
      <c r="A101" s="5">
        <v>50</v>
      </c>
      <c r="B101" s="5">
        <v>0</v>
      </c>
      <c r="C101" s="5">
        <v>0</v>
      </c>
      <c r="D101" s="5">
        <v>1</v>
      </c>
      <c r="E101" s="5">
        <v>228</v>
      </c>
      <c r="F101" s="5">
        <f>ROUND(Source!AY93,O101)</f>
        <v>326.44</v>
      </c>
      <c r="G101" s="5" t="s">
        <v>160</v>
      </c>
      <c r="H101" s="5" t="s">
        <v>161</v>
      </c>
      <c r="I101" s="5"/>
      <c r="J101" s="5"/>
      <c r="K101" s="5">
        <v>228</v>
      </c>
      <c r="L101" s="5">
        <v>7</v>
      </c>
      <c r="M101" s="5">
        <v>3</v>
      </c>
      <c r="N101" s="5" t="s">
        <v>3</v>
      </c>
      <c r="O101" s="5">
        <v>2</v>
      </c>
      <c r="P101" s="5">
        <f>ROUND(Source!EQ93,O101)</f>
        <v>3283.49</v>
      </c>
      <c r="Q101" s="5"/>
      <c r="R101" s="5"/>
      <c r="S101" s="5"/>
      <c r="T101" s="5"/>
      <c r="U101" s="5"/>
      <c r="V101" s="5"/>
      <c r="W101" s="5">
        <v>326.44</v>
      </c>
      <c r="X101" s="5">
        <v>1</v>
      </c>
      <c r="Y101" s="5">
        <v>326.44</v>
      </c>
      <c r="Z101" s="5">
        <v>3283.49</v>
      </c>
      <c r="AA101" s="5">
        <v>1</v>
      </c>
      <c r="AB101" s="5">
        <v>3283.49</v>
      </c>
    </row>
    <row r="102" spans="1:28" x14ac:dyDescent="0.2">
      <c r="A102" s="5">
        <v>50</v>
      </c>
      <c r="B102" s="5">
        <v>0</v>
      </c>
      <c r="C102" s="5">
        <v>0</v>
      </c>
      <c r="D102" s="5">
        <v>1</v>
      </c>
      <c r="E102" s="5">
        <v>216</v>
      </c>
      <c r="F102" s="5">
        <f>ROUND(Source!AP93,O102)</f>
        <v>66748.509999999995</v>
      </c>
      <c r="G102" s="5" t="s">
        <v>162</v>
      </c>
      <c r="H102" s="5" t="s">
        <v>163</v>
      </c>
      <c r="I102" s="5"/>
      <c r="J102" s="5"/>
      <c r="K102" s="5">
        <v>216</v>
      </c>
      <c r="L102" s="5">
        <v>8</v>
      </c>
      <c r="M102" s="5">
        <v>3</v>
      </c>
      <c r="N102" s="5" t="s">
        <v>3</v>
      </c>
      <c r="O102" s="5">
        <v>2</v>
      </c>
      <c r="P102" s="5">
        <f>ROUND(Source!EH93,O102)</f>
        <v>511293.61</v>
      </c>
      <c r="Q102" s="5"/>
      <c r="R102" s="5"/>
      <c r="S102" s="5"/>
      <c r="T102" s="5"/>
      <c r="U102" s="5"/>
      <c r="V102" s="5"/>
      <c r="W102" s="5">
        <v>66748.509999999995</v>
      </c>
      <c r="X102" s="5">
        <v>1</v>
      </c>
      <c r="Y102" s="5">
        <v>66748.509999999995</v>
      </c>
      <c r="Z102" s="5">
        <v>511293.61</v>
      </c>
      <c r="AA102" s="5">
        <v>1</v>
      </c>
      <c r="AB102" s="5">
        <v>511293.61</v>
      </c>
    </row>
    <row r="103" spans="1:28" x14ac:dyDescent="0.2">
      <c r="A103" s="5">
        <v>50</v>
      </c>
      <c r="B103" s="5">
        <v>0</v>
      </c>
      <c r="C103" s="5">
        <v>0</v>
      </c>
      <c r="D103" s="5">
        <v>1</v>
      </c>
      <c r="E103" s="5">
        <v>223</v>
      </c>
      <c r="F103" s="5">
        <f>ROUND(Source!AQ93,O103)</f>
        <v>0</v>
      </c>
      <c r="G103" s="5" t="s">
        <v>164</v>
      </c>
      <c r="H103" s="5" t="s">
        <v>165</v>
      </c>
      <c r="I103" s="5"/>
      <c r="J103" s="5"/>
      <c r="K103" s="5">
        <v>223</v>
      </c>
      <c r="L103" s="5">
        <v>9</v>
      </c>
      <c r="M103" s="5">
        <v>3</v>
      </c>
      <c r="N103" s="5" t="s">
        <v>3</v>
      </c>
      <c r="O103" s="5">
        <v>2</v>
      </c>
      <c r="P103" s="5">
        <f>ROUND(Source!EI93,O103)</f>
        <v>0</v>
      </c>
      <c r="Q103" s="5"/>
      <c r="R103" s="5"/>
      <c r="S103" s="5"/>
      <c r="T103" s="5"/>
      <c r="U103" s="5"/>
      <c r="V103" s="5"/>
      <c r="W103" s="5">
        <v>0</v>
      </c>
      <c r="X103" s="5">
        <v>1</v>
      </c>
      <c r="Y103" s="5">
        <v>0</v>
      </c>
      <c r="Z103" s="5">
        <v>0</v>
      </c>
      <c r="AA103" s="5">
        <v>1</v>
      </c>
      <c r="AB103" s="5">
        <v>0</v>
      </c>
    </row>
    <row r="104" spans="1:28" x14ac:dyDescent="0.2">
      <c r="A104" s="5">
        <v>50</v>
      </c>
      <c r="B104" s="5">
        <v>0</v>
      </c>
      <c r="C104" s="5">
        <v>0</v>
      </c>
      <c r="D104" s="5">
        <v>1</v>
      </c>
      <c r="E104" s="5">
        <v>229</v>
      </c>
      <c r="F104" s="5">
        <f>ROUND(Source!AZ93,O104)</f>
        <v>66748.509999999995</v>
      </c>
      <c r="G104" s="5" t="s">
        <v>166</v>
      </c>
      <c r="H104" s="5" t="s">
        <v>167</v>
      </c>
      <c r="I104" s="5"/>
      <c r="J104" s="5"/>
      <c r="K104" s="5">
        <v>229</v>
      </c>
      <c r="L104" s="5">
        <v>10</v>
      </c>
      <c r="M104" s="5">
        <v>3</v>
      </c>
      <c r="N104" s="5" t="s">
        <v>3</v>
      </c>
      <c r="O104" s="5">
        <v>2</v>
      </c>
      <c r="P104" s="5">
        <f>ROUND(Source!ER93,O104)</f>
        <v>511293.61</v>
      </c>
      <c r="Q104" s="5"/>
      <c r="R104" s="5"/>
      <c r="S104" s="5"/>
      <c r="T104" s="5"/>
      <c r="U104" s="5"/>
      <c r="V104" s="5"/>
      <c r="W104" s="5">
        <v>66748.509999999995</v>
      </c>
      <c r="X104" s="5">
        <v>1</v>
      </c>
      <c r="Y104" s="5">
        <v>66748.509999999995</v>
      </c>
      <c r="Z104" s="5">
        <v>511293.61</v>
      </c>
      <c r="AA104" s="5">
        <v>1</v>
      </c>
      <c r="AB104" s="5">
        <v>511293.61</v>
      </c>
    </row>
    <row r="105" spans="1:28" x14ac:dyDescent="0.2">
      <c r="A105" s="5">
        <v>50</v>
      </c>
      <c r="B105" s="5">
        <v>0</v>
      </c>
      <c r="C105" s="5">
        <v>0</v>
      </c>
      <c r="D105" s="5">
        <v>1</v>
      </c>
      <c r="E105" s="5">
        <v>203</v>
      </c>
      <c r="F105" s="5">
        <f>ROUND(Source!Q93,O105)</f>
        <v>3.4</v>
      </c>
      <c r="G105" s="5" t="s">
        <v>168</v>
      </c>
      <c r="H105" s="5" t="s">
        <v>169</v>
      </c>
      <c r="I105" s="5"/>
      <c r="J105" s="5"/>
      <c r="K105" s="5">
        <v>203</v>
      </c>
      <c r="L105" s="5">
        <v>11</v>
      </c>
      <c r="M105" s="5">
        <v>3</v>
      </c>
      <c r="N105" s="5" t="s">
        <v>3</v>
      </c>
      <c r="O105" s="5">
        <v>2</v>
      </c>
      <c r="P105" s="5">
        <f>ROUND(Source!DI93,O105)</f>
        <v>48.5</v>
      </c>
      <c r="Q105" s="5"/>
      <c r="R105" s="5"/>
      <c r="S105" s="5"/>
      <c r="T105" s="5"/>
      <c r="U105" s="5"/>
      <c r="V105" s="5"/>
      <c r="W105" s="5">
        <v>3.4</v>
      </c>
      <c r="X105" s="5">
        <v>1</v>
      </c>
      <c r="Y105" s="5">
        <v>3.4</v>
      </c>
      <c r="Z105" s="5">
        <v>48.5</v>
      </c>
      <c r="AA105" s="5">
        <v>1</v>
      </c>
      <c r="AB105" s="5">
        <v>48.5</v>
      </c>
    </row>
    <row r="106" spans="1:28" x14ac:dyDescent="0.2">
      <c r="A106" s="5">
        <v>50</v>
      </c>
      <c r="B106" s="5">
        <v>0</v>
      </c>
      <c r="C106" s="5">
        <v>0</v>
      </c>
      <c r="D106" s="5">
        <v>1</v>
      </c>
      <c r="E106" s="5">
        <v>231</v>
      </c>
      <c r="F106" s="5">
        <f>ROUND(Source!BB93,O106)</f>
        <v>0</v>
      </c>
      <c r="G106" s="5" t="s">
        <v>170</v>
      </c>
      <c r="H106" s="5" t="s">
        <v>171</v>
      </c>
      <c r="I106" s="5"/>
      <c r="J106" s="5"/>
      <c r="K106" s="5">
        <v>231</v>
      </c>
      <c r="L106" s="5">
        <v>12</v>
      </c>
      <c r="M106" s="5">
        <v>3</v>
      </c>
      <c r="N106" s="5" t="s">
        <v>3</v>
      </c>
      <c r="O106" s="5">
        <v>2</v>
      </c>
      <c r="P106" s="5">
        <f>ROUND(Source!ET93,O106)</f>
        <v>0</v>
      </c>
      <c r="Q106" s="5"/>
      <c r="R106" s="5"/>
      <c r="S106" s="5"/>
      <c r="T106" s="5"/>
      <c r="U106" s="5"/>
      <c r="V106" s="5"/>
      <c r="W106" s="5">
        <v>0</v>
      </c>
      <c r="X106" s="5">
        <v>1</v>
      </c>
      <c r="Y106" s="5">
        <v>0</v>
      </c>
      <c r="Z106" s="5">
        <v>0</v>
      </c>
      <c r="AA106" s="5">
        <v>1</v>
      </c>
      <c r="AB106" s="5">
        <v>0</v>
      </c>
    </row>
    <row r="107" spans="1:28" x14ac:dyDescent="0.2">
      <c r="A107" s="5">
        <v>50</v>
      </c>
      <c r="B107" s="5">
        <v>0</v>
      </c>
      <c r="C107" s="5">
        <v>0</v>
      </c>
      <c r="D107" s="5">
        <v>1</v>
      </c>
      <c r="E107" s="5">
        <v>204</v>
      </c>
      <c r="F107" s="5">
        <f>ROUND(Source!R93,O107)</f>
        <v>0.32</v>
      </c>
      <c r="G107" s="5" t="s">
        <v>172</v>
      </c>
      <c r="H107" s="5" t="s">
        <v>173</v>
      </c>
      <c r="I107" s="5"/>
      <c r="J107" s="5"/>
      <c r="K107" s="5">
        <v>204</v>
      </c>
      <c r="L107" s="5">
        <v>13</v>
      </c>
      <c r="M107" s="5">
        <v>3</v>
      </c>
      <c r="N107" s="5" t="s">
        <v>3</v>
      </c>
      <c r="O107" s="5">
        <v>2</v>
      </c>
      <c r="P107" s="5">
        <f>ROUND(Source!DJ93,O107)</f>
        <v>17.600000000000001</v>
      </c>
      <c r="Q107" s="5"/>
      <c r="R107" s="5"/>
      <c r="S107" s="5"/>
      <c r="T107" s="5"/>
      <c r="U107" s="5"/>
      <c r="V107" s="5"/>
      <c r="W107" s="5">
        <v>0.32</v>
      </c>
      <c r="X107" s="5">
        <v>1</v>
      </c>
      <c r="Y107" s="5">
        <v>0.32</v>
      </c>
      <c r="Z107" s="5">
        <v>17.600000000000001</v>
      </c>
      <c r="AA107" s="5">
        <v>1</v>
      </c>
      <c r="AB107" s="5">
        <v>17.600000000000001</v>
      </c>
    </row>
    <row r="108" spans="1:28" x14ac:dyDescent="0.2">
      <c r="A108" s="5">
        <v>50</v>
      </c>
      <c r="B108" s="5">
        <v>0</v>
      </c>
      <c r="C108" s="5">
        <v>0</v>
      </c>
      <c r="D108" s="5">
        <v>1</v>
      </c>
      <c r="E108" s="5">
        <v>205</v>
      </c>
      <c r="F108" s="5">
        <f>ROUND(Source!S93,O108)</f>
        <v>4731.32</v>
      </c>
      <c r="G108" s="5" t="s">
        <v>174</v>
      </c>
      <c r="H108" s="5" t="s">
        <v>175</v>
      </c>
      <c r="I108" s="5"/>
      <c r="J108" s="5"/>
      <c r="K108" s="5">
        <v>205</v>
      </c>
      <c r="L108" s="5">
        <v>14</v>
      </c>
      <c r="M108" s="5">
        <v>3</v>
      </c>
      <c r="N108" s="5" t="s">
        <v>3</v>
      </c>
      <c r="O108" s="5">
        <v>2</v>
      </c>
      <c r="P108" s="5">
        <f>ROUND(Source!DK93,O108)</f>
        <v>260175.27</v>
      </c>
      <c r="Q108" s="5"/>
      <c r="R108" s="5"/>
      <c r="S108" s="5"/>
      <c r="T108" s="5"/>
      <c r="U108" s="5"/>
      <c r="V108" s="5"/>
      <c r="W108" s="5">
        <v>4731.32</v>
      </c>
      <c r="X108" s="5">
        <v>1</v>
      </c>
      <c r="Y108" s="5">
        <v>4731.32</v>
      </c>
      <c r="Z108" s="5">
        <v>260175.27</v>
      </c>
      <c r="AA108" s="5">
        <v>1</v>
      </c>
      <c r="AB108" s="5">
        <v>260175.27</v>
      </c>
    </row>
    <row r="109" spans="1:28" x14ac:dyDescent="0.2">
      <c r="A109" s="5">
        <v>50</v>
      </c>
      <c r="B109" s="5">
        <v>0</v>
      </c>
      <c r="C109" s="5">
        <v>0</v>
      </c>
      <c r="D109" s="5">
        <v>1</v>
      </c>
      <c r="E109" s="5">
        <v>232</v>
      </c>
      <c r="F109" s="5">
        <f>ROUND(Source!BC93,O109)</f>
        <v>0</v>
      </c>
      <c r="G109" s="5" t="s">
        <v>176</v>
      </c>
      <c r="H109" s="5" t="s">
        <v>177</v>
      </c>
      <c r="I109" s="5"/>
      <c r="J109" s="5"/>
      <c r="K109" s="5">
        <v>232</v>
      </c>
      <c r="L109" s="5">
        <v>15</v>
      </c>
      <c r="M109" s="5">
        <v>3</v>
      </c>
      <c r="N109" s="5" t="s">
        <v>3</v>
      </c>
      <c r="O109" s="5">
        <v>2</v>
      </c>
      <c r="P109" s="5">
        <f>ROUND(Source!EU93,O109)</f>
        <v>0</v>
      </c>
      <c r="Q109" s="5"/>
      <c r="R109" s="5"/>
      <c r="S109" s="5"/>
      <c r="T109" s="5"/>
      <c r="U109" s="5"/>
      <c r="V109" s="5"/>
      <c r="W109" s="5">
        <v>0</v>
      </c>
      <c r="X109" s="5">
        <v>1</v>
      </c>
      <c r="Y109" s="5">
        <v>0</v>
      </c>
      <c r="Z109" s="5">
        <v>0</v>
      </c>
      <c r="AA109" s="5">
        <v>1</v>
      </c>
      <c r="AB109" s="5">
        <v>0</v>
      </c>
    </row>
    <row r="110" spans="1:28" x14ac:dyDescent="0.2">
      <c r="A110" s="5">
        <v>50</v>
      </c>
      <c r="B110" s="5">
        <v>0</v>
      </c>
      <c r="C110" s="5">
        <v>0</v>
      </c>
      <c r="D110" s="5">
        <v>1</v>
      </c>
      <c r="E110" s="5">
        <v>214</v>
      </c>
      <c r="F110" s="5">
        <f>ROUND(Source!AS93,O110)</f>
        <v>0</v>
      </c>
      <c r="G110" s="5" t="s">
        <v>178</v>
      </c>
      <c r="H110" s="5" t="s">
        <v>179</v>
      </c>
      <c r="I110" s="5"/>
      <c r="J110" s="5"/>
      <c r="K110" s="5">
        <v>214</v>
      </c>
      <c r="L110" s="5">
        <v>16</v>
      </c>
      <c r="M110" s="5">
        <v>3</v>
      </c>
      <c r="N110" s="5" t="s">
        <v>3</v>
      </c>
      <c r="O110" s="5">
        <v>2</v>
      </c>
      <c r="P110" s="5">
        <f>ROUND(Source!EK93,O110)</f>
        <v>0</v>
      </c>
      <c r="Q110" s="5"/>
      <c r="R110" s="5"/>
      <c r="S110" s="5"/>
      <c r="T110" s="5"/>
      <c r="U110" s="5"/>
      <c r="V110" s="5"/>
      <c r="W110" s="5">
        <v>0</v>
      </c>
      <c r="X110" s="5">
        <v>1</v>
      </c>
      <c r="Y110" s="5">
        <v>0</v>
      </c>
      <c r="Z110" s="5">
        <v>0</v>
      </c>
      <c r="AA110" s="5">
        <v>1</v>
      </c>
      <c r="AB110" s="5">
        <v>0</v>
      </c>
    </row>
    <row r="111" spans="1:28" x14ac:dyDescent="0.2">
      <c r="A111" s="5">
        <v>50</v>
      </c>
      <c r="B111" s="5">
        <v>0</v>
      </c>
      <c r="C111" s="5">
        <v>0</v>
      </c>
      <c r="D111" s="5">
        <v>1</v>
      </c>
      <c r="E111" s="5">
        <v>215</v>
      </c>
      <c r="F111" s="5">
        <f>ROUND(Source!AT93,O111)</f>
        <v>11524.73</v>
      </c>
      <c r="G111" s="5" t="s">
        <v>180</v>
      </c>
      <c r="H111" s="5" t="s">
        <v>181</v>
      </c>
      <c r="I111" s="5"/>
      <c r="J111" s="5"/>
      <c r="K111" s="5">
        <v>215</v>
      </c>
      <c r="L111" s="5">
        <v>17</v>
      </c>
      <c r="M111" s="5">
        <v>3</v>
      </c>
      <c r="N111" s="5" t="s">
        <v>3</v>
      </c>
      <c r="O111" s="5">
        <v>2</v>
      </c>
      <c r="P111" s="5">
        <f>ROUND(Source!EL93,O111)</f>
        <v>618938.71</v>
      </c>
      <c r="Q111" s="5"/>
      <c r="R111" s="5"/>
      <c r="S111" s="5"/>
      <c r="T111" s="5"/>
      <c r="U111" s="5"/>
      <c r="V111" s="5"/>
      <c r="W111" s="5">
        <v>11524.73</v>
      </c>
      <c r="X111" s="5">
        <v>1</v>
      </c>
      <c r="Y111" s="5">
        <v>11524.73</v>
      </c>
      <c r="Z111" s="5">
        <v>618938.71</v>
      </c>
      <c r="AA111" s="5">
        <v>1</v>
      </c>
      <c r="AB111" s="5">
        <v>618938.71</v>
      </c>
    </row>
    <row r="112" spans="1:28" x14ac:dyDescent="0.2">
      <c r="A112" s="5">
        <v>50</v>
      </c>
      <c r="B112" s="5">
        <v>0</v>
      </c>
      <c r="C112" s="5">
        <v>0</v>
      </c>
      <c r="D112" s="5">
        <v>1</v>
      </c>
      <c r="E112" s="5">
        <v>217</v>
      </c>
      <c r="F112" s="5">
        <f>ROUND(Source!AU93,O112)</f>
        <v>0</v>
      </c>
      <c r="G112" s="5" t="s">
        <v>182</v>
      </c>
      <c r="H112" s="5" t="s">
        <v>183</v>
      </c>
      <c r="I112" s="5"/>
      <c r="J112" s="5"/>
      <c r="K112" s="5">
        <v>217</v>
      </c>
      <c r="L112" s="5">
        <v>18</v>
      </c>
      <c r="M112" s="5">
        <v>3</v>
      </c>
      <c r="N112" s="5" t="s">
        <v>3</v>
      </c>
      <c r="O112" s="5">
        <v>2</v>
      </c>
      <c r="P112" s="5">
        <f>ROUND(Source!EM93,O112)</f>
        <v>0</v>
      </c>
      <c r="Q112" s="5"/>
      <c r="R112" s="5"/>
      <c r="S112" s="5"/>
      <c r="T112" s="5"/>
      <c r="U112" s="5"/>
      <c r="V112" s="5"/>
      <c r="W112" s="5">
        <v>0</v>
      </c>
      <c r="X112" s="5">
        <v>1</v>
      </c>
      <c r="Y112" s="5">
        <v>0</v>
      </c>
      <c r="Z112" s="5">
        <v>0</v>
      </c>
      <c r="AA112" s="5">
        <v>1</v>
      </c>
      <c r="AB112" s="5">
        <v>0</v>
      </c>
    </row>
    <row r="113" spans="1:255" x14ac:dyDescent="0.2">
      <c r="A113" s="5">
        <v>50</v>
      </c>
      <c r="B113" s="5">
        <v>0</v>
      </c>
      <c r="C113" s="5">
        <v>0</v>
      </c>
      <c r="D113" s="5">
        <v>1</v>
      </c>
      <c r="E113" s="5">
        <v>230</v>
      </c>
      <c r="F113" s="5">
        <f>ROUND(Source!BA93,O113)</f>
        <v>0</v>
      </c>
      <c r="G113" s="5" t="s">
        <v>184</v>
      </c>
      <c r="H113" s="5" t="s">
        <v>185</v>
      </c>
      <c r="I113" s="5"/>
      <c r="J113" s="5"/>
      <c r="K113" s="5">
        <v>230</v>
      </c>
      <c r="L113" s="5">
        <v>19</v>
      </c>
      <c r="M113" s="5">
        <v>3</v>
      </c>
      <c r="N113" s="5" t="s">
        <v>3</v>
      </c>
      <c r="O113" s="5">
        <v>2</v>
      </c>
      <c r="P113" s="5">
        <f>ROUND(Source!ES93,O113)</f>
        <v>0</v>
      </c>
      <c r="Q113" s="5"/>
      <c r="R113" s="5"/>
      <c r="S113" s="5"/>
      <c r="T113" s="5"/>
      <c r="U113" s="5"/>
      <c r="V113" s="5"/>
      <c r="W113" s="5">
        <v>0</v>
      </c>
      <c r="X113" s="5">
        <v>1</v>
      </c>
      <c r="Y113" s="5">
        <v>0</v>
      </c>
      <c r="Z113" s="5">
        <v>0</v>
      </c>
      <c r="AA113" s="5">
        <v>1</v>
      </c>
      <c r="AB113" s="5">
        <v>0</v>
      </c>
    </row>
    <row r="114" spans="1:255" x14ac:dyDescent="0.2">
      <c r="A114" s="5">
        <v>50</v>
      </c>
      <c r="B114" s="5">
        <v>0</v>
      </c>
      <c r="C114" s="5">
        <v>0</v>
      </c>
      <c r="D114" s="5">
        <v>1</v>
      </c>
      <c r="E114" s="5">
        <v>206</v>
      </c>
      <c r="F114" s="5">
        <f>ROUND(Source!T93,O114)</f>
        <v>0</v>
      </c>
      <c r="G114" s="5" t="s">
        <v>186</v>
      </c>
      <c r="H114" s="5" t="s">
        <v>187</v>
      </c>
      <c r="I114" s="5"/>
      <c r="J114" s="5"/>
      <c r="K114" s="5">
        <v>206</v>
      </c>
      <c r="L114" s="5">
        <v>20</v>
      </c>
      <c r="M114" s="5">
        <v>3</v>
      </c>
      <c r="N114" s="5" t="s">
        <v>3</v>
      </c>
      <c r="O114" s="5">
        <v>2</v>
      </c>
      <c r="P114" s="5">
        <f>ROUND(Source!DL93,O114)</f>
        <v>0</v>
      </c>
      <c r="Q114" s="5"/>
      <c r="R114" s="5"/>
      <c r="S114" s="5"/>
      <c r="T114" s="5"/>
      <c r="U114" s="5"/>
      <c r="V114" s="5"/>
      <c r="W114" s="5">
        <v>0</v>
      </c>
      <c r="X114" s="5">
        <v>1</v>
      </c>
      <c r="Y114" s="5">
        <v>0</v>
      </c>
      <c r="Z114" s="5">
        <v>0</v>
      </c>
      <c r="AA114" s="5">
        <v>1</v>
      </c>
      <c r="AB114" s="5">
        <v>0</v>
      </c>
    </row>
    <row r="115" spans="1:255" x14ac:dyDescent="0.2">
      <c r="A115" s="5">
        <v>50</v>
      </c>
      <c r="B115" s="5">
        <v>0</v>
      </c>
      <c r="C115" s="5">
        <v>0</v>
      </c>
      <c r="D115" s="5">
        <v>1</v>
      </c>
      <c r="E115" s="5">
        <v>207</v>
      </c>
      <c r="F115" s="5">
        <f>Source!U93</f>
        <v>366.82416639000002</v>
      </c>
      <c r="G115" s="5" t="s">
        <v>188</v>
      </c>
      <c r="H115" s="5" t="s">
        <v>189</v>
      </c>
      <c r="I115" s="5"/>
      <c r="J115" s="5"/>
      <c r="K115" s="5">
        <v>207</v>
      </c>
      <c r="L115" s="5">
        <v>21</v>
      </c>
      <c r="M115" s="5">
        <v>3</v>
      </c>
      <c r="N115" s="5" t="s">
        <v>3</v>
      </c>
      <c r="O115" s="5">
        <v>-1</v>
      </c>
      <c r="P115" s="5">
        <f>Source!DM93</f>
        <v>366.82416639000002</v>
      </c>
      <c r="Q115" s="5"/>
      <c r="R115" s="5"/>
      <c r="S115" s="5"/>
      <c r="T115" s="5"/>
      <c r="U115" s="5"/>
      <c r="V115" s="5"/>
      <c r="W115" s="5">
        <v>366.82416638999996</v>
      </c>
      <c r="X115" s="5">
        <v>1</v>
      </c>
      <c r="Y115" s="5">
        <v>366.82416638999996</v>
      </c>
      <c r="Z115" s="5">
        <v>366.82416638999996</v>
      </c>
      <c r="AA115" s="5">
        <v>1</v>
      </c>
      <c r="AB115" s="5">
        <v>366.82416638999996</v>
      </c>
    </row>
    <row r="116" spans="1:255" x14ac:dyDescent="0.2">
      <c r="A116" s="5">
        <v>50</v>
      </c>
      <c r="B116" s="5">
        <v>0</v>
      </c>
      <c r="C116" s="5">
        <v>0</v>
      </c>
      <c r="D116" s="5">
        <v>1</v>
      </c>
      <c r="E116" s="5">
        <v>208</v>
      </c>
      <c r="F116" s="5">
        <f>Source!V93</f>
        <v>0</v>
      </c>
      <c r="G116" s="5" t="s">
        <v>190</v>
      </c>
      <c r="H116" s="5" t="s">
        <v>191</v>
      </c>
      <c r="I116" s="5"/>
      <c r="J116" s="5"/>
      <c r="K116" s="5">
        <v>208</v>
      </c>
      <c r="L116" s="5">
        <v>22</v>
      </c>
      <c r="M116" s="5">
        <v>3</v>
      </c>
      <c r="N116" s="5" t="s">
        <v>3</v>
      </c>
      <c r="O116" s="5">
        <v>-1</v>
      </c>
      <c r="P116" s="5">
        <f>Source!DN93</f>
        <v>0</v>
      </c>
      <c r="Q116" s="5"/>
      <c r="R116" s="5"/>
      <c r="S116" s="5"/>
      <c r="T116" s="5"/>
      <c r="U116" s="5"/>
      <c r="V116" s="5"/>
      <c r="W116" s="5">
        <v>0</v>
      </c>
      <c r="X116" s="5">
        <v>1</v>
      </c>
      <c r="Y116" s="5">
        <v>0</v>
      </c>
      <c r="Z116" s="5">
        <v>0</v>
      </c>
      <c r="AA116" s="5">
        <v>1</v>
      </c>
      <c r="AB116" s="5">
        <v>0</v>
      </c>
    </row>
    <row r="117" spans="1:255" x14ac:dyDescent="0.2">
      <c r="A117" s="5">
        <v>50</v>
      </c>
      <c r="B117" s="5">
        <v>0</v>
      </c>
      <c r="C117" s="5">
        <v>0</v>
      </c>
      <c r="D117" s="5">
        <v>1</v>
      </c>
      <c r="E117" s="5">
        <v>209</v>
      </c>
      <c r="F117" s="5">
        <f>ROUND(Source!W93,O117)</f>
        <v>0</v>
      </c>
      <c r="G117" s="5" t="s">
        <v>192</v>
      </c>
      <c r="H117" s="5" t="s">
        <v>193</v>
      </c>
      <c r="I117" s="5"/>
      <c r="J117" s="5"/>
      <c r="K117" s="5">
        <v>209</v>
      </c>
      <c r="L117" s="5">
        <v>23</v>
      </c>
      <c r="M117" s="5">
        <v>3</v>
      </c>
      <c r="N117" s="5" t="s">
        <v>3</v>
      </c>
      <c r="O117" s="5">
        <v>2</v>
      </c>
      <c r="P117" s="5">
        <f>ROUND(Source!DO93,O117)</f>
        <v>0</v>
      </c>
      <c r="Q117" s="5"/>
      <c r="R117" s="5"/>
      <c r="S117" s="5"/>
      <c r="T117" s="5"/>
      <c r="U117" s="5"/>
      <c r="V117" s="5"/>
      <c r="W117" s="5">
        <v>0</v>
      </c>
      <c r="X117" s="5">
        <v>1</v>
      </c>
      <c r="Y117" s="5">
        <v>0</v>
      </c>
      <c r="Z117" s="5">
        <v>0</v>
      </c>
      <c r="AA117" s="5">
        <v>1</v>
      </c>
      <c r="AB117" s="5">
        <v>0</v>
      </c>
    </row>
    <row r="118" spans="1:255" x14ac:dyDescent="0.2">
      <c r="A118" s="5">
        <v>50</v>
      </c>
      <c r="B118" s="5">
        <v>0</v>
      </c>
      <c r="C118" s="5">
        <v>0</v>
      </c>
      <c r="D118" s="5">
        <v>1</v>
      </c>
      <c r="E118" s="5">
        <v>233</v>
      </c>
      <c r="F118" s="5">
        <f>ROUND(Source!BD93,O118)</f>
        <v>0</v>
      </c>
      <c r="G118" s="5" t="s">
        <v>194</v>
      </c>
      <c r="H118" s="5" t="s">
        <v>195</v>
      </c>
      <c r="I118" s="5"/>
      <c r="J118" s="5"/>
      <c r="K118" s="5">
        <v>233</v>
      </c>
      <c r="L118" s="5">
        <v>24</v>
      </c>
      <c r="M118" s="5">
        <v>3</v>
      </c>
      <c r="N118" s="5" t="s">
        <v>3</v>
      </c>
      <c r="O118" s="5">
        <v>2</v>
      </c>
      <c r="P118" s="5">
        <f>ROUND(Source!EV93,O118)</f>
        <v>0</v>
      </c>
      <c r="Q118" s="5"/>
      <c r="R118" s="5"/>
      <c r="S118" s="5"/>
      <c r="T118" s="5"/>
      <c r="U118" s="5"/>
      <c r="V118" s="5"/>
      <c r="W118" s="5">
        <v>0</v>
      </c>
      <c r="X118" s="5">
        <v>1</v>
      </c>
      <c r="Y118" s="5">
        <v>0</v>
      </c>
      <c r="Z118" s="5">
        <v>0</v>
      </c>
      <c r="AA118" s="5">
        <v>1</v>
      </c>
      <c r="AB118" s="5">
        <v>0</v>
      </c>
    </row>
    <row r="119" spans="1:255" x14ac:dyDescent="0.2">
      <c r="A119" s="5">
        <v>50</v>
      </c>
      <c r="B119" s="5">
        <v>0</v>
      </c>
      <c r="C119" s="5">
        <v>0</v>
      </c>
      <c r="D119" s="5">
        <v>1</v>
      </c>
      <c r="E119" s="5">
        <v>210</v>
      </c>
      <c r="F119" s="5">
        <f>ROUND(Source!X93,O119)</f>
        <v>4270.62</v>
      </c>
      <c r="G119" s="5" t="s">
        <v>196</v>
      </c>
      <c r="H119" s="5" t="s">
        <v>197</v>
      </c>
      <c r="I119" s="5"/>
      <c r="J119" s="5"/>
      <c r="K119" s="5">
        <v>210</v>
      </c>
      <c r="L119" s="5">
        <v>25</v>
      </c>
      <c r="M119" s="5">
        <v>3</v>
      </c>
      <c r="N119" s="5" t="s">
        <v>3</v>
      </c>
      <c r="O119" s="5">
        <v>2</v>
      </c>
      <c r="P119" s="5">
        <f>ROUND(Source!DP93,O119)</f>
        <v>234841.5</v>
      </c>
      <c r="Q119" s="5"/>
      <c r="R119" s="5"/>
      <c r="S119" s="5"/>
      <c r="T119" s="5"/>
      <c r="U119" s="5"/>
      <c r="V119" s="5"/>
      <c r="W119" s="5">
        <v>4270.62</v>
      </c>
      <c r="X119" s="5">
        <v>1</v>
      </c>
      <c r="Y119" s="5">
        <v>4270.62</v>
      </c>
      <c r="Z119" s="5">
        <v>234841.5</v>
      </c>
      <c r="AA119" s="5">
        <v>1</v>
      </c>
      <c r="AB119" s="5">
        <v>234841.5</v>
      </c>
    </row>
    <row r="120" spans="1:255" x14ac:dyDescent="0.2">
      <c r="A120" s="5">
        <v>50</v>
      </c>
      <c r="B120" s="5">
        <v>0</v>
      </c>
      <c r="C120" s="5">
        <v>0</v>
      </c>
      <c r="D120" s="5">
        <v>1</v>
      </c>
      <c r="E120" s="5">
        <v>211</v>
      </c>
      <c r="F120" s="5">
        <f>ROUND(Source!Y93,O120)</f>
        <v>2192.9499999999998</v>
      </c>
      <c r="G120" s="5" t="s">
        <v>198</v>
      </c>
      <c r="H120" s="5" t="s">
        <v>199</v>
      </c>
      <c r="I120" s="5"/>
      <c r="J120" s="5"/>
      <c r="K120" s="5">
        <v>211</v>
      </c>
      <c r="L120" s="5">
        <v>26</v>
      </c>
      <c r="M120" s="5">
        <v>3</v>
      </c>
      <c r="N120" s="5" t="s">
        <v>3</v>
      </c>
      <c r="O120" s="5">
        <v>2</v>
      </c>
      <c r="P120" s="5">
        <f>ROUND(Source!DQ93,O120)</f>
        <v>120589.95</v>
      </c>
      <c r="Q120" s="5"/>
      <c r="R120" s="5"/>
      <c r="S120" s="5"/>
      <c r="T120" s="5"/>
      <c r="U120" s="5"/>
      <c r="V120" s="5"/>
      <c r="W120" s="5">
        <v>2192.9499999999998</v>
      </c>
      <c r="X120" s="5">
        <v>1</v>
      </c>
      <c r="Y120" s="5">
        <v>2192.9499999999998</v>
      </c>
      <c r="Z120" s="5">
        <v>120589.95</v>
      </c>
      <c r="AA120" s="5">
        <v>1</v>
      </c>
      <c r="AB120" s="5">
        <v>120589.95</v>
      </c>
    </row>
    <row r="121" spans="1:255" x14ac:dyDescent="0.2">
      <c r="A121" s="5">
        <v>50</v>
      </c>
      <c r="B121" s="5">
        <v>0</v>
      </c>
      <c r="C121" s="5">
        <v>0</v>
      </c>
      <c r="D121" s="5">
        <v>1</v>
      </c>
      <c r="E121" s="5">
        <v>224</v>
      </c>
      <c r="F121" s="5">
        <f>ROUND(Source!AR93,O121)</f>
        <v>78273.240000000005</v>
      </c>
      <c r="G121" s="5" t="s">
        <v>200</v>
      </c>
      <c r="H121" s="5" t="s">
        <v>201</v>
      </c>
      <c r="I121" s="5"/>
      <c r="J121" s="5"/>
      <c r="K121" s="5">
        <v>224</v>
      </c>
      <c r="L121" s="5">
        <v>27</v>
      </c>
      <c r="M121" s="5">
        <v>3</v>
      </c>
      <c r="N121" s="5" t="s">
        <v>3</v>
      </c>
      <c r="O121" s="5">
        <v>2</v>
      </c>
      <c r="P121" s="5">
        <f>ROUND(Source!EJ93,O121)</f>
        <v>1130232.3200000001</v>
      </c>
      <c r="Q121" s="5"/>
      <c r="R121" s="5"/>
      <c r="S121" s="5"/>
      <c r="T121" s="5"/>
      <c r="U121" s="5"/>
      <c r="V121" s="5"/>
      <c r="W121" s="5">
        <v>78273.240000000005</v>
      </c>
      <c r="X121" s="5">
        <v>1</v>
      </c>
      <c r="Y121" s="5">
        <v>78273.240000000005</v>
      </c>
      <c r="Z121" s="5">
        <v>1130232.3200000001</v>
      </c>
      <c r="AA121" s="5">
        <v>1</v>
      </c>
      <c r="AB121" s="5">
        <v>1130232.3200000001</v>
      </c>
    </row>
    <row r="123" spans="1:255" x14ac:dyDescent="0.2">
      <c r="A123" s="1">
        <v>4</v>
      </c>
      <c r="B123" s="1">
        <v>1</v>
      </c>
      <c r="C123" s="1"/>
      <c r="D123" s="1">
        <f>ROW(A152)</f>
        <v>152</v>
      </c>
      <c r="E123" s="1"/>
      <c r="F123" s="1" t="s">
        <v>3</v>
      </c>
      <c r="G123" s="1" t="s">
        <v>202</v>
      </c>
      <c r="H123" s="1" t="s">
        <v>3</v>
      </c>
      <c r="I123" s="1">
        <v>0</v>
      </c>
      <c r="J123" s="1"/>
      <c r="K123" s="1">
        <v>-1</v>
      </c>
      <c r="L123" s="1"/>
      <c r="M123" s="1" t="s">
        <v>3</v>
      </c>
      <c r="N123" s="1"/>
      <c r="O123" s="1"/>
      <c r="P123" s="1"/>
      <c r="Q123" s="1"/>
      <c r="R123" s="1"/>
      <c r="S123" s="1">
        <v>0</v>
      </c>
      <c r="T123" s="1">
        <v>0</v>
      </c>
      <c r="U123" s="1" t="s">
        <v>3</v>
      </c>
      <c r="V123" s="1">
        <v>2</v>
      </c>
      <c r="W123" s="1"/>
      <c r="X123" s="1"/>
      <c r="Y123" s="1"/>
      <c r="Z123" s="1"/>
      <c r="AA123" s="1"/>
      <c r="AB123" s="1" t="s">
        <v>3</v>
      </c>
      <c r="AC123" s="1" t="s">
        <v>3</v>
      </c>
      <c r="AD123" s="1" t="s">
        <v>3</v>
      </c>
      <c r="AE123" s="1" t="s">
        <v>3</v>
      </c>
      <c r="AF123" s="1" t="s">
        <v>3</v>
      </c>
      <c r="AG123" s="1" t="s">
        <v>3</v>
      </c>
      <c r="AH123" s="1"/>
      <c r="AI123" s="1"/>
      <c r="AJ123" s="1"/>
      <c r="AK123" s="1"/>
      <c r="AL123" s="1"/>
      <c r="AM123" s="1"/>
      <c r="AN123" s="1"/>
      <c r="AO123" s="1"/>
      <c r="AP123" s="1" t="s">
        <v>3</v>
      </c>
      <c r="AQ123" s="1" t="s">
        <v>3</v>
      </c>
      <c r="AR123" s="1" t="s">
        <v>3</v>
      </c>
      <c r="AS123" s="1"/>
      <c r="AT123" s="1"/>
      <c r="AU123" s="1"/>
      <c r="AV123" s="1"/>
      <c r="AW123" s="1"/>
      <c r="AX123" s="1"/>
      <c r="AY123" s="1"/>
      <c r="AZ123" s="1" t="s">
        <v>3</v>
      </c>
      <c r="BA123" s="1"/>
      <c r="BB123" s="1" t="s">
        <v>3</v>
      </c>
      <c r="BC123" s="1" t="s">
        <v>3</v>
      </c>
      <c r="BD123" s="1" t="s">
        <v>3</v>
      </c>
      <c r="BE123" s="1" t="s">
        <v>3</v>
      </c>
      <c r="BF123" s="1" t="s">
        <v>3</v>
      </c>
      <c r="BG123" s="1" t="s">
        <v>3</v>
      </c>
      <c r="BH123" s="1" t="s">
        <v>3</v>
      </c>
      <c r="BI123" s="1" t="s">
        <v>3</v>
      </c>
      <c r="BJ123" s="1" t="s">
        <v>3</v>
      </c>
      <c r="BK123" s="1" t="s">
        <v>3</v>
      </c>
      <c r="BL123" s="1" t="s">
        <v>3</v>
      </c>
      <c r="BM123" s="1" t="s">
        <v>3</v>
      </c>
      <c r="BN123" s="1" t="s">
        <v>3</v>
      </c>
      <c r="BO123" s="1" t="s">
        <v>3</v>
      </c>
      <c r="BP123" s="1" t="s">
        <v>3</v>
      </c>
      <c r="BQ123" s="1"/>
      <c r="BR123" s="1"/>
      <c r="BS123" s="1"/>
      <c r="BT123" s="1"/>
      <c r="BU123" s="1"/>
      <c r="BV123" s="1"/>
      <c r="BW123" s="1"/>
      <c r="BX123" s="1">
        <v>0</v>
      </c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>
        <v>0</v>
      </c>
    </row>
    <row r="125" spans="1:255" x14ac:dyDescent="0.2">
      <c r="A125" s="3">
        <v>52</v>
      </c>
      <c r="B125" s="3">
        <f t="shared" ref="B125:G125" si="75">B152</f>
        <v>1</v>
      </c>
      <c r="C125" s="3">
        <f t="shared" si="75"/>
        <v>4</v>
      </c>
      <c r="D125" s="3">
        <f t="shared" si="75"/>
        <v>123</v>
      </c>
      <c r="E125" s="3">
        <f t="shared" si="75"/>
        <v>0</v>
      </c>
      <c r="F125" s="3" t="str">
        <f t="shared" si="75"/>
        <v/>
      </c>
      <c r="G125" s="3" t="str">
        <f t="shared" si="75"/>
        <v>Кабельные изделия СОТС</v>
      </c>
      <c r="H125" s="3"/>
      <c r="I125" s="3"/>
      <c r="J125" s="3"/>
      <c r="K125" s="3"/>
      <c r="L125" s="3"/>
      <c r="M125" s="3"/>
      <c r="N125" s="3"/>
      <c r="O125" s="3">
        <f t="shared" ref="O125:AT125" si="76">O152</f>
        <v>44837.599999999999</v>
      </c>
      <c r="P125" s="3">
        <f t="shared" si="76"/>
        <v>34761.22</v>
      </c>
      <c r="Q125" s="3">
        <f t="shared" si="76"/>
        <v>1531.11</v>
      </c>
      <c r="R125" s="3">
        <f t="shared" si="76"/>
        <v>330.01</v>
      </c>
      <c r="S125" s="3">
        <f t="shared" si="76"/>
        <v>8545.27</v>
      </c>
      <c r="T125" s="3">
        <f t="shared" si="76"/>
        <v>0</v>
      </c>
      <c r="U125" s="3">
        <f t="shared" si="76"/>
        <v>671.27986200000009</v>
      </c>
      <c r="V125" s="3">
        <f t="shared" si="76"/>
        <v>0</v>
      </c>
      <c r="W125" s="3">
        <f t="shared" si="76"/>
        <v>0</v>
      </c>
      <c r="X125" s="3">
        <f t="shared" si="76"/>
        <v>8609.02</v>
      </c>
      <c r="Y125" s="3">
        <f t="shared" si="76"/>
        <v>4526.3999999999996</v>
      </c>
      <c r="Z125" s="3">
        <f t="shared" si="76"/>
        <v>0</v>
      </c>
      <c r="AA125" s="3">
        <f t="shared" si="76"/>
        <v>0</v>
      </c>
      <c r="AB125" s="3">
        <f t="shared" si="76"/>
        <v>44837.599999999999</v>
      </c>
      <c r="AC125" s="3">
        <f t="shared" si="76"/>
        <v>34761.22</v>
      </c>
      <c r="AD125" s="3">
        <f t="shared" si="76"/>
        <v>1531.11</v>
      </c>
      <c r="AE125" s="3">
        <f t="shared" si="76"/>
        <v>330.01</v>
      </c>
      <c r="AF125" s="3">
        <f t="shared" si="76"/>
        <v>8545.27</v>
      </c>
      <c r="AG125" s="3">
        <f t="shared" si="76"/>
        <v>0</v>
      </c>
      <c r="AH125" s="3">
        <f t="shared" si="76"/>
        <v>671.27986200000009</v>
      </c>
      <c r="AI125" s="3">
        <f t="shared" si="76"/>
        <v>0</v>
      </c>
      <c r="AJ125" s="3">
        <f t="shared" si="76"/>
        <v>0</v>
      </c>
      <c r="AK125" s="3">
        <f t="shared" si="76"/>
        <v>8609.02</v>
      </c>
      <c r="AL125" s="3">
        <f t="shared" si="76"/>
        <v>4526.3999999999996</v>
      </c>
      <c r="AM125" s="3">
        <f t="shared" si="76"/>
        <v>0</v>
      </c>
      <c r="AN125" s="3">
        <f t="shared" si="76"/>
        <v>0</v>
      </c>
      <c r="AO125" s="3">
        <f t="shared" si="76"/>
        <v>0</v>
      </c>
      <c r="AP125" s="3">
        <f t="shared" si="76"/>
        <v>31.58</v>
      </c>
      <c r="AQ125" s="3">
        <f t="shared" si="76"/>
        <v>0</v>
      </c>
      <c r="AR125" s="3">
        <f t="shared" si="76"/>
        <v>57973.02</v>
      </c>
      <c r="AS125" s="3">
        <f t="shared" si="76"/>
        <v>0</v>
      </c>
      <c r="AT125" s="3">
        <f t="shared" si="76"/>
        <v>57941.440000000002</v>
      </c>
      <c r="AU125" s="3">
        <f t="shared" ref="AU125:BZ125" si="77">AU152</f>
        <v>0</v>
      </c>
      <c r="AV125" s="3">
        <f t="shared" si="77"/>
        <v>34761.22</v>
      </c>
      <c r="AW125" s="3">
        <f t="shared" si="77"/>
        <v>34729.64</v>
      </c>
      <c r="AX125" s="3">
        <f t="shared" si="77"/>
        <v>0</v>
      </c>
      <c r="AY125" s="3">
        <f t="shared" si="77"/>
        <v>34729.64</v>
      </c>
      <c r="AZ125" s="3">
        <f t="shared" si="77"/>
        <v>31.58</v>
      </c>
      <c r="BA125" s="3">
        <f t="shared" si="77"/>
        <v>0</v>
      </c>
      <c r="BB125" s="3">
        <f t="shared" si="77"/>
        <v>0</v>
      </c>
      <c r="BC125" s="3">
        <f t="shared" si="77"/>
        <v>0</v>
      </c>
      <c r="BD125" s="3">
        <f t="shared" si="77"/>
        <v>0</v>
      </c>
      <c r="BE125" s="3">
        <f t="shared" si="77"/>
        <v>0</v>
      </c>
      <c r="BF125" s="3">
        <f t="shared" si="77"/>
        <v>0</v>
      </c>
      <c r="BG125" s="3">
        <f t="shared" si="77"/>
        <v>0</v>
      </c>
      <c r="BH125" s="3">
        <f t="shared" si="77"/>
        <v>0</v>
      </c>
      <c r="BI125" s="3">
        <f t="shared" si="77"/>
        <v>0</v>
      </c>
      <c r="BJ125" s="3">
        <f t="shared" si="77"/>
        <v>0</v>
      </c>
      <c r="BK125" s="3">
        <f t="shared" si="77"/>
        <v>0</v>
      </c>
      <c r="BL125" s="3">
        <f t="shared" si="77"/>
        <v>0</v>
      </c>
      <c r="BM125" s="3">
        <f t="shared" si="77"/>
        <v>0</v>
      </c>
      <c r="BN125" s="3">
        <f t="shared" si="77"/>
        <v>0</v>
      </c>
      <c r="BO125" s="3">
        <f t="shared" si="77"/>
        <v>0</v>
      </c>
      <c r="BP125" s="3">
        <f t="shared" si="77"/>
        <v>0</v>
      </c>
      <c r="BQ125" s="3">
        <f t="shared" si="77"/>
        <v>0</v>
      </c>
      <c r="BR125" s="3">
        <f t="shared" si="77"/>
        <v>0</v>
      </c>
      <c r="BS125" s="3">
        <f t="shared" si="77"/>
        <v>0</v>
      </c>
      <c r="BT125" s="3">
        <f t="shared" si="77"/>
        <v>0</v>
      </c>
      <c r="BU125" s="3">
        <f t="shared" si="77"/>
        <v>0</v>
      </c>
      <c r="BV125" s="3">
        <f t="shared" si="77"/>
        <v>0</v>
      </c>
      <c r="BW125" s="3">
        <f t="shared" si="77"/>
        <v>0</v>
      </c>
      <c r="BX125" s="3">
        <f t="shared" si="77"/>
        <v>0</v>
      </c>
      <c r="BY125" s="3">
        <f t="shared" si="77"/>
        <v>31.58</v>
      </c>
      <c r="BZ125" s="3">
        <f t="shared" si="77"/>
        <v>0</v>
      </c>
      <c r="CA125" s="3">
        <f t="shared" ref="CA125:DF125" si="78">CA152</f>
        <v>57973.02</v>
      </c>
      <c r="CB125" s="3">
        <f t="shared" si="78"/>
        <v>0</v>
      </c>
      <c r="CC125" s="3">
        <f t="shared" si="78"/>
        <v>57941.440000000002</v>
      </c>
      <c r="CD125" s="3">
        <f t="shared" si="78"/>
        <v>0</v>
      </c>
      <c r="CE125" s="3">
        <f t="shared" si="78"/>
        <v>34761.22</v>
      </c>
      <c r="CF125" s="3">
        <f t="shared" si="78"/>
        <v>34729.64</v>
      </c>
      <c r="CG125" s="3">
        <f t="shared" si="78"/>
        <v>0</v>
      </c>
      <c r="CH125" s="3">
        <f t="shared" si="78"/>
        <v>34729.64</v>
      </c>
      <c r="CI125" s="3">
        <f t="shared" si="78"/>
        <v>31.58</v>
      </c>
      <c r="CJ125" s="3">
        <f t="shared" si="78"/>
        <v>0</v>
      </c>
      <c r="CK125" s="3">
        <f t="shared" si="78"/>
        <v>0</v>
      </c>
      <c r="CL125" s="3">
        <f t="shared" si="78"/>
        <v>0</v>
      </c>
      <c r="CM125" s="3">
        <f t="shared" si="78"/>
        <v>0</v>
      </c>
      <c r="CN125" s="3">
        <f t="shared" si="78"/>
        <v>0</v>
      </c>
      <c r="CO125" s="3">
        <f t="shared" si="78"/>
        <v>0</v>
      </c>
      <c r="CP125" s="3">
        <f t="shared" si="78"/>
        <v>0</v>
      </c>
      <c r="CQ125" s="3">
        <f t="shared" si="78"/>
        <v>0</v>
      </c>
      <c r="CR125" s="3">
        <f t="shared" si="78"/>
        <v>0</v>
      </c>
      <c r="CS125" s="3">
        <f t="shared" si="78"/>
        <v>0</v>
      </c>
      <c r="CT125" s="3">
        <f t="shared" si="78"/>
        <v>0</v>
      </c>
      <c r="CU125" s="3">
        <f t="shared" si="78"/>
        <v>0</v>
      </c>
      <c r="CV125" s="3">
        <f t="shared" si="78"/>
        <v>0</v>
      </c>
      <c r="CW125" s="3">
        <f t="shared" si="78"/>
        <v>0</v>
      </c>
      <c r="CX125" s="3">
        <f t="shared" si="78"/>
        <v>0</v>
      </c>
      <c r="CY125" s="3">
        <f t="shared" si="78"/>
        <v>0</v>
      </c>
      <c r="CZ125" s="3">
        <f t="shared" si="78"/>
        <v>0</v>
      </c>
      <c r="DA125" s="3">
        <f t="shared" si="78"/>
        <v>0</v>
      </c>
      <c r="DB125" s="3">
        <f t="shared" si="78"/>
        <v>0</v>
      </c>
      <c r="DC125" s="3">
        <f t="shared" si="78"/>
        <v>0</v>
      </c>
      <c r="DD125" s="3">
        <f t="shared" si="78"/>
        <v>0</v>
      </c>
      <c r="DE125" s="3">
        <f t="shared" si="78"/>
        <v>0</v>
      </c>
      <c r="DF125" s="3">
        <f t="shared" si="78"/>
        <v>0</v>
      </c>
      <c r="DG125" s="4">
        <f t="shared" ref="DG125:EL125" si="79">DG152</f>
        <v>773879.41</v>
      </c>
      <c r="DH125" s="4">
        <f t="shared" si="79"/>
        <v>273647.46000000002</v>
      </c>
      <c r="DI125" s="4">
        <f t="shared" si="79"/>
        <v>30327.55</v>
      </c>
      <c r="DJ125" s="4">
        <f t="shared" si="79"/>
        <v>18147.25</v>
      </c>
      <c r="DK125" s="4">
        <f t="shared" si="79"/>
        <v>469904.4</v>
      </c>
      <c r="DL125" s="4">
        <f t="shared" si="79"/>
        <v>0</v>
      </c>
      <c r="DM125" s="4">
        <f t="shared" si="79"/>
        <v>671.27986200000009</v>
      </c>
      <c r="DN125" s="4">
        <f t="shared" si="79"/>
        <v>0</v>
      </c>
      <c r="DO125" s="4">
        <f t="shared" si="79"/>
        <v>0</v>
      </c>
      <c r="DP125" s="4">
        <f t="shared" si="79"/>
        <v>473410.1</v>
      </c>
      <c r="DQ125" s="4">
        <f t="shared" si="79"/>
        <v>248906.35</v>
      </c>
      <c r="DR125" s="4">
        <f t="shared" si="79"/>
        <v>0</v>
      </c>
      <c r="DS125" s="4">
        <f t="shared" si="79"/>
        <v>0</v>
      </c>
      <c r="DT125" s="4">
        <f t="shared" si="79"/>
        <v>773879.41</v>
      </c>
      <c r="DU125" s="4">
        <f t="shared" si="79"/>
        <v>273647.46000000002</v>
      </c>
      <c r="DV125" s="4">
        <f t="shared" si="79"/>
        <v>30327.55</v>
      </c>
      <c r="DW125" s="4">
        <f t="shared" si="79"/>
        <v>18147.25</v>
      </c>
      <c r="DX125" s="4">
        <f t="shared" si="79"/>
        <v>469904.4</v>
      </c>
      <c r="DY125" s="4">
        <f t="shared" si="79"/>
        <v>0</v>
      </c>
      <c r="DZ125" s="4">
        <f t="shared" si="79"/>
        <v>671.27986200000009</v>
      </c>
      <c r="EA125" s="4">
        <f t="shared" si="79"/>
        <v>0</v>
      </c>
      <c r="EB125" s="4">
        <f t="shared" si="79"/>
        <v>0</v>
      </c>
      <c r="EC125" s="4">
        <f t="shared" si="79"/>
        <v>473410.1</v>
      </c>
      <c r="ED125" s="4">
        <f t="shared" si="79"/>
        <v>248906.35</v>
      </c>
      <c r="EE125" s="4">
        <f t="shared" si="79"/>
        <v>0</v>
      </c>
      <c r="EF125" s="4">
        <f t="shared" si="79"/>
        <v>0</v>
      </c>
      <c r="EG125" s="4">
        <f t="shared" si="79"/>
        <v>0</v>
      </c>
      <c r="EH125" s="4">
        <f t="shared" si="79"/>
        <v>215.69</v>
      </c>
      <c r="EI125" s="4">
        <f t="shared" si="79"/>
        <v>0</v>
      </c>
      <c r="EJ125" s="4">
        <f t="shared" si="79"/>
        <v>1496195.86</v>
      </c>
      <c r="EK125" s="4">
        <f t="shared" si="79"/>
        <v>0</v>
      </c>
      <c r="EL125" s="4">
        <f t="shared" si="79"/>
        <v>1495980.17</v>
      </c>
      <c r="EM125" s="4">
        <f t="shared" ref="EM125:FR125" si="80">EM152</f>
        <v>0</v>
      </c>
      <c r="EN125" s="4">
        <f t="shared" si="80"/>
        <v>273647.46000000002</v>
      </c>
      <c r="EO125" s="4">
        <f t="shared" si="80"/>
        <v>273431.77</v>
      </c>
      <c r="EP125" s="4">
        <f t="shared" si="80"/>
        <v>0</v>
      </c>
      <c r="EQ125" s="4">
        <f t="shared" si="80"/>
        <v>273431.77</v>
      </c>
      <c r="ER125" s="4">
        <f t="shared" si="80"/>
        <v>215.69</v>
      </c>
      <c r="ES125" s="4">
        <f t="shared" si="80"/>
        <v>0</v>
      </c>
      <c r="ET125" s="4">
        <f t="shared" si="80"/>
        <v>0</v>
      </c>
      <c r="EU125" s="4">
        <f t="shared" si="80"/>
        <v>0</v>
      </c>
      <c r="EV125" s="4">
        <f t="shared" si="80"/>
        <v>0</v>
      </c>
      <c r="EW125" s="4">
        <f t="shared" si="80"/>
        <v>0</v>
      </c>
      <c r="EX125" s="4">
        <f t="shared" si="80"/>
        <v>0</v>
      </c>
      <c r="EY125" s="4">
        <f t="shared" si="80"/>
        <v>0</v>
      </c>
      <c r="EZ125" s="4">
        <f t="shared" si="80"/>
        <v>0</v>
      </c>
      <c r="FA125" s="4">
        <f t="shared" si="80"/>
        <v>0</v>
      </c>
      <c r="FB125" s="4">
        <f t="shared" si="80"/>
        <v>0</v>
      </c>
      <c r="FC125" s="4">
        <f t="shared" si="80"/>
        <v>0</v>
      </c>
      <c r="FD125" s="4">
        <f t="shared" si="80"/>
        <v>0</v>
      </c>
      <c r="FE125" s="4">
        <f t="shared" si="80"/>
        <v>0</v>
      </c>
      <c r="FF125" s="4">
        <f t="shared" si="80"/>
        <v>0</v>
      </c>
      <c r="FG125" s="4">
        <f t="shared" si="80"/>
        <v>0</v>
      </c>
      <c r="FH125" s="4">
        <f t="shared" si="80"/>
        <v>0</v>
      </c>
      <c r="FI125" s="4">
        <f t="shared" si="80"/>
        <v>0</v>
      </c>
      <c r="FJ125" s="4">
        <f t="shared" si="80"/>
        <v>0</v>
      </c>
      <c r="FK125" s="4">
        <f t="shared" si="80"/>
        <v>0</v>
      </c>
      <c r="FL125" s="4">
        <f t="shared" si="80"/>
        <v>0</v>
      </c>
      <c r="FM125" s="4">
        <f t="shared" si="80"/>
        <v>0</v>
      </c>
      <c r="FN125" s="4">
        <f t="shared" si="80"/>
        <v>0</v>
      </c>
      <c r="FO125" s="4">
        <f t="shared" si="80"/>
        <v>0</v>
      </c>
      <c r="FP125" s="4">
        <f t="shared" si="80"/>
        <v>0</v>
      </c>
      <c r="FQ125" s="4">
        <f t="shared" si="80"/>
        <v>215.69</v>
      </c>
      <c r="FR125" s="4">
        <f t="shared" si="80"/>
        <v>0</v>
      </c>
      <c r="FS125" s="4">
        <f t="shared" ref="FS125:GX125" si="81">FS152</f>
        <v>1496195.86</v>
      </c>
      <c r="FT125" s="4">
        <f t="shared" si="81"/>
        <v>0</v>
      </c>
      <c r="FU125" s="4">
        <f t="shared" si="81"/>
        <v>1495980.17</v>
      </c>
      <c r="FV125" s="4">
        <f t="shared" si="81"/>
        <v>0</v>
      </c>
      <c r="FW125" s="4">
        <f t="shared" si="81"/>
        <v>273647.46000000002</v>
      </c>
      <c r="FX125" s="4">
        <f t="shared" si="81"/>
        <v>273431.77</v>
      </c>
      <c r="FY125" s="4">
        <f t="shared" si="81"/>
        <v>0</v>
      </c>
      <c r="FZ125" s="4">
        <f t="shared" si="81"/>
        <v>273431.77</v>
      </c>
      <c r="GA125" s="4">
        <f t="shared" si="81"/>
        <v>215.69</v>
      </c>
      <c r="GB125" s="4">
        <f t="shared" si="81"/>
        <v>0</v>
      </c>
      <c r="GC125" s="4">
        <f t="shared" si="81"/>
        <v>0</v>
      </c>
      <c r="GD125" s="4">
        <f t="shared" si="81"/>
        <v>0</v>
      </c>
      <c r="GE125" s="4">
        <f t="shared" si="81"/>
        <v>0</v>
      </c>
      <c r="GF125" s="4">
        <f t="shared" si="81"/>
        <v>0</v>
      </c>
      <c r="GG125" s="4">
        <f t="shared" si="81"/>
        <v>0</v>
      </c>
      <c r="GH125" s="4">
        <f t="shared" si="81"/>
        <v>0</v>
      </c>
      <c r="GI125" s="4">
        <f t="shared" si="81"/>
        <v>0</v>
      </c>
      <c r="GJ125" s="4">
        <f t="shared" si="81"/>
        <v>0</v>
      </c>
      <c r="GK125" s="4">
        <f t="shared" si="81"/>
        <v>0</v>
      </c>
      <c r="GL125" s="4">
        <f t="shared" si="81"/>
        <v>0</v>
      </c>
      <c r="GM125" s="4">
        <f t="shared" si="81"/>
        <v>0</v>
      </c>
      <c r="GN125" s="4">
        <f t="shared" si="81"/>
        <v>0</v>
      </c>
      <c r="GO125" s="4">
        <f t="shared" si="81"/>
        <v>0</v>
      </c>
      <c r="GP125" s="4">
        <f t="shared" si="81"/>
        <v>0</v>
      </c>
      <c r="GQ125" s="4">
        <f t="shared" si="81"/>
        <v>0</v>
      </c>
      <c r="GR125" s="4">
        <f t="shared" si="81"/>
        <v>0</v>
      </c>
      <c r="GS125" s="4">
        <f t="shared" si="81"/>
        <v>0</v>
      </c>
      <c r="GT125" s="4">
        <f t="shared" si="81"/>
        <v>0</v>
      </c>
      <c r="GU125" s="4">
        <f t="shared" si="81"/>
        <v>0</v>
      </c>
      <c r="GV125" s="4">
        <f t="shared" si="81"/>
        <v>0</v>
      </c>
      <c r="GW125" s="4">
        <f t="shared" si="81"/>
        <v>0</v>
      </c>
      <c r="GX125" s="4">
        <f t="shared" si="81"/>
        <v>0</v>
      </c>
    </row>
    <row r="127" spans="1:255" x14ac:dyDescent="0.2">
      <c r="A127" s="2">
        <v>17</v>
      </c>
      <c r="B127" s="2">
        <v>1</v>
      </c>
      <c r="C127" s="2">
        <f>ROW(SmtRes!A65)</f>
        <v>65</v>
      </c>
      <c r="D127" s="2">
        <f>ROW(EtalonRes!A80)</f>
        <v>80</v>
      </c>
      <c r="E127" s="2" t="s">
        <v>203</v>
      </c>
      <c r="F127" s="2" t="s">
        <v>204</v>
      </c>
      <c r="G127" s="2" t="s">
        <v>205</v>
      </c>
      <c r="H127" s="2" t="s">
        <v>206</v>
      </c>
      <c r="I127" s="2">
        <f>ROUND(3000/100,9)</f>
        <v>30</v>
      </c>
      <c r="J127" s="2">
        <v>0</v>
      </c>
      <c r="K127" s="2">
        <f>ROUND(3000/100,9)</f>
        <v>30</v>
      </c>
      <c r="L127" s="2"/>
      <c r="M127" s="2"/>
      <c r="N127" s="2"/>
      <c r="O127" s="2">
        <f t="shared" ref="O127:O150" si="82">ROUND(CP127,2)</f>
        <v>17817.14</v>
      </c>
      <c r="P127" s="2">
        <f t="shared" ref="P127:P136" si="83">ROUND((ROUND((AC127*AW127*I127),2)*BC127),2)</f>
        <v>10290.9</v>
      </c>
      <c r="Q127" s="2">
        <f>(ROUND((ROUND((((ET127*1.1))*AV127*I127),2)*BB127),2)+ROUND((ROUND(((AE127-((EU127*1.1)))*AV127*I127),2)*BS127),2))</f>
        <v>1131.2</v>
      </c>
      <c r="R127" s="2">
        <f>(ROUND((ROUND((((EU127*1.1))*AV127*I127),2)*BS127),2)+ROUND((ROUND(((AE127-((EU127*1.1)))*AV127*I127),2)*BS127),2))</f>
        <v>188.65</v>
      </c>
      <c r="S127" s="2">
        <f t="shared" ref="S127:S150" si="84">ROUND((ROUND((AF127*AV127*I127),2)*BA127),2)</f>
        <v>6395.04</v>
      </c>
      <c r="T127" s="2">
        <f t="shared" ref="T127:T150" si="85">ROUND(CU127*I127,2)</f>
        <v>0</v>
      </c>
      <c r="U127" s="2">
        <f t="shared" ref="U127:U150" si="86">CV127*I127</f>
        <v>496.49786999999998</v>
      </c>
      <c r="V127" s="2">
        <f t="shared" ref="V127:V150" si="87">CW127*I127</f>
        <v>0</v>
      </c>
      <c r="W127" s="2">
        <f t="shared" ref="W127:W150" si="88">ROUND(CX127*I127,2)</f>
        <v>0</v>
      </c>
      <c r="X127" s="2">
        <f>(ROUND((((S127+ROUND((ROUND((((EU127*1.1))*AV127*I127),2)*BS127),2))*AT127)/100),2)+ROUND(((ROUND((ROUND(((AE127-((EU127*1.1)))*AV127*I127),2)*BS127),2)*AT127)/100),2))</f>
        <v>6386.18</v>
      </c>
      <c r="Y127" s="2">
        <f>(ROUND((((S127+ROUND((ROUND((((EU127*1.1))*AV127*I127),2)*BS127),2))*AU127)/100),2)+ROUND(((ROUND((ROUND(((AE127-((EU127*1.1)))*AV127*I127),2)*BS127),2)*AU127)/100),2))</f>
        <v>3357.68</v>
      </c>
      <c r="Z127" s="2"/>
      <c r="AA127" s="2">
        <v>60258621</v>
      </c>
      <c r="AB127" s="2">
        <f t="shared" ref="AB127:AB150" si="89">ROUND((AC127+AD127+AF127),6)</f>
        <v>582.64300000000003</v>
      </c>
      <c r="AC127" s="2">
        <f>ROUND(((ES127*1)),6)</f>
        <v>343.03</v>
      </c>
      <c r="AD127" s="2">
        <f>ROUND(((((ET127*1.1))-((EU127*1.1)))+AE127),6)</f>
        <v>36.014000000000003</v>
      </c>
      <c r="AE127" s="2">
        <f>ROUND(((EU127*1.1)),6)</f>
        <v>6.0060000000000002</v>
      </c>
      <c r="AF127" s="2">
        <f>ROUND(((EV127*1.1)),6)</f>
        <v>203.59899999999999</v>
      </c>
      <c r="AG127" s="2">
        <f t="shared" ref="AG127:AG150" si="90">ROUND((AP127),6)</f>
        <v>0</v>
      </c>
      <c r="AH127" s="2">
        <f>((EW127*1.1))</f>
        <v>15.807</v>
      </c>
      <c r="AI127" s="2">
        <f>((EX127*1.1))</f>
        <v>0</v>
      </c>
      <c r="AJ127" s="2">
        <f t="shared" ref="AJ127:AJ150" si="91">(AS127)</f>
        <v>0</v>
      </c>
      <c r="AK127" s="2">
        <v>560.86</v>
      </c>
      <c r="AL127" s="2">
        <v>343.03</v>
      </c>
      <c r="AM127" s="2">
        <v>32.74</v>
      </c>
      <c r="AN127" s="2">
        <v>5.46</v>
      </c>
      <c r="AO127" s="2">
        <v>185.09</v>
      </c>
      <c r="AP127" s="2">
        <v>0</v>
      </c>
      <c r="AQ127" s="2">
        <v>14.37</v>
      </c>
      <c r="AR127" s="2">
        <v>0</v>
      </c>
      <c r="AS127" s="2">
        <v>0</v>
      </c>
      <c r="AT127" s="2">
        <v>97</v>
      </c>
      <c r="AU127" s="2">
        <v>51</v>
      </c>
      <c r="AV127" s="2">
        <v>1.0469999999999999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207</v>
      </c>
      <c r="BK127" s="2"/>
      <c r="BL127" s="2"/>
      <c r="BM127" s="2">
        <v>67</v>
      </c>
      <c r="BN127" s="2">
        <v>58973116</v>
      </c>
      <c r="BO127" s="2" t="s">
        <v>204</v>
      </c>
      <c r="BP127" s="2">
        <v>1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97</v>
      </c>
      <c r="CA127" s="2">
        <v>51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407</v>
      </c>
      <c r="CO127" s="2">
        <v>0</v>
      </c>
      <c r="CP127" s="2">
        <f t="shared" ref="CP127:CP150" si="92">(P127+Q127+S127)</f>
        <v>17817.14</v>
      </c>
      <c r="CQ127" s="2">
        <f t="shared" ref="CQ127:CQ136" si="93">ROUND((ROUND((AC127*AW127*1),2)*BC127),2)</f>
        <v>343.03</v>
      </c>
      <c r="CR127" s="2">
        <f>(ROUND((ROUND((((ET127*1.1))*AV127*1),2)*BB127),2)+ROUND((ROUND(((AE127-((EU127*1.1)))*AV127*1),2)*BS127),2))</f>
        <v>37.71</v>
      </c>
      <c r="CS127" s="2">
        <f>(ROUND((ROUND((((EU127*1.1))*AV127*1),2)*BS127),2)+ROUND((ROUND(((AE127-((EU127*1.1)))*AV127*1),2)*BS127),2))</f>
        <v>6.29</v>
      </c>
      <c r="CT127" s="2">
        <f t="shared" ref="CT127:CT150" si="94">ROUND((ROUND((AF127*AV127*1),2)*BA127),2)</f>
        <v>213.17</v>
      </c>
      <c r="CU127" s="2">
        <f t="shared" ref="CU127:CU150" si="95">AG127</f>
        <v>0</v>
      </c>
      <c r="CV127" s="2">
        <f t="shared" ref="CV127:CV150" si="96">(AH127*AV127)</f>
        <v>16.549928999999999</v>
      </c>
      <c r="CW127" s="2">
        <f t="shared" ref="CW127:CW150" si="97">AI127</f>
        <v>0</v>
      </c>
      <c r="CX127" s="2">
        <f t="shared" ref="CX127:CX150" si="98">AJ127</f>
        <v>0</v>
      </c>
      <c r="CY127" s="2">
        <f>(ROUND((((S127+ROUND((ROUND((((EU127*1.1))*AV127*1),2)*BS127),2))*AT127)/100),2)+ROUND(((ROUND((ROUND(((AE127-((EU127*1.1)))*AV127*1),2)*BS127),2)*AT127)/100),2))</f>
        <v>6209.29</v>
      </c>
      <c r="CZ127" s="2">
        <f>(ROUND((((S127+ROUND((ROUND((((EU127*1.1))*AV127*1),2)*BS127),2))*AU127)/100),2)+ROUND(((ROUND((ROUND(((AE127-((EU127*1.1)))*AV127*1),2)*BS127),2)*AU127)/100),2))</f>
        <v>3264.68</v>
      </c>
      <c r="DA127" s="2"/>
      <c r="DB127" s="2">
        <v>31</v>
      </c>
      <c r="DC127" s="2" t="s">
        <v>3</v>
      </c>
      <c r="DD127" s="2" t="s">
        <v>23</v>
      </c>
      <c r="DE127" s="2" t="s">
        <v>24</v>
      </c>
      <c r="DF127" s="2" t="s">
        <v>24</v>
      </c>
      <c r="DG127" s="2" t="s">
        <v>24</v>
      </c>
      <c r="DH127" s="2" t="s">
        <v>3</v>
      </c>
      <c r="DI127" s="2" t="s">
        <v>24</v>
      </c>
      <c r="DJ127" s="2" t="s">
        <v>24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1003</v>
      </c>
      <c r="DV127" s="2" t="s">
        <v>206</v>
      </c>
      <c r="DW127" s="2" t="s">
        <v>206</v>
      </c>
      <c r="DX127" s="2">
        <v>100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60088531</v>
      </c>
      <c r="EF127" s="2">
        <v>40</v>
      </c>
      <c r="EG127" s="2" t="s">
        <v>25</v>
      </c>
      <c r="EH127" s="2">
        <v>0</v>
      </c>
      <c r="EI127" s="2" t="s">
        <v>3</v>
      </c>
      <c r="EJ127" s="2">
        <v>2</v>
      </c>
      <c r="EK127" s="2">
        <v>67</v>
      </c>
      <c r="EL127" s="2" t="s">
        <v>142</v>
      </c>
      <c r="EM127" s="2" t="s">
        <v>143</v>
      </c>
      <c r="EN127" s="2"/>
      <c r="EO127" s="2" t="s">
        <v>28</v>
      </c>
      <c r="EP127" s="2"/>
      <c r="EQ127" s="2">
        <v>0</v>
      </c>
      <c r="ER127" s="2">
        <v>560.86</v>
      </c>
      <c r="ES127" s="2">
        <v>343.03</v>
      </c>
      <c r="ET127" s="2">
        <v>32.74</v>
      </c>
      <c r="EU127" s="2">
        <v>5.46</v>
      </c>
      <c r="EV127" s="2">
        <v>185.09</v>
      </c>
      <c r="EW127" s="2">
        <v>14.37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97</v>
      </c>
      <c r="FY127" s="2">
        <v>51</v>
      </c>
      <c r="FZ127" s="2"/>
      <c r="GA127" s="2" t="s">
        <v>3</v>
      </c>
      <c r="GB127" s="2"/>
      <c r="GC127" s="2"/>
      <c r="GD127" s="2">
        <v>1</v>
      </c>
      <c r="GE127" s="2"/>
      <c r="GF127" s="2">
        <v>1777434348</v>
      </c>
      <c r="GG127" s="2">
        <v>2</v>
      </c>
      <c r="GH127" s="2">
        <v>1</v>
      </c>
      <c r="GI127" s="2">
        <v>2</v>
      </c>
      <c r="GJ127" s="2">
        <v>0</v>
      </c>
      <c r="GK127" s="2">
        <v>0</v>
      </c>
      <c r="GL127" s="2">
        <f t="shared" ref="GL127:GL150" si="99">ROUND(IF(AND(BH127=3,BI127=3,FS127&lt;&gt;0),P127,0),2)</f>
        <v>0</v>
      </c>
      <c r="GM127" s="2">
        <f t="shared" ref="GM127:GM150" si="100">ROUND(O127+X127+Y127,2)+GX127</f>
        <v>27561</v>
      </c>
      <c r="GN127" s="2">
        <f t="shared" ref="GN127:GN150" si="101">IF(OR(BI127=0,BI127=1),GM127-GX127,0)</f>
        <v>0</v>
      </c>
      <c r="GO127" s="2">
        <f t="shared" ref="GO127:GO150" si="102">IF(BI127=2,GM127-GX127,0)</f>
        <v>27561</v>
      </c>
      <c r="GP127" s="2">
        <f t="shared" ref="GP127:GP150" si="103">IF(BI127=4,GM127-GX127,0)</f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ref="GV127:GV150" si="104">ROUND((GT127),6)</f>
        <v>0</v>
      </c>
      <c r="GW127" s="2">
        <v>1</v>
      </c>
      <c r="GX127" s="2">
        <f t="shared" ref="GX127:GX150" si="105">ROUND(HC127*I127,2)</f>
        <v>0</v>
      </c>
      <c r="GY127" s="2"/>
      <c r="GZ127" s="2"/>
      <c r="HA127" s="2">
        <v>0</v>
      </c>
      <c r="HB127" s="2">
        <v>0</v>
      </c>
      <c r="HC127" s="2">
        <f t="shared" ref="HC127:HC150" si="106">GV127*GW127</f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>
        <v>17</v>
      </c>
      <c r="B128">
        <v>1</v>
      </c>
      <c r="C128">
        <f>ROW(SmtRes!A68)</f>
        <v>68</v>
      </c>
      <c r="D128">
        <f>ROW(EtalonRes!A84)</f>
        <v>84</v>
      </c>
      <c r="E128" t="s">
        <v>203</v>
      </c>
      <c r="F128" t="s">
        <v>204</v>
      </c>
      <c r="G128" t="s">
        <v>205</v>
      </c>
      <c r="H128" t="s">
        <v>206</v>
      </c>
      <c r="I128">
        <f>ROUND(3000/100,9)</f>
        <v>30</v>
      </c>
      <c r="J128">
        <v>0</v>
      </c>
      <c r="K128">
        <f>ROUND(3000/100,9)</f>
        <v>30</v>
      </c>
      <c r="O128">
        <f t="shared" si="82"/>
        <v>473281.5</v>
      </c>
      <c r="P128">
        <f t="shared" si="83"/>
        <v>101777</v>
      </c>
      <c r="Q128">
        <f>(ROUND((ROUND((((ET128*1.1))*AV128*I128),2)*BB128),2)+ROUND((ROUND(((AE128-((EU128*1.1)))*AV128*I128),2)*BS128),2))</f>
        <v>19841.25</v>
      </c>
      <c r="R128">
        <f>(ROUND((ROUND((((EU128*1.1))*AV128*I128),2)*BS128),2)+ROUND((ROUND(((AE128-((EU128*1.1)))*AV128*I128),2)*BS128),2))</f>
        <v>10373.86</v>
      </c>
      <c r="S128">
        <f t="shared" si="84"/>
        <v>351663.25</v>
      </c>
      <c r="T128">
        <f t="shared" si="85"/>
        <v>0</v>
      </c>
      <c r="U128">
        <f t="shared" si="86"/>
        <v>496.49786999999998</v>
      </c>
      <c r="V128">
        <f t="shared" si="87"/>
        <v>0</v>
      </c>
      <c r="W128">
        <f t="shared" si="88"/>
        <v>0</v>
      </c>
      <c r="X128">
        <f>(ROUND((((S128+ROUND((ROUND((((EU128*1.1))*AV128*I128),2)*BS128),2))*AT128)/100),2)+ROUND(((ROUND((ROUND(((AE128-((EU128*1.1)))*AV128*I128),2)*BS128),2)*AT128)/100),2))</f>
        <v>351176</v>
      </c>
      <c r="Y128">
        <f>(ROUND((((S128+ROUND((ROUND((((EU128*1.1))*AV128*I128),2)*BS128),2))*AU128)/100),2)+ROUND(((ROUND((ROUND(((AE128-((EU128*1.1)))*AV128*I128),2)*BS128),2)*AU128)/100),2))</f>
        <v>184638.93</v>
      </c>
      <c r="AA128">
        <v>60258618</v>
      </c>
      <c r="AB128">
        <f t="shared" si="89"/>
        <v>582.64300000000003</v>
      </c>
      <c r="AC128">
        <f>ROUND(((ES128*1)),6)</f>
        <v>343.03</v>
      </c>
      <c r="AD128">
        <f>ROUND(((((ET128*1.1))-((EU128*1.1)))+AE128),6)</f>
        <v>36.014000000000003</v>
      </c>
      <c r="AE128">
        <f>ROUND(((EU128*1.1)),6)</f>
        <v>6.0060000000000002</v>
      </c>
      <c r="AF128">
        <f>ROUND(((EV128*1.1)),6)</f>
        <v>203.59899999999999</v>
      </c>
      <c r="AG128">
        <f t="shared" si="90"/>
        <v>0</v>
      </c>
      <c r="AH128">
        <f>((EW128*1.1))</f>
        <v>15.807</v>
      </c>
      <c r="AI128">
        <f>((EX128*1.1))</f>
        <v>0</v>
      </c>
      <c r="AJ128">
        <f t="shared" si="91"/>
        <v>0</v>
      </c>
      <c r="AK128">
        <v>560.86</v>
      </c>
      <c r="AL128">
        <v>343.03</v>
      </c>
      <c r="AM128">
        <v>32.74</v>
      </c>
      <c r="AN128">
        <v>5.46</v>
      </c>
      <c r="AO128">
        <v>185.09</v>
      </c>
      <c r="AP128">
        <v>0</v>
      </c>
      <c r="AQ128">
        <v>14.37</v>
      </c>
      <c r="AR128">
        <v>0</v>
      </c>
      <c r="AS128">
        <v>0</v>
      </c>
      <c r="AT128">
        <v>97</v>
      </c>
      <c r="AU128">
        <v>51</v>
      </c>
      <c r="AV128">
        <v>1.0469999999999999</v>
      </c>
      <c r="AW128">
        <v>1</v>
      </c>
      <c r="AZ128">
        <v>1</v>
      </c>
      <c r="BA128">
        <v>54.99</v>
      </c>
      <c r="BB128">
        <v>17.54</v>
      </c>
      <c r="BC128">
        <v>9.89</v>
      </c>
      <c r="BD128" t="s">
        <v>3</v>
      </c>
      <c r="BE128" t="s">
        <v>3</v>
      </c>
      <c r="BF128" t="s">
        <v>3</v>
      </c>
      <c r="BG128" t="s">
        <v>3</v>
      </c>
      <c r="BH128">
        <v>0</v>
      </c>
      <c r="BI128">
        <v>2</v>
      </c>
      <c r="BJ128" t="s">
        <v>207</v>
      </c>
      <c r="BM128">
        <v>67</v>
      </c>
      <c r="BN128">
        <v>58973116</v>
      </c>
      <c r="BO128" t="s">
        <v>204</v>
      </c>
      <c r="BP128">
        <v>1</v>
      </c>
      <c r="BQ128">
        <v>40</v>
      </c>
      <c r="BR128">
        <v>0</v>
      </c>
      <c r="BS128">
        <v>54.99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97</v>
      </c>
      <c r="CA128">
        <v>51</v>
      </c>
      <c r="CB128" t="s">
        <v>3</v>
      </c>
      <c r="CE128">
        <v>1566</v>
      </c>
      <c r="CF128">
        <v>0</v>
      </c>
      <c r="CG128">
        <v>0</v>
      </c>
      <c r="CM128">
        <v>0</v>
      </c>
      <c r="CN128" t="s">
        <v>407</v>
      </c>
      <c r="CO128">
        <v>0</v>
      </c>
      <c r="CP128">
        <f t="shared" si="92"/>
        <v>473281.5</v>
      </c>
      <c r="CQ128">
        <f t="shared" si="93"/>
        <v>3392.57</v>
      </c>
      <c r="CR128">
        <f>(ROUND((ROUND((((ET128*1.1))*AV128*1),2)*BB128),2)+ROUND((ROUND(((AE128-((EU128*1.1)))*AV128*1),2)*BS128),2))</f>
        <v>661.43</v>
      </c>
      <c r="CS128">
        <f>(ROUND((ROUND((((EU128*1.1))*AV128*1),2)*BS128),2)+ROUND((ROUND(((AE128-((EU128*1.1)))*AV128*1),2)*BS128),2))</f>
        <v>345.89</v>
      </c>
      <c r="CT128">
        <f t="shared" si="94"/>
        <v>11722.22</v>
      </c>
      <c r="CU128">
        <f t="shared" si="95"/>
        <v>0</v>
      </c>
      <c r="CV128">
        <f t="shared" si="96"/>
        <v>16.549928999999999</v>
      </c>
      <c r="CW128">
        <f t="shared" si="97"/>
        <v>0</v>
      </c>
      <c r="CX128">
        <f t="shared" si="98"/>
        <v>0</v>
      </c>
      <c r="CY128">
        <f>(ROUND((((S128+ROUND((ROUND((((EU128*1.1))*AV128*1),2)*BS128),2))*AT128)/100),2)+ROUND(((ROUND((ROUND(((AE128-((EU128*1.1)))*AV128*1),2)*BS128),2)*AT128)/100),2))</f>
        <v>341448.87</v>
      </c>
      <c r="CZ128">
        <f>(ROUND((((S128+ROUND((ROUND((((EU128*1.1))*AV128*1),2)*BS128),2))*AU128)/100),2)+ROUND(((ROUND((ROUND(((AE128-((EU128*1.1)))*AV128*1),2)*BS128),2)*AU128)/100),2))</f>
        <v>179524.66</v>
      </c>
      <c r="DB128">
        <v>32</v>
      </c>
      <c r="DC128" t="s">
        <v>3</v>
      </c>
      <c r="DD128" t="s">
        <v>23</v>
      </c>
      <c r="DE128" t="s">
        <v>24</v>
      </c>
      <c r="DF128" t="s">
        <v>24</v>
      </c>
      <c r="DG128" t="s">
        <v>24</v>
      </c>
      <c r="DH128" t="s">
        <v>3</v>
      </c>
      <c r="DI128" t="s">
        <v>24</v>
      </c>
      <c r="DJ128" t="s">
        <v>24</v>
      </c>
      <c r="DK128" t="s">
        <v>3</v>
      </c>
      <c r="DL128" t="s">
        <v>3</v>
      </c>
      <c r="DM128" t="s">
        <v>3</v>
      </c>
      <c r="DN128">
        <v>0</v>
      </c>
      <c r="DO128">
        <v>0</v>
      </c>
      <c r="DP128">
        <v>1</v>
      </c>
      <c r="DQ128">
        <v>1</v>
      </c>
      <c r="DU128">
        <v>1003</v>
      </c>
      <c r="DV128" t="s">
        <v>206</v>
      </c>
      <c r="DW128" t="s">
        <v>206</v>
      </c>
      <c r="DX128">
        <v>100</v>
      </c>
      <c r="DZ128" t="s">
        <v>3</v>
      </c>
      <c r="EA128" t="s">
        <v>3</v>
      </c>
      <c r="EB128" t="s">
        <v>3</v>
      </c>
      <c r="EC128" t="s">
        <v>3</v>
      </c>
      <c r="EE128">
        <v>60088531</v>
      </c>
      <c r="EF128">
        <v>40</v>
      </c>
      <c r="EG128" t="s">
        <v>25</v>
      </c>
      <c r="EH128">
        <v>0</v>
      </c>
      <c r="EI128" t="s">
        <v>3</v>
      </c>
      <c r="EJ128">
        <v>2</v>
      </c>
      <c r="EK128">
        <v>67</v>
      </c>
      <c r="EL128" t="s">
        <v>142</v>
      </c>
      <c r="EM128" t="s">
        <v>143</v>
      </c>
      <c r="EO128" t="s">
        <v>28</v>
      </c>
      <c r="EQ128">
        <v>0</v>
      </c>
      <c r="ER128">
        <v>560.86</v>
      </c>
      <c r="ES128">
        <v>343.03</v>
      </c>
      <c r="ET128">
        <v>32.74</v>
      </c>
      <c r="EU128">
        <v>5.46</v>
      </c>
      <c r="EV128">
        <v>185.09</v>
      </c>
      <c r="EW128">
        <v>14.37</v>
      </c>
      <c r="EX128">
        <v>0</v>
      </c>
      <c r="EY128">
        <v>0</v>
      </c>
      <c r="FQ128">
        <v>0</v>
      </c>
      <c r="FR128">
        <v>0</v>
      </c>
      <c r="FS128">
        <v>0</v>
      </c>
      <c r="FX128">
        <v>97</v>
      </c>
      <c r="FY128">
        <v>51</v>
      </c>
      <c r="GA128" t="s">
        <v>3</v>
      </c>
      <c r="GD128">
        <v>1</v>
      </c>
      <c r="GF128">
        <v>1777434348</v>
      </c>
      <c r="GG128">
        <v>2</v>
      </c>
      <c r="GH128">
        <v>1</v>
      </c>
      <c r="GI128">
        <v>2</v>
      </c>
      <c r="GJ128">
        <v>0</v>
      </c>
      <c r="GK128">
        <v>0</v>
      </c>
      <c r="GL128">
        <f t="shared" si="99"/>
        <v>0</v>
      </c>
      <c r="GM128">
        <f t="shared" si="100"/>
        <v>1009096.43</v>
      </c>
      <c r="GN128">
        <f t="shared" si="101"/>
        <v>0</v>
      </c>
      <c r="GO128">
        <f t="shared" si="102"/>
        <v>1009096.43</v>
      </c>
      <c r="GP128">
        <f t="shared" si="103"/>
        <v>0</v>
      </c>
      <c r="GR128">
        <v>0</v>
      </c>
      <c r="GS128">
        <v>3</v>
      </c>
      <c r="GT128">
        <v>0</v>
      </c>
      <c r="GU128" t="s">
        <v>3</v>
      </c>
      <c r="GV128">
        <f t="shared" si="104"/>
        <v>0</v>
      </c>
      <c r="GW128">
        <v>1</v>
      </c>
      <c r="GX128">
        <f t="shared" si="105"/>
        <v>0</v>
      </c>
      <c r="HA128">
        <v>0</v>
      </c>
      <c r="HB128">
        <v>0</v>
      </c>
      <c r="HC128">
        <f t="shared" si="106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2">
      <c r="A129" s="2">
        <v>18</v>
      </c>
      <c r="B129" s="2">
        <v>1</v>
      </c>
      <c r="C129" s="2">
        <v>64</v>
      </c>
      <c r="D129" s="2"/>
      <c r="E129" s="2" t="s">
        <v>208</v>
      </c>
      <c r="F129" s="2" t="s">
        <v>209</v>
      </c>
      <c r="G129" s="2" t="s">
        <v>210</v>
      </c>
      <c r="H129" s="2" t="s">
        <v>211</v>
      </c>
      <c r="I129" s="2">
        <f>I127*J129</f>
        <v>3060</v>
      </c>
      <c r="J129" s="2">
        <v>102</v>
      </c>
      <c r="K129" s="2">
        <v>102</v>
      </c>
      <c r="L129" s="2"/>
      <c r="M129" s="2"/>
      <c r="N129" s="2"/>
      <c r="O129" s="2">
        <f t="shared" si="82"/>
        <v>8170.2</v>
      </c>
      <c r="P129" s="2">
        <f t="shared" si="83"/>
        <v>8170.2</v>
      </c>
      <c r="Q129" s="2">
        <f>(ROUND((ROUND(((ET129)*AV129*I129),2)*BB129),2)+ROUND((ROUND(((AE129-(EU129))*AV129*I129),2)*BS129),2))</f>
        <v>0</v>
      </c>
      <c r="R129" s="2">
        <f>(ROUND((ROUND(((EU129)*AV129*I129),2)*BS129),2)+ROUND((ROUND(((AE129-(EU129))*AV129*I129),2)*BS129),2))</f>
        <v>0</v>
      </c>
      <c r="S129" s="2">
        <f t="shared" si="84"/>
        <v>0</v>
      </c>
      <c r="T129" s="2">
        <f t="shared" si="85"/>
        <v>0</v>
      </c>
      <c r="U129" s="2">
        <f t="shared" si="86"/>
        <v>0</v>
      </c>
      <c r="V129" s="2">
        <f t="shared" si="87"/>
        <v>0</v>
      </c>
      <c r="W129" s="2">
        <f t="shared" si="88"/>
        <v>0</v>
      </c>
      <c r="X129" s="2">
        <f>(ROUND((((S129+ROUND((ROUND(((EU129)*AV129*I129),2)*BS129),2))*AT129)/100),2)+ROUND(((ROUND((ROUND(((AE129-(EU129))*AV129*I129),2)*BS129),2)*AT129)/100),2))</f>
        <v>0</v>
      </c>
      <c r="Y129" s="2">
        <f>(ROUND((((S129+ROUND((ROUND(((EU129)*AV129*I129),2)*BS129),2))*AU129)/100),2)+ROUND(((ROUND((ROUND(((AE129-(EU129))*AV129*I129),2)*BS129),2)*AU129)/100),2))</f>
        <v>0</v>
      </c>
      <c r="Z129" s="2"/>
      <c r="AA129" s="2">
        <v>60258621</v>
      </c>
      <c r="AB129" s="2">
        <f t="shared" si="89"/>
        <v>2.67</v>
      </c>
      <c r="AC129" s="2">
        <f>ROUND((ES129),6)</f>
        <v>2.67</v>
      </c>
      <c r="AD129" s="2">
        <f>ROUND((((ET129)-(EU129))+AE129),6)</f>
        <v>0</v>
      </c>
      <c r="AE129" s="2">
        <f t="shared" ref="AE129:AF132" si="107">ROUND((EU129),6)</f>
        <v>0</v>
      </c>
      <c r="AF129" s="2">
        <f t="shared" si="107"/>
        <v>0</v>
      </c>
      <c r="AG129" s="2">
        <f t="shared" si="90"/>
        <v>0</v>
      </c>
      <c r="AH129" s="2">
        <f t="shared" ref="AH129:AI132" si="108">(EW129)</f>
        <v>0</v>
      </c>
      <c r="AI129" s="2">
        <f t="shared" si="108"/>
        <v>0</v>
      </c>
      <c r="AJ129" s="2">
        <f t="shared" si="91"/>
        <v>0</v>
      </c>
      <c r="AK129" s="2">
        <v>2.67</v>
      </c>
      <c r="AL129" s="2">
        <v>2.67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97</v>
      </c>
      <c r="AU129" s="2">
        <v>51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2</v>
      </c>
      <c r="BJ129" s="2" t="s">
        <v>212</v>
      </c>
      <c r="BK129" s="2"/>
      <c r="BL129" s="2"/>
      <c r="BM129" s="2">
        <v>67</v>
      </c>
      <c r="BN129" s="2">
        <v>58973116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97</v>
      </c>
      <c r="CA129" s="2">
        <v>51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407</v>
      </c>
      <c r="CO129" s="2">
        <v>0</v>
      </c>
      <c r="CP129" s="2">
        <f t="shared" si="92"/>
        <v>8170.2</v>
      </c>
      <c r="CQ129" s="2">
        <f t="shared" si="93"/>
        <v>2.67</v>
      </c>
      <c r="CR129" s="2">
        <f>(ROUND((ROUND(((ET129)*AV129*1),2)*BB129),2)+ROUND((ROUND(((AE129-(EU129))*AV129*1),2)*BS129),2))</f>
        <v>0</v>
      </c>
      <c r="CS129" s="2">
        <f>(ROUND((ROUND(((EU129)*AV129*1),2)*BS129),2)+ROUND((ROUND(((AE129-(EU129))*AV129*1),2)*BS129),2))</f>
        <v>0</v>
      </c>
      <c r="CT129" s="2">
        <f t="shared" si="94"/>
        <v>0</v>
      </c>
      <c r="CU129" s="2">
        <f t="shared" si="95"/>
        <v>0</v>
      </c>
      <c r="CV129" s="2">
        <f t="shared" si="96"/>
        <v>0</v>
      </c>
      <c r="CW129" s="2">
        <f t="shared" si="97"/>
        <v>0</v>
      </c>
      <c r="CX129" s="2">
        <f t="shared" si="98"/>
        <v>0</v>
      </c>
      <c r="CY129" s="2">
        <f>(ROUND((((S129+ROUND((ROUND(((EU129)*AV129*1),2)*BS129),2))*AT129)/100),2)+ROUND(((ROUND((ROUND(((AE129-(EU129))*AV129*1),2)*BS129),2)*AT129)/100),2))</f>
        <v>0</v>
      </c>
      <c r="CZ129" s="2">
        <f>(ROUND((((S129+ROUND((ROUND(((EU129)*AV129*1),2)*BS129),2))*AU129)/100),2)+ROUND(((ROUND((ROUND(((AE129-(EU129))*AV129*1),2)*BS129),2)*AU129)/100),2))</f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1003</v>
      </c>
      <c r="DV129" s="2" t="s">
        <v>211</v>
      </c>
      <c r="DW129" s="2" t="s">
        <v>211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60088531</v>
      </c>
      <c r="EF129" s="2">
        <v>40</v>
      </c>
      <c r="EG129" s="2" t="s">
        <v>25</v>
      </c>
      <c r="EH129" s="2">
        <v>0</v>
      </c>
      <c r="EI129" s="2" t="s">
        <v>3</v>
      </c>
      <c r="EJ129" s="2">
        <v>2</v>
      </c>
      <c r="EK129" s="2">
        <v>67</v>
      </c>
      <c r="EL129" s="2" t="s">
        <v>142</v>
      </c>
      <c r="EM129" s="2" t="s">
        <v>143</v>
      </c>
      <c r="EN129" s="2"/>
      <c r="EO129" s="2" t="s">
        <v>28</v>
      </c>
      <c r="EP129" s="2"/>
      <c r="EQ129" s="2">
        <v>0</v>
      </c>
      <c r="ER129" s="2">
        <v>2.67</v>
      </c>
      <c r="ES129" s="2">
        <v>2.67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97</v>
      </c>
      <c r="FY129" s="2">
        <v>51</v>
      </c>
      <c r="FZ129" s="2"/>
      <c r="GA129" s="2" t="s">
        <v>3</v>
      </c>
      <c r="GB129" s="2"/>
      <c r="GC129" s="2"/>
      <c r="GD129" s="2">
        <v>1</v>
      </c>
      <c r="GE129" s="2"/>
      <c r="GF129" s="2">
        <v>1184991115</v>
      </c>
      <c r="GG129" s="2">
        <v>2</v>
      </c>
      <c r="GH129" s="2">
        <v>1</v>
      </c>
      <c r="GI129" s="2">
        <v>-2</v>
      </c>
      <c r="GJ129" s="2">
        <v>0</v>
      </c>
      <c r="GK129" s="2">
        <v>0</v>
      </c>
      <c r="GL129" s="2">
        <f t="shared" si="99"/>
        <v>0</v>
      </c>
      <c r="GM129" s="2">
        <f t="shared" si="100"/>
        <v>8170.2</v>
      </c>
      <c r="GN129" s="2">
        <f t="shared" si="101"/>
        <v>0</v>
      </c>
      <c r="GO129" s="2">
        <f t="shared" si="102"/>
        <v>8170.2</v>
      </c>
      <c r="GP129" s="2">
        <f t="shared" si="103"/>
        <v>0</v>
      </c>
      <c r="GQ129" s="2"/>
      <c r="GR129" s="2">
        <v>0</v>
      </c>
      <c r="GS129" s="2">
        <v>3</v>
      </c>
      <c r="GT129" s="2">
        <v>0</v>
      </c>
      <c r="GU129" s="2" t="s">
        <v>3</v>
      </c>
      <c r="GV129" s="2">
        <f t="shared" si="104"/>
        <v>0</v>
      </c>
      <c r="GW129" s="2">
        <v>1</v>
      </c>
      <c r="GX129" s="2">
        <f t="shared" si="105"/>
        <v>0</v>
      </c>
      <c r="GY129" s="2"/>
      <c r="GZ129" s="2"/>
      <c r="HA129" s="2">
        <v>0</v>
      </c>
      <c r="HB129" s="2">
        <v>0</v>
      </c>
      <c r="HC129" s="2">
        <f t="shared" si="106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23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18</v>
      </c>
      <c r="B130">
        <v>1</v>
      </c>
      <c r="C130">
        <v>67</v>
      </c>
      <c r="E130" t="s">
        <v>208</v>
      </c>
      <c r="F130" t="s">
        <v>209</v>
      </c>
      <c r="G130" t="s">
        <v>210</v>
      </c>
      <c r="H130" t="s">
        <v>211</v>
      </c>
      <c r="I130">
        <f>I128*J130</f>
        <v>3060</v>
      </c>
      <c r="J130">
        <v>102</v>
      </c>
      <c r="K130">
        <v>102</v>
      </c>
      <c r="O130">
        <f t="shared" si="82"/>
        <v>31291.87</v>
      </c>
      <c r="P130">
        <f t="shared" si="83"/>
        <v>31291.87</v>
      </c>
      <c r="Q130">
        <f>(ROUND((ROUND(((ET130)*AV130*I130),2)*BB130),2)+ROUND((ROUND(((AE130-(EU130))*AV130*I130),2)*BS130),2))</f>
        <v>0</v>
      </c>
      <c r="R130">
        <f>(ROUND((ROUND(((EU130)*AV130*I130),2)*BS130),2)+ROUND((ROUND(((AE130-(EU130))*AV130*I130),2)*BS130),2))</f>
        <v>0</v>
      </c>
      <c r="S130">
        <f t="shared" si="84"/>
        <v>0</v>
      </c>
      <c r="T130">
        <f t="shared" si="85"/>
        <v>0</v>
      </c>
      <c r="U130">
        <f t="shared" si="86"/>
        <v>0</v>
      </c>
      <c r="V130">
        <f t="shared" si="87"/>
        <v>0</v>
      </c>
      <c r="W130">
        <f t="shared" si="88"/>
        <v>0</v>
      </c>
      <c r="X130">
        <f>(ROUND((((S130+ROUND((ROUND(((EU130)*AV130*I130),2)*BS130),2))*AT130)/100),2)+ROUND(((ROUND((ROUND(((AE130-(EU130))*AV130*I130),2)*BS130),2)*AT130)/100),2))</f>
        <v>0</v>
      </c>
      <c r="Y130">
        <f>(ROUND((((S130+ROUND((ROUND(((EU130)*AV130*I130),2)*BS130),2))*AU130)/100),2)+ROUND(((ROUND((ROUND(((AE130-(EU130))*AV130*I130),2)*BS130),2)*AU130)/100),2))</f>
        <v>0</v>
      </c>
      <c r="AA130">
        <v>60258618</v>
      </c>
      <c r="AB130">
        <f t="shared" si="89"/>
        <v>2.67</v>
      </c>
      <c r="AC130">
        <f>ROUND((ES130),6)</f>
        <v>2.67</v>
      </c>
      <c r="AD130">
        <f>ROUND((((ET130)-(EU130))+AE130),6)</f>
        <v>0</v>
      </c>
      <c r="AE130">
        <f t="shared" si="107"/>
        <v>0</v>
      </c>
      <c r="AF130">
        <f t="shared" si="107"/>
        <v>0</v>
      </c>
      <c r="AG130">
        <f t="shared" si="90"/>
        <v>0</v>
      </c>
      <c r="AH130">
        <f t="shared" si="108"/>
        <v>0</v>
      </c>
      <c r="AI130">
        <f t="shared" si="108"/>
        <v>0</v>
      </c>
      <c r="AJ130">
        <f t="shared" si="91"/>
        <v>0</v>
      </c>
      <c r="AK130">
        <v>2.67</v>
      </c>
      <c r="AL130">
        <v>2.67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97</v>
      </c>
      <c r="AU130">
        <v>51</v>
      </c>
      <c r="AV130">
        <v>1</v>
      </c>
      <c r="AW130">
        <v>1</v>
      </c>
      <c r="AZ130">
        <v>1</v>
      </c>
      <c r="BA130">
        <v>1</v>
      </c>
      <c r="BB130">
        <v>1</v>
      </c>
      <c r="BC130">
        <v>3.83</v>
      </c>
      <c r="BD130" t="s">
        <v>3</v>
      </c>
      <c r="BE130" t="s">
        <v>3</v>
      </c>
      <c r="BF130" t="s">
        <v>3</v>
      </c>
      <c r="BG130" t="s">
        <v>3</v>
      </c>
      <c r="BH130">
        <v>3</v>
      </c>
      <c r="BI130">
        <v>2</v>
      </c>
      <c r="BJ130" t="s">
        <v>212</v>
      </c>
      <c r="BM130">
        <v>67</v>
      </c>
      <c r="BN130">
        <v>58973116</v>
      </c>
      <c r="BO130" t="s">
        <v>209</v>
      </c>
      <c r="BP130">
        <v>1</v>
      </c>
      <c r="BQ130">
        <v>40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97</v>
      </c>
      <c r="CA130">
        <v>51</v>
      </c>
      <c r="CB130" t="s">
        <v>3</v>
      </c>
      <c r="CE130">
        <v>1566</v>
      </c>
      <c r="CF130">
        <v>0</v>
      </c>
      <c r="CG130">
        <v>0</v>
      </c>
      <c r="CM130">
        <v>0</v>
      </c>
      <c r="CN130" t="s">
        <v>407</v>
      </c>
      <c r="CO130">
        <v>0</v>
      </c>
      <c r="CP130">
        <f t="shared" si="92"/>
        <v>31291.87</v>
      </c>
      <c r="CQ130">
        <f t="shared" si="93"/>
        <v>10.23</v>
      </c>
      <c r="CR130">
        <f>(ROUND((ROUND(((ET130)*AV130*1),2)*BB130),2)+ROUND((ROUND(((AE130-(EU130))*AV130*1),2)*BS130),2))</f>
        <v>0</v>
      </c>
      <c r="CS130">
        <f>(ROUND((ROUND(((EU130)*AV130*1),2)*BS130),2)+ROUND((ROUND(((AE130-(EU130))*AV130*1),2)*BS130),2))</f>
        <v>0</v>
      </c>
      <c r="CT130">
        <f t="shared" si="94"/>
        <v>0</v>
      </c>
      <c r="CU130">
        <f t="shared" si="95"/>
        <v>0</v>
      </c>
      <c r="CV130">
        <f t="shared" si="96"/>
        <v>0</v>
      </c>
      <c r="CW130">
        <f t="shared" si="97"/>
        <v>0</v>
      </c>
      <c r="CX130">
        <f t="shared" si="98"/>
        <v>0</v>
      </c>
      <c r="CY130">
        <f>(ROUND((((S130+ROUND((ROUND(((EU130)*AV130*1),2)*BS130),2))*AT130)/100),2)+ROUND(((ROUND((ROUND(((AE130-(EU130))*AV130*1),2)*BS130),2)*AT130)/100),2))</f>
        <v>0</v>
      </c>
      <c r="CZ130">
        <f>(ROUND((((S130+ROUND((ROUND(((EU130)*AV130*1),2)*BS130),2))*AU130)/100),2)+ROUND(((ROUND((ROUND(((AE130-(EU130))*AV130*1),2)*BS130),2)*AU130)/100),2))</f>
        <v>0</v>
      </c>
      <c r="DC130" t="s">
        <v>3</v>
      </c>
      <c r="DD130" t="s">
        <v>3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>
        <v>0</v>
      </c>
      <c r="DO130">
        <v>0</v>
      </c>
      <c r="DP130">
        <v>1</v>
      </c>
      <c r="DQ130">
        <v>1</v>
      </c>
      <c r="DU130">
        <v>1003</v>
      </c>
      <c r="DV130" t="s">
        <v>211</v>
      </c>
      <c r="DW130" t="s">
        <v>211</v>
      </c>
      <c r="DX130">
        <v>1</v>
      </c>
      <c r="DZ130" t="s">
        <v>3</v>
      </c>
      <c r="EA130" t="s">
        <v>3</v>
      </c>
      <c r="EB130" t="s">
        <v>3</v>
      </c>
      <c r="EC130" t="s">
        <v>3</v>
      </c>
      <c r="EE130">
        <v>60088531</v>
      </c>
      <c r="EF130">
        <v>40</v>
      </c>
      <c r="EG130" t="s">
        <v>25</v>
      </c>
      <c r="EH130">
        <v>0</v>
      </c>
      <c r="EI130" t="s">
        <v>3</v>
      </c>
      <c r="EJ130">
        <v>2</v>
      </c>
      <c r="EK130">
        <v>67</v>
      </c>
      <c r="EL130" t="s">
        <v>142</v>
      </c>
      <c r="EM130" t="s">
        <v>143</v>
      </c>
      <c r="EO130" t="s">
        <v>28</v>
      </c>
      <c r="EQ130">
        <v>0</v>
      </c>
      <c r="ER130">
        <v>2.67</v>
      </c>
      <c r="ES130">
        <v>2.67</v>
      </c>
      <c r="ET130">
        <v>0</v>
      </c>
      <c r="EU130">
        <v>0</v>
      </c>
      <c r="EV130">
        <v>0</v>
      </c>
      <c r="EW130">
        <v>0</v>
      </c>
      <c r="EX130">
        <v>0</v>
      </c>
      <c r="FQ130">
        <v>0</v>
      </c>
      <c r="FR130">
        <v>0</v>
      </c>
      <c r="FS130">
        <v>0</v>
      </c>
      <c r="FX130">
        <v>97</v>
      </c>
      <c r="FY130">
        <v>51</v>
      </c>
      <c r="GA130" t="s">
        <v>3</v>
      </c>
      <c r="GD130">
        <v>1</v>
      </c>
      <c r="GF130">
        <v>1184991115</v>
      </c>
      <c r="GG130">
        <v>2</v>
      </c>
      <c r="GH130">
        <v>1</v>
      </c>
      <c r="GI130">
        <v>2</v>
      </c>
      <c r="GJ130">
        <v>0</v>
      </c>
      <c r="GK130">
        <v>0</v>
      </c>
      <c r="GL130">
        <f t="shared" si="99"/>
        <v>0</v>
      </c>
      <c r="GM130">
        <f t="shared" si="100"/>
        <v>31291.87</v>
      </c>
      <c r="GN130">
        <f t="shared" si="101"/>
        <v>0</v>
      </c>
      <c r="GO130">
        <f t="shared" si="102"/>
        <v>31291.87</v>
      </c>
      <c r="GP130">
        <f t="shared" si="103"/>
        <v>0</v>
      </c>
      <c r="GR130">
        <v>0</v>
      </c>
      <c r="GS130">
        <v>3</v>
      </c>
      <c r="GT130">
        <v>0</v>
      </c>
      <c r="GU130" t="s">
        <v>3</v>
      </c>
      <c r="GV130">
        <f t="shared" si="104"/>
        <v>0</v>
      </c>
      <c r="GW130">
        <v>1</v>
      </c>
      <c r="GX130">
        <f t="shared" si="105"/>
        <v>0</v>
      </c>
      <c r="HA130">
        <v>0</v>
      </c>
      <c r="HB130">
        <v>0</v>
      </c>
      <c r="HC130">
        <f t="shared" si="106"/>
        <v>0</v>
      </c>
      <c r="HE130" t="s">
        <v>3</v>
      </c>
      <c r="HF130" t="s">
        <v>3</v>
      </c>
      <c r="HM130" t="s">
        <v>23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18</v>
      </c>
      <c r="B131" s="2">
        <v>1</v>
      </c>
      <c r="C131" s="2">
        <v>65</v>
      </c>
      <c r="D131" s="2"/>
      <c r="E131" s="2" t="s">
        <v>213</v>
      </c>
      <c r="F131" s="2" t="s">
        <v>214</v>
      </c>
      <c r="G131" s="2" t="s">
        <v>215</v>
      </c>
      <c r="H131" s="2" t="s">
        <v>216</v>
      </c>
      <c r="I131" s="2">
        <f>I127*J131</f>
        <v>100</v>
      </c>
      <c r="J131" s="2">
        <v>3.3333333333333335</v>
      </c>
      <c r="K131" s="2">
        <v>3.3333333299999999</v>
      </c>
      <c r="L131" s="2"/>
      <c r="M131" s="2"/>
      <c r="N131" s="2"/>
      <c r="O131" s="2">
        <f t="shared" si="82"/>
        <v>383</v>
      </c>
      <c r="P131" s="2">
        <f t="shared" si="83"/>
        <v>383</v>
      </c>
      <c r="Q131" s="2">
        <f>(ROUND((ROUND(((ET131)*AV131*I131),2)*BB131),2)+ROUND((ROUND(((AE131-(EU131))*AV131*I131),2)*BS131),2))</f>
        <v>0</v>
      </c>
      <c r="R131" s="2">
        <f>(ROUND((ROUND(((EU131)*AV131*I131),2)*BS131),2)+ROUND((ROUND(((AE131-(EU131))*AV131*I131),2)*BS131),2))</f>
        <v>0</v>
      </c>
      <c r="S131" s="2">
        <f t="shared" si="84"/>
        <v>0</v>
      </c>
      <c r="T131" s="2">
        <f t="shared" si="85"/>
        <v>0</v>
      </c>
      <c r="U131" s="2">
        <f t="shared" si="86"/>
        <v>0</v>
      </c>
      <c r="V131" s="2">
        <f t="shared" si="87"/>
        <v>0</v>
      </c>
      <c r="W131" s="2">
        <f t="shared" si="88"/>
        <v>0</v>
      </c>
      <c r="X131" s="2">
        <f>(ROUND((((S131+ROUND((ROUND(((EU131)*AV131*I131),2)*BS131),2))*AT131)/100),2)+ROUND(((ROUND((ROUND(((AE131-(EU131))*AV131*I131),2)*BS131),2)*AT131)/100),2))</f>
        <v>0</v>
      </c>
      <c r="Y131" s="2">
        <f>(ROUND((((S131+ROUND((ROUND(((EU131)*AV131*I131),2)*BS131),2))*AU131)/100),2)+ROUND(((ROUND((ROUND(((AE131-(EU131))*AV131*I131),2)*BS131),2)*AU131)/100),2))</f>
        <v>0</v>
      </c>
      <c r="Z131" s="2"/>
      <c r="AA131" s="2">
        <v>60258621</v>
      </c>
      <c r="AB131" s="2">
        <f t="shared" si="89"/>
        <v>3.83</v>
      </c>
      <c r="AC131" s="2">
        <f>ROUND((ES131),6)</f>
        <v>3.83</v>
      </c>
      <c r="AD131" s="2">
        <f>ROUND((((ET131)-(EU131))+AE131),6)</f>
        <v>0</v>
      </c>
      <c r="AE131" s="2">
        <f t="shared" si="107"/>
        <v>0</v>
      </c>
      <c r="AF131" s="2">
        <f t="shared" si="107"/>
        <v>0</v>
      </c>
      <c r="AG131" s="2">
        <f t="shared" si="90"/>
        <v>0</v>
      </c>
      <c r="AH131" s="2">
        <f t="shared" si="108"/>
        <v>0</v>
      </c>
      <c r="AI131" s="2">
        <f t="shared" si="108"/>
        <v>0</v>
      </c>
      <c r="AJ131" s="2">
        <f t="shared" si="91"/>
        <v>0</v>
      </c>
      <c r="AK131" s="2">
        <v>3.83</v>
      </c>
      <c r="AL131" s="2">
        <v>3.83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97</v>
      </c>
      <c r="AU131" s="2">
        <v>51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2</v>
      </c>
      <c r="BJ131" s="2" t="s">
        <v>217</v>
      </c>
      <c r="BK131" s="2"/>
      <c r="BL131" s="2"/>
      <c r="BM131" s="2">
        <v>67</v>
      </c>
      <c r="BN131" s="2">
        <v>58973116</v>
      </c>
      <c r="BO131" s="2" t="s">
        <v>3</v>
      </c>
      <c r="BP131" s="2">
        <v>0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97</v>
      </c>
      <c r="CA131" s="2">
        <v>51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407</v>
      </c>
      <c r="CO131" s="2">
        <v>0</v>
      </c>
      <c r="CP131" s="2">
        <f t="shared" si="92"/>
        <v>383</v>
      </c>
      <c r="CQ131" s="2">
        <f t="shared" si="93"/>
        <v>3.83</v>
      </c>
      <c r="CR131" s="2">
        <f>(ROUND((ROUND(((ET131)*AV131*1),2)*BB131),2)+ROUND((ROUND(((AE131-(EU131))*AV131*1),2)*BS131),2))</f>
        <v>0</v>
      </c>
      <c r="CS131" s="2">
        <f>(ROUND((ROUND(((EU131)*AV131*1),2)*BS131),2)+ROUND((ROUND(((AE131-(EU131))*AV131*1),2)*BS131),2))</f>
        <v>0</v>
      </c>
      <c r="CT131" s="2">
        <f t="shared" si="94"/>
        <v>0</v>
      </c>
      <c r="CU131" s="2">
        <f t="shared" si="95"/>
        <v>0</v>
      </c>
      <c r="CV131" s="2">
        <f t="shared" si="96"/>
        <v>0</v>
      </c>
      <c r="CW131" s="2">
        <f t="shared" si="97"/>
        <v>0</v>
      </c>
      <c r="CX131" s="2">
        <f t="shared" si="98"/>
        <v>0</v>
      </c>
      <c r="CY131" s="2">
        <f>(ROUND((((S131+ROUND((ROUND(((EU131)*AV131*1),2)*BS131),2))*AT131)/100),2)+ROUND(((ROUND((ROUND(((AE131-(EU131))*AV131*1),2)*BS131),2)*AT131)/100),2))</f>
        <v>0</v>
      </c>
      <c r="CZ131" s="2">
        <f>(ROUND((((S131+ROUND((ROUND(((EU131)*AV131*1),2)*BS131),2))*AU131)/100),2)+ROUND(((ROUND((ROUND(((AE131-(EU131))*AV131*1),2)*BS131),2)*AU131)/100),2))</f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216</v>
      </c>
      <c r="DW131" s="2" t="s">
        <v>216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60088531</v>
      </c>
      <c r="EF131" s="2">
        <v>40</v>
      </c>
      <c r="EG131" s="2" t="s">
        <v>25</v>
      </c>
      <c r="EH131" s="2">
        <v>0</v>
      </c>
      <c r="EI131" s="2" t="s">
        <v>3</v>
      </c>
      <c r="EJ131" s="2">
        <v>2</v>
      </c>
      <c r="EK131" s="2">
        <v>67</v>
      </c>
      <c r="EL131" s="2" t="s">
        <v>142</v>
      </c>
      <c r="EM131" s="2" t="s">
        <v>143</v>
      </c>
      <c r="EN131" s="2"/>
      <c r="EO131" s="2" t="s">
        <v>28</v>
      </c>
      <c r="EP131" s="2"/>
      <c r="EQ131" s="2">
        <v>0</v>
      </c>
      <c r="ER131" s="2">
        <v>3.83</v>
      </c>
      <c r="ES131" s="2">
        <v>3.83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97</v>
      </c>
      <c r="FY131" s="2">
        <v>51</v>
      </c>
      <c r="FZ131" s="2"/>
      <c r="GA131" s="2" t="s">
        <v>3</v>
      </c>
      <c r="GB131" s="2"/>
      <c r="GC131" s="2"/>
      <c r="GD131" s="2">
        <v>1</v>
      </c>
      <c r="GE131" s="2"/>
      <c r="GF131" s="2">
        <v>1928261302</v>
      </c>
      <c r="GG131" s="2">
        <v>2</v>
      </c>
      <c r="GH131" s="2">
        <v>1</v>
      </c>
      <c r="GI131" s="2">
        <v>-2</v>
      </c>
      <c r="GJ131" s="2">
        <v>0</v>
      </c>
      <c r="GK131" s="2">
        <v>0</v>
      </c>
      <c r="GL131" s="2">
        <f t="shared" si="99"/>
        <v>0</v>
      </c>
      <c r="GM131" s="2">
        <f t="shared" si="100"/>
        <v>383</v>
      </c>
      <c r="GN131" s="2">
        <f t="shared" si="101"/>
        <v>0</v>
      </c>
      <c r="GO131" s="2">
        <f t="shared" si="102"/>
        <v>383</v>
      </c>
      <c r="GP131" s="2">
        <f t="shared" si="103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04"/>
        <v>0</v>
      </c>
      <c r="GW131" s="2">
        <v>1</v>
      </c>
      <c r="GX131" s="2">
        <f t="shared" si="105"/>
        <v>0</v>
      </c>
      <c r="GY131" s="2"/>
      <c r="GZ131" s="2"/>
      <c r="HA131" s="2">
        <v>0</v>
      </c>
      <c r="HB131" s="2">
        <v>0</v>
      </c>
      <c r="HC131" s="2">
        <f t="shared" si="106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23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18</v>
      </c>
      <c r="B132">
        <v>1</v>
      </c>
      <c r="C132">
        <v>68</v>
      </c>
      <c r="E132" t="s">
        <v>213</v>
      </c>
      <c r="F132" t="s">
        <v>214</v>
      </c>
      <c r="G132" t="s">
        <v>215</v>
      </c>
      <c r="H132" t="s">
        <v>216</v>
      </c>
      <c r="I132">
        <f>I128*J132</f>
        <v>100</v>
      </c>
      <c r="J132">
        <v>3.3333333333333335</v>
      </c>
      <c r="K132">
        <v>3.3333333299999999</v>
      </c>
      <c r="O132">
        <f t="shared" si="82"/>
        <v>2983.57</v>
      </c>
      <c r="P132">
        <f t="shared" si="83"/>
        <v>2983.57</v>
      </c>
      <c r="Q132">
        <f>(ROUND((ROUND(((ET132)*AV132*I132),2)*BB132),2)+ROUND((ROUND(((AE132-(EU132))*AV132*I132),2)*BS132),2))</f>
        <v>0</v>
      </c>
      <c r="R132">
        <f>(ROUND((ROUND(((EU132)*AV132*I132),2)*BS132),2)+ROUND((ROUND(((AE132-(EU132))*AV132*I132),2)*BS132),2))</f>
        <v>0</v>
      </c>
      <c r="S132">
        <f t="shared" si="84"/>
        <v>0</v>
      </c>
      <c r="T132">
        <f t="shared" si="85"/>
        <v>0</v>
      </c>
      <c r="U132">
        <f t="shared" si="86"/>
        <v>0</v>
      </c>
      <c r="V132">
        <f t="shared" si="87"/>
        <v>0</v>
      </c>
      <c r="W132">
        <f t="shared" si="88"/>
        <v>0</v>
      </c>
      <c r="X132">
        <f>(ROUND((((S132+ROUND((ROUND(((EU132)*AV132*I132),2)*BS132),2))*AT132)/100),2)+ROUND(((ROUND((ROUND(((AE132-(EU132))*AV132*I132),2)*BS132),2)*AT132)/100),2))</f>
        <v>0</v>
      </c>
      <c r="Y132">
        <f>(ROUND((((S132+ROUND((ROUND(((EU132)*AV132*I132),2)*BS132),2))*AU132)/100),2)+ROUND(((ROUND((ROUND(((AE132-(EU132))*AV132*I132),2)*BS132),2)*AU132)/100),2))</f>
        <v>0</v>
      </c>
      <c r="AA132">
        <v>60258618</v>
      </c>
      <c r="AB132">
        <f t="shared" si="89"/>
        <v>3.83</v>
      </c>
      <c r="AC132">
        <f>ROUND((ES132),6)</f>
        <v>3.83</v>
      </c>
      <c r="AD132">
        <f>ROUND((((ET132)-(EU132))+AE132),6)</f>
        <v>0</v>
      </c>
      <c r="AE132">
        <f t="shared" si="107"/>
        <v>0</v>
      </c>
      <c r="AF132">
        <f t="shared" si="107"/>
        <v>0</v>
      </c>
      <c r="AG132">
        <f t="shared" si="90"/>
        <v>0</v>
      </c>
      <c r="AH132">
        <f t="shared" si="108"/>
        <v>0</v>
      </c>
      <c r="AI132">
        <f t="shared" si="108"/>
        <v>0</v>
      </c>
      <c r="AJ132">
        <f t="shared" si="91"/>
        <v>0</v>
      </c>
      <c r="AK132">
        <v>3.83</v>
      </c>
      <c r="AL132">
        <v>3.83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97</v>
      </c>
      <c r="AU132">
        <v>51</v>
      </c>
      <c r="AV132">
        <v>1</v>
      </c>
      <c r="AW132">
        <v>1</v>
      </c>
      <c r="AZ132">
        <v>1</v>
      </c>
      <c r="BA132">
        <v>1</v>
      </c>
      <c r="BB132">
        <v>1</v>
      </c>
      <c r="BC132">
        <v>7.79</v>
      </c>
      <c r="BD132" t="s">
        <v>3</v>
      </c>
      <c r="BE132" t="s">
        <v>3</v>
      </c>
      <c r="BF132" t="s">
        <v>3</v>
      </c>
      <c r="BG132" t="s">
        <v>3</v>
      </c>
      <c r="BH132">
        <v>3</v>
      </c>
      <c r="BI132">
        <v>2</v>
      </c>
      <c r="BJ132" t="s">
        <v>217</v>
      </c>
      <c r="BM132">
        <v>67</v>
      </c>
      <c r="BN132">
        <v>58973116</v>
      </c>
      <c r="BO132" t="s">
        <v>214</v>
      </c>
      <c r="BP132">
        <v>1</v>
      </c>
      <c r="BQ132">
        <v>40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97</v>
      </c>
      <c r="CA132">
        <v>51</v>
      </c>
      <c r="CB132" t="s">
        <v>3</v>
      </c>
      <c r="CE132">
        <v>1566</v>
      </c>
      <c r="CF132">
        <v>0</v>
      </c>
      <c r="CG132">
        <v>0</v>
      </c>
      <c r="CM132">
        <v>0</v>
      </c>
      <c r="CN132" t="s">
        <v>407</v>
      </c>
      <c r="CO132">
        <v>0</v>
      </c>
      <c r="CP132">
        <f t="shared" si="92"/>
        <v>2983.57</v>
      </c>
      <c r="CQ132">
        <f t="shared" si="93"/>
        <v>29.84</v>
      </c>
      <c r="CR132">
        <f>(ROUND((ROUND(((ET132)*AV132*1),2)*BB132),2)+ROUND((ROUND(((AE132-(EU132))*AV132*1),2)*BS132),2))</f>
        <v>0</v>
      </c>
      <c r="CS132">
        <f>(ROUND((ROUND(((EU132)*AV132*1),2)*BS132),2)+ROUND((ROUND(((AE132-(EU132))*AV132*1),2)*BS132),2))</f>
        <v>0</v>
      </c>
      <c r="CT132">
        <f t="shared" si="94"/>
        <v>0</v>
      </c>
      <c r="CU132">
        <f t="shared" si="95"/>
        <v>0</v>
      </c>
      <c r="CV132">
        <f t="shared" si="96"/>
        <v>0</v>
      </c>
      <c r="CW132">
        <f t="shared" si="97"/>
        <v>0</v>
      </c>
      <c r="CX132">
        <f t="shared" si="98"/>
        <v>0</v>
      </c>
      <c r="CY132">
        <f>(ROUND((((S132+ROUND((ROUND(((EU132)*AV132*1),2)*BS132),2))*AT132)/100),2)+ROUND(((ROUND((ROUND(((AE132-(EU132))*AV132*1),2)*BS132),2)*AT132)/100),2))</f>
        <v>0</v>
      </c>
      <c r="CZ132">
        <f>(ROUND((((S132+ROUND((ROUND(((EU132)*AV132*1),2)*BS132),2))*AU132)/100),2)+ROUND(((ROUND((ROUND(((AE132-(EU132))*AV132*1),2)*BS132),2)*AU132)/100),2))</f>
        <v>0</v>
      </c>
      <c r="DC132" t="s">
        <v>3</v>
      </c>
      <c r="DD132" t="s">
        <v>3</v>
      </c>
      <c r="DE132" t="s">
        <v>3</v>
      </c>
      <c r="DF132" t="s">
        <v>3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  <c r="DN132">
        <v>0</v>
      </c>
      <c r="DO132">
        <v>0</v>
      </c>
      <c r="DP132">
        <v>1</v>
      </c>
      <c r="DQ132">
        <v>1</v>
      </c>
      <c r="DU132">
        <v>1010</v>
      </c>
      <c r="DV132" t="s">
        <v>216</v>
      </c>
      <c r="DW132" t="s">
        <v>216</v>
      </c>
      <c r="DX132">
        <v>1</v>
      </c>
      <c r="DZ132" t="s">
        <v>3</v>
      </c>
      <c r="EA132" t="s">
        <v>3</v>
      </c>
      <c r="EB132" t="s">
        <v>3</v>
      </c>
      <c r="EC132" t="s">
        <v>3</v>
      </c>
      <c r="EE132">
        <v>60088531</v>
      </c>
      <c r="EF132">
        <v>40</v>
      </c>
      <c r="EG132" t="s">
        <v>25</v>
      </c>
      <c r="EH132">
        <v>0</v>
      </c>
      <c r="EI132" t="s">
        <v>3</v>
      </c>
      <c r="EJ132">
        <v>2</v>
      </c>
      <c r="EK132">
        <v>67</v>
      </c>
      <c r="EL132" t="s">
        <v>142</v>
      </c>
      <c r="EM132" t="s">
        <v>143</v>
      </c>
      <c r="EO132" t="s">
        <v>28</v>
      </c>
      <c r="EQ132">
        <v>0</v>
      </c>
      <c r="ER132">
        <v>3.83</v>
      </c>
      <c r="ES132">
        <v>3.83</v>
      </c>
      <c r="ET132">
        <v>0</v>
      </c>
      <c r="EU132">
        <v>0</v>
      </c>
      <c r="EV132">
        <v>0</v>
      </c>
      <c r="EW132">
        <v>0</v>
      </c>
      <c r="EX132">
        <v>0</v>
      </c>
      <c r="FQ132">
        <v>0</v>
      </c>
      <c r="FR132">
        <v>0</v>
      </c>
      <c r="FS132">
        <v>0</v>
      </c>
      <c r="FX132">
        <v>97</v>
      </c>
      <c r="FY132">
        <v>51</v>
      </c>
      <c r="GA132" t="s">
        <v>3</v>
      </c>
      <c r="GD132">
        <v>1</v>
      </c>
      <c r="GF132">
        <v>1928261302</v>
      </c>
      <c r="GG132">
        <v>2</v>
      </c>
      <c r="GH132">
        <v>1</v>
      </c>
      <c r="GI132">
        <v>2</v>
      </c>
      <c r="GJ132">
        <v>0</v>
      </c>
      <c r="GK132">
        <v>0</v>
      </c>
      <c r="GL132">
        <f t="shared" si="99"/>
        <v>0</v>
      </c>
      <c r="GM132">
        <f t="shared" si="100"/>
        <v>2983.57</v>
      </c>
      <c r="GN132">
        <f t="shared" si="101"/>
        <v>0</v>
      </c>
      <c r="GO132">
        <f t="shared" si="102"/>
        <v>2983.57</v>
      </c>
      <c r="GP132">
        <f t="shared" si="103"/>
        <v>0</v>
      </c>
      <c r="GR132">
        <v>0</v>
      </c>
      <c r="GS132">
        <v>3</v>
      </c>
      <c r="GT132">
        <v>0</v>
      </c>
      <c r="GU132" t="s">
        <v>3</v>
      </c>
      <c r="GV132">
        <f t="shared" si="104"/>
        <v>0</v>
      </c>
      <c r="GW132">
        <v>1</v>
      </c>
      <c r="GX132">
        <f t="shared" si="105"/>
        <v>0</v>
      </c>
      <c r="HA132">
        <v>0</v>
      </c>
      <c r="HB132">
        <v>0</v>
      </c>
      <c r="HC132">
        <f t="shared" si="106"/>
        <v>0</v>
      </c>
      <c r="HE132" t="s">
        <v>3</v>
      </c>
      <c r="HF132" t="s">
        <v>3</v>
      </c>
      <c r="HM132" t="s">
        <v>23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3" spans="1:255" x14ac:dyDescent="0.2">
      <c r="A133" s="2">
        <v>17</v>
      </c>
      <c r="B133" s="2">
        <v>1</v>
      </c>
      <c r="C133" s="2">
        <f>ROW(SmtRes!A82)</f>
        <v>82</v>
      </c>
      <c r="D133" s="2">
        <f>ROW(EtalonRes!A102)</f>
        <v>102</v>
      </c>
      <c r="E133" s="2" t="s">
        <v>218</v>
      </c>
      <c r="F133" s="2" t="s">
        <v>219</v>
      </c>
      <c r="G133" s="2" t="s">
        <v>220</v>
      </c>
      <c r="H133" s="2" t="s">
        <v>206</v>
      </c>
      <c r="I133" s="2">
        <f>ROUND(50/100,9)</f>
        <v>0.5</v>
      </c>
      <c r="J133" s="2">
        <v>0</v>
      </c>
      <c r="K133" s="2">
        <f>ROUND(50/100,9)</f>
        <v>0.5</v>
      </c>
      <c r="L133" s="2"/>
      <c r="M133" s="2"/>
      <c r="N133" s="2"/>
      <c r="O133" s="2">
        <f t="shared" si="82"/>
        <v>637.78</v>
      </c>
      <c r="P133" s="2">
        <f t="shared" si="83"/>
        <v>144.29</v>
      </c>
      <c r="Q133" s="2">
        <f>(ROUND((ROUND((((ET133*1.1))*AV133*I133),2)*BB133),2)+ROUND((ROUND(((AE133-((EU133*1.1)))*AV133*I133),2)*BS133),2))</f>
        <v>303.36</v>
      </c>
      <c r="R133" s="2">
        <f>(ROUND((ROUND((((EU133*1.1))*AV133*I133),2)*BS133),2)+ROUND((ROUND(((AE133-((EU133*1.1)))*AV133*I133),2)*BS133),2))</f>
        <v>130.30000000000001</v>
      </c>
      <c r="S133" s="2">
        <f t="shared" si="84"/>
        <v>190.13</v>
      </c>
      <c r="T133" s="2">
        <f t="shared" si="85"/>
        <v>0</v>
      </c>
      <c r="U133" s="2">
        <f t="shared" si="86"/>
        <v>15.432780000000001</v>
      </c>
      <c r="V133" s="2">
        <f t="shared" si="87"/>
        <v>0</v>
      </c>
      <c r="W133" s="2">
        <f t="shared" si="88"/>
        <v>0</v>
      </c>
      <c r="X133" s="2">
        <f>(ROUND((((S133+ROUND((ROUND((((EU133*1.1))*AV133*I133),2)*BS133),2))*AT133)/100),2)+ROUND(((ROUND((ROUND(((AE133-((EU133*1.1)))*AV133*I133),2)*BS133),2)*AT133)/100),2))</f>
        <v>310.82</v>
      </c>
      <c r="Y133" s="2">
        <f>(ROUND((((S133+ROUND((ROUND((((EU133*1.1))*AV133*I133),2)*BS133),2))*AU133)/100),2)+ROUND(((ROUND((ROUND(((AE133-((EU133*1.1)))*AV133*I133),2)*BS133),2)*AU133)/100),2))</f>
        <v>163.41999999999999</v>
      </c>
      <c r="Z133" s="2"/>
      <c r="AA133" s="2">
        <v>60258621</v>
      </c>
      <c r="AB133" s="2">
        <f t="shared" si="89"/>
        <v>1231.259</v>
      </c>
      <c r="AC133" s="2">
        <f>ROUND(((ES133*1)),6)</f>
        <v>288.57</v>
      </c>
      <c r="AD133" s="2">
        <f>ROUND(((((ET133*1.1))-((EU133*1.1)))+AE133),6)</f>
        <v>579.49099999999999</v>
      </c>
      <c r="AE133" s="2">
        <f>ROUND(((EU133*1.1)),6)</f>
        <v>248.90799999999999</v>
      </c>
      <c r="AF133" s="2">
        <f>ROUND(((EV133*1.1)),6)</f>
        <v>363.19799999999998</v>
      </c>
      <c r="AG133" s="2">
        <f t="shared" si="90"/>
        <v>0</v>
      </c>
      <c r="AH133" s="2">
        <f>((EW133*1.1))</f>
        <v>29.480000000000004</v>
      </c>
      <c r="AI133" s="2">
        <f>((EX133*1.1))</f>
        <v>0</v>
      </c>
      <c r="AJ133" s="2">
        <f t="shared" si="91"/>
        <v>0</v>
      </c>
      <c r="AK133" s="2">
        <v>1145.56</v>
      </c>
      <c r="AL133" s="2">
        <v>288.57</v>
      </c>
      <c r="AM133" s="2">
        <v>526.80999999999995</v>
      </c>
      <c r="AN133" s="2">
        <v>226.28</v>
      </c>
      <c r="AO133" s="2">
        <v>330.18</v>
      </c>
      <c r="AP133" s="2">
        <v>0</v>
      </c>
      <c r="AQ133" s="2">
        <v>26.8</v>
      </c>
      <c r="AR133" s="2">
        <v>0</v>
      </c>
      <c r="AS133" s="2">
        <v>0</v>
      </c>
      <c r="AT133" s="2">
        <v>97</v>
      </c>
      <c r="AU133" s="2">
        <v>51</v>
      </c>
      <c r="AV133" s="2">
        <v>1.0469999999999999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221</v>
      </c>
      <c r="BK133" s="2"/>
      <c r="BL133" s="2"/>
      <c r="BM133" s="2">
        <v>67</v>
      </c>
      <c r="BN133" s="2">
        <v>58973116</v>
      </c>
      <c r="BO133" s="2" t="s">
        <v>219</v>
      </c>
      <c r="BP133" s="2">
        <v>1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97</v>
      </c>
      <c r="CA133" s="2">
        <v>51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407</v>
      </c>
      <c r="CO133" s="2">
        <v>0</v>
      </c>
      <c r="CP133" s="2">
        <f t="shared" si="92"/>
        <v>637.78</v>
      </c>
      <c r="CQ133" s="2">
        <f t="shared" si="93"/>
        <v>288.57</v>
      </c>
      <c r="CR133" s="2">
        <f>(ROUND((ROUND((((ET133*1.1))*AV133*1),2)*BB133),2)+ROUND((ROUND(((AE133-((EU133*1.1)))*AV133*1),2)*BS133),2))</f>
        <v>606.73</v>
      </c>
      <c r="CS133" s="2">
        <f>(ROUND((ROUND((((EU133*1.1))*AV133*1),2)*BS133),2)+ROUND((ROUND(((AE133-((EU133*1.1)))*AV133*1),2)*BS133),2))</f>
        <v>260.61</v>
      </c>
      <c r="CT133" s="2">
        <f t="shared" si="94"/>
        <v>380.27</v>
      </c>
      <c r="CU133" s="2">
        <f t="shared" si="95"/>
        <v>0</v>
      </c>
      <c r="CV133" s="2">
        <f t="shared" si="96"/>
        <v>30.865560000000002</v>
      </c>
      <c r="CW133" s="2">
        <f t="shared" si="97"/>
        <v>0</v>
      </c>
      <c r="CX133" s="2">
        <f t="shared" si="98"/>
        <v>0</v>
      </c>
      <c r="CY133" s="2">
        <f>(ROUND((((S133+ROUND((ROUND((((EU133*1.1))*AV133*1),2)*BS133),2))*AT133)/100),2)+ROUND(((ROUND((ROUND(((AE133-((EU133*1.1)))*AV133*1),2)*BS133),2)*AT133)/100),2))</f>
        <v>437.22</v>
      </c>
      <c r="CZ133" s="2">
        <f>(ROUND((((S133+ROUND((ROUND((((EU133*1.1))*AV133*1),2)*BS133),2))*AU133)/100),2)+ROUND(((ROUND((ROUND(((AE133-((EU133*1.1)))*AV133*1),2)*BS133),2)*AU133)/100),2))</f>
        <v>229.88</v>
      </c>
      <c r="DA133" s="2"/>
      <c r="DB133" s="2">
        <v>33</v>
      </c>
      <c r="DC133" s="2" t="s">
        <v>3</v>
      </c>
      <c r="DD133" s="2" t="s">
        <v>23</v>
      </c>
      <c r="DE133" s="2" t="s">
        <v>24</v>
      </c>
      <c r="DF133" s="2" t="s">
        <v>24</v>
      </c>
      <c r="DG133" s="2" t="s">
        <v>24</v>
      </c>
      <c r="DH133" s="2" t="s">
        <v>3</v>
      </c>
      <c r="DI133" s="2" t="s">
        <v>24</v>
      </c>
      <c r="DJ133" s="2" t="s">
        <v>24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1003</v>
      </c>
      <c r="DV133" s="2" t="s">
        <v>206</v>
      </c>
      <c r="DW133" s="2" t="s">
        <v>206</v>
      </c>
      <c r="DX133" s="2">
        <v>100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60088531</v>
      </c>
      <c r="EF133" s="2">
        <v>40</v>
      </c>
      <c r="EG133" s="2" t="s">
        <v>25</v>
      </c>
      <c r="EH133" s="2">
        <v>0</v>
      </c>
      <c r="EI133" s="2" t="s">
        <v>3</v>
      </c>
      <c r="EJ133" s="2">
        <v>2</v>
      </c>
      <c r="EK133" s="2">
        <v>67</v>
      </c>
      <c r="EL133" s="2" t="s">
        <v>142</v>
      </c>
      <c r="EM133" s="2" t="s">
        <v>143</v>
      </c>
      <c r="EN133" s="2"/>
      <c r="EO133" s="2" t="s">
        <v>28</v>
      </c>
      <c r="EP133" s="2"/>
      <c r="EQ133" s="2">
        <v>0</v>
      </c>
      <c r="ER133" s="2">
        <v>1145.56</v>
      </c>
      <c r="ES133" s="2">
        <v>288.57</v>
      </c>
      <c r="ET133" s="2">
        <v>526.80999999999995</v>
      </c>
      <c r="EU133" s="2">
        <v>226.28</v>
      </c>
      <c r="EV133" s="2">
        <v>330.18</v>
      </c>
      <c r="EW133" s="2">
        <v>26.8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97</v>
      </c>
      <c r="FY133" s="2">
        <v>51</v>
      </c>
      <c r="FZ133" s="2"/>
      <c r="GA133" s="2" t="s">
        <v>3</v>
      </c>
      <c r="GB133" s="2"/>
      <c r="GC133" s="2"/>
      <c r="GD133" s="2">
        <v>1</v>
      </c>
      <c r="GE133" s="2"/>
      <c r="GF133" s="2">
        <v>-259069306</v>
      </c>
      <c r="GG133" s="2">
        <v>2</v>
      </c>
      <c r="GH133" s="2">
        <v>1</v>
      </c>
      <c r="GI133" s="2">
        <v>2</v>
      </c>
      <c r="GJ133" s="2">
        <v>0</v>
      </c>
      <c r="GK133" s="2">
        <v>0</v>
      </c>
      <c r="GL133" s="2">
        <f t="shared" si="99"/>
        <v>0</v>
      </c>
      <c r="GM133" s="2">
        <f t="shared" si="100"/>
        <v>1112.02</v>
      </c>
      <c r="GN133" s="2">
        <f t="shared" si="101"/>
        <v>0</v>
      </c>
      <c r="GO133" s="2">
        <f t="shared" si="102"/>
        <v>1112.02</v>
      </c>
      <c r="GP133" s="2">
        <f t="shared" si="103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04"/>
        <v>0</v>
      </c>
      <c r="GW133" s="2">
        <v>1</v>
      </c>
      <c r="GX133" s="2">
        <f t="shared" si="105"/>
        <v>0</v>
      </c>
      <c r="GY133" s="2"/>
      <c r="GZ133" s="2"/>
      <c r="HA133" s="2">
        <v>0</v>
      </c>
      <c r="HB133" s="2">
        <v>0</v>
      </c>
      <c r="HC133" s="2">
        <f t="shared" si="106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>
        <v>17</v>
      </c>
      <c r="B134">
        <v>1</v>
      </c>
      <c r="C134">
        <f>ROW(SmtRes!A96)</f>
        <v>96</v>
      </c>
      <c r="D134">
        <f>ROW(EtalonRes!A120)</f>
        <v>120</v>
      </c>
      <c r="E134" t="s">
        <v>218</v>
      </c>
      <c r="F134" t="s">
        <v>219</v>
      </c>
      <c r="G134" t="s">
        <v>220</v>
      </c>
      <c r="H134" t="s">
        <v>206</v>
      </c>
      <c r="I134">
        <f>ROUND(50/100,9)</f>
        <v>0.5</v>
      </c>
      <c r="J134">
        <v>0</v>
      </c>
      <c r="K134">
        <f>ROUND(50/100,9)</f>
        <v>0.5</v>
      </c>
      <c r="O134">
        <f t="shared" si="82"/>
        <v>20337.060000000001</v>
      </c>
      <c r="P134">
        <f t="shared" si="83"/>
        <v>802.25</v>
      </c>
      <c r="Q134">
        <f>(ROUND((ROUND((((ET134*1.1))*AV134*I134),2)*BB134),2)+ROUND((ROUND(((AE134-((EU134*1.1)))*AV134*I134),2)*BS134),2))</f>
        <v>9079.56</v>
      </c>
      <c r="R134">
        <f>(ROUND((ROUND((((EU134*1.1))*AV134*I134),2)*BS134),2)+ROUND((ROUND(((AE134-((EU134*1.1)))*AV134*I134),2)*BS134),2))</f>
        <v>7165.2</v>
      </c>
      <c r="S134">
        <f t="shared" si="84"/>
        <v>10455.25</v>
      </c>
      <c r="T134">
        <f t="shared" si="85"/>
        <v>0</v>
      </c>
      <c r="U134">
        <f t="shared" si="86"/>
        <v>15.432780000000001</v>
      </c>
      <c r="V134">
        <f t="shared" si="87"/>
        <v>0</v>
      </c>
      <c r="W134">
        <f t="shared" si="88"/>
        <v>0</v>
      </c>
      <c r="X134">
        <f>(ROUND((((S134+ROUND((ROUND((((EU134*1.1))*AV134*I134),2)*BS134),2))*AT134)/100),2)+ROUND(((ROUND((ROUND(((AE134-((EU134*1.1)))*AV134*I134),2)*BS134),2)*AT134)/100),2))</f>
        <v>17091.84</v>
      </c>
      <c r="Y134">
        <f>(ROUND((((S134+ROUND((ROUND((((EU134*1.1))*AV134*I134),2)*BS134),2))*AU134)/100),2)+ROUND(((ROUND((ROUND(((AE134-((EU134*1.1)))*AV134*I134),2)*BS134),2)*AU134)/100),2))</f>
        <v>8986.43</v>
      </c>
      <c r="AA134">
        <v>60258618</v>
      </c>
      <c r="AB134">
        <f t="shared" si="89"/>
        <v>1231.259</v>
      </c>
      <c r="AC134">
        <f>ROUND(((ES134*1)),6)</f>
        <v>288.57</v>
      </c>
      <c r="AD134">
        <f>ROUND(((((ET134*1.1))-((EU134*1.1)))+AE134),6)</f>
        <v>579.49099999999999</v>
      </c>
      <c r="AE134">
        <f>ROUND(((EU134*1.1)),6)</f>
        <v>248.90799999999999</v>
      </c>
      <c r="AF134">
        <f>ROUND(((EV134*1.1)),6)</f>
        <v>363.19799999999998</v>
      </c>
      <c r="AG134">
        <f t="shared" si="90"/>
        <v>0</v>
      </c>
      <c r="AH134">
        <f>((EW134*1.1))</f>
        <v>29.480000000000004</v>
      </c>
      <c r="AI134">
        <f>((EX134*1.1))</f>
        <v>0</v>
      </c>
      <c r="AJ134">
        <f t="shared" si="91"/>
        <v>0</v>
      </c>
      <c r="AK134">
        <v>1145.56</v>
      </c>
      <c r="AL134">
        <v>288.57</v>
      </c>
      <c r="AM134">
        <v>526.80999999999995</v>
      </c>
      <c r="AN134">
        <v>226.28</v>
      </c>
      <c r="AO134">
        <v>330.18</v>
      </c>
      <c r="AP134">
        <v>0</v>
      </c>
      <c r="AQ134">
        <v>26.8</v>
      </c>
      <c r="AR134">
        <v>0</v>
      </c>
      <c r="AS134">
        <v>0</v>
      </c>
      <c r="AT134">
        <v>97</v>
      </c>
      <c r="AU134">
        <v>51</v>
      </c>
      <c r="AV134">
        <v>1.0469999999999999</v>
      </c>
      <c r="AW134">
        <v>1</v>
      </c>
      <c r="AZ134">
        <v>1</v>
      </c>
      <c r="BA134">
        <v>54.99</v>
      </c>
      <c r="BB134">
        <v>29.93</v>
      </c>
      <c r="BC134">
        <v>5.56</v>
      </c>
      <c r="BD134" t="s">
        <v>3</v>
      </c>
      <c r="BE134" t="s">
        <v>3</v>
      </c>
      <c r="BF134" t="s">
        <v>3</v>
      </c>
      <c r="BG134" t="s">
        <v>3</v>
      </c>
      <c r="BH134">
        <v>0</v>
      </c>
      <c r="BI134">
        <v>2</v>
      </c>
      <c r="BJ134" t="s">
        <v>221</v>
      </c>
      <c r="BM134">
        <v>67</v>
      </c>
      <c r="BN134">
        <v>58973116</v>
      </c>
      <c r="BO134" t="s">
        <v>219</v>
      </c>
      <c r="BP134">
        <v>1</v>
      </c>
      <c r="BQ134">
        <v>40</v>
      </c>
      <c r="BR134">
        <v>0</v>
      </c>
      <c r="BS134">
        <v>54.99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97</v>
      </c>
      <c r="CA134">
        <v>51</v>
      </c>
      <c r="CB134" t="s">
        <v>3</v>
      </c>
      <c r="CE134">
        <v>1566</v>
      </c>
      <c r="CF134">
        <v>0</v>
      </c>
      <c r="CG134">
        <v>0</v>
      </c>
      <c r="CM134">
        <v>0</v>
      </c>
      <c r="CN134" t="s">
        <v>407</v>
      </c>
      <c r="CO134">
        <v>0</v>
      </c>
      <c r="CP134">
        <f t="shared" si="92"/>
        <v>20337.059999999998</v>
      </c>
      <c r="CQ134">
        <f t="shared" si="93"/>
        <v>1604.45</v>
      </c>
      <c r="CR134">
        <f>(ROUND((ROUND((((ET134*1.1))*AV134*1),2)*BB134),2)+ROUND((ROUND(((AE134-((EU134*1.1)))*AV134*1),2)*BS134),2))</f>
        <v>18159.43</v>
      </c>
      <c r="CS134">
        <f>(ROUND((ROUND((((EU134*1.1))*AV134*1),2)*BS134),2)+ROUND((ROUND(((AE134-((EU134*1.1)))*AV134*1),2)*BS134),2))</f>
        <v>14330.94</v>
      </c>
      <c r="CT134">
        <f t="shared" si="94"/>
        <v>20911.05</v>
      </c>
      <c r="CU134">
        <f t="shared" si="95"/>
        <v>0</v>
      </c>
      <c r="CV134">
        <f t="shared" si="96"/>
        <v>30.865560000000002</v>
      </c>
      <c r="CW134">
        <f t="shared" si="97"/>
        <v>0</v>
      </c>
      <c r="CX134">
        <f t="shared" si="98"/>
        <v>0</v>
      </c>
      <c r="CY134">
        <f>(ROUND((((S134+ROUND((ROUND((((EU134*1.1))*AV134*1),2)*BS134),2))*AT134)/100),2)+ROUND(((ROUND((ROUND(((AE134-((EU134*1.1)))*AV134*1),2)*BS134),2)*AT134)/100),2))</f>
        <v>24042.6</v>
      </c>
      <c r="CZ134">
        <f>(ROUND((((S134+ROUND((ROUND((((EU134*1.1))*AV134*1),2)*BS134),2))*AU134)/100),2)+ROUND(((ROUND((ROUND(((AE134-((EU134*1.1)))*AV134*1),2)*BS134),2)*AU134)/100),2))</f>
        <v>12640.96</v>
      </c>
      <c r="DB134">
        <v>34</v>
      </c>
      <c r="DC134" t="s">
        <v>3</v>
      </c>
      <c r="DD134" t="s">
        <v>23</v>
      </c>
      <c r="DE134" t="s">
        <v>24</v>
      </c>
      <c r="DF134" t="s">
        <v>24</v>
      </c>
      <c r="DG134" t="s">
        <v>24</v>
      </c>
      <c r="DH134" t="s">
        <v>3</v>
      </c>
      <c r="DI134" t="s">
        <v>24</v>
      </c>
      <c r="DJ134" t="s">
        <v>24</v>
      </c>
      <c r="DK134" t="s">
        <v>3</v>
      </c>
      <c r="DL134" t="s">
        <v>3</v>
      </c>
      <c r="DM134" t="s">
        <v>3</v>
      </c>
      <c r="DN134">
        <v>0</v>
      </c>
      <c r="DO134">
        <v>0</v>
      </c>
      <c r="DP134">
        <v>1</v>
      </c>
      <c r="DQ134">
        <v>1</v>
      </c>
      <c r="DU134">
        <v>1003</v>
      </c>
      <c r="DV134" t="s">
        <v>206</v>
      </c>
      <c r="DW134" t="s">
        <v>206</v>
      </c>
      <c r="DX134">
        <v>100</v>
      </c>
      <c r="DZ134" t="s">
        <v>3</v>
      </c>
      <c r="EA134" t="s">
        <v>3</v>
      </c>
      <c r="EB134" t="s">
        <v>3</v>
      </c>
      <c r="EC134" t="s">
        <v>3</v>
      </c>
      <c r="EE134">
        <v>60088531</v>
      </c>
      <c r="EF134">
        <v>40</v>
      </c>
      <c r="EG134" t="s">
        <v>25</v>
      </c>
      <c r="EH134">
        <v>0</v>
      </c>
      <c r="EI134" t="s">
        <v>3</v>
      </c>
      <c r="EJ134">
        <v>2</v>
      </c>
      <c r="EK134">
        <v>67</v>
      </c>
      <c r="EL134" t="s">
        <v>142</v>
      </c>
      <c r="EM134" t="s">
        <v>143</v>
      </c>
      <c r="EO134" t="s">
        <v>28</v>
      </c>
      <c r="EQ134">
        <v>0</v>
      </c>
      <c r="ER134">
        <v>1145.56</v>
      </c>
      <c r="ES134">
        <v>288.57</v>
      </c>
      <c r="ET134">
        <v>526.80999999999995</v>
      </c>
      <c r="EU134">
        <v>226.28</v>
      </c>
      <c r="EV134">
        <v>330.18</v>
      </c>
      <c r="EW134">
        <v>26.8</v>
      </c>
      <c r="EX134">
        <v>0</v>
      </c>
      <c r="EY134">
        <v>0</v>
      </c>
      <c r="FQ134">
        <v>0</v>
      </c>
      <c r="FR134">
        <v>0</v>
      </c>
      <c r="FS134">
        <v>0</v>
      </c>
      <c r="FX134">
        <v>97</v>
      </c>
      <c r="FY134">
        <v>51</v>
      </c>
      <c r="GA134" t="s">
        <v>3</v>
      </c>
      <c r="GD134">
        <v>1</v>
      </c>
      <c r="GF134">
        <v>-259069306</v>
      </c>
      <c r="GG134">
        <v>2</v>
      </c>
      <c r="GH134">
        <v>1</v>
      </c>
      <c r="GI134">
        <v>2</v>
      </c>
      <c r="GJ134">
        <v>0</v>
      </c>
      <c r="GK134">
        <v>0</v>
      </c>
      <c r="GL134">
        <f t="shared" si="99"/>
        <v>0</v>
      </c>
      <c r="GM134">
        <f t="shared" si="100"/>
        <v>46415.33</v>
      </c>
      <c r="GN134">
        <f t="shared" si="101"/>
        <v>0</v>
      </c>
      <c r="GO134">
        <f t="shared" si="102"/>
        <v>46415.33</v>
      </c>
      <c r="GP134">
        <f t="shared" si="103"/>
        <v>0</v>
      </c>
      <c r="GR134">
        <v>0</v>
      </c>
      <c r="GS134">
        <v>3</v>
      </c>
      <c r="GT134">
        <v>0</v>
      </c>
      <c r="GU134" t="s">
        <v>3</v>
      </c>
      <c r="GV134">
        <f t="shared" si="104"/>
        <v>0</v>
      </c>
      <c r="GW134">
        <v>1</v>
      </c>
      <c r="GX134">
        <f t="shared" si="105"/>
        <v>0</v>
      </c>
      <c r="HA134">
        <v>0</v>
      </c>
      <c r="HB134">
        <v>0</v>
      </c>
      <c r="HC134">
        <f t="shared" si="106"/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HS134">
        <v>0</v>
      </c>
      <c r="IK134">
        <v>0</v>
      </c>
    </row>
    <row r="135" spans="1:255" x14ac:dyDescent="0.2">
      <c r="A135" s="2">
        <v>18</v>
      </c>
      <c r="B135" s="2">
        <v>1</v>
      </c>
      <c r="C135" s="2">
        <v>79</v>
      </c>
      <c r="D135" s="2"/>
      <c r="E135" s="2" t="s">
        <v>222</v>
      </c>
      <c r="F135" s="2" t="s">
        <v>223</v>
      </c>
      <c r="G135" s="2" t="s">
        <v>224</v>
      </c>
      <c r="H135" s="2" t="s">
        <v>211</v>
      </c>
      <c r="I135" s="2">
        <f>I133*J135</f>
        <v>51.5</v>
      </c>
      <c r="J135" s="2">
        <v>103</v>
      </c>
      <c r="K135" s="2">
        <v>103</v>
      </c>
      <c r="L135" s="2"/>
      <c r="M135" s="2"/>
      <c r="N135" s="2"/>
      <c r="O135" s="2">
        <f t="shared" si="82"/>
        <v>1124.76</v>
      </c>
      <c r="P135" s="2">
        <f t="shared" si="83"/>
        <v>1124.76</v>
      </c>
      <c r="Q135" s="2">
        <f>(ROUND((ROUND(((ET135)*AV135*I135),2)*BB135),2)+ROUND((ROUND(((AE135-(EU135))*AV135*I135),2)*BS135),2))</f>
        <v>0</v>
      </c>
      <c r="R135" s="2">
        <f>(ROUND((ROUND(((EU135)*AV135*I135),2)*BS135),2)+ROUND((ROUND(((AE135-(EU135))*AV135*I135),2)*BS135),2))</f>
        <v>0</v>
      </c>
      <c r="S135" s="2">
        <f t="shared" si="84"/>
        <v>0</v>
      </c>
      <c r="T135" s="2">
        <f t="shared" si="85"/>
        <v>0</v>
      </c>
      <c r="U135" s="2">
        <f t="shared" si="86"/>
        <v>0</v>
      </c>
      <c r="V135" s="2">
        <f t="shared" si="87"/>
        <v>0</v>
      </c>
      <c r="W135" s="2">
        <f t="shared" si="88"/>
        <v>0</v>
      </c>
      <c r="X135" s="2">
        <f>(ROUND((((S135+ROUND((ROUND(((EU135)*AV135*I135),2)*BS135),2))*AT135)/100),2)+ROUND(((ROUND((ROUND(((AE135-(EU135))*AV135*I135),2)*BS135),2)*AT135)/100),2))</f>
        <v>0</v>
      </c>
      <c r="Y135" s="2">
        <f>(ROUND((((S135+ROUND((ROUND(((EU135)*AV135*I135),2)*BS135),2))*AU135)/100),2)+ROUND(((ROUND((ROUND(((AE135-(EU135))*AV135*I135),2)*BS135),2)*AU135)/100),2))</f>
        <v>0</v>
      </c>
      <c r="Z135" s="2"/>
      <c r="AA135" s="2">
        <v>60258621</v>
      </c>
      <c r="AB135" s="2">
        <f t="shared" si="89"/>
        <v>21.84</v>
      </c>
      <c r="AC135" s="2">
        <f>ROUND((ES135),6)</f>
        <v>21.84</v>
      </c>
      <c r="AD135" s="2">
        <f>ROUND((((ET135)-(EU135))+AE135),6)</f>
        <v>0</v>
      </c>
      <c r="AE135" s="2">
        <f t="shared" ref="AE135:AF138" si="109">ROUND((EU135),6)</f>
        <v>0</v>
      </c>
      <c r="AF135" s="2">
        <f t="shared" si="109"/>
        <v>0</v>
      </c>
      <c r="AG135" s="2">
        <f t="shared" si="90"/>
        <v>0</v>
      </c>
      <c r="AH135" s="2">
        <f t="shared" ref="AH135:AI138" si="110">(EW135)</f>
        <v>0</v>
      </c>
      <c r="AI135" s="2">
        <f t="shared" si="110"/>
        <v>0</v>
      </c>
      <c r="AJ135" s="2">
        <f t="shared" si="91"/>
        <v>0</v>
      </c>
      <c r="AK135" s="2">
        <v>21.84</v>
      </c>
      <c r="AL135" s="2">
        <v>21.84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97</v>
      </c>
      <c r="AU135" s="2">
        <v>51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2</v>
      </c>
      <c r="BJ135" s="2" t="s">
        <v>225</v>
      </c>
      <c r="BK135" s="2"/>
      <c r="BL135" s="2"/>
      <c r="BM135" s="2">
        <v>67</v>
      </c>
      <c r="BN135" s="2">
        <v>58973116</v>
      </c>
      <c r="BO135" s="2" t="s">
        <v>3</v>
      </c>
      <c r="BP135" s="2">
        <v>0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97</v>
      </c>
      <c r="CA135" s="2">
        <v>51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407</v>
      </c>
      <c r="CO135" s="2">
        <v>0</v>
      </c>
      <c r="CP135" s="2">
        <f t="shared" si="92"/>
        <v>1124.76</v>
      </c>
      <c r="CQ135" s="2">
        <f t="shared" si="93"/>
        <v>21.84</v>
      </c>
      <c r="CR135" s="2">
        <f>(ROUND((ROUND(((ET135)*AV135*1),2)*BB135),2)+ROUND((ROUND(((AE135-(EU135))*AV135*1),2)*BS135),2))</f>
        <v>0</v>
      </c>
      <c r="CS135" s="2">
        <f>(ROUND((ROUND(((EU135)*AV135*1),2)*BS135),2)+ROUND((ROUND(((AE135-(EU135))*AV135*1),2)*BS135),2))</f>
        <v>0</v>
      </c>
      <c r="CT135" s="2">
        <f t="shared" si="94"/>
        <v>0</v>
      </c>
      <c r="CU135" s="2">
        <f t="shared" si="95"/>
        <v>0</v>
      </c>
      <c r="CV135" s="2">
        <f t="shared" si="96"/>
        <v>0</v>
      </c>
      <c r="CW135" s="2">
        <f t="shared" si="97"/>
        <v>0</v>
      </c>
      <c r="CX135" s="2">
        <f t="shared" si="98"/>
        <v>0</v>
      </c>
      <c r="CY135" s="2">
        <f>(ROUND((((S135+ROUND((ROUND(((EU135)*AV135*1),2)*BS135),2))*AT135)/100),2)+ROUND(((ROUND((ROUND(((AE135-(EU135))*AV135*1),2)*BS135),2)*AT135)/100),2))</f>
        <v>0</v>
      </c>
      <c r="CZ135" s="2">
        <f>(ROUND((((S135+ROUND((ROUND(((EU135)*AV135*1),2)*BS135),2))*AU135)/100),2)+ROUND(((ROUND((ROUND(((AE135-(EU135))*AV135*1),2)*BS135),2)*AU135)/100),2))</f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1003</v>
      </c>
      <c r="DV135" s="2" t="s">
        <v>211</v>
      </c>
      <c r="DW135" s="2" t="s">
        <v>211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60088531</v>
      </c>
      <c r="EF135" s="2">
        <v>40</v>
      </c>
      <c r="EG135" s="2" t="s">
        <v>25</v>
      </c>
      <c r="EH135" s="2">
        <v>0</v>
      </c>
      <c r="EI135" s="2" t="s">
        <v>3</v>
      </c>
      <c r="EJ135" s="2">
        <v>2</v>
      </c>
      <c r="EK135" s="2">
        <v>67</v>
      </c>
      <c r="EL135" s="2" t="s">
        <v>142</v>
      </c>
      <c r="EM135" s="2" t="s">
        <v>143</v>
      </c>
      <c r="EN135" s="2"/>
      <c r="EO135" s="2" t="s">
        <v>28</v>
      </c>
      <c r="EP135" s="2"/>
      <c r="EQ135" s="2">
        <v>0</v>
      </c>
      <c r="ER135" s="2">
        <v>21.84</v>
      </c>
      <c r="ES135" s="2">
        <v>21.84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97</v>
      </c>
      <c r="FY135" s="2">
        <v>51</v>
      </c>
      <c r="FZ135" s="2"/>
      <c r="GA135" s="2" t="s">
        <v>3</v>
      </c>
      <c r="GB135" s="2"/>
      <c r="GC135" s="2"/>
      <c r="GD135" s="2">
        <v>1</v>
      </c>
      <c r="GE135" s="2"/>
      <c r="GF135" s="2">
        <v>1693732463</v>
      </c>
      <c r="GG135" s="2">
        <v>2</v>
      </c>
      <c r="GH135" s="2">
        <v>1</v>
      </c>
      <c r="GI135" s="2">
        <v>-2</v>
      </c>
      <c r="GJ135" s="2">
        <v>0</v>
      </c>
      <c r="GK135" s="2">
        <v>0</v>
      </c>
      <c r="GL135" s="2">
        <f t="shared" si="99"/>
        <v>0</v>
      </c>
      <c r="GM135" s="2">
        <f t="shared" si="100"/>
        <v>1124.76</v>
      </c>
      <c r="GN135" s="2">
        <f t="shared" si="101"/>
        <v>0</v>
      </c>
      <c r="GO135" s="2">
        <f t="shared" si="102"/>
        <v>1124.76</v>
      </c>
      <c r="GP135" s="2">
        <f t="shared" si="103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04"/>
        <v>0</v>
      </c>
      <c r="GW135" s="2">
        <v>1</v>
      </c>
      <c r="GX135" s="2">
        <f t="shared" si="105"/>
        <v>0</v>
      </c>
      <c r="GY135" s="2"/>
      <c r="GZ135" s="2"/>
      <c r="HA135" s="2">
        <v>0</v>
      </c>
      <c r="HB135" s="2">
        <v>0</v>
      </c>
      <c r="HC135" s="2">
        <f t="shared" si="106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23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>
        <v>18</v>
      </c>
      <c r="B136">
        <v>1</v>
      </c>
      <c r="C136">
        <v>93</v>
      </c>
      <c r="E136" t="s">
        <v>222</v>
      </c>
      <c r="F136" t="s">
        <v>223</v>
      </c>
      <c r="G136" t="s">
        <v>224</v>
      </c>
      <c r="H136" t="s">
        <v>211</v>
      </c>
      <c r="I136">
        <f>I134*J136</f>
        <v>51.5</v>
      </c>
      <c r="J136">
        <v>103</v>
      </c>
      <c r="K136">
        <v>103</v>
      </c>
      <c r="O136">
        <f t="shared" si="82"/>
        <v>3700.46</v>
      </c>
      <c r="P136">
        <f t="shared" si="83"/>
        <v>3700.46</v>
      </c>
      <c r="Q136">
        <f>(ROUND((ROUND(((ET136)*AV136*I136),2)*BB136),2)+ROUND((ROUND(((AE136-(EU136))*AV136*I136),2)*BS136),2))</f>
        <v>0</v>
      </c>
      <c r="R136">
        <f>(ROUND((ROUND(((EU136)*AV136*I136),2)*BS136),2)+ROUND((ROUND(((AE136-(EU136))*AV136*I136),2)*BS136),2))</f>
        <v>0</v>
      </c>
      <c r="S136">
        <f t="shared" si="84"/>
        <v>0</v>
      </c>
      <c r="T136">
        <f t="shared" si="85"/>
        <v>0</v>
      </c>
      <c r="U136">
        <f t="shared" si="86"/>
        <v>0</v>
      </c>
      <c r="V136">
        <f t="shared" si="87"/>
        <v>0</v>
      </c>
      <c r="W136">
        <f t="shared" si="88"/>
        <v>0</v>
      </c>
      <c r="X136">
        <f>(ROUND((((S136+ROUND((ROUND(((EU136)*AV136*I136),2)*BS136),2))*AT136)/100),2)+ROUND(((ROUND((ROUND(((AE136-(EU136))*AV136*I136),2)*BS136),2)*AT136)/100),2))</f>
        <v>0</v>
      </c>
      <c r="Y136">
        <f>(ROUND((((S136+ROUND((ROUND(((EU136)*AV136*I136),2)*BS136),2))*AU136)/100),2)+ROUND(((ROUND((ROUND(((AE136-(EU136))*AV136*I136),2)*BS136),2)*AU136)/100),2))</f>
        <v>0</v>
      </c>
      <c r="AA136">
        <v>60258618</v>
      </c>
      <c r="AB136">
        <f t="shared" si="89"/>
        <v>21.84</v>
      </c>
      <c r="AC136">
        <f>ROUND((ES136),6)</f>
        <v>21.84</v>
      </c>
      <c r="AD136">
        <f>ROUND((((ET136)-(EU136))+AE136),6)</f>
        <v>0</v>
      </c>
      <c r="AE136">
        <f t="shared" si="109"/>
        <v>0</v>
      </c>
      <c r="AF136">
        <f t="shared" si="109"/>
        <v>0</v>
      </c>
      <c r="AG136">
        <f t="shared" si="90"/>
        <v>0</v>
      </c>
      <c r="AH136">
        <f t="shared" si="110"/>
        <v>0</v>
      </c>
      <c r="AI136">
        <f t="shared" si="110"/>
        <v>0</v>
      </c>
      <c r="AJ136">
        <f t="shared" si="91"/>
        <v>0</v>
      </c>
      <c r="AK136">
        <v>21.84</v>
      </c>
      <c r="AL136">
        <v>21.84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97</v>
      </c>
      <c r="AU136">
        <v>51</v>
      </c>
      <c r="AV136">
        <v>1</v>
      </c>
      <c r="AW136">
        <v>1</v>
      </c>
      <c r="AZ136">
        <v>1</v>
      </c>
      <c r="BA136">
        <v>1</v>
      </c>
      <c r="BB136">
        <v>1</v>
      </c>
      <c r="BC136">
        <v>3.29</v>
      </c>
      <c r="BD136" t="s">
        <v>3</v>
      </c>
      <c r="BE136" t="s">
        <v>3</v>
      </c>
      <c r="BF136" t="s">
        <v>3</v>
      </c>
      <c r="BG136" t="s">
        <v>3</v>
      </c>
      <c r="BH136">
        <v>3</v>
      </c>
      <c r="BI136">
        <v>2</v>
      </c>
      <c r="BJ136" t="s">
        <v>225</v>
      </c>
      <c r="BM136">
        <v>67</v>
      </c>
      <c r="BN136">
        <v>58973116</v>
      </c>
      <c r="BO136" t="s">
        <v>223</v>
      </c>
      <c r="BP136">
        <v>1</v>
      </c>
      <c r="BQ136">
        <v>40</v>
      </c>
      <c r="BR136">
        <v>0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97</v>
      </c>
      <c r="CA136">
        <v>51</v>
      </c>
      <c r="CB136" t="s">
        <v>3</v>
      </c>
      <c r="CE136">
        <v>1566</v>
      </c>
      <c r="CF136">
        <v>0</v>
      </c>
      <c r="CG136">
        <v>0</v>
      </c>
      <c r="CM136">
        <v>0</v>
      </c>
      <c r="CN136" t="s">
        <v>407</v>
      </c>
      <c r="CO136">
        <v>0</v>
      </c>
      <c r="CP136">
        <f t="shared" si="92"/>
        <v>3700.46</v>
      </c>
      <c r="CQ136">
        <f t="shared" si="93"/>
        <v>71.849999999999994</v>
      </c>
      <c r="CR136">
        <f>(ROUND((ROUND(((ET136)*AV136*1),2)*BB136),2)+ROUND((ROUND(((AE136-(EU136))*AV136*1),2)*BS136),2))</f>
        <v>0</v>
      </c>
      <c r="CS136">
        <f>(ROUND((ROUND(((EU136)*AV136*1),2)*BS136),2)+ROUND((ROUND(((AE136-(EU136))*AV136*1),2)*BS136),2))</f>
        <v>0</v>
      </c>
      <c r="CT136">
        <f t="shared" si="94"/>
        <v>0</v>
      </c>
      <c r="CU136">
        <f t="shared" si="95"/>
        <v>0</v>
      </c>
      <c r="CV136">
        <f t="shared" si="96"/>
        <v>0</v>
      </c>
      <c r="CW136">
        <f t="shared" si="97"/>
        <v>0</v>
      </c>
      <c r="CX136">
        <f t="shared" si="98"/>
        <v>0</v>
      </c>
      <c r="CY136">
        <f>(ROUND((((S136+ROUND((ROUND(((EU136)*AV136*1),2)*BS136),2))*AT136)/100),2)+ROUND(((ROUND((ROUND(((AE136-(EU136))*AV136*1),2)*BS136),2)*AT136)/100),2))</f>
        <v>0</v>
      </c>
      <c r="CZ136">
        <f>(ROUND((((S136+ROUND((ROUND(((EU136)*AV136*1),2)*BS136),2))*AU136)/100),2)+ROUND(((ROUND((ROUND(((AE136-(EU136))*AV136*1),2)*BS136),2)*AU136)/100),2))</f>
        <v>0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>
        <v>0</v>
      </c>
      <c r="DO136">
        <v>0</v>
      </c>
      <c r="DP136">
        <v>1</v>
      </c>
      <c r="DQ136">
        <v>1</v>
      </c>
      <c r="DU136">
        <v>1003</v>
      </c>
      <c r="DV136" t="s">
        <v>211</v>
      </c>
      <c r="DW136" t="s">
        <v>211</v>
      </c>
      <c r="DX136">
        <v>1</v>
      </c>
      <c r="DZ136" t="s">
        <v>3</v>
      </c>
      <c r="EA136" t="s">
        <v>3</v>
      </c>
      <c r="EB136" t="s">
        <v>3</v>
      </c>
      <c r="EC136" t="s">
        <v>3</v>
      </c>
      <c r="EE136">
        <v>60088531</v>
      </c>
      <c r="EF136">
        <v>40</v>
      </c>
      <c r="EG136" t="s">
        <v>25</v>
      </c>
      <c r="EH136">
        <v>0</v>
      </c>
      <c r="EI136" t="s">
        <v>3</v>
      </c>
      <c r="EJ136">
        <v>2</v>
      </c>
      <c r="EK136">
        <v>67</v>
      </c>
      <c r="EL136" t="s">
        <v>142</v>
      </c>
      <c r="EM136" t="s">
        <v>143</v>
      </c>
      <c r="EO136" t="s">
        <v>28</v>
      </c>
      <c r="EQ136">
        <v>0</v>
      </c>
      <c r="ER136">
        <v>21.84</v>
      </c>
      <c r="ES136">
        <v>21.84</v>
      </c>
      <c r="ET136">
        <v>0</v>
      </c>
      <c r="EU136">
        <v>0</v>
      </c>
      <c r="EV136">
        <v>0</v>
      </c>
      <c r="EW136">
        <v>0</v>
      </c>
      <c r="EX136">
        <v>0</v>
      </c>
      <c r="FQ136">
        <v>0</v>
      </c>
      <c r="FR136">
        <v>0</v>
      </c>
      <c r="FS136">
        <v>0</v>
      </c>
      <c r="FX136">
        <v>97</v>
      </c>
      <c r="FY136">
        <v>51</v>
      </c>
      <c r="GA136" t="s">
        <v>3</v>
      </c>
      <c r="GD136">
        <v>1</v>
      </c>
      <c r="GF136">
        <v>1693732463</v>
      </c>
      <c r="GG136">
        <v>2</v>
      </c>
      <c r="GH136">
        <v>1</v>
      </c>
      <c r="GI136">
        <v>2</v>
      </c>
      <c r="GJ136">
        <v>0</v>
      </c>
      <c r="GK136">
        <v>0</v>
      </c>
      <c r="GL136">
        <f t="shared" si="99"/>
        <v>0</v>
      </c>
      <c r="GM136">
        <f t="shared" si="100"/>
        <v>3700.46</v>
      </c>
      <c r="GN136">
        <f t="shared" si="101"/>
        <v>0</v>
      </c>
      <c r="GO136">
        <f t="shared" si="102"/>
        <v>3700.46</v>
      </c>
      <c r="GP136">
        <f t="shared" si="103"/>
        <v>0</v>
      </c>
      <c r="GR136">
        <v>0</v>
      </c>
      <c r="GS136">
        <v>3</v>
      </c>
      <c r="GT136">
        <v>0</v>
      </c>
      <c r="GU136" t="s">
        <v>3</v>
      </c>
      <c r="GV136">
        <f t="shared" si="104"/>
        <v>0</v>
      </c>
      <c r="GW136">
        <v>1</v>
      </c>
      <c r="GX136">
        <f t="shared" si="105"/>
        <v>0</v>
      </c>
      <c r="HA136">
        <v>0</v>
      </c>
      <c r="HB136">
        <v>0</v>
      </c>
      <c r="HC136">
        <f t="shared" si="106"/>
        <v>0</v>
      </c>
      <c r="HE136" t="s">
        <v>3</v>
      </c>
      <c r="HF136" t="s">
        <v>3</v>
      </c>
      <c r="HM136" t="s">
        <v>23</v>
      </c>
      <c r="HN136" t="s">
        <v>3</v>
      </c>
      <c r="HO136" t="s">
        <v>3</v>
      </c>
      <c r="HP136" t="s">
        <v>3</v>
      </c>
      <c r="HQ136" t="s">
        <v>3</v>
      </c>
      <c r="HS136">
        <v>0</v>
      </c>
      <c r="IK136">
        <v>0</v>
      </c>
    </row>
    <row r="137" spans="1:255" x14ac:dyDescent="0.2">
      <c r="A137" s="2">
        <v>17</v>
      </c>
      <c r="B137" s="2">
        <v>1</v>
      </c>
      <c r="C137" s="2"/>
      <c r="D137" s="2"/>
      <c r="E137" s="2" t="s">
        <v>226</v>
      </c>
      <c r="F137" s="2" t="s">
        <v>227</v>
      </c>
      <c r="G137" s="2" t="s">
        <v>228</v>
      </c>
      <c r="H137" s="2" t="s">
        <v>216</v>
      </c>
      <c r="I137" s="2">
        <v>2</v>
      </c>
      <c r="J137" s="2">
        <v>0</v>
      </c>
      <c r="K137" s="2">
        <v>2</v>
      </c>
      <c r="L137" s="2"/>
      <c r="M137" s="2"/>
      <c r="N137" s="2"/>
      <c r="O137" s="2">
        <f t="shared" si="82"/>
        <v>31.58</v>
      </c>
      <c r="P137" s="2">
        <f>ROUND((ROUND((AC137*I137),2)*BC137),2)</f>
        <v>31.58</v>
      </c>
      <c r="Q137" s="2">
        <f>(ROUND((ROUND(((ET137)*AV137*I137),2)*BB137),2)+ROUND((ROUND(((AE137-(EU137))*AV137*I137),2)*BS137),2))</f>
        <v>0</v>
      </c>
      <c r="R137" s="2">
        <f>(ROUND((ROUND(((EU137)*AV137*I137),2)*BS137),2)+ROUND((ROUND(((AE137-(EU137))*AV137*I137),2)*BS137),2))</f>
        <v>0</v>
      </c>
      <c r="S137" s="2">
        <f t="shared" si="84"/>
        <v>0</v>
      </c>
      <c r="T137" s="2">
        <f t="shared" si="85"/>
        <v>0</v>
      </c>
      <c r="U137" s="2">
        <f t="shared" si="86"/>
        <v>0</v>
      </c>
      <c r="V137" s="2">
        <f t="shared" si="87"/>
        <v>0</v>
      </c>
      <c r="W137" s="2">
        <f t="shared" si="88"/>
        <v>0</v>
      </c>
      <c r="X137" s="2">
        <f>(ROUND((((S137+ROUND((ROUND(((EU137)*AV137*I137),2)*BS137),2))*AT137)/100),2)+ROUND(((ROUND((ROUND(((AE137-(EU137))*AV137*I137),2)*BS137),2)*AT137)/100),2))</f>
        <v>0</v>
      </c>
      <c r="Y137" s="2">
        <f>(ROUND((((S137+ROUND((ROUND(((EU137)*AV137*I137),2)*BS137),2))*AU137)/100),2)+ROUND(((ROUND((ROUND(((AE137-(EU137))*AV137*I137),2)*BS137),2)*AU137)/100),2))</f>
        <v>0</v>
      </c>
      <c r="Z137" s="2"/>
      <c r="AA137" s="2">
        <v>60258621</v>
      </c>
      <c r="AB137" s="2">
        <f t="shared" si="89"/>
        <v>15.79</v>
      </c>
      <c r="AC137" s="2">
        <f>ROUND((ES137),6)</f>
        <v>15.79</v>
      </c>
      <c r="AD137" s="2">
        <f>ROUND((((ET137)-(EU137))+AE137),6)</f>
        <v>0</v>
      </c>
      <c r="AE137" s="2">
        <f t="shared" si="109"/>
        <v>0</v>
      </c>
      <c r="AF137" s="2">
        <f t="shared" si="109"/>
        <v>0</v>
      </c>
      <c r="AG137" s="2">
        <f t="shared" si="90"/>
        <v>0</v>
      </c>
      <c r="AH137" s="2">
        <f t="shared" si="110"/>
        <v>0</v>
      </c>
      <c r="AI137" s="2">
        <f t="shared" si="110"/>
        <v>0</v>
      </c>
      <c r="AJ137" s="2">
        <f t="shared" si="91"/>
        <v>0</v>
      </c>
      <c r="AK137" s="2">
        <v>15.79</v>
      </c>
      <c r="AL137" s="2">
        <v>15.79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3</v>
      </c>
      <c r="BJ137" s="2" t="s">
        <v>3</v>
      </c>
      <c r="BK137" s="2"/>
      <c r="BL137" s="2"/>
      <c r="BM137" s="2">
        <v>746</v>
      </c>
      <c r="BN137" s="2">
        <v>58973116</v>
      </c>
      <c r="BO137" s="2" t="s">
        <v>3</v>
      </c>
      <c r="BP137" s="2">
        <v>0</v>
      </c>
      <c r="BQ137" s="2">
        <v>130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92"/>
        <v>31.58</v>
      </c>
      <c r="CQ137" s="2">
        <f>ROUND((ROUND((AC137*1),2)*BC137),2)</f>
        <v>15.79</v>
      </c>
      <c r="CR137" s="2">
        <f>(ROUND((ROUND(((ET137)*AV137*1),2)*BB137),2)+ROUND((ROUND(((AE137-(EU137))*AV137*1),2)*BS137),2))</f>
        <v>0</v>
      </c>
      <c r="CS137" s="2">
        <f>(ROUND((ROUND(((EU137)*AV137*1),2)*BS137),2)+ROUND((ROUND(((AE137-(EU137))*AV137*1),2)*BS137),2))</f>
        <v>0</v>
      </c>
      <c r="CT137" s="2">
        <f t="shared" si="94"/>
        <v>0</v>
      </c>
      <c r="CU137" s="2">
        <f t="shared" si="95"/>
        <v>0</v>
      </c>
      <c r="CV137" s="2">
        <f t="shared" si="96"/>
        <v>0</v>
      </c>
      <c r="CW137" s="2">
        <f t="shared" si="97"/>
        <v>0</v>
      </c>
      <c r="CX137" s="2">
        <f t="shared" si="98"/>
        <v>0</v>
      </c>
      <c r="CY137" s="2">
        <f>(ROUND((((S137+ROUND((ROUND(((EU137)*AV137*1),2)*BS137),2))*AT137)/100),2)+ROUND(((ROUND((ROUND(((AE137-(EU137))*AV137*1),2)*BS137),2)*AT137)/100),2))</f>
        <v>0</v>
      </c>
      <c r="CZ137" s="2">
        <f>(ROUND((((S137+ROUND((ROUND(((EU137)*AV137*1),2)*BS137),2))*AU137)/100),2)+ROUND(((ROUND((ROUND(((AE137-(EU137))*AV137*1),2)*BS137),2)*AU137)/100),2))</f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1010</v>
      </c>
      <c r="DV137" s="2" t="s">
        <v>216</v>
      </c>
      <c r="DW137" s="2" t="s">
        <v>216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60088638</v>
      </c>
      <c r="EF137" s="2">
        <v>130</v>
      </c>
      <c r="EG137" s="2" t="s">
        <v>33</v>
      </c>
      <c r="EH137" s="2">
        <v>0</v>
      </c>
      <c r="EI137" s="2" t="s">
        <v>3</v>
      </c>
      <c r="EJ137" s="2">
        <v>3</v>
      </c>
      <c r="EK137" s="2">
        <v>746</v>
      </c>
      <c r="EL137" s="2" t="s">
        <v>34</v>
      </c>
      <c r="EM137" s="2" t="s">
        <v>35</v>
      </c>
      <c r="EN137" s="2"/>
      <c r="EO137" s="2" t="s">
        <v>3</v>
      </c>
      <c r="EP137" s="2"/>
      <c r="EQ137" s="2">
        <v>0</v>
      </c>
      <c r="ER137" s="2">
        <v>15.79</v>
      </c>
      <c r="ES137" s="2">
        <v>15.79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f>P137</f>
        <v>31.58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3</v>
      </c>
      <c r="GB137" s="2"/>
      <c r="GC137" s="2"/>
      <c r="GD137" s="2">
        <v>1</v>
      </c>
      <c r="GE137" s="2"/>
      <c r="GF137" s="2">
        <v>621879152</v>
      </c>
      <c r="GG137" s="2">
        <v>2</v>
      </c>
      <c r="GH137" s="2">
        <v>1</v>
      </c>
      <c r="GI137" s="2">
        <v>-2</v>
      </c>
      <c r="GJ137" s="2">
        <v>0</v>
      </c>
      <c r="GK137" s="2">
        <v>0</v>
      </c>
      <c r="GL137" s="2">
        <f t="shared" si="99"/>
        <v>0</v>
      </c>
      <c r="GM137" s="2">
        <f t="shared" si="100"/>
        <v>31.58</v>
      </c>
      <c r="GN137" s="2">
        <f t="shared" si="101"/>
        <v>0</v>
      </c>
      <c r="GO137" s="2">
        <f t="shared" si="102"/>
        <v>0</v>
      </c>
      <c r="GP137" s="2">
        <f t="shared" si="103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04"/>
        <v>0</v>
      </c>
      <c r="GW137" s="2">
        <v>1</v>
      </c>
      <c r="GX137" s="2">
        <f t="shared" si="105"/>
        <v>0</v>
      </c>
      <c r="GY137" s="2"/>
      <c r="GZ137" s="2"/>
      <c r="HA137" s="2">
        <v>0</v>
      </c>
      <c r="HB137" s="2">
        <v>0</v>
      </c>
      <c r="HC137" s="2">
        <f t="shared" si="106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>
        <v>17</v>
      </c>
      <c r="B138">
        <v>1</v>
      </c>
      <c r="E138" t="s">
        <v>226</v>
      </c>
      <c r="F138" t="s">
        <v>227</v>
      </c>
      <c r="G138" t="s">
        <v>228</v>
      </c>
      <c r="H138" t="s">
        <v>216</v>
      </c>
      <c r="I138">
        <v>2</v>
      </c>
      <c r="J138">
        <v>0</v>
      </c>
      <c r="K138">
        <v>2</v>
      </c>
      <c r="O138">
        <f t="shared" si="82"/>
        <v>215.69</v>
      </c>
      <c r="P138">
        <f>ROUND((ROUND((AC138*I138),2)*BC138),2)</f>
        <v>215.69</v>
      </c>
      <c r="Q138">
        <f>(ROUND((ROUND(((ET138)*AV138*I138),2)*BB138),2)+ROUND((ROUND(((AE138-(EU138))*AV138*I138),2)*BS138),2))</f>
        <v>0</v>
      </c>
      <c r="R138">
        <f>(ROUND((ROUND(((EU138)*AV138*I138),2)*BS138),2)+ROUND((ROUND(((AE138-(EU138))*AV138*I138),2)*BS138),2))</f>
        <v>0</v>
      </c>
      <c r="S138">
        <f t="shared" si="84"/>
        <v>0</v>
      </c>
      <c r="T138">
        <f t="shared" si="85"/>
        <v>0</v>
      </c>
      <c r="U138">
        <f t="shared" si="86"/>
        <v>0</v>
      </c>
      <c r="V138">
        <f t="shared" si="87"/>
        <v>0</v>
      </c>
      <c r="W138">
        <f t="shared" si="88"/>
        <v>0</v>
      </c>
      <c r="X138">
        <f>(ROUND((((S138+ROUND((ROUND(((EU138)*AV138*I138),2)*BS138),2))*AT138)/100),2)+ROUND(((ROUND((ROUND(((AE138-(EU138))*AV138*I138),2)*BS138),2)*AT138)/100),2))</f>
        <v>0</v>
      </c>
      <c r="Y138">
        <f>(ROUND((((S138+ROUND((ROUND(((EU138)*AV138*I138),2)*BS138),2))*AU138)/100),2)+ROUND(((ROUND((ROUND(((AE138-(EU138))*AV138*I138),2)*BS138),2)*AU138)/100),2))</f>
        <v>0</v>
      </c>
      <c r="AA138">
        <v>60258618</v>
      </c>
      <c r="AB138">
        <f t="shared" si="89"/>
        <v>15.79</v>
      </c>
      <c r="AC138">
        <f>ROUND((ES138),6)</f>
        <v>15.79</v>
      </c>
      <c r="AD138">
        <f>ROUND((((ET138)-(EU138))+AE138),6)</f>
        <v>0</v>
      </c>
      <c r="AE138">
        <f t="shared" si="109"/>
        <v>0</v>
      </c>
      <c r="AF138">
        <f t="shared" si="109"/>
        <v>0</v>
      </c>
      <c r="AG138">
        <f t="shared" si="90"/>
        <v>0</v>
      </c>
      <c r="AH138">
        <f t="shared" si="110"/>
        <v>0</v>
      </c>
      <c r="AI138">
        <f t="shared" si="110"/>
        <v>0</v>
      </c>
      <c r="AJ138">
        <f t="shared" si="91"/>
        <v>0</v>
      </c>
      <c r="AK138">
        <v>15.79</v>
      </c>
      <c r="AL138">
        <v>15.79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1</v>
      </c>
      <c r="AZ138">
        <v>1</v>
      </c>
      <c r="BA138">
        <v>1</v>
      </c>
      <c r="BB138">
        <v>1</v>
      </c>
      <c r="BC138">
        <v>6.83</v>
      </c>
      <c r="BD138" t="s">
        <v>3</v>
      </c>
      <c r="BE138" t="s">
        <v>3</v>
      </c>
      <c r="BF138" t="s">
        <v>3</v>
      </c>
      <c r="BG138" t="s">
        <v>3</v>
      </c>
      <c r="BH138">
        <v>3</v>
      </c>
      <c r="BI138">
        <v>3</v>
      </c>
      <c r="BJ138" t="s">
        <v>3</v>
      </c>
      <c r="BM138">
        <v>746</v>
      </c>
      <c r="BN138">
        <v>58973116</v>
      </c>
      <c r="BO138" t="s">
        <v>3</v>
      </c>
      <c r="BP138">
        <v>0</v>
      </c>
      <c r="BQ138">
        <v>130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0</v>
      </c>
      <c r="CA138">
        <v>0</v>
      </c>
      <c r="CB138" t="s">
        <v>3</v>
      </c>
      <c r="CE138">
        <v>1566</v>
      </c>
      <c r="CF138">
        <v>0</v>
      </c>
      <c r="CG138">
        <v>0</v>
      </c>
      <c r="CM138">
        <v>0</v>
      </c>
      <c r="CN138" t="s">
        <v>3</v>
      </c>
      <c r="CO138">
        <v>0</v>
      </c>
      <c r="CP138">
        <f t="shared" si="92"/>
        <v>215.69</v>
      </c>
      <c r="CQ138">
        <f>ROUND((ROUND((AC138*1),2)*BC138),2)</f>
        <v>107.85</v>
      </c>
      <c r="CR138">
        <f>(ROUND((ROUND(((ET138)*AV138*1),2)*BB138),2)+ROUND((ROUND(((AE138-(EU138))*AV138*1),2)*BS138),2))</f>
        <v>0</v>
      </c>
      <c r="CS138">
        <f>(ROUND((ROUND(((EU138)*AV138*1),2)*BS138),2)+ROUND((ROUND(((AE138-(EU138))*AV138*1),2)*BS138),2))</f>
        <v>0</v>
      </c>
      <c r="CT138">
        <f t="shared" si="94"/>
        <v>0</v>
      </c>
      <c r="CU138">
        <f t="shared" si="95"/>
        <v>0</v>
      </c>
      <c r="CV138">
        <f t="shared" si="96"/>
        <v>0</v>
      </c>
      <c r="CW138">
        <f t="shared" si="97"/>
        <v>0</v>
      </c>
      <c r="CX138">
        <f t="shared" si="98"/>
        <v>0</v>
      </c>
      <c r="CY138">
        <f>(ROUND((((S138+ROUND((ROUND(((EU138)*AV138*1),2)*BS138),2))*AT138)/100),2)+ROUND(((ROUND((ROUND(((AE138-(EU138))*AV138*1),2)*BS138),2)*AT138)/100),2))</f>
        <v>0</v>
      </c>
      <c r="CZ138">
        <f>(ROUND((((S138+ROUND((ROUND(((EU138)*AV138*1),2)*BS138),2))*AU138)/100),2)+ROUND(((ROUND((ROUND(((AE138-(EU138))*AV138*1),2)*BS138),2)*AU138)/100),2))</f>
        <v>0</v>
      </c>
      <c r="DC138" t="s">
        <v>3</v>
      </c>
      <c r="DD138" t="s">
        <v>3</v>
      </c>
      <c r="DE138" t="s">
        <v>3</v>
      </c>
      <c r="DF138" t="s">
        <v>3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>
        <v>0</v>
      </c>
      <c r="DO138">
        <v>0</v>
      </c>
      <c r="DP138">
        <v>1</v>
      </c>
      <c r="DQ138">
        <v>1</v>
      </c>
      <c r="DU138">
        <v>1010</v>
      </c>
      <c r="DV138" t="s">
        <v>216</v>
      </c>
      <c r="DW138" t="s">
        <v>216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60088638</v>
      </c>
      <c r="EF138">
        <v>130</v>
      </c>
      <c r="EG138" t="s">
        <v>33</v>
      </c>
      <c r="EH138">
        <v>0</v>
      </c>
      <c r="EI138" t="s">
        <v>3</v>
      </c>
      <c r="EJ138">
        <v>3</v>
      </c>
      <c r="EK138">
        <v>746</v>
      </c>
      <c r="EL138" t="s">
        <v>34</v>
      </c>
      <c r="EM138" t="s">
        <v>35</v>
      </c>
      <c r="EO138" t="s">
        <v>3</v>
      </c>
      <c r="EQ138">
        <v>0</v>
      </c>
      <c r="ER138">
        <v>15.79</v>
      </c>
      <c r="ES138">
        <v>15.79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FQ138">
        <v>0</v>
      </c>
      <c r="FR138">
        <f>P138</f>
        <v>215.69</v>
      </c>
      <c r="FS138">
        <v>0</v>
      </c>
      <c r="FX138">
        <v>0</v>
      </c>
      <c r="FY138">
        <v>0</v>
      </c>
      <c r="GA138" t="s">
        <v>3</v>
      </c>
      <c r="GD138">
        <v>1</v>
      </c>
      <c r="GF138">
        <v>621879152</v>
      </c>
      <c r="GG138">
        <v>2</v>
      </c>
      <c r="GH138">
        <v>1</v>
      </c>
      <c r="GI138">
        <v>2</v>
      </c>
      <c r="GJ138">
        <v>0</v>
      </c>
      <c r="GK138">
        <v>0</v>
      </c>
      <c r="GL138">
        <f t="shared" si="99"/>
        <v>0</v>
      </c>
      <c r="GM138">
        <f t="shared" si="100"/>
        <v>215.69</v>
      </c>
      <c r="GN138">
        <f t="shared" si="101"/>
        <v>0</v>
      </c>
      <c r="GO138">
        <f t="shared" si="102"/>
        <v>0</v>
      </c>
      <c r="GP138">
        <f t="shared" si="103"/>
        <v>0</v>
      </c>
      <c r="GR138">
        <v>0</v>
      </c>
      <c r="GS138">
        <v>3</v>
      </c>
      <c r="GT138">
        <v>0</v>
      </c>
      <c r="GU138" t="s">
        <v>3</v>
      </c>
      <c r="GV138">
        <f t="shared" si="104"/>
        <v>0</v>
      </c>
      <c r="GW138">
        <v>1</v>
      </c>
      <c r="GX138">
        <f t="shared" si="105"/>
        <v>0</v>
      </c>
      <c r="HA138">
        <v>0</v>
      </c>
      <c r="HB138">
        <v>0</v>
      </c>
      <c r="HC138">
        <f t="shared" si="106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HS138">
        <v>0</v>
      </c>
      <c r="IK138">
        <v>0</v>
      </c>
    </row>
    <row r="139" spans="1:255" x14ac:dyDescent="0.2">
      <c r="A139" s="2">
        <v>17</v>
      </c>
      <c r="B139" s="2">
        <v>1</v>
      </c>
      <c r="C139" s="2">
        <f>ROW(SmtRes!A105)</f>
        <v>105</v>
      </c>
      <c r="D139" s="2">
        <f>ROW(EtalonRes!A130)</f>
        <v>130</v>
      </c>
      <c r="E139" s="2" t="s">
        <v>229</v>
      </c>
      <c r="F139" s="2" t="s">
        <v>230</v>
      </c>
      <c r="G139" s="2" t="s">
        <v>231</v>
      </c>
      <c r="H139" s="2" t="s">
        <v>206</v>
      </c>
      <c r="I139" s="2">
        <f>ROUND(3000/100,9)</f>
        <v>30</v>
      </c>
      <c r="J139" s="2">
        <v>0</v>
      </c>
      <c r="K139" s="2">
        <f>ROUND(3000/100,9)</f>
        <v>30</v>
      </c>
      <c r="L139" s="2"/>
      <c r="M139" s="2"/>
      <c r="N139" s="2"/>
      <c r="O139" s="2">
        <f t="shared" si="82"/>
        <v>3743.27</v>
      </c>
      <c r="P139" s="2">
        <f t="shared" ref="P139:P150" si="111">ROUND((ROUND((AC139*AW139*I139),2)*BC139),2)</f>
        <v>1744.5</v>
      </c>
      <c r="Q139" s="2">
        <f>(ROUND((ROUND((((ET139*1.1))*AV139*I139),2)*BB139),2)+ROUND((ROUND(((AE139-((EU139*1.1)))*AV139*I139),2)*BS139),2))</f>
        <v>90.52</v>
      </c>
      <c r="R139" s="2">
        <f>(ROUND((ROUND((((EU139*1.1))*AV139*I139),2)*BS139),2)+ROUND((ROUND(((AE139-((EU139*1.1)))*AV139*I139),2)*BS139),2))</f>
        <v>10.37</v>
      </c>
      <c r="S139" s="2">
        <f t="shared" si="84"/>
        <v>1908.25</v>
      </c>
      <c r="T139" s="2">
        <f t="shared" si="85"/>
        <v>0</v>
      </c>
      <c r="U139" s="2">
        <f t="shared" si="86"/>
        <v>155.13399000000004</v>
      </c>
      <c r="V139" s="2">
        <f t="shared" si="87"/>
        <v>0</v>
      </c>
      <c r="W139" s="2">
        <f t="shared" si="88"/>
        <v>0</v>
      </c>
      <c r="X139" s="2">
        <f>(ROUND((((S139+ROUND((ROUND((((EU139*1.1))*AV139*I139),2)*BS139),2))*AT139)/100),2)+ROUND(((ROUND((ROUND(((AE139-((EU139*1.1)))*AV139*I139),2)*BS139),2)*AT139)/100),2))</f>
        <v>1861.06</v>
      </c>
      <c r="Y139" s="2">
        <f>(ROUND((((S139+ROUND((ROUND((((EU139*1.1))*AV139*I139),2)*BS139),2))*AU139)/100),2)+ROUND(((ROUND((ROUND(((AE139-((EU139*1.1)))*AV139*I139),2)*BS139),2)*AU139)/100),2))</f>
        <v>978.5</v>
      </c>
      <c r="Z139" s="2"/>
      <c r="AA139" s="2">
        <v>60258621</v>
      </c>
      <c r="AB139" s="2">
        <f t="shared" si="89"/>
        <v>121.785</v>
      </c>
      <c r="AC139" s="2">
        <f>ROUND(((ES139*1)),6)</f>
        <v>58.15</v>
      </c>
      <c r="AD139" s="2">
        <f>ROUND(((((ET139*1.1))-((EU139*1.1)))+AE139),6)</f>
        <v>2.8820000000000001</v>
      </c>
      <c r="AE139" s="2">
        <f t="shared" ref="AE139:AF142" si="112">ROUND(((EU139*1.1)),6)</f>
        <v>0.33</v>
      </c>
      <c r="AF139" s="2">
        <f t="shared" si="112"/>
        <v>60.753</v>
      </c>
      <c r="AG139" s="2">
        <f t="shared" si="90"/>
        <v>0</v>
      </c>
      <c r="AH139" s="2">
        <f t="shared" ref="AH139:AI142" si="113">((EW139*1.1))</f>
        <v>4.9390000000000009</v>
      </c>
      <c r="AI139" s="2">
        <f t="shared" si="113"/>
        <v>0</v>
      </c>
      <c r="AJ139" s="2">
        <f t="shared" si="91"/>
        <v>0</v>
      </c>
      <c r="AK139" s="2">
        <v>116</v>
      </c>
      <c r="AL139" s="2">
        <v>58.15</v>
      </c>
      <c r="AM139" s="2">
        <v>2.62</v>
      </c>
      <c r="AN139" s="2">
        <v>0.3</v>
      </c>
      <c r="AO139" s="2">
        <v>55.23</v>
      </c>
      <c r="AP139" s="2">
        <v>0</v>
      </c>
      <c r="AQ139" s="2">
        <v>4.49</v>
      </c>
      <c r="AR139" s="2">
        <v>0</v>
      </c>
      <c r="AS139" s="2">
        <v>0</v>
      </c>
      <c r="AT139" s="2">
        <v>97</v>
      </c>
      <c r="AU139" s="2">
        <v>51</v>
      </c>
      <c r="AV139" s="2">
        <v>1.0469999999999999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0</v>
      </c>
      <c r="BI139" s="2">
        <v>2</v>
      </c>
      <c r="BJ139" s="2" t="s">
        <v>232</v>
      </c>
      <c r="BK139" s="2"/>
      <c r="BL139" s="2"/>
      <c r="BM139" s="2">
        <v>67</v>
      </c>
      <c r="BN139" s="2">
        <v>58973116</v>
      </c>
      <c r="BO139" s="2" t="s">
        <v>230</v>
      </c>
      <c r="BP139" s="2">
        <v>1</v>
      </c>
      <c r="BQ139" s="2">
        <v>40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97</v>
      </c>
      <c r="CA139" s="2">
        <v>51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407</v>
      </c>
      <c r="CO139" s="2">
        <v>0</v>
      </c>
      <c r="CP139" s="2">
        <f t="shared" si="92"/>
        <v>3743.27</v>
      </c>
      <c r="CQ139" s="2">
        <f t="shared" ref="CQ139:CQ150" si="114">ROUND((ROUND((AC139*AW139*1),2)*BC139),2)</f>
        <v>58.15</v>
      </c>
      <c r="CR139" s="2">
        <f>(ROUND((ROUND((((ET139*1.1))*AV139*1),2)*BB139),2)+ROUND((ROUND(((AE139-((EU139*1.1)))*AV139*1),2)*BS139),2))</f>
        <v>3.02</v>
      </c>
      <c r="CS139" s="2">
        <f>(ROUND((ROUND((((EU139*1.1))*AV139*1),2)*BS139),2)+ROUND((ROUND(((AE139-((EU139*1.1)))*AV139*1),2)*BS139),2))</f>
        <v>0.35</v>
      </c>
      <c r="CT139" s="2">
        <f t="shared" si="94"/>
        <v>63.61</v>
      </c>
      <c r="CU139" s="2">
        <f t="shared" si="95"/>
        <v>0</v>
      </c>
      <c r="CV139" s="2">
        <f t="shared" si="96"/>
        <v>5.1711330000000011</v>
      </c>
      <c r="CW139" s="2">
        <f t="shared" si="97"/>
        <v>0</v>
      </c>
      <c r="CX139" s="2">
        <f t="shared" si="98"/>
        <v>0</v>
      </c>
      <c r="CY139" s="2">
        <f>(ROUND((((S139+ROUND((ROUND((((EU139*1.1))*AV139*1),2)*BS139),2))*AT139)/100),2)+ROUND(((ROUND((ROUND(((AE139-((EU139*1.1)))*AV139*1),2)*BS139),2)*AT139)/100),2))</f>
        <v>1851.34</v>
      </c>
      <c r="CZ139" s="2">
        <f>(ROUND((((S139+ROUND((ROUND((((EU139*1.1))*AV139*1),2)*BS139),2))*AU139)/100),2)+ROUND(((ROUND((ROUND(((AE139-((EU139*1.1)))*AV139*1),2)*BS139),2)*AU139)/100),2))</f>
        <v>973.39</v>
      </c>
      <c r="DA139" s="2"/>
      <c r="DB139" s="2">
        <v>35</v>
      </c>
      <c r="DC139" s="2" t="s">
        <v>3</v>
      </c>
      <c r="DD139" s="2" t="s">
        <v>23</v>
      </c>
      <c r="DE139" s="2" t="s">
        <v>24</v>
      </c>
      <c r="DF139" s="2" t="s">
        <v>24</v>
      </c>
      <c r="DG139" s="2" t="s">
        <v>24</v>
      </c>
      <c r="DH139" s="2" t="s">
        <v>3</v>
      </c>
      <c r="DI139" s="2" t="s">
        <v>24</v>
      </c>
      <c r="DJ139" s="2" t="s">
        <v>24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1003</v>
      </c>
      <c r="DV139" s="2" t="s">
        <v>206</v>
      </c>
      <c r="DW139" s="2" t="s">
        <v>206</v>
      </c>
      <c r="DX139" s="2">
        <v>100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60088531</v>
      </c>
      <c r="EF139" s="2">
        <v>40</v>
      </c>
      <c r="EG139" s="2" t="s">
        <v>25</v>
      </c>
      <c r="EH139" s="2">
        <v>0</v>
      </c>
      <c r="EI139" s="2" t="s">
        <v>3</v>
      </c>
      <c r="EJ139" s="2">
        <v>2</v>
      </c>
      <c r="EK139" s="2">
        <v>67</v>
      </c>
      <c r="EL139" s="2" t="s">
        <v>142</v>
      </c>
      <c r="EM139" s="2" t="s">
        <v>143</v>
      </c>
      <c r="EN139" s="2"/>
      <c r="EO139" s="2" t="s">
        <v>28</v>
      </c>
      <c r="EP139" s="2"/>
      <c r="EQ139" s="2">
        <v>0</v>
      </c>
      <c r="ER139" s="2">
        <v>116</v>
      </c>
      <c r="ES139" s="2">
        <v>58.15</v>
      </c>
      <c r="ET139" s="2">
        <v>2.62</v>
      </c>
      <c r="EU139" s="2">
        <v>0.3</v>
      </c>
      <c r="EV139" s="2">
        <v>55.23</v>
      </c>
      <c r="EW139" s="2">
        <v>4.49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97</v>
      </c>
      <c r="FY139" s="2">
        <v>51</v>
      </c>
      <c r="FZ139" s="2"/>
      <c r="GA139" s="2" t="s">
        <v>3</v>
      </c>
      <c r="GB139" s="2"/>
      <c r="GC139" s="2"/>
      <c r="GD139" s="2">
        <v>1</v>
      </c>
      <c r="GE139" s="2"/>
      <c r="GF139" s="2">
        <v>770559996</v>
      </c>
      <c r="GG139" s="2">
        <v>2</v>
      </c>
      <c r="GH139" s="2">
        <v>1</v>
      </c>
      <c r="GI139" s="2">
        <v>2</v>
      </c>
      <c r="GJ139" s="2">
        <v>0</v>
      </c>
      <c r="GK139" s="2">
        <v>0</v>
      </c>
      <c r="GL139" s="2">
        <f t="shared" si="99"/>
        <v>0</v>
      </c>
      <c r="GM139" s="2">
        <f t="shared" si="100"/>
        <v>6582.83</v>
      </c>
      <c r="GN139" s="2">
        <f t="shared" si="101"/>
        <v>0</v>
      </c>
      <c r="GO139" s="2">
        <f t="shared" si="102"/>
        <v>6582.83</v>
      </c>
      <c r="GP139" s="2">
        <f t="shared" si="103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104"/>
        <v>0</v>
      </c>
      <c r="GW139" s="2">
        <v>1</v>
      </c>
      <c r="GX139" s="2">
        <f t="shared" si="105"/>
        <v>0</v>
      </c>
      <c r="GY139" s="2"/>
      <c r="GZ139" s="2"/>
      <c r="HA139" s="2">
        <v>0</v>
      </c>
      <c r="HB139" s="2">
        <v>0</v>
      </c>
      <c r="HC139" s="2">
        <f t="shared" si="106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>
        <v>17</v>
      </c>
      <c r="B140">
        <v>1</v>
      </c>
      <c r="C140">
        <f>ROW(SmtRes!A114)</f>
        <v>114</v>
      </c>
      <c r="D140">
        <f>ROW(EtalonRes!A140)</f>
        <v>140</v>
      </c>
      <c r="E140" t="s">
        <v>229</v>
      </c>
      <c r="F140" t="s">
        <v>230</v>
      </c>
      <c r="G140" t="s">
        <v>231</v>
      </c>
      <c r="H140" t="s">
        <v>206</v>
      </c>
      <c r="I140">
        <f>ROUND(3000/100,9)</f>
        <v>30</v>
      </c>
      <c r="J140">
        <v>0</v>
      </c>
      <c r="K140">
        <f>ROUND(3000/100,9)</f>
        <v>30</v>
      </c>
      <c r="O140">
        <f t="shared" si="82"/>
        <v>112708.2</v>
      </c>
      <c r="P140">
        <f t="shared" si="111"/>
        <v>6454.65</v>
      </c>
      <c r="Q140">
        <f>(ROUND((ROUND((((ET140*1.1))*AV140*I140),2)*BB140),2)+ROUND((ROUND(((AE140-((EU140*1.1)))*AV140*I140),2)*BS140),2))</f>
        <v>1318.88</v>
      </c>
      <c r="R140">
        <f>(ROUND((ROUND((((EU140*1.1))*AV140*I140),2)*BS140),2)+ROUND((ROUND(((AE140-((EU140*1.1)))*AV140*I140),2)*BS140),2))</f>
        <v>570.25</v>
      </c>
      <c r="S140">
        <f t="shared" si="84"/>
        <v>104934.67</v>
      </c>
      <c r="T140">
        <f t="shared" si="85"/>
        <v>0</v>
      </c>
      <c r="U140">
        <f t="shared" si="86"/>
        <v>155.13399000000004</v>
      </c>
      <c r="V140">
        <f t="shared" si="87"/>
        <v>0</v>
      </c>
      <c r="W140">
        <f t="shared" si="88"/>
        <v>0</v>
      </c>
      <c r="X140">
        <f>(ROUND((((S140+ROUND((ROUND((((EU140*1.1))*AV140*I140),2)*BS140),2))*AT140)/100),2)+ROUND(((ROUND((ROUND(((AE140-((EU140*1.1)))*AV140*I140),2)*BS140),2)*AT140)/100),2))</f>
        <v>102339.77</v>
      </c>
      <c r="Y140">
        <f>(ROUND((((S140+ROUND((ROUND((((EU140*1.1))*AV140*I140),2)*BS140),2))*AU140)/100),2)+ROUND(((ROUND((ROUND(((AE140-((EU140*1.1)))*AV140*I140),2)*BS140),2)*AU140)/100),2))</f>
        <v>53807.51</v>
      </c>
      <c r="AA140">
        <v>60258618</v>
      </c>
      <c r="AB140">
        <f t="shared" si="89"/>
        <v>121.785</v>
      </c>
      <c r="AC140">
        <f>ROUND(((ES140*1)),6)</f>
        <v>58.15</v>
      </c>
      <c r="AD140">
        <f>ROUND(((((ET140*1.1))-((EU140*1.1)))+AE140),6)</f>
        <v>2.8820000000000001</v>
      </c>
      <c r="AE140">
        <f t="shared" si="112"/>
        <v>0.33</v>
      </c>
      <c r="AF140">
        <f t="shared" si="112"/>
        <v>60.753</v>
      </c>
      <c r="AG140">
        <f t="shared" si="90"/>
        <v>0</v>
      </c>
      <c r="AH140">
        <f t="shared" si="113"/>
        <v>4.9390000000000009</v>
      </c>
      <c r="AI140">
        <f t="shared" si="113"/>
        <v>0</v>
      </c>
      <c r="AJ140">
        <f t="shared" si="91"/>
        <v>0</v>
      </c>
      <c r="AK140">
        <v>116</v>
      </c>
      <c r="AL140">
        <v>58.15</v>
      </c>
      <c r="AM140">
        <v>2.62</v>
      </c>
      <c r="AN140">
        <v>0.3</v>
      </c>
      <c r="AO140">
        <v>55.23</v>
      </c>
      <c r="AP140">
        <v>0</v>
      </c>
      <c r="AQ140">
        <v>4.49</v>
      </c>
      <c r="AR140">
        <v>0</v>
      </c>
      <c r="AS140">
        <v>0</v>
      </c>
      <c r="AT140">
        <v>97</v>
      </c>
      <c r="AU140">
        <v>51</v>
      </c>
      <c r="AV140">
        <v>1.0469999999999999</v>
      </c>
      <c r="AW140">
        <v>1</v>
      </c>
      <c r="AZ140">
        <v>1</v>
      </c>
      <c r="BA140">
        <v>54.99</v>
      </c>
      <c r="BB140">
        <v>14.57</v>
      </c>
      <c r="BC140">
        <v>3.7</v>
      </c>
      <c r="BD140" t="s">
        <v>3</v>
      </c>
      <c r="BE140" t="s">
        <v>3</v>
      </c>
      <c r="BF140" t="s">
        <v>3</v>
      </c>
      <c r="BG140" t="s">
        <v>3</v>
      </c>
      <c r="BH140">
        <v>0</v>
      </c>
      <c r="BI140">
        <v>2</v>
      </c>
      <c r="BJ140" t="s">
        <v>232</v>
      </c>
      <c r="BM140">
        <v>67</v>
      </c>
      <c r="BN140">
        <v>58973116</v>
      </c>
      <c r="BO140" t="s">
        <v>230</v>
      </c>
      <c r="BP140">
        <v>1</v>
      </c>
      <c r="BQ140">
        <v>40</v>
      </c>
      <c r="BR140">
        <v>0</v>
      </c>
      <c r="BS140">
        <v>54.99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97</v>
      </c>
      <c r="CA140">
        <v>51</v>
      </c>
      <c r="CB140" t="s">
        <v>3</v>
      </c>
      <c r="CE140">
        <v>1566</v>
      </c>
      <c r="CF140">
        <v>0</v>
      </c>
      <c r="CG140">
        <v>0</v>
      </c>
      <c r="CM140">
        <v>0</v>
      </c>
      <c r="CN140" t="s">
        <v>407</v>
      </c>
      <c r="CO140">
        <v>0</v>
      </c>
      <c r="CP140">
        <f t="shared" si="92"/>
        <v>112708.2</v>
      </c>
      <c r="CQ140">
        <f t="shared" si="114"/>
        <v>215.16</v>
      </c>
      <c r="CR140">
        <f>(ROUND((ROUND((((ET140*1.1))*AV140*1),2)*BB140),2)+ROUND((ROUND(((AE140-((EU140*1.1)))*AV140*1),2)*BS140),2))</f>
        <v>44</v>
      </c>
      <c r="CS140">
        <f>(ROUND((ROUND((((EU140*1.1))*AV140*1),2)*BS140),2)+ROUND((ROUND(((AE140-((EU140*1.1)))*AV140*1),2)*BS140),2))</f>
        <v>19.25</v>
      </c>
      <c r="CT140">
        <f t="shared" si="94"/>
        <v>3497.91</v>
      </c>
      <c r="CU140">
        <f t="shared" si="95"/>
        <v>0</v>
      </c>
      <c r="CV140">
        <f t="shared" si="96"/>
        <v>5.1711330000000011</v>
      </c>
      <c r="CW140">
        <f t="shared" si="97"/>
        <v>0</v>
      </c>
      <c r="CX140">
        <f t="shared" si="98"/>
        <v>0</v>
      </c>
      <c r="CY140">
        <f>(ROUND((((S140+ROUND((ROUND((((EU140*1.1))*AV140*1),2)*BS140),2))*AT140)/100),2)+ROUND(((ROUND((ROUND(((AE140-((EU140*1.1)))*AV140*1),2)*BS140),2)*AT140)/100),2))</f>
        <v>101805.3</v>
      </c>
      <c r="CZ140">
        <f>(ROUND((((S140+ROUND((ROUND((((EU140*1.1))*AV140*1),2)*BS140),2))*AU140)/100),2)+ROUND(((ROUND((ROUND(((AE140-((EU140*1.1)))*AV140*1),2)*BS140),2)*AU140)/100),2))</f>
        <v>53526.5</v>
      </c>
      <c r="DB140">
        <v>36</v>
      </c>
      <c r="DC140" t="s">
        <v>3</v>
      </c>
      <c r="DD140" t="s">
        <v>23</v>
      </c>
      <c r="DE140" t="s">
        <v>24</v>
      </c>
      <c r="DF140" t="s">
        <v>24</v>
      </c>
      <c r="DG140" t="s">
        <v>24</v>
      </c>
      <c r="DH140" t="s">
        <v>3</v>
      </c>
      <c r="DI140" t="s">
        <v>24</v>
      </c>
      <c r="DJ140" t="s">
        <v>24</v>
      </c>
      <c r="DK140" t="s">
        <v>3</v>
      </c>
      <c r="DL140" t="s">
        <v>3</v>
      </c>
      <c r="DM140" t="s">
        <v>3</v>
      </c>
      <c r="DN140">
        <v>0</v>
      </c>
      <c r="DO140">
        <v>0</v>
      </c>
      <c r="DP140">
        <v>1</v>
      </c>
      <c r="DQ140">
        <v>1</v>
      </c>
      <c r="DU140">
        <v>1003</v>
      </c>
      <c r="DV140" t="s">
        <v>206</v>
      </c>
      <c r="DW140" t="s">
        <v>206</v>
      </c>
      <c r="DX140">
        <v>100</v>
      </c>
      <c r="DZ140" t="s">
        <v>3</v>
      </c>
      <c r="EA140" t="s">
        <v>3</v>
      </c>
      <c r="EB140" t="s">
        <v>3</v>
      </c>
      <c r="EC140" t="s">
        <v>3</v>
      </c>
      <c r="EE140">
        <v>60088531</v>
      </c>
      <c r="EF140">
        <v>40</v>
      </c>
      <c r="EG140" t="s">
        <v>25</v>
      </c>
      <c r="EH140">
        <v>0</v>
      </c>
      <c r="EI140" t="s">
        <v>3</v>
      </c>
      <c r="EJ140">
        <v>2</v>
      </c>
      <c r="EK140">
        <v>67</v>
      </c>
      <c r="EL140" t="s">
        <v>142</v>
      </c>
      <c r="EM140" t="s">
        <v>143</v>
      </c>
      <c r="EO140" t="s">
        <v>28</v>
      </c>
      <c r="EQ140">
        <v>0</v>
      </c>
      <c r="ER140">
        <v>116</v>
      </c>
      <c r="ES140">
        <v>58.15</v>
      </c>
      <c r="ET140">
        <v>2.62</v>
      </c>
      <c r="EU140">
        <v>0.3</v>
      </c>
      <c r="EV140">
        <v>55.23</v>
      </c>
      <c r="EW140">
        <v>4.49</v>
      </c>
      <c r="EX140">
        <v>0</v>
      </c>
      <c r="EY140">
        <v>0</v>
      </c>
      <c r="FQ140">
        <v>0</v>
      </c>
      <c r="FR140">
        <v>0</v>
      </c>
      <c r="FS140">
        <v>0</v>
      </c>
      <c r="FX140">
        <v>97</v>
      </c>
      <c r="FY140">
        <v>51</v>
      </c>
      <c r="GA140" t="s">
        <v>3</v>
      </c>
      <c r="GD140">
        <v>1</v>
      </c>
      <c r="GF140">
        <v>770559996</v>
      </c>
      <c r="GG140">
        <v>2</v>
      </c>
      <c r="GH140">
        <v>1</v>
      </c>
      <c r="GI140">
        <v>2</v>
      </c>
      <c r="GJ140">
        <v>0</v>
      </c>
      <c r="GK140">
        <v>0</v>
      </c>
      <c r="GL140">
        <f t="shared" si="99"/>
        <v>0</v>
      </c>
      <c r="GM140">
        <f t="shared" si="100"/>
        <v>268855.48</v>
      </c>
      <c r="GN140">
        <f t="shared" si="101"/>
        <v>0</v>
      </c>
      <c r="GO140">
        <f t="shared" si="102"/>
        <v>268855.48</v>
      </c>
      <c r="GP140">
        <f t="shared" si="103"/>
        <v>0</v>
      </c>
      <c r="GR140">
        <v>0</v>
      </c>
      <c r="GS140">
        <v>3</v>
      </c>
      <c r="GT140">
        <v>0</v>
      </c>
      <c r="GU140" t="s">
        <v>3</v>
      </c>
      <c r="GV140">
        <f t="shared" si="104"/>
        <v>0</v>
      </c>
      <c r="GW140">
        <v>1</v>
      </c>
      <c r="GX140">
        <f t="shared" si="105"/>
        <v>0</v>
      </c>
      <c r="HA140">
        <v>0</v>
      </c>
      <c r="HB140">
        <v>0</v>
      </c>
      <c r="HC140">
        <f t="shared" si="106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HS140">
        <v>0</v>
      </c>
      <c r="IK140">
        <v>0</v>
      </c>
    </row>
    <row r="141" spans="1:255" x14ac:dyDescent="0.2">
      <c r="A141" s="2">
        <v>17</v>
      </c>
      <c r="B141" s="2">
        <v>1</v>
      </c>
      <c r="C141" s="2">
        <f>ROW(SmtRes!A122)</f>
        <v>122</v>
      </c>
      <c r="D141" s="2">
        <f>ROW(EtalonRes!A149)</f>
        <v>149</v>
      </c>
      <c r="E141" s="2" t="s">
        <v>233</v>
      </c>
      <c r="F141" s="2" t="s">
        <v>234</v>
      </c>
      <c r="G141" s="2" t="s">
        <v>235</v>
      </c>
      <c r="H141" s="2" t="s">
        <v>206</v>
      </c>
      <c r="I141" s="2">
        <f>ROUND((100+100+2500+500-3000)/100,9)</f>
        <v>2</v>
      </c>
      <c r="J141" s="2">
        <v>0</v>
      </c>
      <c r="K141" s="2">
        <f>ROUND((100+100+2500+500-3000)/100,9)</f>
        <v>2</v>
      </c>
      <c r="L141" s="2"/>
      <c r="M141" s="2"/>
      <c r="N141" s="2"/>
      <c r="O141" s="2">
        <f t="shared" si="82"/>
        <v>168.82</v>
      </c>
      <c r="P141" s="2">
        <f t="shared" si="111"/>
        <v>110.94</v>
      </c>
      <c r="Q141" s="2">
        <f>(ROUND((ROUND((((ET141*1.1))*AV141*I141),2)*BB141),2)+ROUND((ROUND(((AE141-((EU141*1.1)))*AV141*I141),2)*BS141),2))</f>
        <v>6.03</v>
      </c>
      <c r="R141" s="2">
        <f>(ROUND((ROUND((((EU141*1.1))*AV141*I141),2)*BS141),2)+ROUND((ROUND(((AE141-((EU141*1.1)))*AV141*I141),2)*BS141),2))</f>
        <v>0.69</v>
      </c>
      <c r="S141" s="2">
        <f t="shared" si="84"/>
        <v>51.85</v>
      </c>
      <c r="T141" s="2">
        <f t="shared" si="85"/>
        <v>0</v>
      </c>
      <c r="U141" s="2">
        <f t="shared" si="86"/>
        <v>4.2152220000000007</v>
      </c>
      <c r="V141" s="2">
        <f t="shared" si="87"/>
        <v>0</v>
      </c>
      <c r="W141" s="2">
        <f t="shared" si="88"/>
        <v>0</v>
      </c>
      <c r="X141" s="2">
        <f>(ROUND((((S141+ROUND((ROUND((((EU141*1.1))*AV141*I141),2)*BS141),2))*AT141)/100),2)+ROUND(((ROUND((ROUND(((AE141-((EU141*1.1)))*AV141*I141),2)*BS141),2)*AT141)/100),2))</f>
        <v>50.96</v>
      </c>
      <c r="Y141" s="2">
        <f>(ROUND((((S141+ROUND((ROUND((((EU141*1.1))*AV141*I141),2)*BS141),2))*AU141)/100),2)+ROUND(((ROUND((ROUND(((AE141-((EU141*1.1)))*AV141*I141),2)*BS141),2)*AU141)/100),2))</f>
        <v>26.8</v>
      </c>
      <c r="Z141" s="2"/>
      <c r="AA141" s="2">
        <v>60258621</v>
      </c>
      <c r="AB141" s="2">
        <f t="shared" si="89"/>
        <v>83.113</v>
      </c>
      <c r="AC141" s="2">
        <f>ROUND(((ES141*1)),6)</f>
        <v>55.47</v>
      </c>
      <c r="AD141" s="2">
        <f>ROUND(((((ET141*1.1))-((EU141*1.1)))+AE141),6)</f>
        <v>2.8820000000000001</v>
      </c>
      <c r="AE141" s="2">
        <f t="shared" si="112"/>
        <v>0.33</v>
      </c>
      <c r="AF141" s="2">
        <f t="shared" si="112"/>
        <v>24.760999999999999</v>
      </c>
      <c r="AG141" s="2">
        <f t="shared" si="90"/>
        <v>0</v>
      </c>
      <c r="AH141" s="2">
        <f t="shared" si="113"/>
        <v>2.0130000000000003</v>
      </c>
      <c r="AI141" s="2">
        <f t="shared" si="113"/>
        <v>0</v>
      </c>
      <c r="AJ141" s="2">
        <f t="shared" si="91"/>
        <v>0</v>
      </c>
      <c r="AK141" s="2">
        <v>80.599999999999994</v>
      </c>
      <c r="AL141" s="2">
        <v>55.47</v>
      </c>
      <c r="AM141" s="2">
        <v>2.62</v>
      </c>
      <c r="AN141" s="2">
        <v>0.3</v>
      </c>
      <c r="AO141" s="2">
        <v>22.51</v>
      </c>
      <c r="AP141" s="2">
        <v>0</v>
      </c>
      <c r="AQ141" s="2">
        <v>1.83</v>
      </c>
      <c r="AR141" s="2">
        <v>0</v>
      </c>
      <c r="AS141" s="2">
        <v>0</v>
      </c>
      <c r="AT141" s="2">
        <v>97</v>
      </c>
      <c r="AU141" s="2">
        <v>51</v>
      </c>
      <c r="AV141" s="2">
        <v>1.0469999999999999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236</v>
      </c>
      <c r="BK141" s="2"/>
      <c r="BL141" s="2"/>
      <c r="BM141" s="2">
        <v>67</v>
      </c>
      <c r="BN141" s="2">
        <v>58973116</v>
      </c>
      <c r="BO141" s="2" t="s">
        <v>234</v>
      </c>
      <c r="BP141" s="2">
        <v>1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97</v>
      </c>
      <c r="CA141" s="2">
        <v>51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407</v>
      </c>
      <c r="CO141" s="2">
        <v>0</v>
      </c>
      <c r="CP141" s="2">
        <f t="shared" si="92"/>
        <v>168.82</v>
      </c>
      <c r="CQ141" s="2">
        <f t="shared" si="114"/>
        <v>55.47</v>
      </c>
      <c r="CR141" s="2">
        <f>(ROUND((ROUND((((ET141*1.1))*AV141*1),2)*BB141),2)+ROUND((ROUND(((AE141-((EU141*1.1)))*AV141*1),2)*BS141),2))</f>
        <v>3.02</v>
      </c>
      <c r="CS141" s="2">
        <f>(ROUND((ROUND((((EU141*1.1))*AV141*1),2)*BS141),2)+ROUND((ROUND(((AE141-((EU141*1.1)))*AV141*1),2)*BS141),2))</f>
        <v>0.35</v>
      </c>
      <c r="CT141" s="2">
        <f t="shared" si="94"/>
        <v>25.92</v>
      </c>
      <c r="CU141" s="2">
        <f t="shared" si="95"/>
        <v>0</v>
      </c>
      <c r="CV141" s="2">
        <f t="shared" si="96"/>
        <v>2.1076110000000003</v>
      </c>
      <c r="CW141" s="2">
        <f t="shared" si="97"/>
        <v>0</v>
      </c>
      <c r="CX141" s="2">
        <f t="shared" si="98"/>
        <v>0</v>
      </c>
      <c r="CY141" s="2">
        <f>(ROUND((((S141+ROUND((ROUND((((EU141*1.1))*AV141*1),2)*BS141),2))*AT141)/100),2)+ROUND(((ROUND((ROUND(((AE141-((EU141*1.1)))*AV141*1),2)*BS141),2)*AT141)/100),2))</f>
        <v>50.63</v>
      </c>
      <c r="CZ141" s="2">
        <f>(ROUND((((S141+ROUND((ROUND((((EU141*1.1))*AV141*1),2)*BS141),2))*AU141)/100),2)+ROUND(((ROUND((ROUND(((AE141-((EU141*1.1)))*AV141*1),2)*BS141),2)*AU141)/100),2))</f>
        <v>26.62</v>
      </c>
      <c r="DA141" s="2"/>
      <c r="DB141" s="2">
        <v>37</v>
      </c>
      <c r="DC141" s="2" t="s">
        <v>3</v>
      </c>
      <c r="DD141" s="2" t="s">
        <v>23</v>
      </c>
      <c r="DE141" s="2" t="s">
        <v>24</v>
      </c>
      <c r="DF141" s="2" t="s">
        <v>24</v>
      </c>
      <c r="DG141" s="2" t="s">
        <v>24</v>
      </c>
      <c r="DH141" s="2" t="s">
        <v>3</v>
      </c>
      <c r="DI141" s="2" t="s">
        <v>24</v>
      </c>
      <c r="DJ141" s="2" t="s">
        <v>24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1003</v>
      </c>
      <c r="DV141" s="2" t="s">
        <v>206</v>
      </c>
      <c r="DW141" s="2" t="s">
        <v>206</v>
      </c>
      <c r="DX141" s="2">
        <v>100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60088531</v>
      </c>
      <c r="EF141" s="2">
        <v>40</v>
      </c>
      <c r="EG141" s="2" t="s">
        <v>25</v>
      </c>
      <c r="EH141" s="2">
        <v>0</v>
      </c>
      <c r="EI141" s="2" t="s">
        <v>3</v>
      </c>
      <c r="EJ141" s="2">
        <v>2</v>
      </c>
      <c r="EK141" s="2">
        <v>67</v>
      </c>
      <c r="EL141" s="2" t="s">
        <v>142</v>
      </c>
      <c r="EM141" s="2" t="s">
        <v>143</v>
      </c>
      <c r="EN141" s="2"/>
      <c r="EO141" s="2" t="s">
        <v>28</v>
      </c>
      <c r="EP141" s="2"/>
      <c r="EQ141" s="2">
        <v>0</v>
      </c>
      <c r="ER141" s="2">
        <v>80.599999999999994</v>
      </c>
      <c r="ES141" s="2">
        <v>55.47</v>
      </c>
      <c r="ET141" s="2">
        <v>2.62</v>
      </c>
      <c r="EU141" s="2">
        <v>0.3</v>
      </c>
      <c r="EV141" s="2">
        <v>22.51</v>
      </c>
      <c r="EW141" s="2">
        <v>1.83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97</v>
      </c>
      <c r="FY141" s="2">
        <v>51</v>
      </c>
      <c r="FZ141" s="2"/>
      <c r="GA141" s="2" t="s">
        <v>3</v>
      </c>
      <c r="GB141" s="2"/>
      <c r="GC141" s="2"/>
      <c r="GD141" s="2">
        <v>1</v>
      </c>
      <c r="GE141" s="2"/>
      <c r="GF141" s="2">
        <v>1118340632</v>
      </c>
      <c r="GG141" s="2">
        <v>2</v>
      </c>
      <c r="GH141" s="2">
        <v>1</v>
      </c>
      <c r="GI141" s="2">
        <v>2</v>
      </c>
      <c r="GJ141" s="2">
        <v>0</v>
      </c>
      <c r="GK141" s="2">
        <v>0</v>
      </c>
      <c r="GL141" s="2">
        <f t="shared" si="99"/>
        <v>0</v>
      </c>
      <c r="GM141" s="2">
        <f t="shared" si="100"/>
        <v>246.58</v>
      </c>
      <c r="GN141" s="2">
        <f t="shared" si="101"/>
        <v>0</v>
      </c>
      <c r="GO141" s="2">
        <f t="shared" si="102"/>
        <v>246.58</v>
      </c>
      <c r="GP141" s="2">
        <f t="shared" si="103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04"/>
        <v>0</v>
      </c>
      <c r="GW141" s="2">
        <v>1</v>
      </c>
      <c r="GX141" s="2">
        <f t="shared" si="105"/>
        <v>0</v>
      </c>
      <c r="GY141" s="2"/>
      <c r="GZ141" s="2"/>
      <c r="HA141" s="2">
        <v>0</v>
      </c>
      <c r="HB141" s="2">
        <v>0</v>
      </c>
      <c r="HC141" s="2">
        <f t="shared" si="106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>
        <v>17</v>
      </c>
      <c r="B142">
        <v>1</v>
      </c>
      <c r="C142">
        <f>ROW(SmtRes!A130)</f>
        <v>130</v>
      </c>
      <c r="D142">
        <f>ROW(EtalonRes!A158)</f>
        <v>158</v>
      </c>
      <c r="E142" t="s">
        <v>233</v>
      </c>
      <c r="F142" t="s">
        <v>234</v>
      </c>
      <c r="G142" t="s">
        <v>235</v>
      </c>
      <c r="H142" t="s">
        <v>206</v>
      </c>
      <c r="I142">
        <f>ROUND((100+100+2500+500-3000)/100,9)</f>
        <v>2</v>
      </c>
      <c r="J142">
        <v>0</v>
      </c>
      <c r="K142">
        <f>ROUND((100+100+2500+500-3000)/100,9)</f>
        <v>2</v>
      </c>
      <c r="O142">
        <f t="shared" si="82"/>
        <v>3281.89</v>
      </c>
      <c r="P142">
        <f t="shared" si="111"/>
        <v>342.8</v>
      </c>
      <c r="Q142">
        <f>(ROUND((ROUND((((ET142*1.1))*AV142*I142),2)*BB142),2)+ROUND((ROUND(((AE142-((EU142*1.1)))*AV142*I142),2)*BS142),2))</f>
        <v>87.86</v>
      </c>
      <c r="R142">
        <f>(ROUND((ROUND((((EU142*1.1))*AV142*I142),2)*BS142),2)+ROUND((ROUND(((AE142-((EU142*1.1)))*AV142*I142),2)*BS142),2))</f>
        <v>37.94</v>
      </c>
      <c r="S142">
        <f t="shared" si="84"/>
        <v>2851.23</v>
      </c>
      <c r="T142">
        <f t="shared" si="85"/>
        <v>0</v>
      </c>
      <c r="U142">
        <f t="shared" si="86"/>
        <v>4.2152220000000007</v>
      </c>
      <c r="V142">
        <f t="shared" si="87"/>
        <v>0</v>
      </c>
      <c r="W142">
        <f t="shared" si="88"/>
        <v>0</v>
      </c>
      <c r="X142">
        <f>(ROUND((((S142+ROUND((ROUND((((EU142*1.1))*AV142*I142),2)*BS142),2))*AT142)/100),2)+ROUND(((ROUND((ROUND(((AE142-((EU142*1.1)))*AV142*I142),2)*BS142),2)*AT142)/100),2))</f>
        <v>2802.49</v>
      </c>
      <c r="Y142">
        <f>(ROUND((((S142+ROUND((ROUND((((EU142*1.1))*AV142*I142),2)*BS142),2))*AU142)/100),2)+ROUND(((ROUND((ROUND(((AE142-((EU142*1.1)))*AV142*I142),2)*BS142),2)*AU142)/100),2))</f>
        <v>1473.48</v>
      </c>
      <c r="AA142">
        <v>60258618</v>
      </c>
      <c r="AB142">
        <f t="shared" si="89"/>
        <v>83.113</v>
      </c>
      <c r="AC142">
        <f>ROUND(((ES142*1)),6)</f>
        <v>55.47</v>
      </c>
      <c r="AD142">
        <f>ROUND(((((ET142*1.1))-((EU142*1.1)))+AE142),6)</f>
        <v>2.8820000000000001</v>
      </c>
      <c r="AE142">
        <f t="shared" si="112"/>
        <v>0.33</v>
      </c>
      <c r="AF142">
        <f t="shared" si="112"/>
        <v>24.760999999999999</v>
      </c>
      <c r="AG142">
        <f t="shared" si="90"/>
        <v>0</v>
      </c>
      <c r="AH142">
        <f t="shared" si="113"/>
        <v>2.0130000000000003</v>
      </c>
      <c r="AI142">
        <f t="shared" si="113"/>
        <v>0</v>
      </c>
      <c r="AJ142">
        <f t="shared" si="91"/>
        <v>0</v>
      </c>
      <c r="AK142">
        <v>80.599999999999994</v>
      </c>
      <c r="AL142">
        <v>55.47</v>
      </c>
      <c r="AM142">
        <v>2.62</v>
      </c>
      <c r="AN142">
        <v>0.3</v>
      </c>
      <c r="AO142">
        <v>22.51</v>
      </c>
      <c r="AP142">
        <v>0</v>
      </c>
      <c r="AQ142">
        <v>1.83</v>
      </c>
      <c r="AR142">
        <v>0</v>
      </c>
      <c r="AS142">
        <v>0</v>
      </c>
      <c r="AT142">
        <v>97</v>
      </c>
      <c r="AU142">
        <v>51</v>
      </c>
      <c r="AV142">
        <v>1.0469999999999999</v>
      </c>
      <c r="AW142">
        <v>1</v>
      </c>
      <c r="AZ142">
        <v>1</v>
      </c>
      <c r="BA142">
        <v>54.99</v>
      </c>
      <c r="BB142">
        <v>14.57</v>
      </c>
      <c r="BC142">
        <v>3.09</v>
      </c>
      <c r="BD142" t="s">
        <v>3</v>
      </c>
      <c r="BE142" t="s">
        <v>3</v>
      </c>
      <c r="BF142" t="s">
        <v>3</v>
      </c>
      <c r="BG142" t="s">
        <v>3</v>
      </c>
      <c r="BH142">
        <v>0</v>
      </c>
      <c r="BI142">
        <v>2</v>
      </c>
      <c r="BJ142" t="s">
        <v>236</v>
      </c>
      <c r="BM142">
        <v>67</v>
      </c>
      <c r="BN142">
        <v>58973116</v>
      </c>
      <c r="BO142" t="s">
        <v>234</v>
      </c>
      <c r="BP142">
        <v>1</v>
      </c>
      <c r="BQ142">
        <v>40</v>
      </c>
      <c r="BR142">
        <v>0</v>
      </c>
      <c r="BS142">
        <v>54.99</v>
      </c>
      <c r="BT142">
        <v>1</v>
      </c>
      <c r="BU142">
        <v>1</v>
      </c>
      <c r="BV142">
        <v>1</v>
      </c>
      <c r="BW142">
        <v>1</v>
      </c>
      <c r="BX142">
        <v>1</v>
      </c>
      <c r="BY142" t="s">
        <v>3</v>
      </c>
      <c r="BZ142">
        <v>97</v>
      </c>
      <c r="CA142">
        <v>51</v>
      </c>
      <c r="CB142" t="s">
        <v>3</v>
      </c>
      <c r="CE142">
        <v>1566</v>
      </c>
      <c r="CF142">
        <v>0</v>
      </c>
      <c r="CG142">
        <v>0</v>
      </c>
      <c r="CM142">
        <v>0</v>
      </c>
      <c r="CN142" t="s">
        <v>407</v>
      </c>
      <c r="CO142">
        <v>0</v>
      </c>
      <c r="CP142">
        <f t="shared" si="92"/>
        <v>3281.89</v>
      </c>
      <c r="CQ142">
        <f t="shared" si="114"/>
        <v>171.4</v>
      </c>
      <c r="CR142">
        <f>(ROUND((ROUND((((ET142*1.1))*AV142*1),2)*BB142),2)+ROUND((ROUND(((AE142-((EU142*1.1)))*AV142*1),2)*BS142),2))</f>
        <v>44</v>
      </c>
      <c r="CS142">
        <f>(ROUND((ROUND((((EU142*1.1))*AV142*1),2)*BS142),2)+ROUND((ROUND(((AE142-((EU142*1.1)))*AV142*1),2)*BS142),2))</f>
        <v>19.25</v>
      </c>
      <c r="CT142">
        <f t="shared" si="94"/>
        <v>1425.34</v>
      </c>
      <c r="CU142">
        <f t="shared" si="95"/>
        <v>0</v>
      </c>
      <c r="CV142">
        <f t="shared" si="96"/>
        <v>2.1076110000000003</v>
      </c>
      <c r="CW142">
        <f t="shared" si="97"/>
        <v>0</v>
      </c>
      <c r="CX142">
        <f t="shared" si="98"/>
        <v>0</v>
      </c>
      <c r="CY142">
        <f>(ROUND((((S142+ROUND((ROUND((((EU142*1.1))*AV142*1),2)*BS142),2))*AT142)/100),2)+ROUND(((ROUND((ROUND(((AE142-((EU142*1.1)))*AV142*1),2)*BS142),2)*AT142)/100),2))</f>
        <v>2784.37</v>
      </c>
      <c r="CZ142">
        <f>(ROUND((((S142+ROUND((ROUND((((EU142*1.1))*AV142*1),2)*BS142),2))*AU142)/100),2)+ROUND(((ROUND((ROUND(((AE142-((EU142*1.1)))*AV142*1),2)*BS142),2)*AU142)/100),2))</f>
        <v>1463.94</v>
      </c>
      <c r="DB142">
        <v>38</v>
      </c>
      <c r="DC142" t="s">
        <v>3</v>
      </c>
      <c r="DD142" t="s">
        <v>23</v>
      </c>
      <c r="DE142" t="s">
        <v>24</v>
      </c>
      <c r="DF142" t="s">
        <v>24</v>
      </c>
      <c r="DG142" t="s">
        <v>24</v>
      </c>
      <c r="DH142" t="s">
        <v>3</v>
      </c>
      <c r="DI142" t="s">
        <v>24</v>
      </c>
      <c r="DJ142" t="s">
        <v>24</v>
      </c>
      <c r="DK142" t="s">
        <v>3</v>
      </c>
      <c r="DL142" t="s">
        <v>3</v>
      </c>
      <c r="DM142" t="s">
        <v>3</v>
      </c>
      <c r="DN142">
        <v>0</v>
      </c>
      <c r="DO142">
        <v>0</v>
      </c>
      <c r="DP142">
        <v>1</v>
      </c>
      <c r="DQ142">
        <v>1</v>
      </c>
      <c r="DU142">
        <v>1003</v>
      </c>
      <c r="DV142" t="s">
        <v>206</v>
      </c>
      <c r="DW142" t="s">
        <v>206</v>
      </c>
      <c r="DX142">
        <v>100</v>
      </c>
      <c r="DZ142" t="s">
        <v>3</v>
      </c>
      <c r="EA142" t="s">
        <v>3</v>
      </c>
      <c r="EB142" t="s">
        <v>3</v>
      </c>
      <c r="EC142" t="s">
        <v>3</v>
      </c>
      <c r="EE142">
        <v>60088531</v>
      </c>
      <c r="EF142">
        <v>40</v>
      </c>
      <c r="EG142" t="s">
        <v>25</v>
      </c>
      <c r="EH142">
        <v>0</v>
      </c>
      <c r="EI142" t="s">
        <v>3</v>
      </c>
      <c r="EJ142">
        <v>2</v>
      </c>
      <c r="EK142">
        <v>67</v>
      </c>
      <c r="EL142" t="s">
        <v>142</v>
      </c>
      <c r="EM142" t="s">
        <v>143</v>
      </c>
      <c r="EO142" t="s">
        <v>28</v>
      </c>
      <c r="EQ142">
        <v>0</v>
      </c>
      <c r="ER142">
        <v>80.599999999999994</v>
      </c>
      <c r="ES142">
        <v>55.47</v>
      </c>
      <c r="ET142">
        <v>2.62</v>
      </c>
      <c r="EU142">
        <v>0.3</v>
      </c>
      <c r="EV142">
        <v>22.51</v>
      </c>
      <c r="EW142">
        <v>1.83</v>
      </c>
      <c r="EX142">
        <v>0</v>
      </c>
      <c r="EY142">
        <v>0</v>
      </c>
      <c r="FQ142">
        <v>0</v>
      </c>
      <c r="FR142">
        <v>0</v>
      </c>
      <c r="FS142">
        <v>0</v>
      </c>
      <c r="FX142">
        <v>97</v>
      </c>
      <c r="FY142">
        <v>51</v>
      </c>
      <c r="GA142" t="s">
        <v>3</v>
      </c>
      <c r="GD142">
        <v>1</v>
      </c>
      <c r="GF142">
        <v>1118340632</v>
      </c>
      <c r="GG142">
        <v>2</v>
      </c>
      <c r="GH142">
        <v>1</v>
      </c>
      <c r="GI142">
        <v>2</v>
      </c>
      <c r="GJ142">
        <v>0</v>
      </c>
      <c r="GK142">
        <v>0</v>
      </c>
      <c r="GL142">
        <f t="shared" si="99"/>
        <v>0</v>
      </c>
      <c r="GM142">
        <f t="shared" si="100"/>
        <v>7557.86</v>
      </c>
      <c r="GN142">
        <f t="shared" si="101"/>
        <v>0</v>
      </c>
      <c r="GO142">
        <f t="shared" si="102"/>
        <v>7557.86</v>
      </c>
      <c r="GP142">
        <f t="shared" si="103"/>
        <v>0</v>
      </c>
      <c r="GR142">
        <v>0</v>
      </c>
      <c r="GS142">
        <v>3</v>
      </c>
      <c r="GT142">
        <v>0</v>
      </c>
      <c r="GU142" t="s">
        <v>3</v>
      </c>
      <c r="GV142">
        <f t="shared" si="104"/>
        <v>0</v>
      </c>
      <c r="GW142">
        <v>1</v>
      </c>
      <c r="GX142">
        <f t="shared" si="105"/>
        <v>0</v>
      </c>
      <c r="HA142">
        <v>0</v>
      </c>
      <c r="HB142">
        <v>0</v>
      </c>
      <c r="HC142">
        <f t="shared" si="106"/>
        <v>0</v>
      </c>
      <c r="HE142" t="s">
        <v>3</v>
      </c>
      <c r="HF142" t="s">
        <v>3</v>
      </c>
      <c r="HM142" t="s">
        <v>3</v>
      </c>
      <c r="HN142" t="s">
        <v>3</v>
      </c>
      <c r="HO142" t="s">
        <v>3</v>
      </c>
      <c r="HP142" t="s">
        <v>3</v>
      </c>
      <c r="HQ142" t="s">
        <v>3</v>
      </c>
      <c r="HS142">
        <v>0</v>
      </c>
      <c r="IK142">
        <v>0</v>
      </c>
    </row>
    <row r="143" spans="1:255" x14ac:dyDescent="0.2">
      <c r="A143" s="2">
        <v>17</v>
      </c>
      <c r="B143" s="2">
        <v>1</v>
      </c>
      <c r="C143" s="2"/>
      <c r="D143" s="2"/>
      <c r="E143" s="2" t="s">
        <v>237</v>
      </c>
      <c r="F143" s="2" t="s">
        <v>238</v>
      </c>
      <c r="G143" s="2" t="s">
        <v>239</v>
      </c>
      <c r="H143" s="2" t="s">
        <v>240</v>
      </c>
      <c r="I143" s="2">
        <f>ROUND((100*1.02)/1000,9)</f>
        <v>0.10199999999999999</v>
      </c>
      <c r="J143" s="2">
        <v>0</v>
      </c>
      <c r="K143" s="2">
        <f>ROUND((100*1.02)/1000,9)</f>
        <v>0.10199999999999999</v>
      </c>
      <c r="L143" s="2"/>
      <c r="M143" s="2"/>
      <c r="N143" s="2"/>
      <c r="O143" s="2">
        <f t="shared" si="82"/>
        <v>720.28</v>
      </c>
      <c r="P143" s="2">
        <f t="shared" si="111"/>
        <v>720.28</v>
      </c>
      <c r="Q143" s="2">
        <f t="shared" ref="Q143:Q150" si="115">(ROUND((ROUND(((ET143)*AV143*I143),2)*BB143),2)+ROUND((ROUND(((AE143-(EU143))*AV143*I143),2)*BS143),2))</f>
        <v>0</v>
      </c>
      <c r="R143" s="2">
        <f t="shared" ref="R143:R150" si="116">(ROUND((ROUND(((EU143)*AV143*I143),2)*BS143),2)+ROUND((ROUND(((AE143-(EU143))*AV143*I143),2)*BS143),2))</f>
        <v>0</v>
      </c>
      <c r="S143" s="2">
        <f t="shared" si="84"/>
        <v>0</v>
      </c>
      <c r="T143" s="2">
        <f t="shared" si="85"/>
        <v>0</v>
      </c>
      <c r="U143" s="2">
        <f t="shared" si="86"/>
        <v>0</v>
      </c>
      <c r="V143" s="2">
        <f t="shared" si="87"/>
        <v>0</v>
      </c>
      <c r="W143" s="2">
        <f t="shared" si="88"/>
        <v>0</v>
      </c>
      <c r="X143" s="2">
        <f t="shared" ref="X143:X150" si="117">(ROUND((((S143+ROUND((ROUND(((EU143)*AV143*I143),2)*BS143),2))*AT143)/100),2)+ROUND(((ROUND((ROUND(((AE143-(EU143))*AV143*I143),2)*BS143),2)*AT143)/100),2))</f>
        <v>0</v>
      </c>
      <c r="Y143" s="2">
        <f t="shared" ref="Y143:Y150" si="118">(ROUND((((S143+ROUND((ROUND(((EU143)*AV143*I143),2)*BS143),2))*AU143)/100),2)+ROUND(((ROUND((ROUND(((AE143-(EU143))*AV143*I143),2)*BS143),2)*AU143)/100),2))</f>
        <v>0</v>
      </c>
      <c r="Z143" s="2"/>
      <c r="AA143" s="2">
        <v>60258621</v>
      </c>
      <c r="AB143" s="2">
        <f t="shared" si="89"/>
        <v>7061.54</v>
      </c>
      <c r="AC143" s="2">
        <f t="shared" ref="AC143:AC150" si="119">ROUND((ES143),6)</f>
        <v>7061.54</v>
      </c>
      <c r="AD143" s="2">
        <f t="shared" ref="AD143:AD150" si="120">ROUND((((ET143)-(EU143))+AE143),6)</f>
        <v>0</v>
      </c>
      <c r="AE143" s="2">
        <f t="shared" ref="AE143:AF150" si="121">ROUND((EU143),6)</f>
        <v>0</v>
      </c>
      <c r="AF143" s="2">
        <f t="shared" si="121"/>
        <v>0</v>
      </c>
      <c r="AG143" s="2">
        <f t="shared" si="90"/>
        <v>0</v>
      </c>
      <c r="AH143" s="2">
        <f t="shared" ref="AH143:AI150" si="122">(EW143)</f>
        <v>0</v>
      </c>
      <c r="AI143" s="2">
        <f t="shared" si="122"/>
        <v>0</v>
      </c>
      <c r="AJ143" s="2">
        <f t="shared" si="91"/>
        <v>0</v>
      </c>
      <c r="AK143" s="2">
        <v>7061.54</v>
      </c>
      <c r="AL143" s="2">
        <v>7061.54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2</v>
      </c>
      <c r="BJ143" s="2" t="s">
        <v>3</v>
      </c>
      <c r="BK143" s="2"/>
      <c r="BL143" s="2"/>
      <c r="BM143" s="2">
        <v>400002</v>
      </c>
      <c r="BN143" s="2">
        <v>0</v>
      </c>
      <c r="BO143" s="2" t="s">
        <v>3</v>
      </c>
      <c r="BP143" s="2">
        <v>0</v>
      </c>
      <c r="BQ143" s="2">
        <v>202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0</v>
      </c>
      <c r="CA143" s="2">
        <v>0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92"/>
        <v>720.28</v>
      </c>
      <c r="CQ143" s="2">
        <f t="shared" si="114"/>
        <v>7061.54</v>
      </c>
      <c r="CR143" s="2">
        <f t="shared" ref="CR143:CR150" si="123">(ROUND((ROUND(((ET143)*AV143*1),2)*BB143),2)+ROUND((ROUND(((AE143-(EU143))*AV143*1),2)*BS143),2))</f>
        <v>0</v>
      </c>
      <c r="CS143" s="2">
        <f t="shared" ref="CS143:CS150" si="124">(ROUND((ROUND(((EU143)*AV143*1),2)*BS143),2)+ROUND((ROUND(((AE143-(EU143))*AV143*1),2)*BS143),2))</f>
        <v>0</v>
      </c>
      <c r="CT143" s="2">
        <f t="shared" si="94"/>
        <v>0</v>
      </c>
      <c r="CU143" s="2">
        <f t="shared" si="95"/>
        <v>0</v>
      </c>
      <c r="CV143" s="2">
        <f t="shared" si="96"/>
        <v>0</v>
      </c>
      <c r="CW143" s="2">
        <f t="shared" si="97"/>
        <v>0</v>
      </c>
      <c r="CX143" s="2">
        <f t="shared" si="98"/>
        <v>0</v>
      </c>
      <c r="CY143" s="2">
        <f t="shared" ref="CY143:CY150" si="125">(ROUND((((S143+ROUND((ROUND(((EU143)*AV143*1),2)*BS143),2))*AT143)/100),2)+ROUND(((ROUND((ROUND(((AE143-(EU143))*AV143*1),2)*BS143),2)*AT143)/100),2))</f>
        <v>0</v>
      </c>
      <c r="CZ143" s="2">
        <f t="shared" ref="CZ143:CZ150" si="126"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1003</v>
      </c>
      <c r="DV143" s="2" t="s">
        <v>240</v>
      </c>
      <c r="DW143" s="2" t="s">
        <v>240</v>
      </c>
      <c r="DX143" s="2">
        <v>1000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60088644</v>
      </c>
      <c r="EF143" s="2">
        <v>202</v>
      </c>
      <c r="EG143" s="2" t="s">
        <v>241</v>
      </c>
      <c r="EH143" s="2">
        <v>0</v>
      </c>
      <c r="EI143" s="2" t="s">
        <v>3</v>
      </c>
      <c r="EJ143" s="2">
        <v>1</v>
      </c>
      <c r="EK143" s="2">
        <v>400002</v>
      </c>
      <c r="EL143" s="2" t="s">
        <v>242</v>
      </c>
      <c r="EM143" s="2" t="s">
        <v>241</v>
      </c>
      <c r="EN143" s="2"/>
      <c r="EO143" s="2" t="s">
        <v>3</v>
      </c>
      <c r="EP143" s="2"/>
      <c r="EQ143" s="2">
        <v>0</v>
      </c>
      <c r="ER143" s="2">
        <v>0</v>
      </c>
      <c r="ES143" s="2">
        <v>7061.54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0</v>
      </c>
      <c r="FY143" s="2">
        <v>0</v>
      </c>
      <c r="FZ143" s="2"/>
      <c r="GA143" s="2" t="s">
        <v>243</v>
      </c>
      <c r="GB143" s="2"/>
      <c r="GC143" s="2"/>
      <c r="GD143" s="2">
        <v>1</v>
      </c>
      <c r="GE143" s="2"/>
      <c r="GF143" s="2">
        <v>2088615534</v>
      </c>
      <c r="GG143" s="2">
        <v>2</v>
      </c>
      <c r="GH143" s="2">
        <v>4</v>
      </c>
      <c r="GI143" s="2">
        <v>-2</v>
      </c>
      <c r="GJ143" s="2">
        <v>0</v>
      </c>
      <c r="GK143" s="2">
        <v>0</v>
      </c>
      <c r="GL143" s="2">
        <f t="shared" si="99"/>
        <v>0</v>
      </c>
      <c r="GM143" s="2">
        <f t="shared" si="100"/>
        <v>720.28</v>
      </c>
      <c r="GN143" s="2">
        <f t="shared" si="101"/>
        <v>0</v>
      </c>
      <c r="GO143" s="2">
        <f t="shared" si="102"/>
        <v>720.28</v>
      </c>
      <c r="GP143" s="2">
        <f t="shared" si="103"/>
        <v>0</v>
      </c>
      <c r="GQ143" s="2"/>
      <c r="GR143" s="2">
        <v>0</v>
      </c>
      <c r="GS143" s="2">
        <v>2</v>
      </c>
      <c r="GT143" s="2">
        <v>0</v>
      </c>
      <c r="GU143" s="2" t="s">
        <v>3</v>
      </c>
      <c r="GV143" s="2">
        <f t="shared" si="104"/>
        <v>0</v>
      </c>
      <c r="GW143" s="2">
        <v>1</v>
      </c>
      <c r="GX143" s="2">
        <f t="shared" si="105"/>
        <v>0</v>
      </c>
      <c r="GY143" s="2"/>
      <c r="GZ143" s="2"/>
      <c r="HA143" s="2">
        <v>0</v>
      </c>
      <c r="HB143" s="2">
        <v>0</v>
      </c>
      <c r="HC143" s="2">
        <f t="shared" si="106"/>
        <v>0</v>
      </c>
      <c r="HD143" s="2"/>
      <c r="HE143" s="2" t="s">
        <v>244</v>
      </c>
      <c r="HF143" s="2" t="s">
        <v>29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>
        <v>17</v>
      </c>
      <c r="B144">
        <v>1</v>
      </c>
      <c r="E144" t="s">
        <v>237</v>
      </c>
      <c r="F144" t="s">
        <v>238</v>
      </c>
      <c r="G144" t="s">
        <v>239</v>
      </c>
      <c r="H144" t="s">
        <v>240</v>
      </c>
      <c r="I144">
        <f>ROUND((100*1.02)/1000,9)</f>
        <v>0.10199999999999999</v>
      </c>
      <c r="J144">
        <v>0</v>
      </c>
      <c r="K144">
        <f>ROUND((100*1.02)/1000,9)</f>
        <v>0.10199999999999999</v>
      </c>
      <c r="O144">
        <f t="shared" si="82"/>
        <v>7116.37</v>
      </c>
      <c r="P144">
        <f t="shared" si="111"/>
        <v>7116.37</v>
      </c>
      <c r="Q144">
        <f t="shared" si="115"/>
        <v>0</v>
      </c>
      <c r="R144">
        <f t="shared" si="116"/>
        <v>0</v>
      </c>
      <c r="S144">
        <f t="shared" si="84"/>
        <v>0</v>
      </c>
      <c r="T144">
        <f t="shared" si="85"/>
        <v>0</v>
      </c>
      <c r="U144">
        <f t="shared" si="86"/>
        <v>0</v>
      </c>
      <c r="V144">
        <f t="shared" si="87"/>
        <v>0</v>
      </c>
      <c r="W144">
        <f t="shared" si="88"/>
        <v>0</v>
      </c>
      <c r="X144">
        <f t="shared" si="117"/>
        <v>0</v>
      </c>
      <c r="Y144">
        <f t="shared" si="118"/>
        <v>0</v>
      </c>
      <c r="AA144">
        <v>60258618</v>
      </c>
      <c r="AB144">
        <f t="shared" si="89"/>
        <v>7061.54</v>
      </c>
      <c r="AC144">
        <f t="shared" si="119"/>
        <v>7061.54</v>
      </c>
      <c r="AD144">
        <f t="shared" si="120"/>
        <v>0</v>
      </c>
      <c r="AE144">
        <f t="shared" si="121"/>
        <v>0</v>
      </c>
      <c r="AF144">
        <f t="shared" si="121"/>
        <v>0</v>
      </c>
      <c r="AG144">
        <f t="shared" si="90"/>
        <v>0</v>
      </c>
      <c r="AH144">
        <f t="shared" si="122"/>
        <v>0</v>
      </c>
      <c r="AI144">
        <f t="shared" si="122"/>
        <v>0</v>
      </c>
      <c r="AJ144">
        <f t="shared" si="91"/>
        <v>0</v>
      </c>
      <c r="AK144">
        <v>7061.54</v>
      </c>
      <c r="AL144">
        <v>7061.54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1</v>
      </c>
      <c r="AZ144">
        <v>1</v>
      </c>
      <c r="BA144">
        <v>1</v>
      </c>
      <c r="BB144">
        <v>1</v>
      </c>
      <c r="BC144">
        <v>9.8800000000000008</v>
      </c>
      <c r="BD144" t="s">
        <v>3</v>
      </c>
      <c r="BE144" t="s">
        <v>3</v>
      </c>
      <c r="BF144" t="s">
        <v>3</v>
      </c>
      <c r="BG144" t="s">
        <v>3</v>
      </c>
      <c r="BH144">
        <v>3</v>
      </c>
      <c r="BI144">
        <v>2</v>
      </c>
      <c r="BJ144" t="s">
        <v>3</v>
      </c>
      <c r="BM144">
        <v>400002</v>
      </c>
      <c r="BN144">
        <v>0</v>
      </c>
      <c r="BO144" t="s">
        <v>3</v>
      </c>
      <c r="BP144">
        <v>0</v>
      </c>
      <c r="BQ144">
        <v>202</v>
      </c>
      <c r="BR144">
        <v>0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 t="s">
        <v>3</v>
      </c>
      <c r="BZ144">
        <v>0</v>
      </c>
      <c r="CA144">
        <v>0</v>
      </c>
      <c r="CB144" t="s">
        <v>3</v>
      </c>
      <c r="CE144">
        <v>1566</v>
      </c>
      <c r="CF144">
        <v>0</v>
      </c>
      <c r="CG144">
        <v>0</v>
      </c>
      <c r="CM144">
        <v>0</v>
      </c>
      <c r="CN144" t="s">
        <v>3</v>
      </c>
      <c r="CO144">
        <v>0</v>
      </c>
      <c r="CP144">
        <f t="shared" si="92"/>
        <v>7116.37</v>
      </c>
      <c r="CQ144">
        <f t="shared" si="114"/>
        <v>69768.02</v>
      </c>
      <c r="CR144">
        <f t="shared" si="123"/>
        <v>0</v>
      </c>
      <c r="CS144">
        <f t="shared" si="124"/>
        <v>0</v>
      </c>
      <c r="CT144">
        <f t="shared" si="94"/>
        <v>0</v>
      </c>
      <c r="CU144">
        <f t="shared" si="95"/>
        <v>0</v>
      </c>
      <c r="CV144">
        <f t="shared" si="96"/>
        <v>0</v>
      </c>
      <c r="CW144">
        <f t="shared" si="97"/>
        <v>0</v>
      </c>
      <c r="CX144">
        <f t="shared" si="98"/>
        <v>0</v>
      </c>
      <c r="CY144">
        <f t="shared" si="125"/>
        <v>0</v>
      </c>
      <c r="CZ144">
        <f t="shared" si="126"/>
        <v>0</v>
      </c>
      <c r="DC144" t="s">
        <v>3</v>
      </c>
      <c r="DD144" t="s">
        <v>3</v>
      </c>
      <c r="DE144" t="s">
        <v>3</v>
      </c>
      <c r="DF144" t="s">
        <v>3</v>
      </c>
      <c r="DG144" t="s">
        <v>3</v>
      </c>
      <c r="DH144" t="s">
        <v>3</v>
      </c>
      <c r="DI144" t="s">
        <v>3</v>
      </c>
      <c r="DJ144" t="s">
        <v>3</v>
      </c>
      <c r="DK144" t="s">
        <v>3</v>
      </c>
      <c r="DL144" t="s">
        <v>3</v>
      </c>
      <c r="DM144" t="s">
        <v>3</v>
      </c>
      <c r="DN144">
        <v>0</v>
      </c>
      <c r="DO144">
        <v>0</v>
      </c>
      <c r="DP144">
        <v>1</v>
      </c>
      <c r="DQ144">
        <v>1</v>
      </c>
      <c r="DU144">
        <v>1003</v>
      </c>
      <c r="DV144" t="s">
        <v>240</v>
      </c>
      <c r="DW144" t="s">
        <v>240</v>
      </c>
      <c r="DX144">
        <v>1000</v>
      </c>
      <c r="DZ144" t="s">
        <v>3</v>
      </c>
      <c r="EA144" t="s">
        <v>3</v>
      </c>
      <c r="EB144" t="s">
        <v>3</v>
      </c>
      <c r="EC144" t="s">
        <v>3</v>
      </c>
      <c r="EE144">
        <v>60088644</v>
      </c>
      <c r="EF144">
        <v>202</v>
      </c>
      <c r="EG144" t="s">
        <v>241</v>
      </c>
      <c r="EH144">
        <v>0</v>
      </c>
      <c r="EI144" t="s">
        <v>3</v>
      </c>
      <c r="EJ144">
        <v>1</v>
      </c>
      <c r="EK144">
        <v>400002</v>
      </c>
      <c r="EL144" t="s">
        <v>242</v>
      </c>
      <c r="EM144" t="s">
        <v>241</v>
      </c>
      <c r="EO144" t="s">
        <v>3</v>
      </c>
      <c r="EQ144">
        <v>0</v>
      </c>
      <c r="ER144">
        <v>0</v>
      </c>
      <c r="ES144">
        <v>7061.54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5</v>
      </c>
      <c r="FC144">
        <v>1</v>
      </c>
      <c r="FD144">
        <v>18</v>
      </c>
      <c r="FF144">
        <v>82080</v>
      </c>
      <c r="FQ144">
        <v>0</v>
      </c>
      <c r="FR144">
        <v>0</v>
      </c>
      <c r="FS144">
        <v>0</v>
      </c>
      <c r="FX144">
        <v>0</v>
      </c>
      <c r="FY144">
        <v>0</v>
      </c>
      <c r="GA144" t="s">
        <v>243</v>
      </c>
      <c r="GD144">
        <v>1</v>
      </c>
      <c r="GF144">
        <v>2088615534</v>
      </c>
      <c r="GG144">
        <v>2</v>
      </c>
      <c r="GH144">
        <v>3</v>
      </c>
      <c r="GI144">
        <v>5</v>
      </c>
      <c r="GJ144">
        <v>0</v>
      </c>
      <c r="GK144">
        <v>0</v>
      </c>
      <c r="GL144">
        <f t="shared" si="99"/>
        <v>0</v>
      </c>
      <c r="GM144">
        <f t="shared" si="100"/>
        <v>7116.37</v>
      </c>
      <c r="GN144">
        <f t="shared" si="101"/>
        <v>0</v>
      </c>
      <c r="GO144">
        <f t="shared" si="102"/>
        <v>7116.37</v>
      </c>
      <c r="GP144">
        <f t="shared" si="103"/>
        <v>0</v>
      </c>
      <c r="GR144">
        <v>1</v>
      </c>
      <c r="GS144">
        <v>1</v>
      </c>
      <c r="GT144">
        <v>0</v>
      </c>
      <c r="GU144" t="s">
        <v>3</v>
      </c>
      <c r="GV144">
        <f t="shared" si="104"/>
        <v>0</v>
      </c>
      <c r="GW144">
        <v>1</v>
      </c>
      <c r="GX144">
        <f t="shared" si="105"/>
        <v>0</v>
      </c>
      <c r="HA144">
        <v>0</v>
      </c>
      <c r="HB144">
        <v>0</v>
      </c>
      <c r="HC144">
        <f t="shared" si="106"/>
        <v>0</v>
      </c>
      <c r="HE144" t="s">
        <v>244</v>
      </c>
      <c r="HF144" t="s">
        <v>29</v>
      </c>
      <c r="HM144" t="s">
        <v>3</v>
      </c>
      <c r="HN144" t="s">
        <v>3</v>
      </c>
      <c r="HO144" t="s">
        <v>3</v>
      </c>
      <c r="HP144" t="s">
        <v>3</v>
      </c>
      <c r="HQ144" t="s">
        <v>3</v>
      </c>
      <c r="HS144">
        <v>0</v>
      </c>
      <c r="IK144">
        <v>0</v>
      </c>
    </row>
    <row r="145" spans="1:255" x14ac:dyDescent="0.2">
      <c r="A145" s="2">
        <v>17</v>
      </c>
      <c r="B145" s="2">
        <v>1</v>
      </c>
      <c r="C145" s="2"/>
      <c r="D145" s="2"/>
      <c r="E145" s="2" t="s">
        <v>245</v>
      </c>
      <c r="F145" s="2" t="s">
        <v>246</v>
      </c>
      <c r="G145" s="2" t="s">
        <v>247</v>
      </c>
      <c r="H145" s="2" t="s">
        <v>240</v>
      </c>
      <c r="I145" s="2">
        <f>ROUND((100*1.02)/1000,9)</f>
        <v>0.10199999999999999</v>
      </c>
      <c r="J145" s="2">
        <v>0</v>
      </c>
      <c r="K145" s="2">
        <f>ROUND((100*1.02)/1000,9)</f>
        <v>0.10199999999999999</v>
      </c>
      <c r="L145" s="2"/>
      <c r="M145" s="2"/>
      <c r="N145" s="2"/>
      <c r="O145" s="2">
        <f t="shared" si="82"/>
        <v>421.83</v>
      </c>
      <c r="P145" s="2">
        <f t="shared" si="111"/>
        <v>421.83</v>
      </c>
      <c r="Q145" s="2">
        <f t="shared" si="115"/>
        <v>0</v>
      </c>
      <c r="R145" s="2">
        <f t="shared" si="116"/>
        <v>0</v>
      </c>
      <c r="S145" s="2">
        <f t="shared" si="84"/>
        <v>0</v>
      </c>
      <c r="T145" s="2">
        <f t="shared" si="85"/>
        <v>0</v>
      </c>
      <c r="U145" s="2">
        <f t="shared" si="86"/>
        <v>0</v>
      </c>
      <c r="V145" s="2">
        <f t="shared" si="87"/>
        <v>0</v>
      </c>
      <c r="W145" s="2">
        <f t="shared" si="88"/>
        <v>0</v>
      </c>
      <c r="X145" s="2">
        <f t="shared" si="117"/>
        <v>0</v>
      </c>
      <c r="Y145" s="2">
        <f t="shared" si="118"/>
        <v>0</v>
      </c>
      <c r="Z145" s="2"/>
      <c r="AA145" s="2">
        <v>60258621</v>
      </c>
      <c r="AB145" s="2">
        <f t="shared" si="89"/>
        <v>4135.58</v>
      </c>
      <c r="AC145" s="2">
        <f t="shared" si="119"/>
        <v>4135.58</v>
      </c>
      <c r="AD145" s="2">
        <f t="shared" si="120"/>
        <v>0</v>
      </c>
      <c r="AE145" s="2">
        <f t="shared" si="121"/>
        <v>0</v>
      </c>
      <c r="AF145" s="2">
        <f t="shared" si="121"/>
        <v>0</v>
      </c>
      <c r="AG145" s="2">
        <f t="shared" si="90"/>
        <v>0</v>
      </c>
      <c r="AH145" s="2">
        <f t="shared" si="122"/>
        <v>0</v>
      </c>
      <c r="AI145" s="2">
        <f t="shared" si="122"/>
        <v>0</v>
      </c>
      <c r="AJ145" s="2">
        <f t="shared" si="91"/>
        <v>0</v>
      </c>
      <c r="AK145" s="2">
        <v>4135.58</v>
      </c>
      <c r="AL145" s="2">
        <v>4135.58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2</v>
      </c>
      <c r="BJ145" s="2" t="s">
        <v>3</v>
      </c>
      <c r="BK145" s="2"/>
      <c r="BL145" s="2"/>
      <c r="BM145" s="2">
        <v>400002</v>
      </c>
      <c r="BN145" s="2">
        <v>0</v>
      </c>
      <c r="BO145" s="2" t="s">
        <v>3</v>
      </c>
      <c r="BP145" s="2">
        <v>0</v>
      </c>
      <c r="BQ145" s="2">
        <v>202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92"/>
        <v>421.83</v>
      </c>
      <c r="CQ145" s="2">
        <f t="shared" si="114"/>
        <v>4135.58</v>
      </c>
      <c r="CR145" s="2">
        <f t="shared" si="123"/>
        <v>0</v>
      </c>
      <c r="CS145" s="2">
        <f t="shared" si="124"/>
        <v>0</v>
      </c>
      <c r="CT145" s="2">
        <f t="shared" si="94"/>
        <v>0</v>
      </c>
      <c r="CU145" s="2">
        <f t="shared" si="95"/>
        <v>0</v>
      </c>
      <c r="CV145" s="2">
        <f t="shared" si="96"/>
        <v>0</v>
      </c>
      <c r="CW145" s="2">
        <f t="shared" si="97"/>
        <v>0</v>
      </c>
      <c r="CX145" s="2">
        <f t="shared" si="98"/>
        <v>0</v>
      </c>
      <c r="CY145" s="2">
        <f t="shared" si="125"/>
        <v>0</v>
      </c>
      <c r="CZ145" s="2">
        <f t="shared" si="126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1003</v>
      </c>
      <c r="DV145" s="2" t="s">
        <v>240</v>
      </c>
      <c r="DW145" s="2" t="s">
        <v>240</v>
      </c>
      <c r="DX145" s="2">
        <v>1000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60088644</v>
      </c>
      <c r="EF145" s="2">
        <v>202</v>
      </c>
      <c r="EG145" s="2" t="s">
        <v>241</v>
      </c>
      <c r="EH145" s="2">
        <v>0</v>
      </c>
      <c r="EI145" s="2" t="s">
        <v>3</v>
      </c>
      <c r="EJ145" s="2">
        <v>1</v>
      </c>
      <c r="EK145" s="2">
        <v>400002</v>
      </c>
      <c r="EL145" s="2" t="s">
        <v>242</v>
      </c>
      <c r="EM145" s="2" t="s">
        <v>241</v>
      </c>
      <c r="EN145" s="2"/>
      <c r="EO145" s="2" t="s">
        <v>3</v>
      </c>
      <c r="EP145" s="2"/>
      <c r="EQ145" s="2">
        <v>0</v>
      </c>
      <c r="ER145" s="2">
        <v>0</v>
      </c>
      <c r="ES145" s="2">
        <v>4135.58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248</v>
      </c>
      <c r="GB145" s="2"/>
      <c r="GC145" s="2"/>
      <c r="GD145" s="2">
        <v>1</v>
      </c>
      <c r="GE145" s="2"/>
      <c r="GF145" s="2">
        <v>-1378975296</v>
      </c>
      <c r="GG145" s="2">
        <v>2</v>
      </c>
      <c r="GH145" s="2">
        <v>4</v>
      </c>
      <c r="GI145" s="2">
        <v>-2</v>
      </c>
      <c r="GJ145" s="2">
        <v>0</v>
      </c>
      <c r="GK145" s="2">
        <v>0</v>
      </c>
      <c r="GL145" s="2">
        <f t="shared" si="99"/>
        <v>0</v>
      </c>
      <c r="GM145" s="2">
        <f t="shared" si="100"/>
        <v>421.83</v>
      </c>
      <c r="GN145" s="2">
        <f t="shared" si="101"/>
        <v>0</v>
      </c>
      <c r="GO145" s="2">
        <f t="shared" si="102"/>
        <v>421.83</v>
      </c>
      <c r="GP145" s="2">
        <f t="shared" si="103"/>
        <v>0</v>
      </c>
      <c r="GQ145" s="2"/>
      <c r="GR145" s="2">
        <v>0</v>
      </c>
      <c r="GS145" s="2">
        <v>2</v>
      </c>
      <c r="GT145" s="2">
        <v>0</v>
      </c>
      <c r="GU145" s="2" t="s">
        <v>3</v>
      </c>
      <c r="GV145" s="2">
        <f t="shared" si="104"/>
        <v>0</v>
      </c>
      <c r="GW145" s="2">
        <v>1</v>
      </c>
      <c r="GX145" s="2">
        <f t="shared" si="105"/>
        <v>0</v>
      </c>
      <c r="GY145" s="2"/>
      <c r="GZ145" s="2"/>
      <c r="HA145" s="2">
        <v>0</v>
      </c>
      <c r="HB145" s="2">
        <v>0</v>
      </c>
      <c r="HC145" s="2">
        <f t="shared" si="106"/>
        <v>0</v>
      </c>
      <c r="HD145" s="2"/>
      <c r="HE145" s="2" t="s">
        <v>244</v>
      </c>
      <c r="HF145" s="2" t="s">
        <v>29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>
        <v>17</v>
      </c>
      <c r="B146">
        <v>1</v>
      </c>
      <c r="E146" t="s">
        <v>245</v>
      </c>
      <c r="F146" t="s">
        <v>246</v>
      </c>
      <c r="G146" t="s">
        <v>247</v>
      </c>
      <c r="H146" t="s">
        <v>240</v>
      </c>
      <c r="I146">
        <f>ROUND((100*1.02)/1000,9)</f>
        <v>0.10199999999999999</v>
      </c>
      <c r="J146">
        <v>0</v>
      </c>
      <c r="K146">
        <f>ROUND((100*1.02)/1000,9)</f>
        <v>0.10199999999999999</v>
      </c>
      <c r="O146">
        <f t="shared" si="82"/>
        <v>4167.68</v>
      </c>
      <c r="P146">
        <f t="shared" si="111"/>
        <v>4167.68</v>
      </c>
      <c r="Q146">
        <f t="shared" si="115"/>
        <v>0</v>
      </c>
      <c r="R146">
        <f t="shared" si="116"/>
        <v>0</v>
      </c>
      <c r="S146">
        <f t="shared" si="84"/>
        <v>0</v>
      </c>
      <c r="T146">
        <f t="shared" si="85"/>
        <v>0</v>
      </c>
      <c r="U146">
        <f t="shared" si="86"/>
        <v>0</v>
      </c>
      <c r="V146">
        <f t="shared" si="87"/>
        <v>0</v>
      </c>
      <c r="W146">
        <f t="shared" si="88"/>
        <v>0</v>
      </c>
      <c r="X146">
        <f t="shared" si="117"/>
        <v>0</v>
      </c>
      <c r="Y146">
        <f t="shared" si="118"/>
        <v>0</v>
      </c>
      <c r="AA146">
        <v>60258618</v>
      </c>
      <c r="AB146">
        <f t="shared" si="89"/>
        <v>4135.58</v>
      </c>
      <c r="AC146">
        <f t="shared" si="119"/>
        <v>4135.58</v>
      </c>
      <c r="AD146">
        <f t="shared" si="120"/>
        <v>0</v>
      </c>
      <c r="AE146">
        <f t="shared" si="121"/>
        <v>0</v>
      </c>
      <c r="AF146">
        <f t="shared" si="121"/>
        <v>0</v>
      </c>
      <c r="AG146">
        <f t="shared" si="90"/>
        <v>0</v>
      </c>
      <c r="AH146">
        <f t="shared" si="122"/>
        <v>0</v>
      </c>
      <c r="AI146">
        <f t="shared" si="122"/>
        <v>0</v>
      </c>
      <c r="AJ146">
        <f t="shared" si="91"/>
        <v>0</v>
      </c>
      <c r="AK146">
        <v>4135.58</v>
      </c>
      <c r="AL146">
        <v>4135.58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Z146">
        <v>1</v>
      </c>
      <c r="BA146">
        <v>1</v>
      </c>
      <c r="BB146">
        <v>1</v>
      </c>
      <c r="BC146">
        <v>9.8800000000000008</v>
      </c>
      <c r="BD146" t="s">
        <v>3</v>
      </c>
      <c r="BE146" t="s">
        <v>3</v>
      </c>
      <c r="BF146" t="s">
        <v>3</v>
      </c>
      <c r="BG146" t="s">
        <v>3</v>
      </c>
      <c r="BH146">
        <v>3</v>
      </c>
      <c r="BI146">
        <v>2</v>
      </c>
      <c r="BJ146" t="s">
        <v>3</v>
      </c>
      <c r="BM146">
        <v>400002</v>
      </c>
      <c r="BN146">
        <v>0</v>
      </c>
      <c r="BO146" t="s">
        <v>3</v>
      </c>
      <c r="BP146">
        <v>0</v>
      </c>
      <c r="BQ146">
        <v>202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3</v>
      </c>
      <c r="BZ146">
        <v>0</v>
      </c>
      <c r="CA146">
        <v>0</v>
      </c>
      <c r="CB146" t="s">
        <v>3</v>
      </c>
      <c r="CE146">
        <v>1566</v>
      </c>
      <c r="CF146">
        <v>0</v>
      </c>
      <c r="CG146">
        <v>0</v>
      </c>
      <c r="CM146">
        <v>0</v>
      </c>
      <c r="CN146" t="s">
        <v>3</v>
      </c>
      <c r="CO146">
        <v>0</v>
      </c>
      <c r="CP146">
        <f t="shared" si="92"/>
        <v>4167.68</v>
      </c>
      <c r="CQ146">
        <f t="shared" si="114"/>
        <v>40859.53</v>
      </c>
      <c r="CR146">
        <f t="shared" si="123"/>
        <v>0</v>
      </c>
      <c r="CS146">
        <f t="shared" si="124"/>
        <v>0</v>
      </c>
      <c r="CT146">
        <f t="shared" si="94"/>
        <v>0</v>
      </c>
      <c r="CU146">
        <f t="shared" si="95"/>
        <v>0</v>
      </c>
      <c r="CV146">
        <f t="shared" si="96"/>
        <v>0</v>
      </c>
      <c r="CW146">
        <f t="shared" si="97"/>
        <v>0</v>
      </c>
      <c r="CX146">
        <f t="shared" si="98"/>
        <v>0</v>
      </c>
      <c r="CY146">
        <f t="shared" si="125"/>
        <v>0</v>
      </c>
      <c r="CZ146">
        <f t="shared" si="126"/>
        <v>0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  <c r="DN146">
        <v>0</v>
      </c>
      <c r="DO146">
        <v>0</v>
      </c>
      <c r="DP146">
        <v>1</v>
      </c>
      <c r="DQ146">
        <v>1</v>
      </c>
      <c r="DU146">
        <v>1003</v>
      </c>
      <c r="DV146" t="s">
        <v>240</v>
      </c>
      <c r="DW146" t="s">
        <v>240</v>
      </c>
      <c r="DX146">
        <v>1000</v>
      </c>
      <c r="DZ146" t="s">
        <v>3</v>
      </c>
      <c r="EA146" t="s">
        <v>3</v>
      </c>
      <c r="EB146" t="s">
        <v>3</v>
      </c>
      <c r="EC146" t="s">
        <v>3</v>
      </c>
      <c r="EE146">
        <v>60088644</v>
      </c>
      <c r="EF146">
        <v>202</v>
      </c>
      <c r="EG146" t="s">
        <v>241</v>
      </c>
      <c r="EH146">
        <v>0</v>
      </c>
      <c r="EI146" t="s">
        <v>3</v>
      </c>
      <c r="EJ146">
        <v>1</v>
      </c>
      <c r="EK146">
        <v>400002</v>
      </c>
      <c r="EL146" t="s">
        <v>242</v>
      </c>
      <c r="EM146" t="s">
        <v>241</v>
      </c>
      <c r="EO146" t="s">
        <v>3</v>
      </c>
      <c r="EQ146">
        <v>0</v>
      </c>
      <c r="ER146">
        <v>0</v>
      </c>
      <c r="ES146">
        <v>4135.58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5</v>
      </c>
      <c r="FC146">
        <v>1</v>
      </c>
      <c r="FD146">
        <v>18</v>
      </c>
      <c r="FF146">
        <v>48070</v>
      </c>
      <c r="FQ146">
        <v>0</v>
      </c>
      <c r="FR146">
        <v>0</v>
      </c>
      <c r="FS146">
        <v>0</v>
      </c>
      <c r="FX146">
        <v>0</v>
      </c>
      <c r="FY146">
        <v>0</v>
      </c>
      <c r="GA146" t="s">
        <v>248</v>
      </c>
      <c r="GD146">
        <v>1</v>
      </c>
      <c r="GF146">
        <v>-1378975296</v>
      </c>
      <c r="GG146">
        <v>2</v>
      </c>
      <c r="GH146">
        <v>3</v>
      </c>
      <c r="GI146">
        <v>5</v>
      </c>
      <c r="GJ146">
        <v>0</v>
      </c>
      <c r="GK146">
        <v>0</v>
      </c>
      <c r="GL146">
        <f t="shared" si="99"/>
        <v>0</v>
      </c>
      <c r="GM146">
        <f t="shared" si="100"/>
        <v>4167.68</v>
      </c>
      <c r="GN146">
        <f t="shared" si="101"/>
        <v>0</v>
      </c>
      <c r="GO146">
        <f t="shared" si="102"/>
        <v>4167.68</v>
      </c>
      <c r="GP146">
        <f t="shared" si="103"/>
        <v>0</v>
      </c>
      <c r="GR146">
        <v>1</v>
      </c>
      <c r="GS146">
        <v>1</v>
      </c>
      <c r="GT146">
        <v>0</v>
      </c>
      <c r="GU146" t="s">
        <v>3</v>
      </c>
      <c r="GV146">
        <f t="shared" si="104"/>
        <v>0</v>
      </c>
      <c r="GW146">
        <v>1</v>
      </c>
      <c r="GX146">
        <f t="shared" si="105"/>
        <v>0</v>
      </c>
      <c r="HA146">
        <v>0</v>
      </c>
      <c r="HB146">
        <v>0</v>
      </c>
      <c r="HC146">
        <f t="shared" si="106"/>
        <v>0</v>
      </c>
      <c r="HE146" t="s">
        <v>244</v>
      </c>
      <c r="HF146" t="s">
        <v>29</v>
      </c>
      <c r="HM146" t="s">
        <v>3</v>
      </c>
      <c r="HN146" t="s">
        <v>3</v>
      </c>
      <c r="HO146" t="s">
        <v>3</v>
      </c>
      <c r="HP146" t="s">
        <v>3</v>
      </c>
      <c r="HQ146" t="s">
        <v>3</v>
      </c>
      <c r="HS146">
        <v>0</v>
      </c>
      <c r="IK146">
        <v>0</v>
      </c>
    </row>
    <row r="147" spans="1:255" x14ac:dyDescent="0.2">
      <c r="A147" s="2">
        <v>17</v>
      </c>
      <c r="B147" s="2">
        <v>1</v>
      </c>
      <c r="C147" s="2"/>
      <c r="D147" s="2"/>
      <c r="E147" s="2" t="s">
        <v>249</v>
      </c>
      <c r="F147" s="2" t="s">
        <v>250</v>
      </c>
      <c r="G147" s="2" t="s">
        <v>251</v>
      </c>
      <c r="H147" s="2" t="s">
        <v>240</v>
      </c>
      <c r="I147" s="2">
        <f>ROUND((2500*1.02)/1000,9)</f>
        <v>2.5499999999999998</v>
      </c>
      <c r="J147" s="2">
        <v>0</v>
      </c>
      <c r="K147" s="2">
        <f>ROUND((2500*1.02)/1000,9)</f>
        <v>2.5499999999999998</v>
      </c>
      <c r="L147" s="2"/>
      <c r="M147" s="2"/>
      <c r="N147" s="2"/>
      <c r="O147" s="2">
        <f t="shared" si="82"/>
        <v>7522.63</v>
      </c>
      <c r="P147" s="2">
        <f t="shared" si="111"/>
        <v>7522.63</v>
      </c>
      <c r="Q147" s="2">
        <f t="shared" si="115"/>
        <v>0</v>
      </c>
      <c r="R147" s="2">
        <f t="shared" si="116"/>
        <v>0</v>
      </c>
      <c r="S147" s="2">
        <f t="shared" si="84"/>
        <v>0</v>
      </c>
      <c r="T147" s="2">
        <f t="shared" si="85"/>
        <v>0</v>
      </c>
      <c r="U147" s="2">
        <f t="shared" si="86"/>
        <v>0</v>
      </c>
      <c r="V147" s="2">
        <f t="shared" si="87"/>
        <v>0</v>
      </c>
      <c r="W147" s="2">
        <f t="shared" si="88"/>
        <v>0</v>
      </c>
      <c r="X147" s="2">
        <f t="shared" si="117"/>
        <v>0</v>
      </c>
      <c r="Y147" s="2">
        <f t="shared" si="118"/>
        <v>0</v>
      </c>
      <c r="Z147" s="2"/>
      <c r="AA147" s="2">
        <v>60258621</v>
      </c>
      <c r="AB147" s="2">
        <f t="shared" si="89"/>
        <v>2950.05</v>
      </c>
      <c r="AC147" s="2">
        <f t="shared" si="119"/>
        <v>2950.05</v>
      </c>
      <c r="AD147" s="2">
        <f t="shared" si="120"/>
        <v>0</v>
      </c>
      <c r="AE147" s="2">
        <f t="shared" si="121"/>
        <v>0</v>
      </c>
      <c r="AF147" s="2">
        <f t="shared" si="121"/>
        <v>0</v>
      </c>
      <c r="AG147" s="2">
        <f t="shared" si="90"/>
        <v>0</v>
      </c>
      <c r="AH147" s="2">
        <f t="shared" si="122"/>
        <v>0</v>
      </c>
      <c r="AI147" s="2">
        <f t="shared" si="122"/>
        <v>0</v>
      </c>
      <c r="AJ147" s="2">
        <f t="shared" si="91"/>
        <v>0</v>
      </c>
      <c r="AK147" s="2">
        <v>2950.05</v>
      </c>
      <c r="AL147" s="2">
        <v>2950.05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2</v>
      </c>
      <c r="BJ147" s="2" t="s">
        <v>3</v>
      </c>
      <c r="BK147" s="2"/>
      <c r="BL147" s="2"/>
      <c r="BM147" s="2">
        <v>400002</v>
      </c>
      <c r="BN147" s="2">
        <v>0</v>
      </c>
      <c r="BO147" s="2" t="s">
        <v>3</v>
      </c>
      <c r="BP147" s="2">
        <v>0</v>
      </c>
      <c r="BQ147" s="2">
        <v>202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0</v>
      </c>
      <c r="CA147" s="2">
        <v>0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3</v>
      </c>
      <c r="CO147" s="2">
        <v>0</v>
      </c>
      <c r="CP147" s="2">
        <f t="shared" si="92"/>
        <v>7522.63</v>
      </c>
      <c r="CQ147" s="2">
        <f t="shared" si="114"/>
        <v>2950.05</v>
      </c>
      <c r="CR147" s="2">
        <f t="shared" si="123"/>
        <v>0</v>
      </c>
      <c r="CS147" s="2">
        <f t="shared" si="124"/>
        <v>0</v>
      </c>
      <c r="CT147" s="2">
        <f t="shared" si="94"/>
        <v>0</v>
      </c>
      <c r="CU147" s="2">
        <f t="shared" si="95"/>
        <v>0</v>
      </c>
      <c r="CV147" s="2">
        <f t="shared" si="96"/>
        <v>0</v>
      </c>
      <c r="CW147" s="2">
        <f t="shared" si="97"/>
        <v>0</v>
      </c>
      <c r="CX147" s="2">
        <f t="shared" si="98"/>
        <v>0</v>
      </c>
      <c r="CY147" s="2">
        <f t="shared" si="125"/>
        <v>0</v>
      </c>
      <c r="CZ147" s="2">
        <f t="shared" si="126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1003</v>
      </c>
      <c r="DV147" s="2" t="s">
        <v>240</v>
      </c>
      <c r="DW147" s="2" t="s">
        <v>240</v>
      </c>
      <c r="DX147" s="2">
        <v>1000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60088644</v>
      </c>
      <c r="EF147" s="2">
        <v>202</v>
      </c>
      <c r="EG147" s="2" t="s">
        <v>241</v>
      </c>
      <c r="EH147" s="2">
        <v>0</v>
      </c>
      <c r="EI147" s="2" t="s">
        <v>3</v>
      </c>
      <c r="EJ147" s="2">
        <v>1</v>
      </c>
      <c r="EK147" s="2">
        <v>400002</v>
      </c>
      <c r="EL147" s="2" t="s">
        <v>242</v>
      </c>
      <c r="EM147" s="2" t="s">
        <v>241</v>
      </c>
      <c r="EN147" s="2"/>
      <c r="EO147" s="2" t="s">
        <v>3</v>
      </c>
      <c r="EP147" s="2"/>
      <c r="EQ147" s="2">
        <v>0</v>
      </c>
      <c r="ER147" s="2">
        <v>0</v>
      </c>
      <c r="ES147" s="2">
        <v>2950.05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0</v>
      </c>
      <c r="FY147" s="2">
        <v>0</v>
      </c>
      <c r="FZ147" s="2"/>
      <c r="GA147" s="2" t="s">
        <v>252</v>
      </c>
      <c r="GB147" s="2"/>
      <c r="GC147" s="2"/>
      <c r="GD147" s="2">
        <v>1</v>
      </c>
      <c r="GE147" s="2"/>
      <c r="GF147" s="2">
        <v>-1561409297</v>
      </c>
      <c r="GG147" s="2">
        <v>2</v>
      </c>
      <c r="GH147" s="2">
        <v>4</v>
      </c>
      <c r="GI147" s="2">
        <v>-2</v>
      </c>
      <c r="GJ147" s="2">
        <v>0</v>
      </c>
      <c r="GK147" s="2">
        <v>0</v>
      </c>
      <c r="GL147" s="2">
        <f t="shared" si="99"/>
        <v>0</v>
      </c>
      <c r="GM147" s="2">
        <f t="shared" si="100"/>
        <v>7522.63</v>
      </c>
      <c r="GN147" s="2">
        <f t="shared" si="101"/>
        <v>0</v>
      </c>
      <c r="GO147" s="2">
        <f t="shared" si="102"/>
        <v>7522.63</v>
      </c>
      <c r="GP147" s="2">
        <f t="shared" si="103"/>
        <v>0</v>
      </c>
      <c r="GQ147" s="2"/>
      <c r="GR147" s="2">
        <v>0</v>
      </c>
      <c r="GS147" s="2">
        <v>2</v>
      </c>
      <c r="GT147" s="2">
        <v>0</v>
      </c>
      <c r="GU147" s="2" t="s">
        <v>3</v>
      </c>
      <c r="GV147" s="2">
        <f t="shared" si="104"/>
        <v>0</v>
      </c>
      <c r="GW147" s="2">
        <v>1</v>
      </c>
      <c r="GX147" s="2">
        <f t="shared" si="105"/>
        <v>0</v>
      </c>
      <c r="GY147" s="2"/>
      <c r="GZ147" s="2"/>
      <c r="HA147" s="2">
        <v>0</v>
      </c>
      <c r="HB147" s="2">
        <v>0</v>
      </c>
      <c r="HC147" s="2">
        <f t="shared" si="106"/>
        <v>0</v>
      </c>
      <c r="HD147" s="2"/>
      <c r="HE147" s="2" t="s">
        <v>244</v>
      </c>
      <c r="HF147" s="2" t="s">
        <v>29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>
        <v>17</v>
      </c>
      <c r="B148">
        <v>1</v>
      </c>
      <c r="E148" t="s">
        <v>249</v>
      </c>
      <c r="F148" t="s">
        <v>250</v>
      </c>
      <c r="G148" t="s">
        <v>251</v>
      </c>
      <c r="H148" t="s">
        <v>240</v>
      </c>
      <c r="I148">
        <f>ROUND((2500*1.02)/1000,9)</f>
        <v>2.5499999999999998</v>
      </c>
      <c r="J148">
        <v>0</v>
      </c>
      <c r="K148">
        <f>ROUND((2500*1.02)/1000,9)</f>
        <v>2.5499999999999998</v>
      </c>
      <c r="O148">
        <f t="shared" si="82"/>
        <v>74323.58</v>
      </c>
      <c r="P148">
        <f t="shared" si="111"/>
        <v>74323.58</v>
      </c>
      <c r="Q148">
        <f t="shared" si="115"/>
        <v>0</v>
      </c>
      <c r="R148">
        <f t="shared" si="116"/>
        <v>0</v>
      </c>
      <c r="S148">
        <f t="shared" si="84"/>
        <v>0</v>
      </c>
      <c r="T148">
        <f t="shared" si="85"/>
        <v>0</v>
      </c>
      <c r="U148">
        <f t="shared" si="86"/>
        <v>0</v>
      </c>
      <c r="V148">
        <f t="shared" si="87"/>
        <v>0</v>
      </c>
      <c r="W148">
        <f t="shared" si="88"/>
        <v>0</v>
      </c>
      <c r="X148">
        <f t="shared" si="117"/>
        <v>0</v>
      </c>
      <c r="Y148">
        <f t="shared" si="118"/>
        <v>0</v>
      </c>
      <c r="AA148">
        <v>60258618</v>
      </c>
      <c r="AB148">
        <f t="shared" si="89"/>
        <v>2950.05</v>
      </c>
      <c r="AC148">
        <f t="shared" si="119"/>
        <v>2950.05</v>
      </c>
      <c r="AD148">
        <f t="shared" si="120"/>
        <v>0</v>
      </c>
      <c r="AE148">
        <f t="shared" si="121"/>
        <v>0</v>
      </c>
      <c r="AF148">
        <f t="shared" si="121"/>
        <v>0</v>
      </c>
      <c r="AG148">
        <f t="shared" si="90"/>
        <v>0</v>
      </c>
      <c r="AH148">
        <f t="shared" si="122"/>
        <v>0</v>
      </c>
      <c r="AI148">
        <f t="shared" si="122"/>
        <v>0</v>
      </c>
      <c r="AJ148">
        <f t="shared" si="91"/>
        <v>0</v>
      </c>
      <c r="AK148">
        <v>2950.05</v>
      </c>
      <c r="AL148">
        <v>2950.05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1</v>
      </c>
      <c r="AZ148">
        <v>1</v>
      </c>
      <c r="BA148">
        <v>1</v>
      </c>
      <c r="BB148">
        <v>1</v>
      </c>
      <c r="BC148">
        <v>9.8800000000000008</v>
      </c>
      <c r="BD148" t="s">
        <v>3</v>
      </c>
      <c r="BE148" t="s">
        <v>3</v>
      </c>
      <c r="BF148" t="s">
        <v>3</v>
      </c>
      <c r="BG148" t="s">
        <v>3</v>
      </c>
      <c r="BH148">
        <v>3</v>
      </c>
      <c r="BI148">
        <v>2</v>
      </c>
      <c r="BJ148" t="s">
        <v>3</v>
      </c>
      <c r="BM148">
        <v>400002</v>
      </c>
      <c r="BN148">
        <v>0</v>
      </c>
      <c r="BO148" t="s">
        <v>3</v>
      </c>
      <c r="BP148">
        <v>0</v>
      </c>
      <c r="BQ148">
        <v>202</v>
      </c>
      <c r="BR148">
        <v>0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3</v>
      </c>
      <c r="BZ148">
        <v>0</v>
      </c>
      <c r="CA148">
        <v>0</v>
      </c>
      <c r="CB148" t="s">
        <v>3</v>
      </c>
      <c r="CE148">
        <v>1566</v>
      </c>
      <c r="CF148">
        <v>0</v>
      </c>
      <c r="CG148">
        <v>0</v>
      </c>
      <c r="CM148">
        <v>0</v>
      </c>
      <c r="CN148" t="s">
        <v>3</v>
      </c>
      <c r="CO148">
        <v>0</v>
      </c>
      <c r="CP148">
        <f t="shared" si="92"/>
        <v>74323.58</v>
      </c>
      <c r="CQ148">
        <f t="shared" si="114"/>
        <v>29146.49</v>
      </c>
      <c r="CR148">
        <f t="shared" si="123"/>
        <v>0</v>
      </c>
      <c r="CS148">
        <f t="shared" si="124"/>
        <v>0</v>
      </c>
      <c r="CT148">
        <f t="shared" si="94"/>
        <v>0</v>
      </c>
      <c r="CU148">
        <f t="shared" si="95"/>
        <v>0</v>
      </c>
      <c r="CV148">
        <f t="shared" si="96"/>
        <v>0</v>
      </c>
      <c r="CW148">
        <f t="shared" si="97"/>
        <v>0</v>
      </c>
      <c r="CX148">
        <f t="shared" si="98"/>
        <v>0</v>
      </c>
      <c r="CY148">
        <f t="shared" si="125"/>
        <v>0</v>
      </c>
      <c r="CZ148">
        <f t="shared" si="126"/>
        <v>0</v>
      </c>
      <c r="DC148" t="s">
        <v>3</v>
      </c>
      <c r="DD148" t="s">
        <v>3</v>
      </c>
      <c r="DE148" t="s">
        <v>3</v>
      </c>
      <c r="DF148" t="s">
        <v>3</v>
      </c>
      <c r="DG148" t="s">
        <v>3</v>
      </c>
      <c r="DH148" t="s">
        <v>3</v>
      </c>
      <c r="DI148" t="s">
        <v>3</v>
      </c>
      <c r="DJ148" t="s">
        <v>3</v>
      </c>
      <c r="DK148" t="s">
        <v>3</v>
      </c>
      <c r="DL148" t="s">
        <v>3</v>
      </c>
      <c r="DM148" t="s">
        <v>3</v>
      </c>
      <c r="DN148">
        <v>0</v>
      </c>
      <c r="DO148">
        <v>0</v>
      </c>
      <c r="DP148">
        <v>1</v>
      </c>
      <c r="DQ148">
        <v>1</v>
      </c>
      <c r="DU148">
        <v>1003</v>
      </c>
      <c r="DV148" t="s">
        <v>240</v>
      </c>
      <c r="DW148" t="s">
        <v>240</v>
      </c>
      <c r="DX148">
        <v>1000</v>
      </c>
      <c r="DZ148" t="s">
        <v>3</v>
      </c>
      <c r="EA148" t="s">
        <v>3</v>
      </c>
      <c r="EB148" t="s">
        <v>3</v>
      </c>
      <c r="EC148" t="s">
        <v>3</v>
      </c>
      <c r="EE148">
        <v>60088644</v>
      </c>
      <c r="EF148">
        <v>202</v>
      </c>
      <c r="EG148" t="s">
        <v>241</v>
      </c>
      <c r="EH148">
        <v>0</v>
      </c>
      <c r="EI148" t="s">
        <v>3</v>
      </c>
      <c r="EJ148">
        <v>1</v>
      </c>
      <c r="EK148">
        <v>400002</v>
      </c>
      <c r="EL148" t="s">
        <v>242</v>
      </c>
      <c r="EM148" t="s">
        <v>241</v>
      </c>
      <c r="EO148" t="s">
        <v>3</v>
      </c>
      <c r="EQ148">
        <v>0</v>
      </c>
      <c r="ER148">
        <v>0</v>
      </c>
      <c r="ES148">
        <v>2950.05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5</v>
      </c>
      <c r="FC148">
        <v>1</v>
      </c>
      <c r="FD148">
        <v>18</v>
      </c>
      <c r="FF148">
        <v>34290</v>
      </c>
      <c r="FQ148">
        <v>0</v>
      </c>
      <c r="FR148">
        <v>0</v>
      </c>
      <c r="FS148">
        <v>0</v>
      </c>
      <c r="FX148">
        <v>0</v>
      </c>
      <c r="FY148">
        <v>0</v>
      </c>
      <c r="GA148" t="s">
        <v>252</v>
      </c>
      <c r="GD148">
        <v>1</v>
      </c>
      <c r="GF148">
        <v>-1561409297</v>
      </c>
      <c r="GG148">
        <v>2</v>
      </c>
      <c r="GH148">
        <v>3</v>
      </c>
      <c r="GI148">
        <v>5</v>
      </c>
      <c r="GJ148">
        <v>0</v>
      </c>
      <c r="GK148">
        <v>0</v>
      </c>
      <c r="GL148">
        <f t="shared" si="99"/>
        <v>0</v>
      </c>
      <c r="GM148">
        <f t="shared" si="100"/>
        <v>74323.58</v>
      </c>
      <c r="GN148">
        <f t="shared" si="101"/>
        <v>0</v>
      </c>
      <c r="GO148">
        <f t="shared" si="102"/>
        <v>74323.58</v>
      </c>
      <c r="GP148">
        <f t="shared" si="103"/>
        <v>0</v>
      </c>
      <c r="GR148">
        <v>1</v>
      </c>
      <c r="GS148">
        <v>1</v>
      </c>
      <c r="GT148">
        <v>0</v>
      </c>
      <c r="GU148" t="s">
        <v>3</v>
      </c>
      <c r="GV148">
        <f t="shared" si="104"/>
        <v>0</v>
      </c>
      <c r="GW148">
        <v>1</v>
      </c>
      <c r="GX148">
        <f t="shared" si="105"/>
        <v>0</v>
      </c>
      <c r="HA148">
        <v>0</v>
      </c>
      <c r="HB148">
        <v>0</v>
      </c>
      <c r="HC148">
        <f t="shared" si="106"/>
        <v>0</v>
      </c>
      <c r="HE148" t="s">
        <v>244</v>
      </c>
      <c r="HF148" t="s">
        <v>29</v>
      </c>
      <c r="HM148" t="s">
        <v>3</v>
      </c>
      <c r="HN148" t="s">
        <v>3</v>
      </c>
      <c r="HO148" t="s">
        <v>3</v>
      </c>
      <c r="HP148" t="s">
        <v>3</v>
      </c>
      <c r="HQ148" t="s">
        <v>3</v>
      </c>
      <c r="HS148">
        <v>0</v>
      </c>
      <c r="IK148">
        <v>0</v>
      </c>
    </row>
    <row r="149" spans="1:255" x14ac:dyDescent="0.2">
      <c r="A149" s="2">
        <v>17</v>
      </c>
      <c r="B149" s="2">
        <v>1</v>
      </c>
      <c r="C149" s="2"/>
      <c r="D149" s="2"/>
      <c r="E149" s="2" t="s">
        <v>253</v>
      </c>
      <c r="F149" s="2" t="s">
        <v>254</v>
      </c>
      <c r="G149" s="2" t="s">
        <v>255</v>
      </c>
      <c r="H149" s="2" t="s">
        <v>240</v>
      </c>
      <c r="I149" s="2">
        <f>ROUND((500*1.02)/1000,9)</f>
        <v>0.51</v>
      </c>
      <c r="J149" s="2">
        <v>0</v>
      </c>
      <c r="K149" s="2">
        <f>ROUND((500*1.02)/1000,9)</f>
        <v>0.51</v>
      </c>
      <c r="L149" s="2"/>
      <c r="M149" s="2"/>
      <c r="N149" s="2"/>
      <c r="O149" s="2">
        <f t="shared" si="82"/>
        <v>4096.3100000000004</v>
      </c>
      <c r="P149" s="2">
        <f t="shared" si="111"/>
        <v>4096.3100000000004</v>
      </c>
      <c r="Q149" s="2">
        <f t="shared" si="115"/>
        <v>0</v>
      </c>
      <c r="R149" s="2">
        <f t="shared" si="116"/>
        <v>0</v>
      </c>
      <c r="S149" s="2">
        <f t="shared" si="84"/>
        <v>0</v>
      </c>
      <c r="T149" s="2">
        <f t="shared" si="85"/>
        <v>0</v>
      </c>
      <c r="U149" s="2">
        <f t="shared" si="86"/>
        <v>0</v>
      </c>
      <c r="V149" s="2">
        <f t="shared" si="87"/>
        <v>0</v>
      </c>
      <c r="W149" s="2">
        <f t="shared" si="88"/>
        <v>0</v>
      </c>
      <c r="X149" s="2">
        <f t="shared" si="117"/>
        <v>0</v>
      </c>
      <c r="Y149" s="2">
        <f t="shared" si="118"/>
        <v>0</v>
      </c>
      <c r="Z149" s="2"/>
      <c r="AA149" s="2">
        <v>60258621</v>
      </c>
      <c r="AB149" s="2">
        <f t="shared" si="89"/>
        <v>8031.98</v>
      </c>
      <c r="AC149" s="2">
        <f t="shared" si="119"/>
        <v>8031.98</v>
      </c>
      <c r="AD149" s="2">
        <f t="shared" si="120"/>
        <v>0</v>
      </c>
      <c r="AE149" s="2">
        <f t="shared" si="121"/>
        <v>0</v>
      </c>
      <c r="AF149" s="2">
        <f t="shared" si="121"/>
        <v>0</v>
      </c>
      <c r="AG149" s="2">
        <f t="shared" si="90"/>
        <v>0</v>
      </c>
      <c r="AH149" s="2">
        <f t="shared" si="122"/>
        <v>0</v>
      </c>
      <c r="AI149" s="2">
        <f t="shared" si="122"/>
        <v>0</v>
      </c>
      <c r="AJ149" s="2">
        <f t="shared" si="91"/>
        <v>0</v>
      </c>
      <c r="AK149" s="2">
        <v>8031.98</v>
      </c>
      <c r="AL149" s="2">
        <v>8031.98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2</v>
      </c>
      <c r="BJ149" s="2" t="s">
        <v>3</v>
      </c>
      <c r="BK149" s="2"/>
      <c r="BL149" s="2"/>
      <c r="BM149" s="2">
        <v>400002</v>
      </c>
      <c r="BN149" s="2">
        <v>0</v>
      </c>
      <c r="BO149" s="2" t="s">
        <v>3</v>
      </c>
      <c r="BP149" s="2">
        <v>0</v>
      </c>
      <c r="BQ149" s="2">
        <v>202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0</v>
      </c>
      <c r="CA149" s="2">
        <v>0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92"/>
        <v>4096.3100000000004</v>
      </c>
      <c r="CQ149" s="2">
        <f t="shared" si="114"/>
        <v>8031.98</v>
      </c>
      <c r="CR149" s="2">
        <f t="shared" si="123"/>
        <v>0</v>
      </c>
      <c r="CS149" s="2">
        <f t="shared" si="124"/>
        <v>0</v>
      </c>
      <c r="CT149" s="2">
        <f t="shared" si="94"/>
        <v>0</v>
      </c>
      <c r="CU149" s="2">
        <f t="shared" si="95"/>
        <v>0</v>
      </c>
      <c r="CV149" s="2">
        <f t="shared" si="96"/>
        <v>0</v>
      </c>
      <c r="CW149" s="2">
        <f t="shared" si="97"/>
        <v>0</v>
      </c>
      <c r="CX149" s="2">
        <f t="shared" si="98"/>
        <v>0</v>
      </c>
      <c r="CY149" s="2">
        <f t="shared" si="125"/>
        <v>0</v>
      </c>
      <c r="CZ149" s="2">
        <f t="shared" si="126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1003</v>
      </c>
      <c r="DV149" s="2" t="s">
        <v>240</v>
      </c>
      <c r="DW149" s="2" t="s">
        <v>240</v>
      </c>
      <c r="DX149" s="2">
        <v>1000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60088644</v>
      </c>
      <c r="EF149" s="2">
        <v>202</v>
      </c>
      <c r="EG149" s="2" t="s">
        <v>241</v>
      </c>
      <c r="EH149" s="2">
        <v>0</v>
      </c>
      <c r="EI149" s="2" t="s">
        <v>3</v>
      </c>
      <c r="EJ149" s="2">
        <v>1</v>
      </c>
      <c r="EK149" s="2">
        <v>400002</v>
      </c>
      <c r="EL149" s="2" t="s">
        <v>242</v>
      </c>
      <c r="EM149" s="2" t="s">
        <v>241</v>
      </c>
      <c r="EN149" s="2"/>
      <c r="EO149" s="2" t="s">
        <v>3</v>
      </c>
      <c r="EP149" s="2"/>
      <c r="EQ149" s="2">
        <v>0</v>
      </c>
      <c r="ER149" s="2">
        <v>0</v>
      </c>
      <c r="ES149" s="2">
        <v>8031.98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0</v>
      </c>
      <c r="FY149" s="2">
        <v>0</v>
      </c>
      <c r="FZ149" s="2"/>
      <c r="GA149" s="2" t="s">
        <v>256</v>
      </c>
      <c r="GB149" s="2"/>
      <c r="GC149" s="2"/>
      <c r="GD149" s="2">
        <v>1</v>
      </c>
      <c r="GE149" s="2"/>
      <c r="GF149" s="2">
        <v>1569574846</v>
      </c>
      <c r="GG149" s="2">
        <v>2</v>
      </c>
      <c r="GH149" s="2">
        <v>4</v>
      </c>
      <c r="GI149" s="2">
        <v>-2</v>
      </c>
      <c r="GJ149" s="2">
        <v>0</v>
      </c>
      <c r="GK149" s="2">
        <v>0</v>
      </c>
      <c r="GL149" s="2">
        <f t="shared" si="99"/>
        <v>0</v>
      </c>
      <c r="GM149" s="2">
        <f t="shared" si="100"/>
        <v>4096.3100000000004</v>
      </c>
      <c r="GN149" s="2">
        <f t="shared" si="101"/>
        <v>0</v>
      </c>
      <c r="GO149" s="2">
        <f t="shared" si="102"/>
        <v>4096.3100000000004</v>
      </c>
      <c r="GP149" s="2">
        <f t="shared" si="103"/>
        <v>0</v>
      </c>
      <c r="GQ149" s="2"/>
      <c r="GR149" s="2">
        <v>0</v>
      </c>
      <c r="GS149" s="2">
        <v>2</v>
      </c>
      <c r="GT149" s="2">
        <v>0</v>
      </c>
      <c r="GU149" s="2" t="s">
        <v>3</v>
      </c>
      <c r="GV149" s="2">
        <f t="shared" si="104"/>
        <v>0</v>
      </c>
      <c r="GW149" s="2">
        <v>1</v>
      </c>
      <c r="GX149" s="2">
        <f t="shared" si="105"/>
        <v>0</v>
      </c>
      <c r="GY149" s="2"/>
      <c r="GZ149" s="2"/>
      <c r="HA149" s="2">
        <v>0</v>
      </c>
      <c r="HB149" s="2">
        <v>0</v>
      </c>
      <c r="HC149" s="2">
        <f t="shared" si="106"/>
        <v>0</v>
      </c>
      <c r="HD149" s="2"/>
      <c r="HE149" s="2" t="s">
        <v>244</v>
      </c>
      <c r="HF149" s="2" t="s">
        <v>29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>
        <v>17</v>
      </c>
      <c r="B150">
        <v>1</v>
      </c>
      <c r="E150" t="s">
        <v>253</v>
      </c>
      <c r="F150" t="s">
        <v>254</v>
      </c>
      <c r="G150" t="s">
        <v>255</v>
      </c>
      <c r="H150" t="s">
        <v>240</v>
      </c>
      <c r="I150">
        <f>ROUND((500*1.02)/1000,9)</f>
        <v>0.51</v>
      </c>
      <c r="J150">
        <v>0</v>
      </c>
      <c r="K150">
        <f>ROUND((500*1.02)/1000,9)</f>
        <v>0.51</v>
      </c>
      <c r="O150">
        <f t="shared" si="82"/>
        <v>40471.54</v>
      </c>
      <c r="P150">
        <f t="shared" si="111"/>
        <v>40471.54</v>
      </c>
      <c r="Q150">
        <f t="shared" si="115"/>
        <v>0</v>
      </c>
      <c r="R150">
        <f t="shared" si="116"/>
        <v>0</v>
      </c>
      <c r="S150">
        <f t="shared" si="84"/>
        <v>0</v>
      </c>
      <c r="T150">
        <f t="shared" si="85"/>
        <v>0</v>
      </c>
      <c r="U150">
        <f t="shared" si="86"/>
        <v>0</v>
      </c>
      <c r="V150">
        <f t="shared" si="87"/>
        <v>0</v>
      </c>
      <c r="W150">
        <f t="shared" si="88"/>
        <v>0</v>
      </c>
      <c r="X150">
        <f t="shared" si="117"/>
        <v>0</v>
      </c>
      <c r="Y150">
        <f t="shared" si="118"/>
        <v>0</v>
      </c>
      <c r="AA150">
        <v>60258618</v>
      </c>
      <c r="AB150">
        <f t="shared" si="89"/>
        <v>8031.98</v>
      </c>
      <c r="AC150">
        <f t="shared" si="119"/>
        <v>8031.98</v>
      </c>
      <c r="AD150">
        <f t="shared" si="120"/>
        <v>0</v>
      </c>
      <c r="AE150">
        <f t="shared" si="121"/>
        <v>0</v>
      </c>
      <c r="AF150">
        <f t="shared" si="121"/>
        <v>0</v>
      </c>
      <c r="AG150">
        <f t="shared" si="90"/>
        <v>0</v>
      </c>
      <c r="AH150">
        <f t="shared" si="122"/>
        <v>0</v>
      </c>
      <c r="AI150">
        <f t="shared" si="122"/>
        <v>0</v>
      </c>
      <c r="AJ150">
        <f t="shared" si="91"/>
        <v>0</v>
      </c>
      <c r="AK150">
        <v>8031.98</v>
      </c>
      <c r="AL150">
        <v>8031.98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1</v>
      </c>
      <c r="AZ150">
        <v>1</v>
      </c>
      <c r="BA150">
        <v>1</v>
      </c>
      <c r="BB150">
        <v>1</v>
      </c>
      <c r="BC150">
        <v>9.8800000000000008</v>
      </c>
      <c r="BD150" t="s">
        <v>3</v>
      </c>
      <c r="BE150" t="s">
        <v>3</v>
      </c>
      <c r="BF150" t="s">
        <v>3</v>
      </c>
      <c r="BG150" t="s">
        <v>3</v>
      </c>
      <c r="BH150">
        <v>3</v>
      </c>
      <c r="BI150">
        <v>2</v>
      </c>
      <c r="BJ150" t="s">
        <v>3</v>
      </c>
      <c r="BM150">
        <v>400002</v>
      </c>
      <c r="BN150">
        <v>0</v>
      </c>
      <c r="BO150" t="s">
        <v>3</v>
      </c>
      <c r="BP150">
        <v>0</v>
      </c>
      <c r="BQ150">
        <v>202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3</v>
      </c>
      <c r="BZ150">
        <v>0</v>
      </c>
      <c r="CA150">
        <v>0</v>
      </c>
      <c r="CB150" t="s">
        <v>3</v>
      </c>
      <c r="CE150">
        <v>1566</v>
      </c>
      <c r="CF150">
        <v>0</v>
      </c>
      <c r="CG150">
        <v>0</v>
      </c>
      <c r="CM150">
        <v>0</v>
      </c>
      <c r="CN150" t="s">
        <v>3</v>
      </c>
      <c r="CO150">
        <v>0</v>
      </c>
      <c r="CP150">
        <f t="shared" si="92"/>
        <v>40471.54</v>
      </c>
      <c r="CQ150">
        <f t="shared" si="114"/>
        <v>79355.960000000006</v>
      </c>
      <c r="CR150">
        <f t="shared" si="123"/>
        <v>0</v>
      </c>
      <c r="CS150">
        <f t="shared" si="124"/>
        <v>0</v>
      </c>
      <c r="CT150">
        <f t="shared" si="94"/>
        <v>0</v>
      </c>
      <c r="CU150">
        <f t="shared" si="95"/>
        <v>0</v>
      </c>
      <c r="CV150">
        <f t="shared" si="96"/>
        <v>0</v>
      </c>
      <c r="CW150">
        <f t="shared" si="97"/>
        <v>0</v>
      </c>
      <c r="CX150">
        <f t="shared" si="98"/>
        <v>0</v>
      </c>
      <c r="CY150">
        <f t="shared" si="125"/>
        <v>0</v>
      </c>
      <c r="CZ150">
        <f t="shared" si="126"/>
        <v>0</v>
      </c>
      <c r="DC150" t="s">
        <v>3</v>
      </c>
      <c r="DD150" t="s">
        <v>3</v>
      </c>
      <c r="DE150" t="s">
        <v>3</v>
      </c>
      <c r="DF150" t="s">
        <v>3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3</v>
      </c>
      <c r="DM150" t="s">
        <v>3</v>
      </c>
      <c r="DN150">
        <v>0</v>
      </c>
      <c r="DO150">
        <v>0</v>
      </c>
      <c r="DP150">
        <v>1</v>
      </c>
      <c r="DQ150">
        <v>1</v>
      </c>
      <c r="DU150">
        <v>1003</v>
      </c>
      <c r="DV150" t="s">
        <v>240</v>
      </c>
      <c r="DW150" t="s">
        <v>240</v>
      </c>
      <c r="DX150">
        <v>1000</v>
      </c>
      <c r="DZ150" t="s">
        <v>3</v>
      </c>
      <c r="EA150" t="s">
        <v>3</v>
      </c>
      <c r="EB150" t="s">
        <v>3</v>
      </c>
      <c r="EC150" t="s">
        <v>3</v>
      </c>
      <c r="EE150">
        <v>60088644</v>
      </c>
      <c r="EF150">
        <v>202</v>
      </c>
      <c r="EG150" t="s">
        <v>241</v>
      </c>
      <c r="EH150">
        <v>0</v>
      </c>
      <c r="EI150" t="s">
        <v>3</v>
      </c>
      <c r="EJ150">
        <v>1</v>
      </c>
      <c r="EK150">
        <v>400002</v>
      </c>
      <c r="EL150" t="s">
        <v>242</v>
      </c>
      <c r="EM150" t="s">
        <v>241</v>
      </c>
      <c r="EO150" t="s">
        <v>3</v>
      </c>
      <c r="EQ150">
        <v>0</v>
      </c>
      <c r="ER150">
        <v>0</v>
      </c>
      <c r="ES150">
        <v>8031.98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5</v>
      </c>
      <c r="FC150">
        <v>1</v>
      </c>
      <c r="FD150">
        <v>18</v>
      </c>
      <c r="FF150">
        <v>93360</v>
      </c>
      <c r="FQ150">
        <v>0</v>
      </c>
      <c r="FR150">
        <v>0</v>
      </c>
      <c r="FS150">
        <v>0</v>
      </c>
      <c r="FX150">
        <v>0</v>
      </c>
      <c r="FY150">
        <v>0</v>
      </c>
      <c r="GA150" t="s">
        <v>256</v>
      </c>
      <c r="GD150">
        <v>1</v>
      </c>
      <c r="GF150">
        <v>1569574846</v>
      </c>
      <c r="GG150">
        <v>2</v>
      </c>
      <c r="GH150">
        <v>3</v>
      </c>
      <c r="GI150">
        <v>5</v>
      </c>
      <c r="GJ150">
        <v>0</v>
      </c>
      <c r="GK150">
        <v>0</v>
      </c>
      <c r="GL150">
        <f t="shared" si="99"/>
        <v>0</v>
      </c>
      <c r="GM150">
        <f t="shared" si="100"/>
        <v>40471.54</v>
      </c>
      <c r="GN150">
        <f t="shared" si="101"/>
        <v>0</v>
      </c>
      <c r="GO150">
        <f t="shared" si="102"/>
        <v>40471.54</v>
      </c>
      <c r="GP150">
        <f t="shared" si="103"/>
        <v>0</v>
      </c>
      <c r="GR150">
        <v>1</v>
      </c>
      <c r="GS150">
        <v>1</v>
      </c>
      <c r="GT150">
        <v>0</v>
      </c>
      <c r="GU150" t="s">
        <v>3</v>
      </c>
      <c r="GV150">
        <f t="shared" si="104"/>
        <v>0</v>
      </c>
      <c r="GW150">
        <v>1</v>
      </c>
      <c r="GX150">
        <f t="shared" si="105"/>
        <v>0</v>
      </c>
      <c r="HA150">
        <v>0</v>
      </c>
      <c r="HB150">
        <v>0</v>
      </c>
      <c r="HC150">
        <f t="shared" si="106"/>
        <v>0</v>
      </c>
      <c r="HE150" t="s">
        <v>244</v>
      </c>
      <c r="HF150" t="s">
        <v>29</v>
      </c>
      <c r="HM150" t="s">
        <v>3</v>
      </c>
      <c r="HN150" t="s">
        <v>3</v>
      </c>
      <c r="HO150" t="s">
        <v>3</v>
      </c>
      <c r="HP150" t="s">
        <v>3</v>
      </c>
      <c r="HQ150" t="s">
        <v>3</v>
      </c>
      <c r="HS150">
        <v>0</v>
      </c>
      <c r="IK150">
        <v>0</v>
      </c>
    </row>
    <row r="152" spans="1:255" x14ac:dyDescent="0.2">
      <c r="A152" s="3">
        <v>51</v>
      </c>
      <c r="B152" s="3">
        <f>B123</f>
        <v>1</v>
      </c>
      <c r="C152" s="3">
        <f>A123</f>
        <v>4</v>
      </c>
      <c r="D152" s="3">
        <f>ROW(A123)</f>
        <v>123</v>
      </c>
      <c r="E152" s="3"/>
      <c r="F152" s="3" t="str">
        <f>IF(F123&lt;&gt;"",F123,"")</f>
        <v/>
      </c>
      <c r="G152" s="3" t="str">
        <f>IF(G123&lt;&gt;"",G123,"")</f>
        <v>Кабельные изделия СОТС</v>
      </c>
      <c r="H152" s="3">
        <v>0</v>
      </c>
      <c r="I152" s="3"/>
      <c r="J152" s="3"/>
      <c r="K152" s="3"/>
      <c r="L152" s="3"/>
      <c r="M152" s="3"/>
      <c r="N152" s="3"/>
      <c r="O152" s="3">
        <f t="shared" ref="O152:T152" si="127">ROUND(AB152,2)</f>
        <v>44837.599999999999</v>
      </c>
      <c r="P152" s="3">
        <f t="shared" si="127"/>
        <v>34761.22</v>
      </c>
      <c r="Q152" s="3">
        <f t="shared" si="127"/>
        <v>1531.11</v>
      </c>
      <c r="R152" s="3">
        <f t="shared" si="127"/>
        <v>330.01</v>
      </c>
      <c r="S152" s="3">
        <f t="shared" si="127"/>
        <v>8545.27</v>
      </c>
      <c r="T152" s="3">
        <f t="shared" si="127"/>
        <v>0</v>
      </c>
      <c r="U152" s="3">
        <f>AH152</f>
        <v>671.27986200000009</v>
      </c>
      <c r="V152" s="3">
        <f>AI152</f>
        <v>0</v>
      </c>
      <c r="W152" s="3">
        <f>ROUND(AJ152,2)</f>
        <v>0</v>
      </c>
      <c r="X152" s="3">
        <f>ROUND(AK152,2)</f>
        <v>8609.02</v>
      </c>
      <c r="Y152" s="3">
        <f>ROUND(AL152,2)</f>
        <v>4526.3999999999996</v>
      </c>
      <c r="Z152" s="3"/>
      <c r="AA152" s="3"/>
      <c r="AB152" s="3">
        <f>ROUND(SUMIF(AA127:AA150,"=60258621",O127:O150),2)</f>
        <v>44837.599999999999</v>
      </c>
      <c r="AC152" s="3">
        <f>ROUND(SUMIF(AA127:AA150,"=60258621",P127:P150),2)</f>
        <v>34761.22</v>
      </c>
      <c r="AD152" s="3">
        <f>ROUND(SUMIF(AA127:AA150,"=60258621",Q127:Q150),2)</f>
        <v>1531.11</v>
      </c>
      <c r="AE152" s="3">
        <f>ROUND(SUMIF(AA127:AA150,"=60258621",R127:R150),2)</f>
        <v>330.01</v>
      </c>
      <c r="AF152" s="3">
        <f>ROUND(SUMIF(AA127:AA150,"=60258621",S127:S150),2)</f>
        <v>8545.27</v>
      </c>
      <c r="AG152" s="3">
        <f>ROUND(SUMIF(AA127:AA150,"=60258621",T127:T150),2)</f>
        <v>0</v>
      </c>
      <c r="AH152" s="3">
        <f>SUMIF(AA127:AA150,"=60258621",U127:U150)</f>
        <v>671.27986200000009</v>
      </c>
      <c r="AI152" s="3">
        <f>SUMIF(AA127:AA150,"=60258621",V127:V150)</f>
        <v>0</v>
      </c>
      <c r="AJ152" s="3">
        <f>ROUND(SUMIF(AA127:AA150,"=60258621",W127:W150),2)</f>
        <v>0</v>
      </c>
      <c r="AK152" s="3">
        <f>ROUND(SUMIF(AA127:AA150,"=60258621",X127:X150),2)</f>
        <v>8609.02</v>
      </c>
      <c r="AL152" s="3">
        <f>ROUND(SUMIF(AA127:AA150,"=60258621",Y127:Y150),2)</f>
        <v>4526.3999999999996</v>
      </c>
      <c r="AM152" s="3"/>
      <c r="AN152" s="3"/>
      <c r="AO152" s="3">
        <f t="shared" ref="AO152:BD152" si="128">ROUND(BX152,2)</f>
        <v>0</v>
      </c>
      <c r="AP152" s="3">
        <f t="shared" si="128"/>
        <v>31.58</v>
      </c>
      <c r="AQ152" s="3">
        <f t="shared" si="128"/>
        <v>0</v>
      </c>
      <c r="AR152" s="3">
        <f t="shared" si="128"/>
        <v>57973.02</v>
      </c>
      <c r="AS152" s="3">
        <f t="shared" si="128"/>
        <v>0</v>
      </c>
      <c r="AT152" s="3">
        <f t="shared" si="128"/>
        <v>57941.440000000002</v>
      </c>
      <c r="AU152" s="3">
        <f t="shared" si="128"/>
        <v>0</v>
      </c>
      <c r="AV152" s="3">
        <f t="shared" si="128"/>
        <v>34761.22</v>
      </c>
      <c r="AW152" s="3">
        <f t="shared" si="128"/>
        <v>34729.64</v>
      </c>
      <c r="AX152" s="3">
        <f t="shared" si="128"/>
        <v>0</v>
      </c>
      <c r="AY152" s="3">
        <f t="shared" si="128"/>
        <v>34729.64</v>
      </c>
      <c r="AZ152" s="3">
        <f t="shared" si="128"/>
        <v>31.58</v>
      </c>
      <c r="BA152" s="3">
        <f t="shared" si="128"/>
        <v>0</v>
      </c>
      <c r="BB152" s="3">
        <f t="shared" si="128"/>
        <v>0</v>
      </c>
      <c r="BC152" s="3">
        <f t="shared" si="128"/>
        <v>0</v>
      </c>
      <c r="BD152" s="3">
        <f t="shared" si="128"/>
        <v>0</v>
      </c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>
        <f>ROUND(SUMIF(AA127:AA150,"=60258621",FQ127:FQ150),2)</f>
        <v>0</v>
      </c>
      <c r="BY152" s="3">
        <f>ROUND(SUMIF(AA127:AA150,"=60258621",FR127:FR150),2)</f>
        <v>31.58</v>
      </c>
      <c r="BZ152" s="3">
        <f>ROUND(SUMIF(AA127:AA150,"=60258621",GL127:GL150),2)</f>
        <v>0</v>
      </c>
      <c r="CA152" s="3">
        <f>ROUND(SUMIF(AA127:AA150,"=60258621",GM127:GM150),2)</f>
        <v>57973.02</v>
      </c>
      <c r="CB152" s="3">
        <f>ROUND(SUMIF(AA127:AA150,"=60258621",GN127:GN150),2)</f>
        <v>0</v>
      </c>
      <c r="CC152" s="3">
        <f>ROUND(SUMIF(AA127:AA150,"=60258621",GO127:GO150),2)</f>
        <v>57941.440000000002</v>
      </c>
      <c r="CD152" s="3">
        <f>ROUND(SUMIF(AA127:AA150,"=60258621",GP127:GP150),2)</f>
        <v>0</v>
      </c>
      <c r="CE152" s="3">
        <f>AC152-BX152</f>
        <v>34761.22</v>
      </c>
      <c r="CF152" s="3">
        <f>AC152-BY152</f>
        <v>34729.64</v>
      </c>
      <c r="CG152" s="3">
        <f>BX152-BZ152</f>
        <v>0</v>
      </c>
      <c r="CH152" s="3">
        <f>AC152-BX152-BY152+BZ152</f>
        <v>34729.64</v>
      </c>
      <c r="CI152" s="3">
        <f>BY152-BZ152</f>
        <v>31.58</v>
      </c>
      <c r="CJ152" s="3">
        <f>ROUND(SUMIF(AA127:AA150,"=60258621",GX127:GX150),2)</f>
        <v>0</v>
      </c>
      <c r="CK152" s="3">
        <f>ROUND(SUMIF(AA127:AA150,"=60258621",GY127:GY150),2)</f>
        <v>0</v>
      </c>
      <c r="CL152" s="3">
        <f>ROUND(SUMIF(AA127:AA150,"=60258621",GZ127:GZ150),2)</f>
        <v>0</v>
      </c>
      <c r="CM152" s="3">
        <f>ROUND(SUMIF(AA127:AA150,"=60258621",HD127:HD150),2)</f>
        <v>0</v>
      </c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4">
        <f t="shared" ref="DG152:DL152" si="129">ROUND(DT152,2)</f>
        <v>773879.41</v>
      </c>
      <c r="DH152" s="4">
        <f t="shared" si="129"/>
        <v>273647.46000000002</v>
      </c>
      <c r="DI152" s="4">
        <f t="shared" si="129"/>
        <v>30327.55</v>
      </c>
      <c r="DJ152" s="4">
        <f t="shared" si="129"/>
        <v>18147.25</v>
      </c>
      <c r="DK152" s="4">
        <f t="shared" si="129"/>
        <v>469904.4</v>
      </c>
      <c r="DL152" s="4">
        <f t="shared" si="129"/>
        <v>0</v>
      </c>
      <c r="DM152" s="4">
        <f>DZ152</f>
        <v>671.27986200000009</v>
      </c>
      <c r="DN152" s="4">
        <f>EA152</f>
        <v>0</v>
      </c>
      <c r="DO152" s="4">
        <f>ROUND(EB152,2)</f>
        <v>0</v>
      </c>
      <c r="DP152" s="4">
        <f>ROUND(EC152,2)</f>
        <v>473410.1</v>
      </c>
      <c r="DQ152" s="4">
        <f>ROUND(ED152,2)</f>
        <v>248906.35</v>
      </c>
      <c r="DR152" s="4"/>
      <c r="DS152" s="4"/>
      <c r="DT152" s="4">
        <f>ROUND(SUMIF(AA127:AA150,"=60258618",O127:O150),2)</f>
        <v>773879.41</v>
      </c>
      <c r="DU152" s="4">
        <f>ROUND(SUMIF(AA127:AA150,"=60258618",P127:P150),2)</f>
        <v>273647.46000000002</v>
      </c>
      <c r="DV152" s="4">
        <f>ROUND(SUMIF(AA127:AA150,"=60258618",Q127:Q150),2)</f>
        <v>30327.55</v>
      </c>
      <c r="DW152" s="4">
        <f>ROUND(SUMIF(AA127:AA150,"=60258618",R127:R150),2)</f>
        <v>18147.25</v>
      </c>
      <c r="DX152" s="4">
        <f>ROUND(SUMIF(AA127:AA150,"=60258618",S127:S150),2)</f>
        <v>469904.4</v>
      </c>
      <c r="DY152" s="4">
        <f>ROUND(SUMIF(AA127:AA150,"=60258618",T127:T150),2)</f>
        <v>0</v>
      </c>
      <c r="DZ152" s="4">
        <f>SUMIF(AA127:AA150,"=60258618",U127:U150)</f>
        <v>671.27986200000009</v>
      </c>
      <c r="EA152" s="4">
        <f>SUMIF(AA127:AA150,"=60258618",V127:V150)</f>
        <v>0</v>
      </c>
      <c r="EB152" s="4">
        <f>ROUND(SUMIF(AA127:AA150,"=60258618",W127:W150),2)</f>
        <v>0</v>
      </c>
      <c r="EC152" s="4">
        <f>ROUND(SUMIF(AA127:AA150,"=60258618",X127:X150),2)</f>
        <v>473410.1</v>
      </c>
      <c r="ED152" s="4">
        <f>ROUND(SUMIF(AA127:AA150,"=60258618",Y127:Y150),2)</f>
        <v>248906.35</v>
      </c>
      <c r="EE152" s="4"/>
      <c r="EF152" s="4"/>
      <c r="EG152" s="4">
        <f t="shared" ref="EG152:EV152" si="130">ROUND(FP152,2)</f>
        <v>0</v>
      </c>
      <c r="EH152" s="4">
        <f t="shared" si="130"/>
        <v>215.69</v>
      </c>
      <c r="EI152" s="4">
        <f t="shared" si="130"/>
        <v>0</v>
      </c>
      <c r="EJ152" s="4">
        <f t="shared" si="130"/>
        <v>1496195.86</v>
      </c>
      <c r="EK152" s="4">
        <f t="shared" si="130"/>
        <v>0</v>
      </c>
      <c r="EL152" s="4">
        <f t="shared" si="130"/>
        <v>1495980.17</v>
      </c>
      <c r="EM152" s="4">
        <f t="shared" si="130"/>
        <v>0</v>
      </c>
      <c r="EN152" s="4">
        <f t="shared" si="130"/>
        <v>273647.46000000002</v>
      </c>
      <c r="EO152" s="4">
        <f t="shared" si="130"/>
        <v>273431.77</v>
      </c>
      <c r="EP152" s="4">
        <f t="shared" si="130"/>
        <v>0</v>
      </c>
      <c r="EQ152" s="4">
        <f t="shared" si="130"/>
        <v>273431.77</v>
      </c>
      <c r="ER152" s="4">
        <f t="shared" si="130"/>
        <v>215.69</v>
      </c>
      <c r="ES152" s="4">
        <f t="shared" si="130"/>
        <v>0</v>
      </c>
      <c r="ET152" s="4">
        <f t="shared" si="130"/>
        <v>0</v>
      </c>
      <c r="EU152" s="4">
        <f t="shared" si="130"/>
        <v>0</v>
      </c>
      <c r="EV152" s="4">
        <f t="shared" si="130"/>
        <v>0</v>
      </c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>
        <f>ROUND(SUMIF(AA127:AA150,"=60258618",FQ127:FQ150),2)</f>
        <v>0</v>
      </c>
      <c r="FQ152" s="4">
        <f>ROUND(SUMIF(AA127:AA150,"=60258618",FR127:FR150),2)</f>
        <v>215.69</v>
      </c>
      <c r="FR152" s="4">
        <f>ROUND(SUMIF(AA127:AA150,"=60258618",GL127:GL150),2)</f>
        <v>0</v>
      </c>
      <c r="FS152" s="4">
        <f>ROUND(SUMIF(AA127:AA150,"=60258618",GM127:GM150),2)</f>
        <v>1496195.86</v>
      </c>
      <c r="FT152" s="4">
        <f>ROUND(SUMIF(AA127:AA150,"=60258618",GN127:GN150),2)</f>
        <v>0</v>
      </c>
      <c r="FU152" s="4">
        <f>ROUND(SUMIF(AA127:AA150,"=60258618",GO127:GO150),2)</f>
        <v>1495980.17</v>
      </c>
      <c r="FV152" s="4">
        <f>ROUND(SUMIF(AA127:AA150,"=60258618",GP127:GP150),2)</f>
        <v>0</v>
      </c>
      <c r="FW152" s="4">
        <f>DU152-FP152</f>
        <v>273647.46000000002</v>
      </c>
      <c r="FX152" s="4">
        <f>DU152-FQ152</f>
        <v>273431.77</v>
      </c>
      <c r="FY152" s="4">
        <f>FP152-FR152</f>
        <v>0</v>
      </c>
      <c r="FZ152" s="4">
        <f>DU152-FP152-FQ152+FR152</f>
        <v>273431.77</v>
      </c>
      <c r="GA152" s="4">
        <f>FQ152-FR152</f>
        <v>215.69</v>
      </c>
      <c r="GB152" s="4">
        <f>ROUND(SUMIF(AA127:AA150,"=60258618",GX127:GX150),2)</f>
        <v>0</v>
      </c>
      <c r="GC152" s="4">
        <f>ROUND(SUMIF(AA127:AA150,"=60258618",GY127:GY150),2)</f>
        <v>0</v>
      </c>
      <c r="GD152" s="4">
        <f>ROUND(SUMIF(AA127:AA150,"=60258618",GZ127:GZ150),2)</f>
        <v>0</v>
      </c>
      <c r="GE152" s="4">
        <f>ROUND(SUMIF(AA127:AA150,"=60258618",HD127:HD150),2)</f>
        <v>0</v>
      </c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>
        <v>0</v>
      </c>
    </row>
    <row r="154" spans="1:255" x14ac:dyDescent="0.2">
      <c r="A154" s="5">
        <v>50</v>
      </c>
      <c r="B154" s="5">
        <v>0</v>
      </c>
      <c r="C154" s="5">
        <v>0</v>
      </c>
      <c r="D154" s="5">
        <v>1</v>
      </c>
      <c r="E154" s="5">
        <v>201</v>
      </c>
      <c r="F154" s="5">
        <f>ROUND(Source!O152,O154)</f>
        <v>44837.599999999999</v>
      </c>
      <c r="G154" s="5" t="s">
        <v>148</v>
      </c>
      <c r="H154" s="5" t="s">
        <v>149</v>
      </c>
      <c r="I154" s="5"/>
      <c r="J154" s="5"/>
      <c r="K154" s="5">
        <v>201</v>
      </c>
      <c r="L154" s="5">
        <v>1</v>
      </c>
      <c r="M154" s="5">
        <v>3</v>
      </c>
      <c r="N154" s="5" t="s">
        <v>3</v>
      </c>
      <c r="O154" s="5">
        <v>2</v>
      </c>
      <c r="P154" s="5">
        <f>ROUND(Source!DG152,O154)</f>
        <v>773879.41</v>
      </c>
      <c r="Q154" s="5"/>
      <c r="R154" s="5"/>
      <c r="S154" s="5"/>
      <c r="T154" s="5"/>
      <c r="U154" s="5"/>
      <c r="V154" s="5"/>
      <c r="W154" s="5">
        <v>44837.599999999999</v>
      </c>
      <c r="X154" s="5">
        <v>1</v>
      </c>
      <c r="Y154" s="5">
        <v>44837.599999999999</v>
      </c>
      <c r="Z154" s="5">
        <v>773879.41</v>
      </c>
      <c r="AA154" s="5">
        <v>1</v>
      </c>
      <c r="AB154" s="5">
        <v>773879.41</v>
      </c>
    </row>
    <row r="155" spans="1:255" x14ac:dyDescent="0.2">
      <c r="A155" s="5">
        <v>50</v>
      </c>
      <c r="B155" s="5">
        <v>0</v>
      </c>
      <c r="C155" s="5">
        <v>0</v>
      </c>
      <c r="D155" s="5">
        <v>1</v>
      </c>
      <c r="E155" s="5">
        <v>202</v>
      </c>
      <c r="F155" s="5">
        <f>ROUND(Source!P152,O155)</f>
        <v>34761.22</v>
      </c>
      <c r="G155" s="5" t="s">
        <v>150</v>
      </c>
      <c r="H155" s="5" t="s">
        <v>151</v>
      </c>
      <c r="I155" s="5"/>
      <c r="J155" s="5"/>
      <c r="K155" s="5">
        <v>202</v>
      </c>
      <c r="L155" s="5">
        <v>2</v>
      </c>
      <c r="M155" s="5">
        <v>3</v>
      </c>
      <c r="N155" s="5" t="s">
        <v>3</v>
      </c>
      <c r="O155" s="5">
        <v>2</v>
      </c>
      <c r="P155" s="5">
        <f>ROUND(Source!DH152,O155)</f>
        <v>273647.46000000002</v>
      </c>
      <c r="Q155" s="5"/>
      <c r="R155" s="5"/>
      <c r="S155" s="5"/>
      <c r="T155" s="5"/>
      <c r="U155" s="5"/>
      <c r="V155" s="5"/>
      <c r="W155" s="5">
        <v>34761.22</v>
      </c>
      <c r="X155" s="5">
        <v>1</v>
      </c>
      <c r="Y155" s="5">
        <v>34761.22</v>
      </c>
      <c r="Z155" s="5">
        <v>273647.46000000002</v>
      </c>
      <c r="AA155" s="5">
        <v>1</v>
      </c>
      <c r="AB155" s="5">
        <v>273647.46000000002</v>
      </c>
    </row>
    <row r="156" spans="1:255" x14ac:dyDescent="0.2">
      <c r="A156" s="5">
        <v>50</v>
      </c>
      <c r="B156" s="5">
        <v>0</v>
      </c>
      <c r="C156" s="5">
        <v>0</v>
      </c>
      <c r="D156" s="5">
        <v>1</v>
      </c>
      <c r="E156" s="5">
        <v>222</v>
      </c>
      <c r="F156" s="5">
        <f>ROUND(Source!AO152,O156)</f>
        <v>0</v>
      </c>
      <c r="G156" s="5" t="s">
        <v>152</v>
      </c>
      <c r="H156" s="5" t="s">
        <v>153</v>
      </c>
      <c r="I156" s="5"/>
      <c r="J156" s="5"/>
      <c r="K156" s="5">
        <v>222</v>
      </c>
      <c r="L156" s="5">
        <v>3</v>
      </c>
      <c r="M156" s="5">
        <v>3</v>
      </c>
      <c r="N156" s="5" t="s">
        <v>3</v>
      </c>
      <c r="O156" s="5">
        <v>2</v>
      </c>
      <c r="P156" s="5">
        <f>ROUND(Source!EG152,O156)</f>
        <v>0</v>
      </c>
      <c r="Q156" s="5"/>
      <c r="R156" s="5"/>
      <c r="S156" s="5"/>
      <c r="T156" s="5"/>
      <c r="U156" s="5"/>
      <c r="V156" s="5"/>
      <c r="W156" s="5">
        <v>0</v>
      </c>
      <c r="X156" s="5">
        <v>1</v>
      </c>
      <c r="Y156" s="5">
        <v>0</v>
      </c>
      <c r="Z156" s="5">
        <v>0</v>
      </c>
      <c r="AA156" s="5">
        <v>1</v>
      </c>
      <c r="AB156" s="5">
        <v>0</v>
      </c>
    </row>
    <row r="157" spans="1:255" x14ac:dyDescent="0.2">
      <c r="A157" s="5">
        <v>50</v>
      </c>
      <c r="B157" s="5">
        <v>0</v>
      </c>
      <c r="C157" s="5">
        <v>0</v>
      </c>
      <c r="D157" s="5">
        <v>1</v>
      </c>
      <c r="E157" s="5">
        <v>225</v>
      </c>
      <c r="F157" s="5">
        <f>ROUND(Source!AV152,O157)</f>
        <v>34761.22</v>
      </c>
      <c r="G157" s="5" t="s">
        <v>154</v>
      </c>
      <c r="H157" s="5" t="s">
        <v>155</v>
      </c>
      <c r="I157" s="5"/>
      <c r="J157" s="5"/>
      <c r="K157" s="5">
        <v>225</v>
      </c>
      <c r="L157" s="5">
        <v>4</v>
      </c>
      <c r="M157" s="5">
        <v>3</v>
      </c>
      <c r="N157" s="5" t="s">
        <v>3</v>
      </c>
      <c r="O157" s="5">
        <v>2</v>
      </c>
      <c r="P157" s="5">
        <f>ROUND(Source!EN152,O157)</f>
        <v>273647.46000000002</v>
      </c>
      <c r="Q157" s="5"/>
      <c r="R157" s="5"/>
      <c r="S157" s="5"/>
      <c r="T157" s="5"/>
      <c r="U157" s="5"/>
      <c r="V157" s="5"/>
      <c r="W157" s="5">
        <v>34761.22</v>
      </c>
      <c r="X157" s="5">
        <v>1</v>
      </c>
      <c r="Y157" s="5">
        <v>34761.22</v>
      </c>
      <c r="Z157" s="5">
        <v>273647.46000000002</v>
      </c>
      <c r="AA157" s="5">
        <v>1</v>
      </c>
      <c r="AB157" s="5">
        <v>273647.46000000002</v>
      </c>
    </row>
    <row r="158" spans="1:255" x14ac:dyDescent="0.2">
      <c r="A158" s="5">
        <v>50</v>
      </c>
      <c r="B158" s="5">
        <v>0</v>
      </c>
      <c r="C158" s="5">
        <v>0</v>
      </c>
      <c r="D158" s="5">
        <v>1</v>
      </c>
      <c r="E158" s="5">
        <v>226</v>
      </c>
      <c r="F158" s="5">
        <f>ROUND(Source!AW152,O158)</f>
        <v>34729.64</v>
      </c>
      <c r="G158" s="5" t="s">
        <v>156</v>
      </c>
      <c r="H158" s="5" t="s">
        <v>157</v>
      </c>
      <c r="I158" s="5"/>
      <c r="J158" s="5"/>
      <c r="K158" s="5">
        <v>226</v>
      </c>
      <c r="L158" s="5">
        <v>5</v>
      </c>
      <c r="M158" s="5">
        <v>3</v>
      </c>
      <c r="N158" s="5" t="s">
        <v>3</v>
      </c>
      <c r="O158" s="5">
        <v>2</v>
      </c>
      <c r="P158" s="5">
        <f>ROUND(Source!EO152,O158)</f>
        <v>273431.77</v>
      </c>
      <c r="Q158" s="5"/>
      <c r="R158" s="5"/>
      <c r="S158" s="5"/>
      <c r="T158" s="5"/>
      <c r="U158" s="5"/>
      <c r="V158" s="5"/>
      <c r="W158" s="5">
        <v>34729.64</v>
      </c>
      <c r="X158" s="5">
        <v>1</v>
      </c>
      <c r="Y158" s="5">
        <v>34729.64</v>
      </c>
      <c r="Z158" s="5">
        <v>273431.77</v>
      </c>
      <c r="AA158" s="5">
        <v>1</v>
      </c>
      <c r="AB158" s="5">
        <v>273431.77</v>
      </c>
    </row>
    <row r="159" spans="1:255" x14ac:dyDescent="0.2">
      <c r="A159" s="5">
        <v>50</v>
      </c>
      <c r="B159" s="5">
        <v>0</v>
      </c>
      <c r="C159" s="5">
        <v>0</v>
      </c>
      <c r="D159" s="5">
        <v>1</v>
      </c>
      <c r="E159" s="5">
        <v>227</v>
      </c>
      <c r="F159" s="5">
        <f>ROUND(Source!AX152,O159)</f>
        <v>0</v>
      </c>
      <c r="G159" s="5" t="s">
        <v>158</v>
      </c>
      <c r="H159" s="5" t="s">
        <v>159</v>
      </c>
      <c r="I159" s="5"/>
      <c r="J159" s="5"/>
      <c r="K159" s="5">
        <v>227</v>
      </c>
      <c r="L159" s="5">
        <v>6</v>
      </c>
      <c r="M159" s="5">
        <v>3</v>
      </c>
      <c r="N159" s="5" t="s">
        <v>3</v>
      </c>
      <c r="O159" s="5">
        <v>2</v>
      </c>
      <c r="P159" s="5">
        <f>ROUND(Source!EP152,O159)</f>
        <v>0</v>
      </c>
      <c r="Q159" s="5"/>
      <c r="R159" s="5"/>
      <c r="S159" s="5"/>
      <c r="T159" s="5"/>
      <c r="U159" s="5"/>
      <c r="V159" s="5"/>
      <c r="W159" s="5">
        <v>0</v>
      </c>
      <c r="X159" s="5">
        <v>1</v>
      </c>
      <c r="Y159" s="5">
        <v>0</v>
      </c>
      <c r="Z159" s="5">
        <v>0</v>
      </c>
      <c r="AA159" s="5">
        <v>1</v>
      </c>
      <c r="AB159" s="5">
        <v>0</v>
      </c>
    </row>
    <row r="160" spans="1:255" x14ac:dyDescent="0.2">
      <c r="A160" s="5">
        <v>50</v>
      </c>
      <c r="B160" s="5">
        <v>0</v>
      </c>
      <c r="C160" s="5">
        <v>0</v>
      </c>
      <c r="D160" s="5">
        <v>1</v>
      </c>
      <c r="E160" s="5">
        <v>228</v>
      </c>
      <c r="F160" s="5">
        <f>ROUND(Source!AY152,O160)</f>
        <v>34729.64</v>
      </c>
      <c r="G160" s="5" t="s">
        <v>160</v>
      </c>
      <c r="H160" s="5" t="s">
        <v>161</v>
      </c>
      <c r="I160" s="5"/>
      <c r="J160" s="5"/>
      <c r="K160" s="5">
        <v>228</v>
      </c>
      <c r="L160" s="5">
        <v>7</v>
      </c>
      <c r="M160" s="5">
        <v>3</v>
      </c>
      <c r="N160" s="5" t="s">
        <v>3</v>
      </c>
      <c r="O160" s="5">
        <v>2</v>
      </c>
      <c r="P160" s="5">
        <f>ROUND(Source!EQ152,O160)</f>
        <v>273431.77</v>
      </c>
      <c r="Q160" s="5"/>
      <c r="R160" s="5"/>
      <c r="S160" s="5"/>
      <c r="T160" s="5"/>
      <c r="U160" s="5"/>
      <c r="V160" s="5"/>
      <c r="W160" s="5">
        <v>34729.64</v>
      </c>
      <c r="X160" s="5">
        <v>1</v>
      </c>
      <c r="Y160" s="5">
        <v>34729.64</v>
      </c>
      <c r="Z160" s="5">
        <v>273431.77</v>
      </c>
      <c r="AA160" s="5">
        <v>1</v>
      </c>
      <c r="AB160" s="5">
        <v>273431.77</v>
      </c>
    </row>
    <row r="161" spans="1:28" x14ac:dyDescent="0.2">
      <c r="A161" s="5">
        <v>50</v>
      </c>
      <c r="B161" s="5">
        <v>0</v>
      </c>
      <c r="C161" s="5">
        <v>0</v>
      </c>
      <c r="D161" s="5">
        <v>1</v>
      </c>
      <c r="E161" s="5">
        <v>216</v>
      </c>
      <c r="F161" s="5">
        <f>ROUND(Source!AP152,O161)</f>
        <v>31.58</v>
      </c>
      <c r="G161" s="5" t="s">
        <v>162</v>
      </c>
      <c r="H161" s="5" t="s">
        <v>163</v>
      </c>
      <c r="I161" s="5"/>
      <c r="J161" s="5"/>
      <c r="K161" s="5">
        <v>216</v>
      </c>
      <c r="L161" s="5">
        <v>8</v>
      </c>
      <c r="M161" s="5">
        <v>3</v>
      </c>
      <c r="N161" s="5" t="s">
        <v>3</v>
      </c>
      <c r="O161" s="5">
        <v>2</v>
      </c>
      <c r="P161" s="5">
        <f>ROUND(Source!EH152,O161)</f>
        <v>215.69</v>
      </c>
      <c r="Q161" s="5"/>
      <c r="R161" s="5"/>
      <c r="S161" s="5"/>
      <c r="T161" s="5"/>
      <c r="U161" s="5"/>
      <c r="V161" s="5"/>
      <c r="W161" s="5">
        <v>31.58</v>
      </c>
      <c r="X161" s="5">
        <v>1</v>
      </c>
      <c r="Y161" s="5">
        <v>31.58</v>
      </c>
      <c r="Z161" s="5">
        <v>215.69</v>
      </c>
      <c r="AA161" s="5">
        <v>1</v>
      </c>
      <c r="AB161" s="5">
        <v>215.69</v>
      </c>
    </row>
    <row r="162" spans="1:28" x14ac:dyDescent="0.2">
      <c r="A162" s="5">
        <v>50</v>
      </c>
      <c r="B162" s="5">
        <v>0</v>
      </c>
      <c r="C162" s="5">
        <v>0</v>
      </c>
      <c r="D162" s="5">
        <v>1</v>
      </c>
      <c r="E162" s="5">
        <v>223</v>
      </c>
      <c r="F162" s="5">
        <f>ROUND(Source!AQ152,O162)</f>
        <v>0</v>
      </c>
      <c r="G162" s="5" t="s">
        <v>164</v>
      </c>
      <c r="H162" s="5" t="s">
        <v>165</v>
      </c>
      <c r="I162" s="5"/>
      <c r="J162" s="5"/>
      <c r="K162" s="5">
        <v>223</v>
      </c>
      <c r="L162" s="5">
        <v>9</v>
      </c>
      <c r="M162" s="5">
        <v>3</v>
      </c>
      <c r="N162" s="5" t="s">
        <v>3</v>
      </c>
      <c r="O162" s="5">
        <v>2</v>
      </c>
      <c r="P162" s="5">
        <f>ROUND(Source!EI152,O162)</f>
        <v>0</v>
      </c>
      <c r="Q162" s="5"/>
      <c r="R162" s="5"/>
      <c r="S162" s="5"/>
      <c r="T162" s="5"/>
      <c r="U162" s="5"/>
      <c r="V162" s="5"/>
      <c r="W162" s="5">
        <v>0</v>
      </c>
      <c r="X162" s="5">
        <v>1</v>
      </c>
      <c r="Y162" s="5">
        <v>0</v>
      </c>
      <c r="Z162" s="5">
        <v>0</v>
      </c>
      <c r="AA162" s="5">
        <v>1</v>
      </c>
      <c r="AB162" s="5">
        <v>0</v>
      </c>
    </row>
    <row r="163" spans="1:28" x14ac:dyDescent="0.2">
      <c r="A163" s="5">
        <v>50</v>
      </c>
      <c r="B163" s="5">
        <v>0</v>
      </c>
      <c r="C163" s="5">
        <v>0</v>
      </c>
      <c r="D163" s="5">
        <v>1</v>
      </c>
      <c r="E163" s="5">
        <v>229</v>
      </c>
      <c r="F163" s="5">
        <f>ROUND(Source!AZ152,O163)</f>
        <v>31.58</v>
      </c>
      <c r="G163" s="5" t="s">
        <v>166</v>
      </c>
      <c r="H163" s="5" t="s">
        <v>167</v>
      </c>
      <c r="I163" s="5"/>
      <c r="J163" s="5"/>
      <c r="K163" s="5">
        <v>229</v>
      </c>
      <c r="L163" s="5">
        <v>10</v>
      </c>
      <c r="M163" s="5">
        <v>3</v>
      </c>
      <c r="N163" s="5" t="s">
        <v>3</v>
      </c>
      <c r="O163" s="5">
        <v>2</v>
      </c>
      <c r="P163" s="5">
        <f>ROUND(Source!ER152,O163)</f>
        <v>215.69</v>
      </c>
      <c r="Q163" s="5"/>
      <c r="R163" s="5"/>
      <c r="S163" s="5"/>
      <c r="T163" s="5"/>
      <c r="U163" s="5"/>
      <c r="V163" s="5"/>
      <c r="W163" s="5">
        <v>31.58</v>
      </c>
      <c r="X163" s="5">
        <v>1</v>
      </c>
      <c r="Y163" s="5">
        <v>31.58</v>
      </c>
      <c r="Z163" s="5">
        <v>215.69</v>
      </c>
      <c r="AA163" s="5">
        <v>1</v>
      </c>
      <c r="AB163" s="5">
        <v>215.69</v>
      </c>
    </row>
    <row r="164" spans="1:28" x14ac:dyDescent="0.2">
      <c r="A164" s="5">
        <v>50</v>
      </c>
      <c r="B164" s="5">
        <v>0</v>
      </c>
      <c r="C164" s="5">
        <v>0</v>
      </c>
      <c r="D164" s="5">
        <v>1</v>
      </c>
      <c r="E164" s="5">
        <v>203</v>
      </c>
      <c r="F164" s="5">
        <f>ROUND(Source!Q152,O164)</f>
        <v>1531.11</v>
      </c>
      <c r="G164" s="5" t="s">
        <v>168</v>
      </c>
      <c r="H164" s="5" t="s">
        <v>169</v>
      </c>
      <c r="I164" s="5"/>
      <c r="J164" s="5"/>
      <c r="K164" s="5">
        <v>203</v>
      </c>
      <c r="L164" s="5">
        <v>11</v>
      </c>
      <c r="M164" s="5">
        <v>3</v>
      </c>
      <c r="N164" s="5" t="s">
        <v>3</v>
      </c>
      <c r="O164" s="5">
        <v>2</v>
      </c>
      <c r="P164" s="5">
        <f>ROUND(Source!DI152,O164)</f>
        <v>30327.55</v>
      </c>
      <c r="Q164" s="5"/>
      <c r="R164" s="5"/>
      <c r="S164" s="5"/>
      <c r="T164" s="5"/>
      <c r="U164" s="5"/>
      <c r="V164" s="5"/>
      <c r="W164" s="5">
        <v>1531.11</v>
      </c>
      <c r="X164" s="5">
        <v>1</v>
      </c>
      <c r="Y164" s="5">
        <v>1531.11</v>
      </c>
      <c r="Z164" s="5">
        <v>30327.55</v>
      </c>
      <c r="AA164" s="5">
        <v>1</v>
      </c>
      <c r="AB164" s="5">
        <v>30327.55</v>
      </c>
    </row>
    <row r="165" spans="1:28" x14ac:dyDescent="0.2">
      <c r="A165" s="5">
        <v>50</v>
      </c>
      <c r="B165" s="5">
        <v>0</v>
      </c>
      <c r="C165" s="5">
        <v>0</v>
      </c>
      <c r="D165" s="5">
        <v>1</v>
      </c>
      <c r="E165" s="5">
        <v>231</v>
      </c>
      <c r="F165" s="5">
        <f>ROUND(Source!BB152,O165)</f>
        <v>0</v>
      </c>
      <c r="G165" s="5" t="s">
        <v>170</v>
      </c>
      <c r="H165" s="5" t="s">
        <v>171</v>
      </c>
      <c r="I165" s="5"/>
      <c r="J165" s="5"/>
      <c r="K165" s="5">
        <v>231</v>
      </c>
      <c r="L165" s="5">
        <v>12</v>
      </c>
      <c r="M165" s="5">
        <v>3</v>
      </c>
      <c r="N165" s="5" t="s">
        <v>3</v>
      </c>
      <c r="O165" s="5">
        <v>2</v>
      </c>
      <c r="P165" s="5">
        <f>ROUND(Source!ET152,O165)</f>
        <v>0</v>
      </c>
      <c r="Q165" s="5"/>
      <c r="R165" s="5"/>
      <c r="S165" s="5"/>
      <c r="T165" s="5"/>
      <c r="U165" s="5"/>
      <c r="V165" s="5"/>
      <c r="W165" s="5">
        <v>0</v>
      </c>
      <c r="X165" s="5">
        <v>1</v>
      </c>
      <c r="Y165" s="5">
        <v>0</v>
      </c>
      <c r="Z165" s="5">
        <v>0</v>
      </c>
      <c r="AA165" s="5">
        <v>1</v>
      </c>
      <c r="AB165" s="5">
        <v>0</v>
      </c>
    </row>
    <row r="166" spans="1:28" x14ac:dyDescent="0.2">
      <c r="A166" s="5">
        <v>50</v>
      </c>
      <c r="B166" s="5">
        <v>0</v>
      </c>
      <c r="C166" s="5">
        <v>0</v>
      </c>
      <c r="D166" s="5">
        <v>1</v>
      </c>
      <c r="E166" s="5">
        <v>204</v>
      </c>
      <c r="F166" s="5">
        <f>ROUND(Source!R152,O166)</f>
        <v>330.01</v>
      </c>
      <c r="G166" s="5" t="s">
        <v>172</v>
      </c>
      <c r="H166" s="5" t="s">
        <v>173</v>
      </c>
      <c r="I166" s="5"/>
      <c r="J166" s="5"/>
      <c r="K166" s="5">
        <v>204</v>
      </c>
      <c r="L166" s="5">
        <v>13</v>
      </c>
      <c r="M166" s="5">
        <v>3</v>
      </c>
      <c r="N166" s="5" t="s">
        <v>3</v>
      </c>
      <c r="O166" s="5">
        <v>2</v>
      </c>
      <c r="P166" s="5">
        <f>ROUND(Source!DJ152,O166)</f>
        <v>18147.25</v>
      </c>
      <c r="Q166" s="5"/>
      <c r="R166" s="5"/>
      <c r="S166" s="5"/>
      <c r="T166" s="5"/>
      <c r="U166" s="5"/>
      <c r="V166" s="5"/>
      <c r="W166" s="5">
        <v>330.01</v>
      </c>
      <c r="X166" s="5">
        <v>1</v>
      </c>
      <c r="Y166" s="5">
        <v>330.01</v>
      </c>
      <c r="Z166" s="5">
        <v>18147.25</v>
      </c>
      <c r="AA166" s="5">
        <v>1</v>
      </c>
      <c r="AB166" s="5">
        <v>18147.25</v>
      </c>
    </row>
    <row r="167" spans="1:28" x14ac:dyDescent="0.2">
      <c r="A167" s="5">
        <v>50</v>
      </c>
      <c r="B167" s="5">
        <v>0</v>
      </c>
      <c r="C167" s="5">
        <v>0</v>
      </c>
      <c r="D167" s="5">
        <v>1</v>
      </c>
      <c r="E167" s="5">
        <v>205</v>
      </c>
      <c r="F167" s="5">
        <f>ROUND(Source!S152,O167)</f>
        <v>8545.27</v>
      </c>
      <c r="G167" s="5" t="s">
        <v>174</v>
      </c>
      <c r="H167" s="5" t="s">
        <v>175</v>
      </c>
      <c r="I167" s="5"/>
      <c r="J167" s="5"/>
      <c r="K167" s="5">
        <v>205</v>
      </c>
      <c r="L167" s="5">
        <v>14</v>
      </c>
      <c r="M167" s="5">
        <v>3</v>
      </c>
      <c r="N167" s="5" t="s">
        <v>3</v>
      </c>
      <c r="O167" s="5">
        <v>2</v>
      </c>
      <c r="P167" s="5">
        <f>ROUND(Source!DK152,O167)</f>
        <v>469904.4</v>
      </c>
      <c r="Q167" s="5"/>
      <c r="R167" s="5"/>
      <c r="S167" s="5"/>
      <c r="T167" s="5"/>
      <c r="U167" s="5"/>
      <c r="V167" s="5"/>
      <c r="W167" s="5">
        <v>8545.27</v>
      </c>
      <c r="X167" s="5">
        <v>1</v>
      </c>
      <c r="Y167" s="5">
        <v>8545.27</v>
      </c>
      <c r="Z167" s="5">
        <v>469904.4</v>
      </c>
      <c r="AA167" s="5">
        <v>1</v>
      </c>
      <c r="AB167" s="5">
        <v>469904.4</v>
      </c>
    </row>
    <row r="168" spans="1:28" x14ac:dyDescent="0.2">
      <c r="A168" s="5">
        <v>50</v>
      </c>
      <c r="B168" s="5">
        <v>0</v>
      </c>
      <c r="C168" s="5">
        <v>0</v>
      </c>
      <c r="D168" s="5">
        <v>1</v>
      </c>
      <c r="E168" s="5">
        <v>232</v>
      </c>
      <c r="F168" s="5">
        <f>ROUND(Source!BC152,O168)</f>
        <v>0</v>
      </c>
      <c r="G168" s="5" t="s">
        <v>176</v>
      </c>
      <c r="H168" s="5" t="s">
        <v>177</v>
      </c>
      <c r="I168" s="5"/>
      <c r="J168" s="5"/>
      <c r="K168" s="5">
        <v>232</v>
      </c>
      <c r="L168" s="5">
        <v>15</v>
      </c>
      <c r="M168" s="5">
        <v>3</v>
      </c>
      <c r="N168" s="5" t="s">
        <v>3</v>
      </c>
      <c r="O168" s="5">
        <v>2</v>
      </c>
      <c r="P168" s="5">
        <f>ROUND(Source!EU152,O168)</f>
        <v>0</v>
      </c>
      <c r="Q168" s="5"/>
      <c r="R168" s="5"/>
      <c r="S168" s="5"/>
      <c r="T168" s="5"/>
      <c r="U168" s="5"/>
      <c r="V168" s="5"/>
      <c r="W168" s="5">
        <v>0</v>
      </c>
      <c r="X168" s="5">
        <v>1</v>
      </c>
      <c r="Y168" s="5">
        <v>0</v>
      </c>
      <c r="Z168" s="5">
        <v>0</v>
      </c>
      <c r="AA168" s="5">
        <v>1</v>
      </c>
      <c r="AB168" s="5">
        <v>0</v>
      </c>
    </row>
    <row r="169" spans="1:28" x14ac:dyDescent="0.2">
      <c r="A169" s="5">
        <v>50</v>
      </c>
      <c r="B169" s="5">
        <v>0</v>
      </c>
      <c r="C169" s="5">
        <v>0</v>
      </c>
      <c r="D169" s="5">
        <v>1</v>
      </c>
      <c r="E169" s="5">
        <v>214</v>
      </c>
      <c r="F169" s="5">
        <f>ROUND(Source!AS152,O169)</f>
        <v>0</v>
      </c>
      <c r="G169" s="5" t="s">
        <v>178</v>
      </c>
      <c r="H169" s="5" t="s">
        <v>179</v>
      </c>
      <c r="I169" s="5"/>
      <c r="J169" s="5"/>
      <c r="K169" s="5">
        <v>214</v>
      </c>
      <c r="L169" s="5">
        <v>16</v>
      </c>
      <c r="M169" s="5">
        <v>3</v>
      </c>
      <c r="N169" s="5" t="s">
        <v>3</v>
      </c>
      <c r="O169" s="5">
        <v>2</v>
      </c>
      <c r="P169" s="5">
        <f>ROUND(Source!EK152,O169)</f>
        <v>0</v>
      </c>
      <c r="Q169" s="5"/>
      <c r="R169" s="5"/>
      <c r="S169" s="5"/>
      <c r="T169" s="5"/>
      <c r="U169" s="5"/>
      <c r="V169" s="5"/>
      <c r="W169" s="5">
        <v>0</v>
      </c>
      <c r="X169" s="5">
        <v>1</v>
      </c>
      <c r="Y169" s="5">
        <v>0</v>
      </c>
      <c r="Z169" s="5">
        <v>0</v>
      </c>
      <c r="AA169" s="5">
        <v>1</v>
      </c>
      <c r="AB169" s="5">
        <v>0</v>
      </c>
    </row>
    <row r="170" spans="1:28" x14ac:dyDescent="0.2">
      <c r="A170" s="5">
        <v>50</v>
      </c>
      <c r="B170" s="5">
        <v>0</v>
      </c>
      <c r="C170" s="5">
        <v>0</v>
      </c>
      <c r="D170" s="5">
        <v>1</v>
      </c>
      <c r="E170" s="5">
        <v>215</v>
      </c>
      <c r="F170" s="5">
        <f>ROUND(Source!AT152,O170)</f>
        <v>57941.440000000002</v>
      </c>
      <c r="G170" s="5" t="s">
        <v>180</v>
      </c>
      <c r="H170" s="5" t="s">
        <v>181</v>
      </c>
      <c r="I170" s="5"/>
      <c r="J170" s="5"/>
      <c r="K170" s="5">
        <v>215</v>
      </c>
      <c r="L170" s="5">
        <v>17</v>
      </c>
      <c r="M170" s="5">
        <v>3</v>
      </c>
      <c r="N170" s="5" t="s">
        <v>3</v>
      </c>
      <c r="O170" s="5">
        <v>2</v>
      </c>
      <c r="P170" s="5">
        <f>ROUND(Source!EL152,O170)</f>
        <v>1495980.17</v>
      </c>
      <c r="Q170" s="5"/>
      <c r="R170" s="5"/>
      <c r="S170" s="5"/>
      <c r="T170" s="5"/>
      <c r="U170" s="5"/>
      <c r="V170" s="5"/>
      <c r="W170" s="5">
        <v>57941.440000000002</v>
      </c>
      <c r="X170" s="5">
        <v>1</v>
      </c>
      <c r="Y170" s="5">
        <v>57941.440000000002</v>
      </c>
      <c r="Z170" s="5">
        <v>1495980.17</v>
      </c>
      <c r="AA170" s="5">
        <v>1</v>
      </c>
      <c r="AB170" s="5">
        <v>1495980.17</v>
      </c>
    </row>
    <row r="171" spans="1:28" x14ac:dyDescent="0.2">
      <c r="A171" s="5">
        <v>50</v>
      </c>
      <c r="B171" s="5">
        <v>0</v>
      </c>
      <c r="C171" s="5">
        <v>0</v>
      </c>
      <c r="D171" s="5">
        <v>1</v>
      </c>
      <c r="E171" s="5">
        <v>217</v>
      </c>
      <c r="F171" s="5">
        <f>ROUND(Source!AU152,O171)</f>
        <v>0</v>
      </c>
      <c r="G171" s="5" t="s">
        <v>182</v>
      </c>
      <c r="H171" s="5" t="s">
        <v>183</v>
      </c>
      <c r="I171" s="5"/>
      <c r="J171" s="5"/>
      <c r="K171" s="5">
        <v>217</v>
      </c>
      <c r="L171" s="5">
        <v>18</v>
      </c>
      <c r="M171" s="5">
        <v>3</v>
      </c>
      <c r="N171" s="5" t="s">
        <v>3</v>
      </c>
      <c r="O171" s="5">
        <v>2</v>
      </c>
      <c r="P171" s="5">
        <f>ROUND(Source!EM152,O171)</f>
        <v>0</v>
      </c>
      <c r="Q171" s="5"/>
      <c r="R171" s="5"/>
      <c r="S171" s="5"/>
      <c r="T171" s="5"/>
      <c r="U171" s="5"/>
      <c r="V171" s="5"/>
      <c r="W171" s="5">
        <v>0</v>
      </c>
      <c r="X171" s="5">
        <v>1</v>
      </c>
      <c r="Y171" s="5">
        <v>0</v>
      </c>
      <c r="Z171" s="5">
        <v>0</v>
      </c>
      <c r="AA171" s="5">
        <v>1</v>
      </c>
      <c r="AB171" s="5">
        <v>0</v>
      </c>
    </row>
    <row r="172" spans="1:28" x14ac:dyDescent="0.2">
      <c r="A172" s="5">
        <v>50</v>
      </c>
      <c r="B172" s="5">
        <v>0</v>
      </c>
      <c r="C172" s="5">
        <v>0</v>
      </c>
      <c r="D172" s="5">
        <v>1</v>
      </c>
      <c r="E172" s="5">
        <v>230</v>
      </c>
      <c r="F172" s="5">
        <f>ROUND(Source!BA152,O172)</f>
        <v>0</v>
      </c>
      <c r="G172" s="5" t="s">
        <v>184</v>
      </c>
      <c r="H172" s="5" t="s">
        <v>185</v>
      </c>
      <c r="I172" s="5"/>
      <c r="J172" s="5"/>
      <c r="K172" s="5">
        <v>230</v>
      </c>
      <c r="L172" s="5">
        <v>19</v>
      </c>
      <c r="M172" s="5">
        <v>3</v>
      </c>
      <c r="N172" s="5" t="s">
        <v>3</v>
      </c>
      <c r="O172" s="5">
        <v>2</v>
      </c>
      <c r="P172" s="5">
        <f>ROUND(Source!ES152,O172)</f>
        <v>0</v>
      </c>
      <c r="Q172" s="5"/>
      <c r="R172" s="5"/>
      <c r="S172" s="5"/>
      <c r="T172" s="5"/>
      <c r="U172" s="5"/>
      <c r="V172" s="5"/>
      <c r="W172" s="5">
        <v>0</v>
      </c>
      <c r="X172" s="5">
        <v>1</v>
      </c>
      <c r="Y172" s="5">
        <v>0</v>
      </c>
      <c r="Z172" s="5">
        <v>0</v>
      </c>
      <c r="AA172" s="5">
        <v>1</v>
      </c>
      <c r="AB172" s="5">
        <v>0</v>
      </c>
    </row>
    <row r="173" spans="1:28" x14ac:dyDescent="0.2">
      <c r="A173" s="5">
        <v>50</v>
      </c>
      <c r="B173" s="5">
        <v>0</v>
      </c>
      <c r="C173" s="5">
        <v>0</v>
      </c>
      <c r="D173" s="5">
        <v>1</v>
      </c>
      <c r="E173" s="5">
        <v>206</v>
      </c>
      <c r="F173" s="5">
        <f>ROUND(Source!T152,O173)</f>
        <v>0</v>
      </c>
      <c r="G173" s="5" t="s">
        <v>186</v>
      </c>
      <c r="H173" s="5" t="s">
        <v>187</v>
      </c>
      <c r="I173" s="5"/>
      <c r="J173" s="5"/>
      <c r="K173" s="5">
        <v>206</v>
      </c>
      <c r="L173" s="5">
        <v>20</v>
      </c>
      <c r="M173" s="5">
        <v>3</v>
      </c>
      <c r="N173" s="5" t="s">
        <v>3</v>
      </c>
      <c r="O173" s="5">
        <v>2</v>
      </c>
      <c r="P173" s="5">
        <f>ROUND(Source!DL152,O173)</f>
        <v>0</v>
      </c>
      <c r="Q173" s="5"/>
      <c r="R173" s="5"/>
      <c r="S173" s="5"/>
      <c r="T173" s="5"/>
      <c r="U173" s="5"/>
      <c r="V173" s="5"/>
      <c r="W173" s="5">
        <v>0</v>
      </c>
      <c r="X173" s="5">
        <v>1</v>
      </c>
      <c r="Y173" s="5">
        <v>0</v>
      </c>
      <c r="Z173" s="5">
        <v>0</v>
      </c>
      <c r="AA173" s="5">
        <v>1</v>
      </c>
      <c r="AB173" s="5">
        <v>0</v>
      </c>
    </row>
    <row r="174" spans="1:28" x14ac:dyDescent="0.2">
      <c r="A174" s="5">
        <v>50</v>
      </c>
      <c r="B174" s="5">
        <v>0</v>
      </c>
      <c r="C174" s="5">
        <v>0</v>
      </c>
      <c r="D174" s="5">
        <v>1</v>
      </c>
      <c r="E174" s="5">
        <v>207</v>
      </c>
      <c r="F174" s="5">
        <f>Source!U152</f>
        <v>671.27986200000009</v>
      </c>
      <c r="G174" s="5" t="s">
        <v>188</v>
      </c>
      <c r="H174" s="5" t="s">
        <v>189</v>
      </c>
      <c r="I174" s="5"/>
      <c r="J174" s="5"/>
      <c r="K174" s="5">
        <v>207</v>
      </c>
      <c r="L174" s="5">
        <v>21</v>
      </c>
      <c r="M174" s="5">
        <v>3</v>
      </c>
      <c r="N174" s="5" t="s">
        <v>3</v>
      </c>
      <c r="O174" s="5">
        <v>-1</v>
      </c>
      <c r="P174" s="5">
        <f>Source!DM152</f>
        <v>671.27986200000009</v>
      </c>
      <c r="Q174" s="5"/>
      <c r="R174" s="5"/>
      <c r="S174" s="5"/>
      <c r="T174" s="5"/>
      <c r="U174" s="5"/>
      <c r="V174" s="5"/>
      <c r="W174" s="5">
        <v>671.27986199999998</v>
      </c>
      <c r="X174" s="5">
        <v>1</v>
      </c>
      <c r="Y174" s="5">
        <v>671.27986199999998</v>
      </c>
      <c r="Z174" s="5">
        <v>671.27986199999998</v>
      </c>
      <c r="AA174" s="5">
        <v>1</v>
      </c>
      <c r="AB174" s="5">
        <v>671.27986199999998</v>
      </c>
    </row>
    <row r="175" spans="1:28" x14ac:dyDescent="0.2">
      <c r="A175" s="5">
        <v>50</v>
      </c>
      <c r="B175" s="5">
        <v>0</v>
      </c>
      <c r="C175" s="5">
        <v>0</v>
      </c>
      <c r="D175" s="5">
        <v>1</v>
      </c>
      <c r="E175" s="5">
        <v>208</v>
      </c>
      <c r="F175" s="5">
        <f>Source!V152</f>
        <v>0</v>
      </c>
      <c r="G175" s="5" t="s">
        <v>190</v>
      </c>
      <c r="H175" s="5" t="s">
        <v>191</v>
      </c>
      <c r="I175" s="5"/>
      <c r="J175" s="5"/>
      <c r="K175" s="5">
        <v>208</v>
      </c>
      <c r="L175" s="5">
        <v>22</v>
      </c>
      <c r="M175" s="5">
        <v>3</v>
      </c>
      <c r="N175" s="5" t="s">
        <v>3</v>
      </c>
      <c r="O175" s="5">
        <v>-1</v>
      </c>
      <c r="P175" s="5">
        <f>Source!DN152</f>
        <v>0</v>
      </c>
      <c r="Q175" s="5"/>
      <c r="R175" s="5"/>
      <c r="S175" s="5"/>
      <c r="T175" s="5"/>
      <c r="U175" s="5"/>
      <c r="V175" s="5"/>
      <c r="W175" s="5">
        <v>0</v>
      </c>
      <c r="X175" s="5">
        <v>1</v>
      </c>
      <c r="Y175" s="5">
        <v>0</v>
      </c>
      <c r="Z175" s="5">
        <v>0</v>
      </c>
      <c r="AA175" s="5">
        <v>1</v>
      </c>
      <c r="AB175" s="5">
        <v>0</v>
      </c>
    </row>
    <row r="176" spans="1:28" x14ac:dyDescent="0.2">
      <c r="A176" s="5">
        <v>50</v>
      </c>
      <c r="B176" s="5">
        <v>0</v>
      </c>
      <c r="C176" s="5">
        <v>0</v>
      </c>
      <c r="D176" s="5">
        <v>1</v>
      </c>
      <c r="E176" s="5">
        <v>209</v>
      </c>
      <c r="F176" s="5">
        <f>ROUND(Source!W152,O176)</f>
        <v>0</v>
      </c>
      <c r="G176" s="5" t="s">
        <v>192</v>
      </c>
      <c r="H176" s="5" t="s">
        <v>193</v>
      </c>
      <c r="I176" s="5"/>
      <c r="J176" s="5"/>
      <c r="K176" s="5">
        <v>209</v>
      </c>
      <c r="L176" s="5">
        <v>23</v>
      </c>
      <c r="M176" s="5">
        <v>3</v>
      </c>
      <c r="N176" s="5" t="s">
        <v>3</v>
      </c>
      <c r="O176" s="5">
        <v>2</v>
      </c>
      <c r="P176" s="5">
        <f>ROUND(Source!DO152,O176)</f>
        <v>0</v>
      </c>
      <c r="Q176" s="5"/>
      <c r="R176" s="5"/>
      <c r="S176" s="5"/>
      <c r="T176" s="5"/>
      <c r="U176" s="5"/>
      <c r="V176" s="5"/>
      <c r="W176" s="5">
        <v>0</v>
      </c>
      <c r="X176" s="5">
        <v>1</v>
      </c>
      <c r="Y176" s="5">
        <v>0</v>
      </c>
      <c r="Z176" s="5">
        <v>0</v>
      </c>
      <c r="AA176" s="5">
        <v>1</v>
      </c>
      <c r="AB176" s="5">
        <v>0</v>
      </c>
    </row>
    <row r="177" spans="1:206" x14ac:dyDescent="0.2">
      <c r="A177" s="5">
        <v>50</v>
      </c>
      <c r="B177" s="5">
        <v>0</v>
      </c>
      <c r="C177" s="5">
        <v>0</v>
      </c>
      <c r="D177" s="5">
        <v>1</v>
      </c>
      <c r="E177" s="5">
        <v>233</v>
      </c>
      <c r="F177" s="5">
        <f>ROUND(Source!BD152,O177)</f>
        <v>0</v>
      </c>
      <c r="G177" s="5" t="s">
        <v>194</v>
      </c>
      <c r="H177" s="5" t="s">
        <v>195</v>
      </c>
      <c r="I177" s="5"/>
      <c r="J177" s="5"/>
      <c r="K177" s="5">
        <v>233</v>
      </c>
      <c r="L177" s="5">
        <v>24</v>
      </c>
      <c r="M177" s="5">
        <v>3</v>
      </c>
      <c r="N177" s="5" t="s">
        <v>3</v>
      </c>
      <c r="O177" s="5">
        <v>2</v>
      </c>
      <c r="P177" s="5">
        <f>ROUND(Source!EV152,O177)</f>
        <v>0</v>
      </c>
      <c r="Q177" s="5"/>
      <c r="R177" s="5"/>
      <c r="S177" s="5"/>
      <c r="T177" s="5"/>
      <c r="U177" s="5"/>
      <c r="V177" s="5"/>
      <c r="W177" s="5">
        <v>0</v>
      </c>
      <c r="X177" s="5">
        <v>1</v>
      </c>
      <c r="Y177" s="5">
        <v>0</v>
      </c>
      <c r="Z177" s="5">
        <v>0</v>
      </c>
      <c r="AA177" s="5">
        <v>1</v>
      </c>
      <c r="AB177" s="5">
        <v>0</v>
      </c>
    </row>
    <row r="178" spans="1:206" x14ac:dyDescent="0.2">
      <c r="A178" s="5">
        <v>50</v>
      </c>
      <c r="B178" s="5">
        <v>0</v>
      </c>
      <c r="C178" s="5">
        <v>0</v>
      </c>
      <c r="D178" s="5">
        <v>1</v>
      </c>
      <c r="E178" s="5">
        <v>210</v>
      </c>
      <c r="F178" s="5">
        <f>ROUND(Source!X152,O178)</f>
        <v>8609.02</v>
      </c>
      <c r="G178" s="5" t="s">
        <v>196</v>
      </c>
      <c r="H178" s="5" t="s">
        <v>197</v>
      </c>
      <c r="I178" s="5"/>
      <c r="J178" s="5"/>
      <c r="K178" s="5">
        <v>210</v>
      </c>
      <c r="L178" s="5">
        <v>25</v>
      </c>
      <c r="M178" s="5">
        <v>3</v>
      </c>
      <c r="N178" s="5" t="s">
        <v>3</v>
      </c>
      <c r="O178" s="5">
        <v>2</v>
      </c>
      <c r="P178" s="5">
        <f>ROUND(Source!DP152,O178)</f>
        <v>473410.1</v>
      </c>
      <c r="Q178" s="5"/>
      <c r="R178" s="5"/>
      <c r="S178" s="5"/>
      <c r="T178" s="5"/>
      <c r="U178" s="5"/>
      <c r="V178" s="5"/>
      <c r="W178" s="5">
        <v>8609.02</v>
      </c>
      <c r="X178" s="5">
        <v>1</v>
      </c>
      <c r="Y178" s="5">
        <v>8609.02</v>
      </c>
      <c r="Z178" s="5">
        <v>473410.1</v>
      </c>
      <c r="AA178" s="5">
        <v>1</v>
      </c>
      <c r="AB178" s="5">
        <v>473410.1</v>
      </c>
    </row>
    <row r="179" spans="1:206" x14ac:dyDescent="0.2">
      <c r="A179" s="5">
        <v>50</v>
      </c>
      <c r="B179" s="5">
        <v>0</v>
      </c>
      <c r="C179" s="5">
        <v>0</v>
      </c>
      <c r="D179" s="5">
        <v>1</v>
      </c>
      <c r="E179" s="5">
        <v>211</v>
      </c>
      <c r="F179" s="5">
        <f>ROUND(Source!Y152,O179)</f>
        <v>4526.3999999999996</v>
      </c>
      <c r="G179" s="5" t="s">
        <v>198</v>
      </c>
      <c r="H179" s="5" t="s">
        <v>199</v>
      </c>
      <c r="I179" s="5"/>
      <c r="J179" s="5"/>
      <c r="K179" s="5">
        <v>211</v>
      </c>
      <c r="L179" s="5">
        <v>26</v>
      </c>
      <c r="M179" s="5">
        <v>3</v>
      </c>
      <c r="N179" s="5" t="s">
        <v>3</v>
      </c>
      <c r="O179" s="5">
        <v>2</v>
      </c>
      <c r="P179" s="5">
        <f>ROUND(Source!DQ152,O179)</f>
        <v>248906.35</v>
      </c>
      <c r="Q179" s="5"/>
      <c r="R179" s="5"/>
      <c r="S179" s="5"/>
      <c r="T179" s="5"/>
      <c r="U179" s="5"/>
      <c r="V179" s="5"/>
      <c r="W179" s="5">
        <v>4526.3999999999996</v>
      </c>
      <c r="X179" s="5">
        <v>1</v>
      </c>
      <c r="Y179" s="5">
        <v>4526.3999999999996</v>
      </c>
      <c r="Z179" s="5">
        <v>248906.35</v>
      </c>
      <c r="AA179" s="5">
        <v>1</v>
      </c>
      <c r="AB179" s="5">
        <v>248906.35</v>
      </c>
    </row>
    <row r="180" spans="1:206" x14ac:dyDescent="0.2">
      <c r="A180" s="5">
        <v>50</v>
      </c>
      <c r="B180" s="5">
        <v>0</v>
      </c>
      <c r="C180" s="5">
        <v>0</v>
      </c>
      <c r="D180" s="5">
        <v>1</v>
      </c>
      <c r="E180" s="5">
        <v>224</v>
      </c>
      <c r="F180" s="5">
        <f>ROUND(Source!AR152,O180)</f>
        <v>57973.02</v>
      </c>
      <c r="G180" s="5" t="s">
        <v>200</v>
      </c>
      <c r="H180" s="5" t="s">
        <v>201</v>
      </c>
      <c r="I180" s="5"/>
      <c r="J180" s="5"/>
      <c r="K180" s="5">
        <v>224</v>
      </c>
      <c r="L180" s="5">
        <v>27</v>
      </c>
      <c r="M180" s="5">
        <v>3</v>
      </c>
      <c r="N180" s="5" t="s">
        <v>3</v>
      </c>
      <c r="O180" s="5">
        <v>2</v>
      </c>
      <c r="P180" s="5">
        <f>ROUND(Source!EJ152,O180)</f>
        <v>1496195.86</v>
      </c>
      <c r="Q180" s="5"/>
      <c r="R180" s="5"/>
      <c r="S180" s="5"/>
      <c r="T180" s="5"/>
      <c r="U180" s="5"/>
      <c r="V180" s="5"/>
      <c r="W180" s="5">
        <v>57973.02</v>
      </c>
      <c r="X180" s="5">
        <v>1</v>
      </c>
      <c r="Y180" s="5">
        <v>57973.02</v>
      </c>
      <c r="Z180" s="5">
        <v>1496195.86</v>
      </c>
      <c r="AA180" s="5">
        <v>1</v>
      </c>
      <c r="AB180" s="5">
        <v>1496195.86</v>
      </c>
    </row>
    <row r="182" spans="1:206" x14ac:dyDescent="0.2">
      <c r="A182" s="3">
        <v>51</v>
      </c>
      <c r="B182" s="3">
        <f>B20</f>
        <v>1</v>
      </c>
      <c r="C182" s="3">
        <f>A20</f>
        <v>3</v>
      </c>
      <c r="D182" s="3">
        <f>ROW(A20)</f>
        <v>20</v>
      </c>
      <c r="E182" s="3"/>
      <c r="F182" s="3" t="str">
        <f>IF(F20&lt;&gt;"",F20,"")</f>
        <v>02-01-16</v>
      </c>
      <c r="G182" s="3" t="str">
        <f>IF(G20&lt;&gt;"",G20,"")</f>
        <v>Система охранно-тревожной сигнализации</v>
      </c>
      <c r="H182" s="3">
        <v>0</v>
      </c>
      <c r="I182" s="3"/>
      <c r="J182" s="3"/>
      <c r="K182" s="3"/>
      <c r="L182" s="3"/>
      <c r="M182" s="3"/>
      <c r="N182" s="3"/>
      <c r="O182" s="3">
        <f t="shared" ref="O182:T182" si="131">ROUND(O93+O152+AB182,2)</f>
        <v>116647.27</v>
      </c>
      <c r="P182" s="3">
        <f t="shared" si="131"/>
        <v>101836.17</v>
      </c>
      <c r="Q182" s="3">
        <f t="shared" si="131"/>
        <v>1534.51</v>
      </c>
      <c r="R182" s="3">
        <f t="shared" si="131"/>
        <v>330.33</v>
      </c>
      <c r="S182" s="3">
        <f t="shared" si="131"/>
        <v>13276.59</v>
      </c>
      <c r="T182" s="3">
        <f t="shared" si="131"/>
        <v>0</v>
      </c>
      <c r="U182" s="3">
        <f>U93+U152+AH182</f>
        <v>1038.1040283900002</v>
      </c>
      <c r="V182" s="3">
        <f>V93+V152+AI182</f>
        <v>0</v>
      </c>
      <c r="W182" s="3">
        <f>ROUND(W93+W152+AJ182,2)</f>
        <v>0</v>
      </c>
      <c r="X182" s="3">
        <f>ROUND(X93+X152+AK182,2)</f>
        <v>12879.64</v>
      </c>
      <c r="Y182" s="3">
        <f>ROUND(Y93+Y152+AL182,2)</f>
        <v>6719.35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>
        <f t="shared" ref="AO182:BD182" si="132">ROUND(AO93+AO152+BX182,2)</f>
        <v>0</v>
      </c>
      <c r="AP182" s="3">
        <f t="shared" si="132"/>
        <v>66780.09</v>
      </c>
      <c r="AQ182" s="3">
        <f t="shared" si="132"/>
        <v>0</v>
      </c>
      <c r="AR182" s="3">
        <f t="shared" si="132"/>
        <v>136246.26</v>
      </c>
      <c r="AS182" s="3">
        <f t="shared" si="132"/>
        <v>0</v>
      </c>
      <c r="AT182" s="3">
        <f t="shared" si="132"/>
        <v>69466.17</v>
      </c>
      <c r="AU182" s="3">
        <f t="shared" si="132"/>
        <v>0</v>
      </c>
      <c r="AV182" s="3">
        <f t="shared" si="132"/>
        <v>101836.17</v>
      </c>
      <c r="AW182" s="3">
        <f t="shared" si="132"/>
        <v>35056.080000000002</v>
      </c>
      <c r="AX182" s="3">
        <f t="shared" si="132"/>
        <v>0</v>
      </c>
      <c r="AY182" s="3">
        <f t="shared" si="132"/>
        <v>35056.080000000002</v>
      </c>
      <c r="AZ182" s="3">
        <f t="shared" si="132"/>
        <v>66780.09</v>
      </c>
      <c r="BA182" s="3">
        <f t="shared" si="132"/>
        <v>0</v>
      </c>
      <c r="BB182" s="3">
        <f t="shared" si="132"/>
        <v>0</v>
      </c>
      <c r="BC182" s="3">
        <f t="shared" si="132"/>
        <v>0</v>
      </c>
      <c r="BD182" s="3">
        <f t="shared" si="132"/>
        <v>0</v>
      </c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4">
        <f t="shared" ref="DG182:DL182" si="133">ROUND(DG93+DG152+DT182,2)</f>
        <v>1548680.28</v>
      </c>
      <c r="DH182" s="4">
        <f t="shared" si="133"/>
        <v>788224.56</v>
      </c>
      <c r="DI182" s="4">
        <f t="shared" si="133"/>
        <v>30376.05</v>
      </c>
      <c r="DJ182" s="4">
        <f t="shared" si="133"/>
        <v>18164.849999999999</v>
      </c>
      <c r="DK182" s="4">
        <f t="shared" si="133"/>
        <v>730079.67</v>
      </c>
      <c r="DL182" s="4">
        <f t="shared" si="133"/>
        <v>0</v>
      </c>
      <c r="DM182" s="4">
        <f>DM93+DM152+DZ182</f>
        <v>1038.1040283900002</v>
      </c>
      <c r="DN182" s="4">
        <f>DN93+DN152+EA182</f>
        <v>0</v>
      </c>
      <c r="DO182" s="4">
        <f>ROUND(DO93+DO152+EB182,2)</f>
        <v>0</v>
      </c>
      <c r="DP182" s="4">
        <f>ROUND(DP93+DP152+EC182,2)</f>
        <v>708251.6</v>
      </c>
      <c r="DQ182" s="4">
        <f>ROUND(DQ93+DQ152+ED182,2)</f>
        <v>369496.3</v>
      </c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>
        <f t="shared" ref="EG182:EV182" si="134">ROUND(EG93+EG152+FP182,2)</f>
        <v>0</v>
      </c>
      <c r="EH182" s="4">
        <f t="shared" si="134"/>
        <v>511509.3</v>
      </c>
      <c r="EI182" s="4">
        <f t="shared" si="134"/>
        <v>0</v>
      </c>
      <c r="EJ182" s="4">
        <f t="shared" si="134"/>
        <v>2626428.1800000002</v>
      </c>
      <c r="EK182" s="4">
        <f t="shared" si="134"/>
        <v>0</v>
      </c>
      <c r="EL182" s="4">
        <f t="shared" si="134"/>
        <v>2114918.88</v>
      </c>
      <c r="EM182" s="4">
        <f t="shared" si="134"/>
        <v>0</v>
      </c>
      <c r="EN182" s="4">
        <f t="shared" si="134"/>
        <v>788224.56</v>
      </c>
      <c r="EO182" s="4">
        <f t="shared" si="134"/>
        <v>276715.26</v>
      </c>
      <c r="EP182" s="4">
        <f t="shared" si="134"/>
        <v>0</v>
      </c>
      <c r="EQ182" s="4">
        <f t="shared" si="134"/>
        <v>276715.26</v>
      </c>
      <c r="ER182" s="4">
        <f t="shared" si="134"/>
        <v>511509.3</v>
      </c>
      <c r="ES182" s="4">
        <f t="shared" si="134"/>
        <v>0</v>
      </c>
      <c r="ET182" s="4">
        <f t="shared" si="134"/>
        <v>0</v>
      </c>
      <c r="EU182" s="4">
        <f t="shared" si="134"/>
        <v>0</v>
      </c>
      <c r="EV182" s="4">
        <f t="shared" si="134"/>
        <v>0</v>
      </c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>
        <v>0</v>
      </c>
    </row>
    <row r="184" spans="1:206" x14ac:dyDescent="0.2">
      <c r="A184" s="5">
        <v>50</v>
      </c>
      <c r="B184" s="5">
        <v>0</v>
      </c>
      <c r="C184" s="5">
        <v>0</v>
      </c>
      <c r="D184" s="5">
        <v>1</v>
      </c>
      <c r="E184" s="5">
        <v>201</v>
      </c>
      <c r="F184" s="5">
        <f>ROUND(Source!O182,O184)</f>
        <v>116647.27</v>
      </c>
      <c r="G184" s="5" t="s">
        <v>148</v>
      </c>
      <c r="H184" s="5" t="s">
        <v>149</v>
      </c>
      <c r="I184" s="5"/>
      <c r="J184" s="5"/>
      <c r="K184" s="5">
        <v>201</v>
      </c>
      <c r="L184" s="5">
        <v>1</v>
      </c>
      <c r="M184" s="5">
        <v>3</v>
      </c>
      <c r="N184" s="5" t="s">
        <v>3</v>
      </c>
      <c r="O184" s="5">
        <v>2</v>
      </c>
      <c r="P184" s="5">
        <f>ROUND(Source!DG182,O184)</f>
        <v>1548680.28</v>
      </c>
      <c r="Q184" s="5"/>
      <c r="R184" s="5"/>
      <c r="S184" s="5"/>
      <c r="T184" s="5"/>
      <c r="U184" s="5"/>
      <c r="V184" s="5"/>
      <c r="W184" s="5">
        <v>116647.27</v>
      </c>
      <c r="X184" s="5">
        <v>1</v>
      </c>
      <c r="Y184" s="5">
        <v>116647.27</v>
      </c>
      <c r="Z184" s="5">
        <v>1548680.28</v>
      </c>
      <c r="AA184" s="5">
        <v>1</v>
      </c>
      <c r="AB184" s="5">
        <v>1548680.28</v>
      </c>
    </row>
    <row r="185" spans="1:206" x14ac:dyDescent="0.2">
      <c r="A185" s="5">
        <v>50</v>
      </c>
      <c r="B185" s="5">
        <v>0</v>
      </c>
      <c r="C185" s="5">
        <v>0</v>
      </c>
      <c r="D185" s="5">
        <v>1</v>
      </c>
      <c r="E185" s="5">
        <v>202</v>
      </c>
      <c r="F185" s="5">
        <f>ROUND(Source!P182,O185)</f>
        <v>101836.17</v>
      </c>
      <c r="G185" s="5" t="s">
        <v>150</v>
      </c>
      <c r="H185" s="5" t="s">
        <v>151</v>
      </c>
      <c r="I185" s="5"/>
      <c r="J185" s="5"/>
      <c r="K185" s="5">
        <v>202</v>
      </c>
      <c r="L185" s="5">
        <v>2</v>
      </c>
      <c r="M185" s="5">
        <v>3</v>
      </c>
      <c r="N185" s="5" t="s">
        <v>3</v>
      </c>
      <c r="O185" s="5">
        <v>2</v>
      </c>
      <c r="P185" s="5">
        <f>ROUND(Source!DH182,O185)</f>
        <v>788224.56</v>
      </c>
      <c r="Q185" s="5"/>
      <c r="R185" s="5"/>
      <c r="S185" s="5"/>
      <c r="T185" s="5"/>
      <c r="U185" s="5"/>
      <c r="V185" s="5"/>
      <c r="W185" s="5">
        <v>101836.17</v>
      </c>
      <c r="X185" s="5">
        <v>1</v>
      </c>
      <c r="Y185" s="5">
        <v>101836.17</v>
      </c>
      <c r="Z185" s="5">
        <v>788224.56</v>
      </c>
      <c r="AA185" s="5">
        <v>1</v>
      </c>
      <c r="AB185" s="5">
        <v>788224.56</v>
      </c>
    </row>
    <row r="186" spans="1:206" x14ac:dyDescent="0.2">
      <c r="A186" s="5">
        <v>50</v>
      </c>
      <c r="B186" s="5">
        <v>0</v>
      </c>
      <c r="C186" s="5">
        <v>0</v>
      </c>
      <c r="D186" s="5">
        <v>1</v>
      </c>
      <c r="E186" s="5">
        <v>222</v>
      </c>
      <c r="F186" s="5">
        <f>ROUND(Source!AO182,O186)</f>
        <v>0</v>
      </c>
      <c r="G186" s="5" t="s">
        <v>152</v>
      </c>
      <c r="H186" s="5" t="s">
        <v>153</v>
      </c>
      <c r="I186" s="5"/>
      <c r="J186" s="5"/>
      <c r="K186" s="5">
        <v>222</v>
      </c>
      <c r="L186" s="5">
        <v>3</v>
      </c>
      <c r="M186" s="5">
        <v>3</v>
      </c>
      <c r="N186" s="5" t="s">
        <v>3</v>
      </c>
      <c r="O186" s="5">
        <v>2</v>
      </c>
      <c r="P186" s="5">
        <f>ROUND(Source!EG182,O186)</f>
        <v>0</v>
      </c>
      <c r="Q186" s="5"/>
      <c r="R186" s="5"/>
      <c r="S186" s="5"/>
      <c r="T186" s="5"/>
      <c r="U186" s="5"/>
      <c r="V186" s="5"/>
      <c r="W186" s="5">
        <v>0</v>
      </c>
      <c r="X186" s="5">
        <v>1</v>
      </c>
      <c r="Y186" s="5">
        <v>0</v>
      </c>
      <c r="Z186" s="5">
        <v>0</v>
      </c>
      <c r="AA186" s="5">
        <v>1</v>
      </c>
      <c r="AB186" s="5">
        <v>0</v>
      </c>
    </row>
    <row r="187" spans="1:206" x14ac:dyDescent="0.2">
      <c r="A187" s="5">
        <v>50</v>
      </c>
      <c r="B187" s="5">
        <v>0</v>
      </c>
      <c r="C187" s="5">
        <v>0</v>
      </c>
      <c r="D187" s="5">
        <v>1</v>
      </c>
      <c r="E187" s="5">
        <v>225</v>
      </c>
      <c r="F187" s="5">
        <f>ROUND(Source!AV182,O187)</f>
        <v>101836.17</v>
      </c>
      <c r="G187" s="5" t="s">
        <v>154</v>
      </c>
      <c r="H187" s="5" t="s">
        <v>155</v>
      </c>
      <c r="I187" s="5"/>
      <c r="J187" s="5"/>
      <c r="K187" s="5">
        <v>225</v>
      </c>
      <c r="L187" s="5">
        <v>4</v>
      </c>
      <c r="M187" s="5">
        <v>3</v>
      </c>
      <c r="N187" s="5" t="s">
        <v>3</v>
      </c>
      <c r="O187" s="5">
        <v>2</v>
      </c>
      <c r="P187" s="5">
        <f>ROUND(Source!EN182,O187)</f>
        <v>788224.56</v>
      </c>
      <c r="Q187" s="5"/>
      <c r="R187" s="5"/>
      <c r="S187" s="5"/>
      <c r="T187" s="5"/>
      <c r="U187" s="5"/>
      <c r="V187" s="5"/>
      <c r="W187" s="5">
        <v>101836.17</v>
      </c>
      <c r="X187" s="5">
        <v>1</v>
      </c>
      <c r="Y187" s="5">
        <v>101836.17</v>
      </c>
      <c r="Z187" s="5">
        <v>788224.56</v>
      </c>
      <c r="AA187" s="5">
        <v>1</v>
      </c>
      <c r="AB187" s="5">
        <v>788224.56</v>
      </c>
    </row>
    <row r="188" spans="1:206" x14ac:dyDescent="0.2">
      <c r="A188" s="5">
        <v>50</v>
      </c>
      <c r="B188" s="5">
        <v>0</v>
      </c>
      <c r="C188" s="5">
        <v>0</v>
      </c>
      <c r="D188" s="5">
        <v>1</v>
      </c>
      <c r="E188" s="5">
        <v>226</v>
      </c>
      <c r="F188" s="5">
        <f>ROUND(Source!AW182,O188)</f>
        <v>35056.080000000002</v>
      </c>
      <c r="G188" s="5" t="s">
        <v>156</v>
      </c>
      <c r="H188" s="5" t="s">
        <v>157</v>
      </c>
      <c r="I188" s="5"/>
      <c r="J188" s="5"/>
      <c r="K188" s="5">
        <v>226</v>
      </c>
      <c r="L188" s="5">
        <v>5</v>
      </c>
      <c r="M188" s="5">
        <v>3</v>
      </c>
      <c r="N188" s="5" t="s">
        <v>3</v>
      </c>
      <c r="O188" s="5">
        <v>2</v>
      </c>
      <c r="P188" s="5">
        <f>ROUND(Source!EO182,O188)</f>
        <v>276715.26</v>
      </c>
      <c r="Q188" s="5"/>
      <c r="R188" s="5"/>
      <c r="S188" s="5"/>
      <c r="T188" s="5"/>
      <c r="U188" s="5"/>
      <c r="V188" s="5"/>
      <c r="W188" s="5">
        <v>35056.080000000002</v>
      </c>
      <c r="X188" s="5">
        <v>1</v>
      </c>
      <c r="Y188" s="5">
        <v>35056.080000000002</v>
      </c>
      <c r="Z188" s="5">
        <v>276715.26</v>
      </c>
      <c r="AA188" s="5">
        <v>1</v>
      </c>
      <c r="AB188" s="5">
        <v>276715.26</v>
      </c>
    </row>
    <row r="189" spans="1:206" x14ac:dyDescent="0.2">
      <c r="A189" s="5">
        <v>50</v>
      </c>
      <c r="B189" s="5">
        <v>0</v>
      </c>
      <c r="C189" s="5">
        <v>0</v>
      </c>
      <c r="D189" s="5">
        <v>1</v>
      </c>
      <c r="E189" s="5">
        <v>227</v>
      </c>
      <c r="F189" s="5">
        <f>ROUND(Source!AX182,O189)</f>
        <v>0</v>
      </c>
      <c r="G189" s="5" t="s">
        <v>158</v>
      </c>
      <c r="H189" s="5" t="s">
        <v>159</v>
      </c>
      <c r="I189" s="5"/>
      <c r="J189" s="5"/>
      <c r="K189" s="5">
        <v>227</v>
      </c>
      <c r="L189" s="5">
        <v>6</v>
      </c>
      <c r="M189" s="5">
        <v>3</v>
      </c>
      <c r="N189" s="5" t="s">
        <v>3</v>
      </c>
      <c r="O189" s="5">
        <v>2</v>
      </c>
      <c r="P189" s="5">
        <f>ROUND(Source!EP182,O189)</f>
        <v>0</v>
      </c>
      <c r="Q189" s="5"/>
      <c r="R189" s="5"/>
      <c r="S189" s="5"/>
      <c r="T189" s="5"/>
      <c r="U189" s="5"/>
      <c r="V189" s="5"/>
      <c r="W189" s="5">
        <v>0</v>
      </c>
      <c r="X189" s="5">
        <v>1</v>
      </c>
      <c r="Y189" s="5">
        <v>0</v>
      </c>
      <c r="Z189" s="5">
        <v>0</v>
      </c>
      <c r="AA189" s="5">
        <v>1</v>
      </c>
      <c r="AB189" s="5">
        <v>0</v>
      </c>
    </row>
    <row r="190" spans="1:206" x14ac:dyDescent="0.2">
      <c r="A190" s="5">
        <v>50</v>
      </c>
      <c r="B190" s="5">
        <v>0</v>
      </c>
      <c r="C190" s="5">
        <v>0</v>
      </c>
      <c r="D190" s="5">
        <v>1</v>
      </c>
      <c r="E190" s="5">
        <v>228</v>
      </c>
      <c r="F190" s="5">
        <f>ROUND(Source!AY182,O190)</f>
        <v>35056.080000000002</v>
      </c>
      <c r="G190" s="5" t="s">
        <v>160</v>
      </c>
      <c r="H190" s="5" t="s">
        <v>161</v>
      </c>
      <c r="I190" s="5"/>
      <c r="J190" s="5"/>
      <c r="K190" s="5">
        <v>228</v>
      </c>
      <c r="L190" s="5">
        <v>7</v>
      </c>
      <c r="M190" s="5">
        <v>3</v>
      </c>
      <c r="N190" s="5" t="s">
        <v>3</v>
      </c>
      <c r="O190" s="5">
        <v>2</v>
      </c>
      <c r="P190" s="5">
        <f>ROUND(Source!EQ182,O190)</f>
        <v>276715.26</v>
      </c>
      <c r="Q190" s="5"/>
      <c r="R190" s="5"/>
      <c r="S190" s="5"/>
      <c r="T190" s="5"/>
      <c r="U190" s="5"/>
      <c r="V190" s="5"/>
      <c r="W190" s="5">
        <v>35056.080000000002</v>
      </c>
      <c r="X190" s="5">
        <v>1</v>
      </c>
      <c r="Y190" s="5">
        <v>35056.080000000002</v>
      </c>
      <c r="Z190" s="5">
        <v>276715.26</v>
      </c>
      <c r="AA190" s="5">
        <v>1</v>
      </c>
      <c r="AB190" s="5">
        <v>276715.26</v>
      </c>
    </row>
    <row r="191" spans="1:206" x14ac:dyDescent="0.2">
      <c r="A191" s="5">
        <v>50</v>
      </c>
      <c r="B191" s="5">
        <v>0</v>
      </c>
      <c r="C191" s="5">
        <v>0</v>
      </c>
      <c r="D191" s="5">
        <v>1</v>
      </c>
      <c r="E191" s="5">
        <v>216</v>
      </c>
      <c r="F191" s="5">
        <f>ROUND(Source!AP182,O191)</f>
        <v>66780.09</v>
      </c>
      <c r="G191" s="5" t="s">
        <v>162</v>
      </c>
      <c r="H191" s="5" t="s">
        <v>163</v>
      </c>
      <c r="I191" s="5"/>
      <c r="J191" s="5"/>
      <c r="K191" s="5">
        <v>216</v>
      </c>
      <c r="L191" s="5">
        <v>8</v>
      </c>
      <c r="M191" s="5">
        <v>3</v>
      </c>
      <c r="N191" s="5" t="s">
        <v>3</v>
      </c>
      <c r="O191" s="5">
        <v>2</v>
      </c>
      <c r="P191" s="5">
        <f>ROUND(Source!EH182,O191)</f>
        <v>511509.3</v>
      </c>
      <c r="Q191" s="5"/>
      <c r="R191" s="5"/>
      <c r="S191" s="5"/>
      <c r="T191" s="5"/>
      <c r="U191" s="5"/>
      <c r="V191" s="5"/>
      <c r="W191" s="5">
        <v>66780.09</v>
      </c>
      <c r="X191" s="5">
        <v>1</v>
      </c>
      <c r="Y191" s="5">
        <v>66780.09</v>
      </c>
      <c r="Z191" s="5">
        <v>511509.3</v>
      </c>
      <c r="AA191" s="5">
        <v>1</v>
      </c>
      <c r="AB191" s="5">
        <v>511509.3</v>
      </c>
    </row>
    <row r="192" spans="1:206" x14ac:dyDescent="0.2">
      <c r="A192" s="5">
        <v>50</v>
      </c>
      <c r="B192" s="5">
        <v>0</v>
      </c>
      <c r="C192" s="5">
        <v>0</v>
      </c>
      <c r="D192" s="5">
        <v>1</v>
      </c>
      <c r="E192" s="5">
        <v>223</v>
      </c>
      <c r="F192" s="5">
        <f>ROUND(Source!AQ182,O192)</f>
        <v>0</v>
      </c>
      <c r="G192" s="5" t="s">
        <v>164</v>
      </c>
      <c r="H192" s="5" t="s">
        <v>165</v>
      </c>
      <c r="I192" s="5"/>
      <c r="J192" s="5"/>
      <c r="K192" s="5">
        <v>223</v>
      </c>
      <c r="L192" s="5">
        <v>9</v>
      </c>
      <c r="M192" s="5">
        <v>3</v>
      </c>
      <c r="N192" s="5" t="s">
        <v>3</v>
      </c>
      <c r="O192" s="5">
        <v>2</v>
      </c>
      <c r="P192" s="5">
        <f>ROUND(Source!EI182,O192)</f>
        <v>0</v>
      </c>
      <c r="Q192" s="5"/>
      <c r="R192" s="5"/>
      <c r="S192" s="5"/>
      <c r="T192" s="5"/>
      <c r="U192" s="5"/>
      <c r="V192" s="5"/>
      <c r="W192" s="5">
        <v>0</v>
      </c>
      <c r="X192" s="5">
        <v>1</v>
      </c>
      <c r="Y192" s="5">
        <v>0</v>
      </c>
      <c r="Z192" s="5">
        <v>0</v>
      </c>
      <c r="AA192" s="5">
        <v>1</v>
      </c>
      <c r="AB192" s="5">
        <v>0</v>
      </c>
    </row>
    <row r="193" spans="1:28" x14ac:dyDescent="0.2">
      <c r="A193" s="5">
        <v>50</v>
      </c>
      <c r="B193" s="5">
        <v>0</v>
      </c>
      <c r="C193" s="5">
        <v>0</v>
      </c>
      <c r="D193" s="5">
        <v>1</v>
      </c>
      <c r="E193" s="5">
        <v>229</v>
      </c>
      <c r="F193" s="5">
        <f>ROUND(Source!AZ182,O193)</f>
        <v>66780.09</v>
      </c>
      <c r="G193" s="5" t="s">
        <v>166</v>
      </c>
      <c r="H193" s="5" t="s">
        <v>167</v>
      </c>
      <c r="I193" s="5"/>
      <c r="J193" s="5"/>
      <c r="K193" s="5">
        <v>229</v>
      </c>
      <c r="L193" s="5">
        <v>10</v>
      </c>
      <c r="M193" s="5">
        <v>3</v>
      </c>
      <c r="N193" s="5" t="s">
        <v>3</v>
      </c>
      <c r="O193" s="5">
        <v>2</v>
      </c>
      <c r="P193" s="5">
        <f>ROUND(Source!ER182,O193)</f>
        <v>511509.3</v>
      </c>
      <c r="Q193" s="5"/>
      <c r="R193" s="5"/>
      <c r="S193" s="5"/>
      <c r="T193" s="5"/>
      <c r="U193" s="5"/>
      <c r="V193" s="5"/>
      <c r="W193" s="5">
        <v>66780.09</v>
      </c>
      <c r="X193" s="5">
        <v>1</v>
      </c>
      <c r="Y193" s="5">
        <v>66780.09</v>
      </c>
      <c r="Z193" s="5">
        <v>511509.3</v>
      </c>
      <c r="AA193" s="5">
        <v>1</v>
      </c>
      <c r="AB193" s="5">
        <v>511509.3</v>
      </c>
    </row>
    <row r="194" spans="1:28" x14ac:dyDescent="0.2">
      <c r="A194" s="5">
        <v>50</v>
      </c>
      <c r="B194" s="5">
        <v>0</v>
      </c>
      <c r="C194" s="5">
        <v>0</v>
      </c>
      <c r="D194" s="5">
        <v>1</v>
      </c>
      <c r="E194" s="5">
        <v>203</v>
      </c>
      <c r="F194" s="5">
        <f>ROUND(Source!Q182,O194)</f>
        <v>1534.51</v>
      </c>
      <c r="G194" s="5" t="s">
        <v>168</v>
      </c>
      <c r="H194" s="5" t="s">
        <v>169</v>
      </c>
      <c r="I194" s="5"/>
      <c r="J194" s="5"/>
      <c r="K194" s="5">
        <v>203</v>
      </c>
      <c r="L194" s="5">
        <v>11</v>
      </c>
      <c r="M194" s="5">
        <v>3</v>
      </c>
      <c r="N194" s="5" t="s">
        <v>3</v>
      </c>
      <c r="O194" s="5">
        <v>2</v>
      </c>
      <c r="P194" s="5">
        <f>ROUND(Source!DI182,O194)</f>
        <v>30376.05</v>
      </c>
      <c r="Q194" s="5"/>
      <c r="R194" s="5"/>
      <c r="S194" s="5"/>
      <c r="T194" s="5"/>
      <c r="U194" s="5"/>
      <c r="V194" s="5"/>
      <c r="W194" s="5">
        <v>1534.51</v>
      </c>
      <c r="X194" s="5">
        <v>1</v>
      </c>
      <c r="Y194" s="5">
        <v>1534.51</v>
      </c>
      <c r="Z194" s="5">
        <v>30376.05</v>
      </c>
      <c r="AA194" s="5">
        <v>1</v>
      </c>
      <c r="AB194" s="5">
        <v>30376.05</v>
      </c>
    </row>
    <row r="195" spans="1:28" x14ac:dyDescent="0.2">
      <c r="A195" s="5">
        <v>50</v>
      </c>
      <c r="B195" s="5">
        <v>0</v>
      </c>
      <c r="C195" s="5">
        <v>0</v>
      </c>
      <c r="D195" s="5">
        <v>1</v>
      </c>
      <c r="E195" s="5">
        <v>231</v>
      </c>
      <c r="F195" s="5">
        <f>ROUND(Source!BB182,O195)</f>
        <v>0</v>
      </c>
      <c r="G195" s="5" t="s">
        <v>170</v>
      </c>
      <c r="H195" s="5" t="s">
        <v>171</v>
      </c>
      <c r="I195" s="5"/>
      <c r="J195" s="5"/>
      <c r="K195" s="5">
        <v>231</v>
      </c>
      <c r="L195" s="5">
        <v>12</v>
      </c>
      <c r="M195" s="5">
        <v>3</v>
      </c>
      <c r="N195" s="5" t="s">
        <v>3</v>
      </c>
      <c r="O195" s="5">
        <v>2</v>
      </c>
      <c r="P195" s="5">
        <f>ROUND(Source!ET182,O195)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8" x14ac:dyDescent="0.2">
      <c r="A196" s="5">
        <v>50</v>
      </c>
      <c r="B196" s="5">
        <v>0</v>
      </c>
      <c r="C196" s="5">
        <v>0</v>
      </c>
      <c r="D196" s="5">
        <v>1</v>
      </c>
      <c r="E196" s="5">
        <v>204</v>
      </c>
      <c r="F196" s="5">
        <f>ROUND(Source!R182,O196)</f>
        <v>330.33</v>
      </c>
      <c r="G196" s="5" t="s">
        <v>172</v>
      </c>
      <c r="H196" s="5" t="s">
        <v>173</v>
      </c>
      <c r="I196" s="5"/>
      <c r="J196" s="5"/>
      <c r="K196" s="5">
        <v>204</v>
      </c>
      <c r="L196" s="5">
        <v>13</v>
      </c>
      <c r="M196" s="5">
        <v>3</v>
      </c>
      <c r="N196" s="5" t="s">
        <v>3</v>
      </c>
      <c r="O196" s="5">
        <v>2</v>
      </c>
      <c r="P196" s="5">
        <f>ROUND(Source!DJ182,O196)</f>
        <v>18164.849999999999</v>
      </c>
      <c r="Q196" s="5"/>
      <c r="R196" s="5"/>
      <c r="S196" s="5"/>
      <c r="T196" s="5"/>
      <c r="U196" s="5"/>
      <c r="V196" s="5"/>
      <c r="W196" s="5">
        <v>330.33</v>
      </c>
      <c r="X196" s="5">
        <v>1</v>
      </c>
      <c r="Y196" s="5">
        <v>330.33</v>
      </c>
      <c r="Z196" s="5">
        <v>18164.849999999999</v>
      </c>
      <c r="AA196" s="5">
        <v>1</v>
      </c>
      <c r="AB196" s="5">
        <v>18164.849999999999</v>
      </c>
    </row>
    <row r="197" spans="1:28" x14ac:dyDescent="0.2">
      <c r="A197" s="5">
        <v>50</v>
      </c>
      <c r="B197" s="5">
        <v>0</v>
      </c>
      <c r="C197" s="5">
        <v>0</v>
      </c>
      <c r="D197" s="5">
        <v>1</v>
      </c>
      <c r="E197" s="5">
        <v>205</v>
      </c>
      <c r="F197" s="5">
        <f>ROUND(Source!S182,O197)</f>
        <v>13276.59</v>
      </c>
      <c r="G197" s="5" t="s">
        <v>174</v>
      </c>
      <c r="H197" s="5" t="s">
        <v>175</v>
      </c>
      <c r="I197" s="5"/>
      <c r="J197" s="5"/>
      <c r="K197" s="5">
        <v>205</v>
      </c>
      <c r="L197" s="5">
        <v>14</v>
      </c>
      <c r="M197" s="5">
        <v>3</v>
      </c>
      <c r="N197" s="5" t="s">
        <v>3</v>
      </c>
      <c r="O197" s="5">
        <v>2</v>
      </c>
      <c r="P197" s="5">
        <f>ROUND(Source!DK182,O197)</f>
        <v>730079.67</v>
      </c>
      <c r="Q197" s="5"/>
      <c r="R197" s="5"/>
      <c r="S197" s="5"/>
      <c r="T197" s="5"/>
      <c r="U197" s="5"/>
      <c r="V197" s="5"/>
      <c r="W197" s="5">
        <v>13276.59</v>
      </c>
      <c r="X197" s="5">
        <v>1</v>
      </c>
      <c r="Y197" s="5">
        <v>13276.59</v>
      </c>
      <c r="Z197" s="5">
        <v>730079.67</v>
      </c>
      <c r="AA197" s="5">
        <v>1</v>
      </c>
      <c r="AB197" s="5">
        <v>730079.67</v>
      </c>
    </row>
    <row r="198" spans="1:28" x14ac:dyDescent="0.2">
      <c r="A198" s="5">
        <v>50</v>
      </c>
      <c r="B198" s="5">
        <v>0</v>
      </c>
      <c r="C198" s="5">
        <v>0</v>
      </c>
      <c r="D198" s="5">
        <v>1</v>
      </c>
      <c r="E198" s="5">
        <v>232</v>
      </c>
      <c r="F198" s="5">
        <f>ROUND(Source!BC182,O198)</f>
        <v>0</v>
      </c>
      <c r="G198" s="5" t="s">
        <v>176</v>
      </c>
      <c r="H198" s="5" t="s">
        <v>177</v>
      </c>
      <c r="I198" s="5"/>
      <c r="J198" s="5"/>
      <c r="K198" s="5">
        <v>232</v>
      </c>
      <c r="L198" s="5">
        <v>15</v>
      </c>
      <c r="M198" s="5">
        <v>3</v>
      </c>
      <c r="N198" s="5" t="s">
        <v>3</v>
      </c>
      <c r="O198" s="5">
        <v>2</v>
      </c>
      <c r="P198" s="5">
        <f>ROUND(Source!EU182,O198)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8" x14ac:dyDescent="0.2">
      <c r="A199" s="5">
        <v>50</v>
      </c>
      <c r="B199" s="5">
        <v>0</v>
      </c>
      <c r="C199" s="5">
        <v>0</v>
      </c>
      <c r="D199" s="5">
        <v>1</v>
      </c>
      <c r="E199" s="5">
        <v>214</v>
      </c>
      <c r="F199" s="5">
        <f>ROUND(Source!AS182,O199)</f>
        <v>0</v>
      </c>
      <c r="G199" s="5" t="s">
        <v>178</v>
      </c>
      <c r="H199" s="5" t="s">
        <v>179</v>
      </c>
      <c r="I199" s="5"/>
      <c r="J199" s="5"/>
      <c r="K199" s="5">
        <v>214</v>
      </c>
      <c r="L199" s="5">
        <v>16</v>
      </c>
      <c r="M199" s="5">
        <v>3</v>
      </c>
      <c r="N199" s="5" t="s">
        <v>3</v>
      </c>
      <c r="O199" s="5">
        <v>2</v>
      </c>
      <c r="P199" s="5">
        <f>ROUND(Source!EK182,O199)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8" x14ac:dyDescent="0.2">
      <c r="A200" s="5">
        <v>50</v>
      </c>
      <c r="B200" s="5">
        <v>0</v>
      </c>
      <c r="C200" s="5">
        <v>0</v>
      </c>
      <c r="D200" s="5">
        <v>1</v>
      </c>
      <c r="E200" s="5">
        <v>215</v>
      </c>
      <c r="F200" s="5">
        <f>ROUND(Source!AT182,O200)</f>
        <v>69466.17</v>
      </c>
      <c r="G200" s="5" t="s">
        <v>180</v>
      </c>
      <c r="H200" s="5" t="s">
        <v>181</v>
      </c>
      <c r="I200" s="5"/>
      <c r="J200" s="5"/>
      <c r="K200" s="5">
        <v>215</v>
      </c>
      <c r="L200" s="5">
        <v>17</v>
      </c>
      <c r="M200" s="5">
        <v>3</v>
      </c>
      <c r="N200" s="5" t="s">
        <v>3</v>
      </c>
      <c r="O200" s="5">
        <v>2</v>
      </c>
      <c r="P200" s="5">
        <f>ROUND(Source!EL182,O200)</f>
        <v>2114918.88</v>
      </c>
      <c r="Q200" s="5"/>
      <c r="R200" s="5"/>
      <c r="S200" s="5"/>
      <c r="T200" s="5"/>
      <c r="U200" s="5"/>
      <c r="V200" s="5"/>
      <c r="W200" s="5">
        <v>69466.17</v>
      </c>
      <c r="X200" s="5">
        <v>1</v>
      </c>
      <c r="Y200" s="5">
        <v>69466.17</v>
      </c>
      <c r="Z200" s="5">
        <v>2114918.88</v>
      </c>
      <c r="AA200" s="5">
        <v>1</v>
      </c>
      <c r="AB200" s="5">
        <v>2114918.88</v>
      </c>
    </row>
    <row r="201" spans="1:28" x14ac:dyDescent="0.2">
      <c r="A201" s="5">
        <v>50</v>
      </c>
      <c r="B201" s="5">
        <v>0</v>
      </c>
      <c r="C201" s="5">
        <v>0</v>
      </c>
      <c r="D201" s="5">
        <v>1</v>
      </c>
      <c r="E201" s="5">
        <v>217</v>
      </c>
      <c r="F201" s="5">
        <f>ROUND(Source!AU182,O201)</f>
        <v>0</v>
      </c>
      <c r="G201" s="5" t="s">
        <v>182</v>
      </c>
      <c r="H201" s="5" t="s">
        <v>183</v>
      </c>
      <c r="I201" s="5"/>
      <c r="J201" s="5"/>
      <c r="K201" s="5">
        <v>217</v>
      </c>
      <c r="L201" s="5">
        <v>18</v>
      </c>
      <c r="M201" s="5">
        <v>3</v>
      </c>
      <c r="N201" s="5" t="s">
        <v>3</v>
      </c>
      <c r="O201" s="5">
        <v>2</v>
      </c>
      <c r="P201" s="5">
        <f>ROUND(Source!EM182,O201)</f>
        <v>0</v>
      </c>
      <c r="Q201" s="5"/>
      <c r="R201" s="5"/>
      <c r="S201" s="5"/>
      <c r="T201" s="5"/>
      <c r="U201" s="5"/>
      <c r="V201" s="5"/>
      <c r="W201" s="5">
        <v>0</v>
      </c>
      <c r="X201" s="5">
        <v>1</v>
      </c>
      <c r="Y201" s="5">
        <v>0</v>
      </c>
      <c r="Z201" s="5">
        <v>0</v>
      </c>
      <c r="AA201" s="5">
        <v>1</v>
      </c>
      <c r="AB201" s="5">
        <v>0</v>
      </c>
    </row>
    <row r="202" spans="1:28" x14ac:dyDescent="0.2">
      <c r="A202" s="5">
        <v>50</v>
      </c>
      <c r="B202" s="5">
        <v>0</v>
      </c>
      <c r="C202" s="5">
        <v>0</v>
      </c>
      <c r="D202" s="5">
        <v>1</v>
      </c>
      <c r="E202" s="5">
        <v>230</v>
      </c>
      <c r="F202" s="5">
        <f>ROUND(Source!BA182,O202)</f>
        <v>0</v>
      </c>
      <c r="G202" s="5" t="s">
        <v>184</v>
      </c>
      <c r="H202" s="5" t="s">
        <v>185</v>
      </c>
      <c r="I202" s="5"/>
      <c r="J202" s="5"/>
      <c r="K202" s="5">
        <v>230</v>
      </c>
      <c r="L202" s="5">
        <v>19</v>
      </c>
      <c r="M202" s="5">
        <v>3</v>
      </c>
      <c r="N202" s="5" t="s">
        <v>3</v>
      </c>
      <c r="O202" s="5">
        <v>2</v>
      </c>
      <c r="P202" s="5">
        <f>ROUND(Source!ES182,O202)</f>
        <v>0</v>
      </c>
      <c r="Q202" s="5"/>
      <c r="R202" s="5"/>
      <c r="S202" s="5"/>
      <c r="T202" s="5"/>
      <c r="U202" s="5"/>
      <c r="V202" s="5"/>
      <c r="W202" s="5">
        <v>0</v>
      </c>
      <c r="X202" s="5">
        <v>1</v>
      </c>
      <c r="Y202" s="5">
        <v>0</v>
      </c>
      <c r="Z202" s="5">
        <v>0</v>
      </c>
      <c r="AA202" s="5">
        <v>1</v>
      </c>
      <c r="AB202" s="5">
        <v>0</v>
      </c>
    </row>
    <row r="203" spans="1:28" x14ac:dyDescent="0.2">
      <c r="A203" s="5">
        <v>50</v>
      </c>
      <c r="B203" s="5">
        <v>0</v>
      </c>
      <c r="C203" s="5">
        <v>0</v>
      </c>
      <c r="D203" s="5">
        <v>1</v>
      </c>
      <c r="E203" s="5">
        <v>206</v>
      </c>
      <c r="F203" s="5">
        <f>ROUND(Source!T182,O203)</f>
        <v>0</v>
      </c>
      <c r="G203" s="5" t="s">
        <v>186</v>
      </c>
      <c r="H203" s="5" t="s">
        <v>187</v>
      </c>
      <c r="I203" s="5"/>
      <c r="J203" s="5"/>
      <c r="K203" s="5">
        <v>206</v>
      </c>
      <c r="L203" s="5">
        <v>20</v>
      </c>
      <c r="M203" s="5">
        <v>3</v>
      </c>
      <c r="N203" s="5" t="s">
        <v>3</v>
      </c>
      <c r="O203" s="5">
        <v>2</v>
      </c>
      <c r="P203" s="5">
        <f>ROUND(Source!DL182,O203)</f>
        <v>0</v>
      </c>
      <c r="Q203" s="5"/>
      <c r="R203" s="5"/>
      <c r="S203" s="5"/>
      <c r="T203" s="5"/>
      <c r="U203" s="5"/>
      <c r="V203" s="5"/>
      <c r="W203" s="5">
        <v>0</v>
      </c>
      <c r="X203" s="5">
        <v>1</v>
      </c>
      <c r="Y203" s="5">
        <v>0</v>
      </c>
      <c r="Z203" s="5">
        <v>0</v>
      </c>
      <c r="AA203" s="5">
        <v>1</v>
      </c>
      <c r="AB203" s="5">
        <v>0</v>
      </c>
    </row>
    <row r="204" spans="1:28" x14ac:dyDescent="0.2">
      <c r="A204" s="5">
        <v>50</v>
      </c>
      <c r="B204" s="5">
        <v>0</v>
      </c>
      <c r="C204" s="5">
        <v>0</v>
      </c>
      <c r="D204" s="5">
        <v>1</v>
      </c>
      <c r="E204" s="5">
        <v>207</v>
      </c>
      <c r="F204" s="5">
        <f>Source!U182</f>
        <v>1038.1040283900002</v>
      </c>
      <c r="G204" s="5" t="s">
        <v>188</v>
      </c>
      <c r="H204" s="5" t="s">
        <v>189</v>
      </c>
      <c r="I204" s="5"/>
      <c r="J204" s="5"/>
      <c r="K204" s="5">
        <v>207</v>
      </c>
      <c r="L204" s="5">
        <v>21</v>
      </c>
      <c r="M204" s="5">
        <v>3</v>
      </c>
      <c r="N204" s="5" t="s">
        <v>3</v>
      </c>
      <c r="O204" s="5">
        <v>-1</v>
      </c>
      <c r="P204" s="5">
        <f>Source!DM182</f>
        <v>1038.1040283900002</v>
      </c>
      <c r="Q204" s="5"/>
      <c r="R204" s="5"/>
      <c r="S204" s="5"/>
      <c r="T204" s="5"/>
      <c r="U204" s="5"/>
      <c r="V204" s="5"/>
      <c r="W204" s="5">
        <v>1038.1040283899999</v>
      </c>
      <c r="X204" s="5">
        <v>1</v>
      </c>
      <c r="Y204" s="5">
        <v>1038.1040283899999</v>
      </c>
      <c r="Z204" s="5">
        <v>1038.1040283899999</v>
      </c>
      <c r="AA204" s="5">
        <v>1</v>
      </c>
      <c r="AB204" s="5">
        <v>1038.1040283899999</v>
      </c>
    </row>
    <row r="205" spans="1:28" x14ac:dyDescent="0.2">
      <c r="A205" s="5">
        <v>50</v>
      </c>
      <c r="B205" s="5">
        <v>0</v>
      </c>
      <c r="C205" s="5">
        <v>0</v>
      </c>
      <c r="D205" s="5">
        <v>1</v>
      </c>
      <c r="E205" s="5">
        <v>208</v>
      </c>
      <c r="F205" s="5">
        <f>Source!V182</f>
        <v>0</v>
      </c>
      <c r="G205" s="5" t="s">
        <v>190</v>
      </c>
      <c r="H205" s="5" t="s">
        <v>191</v>
      </c>
      <c r="I205" s="5"/>
      <c r="J205" s="5"/>
      <c r="K205" s="5">
        <v>208</v>
      </c>
      <c r="L205" s="5">
        <v>22</v>
      </c>
      <c r="M205" s="5">
        <v>3</v>
      </c>
      <c r="N205" s="5" t="s">
        <v>3</v>
      </c>
      <c r="O205" s="5">
        <v>-1</v>
      </c>
      <c r="P205" s="5">
        <f>Source!DN182</f>
        <v>0</v>
      </c>
      <c r="Q205" s="5"/>
      <c r="R205" s="5"/>
      <c r="S205" s="5"/>
      <c r="T205" s="5"/>
      <c r="U205" s="5"/>
      <c r="V205" s="5"/>
      <c r="W205" s="5">
        <v>0</v>
      </c>
      <c r="X205" s="5">
        <v>1</v>
      </c>
      <c r="Y205" s="5">
        <v>0</v>
      </c>
      <c r="Z205" s="5">
        <v>0</v>
      </c>
      <c r="AA205" s="5">
        <v>1</v>
      </c>
      <c r="AB205" s="5">
        <v>0</v>
      </c>
    </row>
    <row r="206" spans="1:28" x14ac:dyDescent="0.2">
      <c r="A206" s="5">
        <v>50</v>
      </c>
      <c r="B206" s="5">
        <v>0</v>
      </c>
      <c r="C206" s="5">
        <v>0</v>
      </c>
      <c r="D206" s="5">
        <v>1</v>
      </c>
      <c r="E206" s="5">
        <v>209</v>
      </c>
      <c r="F206" s="5">
        <f>ROUND(Source!W182,O206)</f>
        <v>0</v>
      </c>
      <c r="G206" s="5" t="s">
        <v>192</v>
      </c>
      <c r="H206" s="5" t="s">
        <v>193</v>
      </c>
      <c r="I206" s="5"/>
      <c r="J206" s="5"/>
      <c r="K206" s="5">
        <v>209</v>
      </c>
      <c r="L206" s="5">
        <v>23</v>
      </c>
      <c r="M206" s="5">
        <v>3</v>
      </c>
      <c r="N206" s="5" t="s">
        <v>3</v>
      </c>
      <c r="O206" s="5">
        <v>2</v>
      </c>
      <c r="P206" s="5">
        <f>ROUND(Source!DO182,O206)</f>
        <v>0</v>
      </c>
      <c r="Q206" s="5"/>
      <c r="R206" s="5"/>
      <c r="S206" s="5"/>
      <c r="T206" s="5"/>
      <c r="U206" s="5"/>
      <c r="V206" s="5"/>
      <c r="W206" s="5">
        <v>0</v>
      </c>
      <c r="X206" s="5">
        <v>1</v>
      </c>
      <c r="Y206" s="5">
        <v>0</v>
      </c>
      <c r="Z206" s="5">
        <v>0</v>
      </c>
      <c r="AA206" s="5">
        <v>1</v>
      </c>
      <c r="AB206" s="5">
        <v>0</v>
      </c>
    </row>
    <row r="207" spans="1:28" x14ac:dyDescent="0.2">
      <c r="A207" s="5">
        <v>50</v>
      </c>
      <c r="B207" s="5">
        <v>0</v>
      </c>
      <c r="C207" s="5">
        <v>0</v>
      </c>
      <c r="D207" s="5">
        <v>1</v>
      </c>
      <c r="E207" s="5">
        <v>233</v>
      </c>
      <c r="F207" s="5">
        <f>ROUND(Source!BD182,O207)</f>
        <v>0</v>
      </c>
      <c r="G207" s="5" t="s">
        <v>194</v>
      </c>
      <c r="H207" s="5" t="s">
        <v>195</v>
      </c>
      <c r="I207" s="5"/>
      <c r="J207" s="5"/>
      <c r="K207" s="5">
        <v>233</v>
      </c>
      <c r="L207" s="5">
        <v>24</v>
      </c>
      <c r="M207" s="5">
        <v>3</v>
      </c>
      <c r="N207" s="5" t="s">
        <v>3</v>
      </c>
      <c r="O207" s="5">
        <v>2</v>
      </c>
      <c r="P207" s="5">
        <f>ROUND(Source!EV182,O207)</f>
        <v>0</v>
      </c>
      <c r="Q207" s="5"/>
      <c r="R207" s="5"/>
      <c r="S207" s="5"/>
      <c r="T207" s="5"/>
      <c r="U207" s="5"/>
      <c r="V207" s="5"/>
      <c r="W207" s="5">
        <v>0</v>
      </c>
      <c r="X207" s="5">
        <v>1</v>
      </c>
      <c r="Y207" s="5">
        <v>0</v>
      </c>
      <c r="Z207" s="5">
        <v>0</v>
      </c>
      <c r="AA207" s="5">
        <v>1</v>
      </c>
      <c r="AB207" s="5">
        <v>0</v>
      </c>
    </row>
    <row r="208" spans="1:28" x14ac:dyDescent="0.2">
      <c r="A208" s="5">
        <v>50</v>
      </c>
      <c r="B208" s="5">
        <v>0</v>
      </c>
      <c r="C208" s="5">
        <v>0</v>
      </c>
      <c r="D208" s="5">
        <v>1</v>
      </c>
      <c r="E208" s="5">
        <v>210</v>
      </c>
      <c r="F208" s="5">
        <f>ROUND(Source!X182,O208)</f>
        <v>12879.64</v>
      </c>
      <c r="G208" s="5" t="s">
        <v>196</v>
      </c>
      <c r="H208" s="5" t="s">
        <v>197</v>
      </c>
      <c r="I208" s="5"/>
      <c r="J208" s="5"/>
      <c r="K208" s="5">
        <v>210</v>
      </c>
      <c r="L208" s="5">
        <v>25</v>
      </c>
      <c r="M208" s="5">
        <v>3</v>
      </c>
      <c r="N208" s="5" t="s">
        <v>3</v>
      </c>
      <c r="O208" s="5">
        <v>2</v>
      </c>
      <c r="P208" s="5">
        <f>ROUND(Source!DP182,O208)</f>
        <v>708251.6</v>
      </c>
      <c r="Q208" s="5"/>
      <c r="R208" s="5"/>
      <c r="S208" s="5"/>
      <c r="T208" s="5"/>
      <c r="U208" s="5"/>
      <c r="V208" s="5"/>
      <c r="W208" s="5">
        <v>12879.64</v>
      </c>
      <c r="X208" s="5">
        <v>1</v>
      </c>
      <c r="Y208" s="5">
        <v>12879.64</v>
      </c>
      <c r="Z208" s="5">
        <v>708251.6</v>
      </c>
      <c r="AA208" s="5">
        <v>1</v>
      </c>
      <c r="AB208" s="5">
        <v>708251.6</v>
      </c>
    </row>
    <row r="209" spans="1:206" x14ac:dyDescent="0.2">
      <c r="A209" s="5">
        <v>50</v>
      </c>
      <c r="B209" s="5">
        <v>0</v>
      </c>
      <c r="C209" s="5">
        <v>0</v>
      </c>
      <c r="D209" s="5">
        <v>1</v>
      </c>
      <c r="E209" s="5">
        <v>211</v>
      </c>
      <c r="F209" s="5">
        <f>ROUND(Source!Y182,O209)</f>
        <v>6719.35</v>
      </c>
      <c r="G209" s="5" t="s">
        <v>198</v>
      </c>
      <c r="H209" s="5" t="s">
        <v>199</v>
      </c>
      <c r="I209" s="5"/>
      <c r="J209" s="5"/>
      <c r="K209" s="5">
        <v>211</v>
      </c>
      <c r="L209" s="5">
        <v>26</v>
      </c>
      <c r="M209" s="5">
        <v>3</v>
      </c>
      <c r="N209" s="5" t="s">
        <v>3</v>
      </c>
      <c r="O209" s="5">
        <v>2</v>
      </c>
      <c r="P209" s="5">
        <f>ROUND(Source!DQ182,O209)</f>
        <v>369496.3</v>
      </c>
      <c r="Q209" s="5"/>
      <c r="R209" s="5"/>
      <c r="S209" s="5"/>
      <c r="T209" s="5"/>
      <c r="U209" s="5"/>
      <c r="V209" s="5"/>
      <c r="W209" s="5">
        <v>6719.35</v>
      </c>
      <c r="X209" s="5">
        <v>1</v>
      </c>
      <c r="Y209" s="5">
        <v>6719.35</v>
      </c>
      <c r="Z209" s="5">
        <v>369496.3</v>
      </c>
      <c r="AA209" s="5">
        <v>1</v>
      </c>
      <c r="AB209" s="5">
        <v>369496.3</v>
      </c>
    </row>
    <row r="210" spans="1:206" x14ac:dyDescent="0.2">
      <c r="A210" s="5">
        <v>50</v>
      </c>
      <c r="B210" s="5">
        <v>0</v>
      </c>
      <c r="C210" s="5">
        <v>0</v>
      </c>
      <c r="D210" s="5">
        <v>1</v>
      </c>
      <c r="E210" s="5">
        <v>224</v>
      </c>
      <c r="F210" s="5">
        <f>ROUND(Source!AR182,O210)</f>
        <v>136246.26</v>
      </c>
      <c r="G210" s="5" t="s">
        <v>200</v>
      </c>
      <c r="H210" s="5" t="s">
        <v>201</v>
      </c>
      <c r="I210" s="5"/>
      <c r="J210" s="5"/>
      <c r="K210" s="5">
        <v>224</v>
      </c>
      <c r="L210" s="5">
        <v>27</v>
      </c>
      <c r="M210" s="5">
        <v>3</v>
      </c>
      <c r="N210" s="5" t="s">
        <v>3</v>
      </c>
      <c r="O210" s="5">
        <v>2</v>
      </c>
      <c r="P210" s="5">
        <f>ROUND(Source!EJ182,O210)</f>
        <v>2626428.1800000002</v>
      </c>
      <c r="Q210" s="5"/>
      <c r="R210" s="5"/>
      <c r="S210" s="5"/>
      <c r="T210" s="5"/>
      <c r="U210" s="5"/>
      <c r="V210" s="5"/>
      <c r="W210" s="5">
        <v>136246.26</v>
      </c>
      <c r="X210" s="5">
        <v>1</v>
      </c>
      <c r="Y210" s="5">
        <v>136246.26</v>
      </c>
      <c r="Z210" s="5">
        <v>2626428.1800000002</v>
      </c>
      <c r="AA210" s="5">
        <v>1</v>
      </c>
      <c r="AB210" s="5">
        <v>2626428.1800000002</v>
      </c>
    </row>
    <row r="212" spans="1:206" x14ac:dyDescent="0.2">
      <c r="A212" s="3">
        <v>51</v>
      </c>
      <c r="B212" s="3">
        <f>B12</f>
        <v>251</v>
      </c>
      <c r="C212" s="3">
        <f>A12</f>
        <v>1</v>
      </c>
      <c r="D212" s="3">
        <f>ROW(A12)</f>
        <v>12</v>
      </c>
      <c r="E212" s="3"/>
      <c r="F212" s="3" t="str">
        <f>IF(F12&lt;&gt;"",F12,"")</f>
        <v/>
      </c>
      <c r="G212" s="3" t="str">
        <f>IF(G12&lt;&gt;"",G12,"")</f>
        <v>02-01-16 СОС</v>
      </c>
      <c r="H212" s="3">
        <v>0</v>
      </c>
      <c r="I212" s="3"/>
      <c r="J212" s="3"/>
      <c r="K212" s="3"/>
      <c r="L212" s="3"/>
      <c r="M212" s="3"/>
      <c r="N212" s="3"/>
      <c r="O212" s="3">
        <f t="shared" ref="O212:T212" si="135">ROUND(O182,2)</f>
        <v>116647.27</v>
      </c>
      <c r="P212" s="3">
        <f t="shared" si="135"/>
        <v>101836.17</v>
      </c>
      <c r="Q212" s="3">
        <f t="shared" si="135"/>
        <v>1534.51</v>
      </c>
      <c r="R212" s="3">
        <f t="shared" si="135"/>
        <v>330.33</v>
      </c>
      <c r="S212" s="3">
        <f t="shared" si="135"/>
        <v>13276.59</v>
      </c>
      <c r="T212" s="3">
        <f t="shared" si="135"/>
        <v>0</v>
      </c>
      <c r="U212" s="3">
        <f>U182</f>
        <v>1038.1040283900002</v>
      </c>
      <c r="V212" s="3">
        <f>V182</f>
        <v>0</v>
      </c>
      <c r="W212" s="3">
        <f>ROUND(W182,2)</f>
        <v>0</v>
      </c>
      <c r="X212" s="3">
        <f>ROUND(X182,2)</f>
        <v>12879.64</v>
      </c>
      <c r="Y212" s="3">
        <f>ROUND(Y182,2)</f>
        <v>6719.35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>
        <f t="shared" ref="AO212:BD212" si="136">ROUND(AO182,2)</f>
        <v>0</v>
      </c>
      <c r="AP212" s="3">
        <f t="shared" si="136"/>
        <v>66780.09</v>
      </c>
      <c r="AQ212" s="3">
        <f t="shared" si="136"/>
        <v>0</v>
      </c>
      <c r="AR212" s="3">
        <f t="shared" si="136"/>
        <v>136246.26</v>
      </c>
      <c r="AS212" s="3">
        <f t="shared" si="136"/>
        <v>0</v>
      </c>
      <c r="AT212" s="3">
        <f t="shared" si="136"/>
        <v>69466.17</v>
      </c>
      <c r="AU212" s="3">
        <f t="shared" si="136"/>
        <v>0</v>
      </c>
      <c r="AV212" s="3">
        <f t="shared" si="136"/>
        <v>101836.17</v>
      </c>
      <c r="AW212" s="3">
        <f t="shared" si="136"/>
        <v>35056.080000000002</v>
      </c>
      <c r="AX212" s="3">
        <f t="shared" si="136"/>
        <v>0</v>
      </c>
      <c r="AY212" s="3">
        <f t="shared" si="136"/>
        <v>35056.080000000002</v>
      </c>
      <c r="AZ212" s="3">
        <f t="shared" si="136"/>
        <v>66780.09</v>
      </c>
      <c r="BA212" s="3">
        <f t="shared" si="136"/>
        <v>0</v>
      </c>
      <c r="BB212" s="3">
        <f t="shared" si="136"/>
        <v>0</v>
      </c>
      <c r="BC212" s="3">
        <f t="shared" si="136"/>
        <v>0</v>
      </c>
      <c r="BD212" s="3">
        <f t="shared" si="136"/>
        <v>0</v>
      </c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4">
        <f t="shared" ref="DG212:DL212" si="137">ROUND(DG182,2)</f>
        <v>1548680.28</v>
      </c>
      <c r="DH212" s="4">
        <f t="shared" si="137"/>
        <v>788224.56</v>
      </c>
      <c r="DI212" s="4">
        <f t="shared" si="137"/>
        <v>30376.05</v>
      </c>
      <c r="DJ212" s="4">
        <f t="shared" si="137"/>
        <v>18164.849999999999</v>
      </c>
      <c r="DK212" s="4">
        <f t="shared" si="137"/>
        <v>730079.67</v>
      </c>
      <c r="DL212" s="4">
        <f t="shared" si="137"/>
        <v>0</v>
      </c>
      <c r="DM212" s="4">
        <f>DM182</f>
        <v>1038.1040283900002</v>
      </c>
      <c r="DN212" s="4">
        <f>DN182</f>
        <v>0</v>
      </c>
      <c r="DO212" s="4">
        <f>ROUND(DO182,2)</f>
        <v>0</v>
      </c>
      <c r="DP212" s="4">
        <f>ROUND(DP182,2)</f>
        <v>708251.6</v>
      </c>
      <c r="DQ212" s="4">
        <f>ROUND(DQ182,2)</f>
        <v>369496.3</v>
      </c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>
        <f t="shared" ref="EG212:EV212" si="138">ROUND(EG182,2)</f>
        <v>0</v>
      </c>
      <c r="EH212" s="4">
        <f t="shared" si="138"/>
        <v>511509.3</v>
      </c>
      <c r="EI212" s="4">
        <f t="shared" si="138"/>
        <v>0</v>
      </c>
      <c r="EJ212" s="4">
        <f t="shared" si="138"/>
        <v>2626428.1800000002</v>
      </c>
      <c r="EK212" s="4">
        <f t="shared" si="138"/>
        <v>0</v>
      </c>
      <c r="EL212" s="4">
        <f t="shared" si="138"/>
        <v>2114918.88</v>
      </c>
      <c r="EM212" s="4">
        <f t="shared" si="138"/>
        <v>0</v>
      </c>
      <c r="EN212" s="4">
        <f t="shared" si="138"/>
        <v>788224.56</v>
      </c>
      <c r="EO212" s="4">
        <f t="shared" si="138"/>
        <v>276715.26</v>
      </c>
      <c r="EP212" s="4">
        <f t="shared" si="138"/>
        <v>0</v>
      </c>
      <c r="EQ212" s="4">
        <f t="shared" si="138"/>
        <v>276715.26</v>
      </c>
      <c r="ER212" s="4">
        <f t="shared" si="138"/>
        <v>511509.3</v>
      </c>
      <c r="ES212" s="4">
        <f t="shared" si="138"/>
        <v>0</v>
      </c>
      <c r="ET212" s="4">
        <f t="shared" si="138"/>
        <v>0</v>
      </c>
      <c r="EU212" s="4">
        <f t="shared" si="138"/>
        <v>0</v>
      </c>
      <c r="EV212" s="4">
        <f t="shared" si="138"/>
        <v>0</v>
      </c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>
        <v>0</v>
      </c>
    </row>
    <row r="214" spans="1:206" x14ac:dyDescent="0.2">
      <c r="A214" s="5">
        <v>50</v>
      </c>
      <c r="B214" s="5">
        <v>0</v>
      </c>
      <c r="C214" s="5">
        <v>0</v>
      </c>
      <c r="D214" s="5">
        <v>1</v>
      </c>
      <c r="E214" s="5">
        <v>201</v>
      </c>
      <c r="F214" s="5">
        <f>ROUND(Source!O212,O214)</f>
        <v>116647.27</v>
      </c>
      <c r="G214" s="5" t="s">
        <v>148</v>
      </c>
      <c r="H214" s="5" t="s">
        <v>149</v>
      </c>
      <c r="I214" s="5"/>
      <c r="J214" s="5"/>
      <c r="K214" s="5">
        <v>201</v>
      </c>
      <c r="L214" s="5">
        <v>1</v>
      </c>
      <c r="M214" s="5">
        <v>3</v>
      </c>
      <c r="N214" s="5" t="s">
        <v>3</v>
      </c>
      <c r="O214" s="5">
        <v>2</v>
      </c>
      <c r="P214" s="5">
        <f>ROUND(Source!DG212,O214)</f>
        <v>1548680.28</v>
      </c>
      <c r="Q214" s="5"/>
      <c r="R214" s="5"/>
      <c r="S214" s="5"/>
      <c r="T214" s="5"/>
      <c r="U214" s="5"/>
      <c r="V214" s="5"/>
      <c r="W214" s="5">
        <v>116647.27</v>
      </c>
      <c r="X214" s="5">
        <v>1</v>
      </c>
      <c r="Y214" s="5">
        <v>116647.27</v>
      </c>
      <c r="Z214" s="5">
        <v>1548680.28</v>
      </c>
      <c r="AA214" s="5">
        <v>1</v>
      </c>
      <c r="AB214" s="5">
        <v>1548680.28</v>
      </c>
    </row>
    <row r="215" spans="1:206" x14ac:dyDescent="0.2">
      <c r="A215" s="5">
        <v>50</v>
      </c>
      <c r="B215" s="5">
        <v>0</v>
      </c>
      <c r="C215" s="5">
        <v>0</v>
      </c>
      <c r="D215" s="5">
        <v>1</v>
      </c>
      <c r="E215" s="5">
        <v>202</v>
      </c>
      <c r="F215" s="5">
        <f>ROUND(Source!P212,O215)</f>
        <v>101836.17</v>
      </c>
      <c r="G215" s="5" t="s">
        <v>150</v>
      </c>
      <c r="H215" s="5" t="s">
        <v>151</v>
      </c>
      <c r="I215" s="5"/>
      <c r="J215" s="5"/>
      <c r="K215" s="5">
        <v>202</v>
      </c>
      <c r="L215" s="5">
        <v>2</v>
      </c>
      <c r="M215" s="5">
        <v>3</v>
      </c>
      <c r="N215" s="5" t="s">
        <v>3</v>
      </c>
      <c r="O215" s="5">
        <v>2</v>
      </c>
      <c r="P215" s="5">
        <f>ROUND(Source!DH212,O215)</f>
        <v>788224.56</v>
      </c>
      <c r="Q215" s="5"/>
      <c r="R215" s="5"/>
      <c r="S215" s="5"/>
      <c r="T215" s="5"/>
      <c r="U215" s="5"/>
      <c r="V215" s="5"/>
      <c r="W215" s="5">
        <v>101836.17</v>
      </c>
      <c r="X215" s="5">
        <v>1</v>
      </c>
      <c r="Y215" s="5">
        <v>101836.17</v>
      </c>
      <c r="Z215" s="5">
        <v>788224.56</v>
      </c>
      <c r="AA215" s="5">
        <v>1</v>
      </c>
      <c r="AB215" s="5">
        <v>788224.56</v>
      </c>
    </row>
    <row r="216" spans="1:206" x14ac:dyDescent="0.2">
      <c r="A216" s="5">
        <v>50</v>
      </c>
      <c r="B216" s="5">
        <v>0</v>
      </c>
      <c r="C216" s="5">
        <v>0</v>
      </c>
      <c r="D216" s="5">
        <v>1</v>
      </c>
      <c r="E216" s="5">
        <v>222</v>
      </c>
      <c r="F216" s="5">
        <f>ROUND(Source!AO212,O216)</f>
        <v>0</v>
      </c>
      <c r="G216" s="5" t="s">
        <v>152</v>
      </c>
      <c r="H216" s="5" t="s">
        <v>153</v>
      </c>
      <c r="I216" s="5"/>
      <c r="J216" s="5"/>
      <c r="K216" s="5">
        <v>222</v>
      </c>
      <c r="L216" s="5">
        <v>3</v>
      </c>
      <c r="M216" s="5">
        <v>3</v>
      </c>
      <c r="N216" s="5" t="s">
        <v>3</v>
      </c>
      <c r="O216" s="5">
        <v>2</v>
      </c>
      <c r="P216" s="5">
        <f>ROUND(Source!EG212,O216)</f>
        <v>0</v>
      </c>
      <c r="Q216" s="5"/>
      <c r="R216" s="5"/>
      <c r="S216" s="5"/>
      <c r="T216" s="5"/>
      <c r="U216" s="5"/>
      <c r="V216" s="5"/>
      <c r="W216" s="5">
        <v>0</v>
      </c>
      <c r="X216" s="5">
        <v>1</v>
      </c>
      <c r="Y216" s="5">
        <v>0</v>
      </c>
      <c r="Z216" s="5">
        <v>0</v>
      </c>
      <c r="AA216" s="5">
        <v>1</v>
      </c>
      <c r="AB216" s="5">
        <v>0</v>
      </c>
    </row>
    <row r="217" spans="1:206" x14ac:dyDescent="0.2">
      <c r="A217" s="5">
        <v>50</v>
      </c>
      <c r="B217" s="5">
        <v>0</v>
      </c>
      <c r="C217" s="5">
        <v>0</v>
      </c>
      <c r="D217" s="5">
        <v>1</v>
      </c>
      <c r="E217" s="5">
        <v>225</v>
      </c>
      <c r="F217" s="5">
        <f>ROUND(Source!AV212,O217)</f>
        <v>101836.17</v>
      </c>
      <c r="G217" s="5" t="s">
        <v>154</v>
      </c>
      <c r="H217" s="5" t="s">
        <v>155</v>
      </c>
      <c r="I217" s="5"/>
      <c r="J217" s="5"/>
      <c r="K217" s="5">
        <v>225</v>
      </c>
      <c r="L217" s="5">
        <v>4</v>
      </c>
      <c r="M217" s="5">
        <v>3</v>
      </c>
      <c r="N217" s="5" t="s">
        <v>3</v>
      </c>
      <c r="O217" s="5">
        <v>2</v>
      </c>
      <c r="P217" s="5">
        <f>ROUND(Source!EN212,O217)</f>
        <v>788224.56</v>
      </c>
      <c r="Q217" s="5"/>
      <c r="R217" s="5"/>
      <c r="S217" s="5"/>
      <c r="T217" s="5"/>
      <c r="U217" s="5"/>
      <c r="V217" s="5"/>
      <c r="W217" s="5">
        <v>101836.17</v>
      </c>
      <c r="X217" s="5">
        <v>1</v>
      </c>
      <c r="Y217" s="5">
        <v>101836.17</v>
      </c>
      <c r="Z217" s="5">
        <v>788224.56</v>
      </c>
      <c r="AA217" s="5">
        <v>1</v>
      </c>
      <c r="AB217" s="5">
        <v>788224.56</v>
      </c>
    </row>
    <row r="218" spans="1:206" x14ac:dyDescent="0.2">
      <c r="A218" s="5">
        <v>50</v>
      </c>
      <c r="B218" s="5">
        <v>0</v>
      </c>
      <c r="C218" s="5">
        <v>0</v>
      </c>
      <c r="D218" s="5">
        <v>1</v>
      </c>
      <c r="E218" s="5">
        <v>226</v>
      </c>
      <c r="F218" s="5">
        <f>ROUND(Source!AW212,O218)</f>
        <v>35056.080000000002</v>
      </c>
      <c r="G218" s="5" t="s">
        <v>156</v>
      </c>
      <c r="H218" s="5" t="s">
        <v>157</v>
      </c>
      <c r="I218" s="5"/>
      <c r="J218" s="5"/>
      <c r="K218" s="5">
        <v>226</v>
      </c>
      <c r="L218" s="5">
        <v>5</v>
      </c>
      <c r="M218" s="5">
        <v>3</v>
      </c>
      <c r="N218" s="5" t="s">
        <v>3</v>
      </c>
      <c r="O218" s="5">
        <v>2</v>
      </c>
      <c r="P218" s="5">
        <f>ROUND(Source!EO212,O218)</f>
        <v>276715.26</v>
      </c>
      <c r="Q218" s="5"/>
      <c r="R218" s="5"/>
      <c r="S218" s="5"/>
      <c r="T218" s="5"/>
      <c r="U218" s="5"/>
      <c r="V218" s="5"/>
      <c r="W218" s="5">
        <v>35056.080000000002</v>
      </c>
      <c r="X218" s="5">
        <v>1</v>
      </c>
      <c r="Y218" s="5">
        <v>35056.080000000002</v>
      </c>
      <c r="Z218" s="5">
        <v>276715.26</v>
      </c>
      <c r="AA218" s="5">
        <v>1</v>
      </c>
      <c r="AB218" s="5">
        <v>276715.26</v>
      </c>
    </row>
    <row r="219" spans="1:206" x14ac:dyDescent="0.2">
      <c r="A219" s="5">
        <v>50</v>
      </c>
      <c r="B219" s="5">
        <v>0</v>
      </c>
      <c r="C219" s="5">
        <v>0</v>
      </c>
      <c r="D219" s="5">
        <v>1</v>
      </c>
      <c r="E219" s="5">
        <v>227</v>
      </c>
      <c r="F219" s="5">
        <f>ROUND(Source!AX212,O219)</f>
        <v>0</v>
      </c>
      <c r="G219" s="5" t="s">
        <v>158</v>
      </c>
      <c r="H219" s="5" t="s">
        <v>159</v>
      </c>
      <c r="I219" s="5"/>
      <c r="J219" s="5"/>
      <c r="K219" s="5">
        <v>227</v>
      </c>
      <c r="L219" s="5">
        <v>6</v>
      </c>
      <c r="M219" s="5">
        <v>3</v>
      </c>
      <c r="N219" s="5" t="s">
        <v>3</v>
      </c>
      <c r="O219" s="5">
        <v>2</v>
      </c>
      <c r="P219" s="5">
        <f>ROUND(Source!EP212,O219)</f>
        <v>0</v>
      </c>
      <c r="Q219" s="5"/>
      <c r="R219" s="5"/>
      <c r="S219" s="5"/>
      <c r="T219" s="5"/>
      <c r="U219" s="5"/>
      <c r="V219" s="5"/>
      <c r="W219" s="5">
        <v>0</v>
      </c>
      <c r="X219" s="5">
        <v>1</v>
      </c>
      <c r="Y219" s="5">
        <v>0</v>
      </c>
      <c r="Z219" s="5">
        <v>0</v>
      </c>
      <c r="AA219" s="5">
        <v>1</v>
      </c>
      <c r="AB219" s="5">
        <v>0</v>
      </c>
    </row>
    <row r="220" spans="1:206" x14ac:dyDescent="0.2">
      <c r="A220" s="5">
        <v>50</v>
      </c>
      <c r="B220" s="5">
        <v>0</v>
      </c>
      <c r="C220" s="5">
        <v>0</v>
      </c>
      <c r="D220" s="5">
        <v>1</v>
      </c>
      <c r="E220" s="5">
        <v>228</v>
      </c>
      <c r="F220" s="5">
        <f>ROUND(Source!AY212,O220)</f>
        <v>35056.080000000002</v>
      </c>
      <c r="G220" s="5" t="s">
        <v>160</v>
      </c>
      <c r="H220" s="5" t="s">
        <v>161</v>
      </c>
      <c r="I220" s="5"/>
      <c r="J220" s="5"/>
      <c r="K220" s="5">
        <v>228</v>
      </c>
      <c r="L220" s="5">
        <v>7</v>
      </c>
      <c r="M220" s="5">
        <v>3</v>
      </c>
      <c r="N220" s="5" t="s">
        <v>3</v>
      </c>
      <c r="O220" s="5">
        <v>2</v>
      </c>
      <c r="P220" s="5">
        <f>ROUND(Source!EQ212,O220)</f>
        <v>276715.26</v>
      </c>
      <c r="Q220" s="5"/>
      <c r="R220" s="5"/>
      <c r="S220" s="5"/>
      <c r="T220" s="5"/>
      <c r="U220" s="5"/>
      <c r="V220" s="5"/>
      <c r="W220" s="5">
        <v>35056.080000000002</v>
      </c>
      <c r="X220" s="5">
        <v>1</v>
      </c>
      <c r="Y220" s="5">
        <v>35056.080000000002</v>
      </c>
      <c r="Z220" s="5">
        <v>276715.26</v>
      </c>
      <c r="AA220" s="5">
        <v>1</v>
      </c>
      <c r="AB220" s="5">
        <v>276715.26</v>
      </c>
    </row>
    <row r="221" spans="1:206" x14ac:dyDescent="0.2">
      <c r="A221" s="5">
        <v>50</v>
      </c>
      <c r="B221" s="5">
        <v>0</v>
      </c>
      <c r="C221" s="5">
        <v>0</v>
      </c>
      <c r="D221" s="5">
        <v>1</v>
      </c>
      <c r="E221" s="5">
        <v>216</v>
      </c>
      <c r="F221" s="5">
        <f>ROUND(Source!AP212,O221)</f>
        <v>66780.09</v>
      </c>
      <c r="G221" s="5" t="s">
        <v>162</v>
      </c>
      <c r="H221" s="5" t="s">
        <v>163</v>
      </c>
      <c r="I221" s="5"/>
      <c r="J221" s="5"/>
      <c r="K221" s="5">
        <v>216</v>
      </c>
      <c r="L221" s="5">
        <v>8</v>
      </c>
      <c r="M221" s="5">
        <v>3</v>
      </c>
      <c r="N221" s="5" t="s">
        <v>3</v>
      </c>
      <c r="O221" s="5">
        <v>2</v>
      </c>
      <c r="P221" s="5">
        <f>ROUND(Source!EH212,O221)</f>
        <v>511509.3</v>
      </c>
      <c r="Q221" s="5"/>
      <c r="R221" s="5"/>
      <c r="S221" s="5"/>
      <c r="T221" s="5"/>
      <c r="U221" s="5"/>
      <c r="V221" s="5"/>
      <c r="W221" s="5">
        <v>66780.09</v>
      </c>
      <c r="X221" s="5">
        <v>1</v>
      </c>
      <c r="Y221" s="5">
        <v>66780.09</v>
      </c>
      <c r="Z221" s="5">
        <v>511509.3</v>
      </c>
      <c r="AA221" s="5">
        <v>1</v>
      </c>
      <c r="AB221" s="5">
        <v>511509.3</v>
      </c>
    </row>
    <row r="222" spans="1:206" x14ac:dyDescent="0.2">
      <c r="A222" s="5">
        <v>50</v>
      </c>
      <c r="B222" s="5">
        <v>0</v>
      </c>
      <c r="C222" s="5">
        <v>0</v>
      </c>
      <c r="D222" s="5">
        <v>1</v>
      </c>
      <c r="E222" s="5">
        <v>223</v>
      </c>
      <c r="F222" s="5">
        <f>ROUND(Source!AQ212,O222)</f>
        <v>0</v>
      </c>
      <c r="G222" s="5" t="s">
        <v>164</v>
      </c>
      <c r="H222" s="5" t="s">
        <v>165</v>
      </c>
      <c r="I222" s="5"/>
      <c r="J222" s="5"/>
      <c r="K222" s="5">
        <v>223</v>
      </c>
      <c r="L222" s="5">
        <v>9</v>
      </c>
      <c r="M222" s="5">
        <v>3</v>
      </c>
      <c r="N222" s="5" t="s">
        <v>3</v>
      </c>
      <c r="O222" s="5">
        <v>2</v>
      </c>
      <c r="P222" s="5">
        <f>ROUND(Source!EI212,O222)</f>
        <v>0</v>
      </c>
      <c r="Q222" s="5"/>
      <c r="R222" s="5"/>
      <c r="S222" s="5"/>
      <c r="T222" s="5"/>
      <c r="U222" s="5"/>
      <c r="V222" s="5"/>
      <c r="W222" s="5">
        <v>0</v>
      </c>
      <c r="X222" s="5">
        <v>1</v>
      </c>
      <c r="Y222" s="5">
        <v>0</v>
      </c>
      <c r="Z222" s="5">
        <v>0</v>
      </c>
      <c r="AA222" s="5">
        <v>1</v>
      </c>
      <c r="AB222" s="5">
        <v>0</v>
      </c>
    </row>
    <row r="223" spans="1:206" x14ac:dyDescent="0.2">
      <c r="A223" s="5">
        <v>50</v>
      </c>
      <c r="B223" s="5">
        <v>0</v>
      </c>
      <c r="C223" s="5">
        <v>0</v>
      </c>
      <c r="D223" s="5">
        <v>1</v>
      </c>
      <c r="E223" s="5">
        <v>229</v>
      </c>
      <c r="F223" s="5">
        <f>ROUND(Source!AZ212,O223)</f>
        <v>66780.09</v>
      </c>
      <c r="G223" s="5" t="s">
        <v>166</v>
      </c>
      <c r="H223" s="5" t="s">
        <v>167</v>
      </c>
      <c r="I223" s="5"/>
      <c r="J223" s="5"/>
      <c r="K223" s="5">
        <v>229</v>
      </c>
      <c r="L223" s="5">
        <v>10</v>
      </c>
      <c r="M223" s="5">
        <v>3</v>
      </c>
      <c r="N223" s="5" t="s">
        <v>3</v>
      </c>
      <c r="O223" s="5">
        <v>2</v>
      </c>
      <c r="P223" s="5">
        <f>ROUND(Source!ER212,O223)</f>
        <v>511509.3</v>
      </c>
      <c r="Q223" s="5"/>
      <c r="R223" s="5"/>
      <c r="S223" s="5"/>
      <c r="T223" s="5"/>
      <c r="U223" s="5"/>
      <c r="V223" s="5"/>
      <c r="W223" s="5">
        <v>66780.09</v>
      </c>
      <c r="X223" s="5">
        <v>1</v>
      </c>
      <c r="Y223" s="5">
        <v>66780.09</v>
      </c>
      <c r="Z223" s="5">
        <v>511509.3</v>
      </c>
      <c r="AA223" s="5">
        <v>1</v>
      </c>
      <c r="AB223" s="5">
        <v>511509.3</v>
      </c>
    </row>
    <row r="224" spans="1:206" x14ac:dyDescent="0.2">
      <c r="A224" s="5">
        <v>50</v>
      </c>
      <c r="B224" s="5">
        <v>0</v>
      </c>
      <c r="C224" s="5">
        <v>0</v>
      </c>
      <c r="D224" s="5">
        <v>1</v>
      </c>
      <c r="E224" s="5">
        <v>203</v>
      </c>
      <c r="F224" s="5">
        <f>ROUND(Source!Q212,O224)</f>
        <v>1534.51</v>
      </c>
      <c r="G224" s="5" t="s">
        <v>168</v>
      </c>
      <c r="H224" s="5" t="s">
        <v>169</v>
      </c>
      <c r="I224" s="5"/>
      <c r="J224" s="5"/>
      <c r="K224" s="5">
        <v>203</v>
      </c>
      <c r="L224" s="5">
        <v>11</v>
      </c>
      <c r="M224" s="5">
        <v>3</v>
      </c>
      <c r="N224" s="5" t="s">
        <v>3</v>
      </c>
      <c r="O224" s="5">
        <v>2</v>
      </c>
      <c r="P224" s="5">
        <f>ROUND(Source!DI212,O224)</f>
        <v>30376.05</v>
      </c>
      <c r="Q224" s="5"/>
      <c r="R224" s="5"/>
      <c r="S224" s="5"/>
      <c r="T224" s="5"/>
      <c r="U224" s="5"/>
      <c r="V224" s="5"/>
      <c r="W224" s="5">
        <v>1534.51</v>
      </c>
      <c r="X224" s="5">
        <v>1</v>
      </c>
      <c r="Y224" s="5">
        <v>1534.51</v>
      </c>
      <c r="Z224" s="5">
        <v>30376.05</v>
      </c>
      <c r="AA224" s="5">
        <v>1</v>
      </c>
      <c r="AB224" s="5">
        <v>30376.05</v>
      </c>
    </row>
    <row r="225" spans="1:28" x14ac:dyDescent="0.2">
      <c r="A225" s="5">
        <v>50</v>
      </c>
      <c r="B225" s="5">
        <v>0</v>
      </c>
      <c r="C225" s="5">
        <v>0</v>
      </c>
      <c r="D225" s="5">
        <v>1</v>
      </c>
      <c r="E225" s="5">
        <v>231</v>
      </c>
      <c r="F225" s="5">
        <f>ROUND(Source!BB212,O225)</f>
        <v>0</v>
      </c>
      <c r="G225" s="5" t="s">
        <v>170</v>
      </c>
      <c r="H225" s="5" t="s">
        <v>171</v>
      </c>
      <c r="I225" s="5"/>
      <c r="J225" s="5"/>
      <c r="K225" s="5">
        <v>231</v>
      </c>
      <c r="L225" s="5">
        <v>12</v>
      </c>
      <c r="M225" s="5">
        <v>3</v>
      </c>
      <c r="N225" s="5" t="s">
        <v>3</v>
      </c>
      <c r="O225" s="5">
        <v>2</v>
      </c>
      <c r="P225" s="5">
        <f>ROUND(Source!ET212,O225)</f>
        <v>0</v>
      </c>
      <c r="Q225" s="5"/>
      <c r="R225" s="5"/>
      <c r="S225" s="5"/>
      <c r="T225" s="5"/>
      <c r="U225" s="5"/>
      <c r="V225" s="5"/>
      <c r="W225" s="5">
        <v>0</v>
      </c>
      <c r="X225" s="5">
        <v>1</v>
      </c>
      <c r="Y225" s="5">
        <v>0</v>
      </c>
      <c r="Z225" s="5">
        <v>0</v>
      </c>
      <c r="AA225" s="5">
        <v>1</v>
      </c>
      <c r="AB225" s="5">
        <v>0</v>
      </c>
    </row>
    <row r="226" spans="1:28" x14ac:dyDescent="0.2">
      <c r="A226" s="5">
        <v>50</v>
      </c>
      <c r="B226" s="5">
        <v>0</v>
      </c>
      <c r="C226" s="5">
        <v>0</v>
      </c>
      <c r="D226" s="5">
        <v>1</v>
      </c>
      <c r="E226" s="5">
        <v>204</v>
      </c>
      <c r="F226" s="5">
        <f>ROUND(Source!R212,O226)</f>
        <v>330.33</v>
      </c>
      <c r="G226" s="5" t="s">
        <v>172</v>
      </c>
      <c r="H226" s="5" t="s">
        <v>173</v>
      </c>
      <c r="I226" s="5"/>
      <c r="J226" s="5"/>
      <c r="K226" s="5">
        <v>204</v>
      </c>
      <c r="L226" s="5">
        <v>13</v>
      </c>
      <c r="M226" s="5">
        <v>3</v>
      </c>
      <c r="N226" s="5" t="s">
        <v>3</v>
      </c>
      <c r="O226" s="5">
        <v>2</v>
      </c>
      <c r="P226" s="5">
        <f>ROUND(Source!DJ212,O226)</f>
        <v>18164.849999999999</v>
      </c>
      <c r="Q226" s="5"/>
      <c r="R226" s="5"/>
      <c r="S226" s="5"/>
      <c r="T226" s="5"/>
      <c r="U226" s="5"/>
      <c r="V226" s="5"/>
      <c r="W226" s="5">
        <v>330.33</v>
      </c>
      <c r="X226" s="5">
        <v>1</v>
      </c>
      <c r="Y226" s="5">
        <v>330.33</v>
      </c>
      <c r="Z226" s="5">
        <v>18164.849999999999</v>
      </c>
      <c r="AA226" s="5">
        <v>1</v>
      </c>
      <c r="AB226" s="5">
        <v>18164.849999999999</v>
      </c>
    </row>
    <row r="227" spans="1:28" x14ac:dyDescent="0.2">
      <c r="A227" s="5">
        <v>50</v>
      </c>
      <c r="B227" s="5">
        <v>0</v>
      </c>
      <c r="C227" s="5">
        <v>0</v>
      </c>
      <c r="D227" s="5">
        <v>1</v>
      </c>
      <c r="E227" s="5">
        <v>205</v>
      </c>
      <c r="F227" s="5">
        <f>ROUND(Source!S212,O227)</f>
        <v>13276.59</v>
      </c>
      <c r="G227" s="5" t="s">
        <v>174</v>
      </c>
      <c r="H227" s="5" t="s">
        <v>175</v>
      </c>
      <c r="I227" s="5"/>
      <c r="J227" s="5"/>
      <c r="K227" s="5">
        <v>205</v>
      </c>
      <c r="L227" s="5">
        <v>14</v>
      </c>
      <c r="M227" s="5">
        <v>3</v>
      </c>
      <c r="N227" s="5" t="s">
        <v>3</v>
      </c>
      <c r="O227" s="5">
        <v>2</v>
      </c>
      <c r="P227" s="5">
        <f>ROUND(Source!DK212,O227)</f>
        <v>730079.67</v>
      </c>
      <c r="Q227" s="5"/>
      <c r="R227" s="5"/>
      <c r="S227" s="5"/>
      <c r="T227" s="5"/>
      <c r="U227" s="5"/>
      <c r="V227" s="5"/>
      <c r="W227" s="5">
        <v>13276.59</v>
      </c>
      <c r="X227" s="5">
        <v>1</v>
      </c>
      <c r="Y227" s="5">
        <v>13276.59</v>
      </c>
      <c r="Z227" s="5">
        <v>730079.67</v>
      </c>
      <c r="AA227" s="5">
        <v>1</v>
      </c>
      <c r="AB227" s="5">
        <v>730079.67</v>
      </c>
    </row>
    <row r="228" spans="1:28" x14ac:dyDescent="0.2">
      <c r="A228" s="5">
        <v>50</v>
      </c>
      <c r="B228" s="5">
        <v>0</v>
      </c>
      <c r="C228" s="5">
        <v>0</v>
      </c>
      <c r="D228" s="5">
        <v>1</v>
      </c>
      <c r="E228" s="5">
        <v>232</v>
      </c>
      <c r="F228" s="5">
        <f>ROUND(Source!BC212,O228)</f>
        <v>0</v>
      </c>
      <c r="G228" s="5" t="s">
        <v>176</v>
      </c>
      <c r="H228" s="5" t="s">
        <v>177</v>
      </c>
      <c r="I228" s="5"/>
      <c r="J228" s="5"/>
      <c r="K228" s="5">
        <v>232</v>
      </c>
      <c r="L228" s="5">
        <v>15</v>
      </c>
      <c r="M228" s="5">
        <v>3</v>
      </c>
      <c r="N228" s="5" t="s">
        <v>3</v>
      </c>
      <c r="O228" s="5">
        <v>2</v>
      </c>
      <c r="P228" s="5">
        <f>ROUND(Source!EU212,O228)</f>
        <v>0</v>
      </c>
      <c r="Q228" s="5"/>
      <c r="R228" s="5"/>
      <c r="S228" s="5"/>
      <c r="T228" s="5"/>
      <c r="U228" s="5"/>
      <c r="V228" s="5"/>
      <c r="W228" s="5">
        <v>0</v>
      </c>
      <c r="X228" s="5">
        <v>1</v>
      </c>
      <c r="Y228" s="5">
        <v>0</v>
      </c>
      <c r="Z228" s="5">
        <v>0</v>
      </c>
      <c r="AA228" s="5">
        <v>1</v>
      </c>
      <c r="AB228" s="5">
        <v>0</v>
      </c>
    </row>
    <row r="229" spans="1:28" x14ac:dyDescent="0.2">
      <c r="A229" s="5">
        <v>50</v>
      </c>
      <c r="B229" s="5">
        <v>0</v>
      </c>
      <c r="C229" s="5">
        <v>0</v>
      </c>
      <c r="D229" s="5">
        <v>1</v>
      </c>
      <c r="E229" s="5">
        <v>214</v>
      </c>
      <c r="F229" s="5">
        <f>ROUND(Source!AS212,O229)</f>
        <v>0</v>
      </c>
      <c r="G229" s="5" t="s">
        <v>178</v>
      </c>
      <c r="H229" s="5" t="s">
        <v>179</v>
      </c>
      <c r="I229" s="5"/>
      <c r="J229" s="5"/>
      <c r="K229" s="5">
        <v>214</v>
      </c>
      <c r="L229" s="5">
        <v>16</v>
      </c>
      <c r="M229" s="5">
        <v>3</v>
      </c>
      <c r="N229" s="5" t="s">
        <v>3</v>
      </c>
      <c r="O229" s="5">
        <v>2</v>
      </c>
      <c r="P229" s="5">
        <f>ROUND(Source!EK212,O229)</f>
        <v>0</v>
      </c>
      <c r="Q229" s="5"/>
      <c r="R229" s="5"/>
      <c r="S229" s="5"/>
      <c r="T229" s="5"/>
      <c r="U229" s="5"/>
      <c r="V229" s="5"/>
      <c r="W229" s="5">
        <v>0</v>
      </c>
      <c r="X229" s="5">
        <v>1</v>
      </c>
      <c r="Y229" s="5">
        <v>0</v>
      </c>
      <c r="Z229" s="5">
        <v>0</v>
      </c>
      <c r="AA229" s="5">
        <v>1</v>
      </c>
      <c r="AB229" s="5">
        <v>0</v>
      </c>
    </row>
    <row r="230" spans="1:28" x14ac:dyDescent="0.2">
      <c r="A230" s="5">
        <v>50</v>
      </c>
      <c r="B230" s="5">
        <v>0</v>
      </c>
      <c r="C230" s="5">
        <v>0</v>
      </c>
      <c r="D230" s="5">
        <v>1</v>
      </c>
      <c r="E230" s="5">
        <v>215</v>
      </c>
      <c r="F230" s="5">
        <f>ROUND(Source!AT212,O230)</f>
        <v>69466.17</v>
      </c>
      <c r="G230" s="5" t="s">
        <v>180</v>
      </c>
      <c r="H230" s="5" t="s">
        <v>181</v>
      </c>
      <c r="I230" s="5"/>
      <c r="J230" s="5"/>
      <c r="K230" s="5">
        <v>215</v>
      </c>
      <c r="L230" s="5">
        <v>17</v>
      </c>
      <c r="M230" s="5">
        <v>3</v>
      </c>
      <c r="N230" s="5" t="s">
        <v>3</v>
      </c>
      <c r="O230" s="5">
        <v>2</v>
      </c>
      <c r="P230" s="5">
        <f>ROUND(Source!EL212,O230)</f>
        <v>2114918.88</v>
      </c>
      <c r="Q230" s="5"/>
      <c r="R230" s="5"/>
      <c r="S230" s="5"/>
      <c r="T230" s="5"/>
      <c r="U230" s="5"/>
      <c r="V230" s="5"/>
      <c r="W230" s="5">
        <v>69466.17</v>
      </c>
      <c r="X230" s="5">
        <v>1</v>
      </c>
      <c r="Y230" s="5">
        <v>69466.17</v>
      </c>
      <c r="Z230" s="5">
        <v>2114918.88</v>
      </c>
      <c r="AA230" s="5">
        <v>1</v>
      </c>
      <c r="AB230" s="5">
        <v>2114918.88</v>
      </c>
    </row>
    <row r="231" spans="1:28" x14ac:dyDescent="0.2">
      <c r="A231" s="5">
        <v>50</v>
      </c>
      <c r="B231" s="5">
        <v>0</v>
      </c>
      <c r="C231" s="5">
        <v>0</v>
      </c>
      <c r="D231" s="5">
        <v>1</v>
      </c>
      <c r="E231" s="5">
        <v>217</v>
      </c>
      <c r="F231" s="5">
        <f>ROUND(Source!AU212,O231)</f>
        <v>0</v>
      </c>
      <c r="G231" s="5" t="s">
        <v>182</v>
      </c>
      <c r="H231" s="5" t="s">
        <v>183</v>
      </c>
      <c r="I231" s="5"/>
      <c r="J231" s="5"/>
      <c r="K231" s="5">
        <v>217</v>
      </c>
      <c r="L231" s="5">
        <v>18</v>
      </c>
      <c r="M231" s="5">
        <v>3</v>
      </c>
      <c r="N231" s="5" t="s">
        <v>3</v>
      </c>
      <c r="O231" s="5">
        <v>2</v>
      </c>
      <c r="P231" s="5">
        <f>ROUND(Source!EM212,O231)</f>
        <v>0</v>
      </c>
      <c r="Q231" s="5"/>
      <c r="R231" s="5"/>
      <c r="S231" s="5"/>
      <c r="T231" s="5"/>
      <c r="U231" s="5"/>
      <c r="V231" s="5"/>
      <c r="W231" s="5">
        <v>0</v>
      </c>
      <c r="X231" s="5">
        <v>1</v>
      </c>
      <c r="Y231" s="5">
        <v>0</v>
      </c>
      <c r="Z231" s="5">
        <v>0</v>
      </c>
      <c r="AA231" s="5">
        <v>1</v>
      </c>
      <c r="AB231" s="5">
        <v>0</v>
      </c>
    </row>
    <row r="232" spans="1:28" x14ac:dyDescent="0.2">
      <c r="A232" s="5">
        <v>50</v>
      </c>
      <c r="B232" s="5">
        <v>0</v>
      </c>
      <c r="C232" s="5">
        <v>0</v>
      </c>
      <c r="D232" s="5">
        <v>1</v>
      </c>
      <c r="E232" s="5">
        <v>230</v>
      </c>
      <c r="F232" s="5">
        <f>ROUND(Source!BA212,O232)</f>
        <v>0</v>
      </c>
      <c r="G232" s="5" t="s">
        <v>184</v>
      </c>
      <c r="H232" s="5" t="s">
        <v>185</v>
      </c>
      <c r="I232" s="5"/>
      <c r="J232" s="5"/>
      <c r="K232" s="5">
        <v>230</v>
      </c>
      <c r="L232" s="5">
        <v>19</v>
      </c>
      <c r="M232" s="5">
        <v>3</v>
      </c>
      <c r="N232" s="5" t="s">
        <v>3</v>
      </c>
      <c r="O232" s="5">
        <v>2</v>
      </c>
      <c r="P232" s="5">
        <f>ROUND(Source!ES212,O232)</f>
        <v>0</v>
      </c>
      <c r="Q232" s="5"/>
      <c r="R232" s="5"/>
      <c r="S232" s="5"/>
      <c r="T232" s="5"/>
      <c r="U232" s="5"/>
      <c r="V232" s="5"/>
      <c r="W232" s="5">
        <v>0</v>
      </c>
      <c r="X232" s="5">
        <v>1</v>
      </c>
      <c r="Y232" s="5">
        <v>0</v>
      </c>
      <c r="Z232" s="5">
        <v>0</v>
      </c>
      <c r="AA232" s="5">
        <v>1</v>
      </c>
      <c r="AB232" s="5">
        <v>0</v>
      </c>
    </row>
    <row r="233" spans="1:28" x14ac:dyDescent="0.2">
      <c r="A233" s="5">
        <v>50</v>
      </c>
      <c r="B233" s="5">
        <v>0</v>
      </c>
      <c r="C233" s="5">
        <v>0</v>
      </c>
      <c r="D233" s="5">
        <v>1</v>
      </c>
      <c r="E233" s="5">
        <v>206</v>
      </c>
      <c r="F233" s="5">
        <f>ROUND(Source!T212,O233)</f>
        <v>0</v>
      </c>
      <c r="G233" s="5" t="s">
        <v>186</v>
      </c>
      <c r="H233" s="5" t="s">
        <v>187</v>
      </c>
      <c r="I233" s="5"/>
      <c r="J233" s="5"/>
      <c r="K233" s="5">
        <v>206</v>
      </c>
      <c r="L233" s="5">
        <v>20</v>
      </c>
      <c r="M233" s="5">
        <v>3</v>
      </c>
      <c r="N233" s="5" t="s">
        <v>3</v>
      </c>
      <c r="O233" s="5">
        <v>2</v>
      </c>
      <c r="P233" s="5">
        <f>ROUND(Source!DL212,O233)</f>
        <v>0</v>
      </c>
      <c r="Q233" s="5"/>
      <c r="R233" s="5"/>
      <c r="S233" s="5"/>
      <c r="T233" s="5"/>
      <c r="U233" s="5"/>
      <c r="V233" s="5"/>
      <c r="W233" s="5">
        <v>0</v>
      </c>
      <c r="X233" s="5">
        <v>1</v>
      </c>
      <c r="Y233" s="5">
        <v>0</v>
      </c>
      <c r="Z233" s="5">
        <v>0</v>
      </c>
      <c r="AA233" s="5">
        <v>1</v>
      </c>
      <c r="AB233" s="5">
        <v>0</v>
      </c>
    </row>
    <row r="234" spans="1:28" x14ac:dyDescent="0.2">
      <c r="A234" s="5">
        <v>50</v>
      </c>
      <c r="B234" s="5">
        <v>0</v>
      </c>
      <c r="C234" s="5">
        <v>0</v>
      </c>
      <c r="D234" s="5">
        <v>1</v>
      </c>
      <c r="E234" s="5">
        <v>207</v>
      </c>
      <c r="F234" s="5">
        <f>Source!U212</f>
        <v>1038.1040283900002</v>
      </c>
      <c r="G234" s="5" t="s">
        <v>188</v>
      </c>
      <c r="H234" s="5" t="s">
        <v>189</v>
      </c>
      <c r="I234" s="5"/>
      <c r="J234" s="5"/>
      <c r="K234" s="5">
        <v>207</v>
      </c>
      <c r="L234" s="5">
        <v>21</v>
      </c>
      <c r="M234" s="5">
        <v>3</v>
      </c>
      <c r="N234" s="5" t="s">
        <v>3</v>
      </c>
      <c r="O234" s="5">
        <v>-1</v>
      </c>
      <c r="P234" s="5">
        <f>Source!DM212</f>
        <v>1038.1040283900002</v>
      </c>
      <c r="Q234" s="5"/>
      <c r="R234" s="5"/>
      <c r="S234" s="5"/>
      <c r="T234" s="5"/>
      <c r="U234" s="5"/>
      <c r="V234" s="5"/>
      <c r="W234" s="5">
        <v>1038.1040283899999</v>
      </c>
      <c r="X234" s="5">
        <v>1</v>
      </c>
      <c r="Y234" s="5">
        <v>1038.1040283899999</v>
      </c>
      <c r="Z234" s="5">
        <v>1038.1040283899999</v>
      </c>
      <c r="AA234" s="5">
        <v>1</v>
      </c>
      <c r="AB234" s="5">
        <v>1038.1040283899999</v>
      </c>
    </row>
    <row r="235" spans="1:28" x14ac:dyDescent="0.2">
      <c r="A235" s="5">
        <v>50</v>
      </c>
      <c r="B235" s="5">
        <v>0</v>
      </c>
      <c r="C235" s="5">
        <v>0</v>
      </c>
      <c r="D235" s="5">
        <v>1</v>
      </c>
      <c r="E235" s="5">
        <v>208</v>
      </c>
      <c r="F235" s="5">
        <f>Source!V212</f>
        <v>0</v>
      </c>
      <c r="G235" s="5" t="s">
        <v>190</v>
      </c>
      <c r="H235" s="5" t="s">
        <v>191</v>
      </c>
      <c r="I235" s="5"/>
      <c r="J235" s="5"/>
      <c r="K235" s="5">
        <v>208</v>
      </c>
      <c r="L235" s="5">
        <v>22</v>
      </c>
      <c r="M235" s="5">
        <v>3</v>
      </c>
      <c r="N235" s="5" t="s">
        <v>3</v>
      </c>
      <c r="O235" s="5">
        <v>-1</v>
      </c>
      <c r="P235" s="5">
        <f>Source!DN212</f>
        <v>0</v>
      </c>
      <c r="Q235" s="5"/>
      <c r="R235" s="5"/>
      <c r="S235" s="5"/>
      <c r="T235" s="5"/>
      <c r="U235" s="5"/>
      <c r="V235" s="5"/>
      <c r="W235" s="5">
        <v>0</v>
      </c>
      <c r="X235" s="5">
        <v>1</v>
      </c>
      <c r="Y235" s="5">
        <v>0</v>
      </c>
      <c r="Z235" s="5">
        <v>0</v>
      </c>
      <c r="AA235" s="5">
        <v>1</v>
      </c>
      <c r="AB235" s="5">
        <v>0</v>
      </c>
    </row>
    <row r="236" spans="1:28" x14ac:dyDescent="0.2">
      <c r="A236" s="5">
        <v>50</v>
      </c>
      <c r="B236" s="5">
        <v>0</v>
      </c>
      <c r="C236" s="5">
        <v>0</v>
      </c>
      <c r="D236" s="5">
        <v>1</v>
      </c>
      <c r="E236" s="5">
        <v>209</v>
      </c>
      <c r="F236" s="5">
        <f>ROUND(Source!W212,O236)</f>
        <v>0</v>
      </c>
      <c r="G236" s="5" t="s">
        <v>192</v>
      </c>
      <c r="H236" s="5" t="s">
        <v>193</v>
      </c>
      <c r="I236" s="5"/>
      <c r="J236" s="5"/>
      <c r="K236" s="5">
        <v>209</v>
      </c>
      <c r="L236" s="5">
        <v>23</v>
      </c>
      <c r="M236" s="5">
        <v>3</v>
      </c>
      <c r="N236" s="5" t="s">
        <v>3</v>
      </c>
      <c r="O236" s="5">
        <v>2</v>
      </c>
      <c r="P236" s="5">
        <f>ROUND(Source!DO212,O236)</f>
        <v>0</v>
      </c>
      <c r="Q236" s="5"/>
      <c r="R236" s="5"/>
      <c r="S236" s="5"/>
      <c r="T236" s="5"/>
      <c r="U236" s="5"/>
      <c r="V236" s="5"/>
      <c r="W236" s="5">
        <v>0</v>
      </c>
      <c r="X236" s="5">
        <v>1</v>
      </c>
      <c r="Y236" s="5">
        <v>0</v>
      </c>
      <c r="Z236" s="5">
        <v>0</v>
      </c>
      <c r="AA236" s="5">
        <v>1</v>
      </c>
      <c r="AB236" s="5">
        <v>0</v>
      </c>
    </row>
    <row r="237" spans="1:28" x14ac:dyDescent="0.2">
      <c r="A237" s="5">
        <v>50</v>
      </c>
      <c r="B237" s="5">
        <v>0</v>
      </c>
      <c r="C237" s="5">
        <v>0</v>
      </c>
      <c r="D237" s="5">
        <v>1</v>
      </c>
      <c r="E237" s="5">
        <v>233</v>
      </c>
      <c r="F237" s="5">
        <f>ROUND(Source!BD212,O237)</f>
        <v>0</v>
      </c>
      <c r="G237" s="5" t="s">
        <v>194</v>
      </c>
      <c r="H237" s="5" t="s">
        <v>195</v>
      </c>
      <c r="I237" s="5"/>
      <c r="J237" s="5"/>
      <c r="K237" s="5">
        <v>233</v>
      </c>
      <c r="L237" s="5">
        <v>24</v>
      </c>
      <c r="M237" s="5">
        <v>3</v>
      </c>
      <c r="N237" s="5" t="s">
        <v>3</v>
      </c>
      <c r="O237" s="5">
        <v>2</v>
      </c>
      <c r="P237" s="5">
        <f>ROUND(Source!EV212,O237)</f>
        <v>0</v>
      </c>
      <c r="Q237" s="5"/>
      <c r="R237" s="5"/>
      <c r="S237" s="5"/>
      <c r="T237" s="5"/>
      <c r="U237" s="5"/>
      <c r="V237" s="5"/>
      <c r="W237" s="5">
        <v>0</v>
      </c>
      <c r="X237" s="5">
        <v>1</v>
      </c>
      <c r="Y237" s="5">
        <v>0</v>
      </c>
      <c r="Z237" s="5">
        <v>0</v>
      </c>
      <c r="AA237" s="5">
        <v>1</v>
      </c>
      <c r="AB237" s="5">
        <v>0</v>
      </c>
    </row>
    <row r="238" spans="1:28" x14ac:dyDescent="0.2">
      <c r="A238" s="5">
        <v>50</v>
      </c>
      <c r="B238" s="5">
        <v>0</v>
      </c>
      <c r="C238" s="5">
        <v>0</v>
      </c>
      <c r="D238" s="5">
        <v>1</v>
      </c>
      <c r="E238" s="5">
        <v>210</v>
      </c>
      <c r="F238" s="5">
        <f>ROUND(Source!X212,O238)</f>
        <v>12879.64</v>
      </c>
      <c r="G238" s="5" t="s">
        <v>196</v>
      </c>
      <c r="H238" s="5" t="s">
        <v>197</v>
      </c>
      <c r="I238" s="5"/>
      <c r="J238" s="5"/>
      <c r="K238" s="5">
        <v>210</v>
      </c>
      <c r="L238" s="5">
        <v>25</v>
      </c>
      <c r="M238" s="5">
        <v>3</v>
      </c>
      <c r="N238" s="5" t="s">
        <v>3</v>
      </c>
      <c r="O238" s="5">
        <v>2</v>
      </c>
      <c r="P238" s="5">
        <f>ROUND(Source!DP212,O238)</f>
        <v>708251.6</v>
      </c>
      <c r="Q238" s="5"/>
      <c r="R238" s="5"/>
      <c r="S238" s="5"/>
      <c r="T238" s="5"/>
      <c r="U238" s="5"/>
      <c r="V238" s="5"/>
      <c r="W238" s="5">
        <v>12879.64</v>
      </c>
      <c r="X238" s="5">
        <v>1</v>
      </c>
      <c r="Y238" s="5">
        <v>12879.64</v>
      </c>
      <c r="Z238" s="5">
        <v>708251.6</v>
      </c>
      <c r="AA238" s="5">
        <v>1</v>
      </c>
      <c r="AB238" s="5">
        <v>708251.6</v>
      </c>
    </row>
    <row r="239" spans="1:28" x14ac:dyDescent="0.2">
      <c r="A239" s="5">
        <v>50</v>
      </c>
      <c r="B239" s="5">
        <v>0</v>
      </c>
      <c r="C239" s="5">
        <v>0</v>
      </c>
      <c r="D239" s="5">
        <v>1</v>
      </c>
      <c r="E239" s="5">
        <v>211</v>
      </c>
      <c r="F239" s="5">
        <f>ROUND(Source!Y212,O239)</f>
        <v>6719.35</v>
      </c>
      <c r="G239" s="5" t="s">
        <v>198</v>
      </c>
      <c r="H239" s="5" t="s">
        <v>199</v>
      </c>
      <c r="I239" s="5"/>
      <c r="J239" s="5"/>
      <c r="K239" s="5">
        <v>211</v>
      </c>
      <c r="L239" s="5">
        <v>26</v>
      </c>
      <c r="M239" s="5">
        <v>3</v>
      </c>
      <c r="N239" s="5" t="s">
        <v>3</v>
      </c>
      <c r="O239" s="5">
        <v>2</v>
      </c>
      <c r="P239" s="5">
        <f>ROUND(Source!DQ212,O239)</f>
        <v>369496.3</v>
      </c>
      <c r="Q239" s="5"/>
      <c r="R239" s="5"/>
      <c r="S239" s="5"/>
      <c r="T239" s="5"/>
      <c r="U239" s="5"/>
      <c r="V239" s="5"/>
      <c r="W239" s="5">
        <v>6719.35</v>
      </c>
      <c r="X239" s="5">
        <v>1</v>
      </c>
      <c r="Y239" s="5">
        <v>6719.35</v>
      </c>
      <c r="Z239" s="5">
        <v>369496.3</v>
      </c>
      <c r="AA239" s="5">
        <v>1</v>
      </c>
      <c r="AB239" s="5">
        <v>369496.3</v>
      </c>
    </row>
    <row r="240" spans="1:28" x14ac:dyDescent="0.2">
      <c r="A240" s="5">
        <v>50</v>
      </c>
      <c r="B240" s="5">
        <v>0</v>
      </c>
      <c r="C240" s="5">
        <v>0</v>
      </c>
      <c r="D240" s="5">
        <v>1</v>
      </c>
      <c r="E240" s="5">
        <v>224</v>
      </c>
      <c r="F240" s="5">
        <f>ROUND(Source!AR212,O240)</f>
        <v>136246.26</v>
      </c>
      <c r="G240" s="5" t="s">
        <v>200</v>
      </c>
      <c r="H240" s="5" t="s">
        <v>201</v>
      </c>
      <c r="I240" s="5"/>
      <c r="J240" s="5"/>
      <c r="K240" s="5">
        <v>224</v>
      </c>
      <c r="L240" s="5">
        <v>27</v>
      </c>
      <c r="M240" s="5">
        <v>3</v>
      </c>
      <c r="N240" s="5" t="s">
        <v>3</v>
      </c>
      <c r="O240" s="5">
        <v>2</v>
      </c>
      <c r="P240" s="5">
        <f>ROUND(Source!EJ212,O240)</f>
        <v>2626428.1800000002</v>
      </c>
      <c r="Q240" s="5"/>
      <c r="R240" s="5"/>
      <c r="S240" s="5"/>
      <c r="T240" s="5"/>
      <c r="U240" s="5"/>
      <c r="V240" s="5"/>
      <c r="W240" s="5">
        <v>136246.26</v>
      </c>
      <c r="X240" s="5">
        <v>1</v>
      </c>
      <c r="Y240" s="5">
        <v>136246.26</v>
      </c>
      <c r="Z240" s="5">
        <v>2626428.1800000002</v>
      </c>
      <c r="AA240" s="5">
        <v>1</v>
      </c>
      <c r="AB240" s="5">
        <v>2626428.1800000002</v>
      </c>
    </row>
    <row r="243" spans="1:50" x14ac:dyDescent="0.2">
      <c r="A243">
        <v>70</v>
      </c>
      <c r="B243">
        <v>1</v>
      </c>
      <c r="D243">
        <v>1</v>
      </c>
      <c r="E243" t="s">
        <v>257</v>
      </c>
      <c r="F243" t="s">
        <v>258</v>
      </c>
      <c r="G243">
        <v>0</v>
      </c>
      <c r="H243">
        <v>0</v>
      </c>
      <c r="I243" t="s">
        <v>3</v>
      </c>
      <c r="J243">
        <v>1</v>
      </c>
      <c r="K243">
        <v>0</v>
      </c>
      <c r="L243" t="s">
        <v>3</v>
      </c>
      <c r="M243" t="s">
        <v>3</v>
      </c>
      <c r="N243">
        <v>0</v>
      </c>
      <c r="O243">
        <v>0</v>
      </c>
      <c r="P243" t="s">
        <v>3</v>
      </c>
    </row>
    <row r="244" spans="1:50" x14ac:dyDescent="0.2">
      <c r="A244">
        <v>70</v>
      </c>
      <c r="B244">
        <v>1</v>
      </c>
      <c r="D244">
        <v>2</v>
      </c>
      <c r="E244" t="s">
        <v>259</v>
      </c>
      <c r="F244" t="s">
        <v>260</v>
      </c>
      <c r="G244">
        <v>1</v>
      </c>
      <c r="H244">
        <v>0</v>
      </c>
      <c r="I244" t="s">
        <v>3</v>
      </c>
      <c r="J244">
        <v>1</v>
      </c>
      <c r="K244">
        <v>0</v>
      </c>
      <c r="L244" t="s">
        <v>3</v>
      </c>
      <c r="M244" t="s">
        <v>3</v>
      </c>
      <c r="N244">
        <v>0</v>
      </c>
      <c r="O244">
        <v>1</v>
      </c>
      <c r="P244" t="s">
        <v>3</v>
      </c>
    </row>
    <row r="245" spans="1:50" x14ac:dyDescent="0.2">
      <c r="A245">
        <v>70</v>
      </c>
      <c r="B245">
        <v>1</v>
      </c>
      <c r="D245">
        <v>3</v>
      </c>
      <c r="E245" t="s">
        <v>261</v>
      </c>
      <c r="F245" t="s">
        <v>262</v>
      </c>
      <c r="G245">
        <v>1</v>
      </c>
      <c r="H245">
        <v>0</v>
      </c>
      <c r="I245" t="s">
        <v>3</v>
      </c>
      <c r="J245">
        <v>0</v>
      </c>
      <c r="K245">
        <v>0</v>
      </c>
      <c r="L245" t="s">
        <v>3</v>
      </c>
      <c r="M245" t="s">
        <v>3</v>
      </c>
      <c r="N245">
        <v>0</v>
      </c>
      <c r="O245">
        <v>1</v>
      </c>
      <c r="P245" t="s">
        <v>3</v>
      </c>
    </row>
    <row r="246" spans="1:50" x14ac:dyDescent="0.2">
      <c r="A246">
        <v>70</v>
      </c>
      <c r="B246">
        <v>1</v>
      </c>
      <c r="D246">
        <v>4</v>
      </c>
      <c r="E246" t="s">
        <v>263</v>
      </c>
      <c r="F246" t="s">
        <v>264</v>
      </c>
      <c r="G246">
        <v>1</v>
      </c>
      <c r="H246">
        <v>0</v>
      </c>
      <c r="I246" t="s">
        <v>3</v>
      </c>
      <c r="J246">
        <v>0</v>
      </c>
      <c r="K246">
        <v>0</v>
      </c>
      <c r="L246" t="s">
        <v>3</v>
      </c>
      <c r="M246" t="s">
        <v>3</v>
      </c>
      <c r="N246">
        <v>0</v>
      </c>
      <c r="O246">
        <v>1</v>
      </c>
      <c r="P246" t="s">
        <v>3</v>
      </c>
    </row>
    <row r="247" spans="1:50" x14ac:dyDescent="0.2">
      <c r="A247">
        <v>70</v>
      </c>
      <c r="B247">
        <v>1</v>
      </c>
      <c r="D247">
        <v>5</v>
      </c>
      <c r="E247" t="s">
        <v>265</v>
      </c>
      <c r="F247" t="s">
        <v>266</v>
      </c>
      <c r="G247">
        <v>0</v>
      </c>
      <c r="H247">
        <v>0</v>
      </c>
      <c r="I247" t="s">
        <v>3</v>
      </c>
      <c r="J247">
        <v>0</v>
      </c>
      <c r="K247">
        <v>0</v>
      </c>
      <c r="L247" t="s">
        <v>3</v>
      </c>
      <c r="M247" t="s">
        <v>3</v>
      </c>
      <c r="N247">
        <v>0</v>
      </c>
      <c r="O247">
        <v>0</v>
      </c>
      <c r="P247" t="s">
        <v>3</v>
      </c>
    </row>
    <row r="249" spans="1:50" x14ac:dyDescent="0.2">
      <c r="A249">
        <v>-1</v>
      </c>
    </row>
    <row r="251" spans="1:50" x14ac:dyDescent="0.2">
      <c r="A251" s="4">
        <v>75</v>
      </c>
      <c r="B251" s="4" t="s">
        <v>267</v>
      </c>
      <c r="C251" s="4">
        <v>2025</v>
      </c>
      <c r="D251" s="4">
        <v>3</v>
      </c>
      <c r="E251" s="4">
        <v>0</v>
      </c>
      <c r="F251" s="4"/>
      <c r="G251" s="4">
        <v>0</v>
      </c>
      <c r="H251" s="4">
        <v>1</v>
      </c>
      <c r="I251" s="4">
        <v>1</v>
      </c>
      <c r="J251" s="4">
        <v>3</v>
      </c>
      <c r="K251" s="4">
        <v>0</v>
      </c>
      <c r="L251" s="4">
        <v>0</v>
      </c>
      <c r="M251" s="4">
        <v>1</v>
      </c>
      <c r="N251" s="4">
        <v>60258618</v>
      </c>
      <c r="O251" s="4">
        <v>1</v>
      </c>
    </row>
    <row r="252" spans="1:50" x14ac:dyDescent="0.2">
      <c r="A252" s="6">
        <v>1</v>
      </c>
      <c r="B252" s="6" t="s">
        <v>268</v>
      </c>
      <c r="C252" s="6" t="s">
        <v>269</v>
      </c>
      <c r="D252" s="6">
        <v>2025</v>
      </c>
      <c r="E252" s="6">
        <v>9</v>
      </c>
      <c r="F252" s="6">
        <v>1</v>
      </c>
      <c r="G252" s="6">
        <v>1</v>
      </c>
      <c r="H252" s="6">
        <v>0</v>
      </c>
      <c r="I252" s="6">
        <v>2</v>
      </c>
      <c r="J252" s="6">
        <v>1</v>
      </c>
      <c r="K252" s="6">
        <v>9.8800000000000008</v>
      </c>
      <c r="L252" s="6">
        <v>7.66</v>
      </c>
      <c r="M252" s="6">
        <v>1</v>
      </c>
      <c r="N252" s="6">
        <v>1</v>
      </c>
      <c r="O252" s="6">
        <v>9.8800000000000008</v>
      </c>
      <c r="P252" s="6">
        <v>7.66</v>
      </c>
      <c r="Q252" s="6">
        <v>1</v>
      </c>
      <c r="R252" s="6" t="s">
        <v>3</v>
      </c>
      <c r="S252" s="6" t="s">
        <v>3</v>
      </c>
      <c r="T252" s="6" t="s">
        <v>3</v>
      </c>
      <c r="U252" s="6" t="s">
        <v>3</v>
      </c>
      <c r="V252" s="6" t="s">
        <v>3</v>
      </c>
      <c r="W252" s="6" t="s">
        <v>3</v>
      </c>
      <c r="X252" s="6" t="s">
        <v>3</v>
      </c>
      <c r="Y252" s="6" t="s">
        <v>3</v>
      </c>
      <c r="Z252" s="6" t="s">
        <v>3</v>
      </c>
      <c r="AA252" s="6" t="s">
        <v>270</v>
      </c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>
        <v>60258619</v>
      </c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x14ac:dyDescent="0.2">
      <c r="A253" s="6">
        <v>1</v>
      </c>
      <c r="B253" s="6" t="s">
        <v>268</v>
      </c>
      <c r="C253" s="6" t="s">
        <v>271</v>
      </c>
      <c r="D253" s="6">
        <v>2025</v>
      </c>
      <c r="E253" s="6">
        <v>7</v>
      </c>
      <c r="F253" s="6">
        <v>1</v>
      </c>
      <c r="G253" s="6">
        <v>1</v>
      </c>
      <c r="H253" s="6">
        <v>0</v>
      </c>
      <c r="I253" s="6">
        <v>2</v>
      </c>
      <c r="J253" s="6">
        <v>1</v>
      </c>
      <c r="K253" s="6">
        <v>1</v>
      </c>
      <c r="L253" s="6">
        <v>1</v>
      </c>
      <c r="M253" s="6">
        <v>1</v>
      </c>
      <c r="N253" s="6">
        <v>1</v>
      </c>
      <c r="O253" s="6">
        <v>1</v>
      </c>
      <c r="P253" s="6">
        <v>1</v>
      </c>
      <c r="Q253" s="6">
        <v>1</v>
      </c>
      <c r="R253" s="6" t="s">
        <v>3</v>
      </c>
      <c r="S253" s="6" t="s">
        <v>3</v>
      </c>
      <c r="T253" s="6" t="s">
        <v>3</v>
      </c>
      <c r="U253" s="6" t="s">
        <v>3</v>
      </c>
      <c r="V253" s="6" t="s">
        <v>3</v>
      </c>
      <c r="W253" s="6" t="s">
        <v>3</v>
      </c>
      <c r="X253" s="6" t="s">
        <v>3</v>
      </c>
      <c r="Y253" s="6" t="s">
        <v>3</v>
      </c>
      <c r="Z253" s="6" t="s">
        <v>3</v>
      </c>
      <c r="AA253" s="6" t="s">
        <v>272</v>
      </c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>
        <v>60258620</v>
      </c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x14ac:dyDescent="0.2">
      <c r="A254" s="4">
        <v>75</v>
      </c>
      <c r="B254" s="4" t="s">
        <v>273</v>
      </c>
      <c r="C254" s="4">
        <v>2000</v>
      </c>
      <c r="D254" s="4">
        <v>0</v>
      </c>
      <c r="E254" s="4">
        <v>1</v>
      </c>
      <c r="F254" s="4">
        <v>0</v>
      </c>
      <c r="G254" s="4">
        <v>0</v>
      </c>
      <c r="H254" s="4">
        <v>1</v>
      </c>
      <c r="I254" s="4">
        <v>1</v>
      </c>
      <c r="J254" s="4">
        <v>3</v>
      </c>
      <c r="K254" s="4">
        <v>0</v>
      </c>
      <c r="L254" s="4">
        <v>0</v>
      </c>
      <c r="M254" s="4">
        <v>0</v>
      </c>
      <c r="N254" s="4">
        <v>60258621</v>
      </c>
      <c r="O254" s="4">
        <v>2</v>
      </c>
    </row>
    <row r="255" spans="1:50" x14ac:dyDescent="0.2">
      <c r="A255" s="6">
        <v>1</v>
      </c>
      <c r="B255" s="6" t="s">
        <v>268</v>
      </c>
      <c r="C255" s="6" t="s">
        <v>269</v>
      </c>
      <c r="D255" s="6">
        <v>2000</v>
      </c>
      <c r="E255" s="6">
        <v>1</v>
      </c>
      <c r="F255" s="6">
        <v>1</v>
      </c>
      <c r="G255" s="6">
        <v>1</v>
      </c>
      <c r="H255" s="6">
        <v>0</v>
      </c>
      <c r="I255" s="6">
        <v>2</v>
      </c>
      <c r="J255" s="6">
        <v>1</v>
      </c>
      <c r="K255" s="6">
        <v>1</v>
      </c>
      <c r="L255" s="6">
        <v>1</v>
      </c>
      <c r="M255" s="6">
        <v>1</v>
      </c>
      <c r="N255" s="6">
        <v>1</v>
      </c>
      <c r="O255" s="6">
        <v>1</v>
      </c>
      <c r="P255" s="6">
        <v>1</v>
      </c>
      <c r="Q255" s="6">
        <v>1</v>
      </c>
      <c r="R255" s="6" t="s">
        <v>3</v>
      </c>
      <c r="S255" s="6" t="s">
        <v>3</v>
      </c>
      <c r="T255" s="6" t="s">
        <v>3</v>
      </c>
      <c r="U255" s="6" t="s">
        <v>3</v>
      </c>
      <c r="V255" s="6" t="s">
        <v>3</v>
      </c>
      <c r="W255" s="6" t="s">
        <v>3</v>
      </c>
      <c r="X255" s="6" t="s">
        <v>3</v>
      </c>
      <c r="Y255" s="6" t="s">
        <v>3</v>
      </c>
      <c r="Z255" s="6" t="s">
        <v>3</v>
      </c>
      <c r="AA255" s="6" t="s">
        <v>244</v>
      </c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>
        <v>60258622</v>
      </c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9" spans="1:5" x14ac:dyDescent="0.2">
      <c r="A259">
        <v>65</v>
      </c>
      <c r="C259">
        <v>1</v>
      </c>
      <c r="D259">
        <v>0</v>
      </c>
      <c r="E259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274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60258618</v>
      </c>
      <c r="E14" s="1">
        <v>60258621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ROUND((Source!P199)/1000,2)</f>
        <v>0</v>
      </c>
      <c r="F16" s="8">
        <f>ROUND((Source!P200)/1000,2)</f>
        <v>2114.92</v>
      </c>
      <c r="G16" s="8">
        <f>ROUND((Source!P191)/1000,2)</f>
        <v>511.51</v>
      </c>
      <c r="H16" s="8">
        <f>ROUND((Source!P201)/1000+(Source!P202)/1000,2)</f>
        <v>0</v>
      </c>
      <c r="I16" s="8">
        <f>E16+F16+G16+H16</f>
        <v>2626.4300000000003</v>
      </c>
      <c r="J16" s="8">
        <f>ROUND((Source!P197+Source!P196)/1000,2)</f>
        <v>748.24</v>
      </c>
      <c r="K16" s="8">
        <v>2336.9</v>
      </c>
      <c r="L16" s="8">
        <v>0</v>
      </c>
      <c r="M16" s="8">
        <v>0</v>
      </c>
      <c r="N16" s="8">
        <f>I16+L16+M16</f>
        <v>2626.4300000000003</v>
      </c>
      <c r="T16" s="9">
        <f>ROUND((Source!F199)/1000,2)</f>
        <v>0</v>
      </c>
      <c r="U16" s="9">
        <f>ROUND((Source!F200)/1000,2)</f>
        <v>69.47</v>
      </c>
      <c r="V16" s="9">
        <f>ROUND((Source!F191)/1000,2)</f>
        <v>66.78</v>
      </c>
      <c r="W16" s="9">
        <f>ROUND((Source!F201)/1000+(Source!F202)/1000,2)</f>
        <v>0</v>
      </c>
      <c r="X16" s="9">
        <f>T16+U16+V16+W16</f>
        <v>136.25</v>
      </c>
      <c r="Y16" s="9">
        <f>ROUND((Source!F197+Source!F196)/1000,2)</f>
        <v>13.61</v>
      </c>
      <c r="Z16" s="9">
        <v>218.48</v>
      </c>
      <c r="AA16" s="9">
        <v>0</v>
      </c>
      <c r="AB16" s="9">
        <v>0</v>
      </c>
      <c r="AC16" s="9">
        <f>X16+AA16+AB16</f>
        <v>136.25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1548680.28</v>
      </c>
      <c r="AU16" s="8">
        <v>788224.56</v>
      </c>
      <c r="AV16" s="8">
        <v>0</v>
      </c>
      <c r="AW16" s="8">
        <v>511509.3</v>
      </c>
      <c r="AX16" s="8">
        <v>0</v>
      </c>
      <c r="AY16" s="8">
        <v>30376.05</v>
      </c>
      <c r="AZ16" s="8">
        <v>18164.849999999999</v>
      </c>
      <c r="BA16" s="8">
        <v>730079.67</v>
      </c>
      <c r="BB16" s="8">
        <v>0</v>
      </c>
      <c r="BC16" s="8">
        <v>2114918.88</v>
      </c>
      <c r="BD16" s="8">
        <v>0</v>
      </c>
      <c r="BE16" s="8">
        <v>0</v>
      </c>
      <c r="BF16" s="8">
        <v>1038.1040283899999</v>
      </c>
      <c r="BG16" s="8">
        <v>0</v>
      </c>
      <c r="BH16" s="8">
        <v>0</v>
      </c>
      <c r="BI16" s="8">
        <v>708251.6</v>
      </c>
      <c r="BJ16" s="8">
        <v>369496.3</v>
      </c>
      <c r="BK16" s="8">
        <v>2626428.1800000002</v>
      </c>
      <c r="BR16" s="9">
        <v>116647.27</v>
      </c>
      <c r="BS16" s="9">
        <v>101836.17</v>
      </c>
      <c r="BT16" s="9">
        <v>0</v>
      </c>
      <c r="BU16" s="9">
        <v>66780.09</v>
      </c>
      <c r="BV16" s="9">
        <v>0</v>
      </c>
      <c r="BW16" s="9">
        <v>1534.51</v>
      </c>
      <c r="BX16" s="9">
        <v>330.33</v>
      </c>
      <c r="BY16" s="9">
        <v>13276.59</v>
      </c>
      <c r="BZ16" s="9">
        <v>0</v>
      </c>
      <c r="CA16" s="9">
        <v>69466.17</v>
      </c>
      <c r="CB16" s="9">
        <v>0</v>
      </c>
      <c r="CC16" s="9">
        <v>0</v>
      </c>
      <c r="CD16" s="9">
        <v>1038.1040283899999</v>
      </c>
      <c r="CE16" s="9">
        <v>0</v>
      </c>
      <c r="CF16" s="9">
        <v>0</v>
      </c>
      <c r="CG16" s="9">
        <v>12879.64</v>
      </c>
      <c r="CH16" s="9">
        <v>6719.35</v>
      </c>
      <c r="CI16" s="9">
        <v>136246.26</v>
      </c>
    </row>
    <row r="18" spans="1:29" x14ac:dyDescent="0.2">
      <c r="A18">
        <v>51</v>
      </c>
      <c r="E18">
        <v>0</v>
      </c>
      <c r="F18">
        <v>2114.92</v>
      </c>
      <c r="G18">
        <v>511.51</v>
      </c>
      <c r="H18">
        <v>0</v>
      </c>
      <c r="I18">
        <v>2626.43</v>
      </c>
      <c r="J18">
        <v>748.24</v>
      </c>
      <c r="K18">
        <v>2336.9</v>
      </c>
      <c r="L18">
        <v>0</v>
      </c>
      <c r="M18">
        <v>0</v>
      </c>
      <c r="N18">
        <v>2626.43</v>
      </c>
      <c r="T18">
        <v>0</v>
      </c>
      <c r="U18">
        <v>69.47</v>
      </c>
      <c r="V18">
        <v>66.78</v>
      </c>
      <c r="W18">
        <v>0</v>
      </c>
      <c r="X18">
        <v>136.25</v>
      </c>
      <c r="Y18">
        <v>13.61</v>
      </c>
      <c r="Z18">
        <v>218.48</v>
      </c>
      <c r="AA18">
        <v>0</v>
      </c>
      <c r="AB18">
        <v>0</v>
      </c>
      <c r="AC18">
        <v>136.25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1548680.28</v>
      </c>
      <c r="G20" s="5" t="s">
        <v>148</v>
      </c>
      <c r="H20" s="5" t="s">
        <v>149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116647.27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788224.56</v>
      </c>
      <c r="G21" s="5" t="s">
        <v>150</v>
      </c>
      <c r="H21" s="5" t="s">
        <v>151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101836.17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152</v>
      </c>
      <c r="H22" s="5" t="s">
        <v>153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788224.56</v>
      </c>
      <c r="G23" s="5" t="s">
        <v>154</v>
      </c>
      <c r="H23" s="5" t="s">
        <v>155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101836.17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276715.26</v>
      </c>
      <c r="G24" s="5" t="s">
        <v>156</v>
      </c>
      <c r="H24" s="5" t="s">
        <v>157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35056.080000000002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158</v>
      </c>
      <c r="H25" s="5" t="s">
        <v>159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276715.26</v>
      </c>
      <c r="G26" s="5" t="s">
        <v>160</v>
      </c>
      <c r="H26" s="5" t="s">
        <v>161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35056.080000000002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511509.3</v>
      </c>
      <c r="G27" s="5" t="s">
        <v>162</v>
      </c>
      <c r="H27" s="5" t="s">
        <v>163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66780.09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164</v>
      </c>
      <c r="H28" s="5" t="s">
        <v>165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511509.3</v>
      </c>
      <c r="G29" s="5" t="s">
        <v>166</v>
      </c>
      <c r="H29" s="5" t="s">
        <v>167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66780.09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30376.05</v>
      </c>
      <c r="G30" s="5" t="s">
        <v>168</v>
      </c>
      <c r="H30" s="5" t="s">
        <v>169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1534.51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170</v>
      </c>
      <c r="H31" s="5" t="s">
        <v>171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18164.849999999999</v>
      </c>
      <c r="G32" s="5" t="s">
        <v>172</v>
      </c>
      <c r="H32" s="5" t="s">
        <v>173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330.33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730079.67</v>
      </c>
      <c r="G33" s="5" t="s">
        <v>174</v>
      </c>
      <c r="H33" s="5" t="s">
        <v>175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13276.59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176</v>
      </c>
      <c r="H34" s="5" t="s">
        <v>177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178</v>
      </c>
      <c r="H35" s="5" t="s">
        <v>179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2114918.88</v>
      </c>
      <c r="G36" s="5" t="s">
        <v>180</v>
      </c>
      <c r="H36" s="5" t="s">
        <v>181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69466.17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182</v>
      </c>
      <c r="H37" s="5" t="s">
        <v>183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184</v>
      </c>
      <c r="H38" s="5" t="s">
        <v>185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186</v>
      </c>
      <c r="H39" s="5" t="s">
        <v>187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1038.1040283899999</v>
      </c>
      <c r="G40" s="5" t="s">
        <v>188</v>
      </c>
      <c r="H40" s="5" t="s">
        <v>189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1038.1040283899999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190</v>
      </c>
      <c r="H41" s="5" t="s">
        <v>191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192</v>
      </c>
      <c r="H42" s="5" t="s">
        <v>193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194</v>
      </c>
      <c r="H43" s="5" t="s">
        <v>195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708251.6</v>
      </c>
      <c r="G44" s="5" t="s">
        <v>196</v>
      </c>
      <c r="H44" s="5" t="s">
        <v>197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12879.64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369496.3</v>
      </c>
      <c r="G45" s="5" t="s">
        <v>198</v>
      </c>
      <c r="H45" s="5" t="s">
        <v>199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6719.35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2626428.1800000002</v>
      </c>
      <c r="G46" s="5" t="s">
        <v>200</v>
      </c>
      <c r="H46" s="5" t="s">
        <v>201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136246.26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267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60258618</v>
      </c>
      <c r="O51" s="4">
        <v>1</v>
      </c>
    </row>
    <row r="52" spans="1:50" x14ac:dyDescent="0.2">
      <c r="A52" s="6">
        <v>1</v>
      </c>
      <c r="B52" s="6" t="s">
        <v>268</v>
      </c>
      <c r="C52" s="6" t="s">
        <v>269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270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60258619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268</v>
      </c>
      <c r="C53" s="6" t="s">
        <v>271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272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60258620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273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60258621</v>
      </c>
      <c r="O54" s="4">
        <v>2</v>
      </c>
    </row>
    <row r="55" spans="1:50" x14ac:dyDescent="0.2">
      <c r="A55" s="6">
        <v>1</v>
      </c>
      <c r="B55" s="6" t="s">
        <v>268</v>
      </c>
      <c r="C55" s="6" t="s">
        <v>269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244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60258622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3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60258621</v>
      </c>
      <c r="C1">
        <v>60258735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275</v>
      </c>
      <c r="J1" t="s">
        <v>3</v>
      </c>
      <c r="K1" t="s">
        <v>276</v>
      </c>
      <c r="L1">
        <v>1191</v>
      </c>
      <c r="N1">
        <v>1013</v>
      </c>
      <c r="O1" t="s">
        <v>277</v>
      </c>
      <c r="P1" t="s">
        <v>277</v>
      </c>
      <c r="Q1">
        <v>1</v>
      </c>
      <c r="W1">
        <v>0</v>
      </c>
      <c r="X1">
        <v>476480486</v>
      </c>
      <c r="Y1">
        <f>(AT1*1.1)</f>
        <v>7.7000000000000011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7</v>
      </c>
      <c r="AU1" t="s">
        <v>24</v>
      </c>
      <c r="AV1">
        <v>1</v>
      </c>
      <c r="AW1">
        <v>2</v>
      </c>
      <c r="AX1">
        <v>60258979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7.7</v>
      </c>
      <c r="CW1">
        <v>0</v>
      </c>
      <c r="CX1">
        <f>ROUND(Y1*Source!I28,9)</f>
        <v>7.7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6" si="0">ROUND(ROUND(AE1,2)*CX1,2)</f>
        <v>0</v>
      </c>
      <c r="DG1">
        <f t="shared" ref="DG1:DG32" si="1">ROUND(ROUND(AF1,2)*CX1,2)</f>
        <v>0</v>
      </c>
      <c r="DH1">
        <f t="shared" ref="DH1:DH32" si="2"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60258621</v>
      </c>
      <c r="C2">
        <v>60258735</v>
      </c>
      <c r="D2">
        <v>59039462</v>
      </c>
      <c r="E2">
        <v>1</v>
      </c>
      <c r="F2">
        <v>1</v>
      </c>
      <c r="G2">
        <v>1080</v>
      </c>
      <c r="H2">
        <v>3</v>
      </c>
      <c r="I2" t="s">
        <v>278</v>
      </c>
      <c r="J2" t="s">
        <v>279</v>
      </c>
      <c r="K2" t="s">
        <v>280</v>
      </c>
      <c r="L2">
        <v>1348</v>
      </c>
      <c r="N2">
        <v>1009</v>
      </c>
      <c r="O2" t="s">
        <v>281</v>
      </c>
      <c r="P2" t="s">
        <v>281</v>
      </c>
      <c r="Q2">
        <v>1000</v>
      </c>
      <c r="W2">
        <v>0</v>
      </c>
      <c r="X2">
        <v>-1945031955</v>
      </c>
      <c r="Y2">
        <f>(AT2*1)</f>
        <v>1.2E-5</v>
      </c>
      <c r="AA2">
        <v>64123.05</v>
      </c>
      <c r="AB2">
        <v>0</v>
      </c>
      <c r="AC2">
        <v>0</v>
      </c>
      <c r="AD2">
        <v>0</v>
      </c>
      <c r="AE2">
        <v>64123.05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1.2E-5</v>
      </c>
      <c r="AU2" t="s">
        <v>23</v>
      </c>
      <c r="AV2">
        <v>0</v>
      </c>
      <c r="AW2">
        <v>2</v>
      </c>
      <c r="AX2">
        <v>60258980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ROUND(Y2*Source!I28,9)</f>
        <v>1.2E-5</v>
      </c>
      <c r="CY2">
        <f>AA2</f>
        <v>64123.05</v>
      </c>
      <c r="CZ2">
        <f>AE2</f>
        <v>64123.05</v>
      </c>
      <c r="DA2">
        <f>AI2</f>
        <v>1</v>
      </c>
      <c r="DB2">
        <f>ROUND((ROUND(AT2*CZ2,2)*1),6)</f>
        <v>0.77</v>
      </c>
      <c r="DC2">
        <f>ROUND((ROUND(AT2*AG2,2)*1),6)</f>
        <v>0</v>
      </c>
      <c r="DD2" t="s">
        <v>3</v>
      </c>
      <c r="DE2" t="s">
        <v>3</v>
      </c>
      <c r="DF2">
        <f t="shared" si="0"/>
        <v>0.77</v>
      </c>
      <c r="DG2">
        <f t="shared" si="1"/>
        <v>0</v>
      </c>
      <c r="DH2">
        <f t="shared" si="2"/>
        <v>0</v>
      </c>
      <c r="DI2">
        <f t="shared" si="3"/>
        <v>0</v>
      </c>
      <c r="DJ2">
        <f>DF2</f>
        <v>0.77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60258621</v>
      </c>
      <c r="C3">
        <v>60258735</v>
      </c>
      <c r="D3">
        <v>59045949</v>
      </c>
      <c r="E3">
        <v>1</v>
      </c>
      <c r="F3">
        <v>1</v>
      </c>
      <c r="G3">
        <v>1080</v>
      </c>
      <c r="H3">
        <v>3</v>
      </c>
      <c r="I3" t="s">
        <v>282</v>
      </c>
      <c r="J3" t="s">
        <v>283</v>
      </c>
      <c r="K3" t="s">
        <v>284</v>
      </c>
      <c r="L3">
        <v>1349</v>
      </c>
      <c r="N3">
        <v>1009</v>
      </c>
      <c r="O3" t="s">
        <v>285</v>
      </c>
      <c r="P3" t="s">
        <v>285</v>
      </c>
      <c r="Q3">
        <v>1E-3</v>
      </c>
      <c r="W3">
        <v>0</v>
      </c>
      <c r="X3">
        <v>-2034308505</v>
      </c>
      <c r="Y3">
        <f>(AT3*1)</f>
        <v>2</v>
      </c>
      <c r="AA3">
        <v>7.0000000000000007E-2</v>
      </c>
      <c r="AB3">
        <v>0</v>
      </c>
      <c r="AC3">
        <v>0</v>
      </c>
      <c r="AD3">
        <v>0</v>
      </c>
      <c r="AE3">
        <v>7.0000000000000007E-2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</v>
      </c>
      <c r="AU3" t="s">
        <v>23</v>
      </c>
      <c r="AV3">
        <v>0</v>
      </c>
      <c r="AW3">
        <v>2</v>
      </c>
      <c r="AX3">
        <v>60258981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2</v>
      </c>
      <c r="CY3">
        <f>AA3</f>
        <v>7.0000000000000007E-2</v>
      </c>
      <c r="CZ3">
        <f>AE3</f>
        <v>7.0000000000000007E-2</v>
      </c>
      <c r="DA3">
        <f>AI3</f>
        <v>1</v>
      </c>
      <c r="DB3">
        <f>ROUND((ROUND(AT3*CZ3,2)*1),6)</f>
        <v>0.14000000000000001</v>
      </c>
      <c r="DC3">
        <f>ROUND((ROUND(AT3*AG3,2)*1),6)</f>
        <v>0</v>
      </c>
      <c r="DD3" t="s">
        <v>3</v>
      </c>
      <c r="DE3" t="s">
        <v>3</v>
      </c>
      <c r="DF3">
        <f t="shared" si="0"/>
        <v>0.14000000000000001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0.14000000000000001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60258621</v>
      </c>
      <c r="C4">
        <v>60258735</v>
      </c>
      <c r="D4">
        <v>59062764</v>
      </c>
      <c r="E4">
        <v>1</v>
      </c>
      <c r="F4">
        <v>1</v>
      </c>
      <c r="G4">
        <v>1080</v>
      </c>
      <c r="H4">
        <v>3</v>
      </c>
      <c r="I4" t="s">
        <v>286</v>
      </c>
      <c r="J4" t="s">
        <v>287</v>
      </c>
      <c r="K4" t="s">
        <v>288</v>
      </c>
      <c r="L4">
        <v>1346</v>
      </c>
      <c r="N4">
        <v>1009</v>
      </c>
      <c r="O4" t="s">
        <v>289</v>
      </c>
      <c r="P4" t="s">
        <v>289</v>
      </c>
      <c r="Q4">
        <v>1</v>
      </c>
      <c r="W4">
        <v>0</v>
      </c>
      <c r="X4">
        <v>-164740653</v>
      </c>
      <c r="Y4">
        <f>(AT4*1)</f>
        <v>6.0000000000000001E-3</v>
      </c>
      <c r="AA4">
        <v>493.08</v>
      </c>
      <c r="AB4">
        <v>0</v>
      </c>
      <c r="AC4">
        <v>0</v>
      </c>
      <c r="AD4">
        <v>0</v>
      </c>
      <c r="AE4">
        <v>493.08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6.0000000000000001E-3</v>
      </c>
      <c r="AU4" t="s">
        <v>23</v>
      </c>
      <c r="AV4">
        <v>0</v>
      </c>
      <c r="AW4">
        <v>2</v>
      </c>
      <c r="AX4">
        <v>60258982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6.0000000000000001E-3</v>
      </c>
      <c r="CY4">
        <f>AA4</f>
        <v>493.08</v>
      </c>
      <c r="CZ4">
        <f>AE4</f>
        <v>493.08</v>
      </c>
      <c r="DA4">
        <f>AI4</f>
        <v>1</v>
      </c>
      <c r="DB4">
        <f>ROUND((ROUND(AT4*CZ4,2)*1),6)</f>
        <v>2.96</v>
      </c>
      <c r="DC4">
        <f>ROUND((ROUND(AT4*AG4,2)*1),6)</f>
        <v>0</v>
      </c>
      <c r="DD4" t="s">
        <v>3</v>
      </c>
      <c r="DE4" t="s">
        <v>3</v>
      </c>
      <c r="DF4">
        <f t="shared" si="0"/>
        <v>2.96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2.96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60258621</v>
      </c>
      <c r="C5">
        <v>60258735</v>
      </c>
      <c r="D5">
        <v>59068402</v>
      </c>
      <c r="E5">
        <v>1</v>
      </c>
      <c r="F5">
        <v>1</v>
      </c>
      <c r="G5">
        <v>1080</v>
      </c>
      <c r="H5">
        <v>3</v>
      </c>
      <c r="I5" t="s">
        <v>290</v>
      </c>
      <c r="J5" t="s">
        <v>291</v>
      </c>
      <c r="K5" t="s">
        <v>292</v>
      </c>
      <c r="L5">
        <v>1303</v>
      </c>
      <c r="N5">
        <v>1003</v>
      </c>
      <c r="O5" t="s">
        <v>240</v>
      </c>
      <c r="P5" t="s">
        <v>240</v>
      </c>
      <c r="Q5">
        <v>1000</v>
      </c>
      <c r="W5">
        <v>0</v>
      </c>
      <c r="X5">
        <v>-1667960223</v>
      </c>
      <c r="Y5">
        <f>(AT5*1)</f>
        <v>0.06</v>
      </c>
      <c r="AA5">
        <v>516.63</v>
      </c>
      <c r="AB5">
        <v>0</v>
      </c>
      <c r="AC5">
        <v>0</v>
      </c>
      <c r="AD5">
        <v>0</v>
      </c>
      <c r="AE5">
        <v>516.63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0.06</v>
      </c>
      <c r="AU5" t="s">
        <v>23</v>
      </c>
      <c r="AV5">
        <v>0</v>
      </c>
      <c r="AW5">
        <v>2</v>
      </c>
      <c r="AX5">
        <v>60258983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0.06</v>
      </c>
      <c r="CY5">
        <f>AA5</f>
        <v>516.63</v>
      </c>
      <c r="CZ5">
        <f>AE5</f>
        <v>516.63</v>
      </c>
      <c r="DA5">
        <f>AI5</f>
        <v>1</v>
      </c>
      <c r="DB5">
        <f>ROUND((ROUND(AT5*CZ5,2)*1),6)</f>
        <v>31</v>
      </c>
      <c r="DC5">
        <f>ROUND((ROUND(AT5*AG5,2)*1),6)</f>
        <v>0</v>
      </c>
      <c r="DD5" t="s">
        <v>3</v>
      </c>
      <c r="DE5" t="s">
        <v>3</v>
      </c>
      <c r="DF5">
        <f t="shared" si="0"/>
        <v>31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31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60258618</v>
      </c>
      <c r="C6">
        <v>60258735</v>
      </c>
      <c r="D6">
        <v>58999254</v>
      </c>
      <c r="E6">
        <v>1080</v>
      </c>
      <c r="F6">
        <v>1</v>
      </c>
      <c r="G6">
        <v>1080</v>
      </c>
      <c r="H6">
        <v>1</v>
      </c>
      <c r="I6" t="s">
        <v>275</v>
      </c>
      <c r="J6" t="s">
        <v>3</v>
      </c>
      <c r="K6" t="s">
        <v>276</v>
      </c>
      <c r="L6">
        <v>1191</v>
      </c>
      <c r="N6">
        <v>1013</v>
      </c>
      <c r="O6" t="s">
        <v>277</v>
      </c>
      <c r="P6" t="s">
        <v>277</v>
      </c>
      <c r="Q6">
        <v>1</v>
      </c>
      <c r="W6">
        <v>0</v>
      </c>
      <c r="X6">
        <v>476480486</v>
      </c>
      <c r="Y6">
        <f>(AT6*1.1)</f>
        <v>7.7000000000000011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7</v>
      </c>
      <c r="AU6" t="s">
        <v>24</v>
      </c>
      <c r="AV6">
        <v>1</v>
      </c>
      <c r="AW6">
        <v>2</v>
      </c>
      <c r="AX6">
        <v>60258979</v>
      </c>
      <c r="AY6">
        <v>1</v>
      </c>
      <c r="AZ6">
        <v>0</v>
      </c>
      <c r="BA6">
        <v>8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ROUND(AT6*Source!I29*AH6*AL6,2)</f>
        <v>0</v>
      </c>
      <c r="CV6">
        <f>ROUND(Y6*Source!I29,9)</f>
        <v>7.7</v>
      </c>
      <c r="CW6">
        <v>0</v>
      </c>
      <c r="CX6">
        <f>ROUND(Y6*Source!I29,9)</f>
        <v>7.7</v>
      </c>
      <c r="CY6">
        <f>AD6</f>
        <v>0</v>
      </c>
      <c r="CZ6">
        <f>AH6</f>
        <v>0</v>
      </c>
      <c r="DA6">
        <f>AL6</f>
        <v>1</v>
      </c>
      <c r="DB6">
        <f>ROUND((ROUND(AT6*CZ6,2)*1.1),6)</f>
        <v>0</v>
      </c>
      <c r="DC6">
        <f>ROUND((ROUND(AT6*AG6,2)*1.1),6)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ROW(Source!A29)</f>
        <v>29</v>
      </c>
      <c r="B7">
        <v>60258618</v>
      </c>
      <c r="C7">
        <v>60258735</v>
      </c>
      <c r="D7">
        <v>59039462</v>
      </c>
      <c r="E7">
        <v>1</v>
      </c>
      <c r="F7">
        <v>1</v>
      </c>
      <c r="G7">
        <v>1080</v>
      </c>
      <c r="H7">
        <v>3</v>
      </c>
      <c r="I7" t="s">
        <v>278</v>
      </c>
      <c r="J7" t="s">
        <v>279</v>
      </c>
      <c r="K7" t="s">
        <v>280</v>
      </c>
      <c r="L7">
        <v>1348</v>
      </c>
      <c r="N7">
        <v>1009</v>
      </c>
      <c r="O7" t="s">
        <v>281</v>
      </c>
      <c r="P7" t="s">
        <v>281</v>
      </c>
      <c r="Q7">
        <v>1000</v>
      </c>
      <c r="W7">
        <v>0</v>
      </c>
      <c r="X7">
        <v>-1945031955</v>
      </c>
      <c r="Y7">
        <f>(AT7*1)</f>
        <v>1.2E-5</v>
      </c>
      <c r="AA7">
        <v>1930103.81</v>
      </c>
      <c r="AB7">
        <v>0</v>
      </c>
      <c r="AC7">
        <v>0</v>
      </c>
      <c r="AD7">
        <v>0</v>
      </c>
      <c r="AE7">
        <v>64123.05</v>
      </c>
      <c r="AF7">
        <v>0</v>
      </c>
      <c r="AG7">
        <v>0</v>
      </c>
      <c r="AH7">
        <v>0</v>
      </c>
      <c r="AI7">
        <v>30.1</v>
      </c>
      <c r="AJ7">
        <v>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1.2E-5</v>
      </c>
      <c r="AU7" t="s">
        <v>23</v>
      </c>
      <c r="AV7">
        <v>0</v>
      </c>
      <c r="AW7">
        <v>2</v>
      </c>
      <c r="AX7">
        <v>60258980</v>
      </c>
      <c r="AY7">
        <v>1</v>
      </c>
      <c r="AZ7">
        <v>0</v>
      </c>
      <c r="BA7">
        <v>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ROUND(Y7*Source!I29,9)</f>
        <v>1.2E-5</v>
      </c>
      <c r="CY7">
        <f>AA7</f>
        <v>1930103.81</v>
      </c>
      <c r="CZ7">
        <f>AE7</f>
        <v>64123.05</v>
      </c>
      <c r="DA7">
        <f>AI7</f>
        <v>30.1</v>
      </c>
      <c r="DB7">
        <f>ROUND((ROUND(AT7*CZ7,2)*1),6)</f>
        <v>0.77</v>
      </c>
      <c r="DC7">
        <f>ROUND((ROUND(AT7*AG7,2)*1),6)</f>
        <v>0</v>
      </c>
      <c r="DD7" t="s">
        <v>3</v>
      </c>
      <c r="DE7" t="s">
        <v>3</v>
      </c>
      <c r="DF7">
        <f>ROUND(ROUND(AE7*AI7,2)*CX7,2)</f>
        <v>23.16</v>
      </c>
      <c r="DG7">
        <f t="shared" si="1"/>
        <v>0</v>
      </c>
      <c r="DH7">
        <f t="shared" si="2"/>
        <v>0</v>
      </c>
      <c r="DI7">
        <f t="shared" si="3"/>
        <v>0</v>
      </c>
      <c r="DJ7">
        <f>DF7</f>
        <v>23.16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60258618</v>
      </c>
      <c r="C8">
        <v>60258735</v>
      </c>
      <c r="D8">
        <v>59045949</v>
      </c>
      <c r="E8">
        <v>1</v>
      </c>
      <c r="F8">
        <v>1</v>
      </c>
      <c r="G8">
        <v>1080</v>
      </c>
      <c r="H8">
        <v>3</v>
      </c>
      <c r="I8" t="s">
        <v>282</v>
      </c>
      <c r="J8" t="s">
        <v>283</v>
      </c>
      <c r="K8" t="s">
        <v>284</v>
      </c>
      <c r="L8">
        <v>1349</v>
      </c>
      <c r="N8">
        <v>1009</v>
      </c>
      <c r="O8" t="s">
        <v>285</v>
      </c>
      <c r="P8" t="s">
        <v>285</v>
      </c>
      <c r="Q8">
        <v>1E-3</v>
      </c>
      <c r="W8">
        <v>0</v>
      </c>
      <c r="X8">
        <v>-2034308505</v>
      </c>
      <c r="Y8">
        <f>(AT8*1)</f>
        <v>2</v>
      </c>
      <c r="AA8">
        <v>0.44</v>
      </c>
      <c r="AB8">
        <v>0</v>
      </c>
      <c r="AC8">
        <v>0</v>
      </c>
      <c r="AD8">
        <v>0</v>
      </c>
      <c r="AE8">
        <v>7.0000000000000007E-2</v>
      </c>
      <c r="AF8">
        <v>0</v>
      </c>
      <c r="AG8">
        <v>0</v>
      </c>
      <c r="AH8">
        <v>0</v>
      </c>
      <c r="AI8">
        <v>6.29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</v>
      </c>
      <c r="AU8" t="s">
        <v>23</v>
      </c>
      <c r="AV8">
        <v>0</v>
      </c>
      <c r="AW8">
        <v>2</v>
      </c>
      <c r="AX8">
        <v>60258981</v>
      </c>
      <c r="AY8">
        <v>1</v>
      </c>
      <c r="AZ8">
        <v>0</v>
      </c>
      <c r="BA8">
        <v>10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2</v>
      </c>
      <c r="CY8">
        <f>AA8</f>
        <v>0.44</v>
      </c>
      <c r="CZ8">
        <f>AE8</f>
        <v>7.0000000000000007E-2</v>
      </c>
      <c r="DA8">
        <f>AI8</f>
        <v>6.29</v>
      </c>
      <c r="DB8">
        <f>ROUND((ROUND(AT8*CZ8,2)*1),6)</f>
        <v>0.14000000000000001</v>
      </c>
      <c r="DC8">
        <f>ROUND((ROUND(AT8*AG8,2)*1),6)</f>
        <v>0</v>
      </c>
      <c r="DD8" t="s">
        <v>3</v>
      </c>
      <c r="DE8" t="s">
        <v>3</v>
      </c>
      <c r="DF8">
        <f>ROUND(ROUND(AE8*AI8,2)*CX8,2)</f>
        <v>0.88</v>
      </c>
      <c r="DG8">
        <f t="shared" si="1"/>
        <v>0</v>
      </c>
      <c r="DH8">
        <f t="shared" si="2"/>
        <v>0</v>
      </c>
      <c r="DI8">
        <f t="shared" si="3"/>
        <v>0</v>
      </c>
      <c r="DJ8">
        <f>DF8</f>
        <v>0.88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ROW(Source!A29)</f>
        <v>29</v>
      </c>
      <c r="B9">
        <v>60258618</v>
      </c>
      <c r="C9">
        <v>60258735</v>
      </c>
      <c r="D9">
        <v>59062764</v>
      </c>
      <c r="E9">
        <v>1</v>
      </c>
      <c r="F9">
        <v>1</v>
      </c>
      <c r="G9">
        <v>1080</v>
      </c>
      <c r="H9">
        <v>3</v>
      </c>
      <c r="I9" t="s">
        <v>286</v>
      </c>
      <c r="J9" t="s">
        <v>287</v>
      </c>
      <c r="K9" t="s">
        <v>288</v>
      </c>
      <c r="L9">
        <v>1346</v>
      </c>
      <c r="N9">
        <v>1009</v>
      </c>
      <c r="O9" t="s">
        <v>289</v>
      </c>
      <c r="P9" t="s">
        <v>289</v>
      </c>
      <c r="Q9">
        <v>1</v>
      </c>
      <c r="W9">
        <v>0</v>
      </c>
      <c r="X9">
        <v>-164740653</v>
      </c>
      <c r="Y9">
        <f>(AT9*1)</f>
        <v>6.0000000000000001E-3</v>
      </c>
      <c r="AA9">
        <v>3047.23</v>
      </c>
      <c r="AB9">
        <v>0</v>
      </c>
      <c r="AC9">
        <v>0</v>
      </c>
      <c r="AD9">
        <v>0</v>
      </c>
      <c r="AE9">
        <v>493.08</v>
      </c>
      <c r="AF9">
        <v>0</v>
      </c>
      <c r="AG9">
        <v>0</v>
      </c>
      <c r="AH9">
        <v>0</v>
      </c>
      <c r="AI9">
        <v>6.18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6.0000000000000001E-3</v>
      </c>
      <c r="AU9" t="s">
        <v>23</v>
      </c>
      <c r="AV9">
        <v>0</v>
      </c>
      <c r="AW9">
        <v>2</v>
      </c>
      <c r="AX9">
        <v>60258982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ROUND(Y9*Source!I29,9)</f>
        <v>6.0000000000000001E-3</v>
      </c>
      <c r="CY9">
        <f>AA9</f>
        <v>3047.23</v>
      </c>
      <c r="CZ9">
        <f>AE9</f>
        <v>493.08</v>
      </c>
      <c r="DA9">
        <f>AI9</f>
        <v>6.18</v>
      </c>
      <c r="DB9">
        <f>ROUND((ROUND(AT9*CZ9,2)*1),6)</f>
        <v>2.96</v>
      </c>
      <c r="DC9">
        <f>ROUND((ROUND(AT9*AG9,2)*1),6)</f>
        <v>0</v>
      </c>
      <c r="DD9" t="s">
        <v>3</v>
      </c>
      <c r="DE9" t="s">
        <v>3</v>
      </c>
      <c r="DF9">
        <f>ROUND(ROUND(AE9*AI9,2)*CX9,2)</f>
        <v>18.28</v>
      </c>
      <c r="DG9">
        <f t="shared" si="1"/>
        <v>0</v>
      </c>
      <c r="DH9">
        <f t="shared" si="2"/>
        <v>0</v>
      </c>
      <c r="DI9">
        <f t="shared" si="3"/>
        <v>0</v>
      </c>
      <c r="DJ9">
        <f>DF9</f>
        <v>18.28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ROW(Source!A29)</f>
        <v>29</v>
      </c>
      <c r="B10">
        <v>60258618</v>
      </c>
      <c r="C10">
        <v>60258735</v>
      </c>
      <c r="D10">
        <v>59068402</v>
      </c>
      <c r="E10">
        <v>1</v>
      </c>
      <c r="F10">
        <v>1</v>
      </c>
      <c r="G10">
        <v>1080</v>
      </c>
      <c r="H10">
        <v>3</v>
      </c>
      <c r="I10" t="s">
        <v>290</v>
      </c>
      <c r="J10" t="s">
        <v>291</v>
      </c>
      <c r="K10" t="s">
        <v>292</v>
      </c>
      <c r="L10">
        <v>1303</v>
      </c>
      <c r="N10">
        <v>1003</v>
      </c>
      <c r="O10" t="s">
        <v>240</v>
      </c>
      <c r="P10" t="s">
        <v>240</v>
      </c>
      <c r="Q10">
        <v>1000</v>
      </c>
      <c r="W10">
        <v>0</v>
      </c>
      <c r="X10">
        <v>-1667960223</v>
      </c>
      <c r="Y10">
        <f>(AT10*1)</f>
        <v>0.06</v>
      </c>
      <c r="AA10">
        <v>5889.58</v>
      </c>
      <c r="AB10">
        <v>0</v>
      </c>
      <c r="AC10">
        <v>0</v>
      </c>
      <c r="AD10">
        <v>0</v>
      </c>
      <c r="AE10">
        <v>516.63</v>
      </c>
      <c r="AF10">
        <v>0</v>
      </c>
      <c r="AG10">
        <v>0</v>
      </c>
      <c r="AH10">
        <v>0</v>
      </c>
      <c r="AI10">
        <v>11.4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0.06</v>
      </c>
      <c r="AU10" t="s">
        <v>23</v>
      </c>
      <c r="AV10">
        <v>0</v>
      </c>
      <c r="AW10">
        <v>2</v>
      </c>
      <c r="AX10">
        <v>60258983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0.06</v>
      </c>
      <c r="CY10">
        <f>AA10</f>
        <v>5889.58</v>
      </c>
      <c r="CZ10">
        <f>AE10</f>
        <v>516.63</v>
      </c>
      <c r="DA10">
        <f>AI10</f>
        <v>11.4</v>
      </c>
      <c r="DB10">
        <f>ROUND((ROUND(AT10*CZ10,2)*1),6)</f>
        <v>31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353.37</v>
      </c>
      <c r="DG10">
        <f t="shared" si="1"/>
        <v>0</v>
      </c>
      <c r="DH10">
        <f t="shared" si="2"/>
        <v>0</v>
      </c>
      <c r="DI10">
        <f t="shared" si="3"/>
        <v>0</v>
      </c>
      <c r="DJ10">
        <f>DF10</f>
        <v>353.37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ROW(Source!A34)</f>
        <v>34</v>
      </c>
      <c r="B11">
        <v>60258621</v>
      </c>
      <c r="C11">
        <v>60258750</v>
      </c>
      <c r="D11">
        <v>58999254</v>
      </c>
      <c r="E11">
        <v>1080</v>
      </c>
      <c r="F11">
        <v>1</v>
      </c>
      <c r="G11">
        <v>1080</v>
      </c>
      <c r="H11">
        <v>1</v>
      </c>
      <c r="I11" t="s">
        <v>275</v>
      </c>
      <c r="J11" t="s">
        <v>3</v>
      </c>
      <c r="K11" t="s">
        <v>276</v>
      </c>
      <c r="L11">
        <v>1191</v>
      </c>
      <c r="N11">
        <v>1013</v>
      </c>
      <c r="O11" t="s">
        <v>277</v>
      </c>
      <c r="P11" t="s">
        <v>277</v>
      </c>
      <c r="Q11">
        <v>1</v>
      </c>
      <c r="W11">
        <v>0</v>
      </c>
      <c r="X11">
        <v>476480486</v>
      </c>
      <c r="Y11">
        <f>(AT11*1.1)</f>
        <v>3.4980000000000007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3.18</v>
      </c>
      <c r="AU11" t="s">
        <v>24</v>
      </c>
      <c r="AV11">
        <v>1</v>
      </c>
      <c r="AW11">
        <v>2</v>
      </c>
      <c r="AX11">
        <v>60258986</v>
      </c>
      <c r="AY11">
        <v>1</v>
      </c>
      <c r="AZ11">
        <v>0</v>
      </c>
      <c r="BA11">
        <v>15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ROUND(AT11*Source!I34*AH11*AL11,2)</f>
        <v>0</v>
      </c>
      <c r="CV11">
        <f>ROUND(Y11*Source!I34,9)</f>
        <v>3.4980000000000002</v>
      </c>
      <c r="CW11">
        <v>0</v>
      </c>
      <c r="CX11">
        <f>ROUND(Y11*Source!I34,9)</f>
        <v>3.4980000000000002</v>
      </c>
      <c r="CY11">
        <f>AD11</f>
        <v>0</v>
      </c>
      <c r="CZ11">
        <f>AH11</f>
        <v>0</v>
      </c>
      <c r="DA11">
        <f>AL11</f>
        <v>1</v>
      </c>
      <c r="DB11">
        <f>ROUND((ROUND(AT11*CZ11,2)*1.1),6)</f>
        <v>0</v>
      </c>
      <c r="DC11">
        <f>ROUND((ROUND(AT11*AG11,2)*1.1),6)</f>
        <v>0</v>
      </c>
      <c r="DD11" t="s">
        <v>3</v>
      </c>
      <c r="DE11" t="s">
        <v>3</v>
      </c>
      <c r="DF11">
        <f>ROUND(ROUND(AE11,2)*CX11,2)</f>
        <v>0</v>
      </c>
      <c r="DG11">
        <f t="shared" si="1"/>
        <v>0</v>
      </c>
      <c r="DH11">
        <f t="shared" si="2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ROW(Source!A34)</f>
        <v>34</v>
      </c>
      <c r="B12">
        <v>60258621</v>
      </c>
      <c r="C12">
        <v>60258750</v>
      </c>
      <c r="D12">
        <v>59040743</v>
      </c>
      <c r="E12">
        <v>1</v>
      </c>
      <c r="F12">
        <v>1</v>
      </c>
      <c r="G12">
        <v>1080</v>
      </c>
      <c r="H12">
        <v>3</v>
      </c>
      <c r="I12" t="s">
        <v>293</v>
      </c>
      <c r="J12" t="s">
        <v>294</v>
      </c>
      <c r="K12" t="s">
        <v>295</v>
      </c>
      <c r="L12">
        <v>1346</v>
      </c>
      <c r="N12">
        <v>1009</v>
      </c>
      <c r="O12" t="s">
        <v>289</v>
      </c>
      <c r="P12" t="s">
        <v>289</v>
      </c>
      <c r="Q12">
        <v>1</v>
      </c>
      <c r="W12">
        <v>0</v>
      </c>
      <c r="X12">
        <v>1225168167</v>
      </c>
      <c r="Y12">
        <f>(AT12*1)</f>
        <v>6.2700000000000004E-3</v>
      </c>
      <c r="AA12">
        <v>27.62</v>
      </c>
      <c r="AB12">
        <v>0</v>
      </c>
      <c r="AC12">
        <v>0</v>
      </c>
      <c r="AD12">
        <v>0</v>
      </c>
      <c r="AE12">
        <v>27.62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6.2700000000000004E-3</v>
      </c>
      <c r="AU12" t="s">
        <v>23</v>
      </c>
      <c r="AV12">
        <v>0</v>
      </c>
      <c r="AW12">
        <v>2</v>
      </c>
      <c r="AX12">
        <v>60258987</v>
      </c>
      <c r="AY12">
        <v>1</v>
      </c>
      <c r="AZ12">
        <v>0</v>
      </c>
      <c r="BA12">
        <v>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ROUND(Y12*Source!I34,9)</f>
        <v>6.2700000000000004E-3</v>
      </c>
      <c r="CY12">
        <f>AA12</f>
        <v>27.62</v>
      </c>
      <c r="CZ12">
        <f>AE12</f>
        <v>27.62</v>
      </c>
      <c r="DA12">
        <f>AI12</f>
        <v>1</v>
      </c>
      <c r="DB12">
        <f>ROUND((ROUND(AT12*CZ12,2)*1),6)</f>
        <v>0.17</v>
      </c>
      <c r="DC12">
        <f>ROUND((ROUND(AT12*AG12,2)*1),6)</f>
        <v>0</v>
      </c>
      <c r="DD12" t="s">
        <v>3</v>
      </c>
      <c r="DE12" t="s">
        <v>3</v>
      </c>
      <c r="DF12">
        <f>ROUND(ROUND(AE12,2)*CX12,2)</f>
        <v>0.17</v>
      </c>
      <c r="DG12">
        <f t="shared" si="1"/>
        <v>0</v>
      </c>
      <c r="DH12">
        <f t="shared" si="2"/>
        <v>0</v>
      </c>
      <c r="DI12">
        <f t="shared" si="3"/>
        <v>0</v>
      </c>
      <c r="DJ12">
        <f>DF12</f>
        <v>0.17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ROW(Source!A34)</f>
        <v>34</v>
      </c>
      <c r="B13">
        <v>60258621</v>
      </c>
      <c r="C13">
        <v>60258750</v>
      </c>
      <c r="D13">
        <v>59039462</v>
      </c>
      <c r="E13">
        <v>1</v>
      </c>
      <c r="F13">
        <v>1</v>
      </c>
      <c r="G13">
        <v>1080</v>
      </c>
      <c r="H13">
        <v>3</v>
      </c>
      <c r="I13" t="s">
        <v>278</v>
      </c>
      <c r="J13" t="s">
        <v>279</v>
      </c>
      <c r="K13" t="s">
        <v>280</v>
      </c>
      <c r="L13">
        <v>1348</v>
      </c>
      <c r="N13">
        <v>1009</v>
      </c>
      <c r="O13" t="s">
        <v>281</v>
      </c>
      <c r="P13" t="s">
        <v>281</v>
      </c>
      <c r="Q13">
        <v>1000</v>
      </c>
      <c r="W13">
        <v>0</v>
      </c>
      <c r="X13">
        <v>-1945031955</v>
      </c>
      <c r="Y13">
        <f>(AT13*1)</f>
        <v>1.0000000000000001E-5</v>
      </c>
      <c r="AA13">
        <v>64123.05</v>
      </c>
      <c r="AB13">
        <v>0</v>
      </c>
      <c r="AC13">
        <v>0</v>
      </c>
      <c r="AD13">
        <v>0</v>
      </c>
      <c r="AE13">
        <v>64123.05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1.0000000000000001E-5</v>
      </c>
      <c r="AU13" t="s">
        <v>23</v>
      </c>
      <c r="AV13">
        <v>0</v>
      </c>
      <c r="AW13">
        <v>2</v>
      </c>
      <c r="AX13">
        <v>60258988</v>
      </c>
      <c r="AY13">
        <v>1</v>
      </c>
      <c r="AZ13">
        <v>0</v>
      </c>
      <c r="BA13">
        <v>17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ROUND(Y13*Source!I34,9)</f>
        <v>1.0000000000000001E-5</v>
      </c>
      <c r="CY13">
        <f>AA13</f>
        <v>64123.05</v>
      </c>
      <c r="CZ13">
        <f>AE13</f>
        <v>64123.05</v>
      </c>
      <c r="DA13">
        <f>AI13</f>
        <v>1</v>
      </c>
      <c r="DB13">
        <f>ROUND((ROUND(AT13*CZ13,2)*1),6)</f>
        <v>0.64</v>
      </c>
      <c r="DC13">
        <f>ROUND((ROUND(AT13*AG13,2)*1),6)</f>
        <v>0</v>
      </c>
      <c r="DD13" t="s">
        <v>3</v>
      </c>
      <c r="DE13" t="s">
        <v>3</v>
      </c>
      <c r="DF13">
        <f>ROUND(ROUND(AE13,2)*CX13,2)</f>
        <v>0.64</v>
      </c>
      <c r="DG13">
        <f t="shared" si="1"/>
        <v>0</v>
      </c>
      <c r="DH13">
        <f t="shared" si="2"/>
        <v>0</v>
      </c>
      <c r="DI13">
        <f t="shared" si="3"/>
        <v>0</v>
      </c>
      <c r="DJ13">
        <f>DF13</f>
        <v>0.64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ROW(Source!A34)</f>
        <v>34</v>
      </c>
      <c r="B14">
        <v>60258621</v>
      </c>
      <c r="C14">
        <v>60258750</v>
      </c>
      <c r="D14">
        <v>59049354</v>
      </c>
      <c r="E14">
        <v>1</v>
      </c>
      <c r="F14">
        <v>1</v>
      </c>
      <c r="G14">
        <v>1080</v>
      </c>
      <c r="H14">
        <v>3</v>
      </c>
      <c r="I14" t="s">
        <v>296</v>
      </c>
      <c r="J14" t="s">
        <v>297</v>
      </c>
      <c r="K14" t="s">
        <v>298</v>
      </c>
      <c r="L14">
        <v>1354</v>
      </c>
      <c r="N14">
        <v>1010</v>
      </c>
      <c r="O14" t="s">
        <v>216</v>
      </c>
      <c r="P14" t="s">
        <v>216</v>
      </c>
      <c r="Q14">
        <v>1</v>
      </c>
      <c r="W14">
        <v>0</v>
      </c>
      <c r="X14">
        <v>314181591</v>
      </c>
      <c r="Y14">
        <f>(AT14*1)</f>
        <v>0.1</v>
      </c>
      <c r="AA14">
        <v>15.25</v>
      </c>
      <c r="AB14">
        <v>0</v>
      </c>
      <c r="AC14">
        <v>0</v>
      </c>
      <c r="AD14">
        <v>0</v>
      </c>
      <c r="AE14">
        <v>15.25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0.1</v>
      </c>
      <c r="AU14" t="s">
        <v>23</v>
      </c>
      <c r="AV14">
        <v>0</v>
      </c>
      <c r="AW14">
        <v>2</v>
      </c>
      <c r="AX14">
        <v>60258989</v>
      </c>
      <c r="AY14">
        <v>1</v>
      </c>
      <c r="AZ14">
        <v>0</v>
      </c>
      <c r="BA14">
        <v>18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ROUND(Y14*Source!I34,9)</f>
        <v>0.1</v>
      </c>
      <c r="CY14">
        <f>AA14</f>
        <v>15.25</v>
      </c>
      <c r="CZ14">
        <f>AE14</f>
        <v>15.25</v>
      </c>
      <c r="DA14">
        <f>AI14</f>
        <v>1</v>
      </c>
      <c r="DB14">
        <f>ROUND((ROUND(AT14*CZ14,2)*1),6)</f>
        <v>1.53</v>
      </c>
      <c r="DC14">
        <f>ROUND((ROUND(AT14*AG14,2)*1),6)</f>
        <v>0</v>
      </c>
      <c r="DD14" t="s">
        <v>3</v>
      </c>
      <c r="DE14" t="s">
        <v>3</v>
      </c>
      <c r="DF14">
        <f>ROUND(ROUND(AE14,2)*CX14,2)</f>
        <v>1.53</v>
      </c>
      <c r="DG14">
        <f t="shared" si="1"/>
        <v>0</v>
      </c>
      <c r="DH14">
        <f t="shared" si="2"/>
        <v>0</v>
      </c>
      <c r="DI14">
        <f t="shared" si="3"/>
        <v>0</v>
      </c>
      <c r="DJ14">
        <f>DF14</f>
        <v>1.53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ROW(Source!A35)</f>
        <v>35</v>
      </c>
      <c r="B15">
        <v>60258618</v>
      </c>
      <c r="C15">
        <v>60258750</v>
      </c>
      <c r="D15">
        <v>58999254</v>
      </c>
      <c r="E15">
        <v>1080</v>
      </c>
      <c r="F15">
        <v>1</v>
      </c>
      <c r="G15">
        <v>1080</v>
      </c>
      <c r="H15">
        <v>1</v>
      </c>
      <c r="I15" t="s">
        <v>275</v>
      </c>
      <c r="J15" t="s">
        <v>3</v>
      </c>
      <c r="K15" t="s">
        <v>276</v>
      </c>
      <c r="L15">
        <v>1191</v>
      </c>
      <c r="N15">
        <v>1013</v>
      </c>
      <c r="O15" t="s">
        <v>277</v>
      </c>
      <c r="P15" t="s">
        <v>277</v>
      </c>
      <c r="Q15">
        <v>1</v>
      </c>
      <c r="W15">
        <v>0</v>
      </c>
      <c r="X15">
        <v>476480486</v>
      </c>
      <c r="Y15">
        <f>(AT15*1.1)</f>
        <v>3.4980000000000007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5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3.18</v>
      </c>
      <c r="AU15" t="s">
        <v>24</v>
      </c>
      <c r="AV15">
        <v>1</v>
      </c>
      <c r="AW15">
        <v>2</v>
      </c>
      <c r="AX15">
        <v>60258986</v>
      </c>
      <c r="AY15">
        <v>1</v>
      </c>
      <c r="AZ15">
        <v>0</v>
      </c>
      <c r="BA15">
        <v>20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ROUND(AT15*Source!I35*AH15*AL15,2)</f>
        <v>0</v>
      </c>
      <c r="CV15">
        <f>ROUND(Y15*Source!I35,9)</f>
        <v>3.4980000000000002</v>
      </c>
      <c r="CW15">
        <v>0</v>
      </c>
      <c r="CX15">
        <f>ROUND(Y15*Source!I35,9)</f>
        <v>3.4980000000000002</v>
      </c>
      <c r="CY15">
        <f>AD15</f>
        <v>0</v>
      </c>
      <c r="CZ15">
        <f>AH15</f>
        <v>0</v>
      </c>
      <c r="DA15">
        <f>AL15</f>
        <v>1</v>
      </c>
      <c r="DB15">
        <f>ROUND((ROUND(AT15*CZ15,2)*1.1),6)</f>
        <v>0</v>
      </c>
      <c r="DC15">
        <f>ROUND((ROUND(AT15*AG15,2)*1.1),6)</f>
        <v>0</v>
      </c>
      <c r="DD15" t="s">
        <v>3</v>
      </c>
      <c r="DE15" t="s">
        <v>3</v>
      </c>
      <c r="DF15">
        <f>ROUND(ROUND(AE15,2)*CX15,2)</f>
        <v>0</v>
      </c>
      <c r="DG15">
        <f t="shared" si="1"/>
        <v>0</v>
      </c>
      <c r="DH15">
        <f t="shared" si="2"/>
        <v>0</v>
      </c>
      <c r="DI15">
        <f t="shared" si="3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ROW(Source!A35)</f>
        <v>35</v>
      </c>
      <c r="B16">
        <v>60258618</v>
      </c>
      <c r="C16">
        <v>60258750</v>
      </c>
      <c r="D16">
        <v>59040743</v>
      </c>
      <c r="E16">
        <v>1</v>
      </c>
      <c r="F16">
        <v>1</v>
      </c>
      <c r="G16">
        <v>1080</v>
      </c>
      <c r="H16">
        <v>3</v>
      </c>
      <c r="I16" t="s">
        <v>293</v>
      </c>
      <c r="J16" t="s">
        <v>294</v>
      </c>
      <c r="K16" t="s">
        <v>295</v>
      </c>
      <c r="L16">
        <v>1346</v>
      </c>
      <c r="N16">
        <v>1009</v>
      </c>
      <c r="O16" t="s">
        <v>289</v>
      </c>
      <c r="P16" t="s">
        <v>289</v>
      </c>
      <c r="Q16">
        <v>1</v>
      </c>
      <c r="W16">
        <v>0</v>
      </c>
      <c r="X16">
        <v>1225168167</v>
      </c>
      <c r="Y16">
        <f>(AT16*1)</f>
        <v>6.2700000000000004E-3</v>
      </c>
      <c r="AA16">
        <v>172.35</v>
      </c>
      <c r="AB16">
        <v>0</v>
      </c>
      <c r="AC16">
        <v>0</v>
      </c>
      <c r="AD16">
        <v>0</v>
      </c>
      <c r="AE16">
        <v>27.62</v>
      </c>
      <c r="AF16">
        <v>0</v>
      </c>
      <c r="AG16">
        <v>0</v>
      </c>
      <c r="AH16">
        <v>0</v>
      </c>
      <c r="AI16">
        <v>6.24</v>
      </c>
      <c r="AJ16">
        <v>1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6.2700000000000004E-3</v>
      </c>
      <c r="AU16" t="s">
        <v>23</v>
      </c>
      <c r="AV16">
        <v>0</v>
      </c>
      <c r="AW16">
        <v>2</v>
      </c>
      <c r="AX16">
        <v>60258987</v>
      </c>
      <c r="AY16">
        <v>1</v>
      </c>
      <c r="AZ16">
        <v>0</v>
      </c>
      <c r="BA16">
        <v>21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ROUND(Y16*Source!I35,9)</f>
        <v>6.2700000000000004E-3</v>
      </c>
      <c r="CY16">
        <f>AA16</f>
        <v>172.35</v>
      </c>
      <c r="CZ16">
        <f>AE16</f>
        <v>27.62</v>
      </c>
      <c r="DA16">
        <f>AI16</f>
        <v>6.24</v>
      </c>
      <c r="DB16">
        <f>ROUND((ROUND(AT16*CZ16,2)*1),6)</f>
        <v>0.17</v>
      </c>
      <c r="DC16">
        <f>ROUND((ROUND(AT16*AG16,2)*1),6)</f>
        <v>0</v>
      </c>
      <c r="DD16" t="s">
        <v>3</v>
      </c>
      <c r="DE16" t="s">
        <v>3</v>
      </c>
      <c r="DF16">
        <f>ROUND(ROUND(AE16*AI16,2)*CX16,2)</f>
        <v>1.08</v>
      </c>
      <c r="DG16">
        <f t="shared" si="1"/>
        <v>0</v>
      </c>
      <c r="DH16">
        <f t="shared" si="2"/>
        <v>0</v>
      </c>
      <c r="DI16">
        <f t="shared" si="3"/>
        <v>0</v>
      </c>
      <c r="DJ16">
        <f>DF16</f>
        <v>1.08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ROW(Source!A35)</f>
        <v>35</v>
      </c>
      <c r="B17">
        <v>60258618</v>
      </c>
      <c r="C17">
        <v>60258750</v>
      </c>
      <c r="D17">
        <v>59039462</v>
      </c>
      <c r="E17">
        <v>1</v>
      </c>
      <c r="F17">
        <v>1</v>
      </c>
      <c r="G17">
        <v>1080</v>
      </c>
      <c r="H17">
        <v>3</v>
      </c>
      <c r="I17" t="s">
        <v>278</v>
      </c>
      <c r="J17" t="s">
        <v>279</v>
      </c>
      <c r="K17" t="s">
        <v>280</v>
      </c>
      <c r="L17">
        <v>1348</v>
      </c>
      <c r="N17">
        <v>1009</v>
      </c>
      <c r="O17" t="s">
        <v>281</v>
      </c>
      <c r="P17" t="s">
        <v>281</v>
      </c>
      <c r="Q17">
        <v>1000</v>
      </c>
      <c r="W17">
        <v>0</v>
      </c>
      <c r="X17">
        <v>-1945031955</v>
      </c>
      <c r="Y17">
        <f>(AT17*1)</f>
        <v>1.0000000000000001E-5</v>
      </c>
      <c r="AA17">
        <v>1930103.81</v>
      </c>
      <c r="AB17">
        <v>0</v>
      </c>
      <c r="AC17">
        <v>0</v>
      </c>
      <c r="AD17">
        <v>0</v>
      </c>
      <c r="AE17">
        <v>64123.05</v>
      </c>
      <c r="AF17">
        <v>0</v>
      </c>
      <c r="AG17">
        <v>0</v>
      </c>
      <c r="AH17">
        <v>0</v>
      </c>
      <c r="AI17">
        <v>30.1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1.0000000000000001E-5</v>
      </c>
      <c r="AU17" t="s">
        <v>23</v>
      </c>
      <c r="AV17">
        <v>0</v>
      </c>
      <c r="AW17">
        <v>2</v>
      </c>
      <c r="AX17">
        <v>60258988</v>
      </c>
      <c r="AY17">
        <v>1</v>
      </c>
      <c r="AZ17">
        <v>0</v>
      </c>
      <c r="BA17">
        <v>22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ROUND(Y17*Source!I35,9)</f>
        <v>1.0000000000000001E-5</v>
      </c>
      <c r="CY17">
        <f>AA17</f>
        <v>1930103.81</v>
      </c>
      <c r="CZ17">
        <f>AE17</f>
        <v>64123.05</v>
      </c>
      <c r="DA17">
        <f>AI17</f>
        <v>30.1</v>
      </c>
      <c r="DB17">
        <f>ROUND((ROUND(AT17*CZ17,2)*1),6)</f>
        <v>0.64</v>
      </c>
      <c r="DC17">
        <f>ROUND((ROUND(AT17*AG17,2)*1),6)</f>
        <v>0</v>
      </c>
      <c r="DD17" t="s">
        <v>3</v>
      </c>
      <c r="DE17" t="s">
        <v>3</v>
      </c>
      <c r="DF17">
        <f>ROUND(ROUND(AE17*AI17,2)*CX17,2)</f>
        <v>19.3</v>
      </c>
      <c r="DG17">
        <f t="shared" si="1"/>
        <v>0</v>
      </c>
      <c r="DH17">
        <f t="shared" si="2"/>
        <v>0</v>
      </c>
      <c r="DI17">
        <f t="shared" si="3"/>
        <v>0</v>
      </c>
      <c r="DJ17">
        <f>DF17</f>
        <v>19.3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ROW(Source!A35)</f>
        <v>35</v>
      </c>
      <c r="B18">
        <v>60258618</v>
      </c>
      <c r="C18">
        <v>60258750</v>
      </c>
      <c r="D18">
        <v>59049354</v>
      </c>
      <c r="E18">
        <v>1</v>
      </c>
      <c r="F18">
        <v>1</v>
      </c>
      <c r="G18">
        <v>1080</v>
      </c>
      <c r="H18">
        <v>3</v>
      </c>
      <c r="I18" t="s">
        <v>296</v>
      </c>
      <c r="J18" t="s">
        <v>297</v>
      </c>
      <c r="K18" t="s">
        <v>298</v>
      </c>
      <c r="L18">
        <v>1354</v>
      </c>
      <c r="N18">
        <v>1010</v>
      </c>
      <c r="O18" t="s">
        <v>216</v>
      </c>
      <c r="P18" t="s">
        <v>216</v>
      </c>
      <c r="Q18">
        <v>1</v>
      </c>
      <c r="W18">
        <v>0</v>
      </c>
      <c r="X18">
        <v>314181591</v>
      </c>
      <c r="Y18">
        <f>(AT18*1)</f>
        <v>0.1</v>
      </c>
      <c r="AA18">
        <v>36.14</v>
      </c>
      <c r="AB18">
        <v>0</v>
      </c>
      <c r="AC18">
        <v>0</v>
      </c>
      <c r="AD18">
        <v>0</v>
      </c>
      <c r="AE18">
        <v>15.25</v>
      </c>
      <c r="AF18">
        <v>0</v>
      </c>
      <c r="AG18">
        <v>0</v>
      </c>
      <c r="AH18">
        <v>0</v>
      </c>
      <c r="AI18">
        <v>2.37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0.1</v>
      </c>
      <c r="AU18" t="s">
        <v>23</v>
      </c>
      <c r="AV18">
        <v>0</v>
      </c>
      <c r="AW18">
        <v>2</v>
      </c>
      <c r="AX18">
        <v>60258989</v>
      </c>
      <c r="AY18">
        <v>1</v>
      </c>
      <c r="AZ18">
        <v>0</v>
      </c>
      <c r="BA18">
        <v>23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ROUND(Y18*Source!I35,9)</f>
        <v>0.1</v>
      </c>
      <c r="CY18">
        <f>AA18</f>
        <v>36.14</v>
      </c>
      <c r="CZ18">
        <f>AE18</f>
        <v>15.25</v>
      </c>
      <c r="DA18">
        <f>AI18</f>
        <v>2.37</v>
      </c>
      <c r="DB18">
        <f>ROUND((ROUND(AT18*CZ18,2)*1),6)</f>
        <v>1.53</v>
      </c>
      <c r="DC18">
        <f>ROUND((ROUND(AT18*AG18,2)*1),6)</f>
        <v>0</v>
      </c>
      <c r="DD18" t="s">
        <v>3</v>
      </c>
      <c r="DE18" t="s">
        <v>3</v>
      </c>
      <c r="DF18">
        <f>ROUND(ROUND(AE18*AI18,2)*CX18,2)</f>
        <v>3.61</v>
      </c>
      <c r="DG18">
        <f t="shared" si="1"/>
        <v>0</v>
      </c>
      <c r="DH18">
        <f t="shared" si="2"/>
        <v>0</v>
      </c>
      <c r="DI18">
        <f t="shared" si="3"/>
        <v>0</v>
      </c>
      <c r="DJ18">
        <f>DF18</f>
        <v>3.61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ROW(Source!A38)</f>
        <v>38</v>
      </c>
      <c r="B19">
        <v>60258621</v>
      </c>
      <c r="C19">
        <v>60258761</v>
      </c>
      <c r="D19">
        <v>58999254</v>
      </c>
      <c r="E19">
        <v>1080</v>
      </c>
      <c r="F19">
        <v>1</v>
      </c>
      <c r="G19">
        <v>1080</v>
      </c>
      <c r="H19">
        <v>1</v>
      </c>
      <c r="I19" t="s">
        <v>275</v>
      </c>
      <c r="J19" t="s">
        <v>3</v>
      </c>
      <c r="K19" t="s">
        <v>276</v>
      </c>
      <c r="L19">
        <v>1191</v>
      </c>
      <c r="N19">
        <v>1013</v>
      </c>
      <c r="O19" t="s">
        <v>277</v>
      </c>
      <c r="P19" t="s">
        <v>277</v>
      </c>
      <c r="Q19">
        <v>1</v>
      </c>
      <c r="W19">
        <v>0</v>
      </c>
      <c r="X19">
        <v>476480486</v>
      </c>
      <c r="Y19">
        <f t="shared" ref="Y19:Y27" si="4">(AT19*1.1)</f>
        <v>7.9200000000000008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7.2</v>
      </c>
      <c r="AU19" t="s">
        <v>24</v>
      </c>
      <c r="AV19">
        <v>1</v>
      </c>
      <c r="AW19">
        <v>2</v>
      </c>
      <c r="AX19">
        <v>60258991</v>
      </c>
      <c r="AY19">
        <v>1</v>
      </c>
      <c r="AZ19">
        <v>0</v>
      </c>
      <c r="BA19">
        <v>25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ROUND(AT19*Source!I38*AH19*AL19,2)</f>
        <v>0</v>
      </c>
      <c r="CV19">
        <f>ROUND(Y19*Source!I38,9)</f>
        <v>7.92</v>
      </c>
      <c r="CW19">
        <v>0</v>
      </c>
      <c r="CX19">
        <f>ROUND(Y19*Source!I38,9)</f>
        <v>7.92</v>
      </c>
      <c r="CY19">
        <f t="shared" ref="CY19:CY27" si="5">AD19</f>
        <v>0</v>
      </c>
      <c r="CZ19">
        <f t="shared" ref="CZ19:CZ27" si="6">AH19</f>
        <v>0</v>
      </c>
      <c r="DA19">
        <f t="shared" ref="DA19:DA27" si="7">AL19</f>
        <v>1</v>
      </c>
      <c r="DB19">
        <f t="shared" ref="DB19:DB27" si="8">ROUND((ROUND(AT19*CZ19,2)*1.1),6)</f>
        <v>0</v>
      </c>
      <c r="DC19">
        <f t="shared" ref="DC19:DC27" si="9">ROUND((ROUND(AT19*AG19,2)*1.1),6)</f>
        <v>0</v>
      </c>
      <c r="DD19" t="s">
        <v>3</v>
      </c>
      <c r="DE19" t="s">
        <v>3</v>
      </c>
      <c r="DF19">
        <f t="shared" ref="DF19:DF31" si="10">ROUND(ROUND(AE19,2)*CX19,2)</f>
        <v>0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ref="DJ19:DJ27" si="11"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ROW(Source!A39)</f>
        <v>39</v>
      </c>
      <c r="B20">
        <v>60258618</v>
      </c>
      <c r="C20">
        <v>60258761</v>
      </c>
      <c r="D20">
        <v>58999254</v>
      </c>
      <c r="E20">
        <v>1080</v>
      </c>
      <c r="F20">
        <v>1</v>
      </c>
      <c r="G20">
        <v>1080</v>
      </c>
      <c r="H20">
        <v>1</v>
      </c>
      <c r="I20" t="s">
        <v>275</v>
      </c>
      <c r="J20" t="s">
        <v>3</v>
      </c>
      <c r="K20" t="s">
        <v>276</v>
      </c>
      <c r="L20">
        <v>1191</v>
      </c>
      <c r="N20">
        <v>1013</v>
      </c>
      <c r="O20" t="s">
        <v>277</v>
      </c>
      <c r="P20" t="s">
        <v>277</v>
      </c>
      <c r="Q20">
        <v>1</v>
      </c>
      <c r="W20">
        <v>0</v>
      </c>
      <c r="X20">
        <v>476480486</v>
      </c>
      <c r="Y20">
        <f t="shared" si="4"/>
        <v>7.9200000000000008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7.2</v>
      </c>
      <c r="AU20" t="s">
        <v>24</v>
      </c>
      <c r="AV20">
        <v>1</v>
      </c>
      <c r="AW20">
        <v>2</v>
      </c>
      <c r="AX20">
        <v>60258991</v>
      </c>
      <c r="AY20">
        <v>1</v>
      </c>
      <c r="AZ20">
        <v>0</v>
      </c>
      <c r="BA20">
        <v>26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U20">
        <f>ROUND(AT20*Source!I39*AH20*AL20,2)</f>
        <v>0</v>
      </c>
      <c r="CV20">
        <f>ROUND(Y20*Source!I39,9)</f>
        <v>7.92</v>
      </c>
      <c r="CW20">
        <v>0</v>
      </c>
      <c r="CX20">
        <f>ROUND(Y20*Source!I39,9)</f>
        <v>7.92</v>
      </c>
      <c r="CY20">
        <f t="shared" si="5"/>
        <v>0</v>
      </c>
      <c r="CZ20">
        <f t="shared" si="6"/>
        <v>0</v>
      </c>
      <c r="DA20">
        <f t="shared" si="7"/>
        <v>1</v>
      </c>
      <c r="DB20">
        <f t="shared" si="8"/>
        <v>0</v>
      </c>
      <c r="DC20">
        <f t="shared" si="9"/>
        <v>0</v>
      </c>
      <c r="DD20" t="s">
        <v>3</v>
      </c>
      <c r="DE20" t="s">
        <v>3</v>
      </c>
      <c r="DF20">
        <f t="shared" si="10"/>
        <v>0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11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ROW(Source!A42)</f>
        <v>42</v>
      </c>
      <c r="B21">
        <v>60258621</v>
      </c>
      <c r="C21">
        <v>60258765</v>
      </c>
      <c r="D21">
        <v>58999254</v>
      </c>
      <c r="E21">
        <v>1080</v>
      </c>
      <c r="F21">
        <v>1</v>
      </c>
      <c r="G21">
        <v>1080</v>
      </c>
      <c r="H21">
        <v>1</v>
      </c>
      <c r="I21" t="s">
        <v>275</v>
      </c>
      <c r="J21" t="s">
        <v>3</v>
      </c>
      <c r="K21" t="s">
        <v>276</v>
      </c>
      <c r="L21">
        <v>1191</v>
      </c>
      <c r="N21">
        <v>1013</v>
      </c>
      <c r="O21" t="s">
        <v>277</v>
      </c>
      <c r="P21" t="s">
        <v>277</v>
      </c>
      <c r="Q21">
        <v>1</v>
      </c>
      <c r="W21">
        <v>0</v>
      </c>
      <c r="X21">
        <v>476480486</v>
      </c>
      <c r="Y21">
        <f t="shared" si="4"/>
        <v>1.32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1.2</v>
      </c>
      <c r="AU21" t="s">
        <v>24</v>
      </c>
      <c r="AV21">
        <v>1</v>
      </c>
      <c r="AW21">
        <v>2</v>
      </c>
      <c r="AX21">
        <v>60258992</v>
      </c>
      <c r="AY21">
        <v>1</v>
      </c>
      <c r="AZ21">
        <v>0</v>
      </c>
      <c r="BA21">
        <v>27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ROUND(AT21*Source!I42*AH21*AL21,2)</f>
        <v>0</v>
      </c>
      <c r="CV21">
        <f>ROUND(Y21*Source!I42,9)</f>
        <v>1.32</v>
      </c>
      <c r="CW21">
        <v>0</v>
      </c>
      <c r="CX21">
        <f>ROUND(Y21*Source!I42,9)</f>
        <v>1.32</v>
      </c>
      <c r="CY21">
        <f t="shared" si="5"/>
        <v>0</v>
      </c>
      <c r="CZ21">
        <f t="shared" si="6"/>
        <v>0</v>
      </c>
      <c r="DA21">
        <f t="shared" si="7"/>
        <v>1</v>
      </c>
      <c r="DB21">
        <f t="shared" si="8"/>
        <v>0</v>
      </c>
      <c r="DC21">
        <f t="shared" si="9"/>
        <v>0</v>
      </c>
      <c r="DD21" t="s">
        <v>3</v>
      </c>
      <c r="DE21" t="s">
        <v>3</v>
      </c>
      <c r="DF21">
        <f t="shared" si="10"/>
        <v>0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11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ROW(Source!A43)</f>
        <v>43</v>
      </c>
      <c r="B22">
        <v>60258618</v>
      </c>
      <c r="C22">
        <v>60258765</v>
      </c>
      <c r="D22">
        <v>58999254</v>
      </c>
      <c r="E22">
        <v>1080</v>
      </c>
      <c r="F22">
        <v>1</v>
      </c>
      <c r="G22">
        <v>1080</v>
      </c>
      <c r="H22">
        <v>1</v>
      </c>
      <c r="I22" t="s">
        <v>275</v>
      </c>
      <c r="J22" t="s">
        <v>3</v>
      </c>
      <c r="K22" t="s">
        <v>276</v>
      </c>
      <c r="L22">
        <v>1191</v>
      </c>
      <c r="N22">
        <v>1013</v>
      </c>
      <c r="O22" t="s">
        <v>277</v>
      </c>
      <c r="P22" t="s">
        <v>277</v>
      </c>
      <c r="Q22">
        <v>1</v>
      </c>
      <c r="W22">
        <v>0</v>
      </c>
      <c r="X22">
        <v>476480486</v>
      </c>
      <c r="Y22">
        <f t="shared" si="4"/>
        <v>1.32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5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1.2</v>
      </c>
      <c r="AU22" t="s">
        <v>24</v>
      </c>
      <c r="AV22">
        <v>1</v>
      </c>
      <c r="AW22">
        <v>2</v>
      </c>
      <c r="AX22">
        <v>60258992</v>
      </c>
      <c r="AY22">
        <v>1</v>
      </c>
      <c r="AZ22">
        <v>0</v>
      </c>
      <c r="BA22">
        <v>28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U22">
        <f>ROUND(AT22*Source!I43*AH22*AL22,2)</f>
        <v>0</v>
      </c>
      <c r="CV22">
        <f>ROUND(Y22*Source!I43,9)</f>
        <v>1.32</v>
      </c>
      <c r="CW22">
        <v>0</v>
      </c>
      <c r="CX22">
        <f>ROUND(Y22*Source!I43,9)</f>
        <v>1.32</v>
      </c>
      <c r="CY22">
        <f t="shared" si="5"/>
        <v>0</v>
      </c>
      <c r="CZ22">
        <f t="shared" si="6"/>
        <v>0</v>
      </c>
      <c r="DA22">
        <f t="shared" si="7"/>
        <v>1</v>
      </c>
      <c r="DB22">
        <f t="shared" si="8"/>
        <v>0</v>
      </c>
      <c r="DC22">
        <f t="shared" si="9"/>
        <v>0</v>
      </c>
      <c r="DD22" t="s">
        <v>3</v>
      </c>
      <c r="DE22" t="s">
        <v>3</v>
      </c>
      <c r="DF22">
        <f t="shared" si="10"/>
        <v>0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11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ROW(Source!A46)</f>
        <v>46</v>
      </c>
      <c r="B23">
        <v>60258621</v>
      </c>
      <c r="C23">
        <v>60258769</v>
      </c>
      <c r="D23">
        <v>58999254</v>
      </c>
      <c r="E23">
        <v>1080</v>
      </c>
      <c r="F23">
        <v>1</v>
      </c>
      <c r="G23">
        <v>1080</v>
      </c>
      <c r="H23">
        <v>1</v>
      </c>
      <c r="I23" t="s">
        <v>275</v>
      </c>
      <c r="J23" t="s">
        <v>3</v>
      </c>
      <c r="K23" t="s">
        <v>276</v>
      </c>
      <c r="L23">
        <v>1191</v>
      </c>
      <c r="N23">
        <v>1013</v>
      </c>
      <c r="O23" t="s">
        <v>277</v>
      </c>
      <c r="P23" t="s">
        <v>277</v>
      </c>
      <c r="Q23">
        <v>1</v>
      </c>
      <c r="W23">
        <v>0</v>
      </c>
      <c r="X23">
        <v>476480486</v>
      </c>
      <c r="Y23">
        <f t="shared" si="4"/>
        <v>6.2700000000000005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5.7</v>
      </c>
      <c r="AU23" t="s">
        <v>24</v>
      </c>
      <c r="AV23">
        <v>1</v>
      </c>
      <c r="AW23">
        <v>2</v>
      </c>
      <c r="AX23">
        <v>60258993</v>
      </c>
      <c r="AY23">
        <v>1</v>
      </c>
      <c r="AZ23">
        <v>0</v>
      </c>
      <c r="BA23">
        <v>29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ROUND(AT23*Source!I46*AH23*AL23,2)</f>
        <v>0</v>
      </c>
      <c r="CV23">
        <f>ROUND(Y23*Source!I46,9)</f>
        <v>6.27</v>
      </c>
      <c r="CW23">
        <v>0</v>
      </c>
      <c r="CX23">
        <f>ROUND(Y23*Source!I46,9)</f>
        <v>6.27</v>
      </c>
      <c r="CY23">
        <f t="shared" si="5"/>
        <v>0</v>
      </c>
      <c r="CZ23">
        <f t="shared" si="6"/>
        <v>0</v>
      </c>
      <c r="DA23">
        <f t="shared" si="7"/>
        <v>1</v>
      </c>
      <c r="DB23">
        <f t="shared" si="8"/>
        <v>0</v>
      </c>
      <c r="DC23">
        <f t="shared" si="9"/>
        <v>0</v>
      </c>
      <c r="DD23" t="s">
        <v>3</v>
      </c>
      <c r="DE23" t="s">
        <v>3</v>
      </c>
      <c r="DF23">
        <f t="shared" si="10"/>
        <v>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 t="shared" si="11"/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ROW(Source!A47)</f>
        <v>47</v>
      </c>
      <c r="B24">
        <v>60258618</v>
      </c>
      <c r="C24">
        <v>60258769</v>
      </c>
      <c r="D24">
        <v>58999254</v>
      </c>
      <c r="E24">
        <v>1080</v>
      </c>
      <c r="F24">
        <v>1</v>
      </c>
      <c r="G24">
        <v>1080</v>
      </c>
      <c r="H24">
        <v>1</v>
      </c>
      <c r="I24" t="s">
        <v>275</v>
      </c>
      <c r="J24" t="s">
        <v>3</v>
      </c>
      <c r="K24" t="s">
        <v>276</v>
      </c>
      <c r="L24">
        <v>1191</v>
      </c>
      <c r="N24">
        <v>1013</v>
      </c>
      <c r="O24" t="s">
        <v>277</v>
      </c>
      <c r="P24" t="s">
        <v>277</v>
      </c>
      <c r="Q24">
        <v>1</v>
      </c>
      <c r="W24">
        <v>0</v>
      </c>
      <c r="X24">
        <v>476480486</v>
      </c>
      <c r="Y24">
        <f t="shared" si="4"/>
        <v>6.2700000000000005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5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5.7</v>
      </c>
      <c r="AU24" t="s">
        <v>24</v>
      </c>
      <c r="AV24">
        <v>1</v>
      </c>
      <c r="AW24">
        <v>2</v>
      </c>
      <c r="AX24">
        <v>60258993</v>
      </c>
      <c r="AY24">
        <v>1</v>
      </c>
      <c r="AZ24">
        <v>0</v>
      </c>
      <c r="BA24">
        <v>30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U24">
        <f>ROUND(AT24*Source!I47*AH24*AL24,2)</f>
        <v>0</v>
      </c>
      <c r="CV24">
        <f>ROUND(Y24*Source!I47,9)</f>
        <v>6.27</v>
      </c>
      <c r="CW24">
        <v>0</v>
      </c>
      <c r="CX24">
        <f>ROUND(Y24*Source!I47,9)</f>
        <v>6.27</v>
      </c>
      <c r="CY24">
        <f t="shared" si="5"/>
        <v>0</v>
      </c>
      <c r="CZ24">
        <f t="shared" si="6"/>
        <v>0</v>
      </c>
      <c r="DA24">
        <f t="shared" si="7"/>
        <v>1</v>
      </c>
      <c r="DB24">
        <f t="shared" si="8"/>
        <v>0</v>
      </c>
      <c r="DC24">
        <f t="shared" si="9"/>
        <v>0</v>
      </c>
      <c r="DD24" t="s">
        <v>3</v>
      </c>
      <c r="DE24" t="s">
        <v>3</v>
      </c>
      <c r="DF24">
        <f t="shared" si="10"/>
        <v>0</v>
      </c>
      <c r="DG24">
        <f t="shared" si="1"/>
        <v>0</v>
      </c>
      <c r="DH24">
        <f t="shared" si="2"/>
        <v>0</v>
      </c>
      <c r="DI24">
        <f t="shared" si="3"/>
        <v>0</v>
      </c>
      <c r="DJ24">
        <f t="shared" si="11"/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ROW(Source!A50)</f>
        <v>50</v>
      </c>
      <c r="B25">
        <v>60258621</v>
      </c>
      <c r="C25">
        <v>60258773</v>
      </c>
      <c r="D25">
        <v>58999254</v>
      </c>
      <c r="E25">
        <v>1080</v>
      </c>
      <c r="F25">
        <v>1</v>
      </c>
      <c r="G25">
        <v>1080</v>
      </c>
      <c r="H25">
        <v>1</v>
      </c>
      <c r="I25" t="s">
        <v>275</v>
      </c>
      <c r="J25" t="s">
        <v>3</v>
      </c>
      <c r="K25" t="s">
        <v>276</v>
      </c>
      <c r="L25">
        <v>1191</v>
      </c>
      <c r="N25">
        <v>1013</v>
      </c>
      <c r="O25" t="s">
        <v>277</v>
      </c>
      <c r="P25" t="s">
        <v>277</v>
      </c>
      <c r="Q25">
        <v>1</v>
      </c>
      <c r="W25">
        <v>0</v>
      </c>
      <c r="X25">
        <v>476480486</v>
      </c>
      <c r="Y25">
        <f t="shared" si="4"/>
        <v>3.9600000000000004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3.6</v>
      </c>
      <c r="AU25" t="s">
        <v>24</v>
      </c>
      <c r="AV25">
        <v>1</v>
      </c>
      <c r="AW25">
        <v>2</v>
      </c>
      <c r="AX25">
        <v>60258994</v>
      </c>
      <c r="AY25">
        <v>1</v>
      </c>
      <c r="AZ25">
        <v>0</v>
      </c>
      <c r="BA25">
        <v>31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ROUND(AT25*Source!I50*AH25*AL25,2)</f>
        <v>0</v>
      </c>
      <c r="CV25">
        <f>ROUND(Y25*Source!I50,9)</f>
        <v>3.96</v>
      </c>
      <c r="CW25">
        <v>0</v>
      </c>
      <c r="CX25">
        <f>ROUND(Y25*Source!I50,9)</f>
        <v>3.96</v>
      </c>
      <c r="CY25">
        <f t="shared" si="5"/>
        <v>0</v>
      </c>
      <c r="CZ25">
        <f t="shared" si="6"/>
        <v>0</v>
      </c>
      <c r="DA25">
        <f t="shared" si="7"/>
        <v>1</v>
      </c>
      <c r="DB25">
        <f t="shared" si="8"/>
        <v>0</v>
      </c>
      <c r="DC25">
        <f t="shared" si="9"/>
        <v>0</v>
      </c>
      <c r="DD25" t="s">
        <v>3</v>
      </c>
      <c r="DE25" t="s">
        <v>3</v>
      </c>
      <c r="DF25">
        <f t="shared" si="10"/>
        <v>0</v>
      </c>
      <c r="DG25">
        <f t="shared" si="1"/>
        <v>0</v>
      </c>
      <c r="DH25">
        <f t="shared" si="2"/>
        <v>0</v>
      </c>
      <c r="DI25">
        <f t="shared" si="3"/>
        <v>0</v>
      </c>
      <c r="DJ25">
        <f t="shared" si="11"/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ROW(Source!A51)</f>
        <v>51</v>
      </c>
      <c r="B26">
        <v>60258618</v>
      </c>
      <c r="C26">
        <v>60258773</v>
      </c>
      <c r="D26">
        <v>58999254</v>
      </c>
      <c r="E26">
        <v>1080</v>
      </c>
      <c r="F26">
        <v>1</v>
      </c>
      <c r="G26">
        <v>1080</v>
      </c>
      <c r="H26">
        <v>1</v>
      </c>
      <c r="I26" t="s">
        <v>275</v>
      </c>
      <c r="J26" t="s">
        <v>3</v>
      </c>
      <c r="K26" t="s">
        <v>276</v>
      </c>
      <c r="L26">
        <v>1191</v>
      </c>
      <c r="N26">
        <v>1013</v>
      </c>
      <c r="O26" t="s">
        <v>277</v>
      </c>
      <c r="P26" t="s">
        <v>277</v>
      </c>
      <c r="Q26">
        <v>1</v>
      </c>
      <c r="W26">
        <v>0</v>
      </c>
      <c r="X26">
        <v>476480486</v>
      </c>
      <c r="Y26">
        <f t="shared" si="4"/>
        <v>3.9600000000000004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5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3.6</v>
      </c>
      <c r="AU26" t="s">
        <v>24</v>
      </c>
      <c r="AV26">
        <v>1</v>
      </c>
      <c r="AW26">
        <v>2</v>
      </c>
      <c r="AX26">
        <v>60258994</v>
      </c>
      <c r="AY26">
        <v>1</v>
      </c>
      <c r="AZ26">
        <v>0</v>
      </c>
      <c r="BA26">
        <v>32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ROUND(AT26*Source!I51*AH26*AL26,2)</f>
        <v>0</v>
      </c>
      <c r="CV26">
        <f>ROUND(Y26*Source!I51,9)</f>
        <v>3.96</v>
      </c>
      <c r="CW26">
        <v>0</v>
      </c>
      <c r="CX26">
        <f>ROUND(Y26*Source!I51,9)</f>
        <v>3.96</v>
      </c>
      <c r="CY26">
        <f t="shared" si="5"/>
        <v>0</v>
      </c>
      <c r="CZ26">
        <f t="shared" si="6"/>
        <v>0</v>
      </c>
      <c r="DA26">
        <f t="shared" si="7"/>
        <v>1</v>
      </c>
      <c r="DB26">
        <f t="shared" si="8"/>
        <v>0</v>
      </c>
      <c r="DC26">
        <f t="shared" si="9"/>
        <v>0</v>
      </c>
      <c r="DD26" t="s">
        <v>3</v>
      </c>
      <c r="DE26" t="s">
        <v>3</v>
      </c>
      <c r="DF26">
        <f t="shared" si="10"/>
        <v>0</v>
      </c>
      <c r="DG26">
        <f t="shared" si="1"/>
        <v>0</v>
      </c>
      <c r="DH26">
        <f t="shared" si="2"/>
        <v>0</v>
      </c>
      <c r="DI26">
        <f t="shared" si="3"/>
        <v>0</v>
      </c>
      <c r="DJ26">
        <f t="shared" si="11"/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ROW(Source!A54)</f>
        <v>54</v>
      </c>
      <c r="B27">
        <v>60258621</v>
      </c>
      <c r="C27">
        <v>60258777</v>
      </c>
      <c r="D27">
        <v>58999254</v>
      </c>
      <c r="E27">
        <v>1080</v>
      </c>
      <c r="F27">
        <v>1</v>
      </c>
      <c r="G27">
        <v>1080</v>
      </c>
      <c r="H27">
        <v>1</v>
      </c>
      <c r="I27" t="s">
        <v>275</v>
      </c>
      <c r="J27" t="s">
        <v>3</v>
      </c>
      <c r="K27" t="s">
        <v>276</v>
      </c>
      <c r="L27">
        <v>1191</v>
      </c>
      <c r="N27">
        <v>1013</v>
      </c>
      <c r="O27" t="s">
        <v>277</v>
      </c>
      <c r="P27" t="s">
        <v>277</v>
      </c>
      <c r="Q27">
        <v>1</v>
      </c>
      <c r="W27">
        <v>0</v>
      </c>
      <c r="X27">
        <v>476480486</v>
      </c>
      <c r="Y27">
        <f t="shared" si="4"/>
        <v>3.4980000000000007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3.18</v>
      </c>
      <c r="AU27" t="s">
        <v>24</v>
      </c>
      <c r="AV27">
        <v>1</v>
      </c>
      <c r="AW27">
        <v>2</v>
      </c>
      <c r="AX27">
        <v>60258995</v>
      </c>
      <c r="AY27">
        <v>1</v>
      </c>
      <c r="AZ27">
        <v>0</v>
      </c>
      <c r="BA27">
        <v>33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ROUND(AT27*Source!I54*AH27*AL27,2)</f>
        <v>0</v>
      </c>
      <c r="CV27">
        <f>ROUND(Y27*Source!I54,9)</f>
        <v>10.494</v>
      </c>
      <c r="CW27">
        <v>0</v>
      </c>
      <c r="CX27">
        <f>ROUND(Y27*Source!I54,9)</f>
        <v>10.494</v>
      </c>
      <c r="CY27">
        <f t="shared" si="5"/>
        <v>0</v>
      </c>
      <c r="CZ27">
        <f t="shared" si="6"/>
        <v>0</v>
      </c>
      <c r="DA27">
        <f t="shared" si="7"/>
        <v>1</v>
      </c>
      <c r="DB27">
        <f t="shared" si="8"/>
        <v>0</v>
      </c>
      <c r="DC27">
        <f t="shared" si="9"/>
        <v>0</v>
      </c>
      <c r="DD27" t="s">
        <v>3</v>
      </c>
      <c r="DE27" t="s">
        <v>3</v>
      </c>
      <c r="DF27">
        <f t="shared" si="10"/>
        <v>0</v>
      </c>
      <c r="DG27">
        <f t="shared" si="1"/>
        <v>0</v>
      </c>
      <c r="DH27">
        <f t="shared" si="2"/>
        <v>0</v>
      </c>
      <c r="DI27">
        <f t="shared" si="3"/>
        <v>0</v>
      </c>
      <c r="DJ27">
        <f t="shared" si="11"/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ROW(Source!A54)</f>
        <v>54</v>
      </c>
      <c r="B28">
        <v>60258621</v>
      </c>
      <c r="C28">
        <v>60258777</v>
      </c>
      <c r="D28">
        <v>59040743</v>
      </c>
      <c r="E28">
        <v>1</v>
      </c>
      <c r="F28">
        <v>1</v>
      </c>
      <c r="G28">
        <v>1080</v>
      </c>
      <c r="H28">
        <v>3</v>
      </c>
      <c r="I28" t="s">
        <v>293</v>
      </c>
      <c r="J28" t="s">
        <v>294</v>
      </c>
      <c r="K28" t="s">
        <v>295</v>
      </c>
      <c r="L28">
        <v>1346</v>
      </c>
      <c r="N28">
        <v>1009</v>
      </c>
      <c r="O28" t="s">
        <v>289</v>
      </c>
      <c r="P28" t="s">
        <v>289</v>
      </c>
      <c r="Q28">
        <v>1</v>
      </c>
      <c r="W28">
        <v>0</v>
      </c>
      <c r="X28">
        <v>1225168167</v>
      </c>
      <c r="Y28">
        <f>(AT28*1)</f>
        <v>6.2700000000000004E-3</v>
      </c>
      <c r="AA28">
        <v>27.62</v>
      </c>
      <c r="AB28">
        <v>0</v>
      </c>
      <c r="AC28">
        <v>0</v>
      </c>
      <c r="AD28">
        <v>0</v>
      </c>
      <c r="AE28">
        <v>27.62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6.2700000000000004E-3</v>
      </c>
      <c r="AU28" t="s">
        <v>23</v>
      </c>
      <c r="AV28">
        <v>0</v>
      </c>
      <c r="AW28">
        <v>2</v>
      </c>
      <c r="AX28">
        <v>60258996</v>
      </c>
      <c r="AY28">
        <v>1</v>
      </c>
      <c r="AZ28">
        <v>0</v>
      </c>
      <c r="BA28">
        <v>34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ROUND(Y28*Source!I54,9)</f>
        <v>1.881E-2</v>
      </c>
      <c r="CY28">
        <f>AA28</f>
        <v>27.62</v>
      </c>
      <c r="CZ28">
        <f>AE28</f>
        <v>27.62</v>
      </c>
      <c r="DA28">
        <f>AI28</f>
        <v>1</v>
      </c>
      <c r="DB28">
        <f>ROUND((ROUND(AT28*CZ28,2)*1),6)</f>
        <v>0.17</v>
      </c>
      <c r="DC28">
        <f>ROUND((ROUND(AT28*AG28,2)*1),6)</f>
        <v>0</v>
      </c>
      <c r="DD28" t="s">
        <v>3</v>
      </c>
      <c r="DE28" t="s">
        <v>3</v>
      </c>
      <c r="DF28">
        <f t="shared" si="10"/>
        <v>0.52</v>
      </c>
      <c r="DG28">
        <f t="shared" si="1"/>
        <v>0</v>
      </c>
      <c r="DH28">
        <f t="shared" si="2"/>
        <v>0</v>
      </c>
      <c r="DI28">
        <f t="shared" si="3"/>
        <v>0</v>
      </c>
      <c r="DJ28">
        <f>DF28</f>
        <v>0.52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ROW(Source!A54)</f>
        <v>54</v>
      </c>
      <c r="B29">
        <v>60258621</v>
      </c>
      <c r="C29">
        <v>60258777</v>
      </c>
      <c r="D29">
        <v>59039462</v>
      </c>
      <c r="E29">
        <v>1</v>
      </c>
      <c r="F29">
        <v>1</v>
      </c>
      <c r="G29">
        <v>1080</v>
      </c>
      <c r="H29">
        <v>3</v>
      </c>
      <c r="I29" t="s">
        <v>278</v>
      </c>
      <c r="J29" t="s">
        <v>279</v>
      </c>
      <c r="K29" t="s">
        <v>280</v>
      </c>
      <c r="L29">
        <v>1348</v>
      </c>
      <c r="N29">
        <v>1009</v>
      </c>
      <c r="O29" t="s">
        <v>281</v>
      </c>
      <c r="P29" t="s">
        <v>281</v>
      </c>
      <c r="Q29">
        <v>1000</v>
      </c>
      <c r="W29">
        <v>0</v>
      </c>
      <c r="X29">
        <v>-1945031955</v>
      </c>
      <c r="Y29">
        <f>(AT29*1)</f>
        <v>1.0000000000000001E-5</v>
      </c>
      <c r="AA29">
        <v>64123.05</v>
      </c>
      <c r="AB29">
        <v>0</v>
      </c>
      <c r="AC29">
        <v>0</v>
      </c>
      <c r="AD29">
        <v>0</v>
      </c>
      <c r="AE29">
        <v>64123.05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1.0000000000000001E-5</v>
      </c>
      <c r="AU29" t="s">
        <v>23</v>
      </c>
      <c r="AV29">
        <v>0</v>
      </c>
      <c r="AW29">
        <v>2</v>
      </c>
      <c r="AX29">
        <v>60258997</v>
      </c>
      <c r="AY29">
        <v>1</v>
      </c>
      <c r="AZ29">
        <v>0</v>
      </c>
      <c r="BA29">
        <v>35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ROUND(Y29*Source!I54,9)</f>
        <v>3.0000000000000001E-5</v>
      </c>
      <c r="CY29">
        <f>AA29</f>
        <v>64123.05</v>
      </c>
      <c r="CZ29">
        <f>AE29</f>
        <v>64123.05</v>
      </c>
      <c r="DA29">
        <f>AI29</f>
        <v>1</v>
      </c>
      <c r="DB29">
        <f>ROUND((ROUND(AT29*CZ29,2)*1),6)</f>
        <v>0.64</v>
      </c>
      <c r="DC29">
        <f>ROUND((ROUND(AT29*AG29,2)*1),6)</f>
        <v>0</v>
      </c>
      <c r="DD29" t="s">
        <v>3</v>
      </c>
      <c r="DE29" t="s">
        <v>3</v>
      </c>
      <c r="DF29">
        <f t="shared" si="10"/>
        <v>1.92</v>
      </c>
      <c r="DG29">
        <f t="shared" si="1"/>
        <v>0</v>
      </c>
      <c r="DH29">
        <f t="shared" si="2"/>
        <v>0</v>
      </c>
      <c r="DI29">
        <f t="shared" si="3"/>
        <v>0</v>
      </c>
      <c r="DJ29">
        <f>DF29</f>
        <v>1.92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ROW(Source!A54)</f>
        <v>54</v>
      </c>
      <c r="B30">
        <v>60258621</v>
      </c>
      <c r="C30">
        <v>60258777</v>
      </c>
      <c r="D30">
        <v>59049354</v>
      </c>
      <c r="E30">
        <v>1</v>
      </c>
      <c r="F30">
        <v>1</v>
      </c>
      <c r="G30">
        <v>1080</v>
      </c>
      <c r="H30">
        <v>3</v>
      </c>
      <c r="I30" t="s">
        <v>296</v>
      </c>
      <c r="J30" t="s">
        <v>297</v>
      </c>
      <c r="K30" t="s">
        <v>298</v>
      </c>
      <c r="L30">
        <v>1354</v>
      </c>
      <c r="N30">
        <v>1010</v>
      </c>
      <c r="O30" t="s">
        <v>216</v>
      </c>
      <c r="P30" t="s">
        <v>216</v>
      </c>
      <c r="Q30">
        <v>1</v>
      </c>
      <c r="W30">
        <v>0</v>
      </c>
      <c r="X30">
        <v>314181591</v>
      </c>
      <c r="Y30">
        <f>(AT30*1)</f>
        <v>0.1</v>
      </c>
      <c r="AA30">
        <v>15.25</v>
      </c>
      <c r="AB30">
        <v>0</v>
      </c>
      <c r="AC30">
        <v>0</v>
      </c>
      <c r="AD30">
        <v>0</v>
      </c>
      <c r="AE30">
        <v>15.25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0.1</v>
      </c>
      <c r="AU30" t="s">
        <v>23</v>
      </c>
      <c r="AV30">
        <v>0</v>
      </c>
      <c r="AW30">
        <v>2</v>
      </c>
      <c r="AX30">
        <v>60258998</v>
      </c>
      <c r="AY30">
        <v>1</v>
      </c>
      <c r="AZ30">
        <v>0</v>
      </c>
      <c r="BA30">
        <v>36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ROUND(Y30*Source!I54,9)</f>
        <v>0.3</v>
      </c>
      <c r="CY30">
        <f>AA30</f>
        <v>15.25</v>
      </c>
      <c r="CZ30">
        <f>AE30</f>
        <v>15.25</v>
      </c>
      <c r="DA30">
        <f>AI30</f>
        <v>1</v>
      </c>
      <c r="DB30">
        <f>ROUND((ROUND(AT30*CZ30,2)*1),6)</f>
        <v>1.53</v>
      </c>
      <c r="DC30">
        <f>ROUND((ROUND(AT30*AG30,2)*1),6)</f>
        <v>0</v>
      </c>
      <c r="DD30" t="s">
        <v>3</v>
      </c>
      <c r="DE30" t="s">
        <v>3</v>
      </c>
      <c r="DF30">
        <f t="shared" si="10"/>
        <v>4.58</v>
      </c>
      <c r="DG30">
        <f t="shared" si="1"/>
        <v>0</v>
      </c>
      <c r="DH30">
        <f t="shared" si="2"/>
        <v>0</v>
      </c>
      <c r="DI30">
        <f t="shared" si="3"/>
        <v>0</v>
      </c>
      <c r="DJ30">
        <f>DF30</f>
        <v>4.58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ROW(Source!A55)</f>
        <v>55</v>
      </c>
      <c r="B31">
        <v>60258618</v>
      </c>
      <c r="C31">
        <v>60258777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275</v>
      </c>
      <c r="J31" t="s">
        <v>3</v>
      </c>
      <c r="K31" t="s">
        <v>276</v>
      </c>
      <c r="L31">
        <v>1191</v>
      </c>
      <c r="N31">
        <v>1013</v>
      </c>
      <c r="O31" t="s">
        <v>277</v>
      </c>
      <c r="P31" t="s">
        <v>277</v>
      </c>
      <c r="Q31">
        <v>1</v>
      </c>
      <c r="W31">
        <v>0</v>
      </c>
      <c r="X31">
        <v>476480486</v>
      </c>
      <c r="Y31">
        <f>(AT31*1.1)</f>
        <v>3.4980000000000007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5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3.18</v>
      </c>
      <c r="AU31" t="s">
        <v>24</v>
      </c>
      <c r="AV31">
        <v>1</v>
      </c>
      <c r="AW31">
        <v>2</v>
      </c>
      <c r="AX31">
        <v>60258995</v>
      </c>
      <c r="AY31">
        <v>1</v>
      </c>
      <c r="AZ31">
        <v>0</v>
      </c>
      <c r="BA31">
        <v>38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ROUND(AT31*Source!I55*AH31*AL31,2)</f>
        <v>0</v>
      </c>
      <c r="CV31">
        <f>ROUND(Y31*Source!I55,9)</f>
        <v>10.494</v>
      </c>
      <c r="CW31">
        <v>0</v>
      </c>
      <c r="CX31">
        <f>ROUND(Y31*Source!I55,9)</f>
        <v>10.494</v>
      </c>
      <c r="CY31">
        <f>AD31</f>
        <v>0</v>
      </c>
      <c r="CZ31">
        <f>AH31</f>
        <v>0</v>
      </c>
      <c r="DA31">
        <f>AL31</f>
        <v>1</v>
      </c>
      <c r="DB31">
        <f>ROUND((ROUND(AT31*CZ31,2)*1.1),6)</f>
        <v>0</v>
      </c>
      <c r="DC31">
        <f>ROUND((ROUND(AT31*AG31,2)*1.1),6)</f>
        <v>0</v>
      </c>
      <c r="DD31" t="s">
        <v>3</v>
      </c>
      <c r="DE31" t="s">
        <v>3</v>
      </c>
      <c r="DF31">
        <f t="shared" si="10"/>
        <v>0</v>
      </c>
      <c r="DG31">
        <f t="shared" si="1"/>
        <v>0</v>
      </c>
      <c r="DH31">
        <f t="shared" si="2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ROW(Source!A55)</f>
        <v>55</v>
      </c>
      <c r="B32">
        <v>60258618</v>
      </c>
      <c r="C32">
        <v>60258777</v>
      </c>
      <c r="D32">
        <v>59040743</v>
      </c>
      <c r="E32">
        <v>1</v>
      </c>
      <c r="F32">
        <v>1</v>
      </c>
      <c r="G32">
        <v>1080</v>
      </c>
      <c r="H32">
        <v>3</v>
      </c>
      <c r="I32" t="s">
        <v>293</v>
      </c>
      <c r="J32" t="s">
        <v>294</v>
      </c>
      <c r="K32" t="s">
        <v>295</v>
      </c>
      <c r="L32">
        <v>1346</v>
      </c>
      <c r="N32">
        <v>1009</v>
      </c>
      <c r="O32" t="s">
        <v>289</v>
      </c>
      <c r="P32" t="s">
        <v>289</v>
      </c>
      <c r="Q32">
        <v>1</v>
      </c>
      <c r="W32">
        <v>0</v>
      </c>
      <c r="X32">
        <v>1225168167</v>
      </c>
      <c r="Y32">
        <f>(AT32*1)</f>
        <v>6.2700000000000004E-3</v>
      </c>
      <c r="AA32">
        <v>172.35</v>
      </c>
      <c r="AB32">
        <v>0</v>
      </c>
      <c r="AC32">
        <v>0</v>
      </c>
      <c r="AD32">
        <v>0</v>
      </c>
      <c r="AE32">
        <v>27.62</v>
      </c>
      <c r="AF32">
        <v>0</v>
      </c>
      <c r="AG32">
        <v>0</v>
      </c>
      <c r="AH32">
        <v>0</v>
      </c>
      <c r="AI32">
        <v>6.24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6.2700000000000004E-3</v>
      </c>
      <c r="AU32" t="s">
        <v>23</v>
      </c>
      <c r="AV32">
        <v>0</v>
      </c>
      <c r="AW32">
        <v>2</v>
      </c>
      <c r="AX32">
        <v>60258996</v>
      </c>
      <c r="AY32">
        <v>1</v>
      </c>
      <c r="AZ32">
        <v>0</v>
      </c>
      <c r="BA32">
        <v>39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ROUND(Y32*Source!I55,9)</f>
        <v>1.881E-2</v>
      </c>
      <c r="CY32">
        <f>AA32</f>
        <v>172.35</v>
      </c>
      <c r="CZ32">
        <f>AE32</f>
        <v>27.62</v>
      </c>
      <c r="DA32">
        <f>AI32</f>
        <v>6.24</v>
      </c>
      <c r="DB32">
        <f>ROUND((ROUND(AT32*CZ32,2)*1),6)</f>
        <v>0.17</v>
      </c>
      <c r="DC32">
        <f>ROUND((ROUND(AT32*AG32,2)*1),6)</f>
        <v>0</v>
      </c>
      <c r="DD32" t="s">
        <v>3</v>
      </c>
      <c r="DE32" t="s">
        <v>3</v>
      </c>
      <c r="DF32">
        <f>ROUND(ROUND(AE32*AI32,2)*CX32,2)</f>
        <v>3.24</v>
      </c>
      <c r="DG32">
        <f t="shared" si="1"/>
        <v>0</v>
      </c>
      <c r="DH32">
        <f t="shared" si="2"/>
        <v>0</v>
      </c>
      <c r="DI32">
        <f t="shared" si="3"/>
        <v>0</v>
      </c>
      <c r="DJ32">
        <f>DF32</f>
        <v>3.24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ROW(Source!A55)</f>
        <v>55</v>
      </c>
      <c r="B33">
        <v>60258618</v>
      </c>
      <c r="C33">
        <v>60258777</v>
      </c>
      <c r="D33">
        <v>59039462</v>
      </c>
      <c r="E33">
        <v>1</v>
      </c>
      <c r="F33">
        <v>1</v>
      </c>
      <c r="G33">
        <v>1080</v>
      </c>
      <c r="H33">
        <v>3</v>
      </c>
      <c r="I33" t="s">
        <v>278</v>
      </c>
      <c r="J33" t="s">
        <v>279</v>
      </c>
      <c r="K33" t="s">
        <v>280</v>
      </c>
      <c r="L33">
        <v>1348</v>
      </c>
      <c r="N33">
        <v>1009</v>
      </c>
      <c r="O33" t="s">
        <v>281</v>
      </c>
      <c r="P33" t="s">
        <v>281</v>
      </c>
      <c r="Q33">
        <v>1000</v>
      </c>
      <c r="W33">
        <v>0</v>
      </c>
      <c r="X33">
        <v>-1945031955</v>
      </c>
      <c r="Y33">
        <f>(AT33*1)</f>
        <v>1.0000000000000001E-5</v>
      </c>
      <c r="AA33">
        <v>1930103.81</v>
      </c>
      <c r="AB33">
        <v>0</v>
      </c>
      <c r="AC33">
        <v>0</v>
      </c>
      <c r="AD33">
        <v>0</v>
      </c>
      <c r="AE33">
        <v>64123.05</v>
      </c>
      <c r="AF33">
        <v>0</v>
      </c>
      <c r="AG33">
        <v>0</v>
      </c>
      <c r="AH33">
        <v>0</v>
      </c>
      <c r="AI33">
        <v>30.1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1.0000000000000001E-5</v>
      </c>
      <c r="AU33" t="s">
        <v>23</v>
      </c>
      <c r="AV33">
        <v>0</v>
      </c>
      <c r="AW33">
        <v>2</v>
      </c>
      <c r="AX33">
        <v>60258997</v>
      </c>
      <c r="AY33">
        <v>1</v>
      </c>
      <c r="AZ33">
        <v>0</v>
      </c>
      <c r="BA33">
        <v>40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ROUND(Y33*Source!I55,9)</f>
        <v>3.0000000000000001E-5</v>
      </c>
      <c r="CY33">
        <f>AA33</f>
        <v>1930103.81</v>
      </c>
      <c r="CZ33">
        <f>AE33</f>
        <v>64123.05</v>
      </c>
      <c r="DA33">
        <f>AI33</f>
        <v>30.1</v>
      </c>
      <c r="DB33">
        <f>ROUND((ROUND(AT33*CZ33,2)*1),6)</f>
        <v>0.64</v>
      </c>
      <c r="DC33">
        <f>ROUND((ROUND(AT33*AG33,2)*1),6)</f>
        <v>0</v>
      </c>
      <c r="DD33" t="s">
        <v>3</v>
      </c>
      <c r="DE33" t="s">
        <v>3</v>
      </c>
      <c r="DF33">
        <f>ROUND(ROUND(AE33*AI33,2)*CX33,2)</f>
        <v>57.9</v>
      </c>
      <c r="DG33">
        <f t="shared" ref="DG33:DG57" si="12">ROUND(ROUND(AF33,2)*CX33,2)</f>
        <v>0</v>
      </c>
      <c r="DH33">
        <f t="shared" ref="DH33:DH57" si="13">ROUND(ROUND(AG33,2)*CX33,2)</f>
        <v>0</v>
      </c>
      <c r="DI33">
        <f t="shared" ref="DI33:DI64" si="14">ROUND(ROUND(AH33,2)*CX33,2)</f>
        <v>0</v>
      </c>
      <c r="DJ33">
        <f>DF33</f>
        <v>57.9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ROW(Source!A55)</f>
        <v>55</v>
      </c>
      <c r="B34">
        <v>60258618</v>
      </c>
      <c r="C34">
        <v>60258777</v>
      </c>
      <c r="D34">
        <v>59049354</v>
      </c>
      <c r="E34">
        <v>1</v>
      </c>
      <c r="F34">
        <v>1</v>
      </c>
      <c r="G34">
        <v>1080</v>
      </c>
      <c r="H34">
        <v>3</v>
      </c>
      <c r="I34" t="s">
        <v>296</v>
      </c>
      <c r="J34" t="s">
        <v>297</v>
      </c>
      <c r="K34" t="s">
        <v>298</v>
      </c>
      <c r="L34">
        <v>1354</v>
      </c>
      <c r="N34">
        <v>1010</v>
      </c>
      <c r="O34" t="s">
        <v>216</v>
      </c>
      <c r="P34" t="s">
        <v>216</v>
      </c>
      <c r="Q34">
        <v>1</v>
      </c>
      <c r="W34">
        <v>0</v>
      </c>
      <c r="X34">
        <v>314181591</v>
      </c>
      <c r="Y34">
        <f>(AT34*1)</f>
        <v>0.1</v>
      </c>
      <c r="AA34">
        <v>36.14</v>
      </c>
      <c r="AB34">
        <v>0</v>
      </c>
      <c r="AC34">
        <v>0</v>
      </c>
      <c r="AD34">
        <v>0</v>
      </c>
      <c r="AE34">
        <v>15.25</v>
      </c>
      <c r="AF34">
        <v>0</v>
      </c>
      <c r="AG34">
        <v>0</v>
      </c>
      <c r="AH34">
        <v>0</v>
      </c>
      <c r="AI34">
        <v>2.37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0.1</v>
      </c>
      <c r="AU34" t="s">
        <v>23</v>
      </c>
      <c r="AV34">
        <v>0</v>
      </c>
      <c r="AW34">
        <v>2</v>
      </c>
      <c r="AX34">
        <v>60258998</v>
      </c>
      <c r="AY34">
        <v>1</v>
      </c>
      <c r="AZ34">
        <v>0</v>
      </c>
      <c r="BA34">
        <v>41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ROUND(Y34*Source!I55,9)</f>
        <v>0.3</v>
      </c>
      <c r="CY34">
        <f>AA34</f>
        <v>36.14</v>
      </c>
      <c r="CZ34">
        <f>AE34</f>
        <v>15.25</v>
      </c>
      <c r="DA34">
        <f>AI34</f>
        <v>2.37</v>
      </c>
      <c r="DB34">
        <f>ROUND((ROUND(AT34*CZ34,2)*1),6)</f>
        <v>1.53</v>
      </c>
      <c r="DC34">
        <f>ROUND((ROUND(AT34*AG34,2)*1),6)</f>
        <v>0</v>
      </c>
      <c r="DD34" t="s">
        <v>3</v>
      </c>
      <c r="DE34" t="s">
        <v>3</v>
      </c>
      <c r="DF34">
        <f>ROUND(ROUND(AE34*AI34,2)*CX34,2)</f>
        <v>10.84</v>
      </c>
      <c r="DG34">
        <f t="shared" si="12"/>
        <v>0</v>
      </c>
      <c r="DH34">
        <f t="shared" si="13"/>
        <v>0</v>
      </c>
      <c r="DI34">
        <f t="shared" si="14"/>
        <v>0</v>
      </c>
      <c r="DJ34">
        <f>DF34</f>
        <v>10.84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ROW(Source!A60)</f>
        <v>60</v>
      </c>
      <c r="B35">
        <v>60258621</v>
      </c>
      <c r="C35">
        <v>60258789</v>
      </c>
      <c r="D35">
        <v>58999254</v>
      </c>
      <c r="E35">
        <v>1080</v>
      </c>
      <c r="F35">
        <v>1</v>
      </c>
      <c r="G35">
        <v>1080</v>
      </c>
      <c r="H35">
        <v>1</v>
      </c>
      <c r="I35" t="s">
        <v>275</v>
      </c>
      <c r="J35" t="s">
        <v>3</v>
      </c>
      <c r="K35" t="s">
        <v>276</v>
      </c>
      <c r="L35">
        <v>1191</v>
      </c>
      <c r="N35">
        <v>1013</v>
      </c>
      <c r="O35" t="s">
        <v>277</v>
      </c>
      <c r="P35" t="s">
        <v>277</v>
      </c>
      <c r="Q35">
        <v>1</v>
      </c>
      <c r="W35">
        <v>0</v>
      </c>
      <c r="X35">
        <v>476480486</v>
      </c>
      <c r="Y35">
        <f t="shared" ref="Y35:Y47" si="15">(AT35*1.1)</f>
        <v>1.32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1.2</v>
      </c>
      <c r="AU35" t="s">
        <v>24</v>
      </c>
      <c r="AV35">
        <v>1</v>
      </c>
      <c r="AW35">
        <v>2</v>
      </c>
      <c r="AX35">
        <v>60259000</v>
      </c>
      <c r="AY35">
        <v>1</v>
      </c>
      <c r="AZ35">
        <v>0</v>
      </c>
      <c r="BA35">
        <v>43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ROUND(AT35*Source!I60*AH35*AL35,2)</f>
        <v>0</v>
      </c>
      <c r="CV35">
        <f>ROUND(Y35*Source!I60,9)</f>
        <v>1.32</v>
      </c>
      <c r="CW35">
        <v>0</v>
      </c>
      <c r="CX35">
        <f>ROUND(Y35*Source!I60,9)</f>
        <v>1.32</v>
      </c>
      <c r="CY35">
        <f t="shared" ref="CY35:CY47" si="16">AD35</f>
        <v>0</v>
      </c>
      <c r="CZ35">
        <f t="shared" ref="CZ35:CZ47" si="17">AH35</f>
        <v>0</v>
      </c>
      <c r="DA35">
        <f t="shared" ref="DA35:DA47" si="18">AL35</f>
        <v>1</v>
      </c>
      <c r="DB35">
        <f t="shared" ref="DB35:DB47" si="19">ROUND((ROUND(AT35*CZ35,2)*1.1),6)</f>
        <v>0</v>
      </c>
      <c r="DC35">
        <f t="shared" ref="DC35:DC47" si="20">ROUND((ROUND(AT35*AG35,2)*1.1),6)</f>
        <v>0</v>
      </c>
      <c r="DD35" t="s">
        <v>3</v>
      </c>
      <c r="DE35" t="s">
        <v>3</v>
      </c>
      <c r="DF35">
        <f t="shared" ref="DF35:DF49" si="21">ROUND(ROUND(AE35,2)*CX35,2)</f>
        <v>0</v>
      </c>
      <c r="DG35">
        <f t="shared" si="12"/>
        <v>0</v>
      </c>
      <c r="DH35">
        <f t="shared" si="13"/>
        <v>0</v>
      </c>
      <c r="DI35">
        <f t="shared" si="14"/>
        <v>0</v>
      </c>
      <c r="DJ35">
        <f t="shared" ref="DJ35:DJ47" si="22"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ROW(Source!A61)</f>
        <v>61</v>
      </c>
      <c r="B36">
        <v>60258618</v>
      </c>
      <c r="C36">
        <v>60258789</v>
      </c>
      <c r="D36">
        <v>58999254</v>
      </c>
      <c r="E36">
        <v>1080</v>
      </c>
      <c r="F36">
        <v>1</v>
      </c>
      <c r="G36">
        <v>1080</v>
      </c>
      <c r="H36">
        <v>1</v>
      </c>
      <c r="I36" t="s">
        <v>275</v>
      </c>
      <c r="J36" t="s">
        <v>3</v>
      </c>
      <c r="K36" t="s">
        <v>276</v>
      </c>
      <c r="L36">
        <v>1191</v>
      </c>
      <c r="N36">
        <v>1013</v>
      </c>
      <c r="O36" t="s">
        <v>277</v>
      </c>
      <c r="P36" t="s">
        <v>277</v>
      </c>
      <c r="Q36">
        <v>1</v>
      </c>
      <c r="W36">
        <v>0</v>
      </c>
      <c r="X36">
        <v>476480486</v>
      </c>
      <c r="Y36">
        <f t="shared" si="15"/>
        <v>1.32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1.2</v>
      </c>
      <c r="AU36" t="s">
        <v>24</v>
      </c>
      <c r="AV36">
        <v>1</v>
      </c>
      <c r="AW36">
        <v>2</v>
      </c>
      <c r="AX36">
        <v>60259000</v>
      </c>
      <c r="AY36">
        <v>1</v>
      </c>
      <c r="AZ36">
        <v>0</v>
      </c>
      <c r="BA36">
        <v>44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ROUND(AT36*Source!I61*AH36*AL36,2)</f>
        <v>0</v>
      </c>
      <c r="CV36">
        <f>ROUND(Y36*Source!I61,9)</f>
        <v>1.32</v>
      </c>
      <c r="CW36">
        <v>0</v>
      </c>
      <c r="CX36">
        <f>ROUND(Y36*Source!I61,9)</f>
        <v>1.32</v>
      </c>
      <c r="CY36">
        <f t="shared" si="16"/>
        <v>0</v>
      </c>
      <c r="CZ36">
        <f t="shared" si="17"/>
        <v>0</v>
      </c>
      <c r="DA36">
        <f t="shared" si="18"/>
        <v>1</v>
      </c>
      <c r="DB36">
        <f t="shared" si="19"/>
        <v>0</v>
      </c>
      <c r="DC36">
        <f t="shared" si="20"/>
        <v>0</v>
      </c>
      <c r="DD36" t="s">
        <v>3</v>
      </c>
      <c r="DE36" t="s">
        <v>3</v>
      </c>
      <c r="DF36">
        <f t="shared" si="21"/>
        <v>0</v>
      </c>
      <c r="DG36">
        <f t="shared" si="12"/>
        <v>0</v>
      </c>
      <c r="DH36">
        <f t="shared" si="13"/>
        <v>0</v>
      </c>
      <c r="DI36">
        <f t="shared" si="14"/>
        <v>0</v>
      </c>
      <c r="DJ36">
        <f t="shared" si="22"/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ROW(Source!A64)</f>
        <v>64</v>
      </c>
      <c r="B37">
        <v>60258621</v>
      </c>
      <c r="C37">
        <v>60258793</v>
      </c>
      <c r="D37">
        <v>58999254</v>
      </c>
      <c r="E37">
        <v>1080</v>
      </c>
      <c r="F37">
        <v>1</v>
      </c>
      <c r="G37">
        <v>1080</v>
      </c>
      <c r="H37">
        <v>1</v>
      </c>
      <c r="I37" t="s">
        <v>275</v>
      </c>
      <c r="J37" t="s">
        <v>3</v>
      </c>
      <c r="K37" t="s">
        <v>276</v>
      </c>
      <c r="L37">
        <v>1191</v>
      </c>
      <c r="N37">
        <v>1013</v>
      </c>
      <c r="O37" t="s">
        <v>277</v>
      </c>
      <c r="P37" t="s">
        <v>277</v>
      </c>
      <c r="Q37">
        <v>1</v>
      </c>
      <c r="W37">
        <v>0</v>
      </c>
      <c r="X37">
        <v>476480486</v>
      </c>
      <c r="Y37">
        <f t="shared" si="15"/>
        <v>1.32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1.2</v>
      </c>
      <c r="AU37" t="s">
        <v>24</v>
      </c>
      <c r="AV37">
        <v>1</v>
      </c>
      <c r="AW37">
        <v>2</v>
      </c>
      <c r="AX37">
        <v>60259001</v>
      </c>
      <c r="AY37">
        <v>1</v>
      </c>
      <c r="AZ37">
        <v>0</v>
      </c>
      <c r="BA37">
        <v>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ROUND(AT37*Source!I64*AH37*AL37,2)</f>
        <v>0</v>
      </c>
      <c r="CV37">
        <f>ROUND(Y37*Source!I64,9)</f>
        <v>2.64</v>
      </c>
      <c r="CW37">
        <v>0</v>
      </c>
      <c r="CX37">
        <f>ROUND(Y37*Source!I64,9)</f>
        <v>2.64</v>
      </c>
      <c r="CY37">
        <f t="shared" si="16"/>
        <v>0</v>
      </c>
      <c r="CZ37">
        <f t="shared" si="17"/>
        <v>0</v>
      </c>
      <c r="DA37">
        <f t="shared" si="18"/>
        <v>1</v>
      </c>
      <c r="DB37">
        <f t="shared" si="19"/>
        <v>0</v>
      </c>
      <c r="DC37">
        <f t="shared" si="20"/>
        <v>0</v>
      </c>
      <c r="DD37" t="s">
        <v>3</v>
      </c>
      <c r="DE37" t="s">
        <v>3</v>
      </c>
      <c r="DF37">
        <f t="shared" si="21"/>
        <v>0</v>
      </c>
      <c r="DG37">
        <f t="shared" si="12"/>
        <v>0</v>
      </c>
      <c r="DH37">
        <f t="shared" si="13"/>
        <v>0</v>
      </c>
      <c r="DI37">
        <f t="shared" si="14"/>
        <v>0</v>
      </c>
      <c r="DJ37">
        <f t="shared" si="22"/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ROW(Source!A65)</f>
        <v>65</v>
      </c>
      <c r="B38">
        <v>60258618</v>
      </c>
      <c r="C38">
        <v>60258793</v>
      </c>
      <c r="D38">
        <v>58999254</v>
      </c>
      <c r="E38">
        <v>1080</v>
      </c>
      <c r="F38">
        <v>1</v>
      </c>
      <c r="G38">
        <v>1080</v>
      </c>
      <c r="H38">
        <v>1</v>
      </c>
      <c r="I38" t="s">
        <v>275</v>
      </c>
      <c r="J38" t="s">
        <v>3</v>
      </c>
      <c r="K38" t="s">
        <v>276</v>
      </c>
      <c r="L38">
        <v>1191</v>
      </c>
      <c r="N38">
        <v>1013</v>
      </c>
      <c r="O38" t="s">
        <v>277</v>
      </c>
      <c r="P38" t="s">
        <v>277</v>
      </c>
      <c r="Q38">
        <v>1</v>
      </c>
      <c r="W38">
        <v>0</v>
      </c>
      <c r="X38">
        <v>476480486</v>
      </c>
      <c r="Y38">
        <f t="shared" si="15"/>
        <v>1.32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5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1.2</v>
      </c>
      <c r="AU38" t="s">
        <v>24</v>
      </c>
      <c r="AV38">
        <v>1</v>
      </c>
      <c r="AW38">
        <v>2</v>
      </c>
      <c r="AX38">
        <v>60259001</v>
      </c>
      <c r="AY38">
        <v>1</v>
      </c>
      <c r="AZ38">
        <v>0</v>
      </c>
      <c r="BA38">
        <v>46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U38">
        <f>ROUND(AT38*Source!I65*AH38*AL38,2)</f>
        <v>0</v>
      </c>
      <c r="CV38">
        <f>ROUND(Y38*Source!I65,9)</f>
        <v>2.64</v>
      </c>
      <c r="CW38">
        <v>0</v>
      </c>
      <c r="CX38">
        <f>ROUND(Y38*Source!I65,9)</f>
        <v>2.64</v>
      </c>
      <c r="CY38">
        <f t="shared" si="16"/>
        <v>0</v>
      </c>
      <c r="CZ38">
        <f t="shared" si="17"/>
        <v>0</v>
      </c>
      <c r="DA38">
        <f t="shared" si="18"/>
        <v>1</v>
      </c>
      <c r="DB38">
        <f t="shared" si="19"/>
        <v>0</v>
      </c>
      <c r="DC38">
        <f t="shared" si="20"/>
        <v>0</v>
      </c>
      <c r="DD38" t="s">
        <v>3</v>
      </c>
      <c r="DE38" t="s">
        <v>3</v>
      </c>
      <c r="DF38">
        <f t="shared" si="21"/>
        <v>0</v>
      </c>
      <c r="DG38">
        <f t="shared" si="12"/>
        <v>0</v>
      </c>
      <c r="DH38">
        <f t="shared" si="13"/>
        <v>0</v>
      </c>
      <c r="DI38">
        <f t="shared" si="14"/>
        <v>0</v>
      </c>
      <c r="DJ38">
        <f t="shared" si="22"/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ROW(Source!A68)</f>
        <v>68</v>
      </c>
      <c r="B39">
        <v>60258621</v>
      </c>
      <c r="C39">
        <v>60258797</v>
      </c>
      <c r="D39">
        <v>58999254</v>
      </c>
      <c r="E39">
        <v>1080</v>
      </c>
      <c r="F39">
        <v>1</v>
      </c>
      <c r="G39">
        <v>1080</v>
      </c>
      <c r="H39">
        <v>1</v>
      </c>
      <c r="I39" t="s">
        <v>275</v>
      </c>
      <c r="J39" t="s">
        <v>3</v>
      </c>
      <c r="K39" t="s">
        <v>276</v>
      </c>
      <c r="L39">
        <v>1191</v>
      </c>
      <c r="N39">
        <v>1013</v>
      </c>
      <c r="O39" t="s">
        <v>277</v>
      </c>
      <c r="P39" t="s">
        <v>277</v>
      </c>
      <c r="Q39">
        <v>1</v>
      </c>
      <c r="W39">
        <v>0</v>
      </c>
      <c r="X39">
        <v>476480486</v>
      </c>
      <c r="Y39">
        <f t="shared" si="15"/>
        <v>3.9600000000000004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3.6</v>
      </c>
      <c r="AU39" t="s">
        <v>24</v>
      </c>
      <c r="AV39">
        <v>1</v>
      </c>
      <c r="AW39">
        <v>2</v>
      </c>
      <c r="AX39">
        <v>60259002</v>
      </c>
      <c r="AY39">
        <v>1</v>
      </c>
      <c r="AZ39">
        <v>0</v>
      </c>
      <c r="BA39">
        <v>47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ROUND(AT39*Source!I68*AH39*AL39,2)</f>
        <v>0</v>
      </c>
      <c r="CV39">
        <f>ROUND(Y39*Source!I68,9)</f>
        <v>118.8</v>
      </c>
      <c r="CW39">
        <v>0</v>
      </c>
      <c r="CX39">
        <f>ROUND(Y39*Source!I68,9)</f>
        <v>118.8</v>
      </c>
      <c r="CY39">
        <f t="shared" si="16"/>
        <v>0</v>
      </c>
      <c r="CZ39">
        <f t="shared" si="17"/>
        <v>0</v>
      </c>
      <c r="DA39">
        <f t="shared" si="18"/>
        <v>1</v>
      </c>
      <c r="DB39">
        <f t="shared" si="19"/>
        <v>0</v>
      </c>
      <c r="DC39">
        <f t="shared" si="20"/>
        <v>0</v>
      </c>
      <c r="DD39" t="s">
        <v>3</v>
      </c>
      <c r="DE39" t="s">
        <v>3</v>
      </c>
      <c r="DF39">
        <f t="shared" si="21"/>
        <v>0</v>
      </c>
      <c r="DG39">
        <f t="shared" si="12"/>
        <v>0</v>
      </c>
      <c r="DH39">
        <f t="shared" si="13"/>
        <v>0</v>
      </c>
      <c r="DI39">
        <f t="shared" si="14"/>
        <v>0</v>
      </c>
      <c r="DJ39">
        <f t="shared" si="22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ROW(Source!A69)</f>
        <v>69</v>
      </c>
      <c r="B40">
        <v>60258618</v>
      </c>
      <c r="C40">
        <v>60258797</v>
      </c>
      <c r="D40">
        <v>58999254</v>
      </c>
      <c r="E40">
        <v>1080</v>
      </c>
      <c r="F40">
        <v>1</v>
      </c>
      <c r="G40">
        <v>1080</v>
      </c>
      <c r="H40">
        <v>1</v>
      </c>
      <c r="I40" t="s">
        <v>275</v>
      </c>
      <c r="J40" t="s">
        <v>3</v>
      </c>
      <c r="K40" t="s">
        <v>276</v>
      </c>
      <c r="L40">
        <v>1191</v>
      </c>
      <c r="N40">
        <v>1013</v>
      </c>
      <c r="O40" t="s">
        <v>277</v>
      </c>
      <c r="P40" t="s">
        <v>277</v>
      </c>
      <c r="Q40">
        <v>1</v>
      </c>
      <c r="W40">
        <v>0</v>
      </c>
      <c r="X40">
        <v>476480486</v>
      </c>
      <c r="Y40">
        <f t="shared" si="15"/>
        <v>3.9600000000000004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3.6</v>
      </c>
      <c r="AU40" t="s">
        <v>24</v>
      </c>
      <c r="AV40">
        <v>1</v>
      </c>
      <c r="AW40">
        <v>2</v>
      </c>
      <c r="AX40">
        <v>60259002</v>
      </c>
      <c r="AY40">
        <v>1</v>
      </c>
      <c r="AZ40">
        <v>0</v>
      </c>
      <c r="BA40">
        <v>48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ROUND(AT40*Source!I69*AH40*AL40,2)</f>
        <v>0</v>
      </c>
      <c r="CV40">
        <f>ROUND(Y40*Source!I69,9)</f>
        <v>118.8</v>
      </c>
      <c r="CW40">
        <v>0</v>
      </c>
      <c r="CX40">
        <f>ROUND(Y40*Source!I69,9)</f>
        <v>118.8</v>
      </c>
      <c r="CY40">
        <f t="shared" si="16"/>
        <v>0</v>
      </c>
      <c r="CZ40">
        <f t="shared" si="17"/>
        <v>0</v>
      </c>
      <c r="DA40">
        <f t="shared" si="18"/>
        <v>1</v>
      </c>
      <c r="DB40">
        <f t="shared" si="19"/>
        <v>0</v>
      </c>
      <c r="DC40">
        <f t="shared" si="20"/>
        <v>0</v>
      </c>
      <c r="DD40" t="s">
        <v>3</v>
      </c>
      <c r="DE40" t="s">
        <v>3</v>
      </c>
      <c r="DF40">
        <f t="shared" si="21"/>
        <v>0</v>
      </c>
      <c r="DG40">
        <f t="shared" si="12"/>
        <v>0</v>
      </c>
      <c r="DH40">
        <f t="shared" si="13"/>
        <v>0</v>
      </c>
      <c r="DI40">
        <f t="shared" si="14"/>
        <v>0</v>
      </c>
      <c r="DJ40">
        <f t="shared" si="22"/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ROW(Source!A72)</f>
        <v>72</v>
      </c>
      <c r="B41">
        <v>60258621</v>
      </c>
      <c r="C41">
        <v>60258801</v>
      </c>
      <c r="D41">
        <v>58999254</v>
      </c>
      <c r="E41">
        <v>1080</v>
      </c>
      <c r="F41">
        <v>1</v>
      </c>
      <c r="G41">
        <v>1080</v>
      </c>
      <c r="H41">
        <v>1</v>
      </c>
      <c r="I41" t="s">
        <v>275</v>
      </c>
      <c r="J41" t="s">
        <v>3</v>
      </c>
      <c r="K41" t="s">
        <v>276</v>
      </c>
      <c r="L41">
        <v>1191</v>
      </c>
      <c r="N41">
        <v>1013</v>
      </c>
      <c r="O41" t="s">
        <v>277</v>
      </c>
      <c r="P41" t="s">
        <v>277</v>
      </c>
      <c r="Q41">
        <v>1</v>
      </c>
      <c r="W41">
        <v>0</v>
      </c>
      <c r="X41">
        <v>476480486</v>
      </c>
      <c r="Y41">
        <f t="shared" si="15"/>
        <v>0.92400000000000004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0.84</v>
      </c>
      <c r="AU41" t="s">
        <v>24</v>
      </c>
      <c r="AV41">
        <v>1</v>
      </c>
      <c r="AW41">
        <v>2</v>
      </c>
      <c r="AX41">
        <v>60259003</v>
      </c>
      <c r="AY41">
        <v>1</v>
      </c>
      <c r="AZ41">
        <v>0</v>
      </c>
      <c r="BA41">
        <v>49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ROUND(AT41*Source!I72*AH41*AL41,2)</f>
        <v>0</v>
      </c>
      <c r="CV41">
        <f>ROUND(Y41*Source!I72,9)</f>
        <v>79.463999999999999</v>
      </c>
      <c r="CW41">
        <v>0</v>
      </c>
      <c r="CX41">
        <f>ROUND(Y41*Source!I72,9)</f>
        <v>79.463999999999999</v>
      </c>
      <c r="CY41">
        <f t="shared" si="16"/>
        <v>0</v>
      </c>
      <c r="CZ41">
        <f t="shared" si="17"/>
        <v>0</v>
      </c>
      <c r="DA41">
        <f t="shared" si="18"/>
        <v>1</v>
      </c>
      <c r="DB41">
        <f t="shared" si="19"/>
        <v>0</v>
      </c>
      <c r="DC41">
        <f t="shared" si="20"/>
        <v>0</v>
      </c>
      <c r="DD41" t="s">
        <v>3</v>
      </c>
      <c r="DE41" t="s">
        <v>3</v>
      </c>
      <c r="DF41">
        <f t="shared" si="21"/>
        <v>0</v>
      </c>
      <c r="DG41">
        <f t="shared" si="12"/>
        <v>0</v>
      </c>
      <c r="DH41">
        <f t="shared" si="13"/>
        <v>0</v>
      </c>
      <c r="DI41">
        <f t="shared" si="14"/>
        <v>0</v>
      </c>
      <c r="DJ41">
        <f t="shared" si="22"/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ROW(Source!A73)</f>
        <v>73</v>
      </c>
      <c r="B42">
        <v>60258618</v>
      </c>
      <c r="C42">
        <v>60258801</v>
      </c>
      <c r="D42">
        <v>58999254</v>
      </c>
      <c r="E42">
        <v>1080</v>
      </c>
      <c r="F42">
        <v>1</v>
      </c>
      <c r="G42">
        <v>1080</v>
      </c>
      <c r="H42">
        <v>1</v>
      </c>
      <c r="I42" t="s">
        <v>275</v>
      </c>
      <c r="J42" t="s">
        <v>3</v>
      </c>
      <c r="K42" t="s">
        <v>276</v>
      </c>
      <c r="L42">
        <v>1191</v>
      </c>
      <c r="N42">
        <v>1013</v>
      </c>
      <c r="O42" t="s">
        <v>277</v>
      </c>
      <c r="P42" t="s">
        <v>277</v>
      </c>
      <c r="Q42">
        <v>1</v>
      </c>
      <c r="W42">
        <v>0</v>
      </c>
      <c r="X42">
        <v>476480486</v>
      </c>
      <c r="Y42">
        <f t="shared" si="15"/>
        <v>0.92400000000000004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5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0.84</v>
      </c>
      <c r="AU42" t="s">
        <v>24</v>
      </c>
      <c r="AV42">
        <v>1</v>
      </c>
      <c r="AW42">
        <v>2</v>
      </c>
      <c r="AX42">
        <v>60259003</v>
      </c>
      <c r="AY42">
        <v>1</v>
      </c>
      <c r="AZ42">
        <v>0</v>
      </c>
      <c r="BA42">
        <v>50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U42">
        <f>ROUND(AT42*Source!I73*AH42*AL42,2)</f>
        <v>0</v>
      </c>
      <c r="CV42">
        <f>ROUND(Y42*Source!I73,9)</f>
        <v>79.463999999999999</v>
      </c>
      <c r="CW42">
        <v>0</v>
      </c>
      <c r="CX42">
        <f>ROUND(Y42*Source!I73,9)</f>
        <v>79.463999999999999</v>
      </c>
      <c r="CY42">
        <f t="shared" si="16"/>
        <v>0</v>
      </c>
      <c r="CZ42">
        <f t="shared" si="17"/>
        <v>0</v>
      </c>
      <c r="DA42">
        <f t="shared" si="18"/>
        <v>1</v>
      </c>
      <c r="DB42">
        <f t="shared" si="19"/>
        <v>0</v>
      </c>
      <c r="DC42">
        <f t="shared" si="20"/>
        <v>0</v>
      </c>
      <c r="DD42" t="s">
        <v>3</v>
      </c>
      <c r="DE42" t="s">
        <v>3</v>
      </c>
      <c r="DF42">
        <f t="shared" si="21"/>
        <v>0</v>
      </c>
      <c r="DG42">
        <f t="shared" si="12"/>
        <v>0</v>
      </c>
      <c r="DH42">
        <f t="shared" si="13"/>
        <v>0</v>
      </c>
      <c r="DI42">
        <f t="shared" si="14"/>
        <v>0</v>
      </c>
      <c r="DJ42">
        <f t="shared" si="22"/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ROW(Source!A76)</f>
        <v>76</v>
      </c>
      <c r="B43">
        <v>60258621</v>
      </c>
      <c r="C43">
        <v>60258805</v>
      </c>
      <c r="D43">
        <v>58999254</v>
      </c>
      <c r="E43">
        <v>1080</v>
      </c>
      <c r="F43">
        <v>1</v>
      </c>
      <c r="G43">
        <v>1080</v>
      </c>
      <c r="H43">
        <v>1</v>
      </c>
      <c r="I43" t="s">
        <v>275</v>
      </c>
      <c r="J43" t="s">
        <v>3</v>
      </c>
      <c r="K43" t="s">
        <v>276</v>
      </c>
      <c r="L43">
        <v>1191</v>
      </c>
      <c r="N43">
        <v>1013</v>
      </c>
      <c r="O43" t="s">
        <v>277</v>
      </c>
      <c r="P43" t="s">
        <v>277</v>
      </c>
      <c r="Q43">
        <v>1</v>
      </c>
      <c r="W43">
        <v>0</v>
      </c>
      <c r="X43">
        <v>476480486</v>
      </c>
      <c r="Y43">
        <f t="shared" si="15"/>
        <v>0.92400000000000004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0.84</v>
      </c>
      <c r="AU43" t="s">
        <v>24</v>
      </c>
      <c r="AV43">
        <v>1</v>
      </c>
      <c r="AW43">
        <v>2</v>
      </c>
      <c r="AX43">
        <v>60259004</v>
      </c>
      <c r="AY43">
        <v>1</v>
      </c>
      <c r="AZ43">
        <v>0</v>
      </c>
      <c r="BA43">
        <v>51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ROUND(AT43*Source!I76*AH43*AL43,2)</f>
        <v>0</v>
      </c>
      <c r="CV43">
        <f>ROUND(Y43*Source!I76,9)</f>
        <v>83.16</v>
      </c>
      <c r="CW43">
        <v>0</v>
      </c>
      <c r="CX43">
        <f>ROUND(Y43*Source!I76,9)</f>
        <v>83.16</v>
      </c>
      <c r="CY43">
        <f t="shared" si="16"/>
        <v>0</v>
      </c>
      <c r="CZ43">
        <f t="shared" si="17"/>
        <v>0</v>
      </c>
      <c r="DA43">
        <f t="shared" si="18"/>
        <v>1</v>
      </c>
      <c r="DB43">
        <f t="shared" si="19"/>
        <v>0</v>
      </c>
      <c r="DC43">
        <f t="shared" si="20"/>
        <v>0</v>
      </c>
      <c r="DD43" t="s">
        <v>3</v>
      </c>
      <c r="DE43" t="s">
        <v>3</v>
      </c>
      <c r="DF43">
        <f t="shared" si="21"/>
        <v>0</v>
      </c>
      <c r="DG43">
        <f t="shared" si="12"/>
        <v>0</v>
      </c>
      <c r="DH43">
        <f t="shared" si="13"/>
        <v>0</v>
      </c>
      <c r="DI43">
        <f t="shared" si="14"/>
        <v>0</v>
      </c>
      <c r="DJ43">
        <f t="shared" si="22"/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ROW(Source!A77)</f>
        <v>77</v>
      </c>
      <c r="B44">
        <v>60258618</v>
      </c>
      <c r="C44">
        <v>60258805</v>
      </c>
      <c r="D44">
        <v>58999254</v>
      </c>
      <c r="E44">
        <v>1080</v>
      </c>
      <c r="F44">
        <v>1</v>
      </c>
      <c r="G44">
        <v>1080</v>
      </c>
      <c r="H44">
        <v>1</v>
      </c>
      <c r="I44" t="s">
        <v>275</v>
      </c>
      <c r="J44" t="s">
        <v>3</v>
      </c>
      <c r="K44" t="s">
        <v>276</v>
      </c>
      <c r="L44">
        <v>1191</v>
      </c>
      <c r="N44">
        <v>1013</v>
      </c>
      <c r="O44" t="s">
        <v>277</v>
      </c>
      <c r="P44" t="s">
        <v>277</v>
      </c>
      <c r="Q44">
        <v>1</v>
      </c>
      <c r="W44">
        <v>0</v>
      </c>
      <c r="X44">
        <v>476480486</v>
      </c>
      <c r="Y44">
        <f t="shared" si="15"/>
        <v>0.92400000000000004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0.84</v>
      </c>
      <c r="AU44" t="s">
        <v>24</v>
      </c>
      <c r="AV44">
        <v>1</v>
      </c>
      <c r="AW44">
        <v>2</v>
      </c>
      <c r="AX44">
        <v>60259004</v>
      </c>
      <c r="AY44">
        <v>1</v>
      </c>
      <c r="AZ44">
        <v>0</v>
      </c>
      <c r="BA44">
        <v>52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U44">
        <f>ROUND(AT44*Source!I77*AH44*AL44,2)</f>
        <v>0</v>
      </c>
      <c r="CV44">
        <f>ROUND(Y44*Source!I77,9)</f>
        <v>83.16</v>
      </c>
      <c r="CW44">
        <v>0</v>
      </c>
      <c r="CX44">
        <f>ROUND(Y44*Source!I77,9)</f>
        <v>83.16</v>
      </c>
      <c r="CY44">
        <f t="shared" si="16"/>
        <v>0</v>
      </c>
      <c r="CZ44">
        <f t="shared" si="17"/>
        <v>0</v>
      </c>
      <c r="DA44">
        <f t="shared" si="18"/>
        <v>1</v>
      </c>
      <c r="DB44">
        <f t="shared" si="19"/>
        <v>0</v>
      </c>
      <c r="DC44">
        <f t="shared" si="20"/>
        <v>0</v>
      </c>
      <c r="DD44" t="s">
        <v>3</v>
      </c>
      <c r="DE44" t="s">
        <v>3</v>
      </c>
      <c r="DF44">
        <f t="shared" si="21"/>
        <v>0</v>
      </c>
      <c r="DG44">
        <f t="shared" si="12"/>
        <v>0</v>
      </c>
      <c r="DH44">
        <f t="shared" si="13"/>
        <v>0</v>
      </c>
      <c r="DI44">
        <f t="shared" si="14"/>
        <v>0</v>
      </c>
      <c r="DJ44">
        <f t="shared" si="22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ROW(Source!A80)</f>
        <v>80</v>
      </c>
      <c r="B45">
        <v>60258621</v>
      </c>
      <c r="C45">
        <v>60258809</v>
      </c>
      <c r="D45">
        <v>58999254</v>
      </c>
      <c r="E45">
        <v>1080</v>
      </c>
      <c r="F45">
        <v>1</v>
      </c>
      <c r="G45">
        <v>1080</v>
      </c>
      <c r="H45">
        <v>1</v>
      </c>
      <c r="I45" t="s">
        <v>275</v>
      </c>
      <c r="J45" t="s">
        <v>3</v>
      </c>
      <c r="K45" t="s">
        <v>276</v>
      </c>
      <c r="L45">
        <v>1191</v>
      </c>
      <c r="N45">
        <v>1013</v>
      </c>
      <c r="O45" t="s">
        <v>277</v>
      </c>
      <c r="P45" t="s">
        <v>277</v>
      </c>
      <c r="Q45">
        <v>1</v>
      </c>
      <c r="W45">
        <v>0</v>
      </c>
      <c r="X45">
        <v>476480486</v>
      </c>
      <c r="Y45">
        <f t="shared" si="15"/>
        <v>1.32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1.2</v>
      </c>
      <c r="AU45" t="s">
        <v>24</v>
      </c>
      <c r="AV45">
        <v>1</v>
      </c>
      <c r="AW45">
        <v>2</v>
      </c>
      <c r="AX45">
        <v>60259005</v>
      </c>
      <c r="AY45">
        <v>1</v>
      </c>
      <c r="AZ45">
        <v>0</v>
      </c>
      <c r="BA45">
        <v>53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ROUND(AT45*Source!I80*AH45*AL45,2)</f>
        <v>0</v>
      </c>
      <c r="CV45">
        <f>ROUND(Y45*Source!I80,9)</f>
        <v>11.88</v>
      </c>
      <c r="CW45">
        <v>0</v>
      </c>
      <c r="CX45">
        <f>ROUND(Y45*Source!I80,9)</f>
        <v>11.88</v>
      </c>
      <c r="CY45">
        <f t="shared" si="16"/>
        <v>0</v>
      </c>
      <c r="CZ45">
        <f t="shared" si="17"/>
        <v>0</v>
      </c>
      <c r="DA45">
        <f t="shared" si="18"/>
        <v>1</v>
      </c>
      <c r="DB45">
        <f t="shared" si="19"/>
        <v>0</v>
      </c>
      <c r="DC45">
        <f t="shared" si="20"/>
        <v>0</v>
      </c>
      <c r="DD45" t="s">
        <v>3</v>
      </c>
      <c r="DE45" t="s">
        <v>3</v>
      </c>
      <c r="DF45">
        <f t="shared" si="21"/>
        <v>0</v>
      </c>
      <c r="DG45">
        <f t="shared" si="12"/>
        <v>0</v>
      </c>
      <c r="DH45">
        <f t="shared" si="13"/>
        <v>0</v>
      </c>
      <c r="DI45">
        <f t="shared" si="14"/>
        <v>0</v>
      </c>
      <c r="DJ45">
        <f t="shared" si="22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ROW(Source!A81)</f>
        <v>81</v>
      </c>
      <c r="B46">
        <v>60258618</v>
      </c>
      <c r="C46">
        <v>60258809</v>
      </c>
      <c r="D46">
        <v>58999254</v>
      </c>
      <c r="E46">
        <v>1080</v>
      </c>
      <c r="F46">
        <v>1</v>
      </c>
      <c r="G46">
        <v>1080</v>
      </c>
      <c r="H46">
        <v>1</v>
      </c>
      <c r="I46" t="s">
        <v>275</v>
      </c>
      <c r="J46" t="s">
        <v>3</v>
      </c>
      <c r="K46" t="s">
        <v>276</v>
      </c>
      <c r="L46">
        <v>1191</v>
      </c>
      <c r="N46">
        <v>1013</v>
      </c>
      <c r="O46" t="s">
        <v>277</v>
      </c>
      <c r="P46" t="s">
        <v>277</v>
      </c>
      <c r="Q46">
        <v>1</v>
      </c>
      <c r="W46">
        <v>0</v>
      </c>
      <c r="X46">
        <v>476480486</v>
      </c>
      <c r="Y46">
        <f t="shared" si="15"/>
        <v>1.32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5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1.2</v>
      </c>
      <c r="AU46" t="s">
        <v>24</v>
      </c>
      <c r="AV46">
        <v>1</v>
      </c>
      <c r="AW46">
        <v>2</v>
      </c>
      <c r="AX46">
        <v>60259005</v>
      </c>
      <c r="AY46">
        <v>1</v>
      </c>
      <c r="AZ46">
        <v>0</v>
      </c>
      <c r="BA46">
        <v>54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U46">
        <f>ROUND(AT46*Source!I81*AH46*AL46,2)</f>
        <v>0</v>
      </c>
      <c r="CV46">
        <f>ROUND(Y46*Source!I81,9)</f>
        <v>11.88</v>
      </c>
      <c r="CW46">
        <v>0</v>
      </c>
      <c r="CX46">
        <f>ROUND(Y46*Source!I81,9)</f>
        <v>11.88</v>
      </c>
      <c r="CY46">
        <f t="shared" si="16"/>
        <v>0</v>
      </c>
      <c r="CZ46">
        <f t="shared" si="17"/>
        <v>0</v>
      </c>
      <c r="DA46">
        <f t="shared" si="18"/>
        <v>1</v>
      </c>
      <c r="DB46">
        <f t="shared" si="19"/>
        <v>0</v>
      </c>
      <c r="DC46">
        <f t="shared" si="20"/>
        <v>0</v>
      </c>
      <c r="DD46" t="s">
        <v>3</v>
      </c>
      <c r="DE46" t="s">
        <v>3</v>
      </c>
      <c r="DF46">
        <f t="shared" si="21"/>
        <v>0</v>
      </c>
      <c r="DG46">
        <f t="shared" si="12"/>
        <v>0</v>
      </c>
      <c r="DH46">
        <f t="shared" si="13"/>
        <v>0</v>
      </c>
      <c r="DI46">
        <f t="shared" si="14"/>
        <v>0</v>
      </c>
      <c r="DJ46">
        <f t="shared" si="22"/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ROW(Source!A84)</f>
        <v>84</v>
      </c>
      <c r="B47">
        <v>60258621</v>
      </c>
      <c r="C47">
        <v>60258813</v>
      </c>
      <c r="D47">
        <v>58999254</v>
      </c>
      <c r="E47">
        <v>1080</v>
      </c>
      <c r="F47">
        <v>1</v>
      </c>
      <c r="G47">
        <v>1080</v>
      </c>
      <c r="H47">
        <v>1</v>
      </c>
      <c r="I47" t="s">
        <v>275</v>
      </c>
      <c r="J47" t="s">
        <v>3</v>
      </c>
      <c r="K47" t="s">
        <v>276</v>
      </c>
      <c r="L47">
        <v>1191</v>
      </c>
      <c r="N47">
        <v>1013</v>
      </c>
      <c r="O47" t="s">
        <v>277</v>
      </c>
      <c r="P47" t="s">
        <v>277</v>
      </c>
      <c r="Q47">
        <v>1</v>
      </c>
      <c r="W47">
        <v>0</v>
      </c>
      <c r="X47">
        <v>476480486</v>
      </c>
      <c r="Y47">
        <f t="shared" si="15"/>
        <v>1.1000000000000001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</v>
      </c>
      <c r="AU47" t="s">
        <v>24</v>
      </c>
      <c r="AV47">
        <v>1</v>
      </c>
      <c r="AW47">
        <v>2</v>
      </c>
      <c r="AX47">
        <v>60259006</v>
      </c>
      <c r="AY47">
        <v>1</v>
      </c>
      <c r="AZ47">
        <v>0</v>
      </c>
      <c r="BA47">
        <v>55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ROUND(AT47*Source!I84*AH47*AL47,2)</f>
        <v>0</v>
      </c>
      <c r="CV47">
        <f>ROUND(Y47*Source!I84,9)</f>
        <v>11</v>
      </c>
      <c r="CW47">
        <v>0</v>
      </c>
      <c r="CX47">
        <f>ROUND(Y47*Source!I84,9)</f>
        <v>11</v>
      </c>
      <c r="CY47">
        <f t="shared" si="16"/>
        <v>0</v>
      </c>
      <c r="CZ47">
        <f t="shared" si="17"/>
        <v>0</v>
      </c>
      <c r="DA47">
        <f t="shared" si="18"/>
        <v>1</v>
      </c>
      <c r="DB47">
        <f t="shared" si="19"/>
        <v>0</v>
      </c>
      <c r="DC47">
        <f t="shared" si="20"/>
        <v>0</v>
      </c>
      <c r="DD47" t="s">
        <v>3</v>
      </c>
      <c r="DE47" t="s">
        <v>3</v>
      </c>
      <c r="DF47">
        <f t="shared" si="21"/>
        <v>0</v>
      </c>
      <c r="DG47">
        <f t="shared" si="12"/>
        <v>0</v>
      </c>
      <c r="DH47">
        <f t="shared" si="13"/>
        <v>0</v>
      </c>
      <c r="DI47">
        <f t="shared" si="14"/>
        <v>0</v>
      </c>
      <c r="DJ47">
        <f t="shared" si="22"/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ROW(Source!A84)</f>
        <v>84</v>
      </c>
      <c r="B48">
        <v>60258621</v>
      </c>
      <c r="C48">
        <v>60258813</v>
      </c>
      <c r="D48">
        <v>59004256</v>
      </c>
      <c r="E48">
        <v>1080</v>
      </c>
      <c r="F48">
        <v>1</v>
      </c>
      <c r="G48">
        <v>1080</v>
      </c>
      <c r="H48">
        <v>3</v>
      </c>
      <c r="I48" t="s">
        <v>299</v>
      </c>
      <c r="J48" t="s">
        <v>3</v>
      </c>
      <c r="K48" t="s">
        <v>300</v>
      </c>
      <c r="L48">
        <v>1348</v>
      </c>
      <c r="N48">
        <v>1009</v>
      </c>
      <c r="O48" t="s">
        <v>281</v>
      </c>
      <c r="P48" t="s">
        <v>281</v>
      </c>
      <c r="Q48">
        <v>1000</v>
      </c>
      <c r="W48">
        <v>0</v>
      </c>
      <c r="X48">
        <v>-783086922</v>
      </c>
      <c r="Y48">
        <f>(AT48*1)</f>
        <v>1.6000000000000001E-4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1.6000000000000001E-4</v>
      </c>
      <c r="AU48" t="s">
        <v>23</v>
      </c>
      <c r="AV48">
        <v>0</v>
      </c>
      <c r="AW48">
        <v>2</v>
      </c>
      <c r="AX48">
        <v>60259008</v>
      </c>
      <c r="AY48">
        <v>1</v>
      </c>
      <c r="AZ48">
        <v>0</v>
      </c>
      <c r="BA48">
        <v>57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ROUND(Y48*Source!I84,9)</f>
        <v>1.6000000000000001E-3</v>
      </c>
      <c r="CY48">
        <f>AA48</f>
        <v>0</v>
      </c>
      <c r="CZ48">
        <f>AE48</f>
        <v>0</v>
      </c>
      <c r="DA48">
        <f>AI48</f>
        <v>1</v>
      </c>
      <c r="DB48">
        <f>ROUND((ROUND(AT48*CZ48,2)*1),6)</f>
        <v>0</v>
      </c>
      <c r="DC48">
        <f>ROUND((ROUND(AT48*AG48,2)*1),6)</f>
        <v>0</v>
      </c>
      <c r="DD48" t="s">
        <v>3</v>
      </c>
      <c r="DE48" t="s">
        <v>3</v>
      </c>
      <c r="DF48">
        <f t="shared" si="21"/>
        <v>0</v>
      </c>
      <c r="DG48">
        <f t="shared" si="12"/>
        <v>0</v>
      </c>
      <c r="DH48">
        <f t="shared" si="13"/>
        <v>0</v>
      </c>
      <c r="DI48">
        <f t="shared" si="14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ROW(Source!A85)</f>
        <v>85</v>
      </c>
      <c r="B49">
        <v>60258618</v>
      </c>
      <c r="C49">
        <v>60258813</v>
      </c>
      <c r="D49">
        <v>58999254</v>
      </c>
      <c r="E49">
        <v>1080</v>
      </c>
      <c r="F49">
        <v>1</v>
      </c>
      <c r="G49">
        <v>1080</v>
      </c>
      <c r="H49">
        <v>1</v>
      </c>
      <c r="I49" t="s">
        <v>275</v>
      </c>
      <c r="J49" t="s">
        <v>3</v>
      </c>
      <c r="K49" t="s">
        <v>276</v>
      </c>
      <c r="L49">
        <v>1191</v>
      </c>
      <c r="N49">
        <v>1013</v>
      </c>
      <c r="O49" t="s">
        <v>277</v>
      </c>
      <c r="P49" t="s">
        <v>277</v>
      </c>
      <c r="Q49">
        <v>1</v>
      </c>
      <c r="W49">
        <v>0</v>
      </c>
      <c r="X49">
        <v>476480486</v>
      </c>
      <c r="Y49">
        <f>(AT49*1.1)</f>
        <v>1.1000000000000001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5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</v>
      </c>
      <c r="AU49" t="s">
        <v>24</v>
      </c>
      <c r="AV49">
        <v>1</v>
      </c>
      <c r="AW49">
        <v>2</v>
      </c>
      <c r="AX49">
        <v>60259006</v>
      </c>
      <c r="AY49">
        <v>1</v>
      </c>
      <c r="AZ49">
        <v>0</v>
      </c>
      <c r="BA49">
        <v>58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ROUND(AT49*Source!I85*AH49*AL49,2)</f>
        <v>0</v>
      </c>
      <c r="CV49">
        <f>ROUND(Y49*Source!I85,9)</f>
        <v>11</v>
      </c>
      <c r="CW49">
        <v>0</v>
      </c>
      <c r="CX49">
        <f>ROUND(Y49*Source!I85,9)</f>
        <v>11</v>
      </c>
      <c r="CY49">
        <f>AD49</f>
        <v>0</v>
      </c>
      <c r="CZ49">
        <f>AH49</f>
        <v>0</v>
      </c>
      <c r="DA49">
        <f>AL49</f>
        <v>1</v>
      </c>
      <c r="DB49">
        <f>ROUND((ROUND(AT49*CZ49,2)*1.1),6)</f>
        <v>0</v>
      </c>
      <c r="DC49">
        <f>ROUND((ROUND(AT49*AG49,2)*1.1),6)</f>
        <v>0</v>
      </c>
      <c r="DD49" t="s">
        <v>3</v>
      </c>
      <c r="DE49" t="s">
        <v>3</v>
      </c>
      <c r="DF49">
        <f t="shared" si="21"/>
        <v>0</v>
      </c>
      <c r="DG49">
        <f t="shared" si="12"/>
        <v>0</v>
      </c>
      <c r="DH49">
        <f t="shared" si="13"/>
        <v>0</v>
      </c>
      <c r="DI49">
        <f t="shared" si="14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ROW(Source!A85)</f>
        <v>85</v>
      </c>
      <c r="B50">
        <v>60258618</v>
      </c>
      <c r="C50">
        <v>60258813</v>
      </c>
      <c r="D50">
        <v>59004256</v>
      </c>
      <c r="E50">
        <v>1080</v>
      </c>
      <c r="F50">
        <v>1</v>
      </c>
      <c r="G50">
        <v>1080</v>
      </c>
      <c r="H50">
        <v>3</v>
      </c>
      <c r="I50" t="s">
        <v>299</v>
      </c>
      <c r="J50" t="s">
        <v>3</v>
      </c>
      <c r="K50" t="s">
        <v>300</v>
      </c>
      <c r="L50">
        <v>1348</v>
      </c>
      <c r="N50">
        <v>1009</v>
      </c>
      <c r="O50" t="s">
        <v>281</v>
      </c>
      <c r="P50" t="s">
        <v>281</v>
      </c>
      <c r="Q50">
        <v>1000</v>
      </c>
      <c r="W50">
        <v>0</v>
      </c>
      <c r="X50">
        <v>-783086922</v>
      </c>
      <c r="Y50">
        <f>(AT50*1)</f>
        <v>1.6000000000000001E-4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9.8800000000000008</v>
      </c>
      <c r="AJ50">
        <v>1</v>
      </c>
      <c r="AK50">
        <v>1</v>
      </c>
      <c r="AL50">
        <v>1</v>
      </c>
      <c r="AM50">
        <v>5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1.6000000000000001E-4</v>
      </c>
      <c r="AU50" t="s">
        <v>23</v>
      </c>
      <c r="AV50">
        <v>0</v>
      </c>
      <c r="AW50">
        <v>2</v>
      </c>
      <c r="AX50">
        <v>60259008</v>
      </c>
      <c r="AY50">
        <v>1</v>
      </c>
      <c r="AZ50">
        <v>0</v>
      </c>
      <c r="BA50">
        <v>60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ROUND(Y50*Source!I85,9)</f>
        <v>1.6000000000000001E-3</v>
      </c>
      <c r="CY50">
        <f>AA50</f>
        <v>0</v>
      </c>
      <c r="CZ50">
        <f>AE50</f>
        <v>0</v>
      </c>
      <c r="DA50">
        <f>AI50</f>
        <v>9.8800000000000008</v>
      </c>
      <c r="DB50">
        <f>ROUND((ROUND(AT50*CZ50,2)*1),6)</f>
        <v>0</v>
      </c>
      <c r="DC50">
        <f>ROUND((ROUND(AT50*AG50,2)*1),6)</f>
        <v>0</v>
      </c>
      <c r="DD50" t="s">
        <v>3</v>
      </c>
      <c r="DE50" t="s">
        <v>3</v>
      </c>
      <c r="DF50">
        <f>ROUND(ROUND(AE50*AI50,2)*CX50,2)</f>
        <v>0</v>
      </c>
      <c r="DG50">
        <f t="shared" si="12"/>
        <v>0</v>
      </c>
      <c r="DH50">
        <f t="shared" si="13"/>
        <v>0</v>
      </c>
      <c r="DI50">
        <f t="shared" si="14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ROW(Source!A88)</f>
        <v>88</v>
      </c>
      <c r="B51">
        <v>60258621</v>
      </c>
      <c r="C51">
        <v>60258820</v>
      </c>
      <c r="D51">
        <v>58999254</v>
      </c>
      <c r="E51">
        <v>1080</v>
      </c>
      <c r="F51">
        <v>1</v>
      </c>
      <c r="G51">
        <v>1080</v>
      </c>
      <c r="H51">
        <v>1</v>
      </c>
      <c r="I51" t="s">
        <v>275</v>
      </c>
      <c r="J51" t="s">
        <v>3</v>
      </c>
      <c r="K51" t="s">
        <v>276</v>
      </c>
      <c r="L51">
        <v>1191</v>
      </c>
      <c r="N51">
        <v>1013</v>
      </c>
      <c r="O51" t="s">
        <v>277</v>
      </c>
      <c r="P51" t="s">
        <v>277</v>
      </c>
      <c r="Q51">
        <v>1</v>
      </c>
      <c r="W51">
        <v>0</v>
      </c>
      <c r="X51">
        <v>476480486</v>
      </c>
      <c r="Y51">
        <f>(AT51*1.1)</f>
        <v>93.137000000000015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84.67</v>
      </c>
      <c r="AU51" t="s">
        <v>24</v>
      </c>
      <c r="AV51">
        <v>1</v>
      </c>
      <c r="AW51">
        <v>2</v>
      </c>
      <c r="AX51">
        <v>60259009</v>
      </c>
      <c r="AY51">
        <v>1</v>
      </c>
      <c r="AZ51">
        <v>0</v>
      </c>
      <c r="BA51">
        <v>61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ROUND(AT51*Source!I88*AH51*AL51,2)</f>
        <v>0</v>
      </c>
      <c r="CV51">
        <f>ROUND(Y51*Source!I88,9)</f>
        <v>0.93137000000000003</v>
      </c>
      <c r="CW51">
        <v>0</v>
      </c>
      <c r="CX51">
        <f>ROUND(Y51*Source!I88,9)</f>
        <v>0.93137000000000003</v>
      </c>
      <c r="CY51">
        <f>AD51</f>
        <v>0</v>
      </c>
      <c r="CZ51">
        <f>AH51</f>
        <v>0</v>
      </c>
      <c r="DA51">
        <f>AL51</f>
        <v>1</v>
      </c>
      <c r="DB51">
        <f>ROUND((ROUND(AT51*CZ51,2)*1.1),6)</f>
        <v>0</v>
      </c>
      <c r="DC51">
        <f>ROUND((ROUND(AT51*AG51,2)*1.1),6)</f>
        <v>0</v>
      </c>
      <c r="DD51" t="s">
        <v>3</v>
      </c>
      <c r="DE51" t="s">
        <v>3</v>
      </c>
      <c r="DF51">
        <f t="shared" ref="DF51:DF59" si="23">ROUND(ROUND(AE51,2)*CX51,2)</f>
        <v>0</v>
      </c>
      <c r="DG51">
        <f t="shared" si="12"/>
        <v>0</v>
      </c>
      <c r="DH51">
        <f t="shared" si="13"/>
        <v>0</v>
      </c>
      <c r="DI51">
        <f t="shared" si="14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ROW(Source!A88)</f>
        <v>88</v>
      </c>
      <c r="B52">
        <v>60258621</v>
      </c>
      <c r="C52">
        <v>60258820</v>
      </c>
      <c r="D52">
        <v>59070669</v>
      </c>
      <c r="E52">
        <v>1</v>
      </c>
      <c r="F52">
        <v>1</v>
      </c>
      <c r="G52">
        <v>1080</v>
      </c>
      <c r="H52">
        <v>2</v>
      </c>
      <c r="I52" t="s">
        <v>301</v>
      </c>
      <c r="J52" t="s">
        <v>302</v>
      </c>
      <c r="K52" t="s">
        <v>303</v>
      </c>
      <c r="L52">
        <v>1368</v>
      </c>
      <c r="N52">
        <v>1011</v>
      </c>
      <c r="O52" t="s">
        <v>304</v>
      </c>
      <c r="P52" t="s">
        <v>304</v>
      </c>
      <c r="Q52">
        <v>1</v>
      </c>
      <c r="W52">
        <v>0</v>
      </c>
      <c r="X52">
        <v>-1985943078</v>
      </c>
      <c r="Y52">
        <f>(AT52*1.1)</f>
        <v>1.1330000000000002</v>
      </c>
      <c r="AA52">
        <v>0</v>
      </c>
      <c r="AB52">
        <v>87.01</v>
      </c>
      <c r="AC52">
        <v>13.21</v>
      </c>
      <c r="AD52">
        <v>0</v>
      </c>
      <c r="AE52">
        <v>0</v>
      </c>
      <c r="AF52">
        <v>83.1</v>
      </c>
      <c r="AG52">
        <v>12.62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1.03</v>
      </c>
      <c r="AU52" t="s">
        <v>24</v>
      </c>
      <c r="AV52">
        <v>0</v>
      </c>
      <c r="AW52">
        <v>2</v>
      </c>
      <c r="AX52">
        <v>60259010</v>
      </c>
      <c r="AY52">
        <v>1</v>
      </c>
      <c r="AZ52">
        <v>0</v>
      </c>
      <c r="BA52">
        <v>62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ROUND(Y52*Source!I88*DO52,9)</f>
        <v>0.14298459999999999</v>
      </c>
      <c r="CX52">
        <f>ROUND(Y52*Source!I88,9)</f>
        <v>1.133E-2</v>
      </c>
      <c r="CY52">
        <f>AB52</f>
        <v>87.01</v>
      </c>
      <c r="CZ52">
        <f>AF52</f>
        <v>83.1</v>
      </c>
      <c r="DA52">
        <f>AJ52</f>
        <v>1</v>
      </c>
      <c r="DB52">
        <f>ROUND((ROUND(AT52*CZ52,2)*1.1),6)</f>
        <v>94.149000000000001</v>
      </c>
      <c r="DC52">
        <f>ROUND((ROUND(AT52*AG52,2)*1.1),6)</f>
        <v>14.3</v>
      </c>
      <c r="DD52" t="s">
        <v>3</v>
      </c>
      <c r="DE52" t="s">
        <v>3</v>
      </c>
      <c r="DF52">
        <f t="shared" si="23"/>
        <v>0</v>
      </c>
      <c r="DG52">
        <f t="shared" si="12"/>
        <v>0.94</v>
      </c>
      <c r="DH52">
        <f t="shared" si="13"/>
        <v>0.14000000000000001</v>
      </c>
      <c r="DI52">
        <f t="shared" si="14"/>
        <v>0</v>
      </c>
      <c r="DJ52">
        <f>DG52</f>
        <v>0.94</v>
      </c>
      <c r="DK52">
        <v>0</v>
      </c>
      <c r="DL52" t="s">
        <v>305</v>
      </c>
      <c r="DM52">
        <v>0</v>
      </c>
      <c r="DN52" t="s">
        <v>277</v>
      </c>
      <c r="DO52">
        <v>12.62</v>
      </c>
    </row>
    <row r="53" spans="1:119" x14ac:dyDescent="0.2">
      <c r="A53">
        <f>ROW(Source!A88)</f>
        <v>88</v>
      </c>
      <c r="B53">
        <v>60258621</v>
      </c>
      <c r="C53">
        <v>60258820</v>
      </c>
      <c r="D53">
        <v>59070782</v>
      </c>
      <c r="E53">
        <v>1</v>
      </c>
      <c r="F53">
        <v>1</v>
      </c>
      <c r="G53">
        <v>1080</v>
      </c>
      <c r="H53">
        <v>2</v>
      </c>
      <c r="I53" t="s">
        <v>306</v>
      </c>
      <c r="J53" t="s">
        <v>307</v>
      </c>
      <c r="K53" t="s">
        <v>308</v>
      </c>
      <c r="L53">
        <v>1368</v>
      </c>
      <c r="N53">
        <v>1011</v>
      </c>
      <c r="O53" t="s">
        <v>304</v>
      </c>
      <c r="P53" t="s">
        <v>304</v>
      </c>
      <c r="Q53">
        <v>1</v>
      </c>
      <c r="W53">
        <v>0</v>
      </c>
      <c r="X53">
        <v>-507462707</v>
      </c>
      <c r="Y53">
        <f>(AT53*1.1)</f>
        <v>24.288</v>
      </c>
      <c r="AA53">
        <v>0</v>
      </c>
      <c r="AB53">
        <v>0.37</v>
      </c>
      <c r="AC53">
        <v>0</v>
      </c>
      <c r="AD53">
        <v>0</v>
      </c>
      <c r="AE53">
        <v>0</v>
      </c>
      <c r="AF53">
        <v>0.35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22.08</v>
      </c>
      <c r="AU53" t="s">
        <v>24</v>
      </c>
      <c r="AV53">
        <v>0</v>
      </c>
      <c r="AW53">
        <v>2</v>
      </c>
      <c r="AX53">
        <v>60259011</v>
      </c>
      <c r="AY53">
        <v>1</v>
      </c>
      <c r="AZ53">
        <v>0</v>
      </c>
      <c r="BA53">
        <v>63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ROUND(Y53*Source!I88*DO53,9)</f>
        <v>0</v>
      </c>
      <c r="CX53">
        <f>ROUND(Y53*Source!I88,9)</f>
        <v>0.24288000000000001</v>
      </c>
      <c r="CY53">
        <f>AB53</f>
        <v>0.37</v>
      </c>
      <c r="CZ53">
        <f>AF53</f>
        <v>0.35</v>
      </c>
      <c r="DA53">
        <f>AJ53</f>
        <v>1</v>
      </c>
      <c r="DB53">
        <f>ROUND((ROUND(AT53*CZ53,2)*1.1),6)</f>
        <v>8.5030000000000001</v>
      </c>
      <c r="DC53">
        <f>ROUND((ROUND(AT53*AG53,2)*1.1),6)</f>
        <v>0</v>
      </c>
      <c r="DD53" t="s">
        <v>3</v>
      </c>
      <c r="DE53" t="s">
        <v>3</v>
      </c>
      <c r="DF53">
        <f t="shared" si="23"/>
        <v>0</v>
      </c>
      <c r="DG53">
        <f t="shared" si="12"/>
        <v>0.09</v>
      </c>
      <c r="DH53">
        <f t="shared" si="13"/>
        <v>0</v>
      </c>
      <c r="DI53">
        <f t="shared" si="14"/>
        <v>0</v>
      </c>
      <c r="DJ53">
        <f>DG53</f>
        <v>0.09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ROW(Source!A88)</f>
        <v>88</v>
      </c>
      <c r="B54">
        <v>60258621</v>
      </c>
      <c r="C54">
        <v>60258820</v>
      </c>
      <c r="D54">
        <v>59040093</v>
      </c>
      <c r="E54">
        <v>1</v>
      </c>
      <c r="F54">
        <v>1</v>
      </c>
      <c r="G54">
        <v>1080</v>
      </c>
      <c r="H54">
        <v>3</v>
      </c>
      <c r="I54" t="s">
        <v>309</v>
      </c>
      <c r="J54" t="s">
        <v>310</v>
      </c>
      <c r="K54" t="s">
        <v>311</v>
      </c>
      <c r="L54">
        <v>1346</v>
      </c>
      <c r="N54">
        <v>1009</v>
      </c>
      <c r="O54" t="s">
        <v>289</v>
      </c>
      <c r="P54" t="s">
        <v>289</v>
      </c>
      <c r="Q54">
        <v>1</v>
      </c>
      <c r="W54">
        <v>0</v>
      </c>
      <c r="X54">
        <v>-878159893</v>
      </c>
      <c r="Y54">
        <f>(AT54*1)</f>
        <v>0.21</v>
      </c>
      <c r="AA54">
        <v>159.06</v>
      </c>
      <c r="AB54">
        <v>0</v>
      </c>
      <c r="AC54">
        <v>0</v>
      </c>
      <c r="AD54">
        <v>0</v>
      </c>
      <c r="AE54">
        <v>159.06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0.21</v>
      </c>
      <c r="AU54" t="s">
        <v>23</v>
      </c>
      <c r="AV54">
        <v>0</v>
      </c>
      <c r="AW54">
        <v>2</v>
      </c>
      <c r="AX54">
        <v>60259012</v>
      </c>
      <c r="AY54">
        <v>1</v>
      </c>
      <c r="AZ54">
        <v>0</v>
      </c>
      <c r="BA54">
        <v>64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ROUND(Y54*Source!I88,9)</f>
        <v>2.0999999999999999E-3</v>
      </c>
      <c r="CY54">
        <f>AA54</f>
        <v>159.06</v>
      </c>
      <c r="CZ54">
        <f>AE54</f>
        <v>159.06</v>
      </c>
      <c r="DA54">
        <f>AI54</f>
        <v>1</v>
      </c>
      <c r="DB54">
        <f>ROUND((ROUND(AT54*CZ54,2)*1),6)</f>
        <v>33.4</v>
      </c>
      <c r="DC54">
        <f>ROUND((ROUND(AT54*AG54,2)*1),6)</f>
        <v>0</v>
      </c>
      <c r="DD54" t="s">
        <v>3</v>
      </c>
      <c r="DE54" t="s">
        <v>3</v>
      </c>
      <c r="DF54">
        <f t="shared" si="23"/>
        <v>0.33</v>
      </c>
      <c r="DG54">
        <f t="shared" si="12"/>
        <v>0</v>
      </c>
      <c r="DH54">
        <f t="shared" si="13"/>
        <v>0</v>
      </c>
      <c r="DI54">
        <f t="shared" si="14"/>
        <v>0</v>
      </c>
      <c r="DJ54">
        <f>DF54</f>
        <v>0.33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ROW(Source!A88)</f>
        <v>88</v>
      </c>
      <c r="B55">
        <v>60258621</v>
      </c>
      <c r="C55">
        <v>60258820</v>
      </c>
      <c r="D55">
        <v>59039008</v>
      </c>
      <c r="E55">
        <v>1</v>
      </c>
      <c r="F55">
        <v>1</v>
      </c>
      <c r="G55">
        <v>1080</v>
      </c>
      <c r="H55">
        <v>3</v>
      </c>
      <c r="I55" t="s">
        <v>312</v>
      </c>
      <c r="J55" t="s">
        <v>313</v>
      </c>
      <c r="K55" t="s">
        <v>314</v>
      </c>
      <c r="L55">
        <v>1354</v>
      </c>
      <c r="N55">
        <v>1010</v>
      </c>
      <c r="O55" t="s">
        <v>216</v>
      </c>
      <c r="P55" t="s">
        <v>216</v>
      </c>
      <c r="Q55">
        <v>1</v>
      </c>
      <c r="W55">
        <v>0</v>
      </c>
      <c r="X55">
        <v>-40224714</v>
      </c>
      <c r="Y55">
        <f>(AT55*1)</f>
        <v>4.08</v>
      </c>
      <c r="AA55">
        <v>0.89</v>
      </c>
      <c r="AB55">
        <v>0</v>
      </c>
      <c r="AC55">
        <v>0</v>
      </c>
      <c r="AD55">
        <v>0</v>
      </c>
      <c r="AE55">
        <v>0.89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4.08</v>
      </c>
      <c r="AU55" t="s">
        <v>23</v>
      </c>
      <c r="AV55">
        <v>0</v>
      </c>
      <c r="AW55">
        <v>2</v>
      </c>
      <c r="AX55">
        <v>60259013</v>
      </c>
      <c r="AY55">
        <v>1</v>
      </c>
      <c r="AZ55">
        <v>0</v>
      </c>
      <c r="BA55">
        <v>65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ROUND(Y55*Source!I88,9)</f>
        <v>4.0800000000000003E-2</v>
      </c>
      <c r="CY55">
        <f>AA55</f>
        <v>0.89</v>
      </c>
      <c r="CZ55">
        <f>AE55</f>
        <v>0.89</v>
      </c>
      <c r="DA55">
        <f>AI55</f>
        <v>1</v>
      </c>
      <c r="DB55">
        <f>ROUND((ROUND(AT55*CZ55,2)*1),6)</f>
        <v>3.63</v>
      </c>
      <c r="DC55">
        <f>ROUND((ROUND(AT55*AG55,2)*1),6)</f>
        <v>0</v>
      </c>
      <c r="DD55" t="s">
        <v>3</v>
      </c>
      <c r="DE55" t="s">
        <v>3</v>
      </c>
      <c r="DF55">
        <f t="shared" si="23"/>
        <v>0.04</v>
      </c>
      <c r="DG55">
        <f t="shared" si="12"/>
        <v>0</v>
      </c>
      <c r="DH55">
        <f t="shared" si="13"/>
        <v>0</v>
      </c>
      <c r="DI55">
        <f t="shared" si="14"/>
        <v>0</v>
      </c>
      <c r="DJ55">
        <f>DF55</f>
        <v>0.04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ROW(Source!A88)</f>
        <v>88</v>
      </c>
      <c r="B56">
        <v>60258621</v>
      </c>
      <c r="C56">
        <v>60258820</v>
      </c>
      <c r="D56">
        <v>59068333</v>
      </c>
      <c r="E56">
        <v>1</v>
      </c>
      <c r="F56">
        <v>1</v>
      </c>
      <c r="G56">
        <v>1080</v>
      </c>
      <c r="H56">
        <v>3</v>
      </c>
      <c r="I56" t="s">
        <v>315</v>
      </c>
      <c r="J56" t="s">
        <v>316</v>
      </c>
      <c r="K56" t="s">
        <v>317</v>
      </c>
      <c r="L56">
        <v>1303</v>
      </c>
      <c r="N56">
        <v>1003</v>
      </c>
      <c r="O56" t="s">
        <v>240</v>
      </c>
      <c r="P56" t="s">
        <v>240</v>
      </c>
      <c r="Q56">
        <v>1000</v>
      </c>
      <c r="W56">
        <v>0</v>
      </c>
      <c r="X56">
        <v>106754564</v>
      </c>
      <c r="Y56">
        <f>(AT56*1)</f>
        <v>1.5299999999999999E-2</v>
      </c>
      <c r="AA56">
        <v>2897.31</v>
      </c>
      <c r="AB56">
        <v>0</v>
      </c>
      <c r="AC56">
        <v>0</v>
      </c>
      <c r="AD56">
        <v>0</v>
      </c>
      <c r="AE56">
        <v>2897.31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1.5299999999999999E-2</v>
      </c>
      <c r="AU56" t="s">
        <v>23</v>
      </c>
      <c r="AV56">
        <v>0</v>
      </c>
      <c r="AW56">
        <v>2</v>
      </c>
      <c r="AX56">
        <v>60259014</v>
      </c>
      <c r="AY56">
        <v>1</v>
      </c>
      <c r="AZ56">
        <v>0</v>
      </c>
      <c r="BA56">
        <v>66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ROUND(Y56*Source!I88,9)</f>
        <v>1.5300000000000001E-4</v>
      </c>
      <c r="CY56">
        <f>AA56</f>
        <v>2897.31</v>
      </c>
      <c r="CZ56">
        <f>AE56</f>
        <v>2897.31</v>
      </c>
      <c r="DA56">
        <f>AI56</f>
        <v>1</v>
      </c>
      <c r="DB56">
        <f>ROUND((ROUND(AT56*CZ56,2)*1),6)</f>
        <v>44.33</v>
      </c>
      <c r="DC56">
        <f>ROUND((ROUND(AT56*AG56,2)*1),6)</f>
        <v>0</v>
      </c>
      <c r="DD56" t="s">
        <v>3</v>
      </c>
      <c r="DE56" t="s">
        <v>3</v>
      </c>
      <c r="DF56">
        <f t="shared" si="23"/>
        <v>0.44</v>
      </c>
      <c r="DG56">
        <f t="shared" si="12"/>
        <v>0</v>
      </c>
      <c r="DH56">
        <f t="shared" si="13"/>
        <v>0</v>
      </c>
      <c r="DI56">
        <f t="shared" si="14"/>
        <v>0</v>
      </c>
      <c r="DJ56">
        <f>DF56</f>
        <v>0.44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ROW(Source!A89)</f>
        <v>89</v>
      </c>
      <c r="B57">
        <v>60258618</v>
      </c>
      <c r="C57">
        <v>60258820</v>
      </c>
      <c r="D57">
        <v>58999254</v>
      </c>
      <c r="E57">
        <v>1080</v>
      </c>
      <c r="F57">
        <v>1</v>
      </c>
      <c r="G57">
        <v>1080</v>
      </c>
      <c r="H57">
        <v>1</v>
      </c>
      <c r="I57" t="s">
        <v>275</v>
      </c>
      <c r="J57" t="s">
        <v>3</v>
      </c>
      <c r="K57" t="s">
        <v>276</v>
      </c>
      <c r="L57">
        <v>1191</v>
      </c>
      <c r="N57">
        <v>1013</v>
      </c>
      <c r="O57" t="s">
        <v>277</v>
      </c>
      <c r="P57" t="s">
        <v>277</v>
      </c>
      <c r="Q57">
        <v>1</v>
      </c>
      <c r="W57">
        <v>0</v>
      </c>
      <c r="X57">
        <v>476480486</v>
      </c>
      <c r="Y57">
        <f>(AT57*1.1)</f>
        <v>93.137000000000015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5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84.67</v>
      </c>
      <c r="AU57" t="s">
        <v>24</v>
      </c>
      <c r="AV57">
        <v>1</v>
      </c>
      <c r="AW57">
        <v>2</v>
      </c>
      <c r="AX57">
        <v>60259009</v>
      </c>
      <c r="AY57">
        <v>1</v>
      </c>
      <c r="AZ57">
        <v>0</v>
      </c>
      <c r="BA57">
        <v>69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ROUND(AT57*Source!I89*AH57*AL57,2)</f>
        <v>0</v>
      </c>
      <c r="CV57">
        <f>ROUND(Y57*Source!I89,9)</f>
        <v>0.93137000000000003</v>
      </c>
      <c r="CW57">
        <v>0</v>
      </c>
      <c r="CX57">
        <f>ROUND(Y57*Source!I89,9)</f>
        <v>0.93137000000000003</v>
      </c>
      <c r="CY57">
        <f>AD57</f>
        <v>0</v>
      </c>
      <c r="CZ57">
        <f>AH57</f>
        <v>0</v>
      </c>
      <c r="DA57">
        <f>AL57</f>
        <v>1</v>
      </c>
      <c r="DB57">
        <f>ROUND((ROUND(AT57*CZ57,2)*1.1),6)</f>
        <v>0</v>
      </c>
      <c r="DC57">
        <f>ROUND((ROUND(AT57*AG57,2)*1.1),6)</f>
        <v>0</v>
      </c>
      <c r="DD57" t="s">
        <v>3</v>
      </c>
      <c r="DE57" t="s">
        <v>3</v>
      </c>
      <c r="DF57">
        <f t="shared" si="23"/>
        <v>0</v>
      </c>
      <c r="DG57">
        <f t="shared" si="12"/>
        <v>0</v>
      </c>
      <c r="DH57">
        <f t="shared" si="13"/>
        <v>0</v>
      </c>
      <c r="DI57">
        <f t="shared" si="14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ROW(Source!A89)</f>
        <v>89</v>
      </c>
      <c r="B58">
        <v>60258618</v>
      </c>
      <c r="C58">
        <v>60258820</v>
      </c>
      <c r="D58">
        <v>59070669</v>
      </c>
      <c r="E58">
        <v>1</v>
      </c>
      <c r="F58">
        <v>1</v>
      </c>
      <c r="G58">
        <v>1080</v>
      </c>
      <c r="H58">
        <v>2</v>
      </c>
      <c r="I58" t="s">
        <v>301</v>
      </c>
      <c r="J58" t="s">
        <v>302</v>
      </c>
      <c r="K58" t="s">
        <v>303</v>
      </c>
      <c r="L58">
        <v>1368</v>
      </c>
      <c r="N58">
        <v>1011</v>
      </c>
      <c r="O58" t="s">
        <v>304</v>
      </c>
      <c r="P58" t="s">
        <v>304</v>
      </c>
      <c r="Q58">
        <v>1</v>
      </c>
      <c r="W58">
        <v>0</v>
      </c>
      <c r="X58">
        <v>-1985943078</v>
      </c>
      <c r="Y58">
        <f>(AT58*1.1)</f>
        <v>1.1330000000000002</v>
      </c>
      <c r="AA58">
        <v>0</v>
      </c>
      <c r="AB58">
        <v>1418.19</v>
      </c>
      <c r="AC58">
        <v>726.59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16.3</v>
      </c>
      <c r="AK58">
        <v>54.99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1.03</v>
      </c>
      <c r="AU58" t="s">
        <v>24</v>
      </c>
      <c r="AV58">
        <v>0</v>
      </c>
      <c r="AW58">
        <v>2</v>
      </c>
      <c r="AX58">
        <v>60259010</v>
      </c>
      <c r="AY58">
        <v>1</v>
      </c>
      <c r="AZ58">
        <v>0</v>
      </c>
      <c r="BA58">
        <v>70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ROUND(Y58*Source!I89*DO58,9)</f>
        <v>0.14298459999999999</v>
      </c>
      <c r="CX58">
        <f>ROUND(Y58*Source!I89,9)</f>
        <v>1.133E-2</v>
      </c>
      <c r="CY58">
        <f>AB58</f>
        <v>1418.19</v>
      </c>
      <c r="CZ58">
        <f>AF58</f>
        <v>83.1</v>
      </c>
      <c r="DA58">
        <f>AJ58</f>
        <v>16.3</v>
      </c>
      <c r="DB58">
        <f>ROUND((ROUND(AT58*CZ58,2)*1.1),6)</f>
        <v>94.149000000000001</v>
      </c>
      <c r="DC58">
        <f>ROUND((ROUND(AT58*AG58,2)*1.1),6)</f>
        <v>14.3</v>
      </c>
      <c r="DD58" t="s">
        <v>3</v>
      </c>
      <c r="DE58" t="s">
        <v>3</v>
      </c>
      <c r="DF58">
        <f t="shared" si="23"/>
        <v>0</v>
      </c>
      <c r="DG58">
        <f>ROUND(ROUND(AF58*AJ58,2)*CX58,2)</f>
        <v>15.35</v>
      </c>
      <c r="DH58">
        <f>ROUND(ROUND(AG58*AK58,2)*CX58,2)</f>
        <v>7.86</v>
      </c>
      <c r="DI58">
        <f t="shared" si="14"/>
        <v>0</v>
      </c>
      <c r="DJ58">
        <f>DG58</f>
        <v>15.35</v>
      </c>
      <c r="DK58">
        <v>0</v>
      </c>
      <c r="DL58" t="s">
        <v>305</v>
      </c>
      <c r="DM58">
        <v>0</v>
      </c>
      <c r="DN58" t="s">
        <v>277</v>
      </c>
      <c r="DO58">
        <v>12.62</v>
      </c>
    </row>
    <row r="59" spans="1:119" x14ac:dyDescent="0.2">
      <c r="A59">
        <f>ROW(Source!A89)</f>
        <v>89</v>
      </c>
      <c r="B59">
        <v>60258618</v>
      </c>
      <c r="C59">
        <v>60258820</v>
      </c>
      <c r="D59">
        <v>59070782</v>
      </c>
      <c r="E59">
        <v>1</v>
      </c>
      <c r="F59">
        <v>1</v>
      </c>
      <c r="G59">
        <v>1080</v>
      </c>
      <c r="H59">
        <v>2</v>
      </c>
      <c r="I59" t="s">
        <v>306</v>
      </c>
      <c r="J59" t="s">
        <v>307</v>
      </c>
      <c r="K59" t="s">
        <v>308</v>
      </c>
      <c r="L59">
        <v>1368</v>
      </c>
      <c r="N59">
        <v>1011</v>
      </c>
      <c r="O59" t="s">
        <v>304</v>
      </c>
      <c r="P59" t="s">
        <v>304</v>
      </c>
      <c r="Q59">
        <v>1</v>
      </c>
      <c r="W59">
        <v>0</v>
      </c>
      <c r="X59">
        <v>-507462707</v>
      </c>
      <c r="Y59">
        <f>(AT59*1.1)</f>
        <v>24.288</v>
      </c>
      <c r="AA59">
        <v>0</v>
      </c>
      <c r="AB59">
        <v>3.08</v>
      </c>
      <c r="AC59">
        <v>0</v>
      </c>
      <c r="AD59">
        <v>0</v>
      </c>
      <c r="AE59">
        <v>0</v>
      </c>
      <c r="AF59">
        <v>0.35</v>
      </c>
      <c r="AG59">
        <v>0</v>
      </c>
      <c r="AH59">
        <v>0</v>
      </c>
      <c r="AI59">
        <v>1</v>
      </c>
      <c r="AJ59">
        <v>8.4</v>
      </c>
      <c r="AK59">
        <v>54.99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22.08</v>
      </c>
      <c r="AU59" t="s">
        <v>24</v>
      </c>
      <c r="AV59">
        <v>0</v>
      </c>
      <c r="AW59">
        <v>2</v>
      </c>
      <c r="AX59">
        <v>60259011</v>
      </c>
      <c r="AY59">
        <v>1</v>
      </c>
      <c r="AZ59">
        <v>0</v>
      </c>
      <c r="BA59">
        <v>71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ROUND(Y59*Source!I89*DO59,9)</f>
        <v>0</v>
      </c>
      <c r="CX59">
        <f>ROUND(Y59*Source!I89,9)</f>
        <v>0.24288000000000001</v>
      </c>
      <c r="CY59">
        <f>AB59</f>
        <v>3.08</v>
      </c>
      <c r="CZ59">
        <f>AF59</f>
        <v>0.35</v>
      </c>
      <c r="DA59">
        <f>AJ59</f>
        <v>8.4</v>
      </c>
      <c r="DB59">
        <f>ROUND((ROUND(AT59*CZ59,2)*1.1),6)</f>
        <v>8.5030000000000001</v>
      </c>
      <c r="DC59">
        <f>ROUND((ROUND(AT59*AG59,2)*1.1),6)</f>
        <v>0</v>
      </c>
      <c r="DD59" t="s">
        <v>3</v>
      </c>
      <c r="DE59" t="s">
        <v>3</v>
      </c>
      <c r="DF59">
        <f t="shared" si="23"/>
        <v>0</v>
      </c>
      <c r="DG59">
        <f>ROUND(ROUND(AF59*AJ59,2)*CX59,2)</f>
        <v>0.71</v>
      </c>
      <c r="DH59">
        <f>ROUND(ROUND(AG59*AK59,2)*CX59,2)</f>
        <v>0</v>
      </c>
      <c r="DI59">
        <f t="shared" si="14"/>
        <v>0</v>
      </c>
      <c r="DJ59">
        <f>DG59</f>
        <v>0.71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ROW(Source!A89)</f>
        <v>89</v>
      </c>
      <c r="B60">
        <v>60258618</v>
      </c>
      <c r="C60">
        <v>60258820</v>
      </c>
      <c r="D60">
        <v>59040093</v>
      </c>
      <c r="E60">
        <v>1</v>
      </c>
      <c r="F60">
        <v>1</v>
      </c>
      <c r="G60">
        <v>1080</v>
      </c>
      <c r="H60">
        <v>3</v>
      </c>
      <c r="I60" t="s">
        <v>309</v>
      </c>
      <c r="J60" t="s">
        <v>310</v>
      </c>
      <c r="K60" t="s">
        <v>311</v>
      </c>
      <c r="L60">
        <v>1346</v>
      </c>
      <c r="N60">
        <v>1009</v>
      </c>
      <c r="O60" t="s">
        <v>289</v>
      </c>
      <c r="P60" t="s">
        <v>289</v>
      </c>
      <c r="Q60">
        <v>1</v>
      </c>
      <c r="W60">
        <v>0</v>
      </c>
      <c r="X60">
        <v>-878159893</v>
      </c>
      <c r="Y60">
        <f>(AT60*1)</f>
        <v>0.21</v>
      </c>
      <c r="AA60">
        <v>286.31</v>
      </c>
      <c r="AB60">
        <v>0</v>
      </c>
      <c r="AC60">
        <v>0</v>
      </c>
      <c r="AD60">
        <v>0</v>
      </c>
      <c r="AE60">
        <v>159.06</v>
      </c>
      <c r="AF60">
        <v>0</v>
      </c>
      <c r="AG60">
        <v>0</v>
      </c>
      <c r="AH60">
        <v>0</v>
      </c>
      <c r="AI60">
        <v>1.8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0.21</v>
      </c>
      <c r="AU60" t="s">
        <v>23</v>
      </c>
      <c r="AV60">
        <v>0</v>
      </c>
      <c r="AW60">
        <v>2</v>
      </c>
      <c r="AX60">
        <v>60259012</v>
      </c>
      <c r="AY60">
        <v>1</v>
      </c>
      <c r="AZ60">
        <v>0</v>
      </c>
      <c r="BA60">
        <v>72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ROUND(Y60*Source!I89,9)</f>
        <v>2.0999999999999999E-3</v>
      </c>
      <c r="CY60">
        <f>AA60</f>
        <v>286.31</v>
      </c>
      <c r="CZ60">
        <f>AE60</f>
        <v>159.06</v>
      </c>
      <c r="DA60">
        <f>AI60</f>
        <v>1.8</v>
      </c>
      <c r="DB60">
        <f>ROUND((ROUND(AT60*CZ60,2)*1),6)</f>
        <v>33.4</v>
      </c>
      <c r="DC60">
        <f>ROUND((ROUND(AT60*AG60,2)*1),6)</f>
        <v>0</v>
      </c>
      <c r="DD60" t="s">
        <v>3</v>
      </c>
      <c r="DE60" t="s">
        <v>3</v>
      </c>
      <c r="DF60">
        <f>ROUND(ROUND(AE60*AI60,2)*CX60,2)</f>
        <v>0.6</v>
      </c>
      <c r="DG60">
        <f t="shared" ref="DG60:DG83" si="24">ROUND(ROUND(AF60,2)*CX60,2)</f>
        <v>0</v>
      </c>
      <c r="DH60">
        <f t="shared" ref="DH60:DH83" si="25">ROUND(ROUND(AG60,2)*CX60,2)</f>
        <v>0</v>
      </c>
      <c r="DI60">
        <f t="shared" si="14"/>
        <v>0</v>
      </c>
      <c r="DJ60">
        <f>DF60</f>
        <v>0.6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ROW(Source!A89)</f>
        <v>89</v>
      </c>
      <c r="B61">
        <v>60258618</v>
      </c>
      <c r="C61">
        <v>60258820</v>
      </c>
      <c r="D61">
        <v>59039008</v>
      </c>
      <c r="E61">
        <v>1</v>
      </c>
      <c r="F61">
        <v>1</v>
      </c>
      <c r="G61">
        <v>1080</v>
      </c>
      <c r="H61">
        <v>3</v>
      </c>
      <c r="I61" t="s">
        <v>312</v>
      </c>
      <c r="J61" t="s">
        <v>313</v>
      </c>
      <c r="K61" t="s">
        <v>314</v>
      </c>
      <c r="L61">
        <v>1354</v>
      </c>
      <c r="N61">
        <v>1010</v>
      </c>
      <c r="O61" t="s">
        <v>216</v>
      </c>
      <c r="P61" t="s">
        <v>216</v>
      </c>
      <c r="Q61">
        <v>1</v>
      </c>
      <c r="W61">
        <v>0</v>
      </c>
      <c r="X61">
        <v>-40224714</v>
      </c>
      <c r="Y61">
        <f>(AT61*1)</f>
        <v>4.08</v>
      </c>
      <c r="AA61">
        <v>0.8</v>
      </c>
      <c r="AB61">
        <v>0</v>
      </c>
      <c r="AC61">
        <v>0</v>
      </c>
      <c r="AD61">
        <v>0</v>
      </c>
      <c r="AE61">
        <v>0.89</v>
      </c>
      <c r="AF61">
        <v>0</v>
      </c>
      <c r="AG61">
        <v>0</v>
      </c>
      <c r="AH61">
        <v>0</v>
      </c>
      <c r="AI61">
        <v>0.9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4.08</v>
      </c>
      <c r="AU61" t="s">
        <v>23</v>
      </c>
      <c r="AV61">
        <v>0</v>
      </c>
      <c r="AW61">
        <v>2</v>
      </c>
      <c r="AX61">
        <v>60259013</v>
      </c>
      <c r="AY61">
        <v>1</v>
      </c>
      <c r="AZ61">
        <v>0</v>
      </c>
      <c r="BA61">
        <v>73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ROUND(Y61*Source!I89,9)</f>
        <v>4.0800000000000003E-2</v>
      </c>
      <c r="CY61">
        <f>AA61</f>
        <v>0.8</v>
      </c>
      <c r="CZ61">
        <f>AE61</f>
        <v>0.89</v>
      </c>
      <c r="DA61">
        <f>AI61</f>
        <v>0.9</v>
      </c>
      <c r="DB61">
        <f>ROUND((ROUND(AT61*CZ61,2)*1),6)</f>
        <v>3.63</v>
      </c>
      <c r="DC61">
        <f>ROUND((ROUND(AT61*AG61,2)*1),6)</f>
        <v>0</v>
      </c>
      <c r="DD61" t="s">
        <v>3</v>
      </c>
      <c r="DE61" t="s">
        <v>3</v>
      </c>
      <c r="DF61">
        <f>ROUND(ROUND(AE61*AI61,2)*CX61,2)</f>
        <v>0.03</v>
      </c>
      <c r="DG61">
        <f t="shared" si="24"/>
        <v>0</v>
      </c>
      <c r="DH61">
        <f t="shared" si="25"/>
        <v>0</v>
      </c>
      <c r="DI61">
        <f t="shared" si="14"/>
        <v>0</v>
      </c>
      <c r="DJ61">
        <f>DF61</f>
        <v>0.03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ROW(Source!A89)</f>
        <v>89</v>
      </c>
      <c r="B62">
        <v>60258618</v>
      </c>
      <c r="C62">
        <v>60258820</v>
      </c>
      <c r="D62">
        <v>59068333</v>
      </c>
      <c r="E62">
        <v>1</v>
      </c>
      <c r="F62">
        <v>1</v>
      </c>
      <c r="G62">
        <v>1080</v>
      </c>
      <c r="H62">
        <v>3</v>
      </c>
      <c r="I62" t="s">
        <v>315</v>
      </c>
      <c r="J62" t="s">
        <v>316</v>
      </c>
      <c r="K62" t="s">
        <v>317</v>
      </c>
      <c r="L62">
        <v>1303</v>
      </c>
      <c r="N62">
        <v>1003</v>
      </c>
      <c r="O62" t="s">
        <v>240</v>
      </c>
      <c r="P62" t="s">
        <v>240</v>
      </c>
      <c r="Q62">
        <v>1000</v>
      </c>
      <c r="W62">
        <v>0</v>
      </c>
      <c r="X62">
        <v>106754564</v>
      </c>
      <c r="Y62">
        <f>(AT62*1)</f>
        <v>1.5299999999999999E-2</v>
      </c>
      <c r="AA62">
        <v>52499.26</v>
      </c>
      <c r="AB62">
        <v>0</v>
      </c>
      <c r="AC62">
        <v>0</v>
      </c>
      <c r="AD62">
        <v>0</v>
      </c>
      <c r="AE62">
        <v>2897.31</v>
      </c>
      <c r="AF62">
        <v>0</v>
      </c>
      <c r="AG62">
        <v>0</v>
      </c>
      <c r="AH62">
        <v>0</v>
      </c>
      <c r="AI62">
        <v>18.12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1.5299999999999999E-2</v>
      </c>
      <c r="AU62" t="s">
        <v>23</v>
      </c>
      <c r="AV62">
        <v>0</v>
      </c>
      <c r="AW62">
        <v>2</v>
      </c>
      <c r="AX62">
        <v>60259014</v>
      </c>
      <c r="AY62">
        <v>1</v>
      </c>
      <c r="AZ62">
        <v>0</v>
      </c>
      <c r="BA62">
        <v>74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ROUND(Y62*Source!I89,9)</f>
        <v>1.5300000000000001E-4</v>
      </c>
      <c r="CY62">
        <f>AA62</f>
        <v>52499.26</v>
      </c>
      <c r="CZ62">
        <f>AE62</f>
        <v>2897.31</v>
      </c>
      <c r="DA62">
        <f>AI62</f>
        <v>18.12</v>
      </c>
      <c r="DB62">
        <f>ROUND((ROUND(AT62*CZ62,2)*1),6)</f>
        <v>44.33</v>
      </c>
      <c r="DC62">
        <f>ROUND((ROUND(AT62*AG62,2)*1),6)</f>
        <v>0</v>
      </c>
      <c r="DD62" t="s">
        <v>3</v>
      </c>
      <c r="DE62" t="s">
        <v>3</v>
      </c>
      <c r="DF62">
        <f>ROUND(ROUND(AE62*AI62,2)*CX62,2)</f>
        <v>8.0299999999999994</v>
      </c>
      <c r="DG62">
        <f t="shared" si="24"/>
        <v>0</v>
      </c>
      <c r="DH62">
        <f t="shared" si="25"/>
        <v>0</v>
      </c>
      <c r="DI62">
        <f t="shared" si="14"/>
        <v>0</v>
      </c>
      <c r="DJ62">
        <f>DF62</f>
        <v>8.0299999999999994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ROW(Source!A127)</f>
        <v>127</v>
      </c>
      <c r="B63">
        <v>60258621</v>
      </c>
      <c r="C63">
        <v>60258892</v>
      </c>
      <c r="D63">
        <v>58999254</v>
      </c>
      <c r="E63">
        <v>1080</v>
      </c>
      <c r="F63">
        <v>1</v>
      </c>
      <c r="G63">
        <v>1080</v>
      </c>
      <c r="H63">
        <v>1</v>
      </c>
      <c r="I63" t="s">
        <v>275</v>
      </c>
      <c r="J63" t="s">
        <v>3</v>
      </c>
      <c r="K63" t="s">
        <v>276</v>
      </c>
      <c r="L63">
        <v>1191</v>
      </c>
      <c r="N63">
        <v>1013</v>
      </c>
      <c r="O63" t="s">
        <v>277</v>
      </c>
      <c r="P63" t="s">
        <v>277</v>
      </c>
      <c r="Q63">
        <v>1</v>
      </c>
      <c r="W63">
        <v>0</v>
      </c>
      <c r="X63">
        <v>476480486</v>
      </c>
      <c r="Y63">
        <f>(AT63*1.1)</f>
        <v>15.807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14.37</v>
      </c>
      <c r="AU63" t="s">
        <v>24</v>
      </c>
      <c r="AV63">
        <v>1</v>
      </c>
      <c r="AW63">
        <v>2</v>
      </c>
      <c r="AX63">
        <v>60259017</v>
      </c>
      <c r="AY63">
        <v>1</v>
      </c>
      <c r="AZ63">
        <v>0</v>
      </c>
      <c r="BA63">
        <v>77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ROUND(AT63*Source!I127*AH63*AL63,2)</f>
        <v>0</v>
      </c>
      <c r="CV63">
        <f>ROUND(Y63*Source!I127,9)</f>
        <v>474.21</v>
      </c>
      <c r="CW63">
        <v>0</v>
      </c>
      <c r="CX63">
        <f>ROUND(Y63*Source!I127,9)</f>
        <v>474.21</v>
      </c>
      <c r="CY63">
        <f>AD63</f>
        <v>0</v>
      </c>
      <c r="CZ63">
        <f>AH63</f>
        <v>0</v>
      </c>
      <c r="DA63">
        <f>AL63</f>
        <v>1</v>
      </c>
      <c r="DB63">
        <f>ROUND((ROUND(AT63*CZ63,2)*1.1),6)</f>
        <v>0</v>
      </c>
      <c r="DC63">
        <f>ROUND((ROUND(AT63*AG63,2)*1.1),6)</f>
        <v>0</v>
      </c>
      <c r="DD63" t="s">
        <v>3</v>
      </c>
      <c r="DE63" t="s">
        <v>3</v>
      </c>
      <c r="DF63">
        <f>ROUND(ROUND(AE63,2)*CX63,2)</f>
        <v>0</v>
      </c>
      <c r="DG63">
        <f t="shared" si="24"/>
        <v>0</v>
      </c>
      <c r="DH63">
        <f t="shared" si="25"/>
        <v>0</v>
      </c>
      <c r="DI63">
        <f t="shared" si="14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ROW(Source!A127)</f>
        <v>127</v>
      </c>
      <c r="B64">
        <v>60258621</v>
      </c>
      <c r="C64">
        <v>60258892</v>
      </c>
      <c r="D64">
        <v>59052975</v>
      </c>
      <c r="E64">
        <v>1</v>
      </c>
      <c r="F64">
        <v>1</v>
      </c>
      <c r="G64">
        <v>1080</v>
      </c>
      <c r="H64">
        <v>3</v>
      </c>
      <c r="I64" t="s">
        <v>209</v>
      </c>
      <c r="J64" t="s">
        <v>212</v>
      </c>
      <c r="K64" t="s">
        <v>210</v>
      </c>
      <c r="L64">
        <v>1301</v>
      </c>
      <c r="N64">
        <v>1003</v>
      </c>
      <c r="O64" t="s">
        <v>211</v>
      </c>
      <c r="P64" t="s">
        <v>211</v>
      </c>
      <c r="Q64">
        <v>1</v>
      </c>
      <c r="W64">
        <v>0</v>
      </c>
      <c r="X64">
        <v>1184991115</v>
      </c>
      <c r="Y64">
        <f>(AT64*1)</f>
        <v>102</v>
      </c>
      <c r="AA64">
        <v>2.67</v>
      </c>
      <c r="AB64">
        <v>0</v>
      </c>
      <c r="AC64">
        <v>0</v>
      </c>
      <c r="AD64">
        <v>0</v>
      </c>
      <c r="AE64">
        <v>2.67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 t="s">
        <v>3</v>
      </c>
      <c r="AT64">
        <v>102</v>
      </c>
      <c r="AU64" t="s">
        <v>23</v>
      </c>
      <c r="AV64">
        <v>0</v>
      </c>
      <c r="AW64">
        <v>1</v>
      </c>
      <c r="AX64">
        <v>-1</v>
      </c>
      <c r="AY64">
        <v>0</v>
      </c>
      <c r="AZ64">
        <v>0</v>
      </c>
      <c r="BA64" t="s">
        <v>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ROUND(Y64*Source!I127,9)</f>
        <v>3060</v>
      </c>
      <c r="CY64">
        <f>AA64</f>
        <v>2.67</v>
      </c>
      <c r="CZ64">
        <f>AE64</f>
        <v>2.67</v>
      </c>
      <c r="DA64">
        <f>AI64</f>
        <v>1</v>
      </c>
      <c r="DB64">
        <f>ROUND((ROUND(AT64*CZ64,2)*1),6)</f>
        <v>272.33999999999997</v>
      </c>
      <c r="DC64">
        <f>ROUND((ROUND(AT64*AG64,2)*1),6)</f>
        <v>0</v>
      </c>
      <c r="DD64" t="s">
        <v>3</v>
      </c>
      <c r="DE64" t="s">
        <v>3</v>
      </c>
      <c r="DF64">
        <f>ROUND(ROUND(AE64,2)*CX64,2)</f>
        <v>8170.2</v>
      </c>
      <c r="DG64">
        <f t="shared" si="24"/>
        <v>0</v>
      </c>
      <c r="DH64">
        <f t="shared" si="25"/>
        <v>0</v>
      </c>
      <c r="DI64">
        <f t="shared" si="14"/>
        <v>0</v>
      </c>
      <c r="DJ64">
        <f>DF64</f>
        <v>8170.2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ROW(Source!A127)</f>
        <v>127</v>
      </c>
      <c r="B65">
        <v>60258621</v>
      </c>
      <c r="C65">
        <v>60258892</v>
      </c>
      <c r="D65">
        <v>59058209</v>
      </c>
      <c r="E65">
        <v>1</v>
      </c>
      <c r="F65">
        <v>1</v>
      </c>
      <c r="G65">
        <v>1080</v>
      </c>
      <c r="H65">
        <v>3</v>
      </c>
      <c r="I65" t="s">
        <v>214</v>
      </c>
      <c r="J65" t="s">
        <v>217</v>
      </c>
      <c r="K65" t="s">
        <v>215</v>
      </c>
      <c r="L65">
        <v>1354</v>
      </c>
      <c r="N65">
        <v>1010</v>
      </c>
      <c r="O65" t="s">
        <v>216</v>
      </c>
      <c r="P65" t="s">
        <v>216</v>
      </c>
      <c r="Q65">
        <v>1</v>
      </c>
      <c r="W65">
        <v>0</v>
      </c>
      <c r="X65">
        <v>1928261302</v>
      </c>
      <c r="Y65">
        <f>(AT65*1)</f>
        <v>3.3333333299999999</v>
      </c>
      <c r="AA65">
        <v>3.83</v>
      </c>
      <c r="AB65">
        <v>0</v>
      </c>
      <c r="AC65">
        <v>0</v>
      </c>
      <c r="AD65">
        <v>0</v>
      </c>
      <c r="AE65">
        <v>3.83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 t="s">
        <v>3</v>
      </c>
      <c r="AT65">
        <v>3.3333333299999999</v>
      </c>
      <c r="AU65" t="s">
        <v>23</v>
      </c>
      <c r="AV65">
        <v>0</v>
      </c>
      <c r="AW65">
        <v>1</v>
      </c>
      <c r="AX65">
        <v>-1</v>
      </c>
      <c r="AY65">
        <v>0</v>
      </c>
      <c r="AZ65">
        <v>0</v>
      </c>
      <c r="BA65" t="s">
        <v>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ROUND(Y65*Source!I127,9)</f>
        <v>99.999999900000006</v>
      </c>
      <c r="CY65">
        <f>AA65</f>
        <v>3.83</v>
      </c>
      <c r="CZ65">
        <f>AE65</f>
        <v>3.83</v>
      </c>
      <c r="DA65">
        <f>AI65</f>
        <v>1</v>
      </c>
      <c r="DB65">
        <f>ROUND((ROUND(AT65*CZ65,2)*1),6)</f>
        <v>12.77</v>
      </c>
      <c r="DC65">
        <f>ROUND((ROUND(AT65*AG65,2)*1),6)</f>
        <v>0</v>
      </c>
      <c r="DD65" t="s">
        <v>3</v>
      </c>
      <c r="DE65" t="s">
        <v>3</v>
      </c>
      <c r="DF65">
        <f>ROUND(ROUND(AE65,2)*CX65,2)</f>
        <v>383</v>
      </c>
      <c r="DG65">
        <f t="shared" si="24"/>
        <v>0</v>
      </c>
      <c r="DH65">
        <f t="shared" si="25"/>
        <v>0</v>
      </c>
      <c r="DI65">
        <f t="shared" ref="DI65:DI96" si="26">ROUND(ROUND(AH65,2)*CX65,2)</f>
        <v>0</v>
      </c>
      <c r="DJ65">
        <f>DF65</f>
        <v>383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ROW(Source!A128)</f>
        <v>128</v>
      </c>
      <c r="B66">
        <v>60258618</v>
      </c>
      <c r="C66">
        <v>60258892</v>
      </c>
      <c r="D66">
        <v>58999254</v>
      </c>
      <c r="E66">
        <v>1080</v>
      </c>
      <c r="F66">
        <v>1</v>
      </c>
      <c r="G66">
        <v>1080</v>
      </c>
      <c r="H66">
        <v>1</v>
      </c>
      <c r="I66" t="s">
        <v>275</v>
      </c>
      <c r="J66" t="s">
        <v>3</v>
      </c>
      <c r="K66" t="s">
        <v>276</v>
      </c>
      <c r="L66">
        <v>1191</v>
      </c>
      <c r="N66">
        <v>1013</v>
      </c>
      <c r="O66" t="s">
        <v>277</v>
      </c>
      <c r="P66" t="s">
        <v>277</v>
      </c>
      <c r="Q66">
        <v>1</v>
      </c>
      <c r="W66">
        <v>0</v>
      </c>
      <c r="X66">
        <v>476480486</v>
      </c>
      <c r="Y66">
        <f>(AT66*1.1)</f>
        <v>15.807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5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14.37</v>
      </c>
      <c r="AU66" t="s">
        <v>24</v>
      </c>
      <c r="AV66">
        <v>1</v>
      </c>
      <c r="AW66">
        <v>2</v>
      </c>
      <c r="AX66">
        <v>60259017</v>
      </c>
      <c r="AY66">
        <v>1</v>
      </c>
      <c r="AZ66">
        <v>0</v>
      </c>
      <c r="BA66">
        <v>81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U66">
        <f>ROUND(AT66*Source!I128*AH66*AL66,2)</f>
        <v>0</v>
      </c>
      <c r="CV66">
        <f>ROUND(Y66*Source!I128,9)</f>
        <v>474.21</v>
      </c>
      <c r="CW66">
        <v>0</v>
      </c>
      <c r="CX66">
        <f>ROUND(Y66*Source!I128,9)</f>
        <v>474.21</v>
      </c>
      <c r="CY66">
        <f>AD66</f>
        <v>0</v>
      </c>
      <c r="CZ66">
        <f>AH66</f>
        <v>0</v>
      </c>
      <c r="DA66">
        <f>AL66</f>
        <v>1</v>
      </c>
      <c r="DB66">
        <f>ROUND((ROUND(AT66*CZ66,2)*1.1),6)</f>
        <v>0</v>
      </c>
      <c r="DC66">
        <f>ROUND((ROUND(AT66*AG66,2)*1.1),6)</f>
        <v>0</v>
      </c>
      <c r="DD66" t="s">
        <v>3</v>
      </c>
      <c r="DE66" t="s">
        <v>3</v>
      </c>
      <c r="DF66">
        <f>ROUND(ROUND(AE66,2)*CX66,2)</f>
        <v>0</v>
      </c>
      <c r="DG66">
        <f t="shared" si="24"/>
        <v>0</v>
      </c>
      <c r="DH66">
        <f t="shared" si="25"/>
        <v>0</v>
      </c>
      <c r="DI66">
        <f t="shared" si="26"/>
        <v>0</v>
      </c>
      <c r="DJ66">
        <f>DI66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ROW(Source!A128)</f>
        <v>128</v>
      </c>
      <c r="B67">
        <v>60258618</v>
      </c>
      <c r="C67">
        <v>60258892</v>
      </c>
      <c r="D67">
        <v>59052975</v>
      </c>
      <c r="E67">
        <v>1</v>
      </c>
      <c r="F67">
        <v>1</v>
      </c>
      <c r="G67">
        <v>1080</v>
      </c>
      <c r="H67">
        <v>3</v>
      </c>
      <c r="I67" t="s">
        <v>209</v>
      </c>
      <c r="J67" t="s">
        <v>212</v>
      </c>
      <c r="K67" t="s">
        <v>210</v>
      </c>
      <c r="L67">
        <v>1301</v>
      </c>
      <c r="N67">
        <v>1003</v>
      </c>
      <c r="O67" t="s">
        <v>211</v>
      </c>
      <c r="P67" t="s">
        <v>211</v>
      </c>
      <c r="Q67">
        <v>1</v>
      </c>
      <c r="W67">
        <v>0</v>
      </c>
      <c r="X67">
        <v>1184991115</v>
      </c>
      <c r="Y67">
        <f>(AT67*1)</f>
        <v>102</v>
      </c>
      <c r="AA67">
        <v>10.23</v>
      </c>
      <c r="AB67">
        <v>0</v>
      </c>
      <c r="AC67">
        <v>0</v>
      </c>
      <c r="AD67">
        <v>0</v>
      </c>
      <c r="AE67">
        <v>2.67</v>
      </c>
      <c r="AF67">
        <v>0</v>
      </c>
      <c r="AG67">
        <v>0</v>
      </c>
      <c r="AH67">
        <v>0</v>
      </c>
      <c r="AI67">
        <v>3.83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 t="s">
        <v>3</v>
      </c>
      <c r="AT67">
        <v>102</v>
      </c>
      <c r="AU67" t="s">
        <v>23</v>
      </c>
      <c r="AV67">
        <v>0</v>
      </c>
      <c r="AW67">
        <v>1</v>
      </c>
      <c r="AX67">
        <v>-1</v>
      </c>
      <c r="AY67">
        <v>0</v>
      </c>
      <c r="AZ67">
        <v>0</v>
      </c>
      <c r="BA67" t="s">
        <v>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ROUND(Y67*Source!I128,9)</f>
        <v>3060</v>
      </c>
      <c r="CY67">
        <f>AA67</f>
        <v>10.23</v>
      </c>
      <c r="CZ67">
        <f>AE67</f>
        <v>2.67</v>
      </c>
      <c r="DA67">
        <f>AI67</f>
        <v>3.83</v>
      </c>
      <c r="DB67">
        <f>ROUND((ROUND(AT67*CZ67,2)*1),6)</f>
        <v>272.33999999999997</v>
      </c>
      <c r="DC67">
        <f>ROUND((ROUND(AT67*AG67,2)*1),6)</f>
        <v>0</v>
      </c>
      <c r="DD67" t="s">
        <v>3</v>
      </c>
      <c r="DE67" t="s">
        <v>3</v>
      </c>
      <c r="DF67">
        <f>ROUND(ROUND(AE67*AI67,2)*CX67,2)</f>
        <v>31303.8</v>
      </c>
      <c r="DG67">
        <f t="shared" si="24"/>
        <v>0</v>
      </c>
      <c r="DH67">
        <f t="shared" si="25"/>
        <v>0</v>
      </c>
      <c r="DI67">
        <f t="shared" si="26"/>
        <v>0</v>
      </c>
      <c r="DJ67">
        <f>DF67</f>
        <v>31303.8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ROW(Source!A128)</f>
        <v>128</v>
      </c>
      <c r="B68">
        <v>60258618</v>
      </c>
      <c r="C68">
        <v>60258892</v>
      </c>
      <c r="D68">
        <v>59058209</v>
      </c>
      <c r="E68">
        <v>1</v>
      </c>
      <c r="F68">
        <v>1</v>
      </c>
      <c r="G68">
        <v>1080</v>
      </c>
      <c r="H68">
        <v>3</v>
      </c>
      <c r="I68" t="s">
        <v>214</v>
      </c>
      <c r="J68" t="s">
        <v>217</v>
      </c>
      <c r="K68" t="s">
        <v>215</v>
      </c>
      <c r="L68">
        <v>1354</v>
      </c>
      <c r="N68">
        <v>1010</v>
      </c>
      <c r="O68" t="s">
        <v>216</v>
      </c>
      <c r="P68" t="s">
        <v>216</v>
      </c>
      <c r="Q68">
        <v>1</v>
      </c>
      <c r="W68">
        <v>0</v>
      </c>
      <c r="X68">
        <v>1928261302</v>
      </c>
      <c r="Y68">
        <f>(AT68*1)</f>
        <v>3.3333333299999999</v>
      </c>
      <c r="AA68">
        <v>29.84</v>
      </c>
      <c r="AB68">
        <v>0</v>
      </c>
      <c r="AC68">
        <v>0</v>
      </c>
      <c r="AD68">
        <v>0</v>
      </c>
      <c r="AE68">
        <v>3.83</v>
      </c>
      <c r="AF68">
        <v>0</v>
      </c>
      <c r="AG68">
        <v>0</v>
      </c>
      <c r="AH68">
        <v>0</v>
      </c>
      <c r="AI68">
        <v>7.79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 t="s">
        <v>3</v>
      </c>
      <c r="AT68">
        <v>3.3333333299999999</v>
      </c>
      <c r="AU68" t="s">
        <v>23</v>
      </c>
      <c r="AV68">
        <v>0</v>
      </c>
      <c r="AW68">
        <v>1</v>
      </c>
      <c r="AX68">
        <v>-1</v>
      </c>
      <c r="AY68">
        <v>0</v>
      </c>
      <c r="AZ68">
        <v>0</v>
      </c>
      <c r="BA68" t="s">
        <v>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ROUND(Y68*Source!I128,9)</f>
        <v>99.999999900000006</v>
      </c>
      <c r="CY68">
        <f>AA68</f>
        <v>29.84</v>
      </c>
      <c r="CZ68">
        <f>AE68</f>
        <v>3.83</v>
      </c>
      <c r="DA68">
        <f>AI68</f>
        <v>7.79</v>
      </c>
      <c r="DB68">
        <f>ROUND((ROUND(AT68*CZ68,2)*1),6)</f>
        <v>12.77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2984</v>
      </c>
      <c r="DG68">
        <f t="shared" si="24"/>
        <v>0</v>
      </c>
      <c r="DH68">
        <f t="shared" si="25"/>
        <v>0</v>
      </c>
      <c r="DI68">
        <f t="shared" si="26"/>
        <v>0</v>
      </c>
      <c r="DJ68">
        <f>DF68</f>
        <v>2984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ROW(Source!A133)</f>
        <v>133</v>
      </c>
      <c r="B69">
        <v>60258621</v>
      </c>
      <c r="C69">
        <v>60258902</v>
      </c>
      <c r="D69">
        <v>58999254</v>
      </c>
      <c r="E69">
        <v>1080</v>
      </c>
      <c r="F69">
        <v>1</v>
      </c>
      <c r="G69">
        <v>1080</v>
      </c>
      <c r="H69">
        <v>1</v>
      </c>
      <c r="I69" t="s">
        <v>275</v>
      </c>
      <c r="J69" t="s">
        <v>3</v>
      </c>
      <c r="K69" t="s">
        <v>276</v>
      </c>
      <c r="L69">
        <v>1191</v>
      </c>
      <c r="N69">
        <v>1013</v>
      </c>
      <c r="O69" t="s">
        <v>277</v>
      </c>
      <c r="P69" t="s">
        <v>277</v>
      </c>
      <c r="Q69">
        <v>1</v>
      </c>
      <c r="W69">
        <v>0</v>
      </c>
      <c r="X69">
        <v>476480486</v>
      </c>
      <c r="Y69">
        <f>(AT69*1.1)</f>
        <v>29.480000000000004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26.8</v>
      </c>
      <c r="AU69" t="s">
        <v>24</v>
      </c>
      <c r="AV69">
        <v>1</v>
      </c>
      <c r="AW69">
        <v>2</v>
      </c>
      <c r="AX69">
        <v>60259021</v>
      </c>
      <c r="AY69">
        <v>1</v>
      </c>
      <c r="AZ69">
        <v>0</v>
      </c>
      <c r="BA69">
        <v>85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ROUND(AT69*Source!I133*AH69*AL69,2)</f>
        <v>0</v>
      </c>
      <c r="CV69">
        <f>ROUND(Y69*Source!I133,9)</f>
        <v>14.74</v>
      </c>
      <c r="CW69">
        <v>0</v>
      </c>
      <c r="CX69">
        <f>ROUND(Y69*Source!I133,9)</f>
        <v>14.74</v>
      </c>
      <c r="CY69">
        <f>AD69</f>
        <v>0</v>
      </c>
      <c r="CZ69">
        <f>AH69</f>
        <v>0</v>
      </c>
      <c r="DA69">
        <f>AL69</f>
        <v>1</v>
      </c>
      <c r="DB69">
        <f>ROUND((ROUND(AT69*CZ69,2)*1.1),6)</f>
        <v>0</v>
      </c>
      <c r="DC69">
        <f>ROUND((ROUND(AT69*AG69,2)*1.1),6)</f>
        <v>0</v>
      </c>
      <c r="DD69" t="s">
        <v>3</v>
      </c>
      <c r="DE69" t="s">
        <v>3</v>
      </c>
      <c r="DF69">
        <f t="shared" ref="DF69:DF87" si="27">ROUND(ROUND(AE69,2)*CX69,2)</f>
        <v>0</v>
      </c>
      <c r="DG69">
        <f t="shared" si="24"/>
        <v>0</v>
      </c>
      <c r="DH69">
        <f t="shared" si="25"/>
        <v>0</v>
      </c>
      <c r="DI69">
        <f t="shared" si="26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ROW(Source!A133)</f>
        <v>133</v>
      </c>
      <c r="B70">
        <v>60258621</v>
      </c>
      <c r="C70">
        <v>60258902</v>
      </c>
      <c r="D70">
        <v>59070370</v>
      </c>
      <c r="E70">
        <v>1</v>
      </c>
      <c r="F70">
        <v>1</v>
      </c>
      <c r="G70">
        <v>1080</v>
      </c>
      <c r="H70">
        <v>2</v>
      </c>
      <c r="I70" t="s">
        <v>318</v>
      </c>
      <c r="J70" t="s">
        <v>319</v>
      </c>
      <c r="K70" t="s">
        <v>320</v>
      </c>
      <c r="L70">
        <v>1368</v>
      </c>
      <c r="N70">
        <v>1011</v>
      </c>
      <c r="O70" t="s">
        <v>304</v>
      </c>
      <c r="P70" t="s">
        <v>304</v>
      </c>
      <c r="Q70">
        <v>1</v>
      </c>
      <c r="W70">
        <v>0</v>
      </c>
      <c r="X70">
        <v>-2065404138</v>
      </c>
      <c r="Y70">
        <f>(AT70*1.1)</f>
        <v>6.0830000000000011</v>
      </c>
      <c r="AA70">
        <v>0</v>
      </c>
      <c r="AB70">
        <v>7.44</v>
      </c>
      <c r="AC70">
        <v>0</v>
      </c>
      <c r="AD70">
        <v>0</v>
      </c>
      <c r="AE70">
        <v>0</v>
      </c>
      <c r="AF70">
        <v>7.11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5.53</v>
      </c>
      <c r="AU70" t="s">
        <v>24</v>
      </c>
      <c r="AV70">
        <v>0</v>
      </c>
      <c r="AW70">
        <v>2</v>
      </c>
      <c r="AX70">
        <v>60259022</v>
      </c>
      <c r="AY70">
        <v>1</v>
      </c>
      <c r="AZ70">
        <v>0</v>
      </c>
      <c r="BA70">
        <v>86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ROUND(Y70*Source!I133*DO70,9)</f>
        <v>0</v>
      </c>
      <c r="CX70">
        <f>ROUND(Y70*Source!I133,9)</f>
        <v>3.0415000000000001</v>
      </c>
      <c r="CY70">
        <f>AB70</f>
        <v>7.44</v>
      </c>
      <c r="CZ70">
        <f>AF70</f>
        <v>7.11</v>
      </c>
      <c r="DA70">
        <f>AJ70</f>
        <v>1</v>
      </c>
      <c r="DB70">
        <f>ROUND((ROUND(AT70*CZ70,2)*1.1),6)</f>
        <v>43.252000000000002</v>
      </c>
      <c r="DC70">
        <f>ROUND((ROUND(AT70*AG70,2)*1.1),6)</f>
        <v>0</v>
      </c>
      <c r="DD70" t="s">
        <v>3</v>
      </c>
      <c r="DE70" t="s">
        <v>3</v>
      </c>
      <c r="DF70">
        <f t="shared" si="27"/>
        <v>0</v>
      </c>
      <c r="DG70">
        <f t="shared" si="24"/>
        <v>21.63</v>
      </c>
      <c r="DH70">
        <f t="shared" si="25"/>
        <v>0</v>
      </c>
      <c r="DI70">
        <f t="shared" si="26"/>
        <v>0</v>
      </c>
      <c r="DJ70">
        <f>DG70</f>
        <v>21.63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ROW(Source!A133)</f>
        <v>133</v>
      </c>
      <c r="B71">
        <v>60258621</v>
      </c>
      <c r="C71">
        <v>60258902</v>
      </c>
      <c r="D71">
        <v>59070669</v>
      </c>
      <c r="E71">
        <v>1</v>
      </c>
      <c r="F71">
        <v>1</v>
      </c>
      <c r="G71">
        <v>1080</v>
      </c>
      <c r="H71">
        <v>2</v>
      </c>
      <c r="I71" t="s">
        <v>301</v>
      </c>
      <c r="J71" t="s">
        <v>302</v>
      </c>
      <c r="K71" t="s">
        <v>303</v>
      </c>
      <c r="L71">
        <v>1368</v>
      </c>
      <c r="N71">
        <v>1011</v>
      </c>
      <c r="O71" t="s">
        <v>304</v>
      </c>
      <c r="P71" t="s">
        <v>304</v>
      </c>
      <c r="Q71">
        <v>1</v>
      </c>
      <c r="W71">
        <v>0</v>
      </c>
      <c r="X71">
        <v>-1985943078</v>
      </c>
      <c r="Y71">
        <f>(AT71*1.1)</f>
        <v>0.47300000000000003</v>
      </c>
      <c r="AA71">
        <v>0</v>
      </c>
      <c r="AB71">
        <v>87.01</v>
      </c>
      <c r="AC71">
        <v>13.21</v>
      </c>
      <c r="AD71">
        <v>0</v>
      </c>
      <c r="AE71">
        <v>0</v>
      </c>
      <c r="AF71">
        <v>83.1</v>
      </c>
      <c r="AG71">
        <v>12.62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0.43</v>
      </c>
      <c r="AU71" t="s">
        <v>24</v>
      </c>
      <c r="AV71">
        <v>0</v>
      </c>
      <c r="AW71">
        <v>2</v>
      </c>
      <c r="AX71">
        <v>60259023</v>
      </c>
      <c r="AY71">
        <v>1</v>
      </c>
      <c r="AZ71">
        <v>0</v>
      </c>
      <c r="BA71">
        <v>87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ROUND(Y71*Source!I133*DO71,9)</f>
        <v>2.9846300000000001</v>
      </c>
      <c r="CX71">
        <f>ROUND(Y71*Source!I133,9)</f>
        <v>0.23649999999999999</v>
      </c>
      <c r="CY71">
        <f>AB71</f>
        <v>87.01</v>
      </c>
      <c r="CZ71">
        <f>AF71</f>
        <v>83.1</v>
      </c>
      <c r="DA71">
        <f>AJ71</f>
        <v>1</v>
      </c>
      <c r="DB71">
        <f>ROUND((ROUND(AT71*CZ71,2)*1.1),6)</f>
        <v>39.302999999999997</v>
      </c>
      <c r="DC71">
        <f>ROUND((ROUND(AT71*AG71,2)*1.1),6)</f>
        <v>5.9729999999999999</v>
      </c>
      <c r="DD71" t="s">
        <v>3</v>
      </c>
      <c r="DE71" t="s">
        <v>3</v>
      </c>
      <c r="DF71">
        <f t="shared" si="27"/>
        <v>0</v>
      </c>
      <c r="DG71">
        <f t="shared" si="24"/>
        <v>19.649999999999999</v>
      </c>
      <c r="DH71">
        <f t="shared" si="25"/>
        <v>2.98</v>
      </c>
      <c r="DI71">
        <f t="shared" si="26"/>
        <v>0</v>
      </c>
      <c r="DJ71">
        <f>DG71</f>
        <v>19.649999999999999</v>
      </c>
      <c r="DK71">
        <v>0</v>
      </c>
      <c r="DL71" t="s">
        <v>305</v>
      </c>
      <c r="DM71">
        <v>0</v>
      </c>
      <c r="DN71" t="s">
        <v>277</v>
      </c>
      <c r="DO71">
        <v>12.62</v>
      </c>
    </row>
    <row r="72" spans="1:119" x14ac:dyDescent="0.2">
      <c r="A72">
        <f>ROW(Source!A133)</f>
        <v>133</v>
      </c>
      <c r="B72">
        <v>60258621</v>
      </c>
      <c r="C72">
        <v>60258902</v>
      </c>
      <c r="D72">
        <v>59070721</v>
      </c>
      <c r="E72">
        <v>1</v>
      </c>
      <c r="F72">
        <v>1</v>
      </c>
      <c r="G72">
        <v>1080</v>
      </c>
      <c r="H72">
        <v>2</v>
      </c>
      <c r="I72" t="s">
        <v>321</v>
      </c>
      <c r="J72" t="s">
        <v>322</v>
      </c>
      <c r="K72" t="s">
        <v>323</v>
      </c>
      <c r="L72">
        <v>1368</v>
      </c>
      <c r="N72">
        <v>1011</v>
      </c>
      <c r="O72" t="s">
        <v>304</v>
      </c>
      <c r="P72" t="s">
        <v>304</v>
      </c>
      <c r="Q72">
        <v>1</v>
      </c>
      <c r="W72">
        <v>0</v>
      </c>
      <c r="X72">
        <v>1387779639</v>
      </c>
      <c r="Y72">
        <f>(AT72*1.1)</f>
        <v>5.8630000000000004</v>
      </c>
      <c r="AA72">
        <v>0</v>
      </c>
      <c r="AB72">
        <v>0.81</v>
      </c>
      <c r="AC72">
        <v>0</v>
      </c>
      <c r="AD72">
        <v>0</v>
      </c>
      <c r="AE72">
        <v>0</v>
      </c>
      <c r="AF72">
        <v>0.77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5.33</v>
      </c>
      <c r="AU72" t="s">
        <v>24</v>
      </c>
      <c r="AV72">
        <v>0</v>
      </c>
      <c r="AW72">
        <v>2</v>
      </c>
      <c r="AX72">
        <v>60259024</v>
      </c>
      <c r="AY72">
        <v>1</v>
      </c>
      <c r="AZ72">
        <v>0</v>
      </c>
      <c r="BA72">
        <v>88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f>ROUND(Y72*Source!I133*DO72,9)</f>
        <v>0</v>
      </c>
      <c r="CX72">
        <f>ROUND(Y72*Source!I133,9)</f>
        <v>2.9315000000000002</v>
      </c>
      <c r="CY72">
        <f>AB72</f>
        <v>0.81</v>
      </c>
      <c r="CZ72">
        <f>AF72</f>
        <v>0.77</v>
      </c>
      <c r="DA72">
        <f>AJ72</f>
        <v>1</v>
      </c>
      <c r="DB72">
        <f>ROUND((ROUND(AT72*CZ72,2)*1.1),6)</f>
        <v>4.51</v>
      </c>
      <c r="DC72">
        <f>ROUND((ROUND(AT72*AG72,2)*1.1),6)</f>
        <v>0</v>
      </c>
      <c r="DD72" t="s">
        <v>3</v>
      </c>
      <c r="DE72" t="s">
        <v>3</v>
      </c>
      <c r="DF72">
        <f t="shared" si="27"/>
        <v>0</v>
      </c>
      <c r="DG72">
        <f t="shared" si="24"/>
        <v>2.2599999999999998</v>
      </c>
      <c r="DH72">
        <f t="shared" si="25"/>
        <v>0</v>
      </c>
      <c r="DI72">
        <f t="shared" si="26"/>
        <v>0</v>
      </c>
      <c r="DJ72">
        <f>DG72</f>
        <v>2.2599999999999998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ROW(Source!A133)</f>
        <v>133</v>
      </c>
      <c r="B73">
        <v>60258621</v>
      </c>
      <c r="C73">
        <v>60258902</v>
      </c>
      <c r="D73">
        <v>59070045</v>
      </c>
      <c r="E73">
        <v>1</v>
      </c>
      <c r="F73">
        <v>1</v>
      </c>
      <c r="G73">
        <v>1080</v>
      </c>
      <c r="H73">
        <v>2</v>
      </c>
      <c r="I73" t="s">
        <v>324</v>
      </c>
      <c r="J73" t="s">
        <v>325</v>
      </c>
      <c r="K73" t="s">
        <v>326</v>
      </c>
      <c r="L73">
        <v>1368</v>
      </c>
      <c r="N73">
        <v>1011</v>
      </c>
      <c r="O73" t="s">
        <v>304</v>
      </c>
      <c r="P73" t="s">
        <v>304</v>
      </c>
      <c r="Q73">
        <v>1</v>
      </c>
      <c r="W73">
        <v>0</v>
      </c>
      <c r="X73">
        <v>584621038</v>
      </c>
      <c r="Y73">
        <f>(AT73*1.1)</f>
        <v>19.25</v>
      </c>
      <c r="AA73">
        <v>0</v>
      </c>
      <c r="AB73">
        <v>26.78</v>
      </c>
      <c r="AC73">
        <v>13.21</v>
      </c>
      <c r="AD73">
        <v>0</v>
      </c>
      <c r="AE73">
        <v>0</v>
      </c>
      <c r="AF73">
        <v>25.58</v>
      </c>
      <c r="AG73">
        <v>12.62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17.5</v>
      </c>
      <c r="AU73" t="s">
        <v>24</v>
      </c>
      <c r="AV73">
        <v>0</v>
      </c>
      <c r="AW73">
        <v>2</v>
      </c>
      <c r="AX73">
        <v>60259025</v>
      </c>
      <c r="AY73">
        <v>1</v>
      </c>
      <c r="AZ73">
        <v>0</v>
      </c>
      <c r="BA73">
        <v>89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f>ROUND(Y73*Source!I133*DO73,9)</f>
        <v>121.4675</v>
      </c>
      <c r="CX73">
        <f>ROUND(Y73*Source!I133,9)</f>
        <v>9.625</v>
      </c>
      <c r="CY73">
        <f>AB73</f>
        <v>26.78</v>
      </c>
      <c r="CZ73">
        <f>AF73</f>
        <v>25.58</v>
      </c>
      <c r="DA73">
        <f>AJ73</f>
        <v>1</v>
      </c>
      <c r="DB73">
        <f>ROUND((ROUND(AT73*CZ73,2)*1.1),6)</f>
        <v>492.41500000000002</v>
      </c>
      <c r="DC73">
        <f>ROUND((ROUND(AT73*AG73,2)*1.1),6)</f>
        <v>242.935</v>
      </c>
      <c r="DD73" t="s">
        <v>3</v>
      </c>
      <c r="DE73" t="s">
        <v>3</v>
      </c>
      <c r="DF73">
        <f t="shared" si="27"/>
        <v>0</v>
      </c>
      <c r="DG73">
        <f t="shared" si="24"/>
        <v>246.21</v>
      </c>
      <c r="DH73">
        <f t="shared" si="25"/>
        <v>121.47</v>
      </c>
      <c r="DI73">
        <f t="shared" si="26"/>
        <v>0</v>
      </c>
      <c r="DJ73">
        <f>DG73</f>
        <v>246.21</v>
      </c>
      <c r="DK73">
        <v>0</v>
      </c>
      <c r="DL73" t="s">
        <v>305</v>
      </c>
      <c r="DM73">
        <v>0</v>
      </c>
      <c r="DN73" t="s">
        <v>277</v>
      </c>
      <c r="DO73">
        <v>12.62</v>
      </c>
    </row>
    <row r="74" spans="1:119" x14ac:dyDescent="0.2">
      <c r="A74">
        <f>ROW(Source!A133)</f>
        <v>133</v>
      </c>
      <c r="B74">
        <v>60258621</v>
      </c>
      <c r="C74">
        <v>60258902</v>
      </c>
      <c r="D74">
        <v>59040049</v>
      </c>
      <c r="E74">
        <v>1</v>
      </c>
      <c r="F74">
        <v>1</v>
      </c>
      <c r="G74">
        <v>1080</v>
      </c>
      <c r="H74">
        <v>3</v>
      </c>
      <c r="I74" t="s">
        <v>327</v>
      </c>
      <c r="J74" t="s">
        <v>328</v>
      </c>
      <c r="K74" t="s">
        <v>329</v>
      </c>
      <c r="L74">
        <v>1348</v>
      </c>
      <c r="N74">
        <v>1009</v>
      </c>
      <c r="O74" t="s">
        <v>281</v>
      </c>
      <c r="P74" t="s">
        <v>281</v>
      </c>
      <c r="Q74">
        <v>1000</v>
      </c>
      <c r="W74">
        <v>0</v>
      </c>
      <c r="X74">
        <v>-1792704725</v>
      </c>
      <c r="Y74">
        <f t="shared" ref="Y74:Y82" si="28">(AT74*1)</f>
        <v>1.0499999999999999E-3</v>
      </c>
      <c r="AA74">
        <v>8590.86</v>
      </c>
      <c r="AB74">
        <v>0</v>
      </c>
      <c r="AC74">
        <v>0</v>
      </c>
      <c r="AD74">
        <v>0</v>
      </c>
      <c r="AE74">
        <v>8590.86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1.0499999999999999E-3</v>
      </c>
      <c r="AU74" t="s">
        <v>23</v>
      </c>
      <c r="AV74">
        <v>0</v>
      </c>
      <c r="AW74">
        <v>2</v>
      </c>
      <c r="AX74">
        <v>60259026</v>
      </c>
      <c r="AY74">
        <v>1</v>
      </c>
      <c r="AZ74">
        <v>0</v>
      </c>
      <c r="BA74">
        <v>90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ROUND(Y74*Source!I133,9)</f>
        <v>5.2499999999999997E-4</v>
      </c>
      <c r="CY74">
        <f t="shared" ref="CY74:CY82" si="29">AA74</f>
        <v>8590.86</v>
      </c>
      <c r="CZ74">
        <f t="shared" ref="CZ74:CZ82" si="30">AE74</f>
        <v>8590.86</v>
      </c>
      <c r="DA74">
        <f t="shared" ref="DA74:DA82" si="31">AI74</f>
        <v>1</v>
      </c>
      <c r="DB74">
        <f t="shared" ref="DB74:DB82" si="32">ROUND((ROUND(AT74*CZ74,2)*1),6)</f>
        <v>9.02</v>
      </c>
      <c r="DC74">
        <f t="shared" ref="DC74:DC82" si="33">ROUND((ROUND(AT74*AG74,2)*1),6)</f>
        <v>0</v>
      </c>
      <c r="DD74" t="s">
        <v>3</v>
      </c>
      <c r="DE74" t="s">
        <v>3</v>
      </c>
      <c r="DF74">
        <f t="shared" si="27"/>
        <v>4.51</v>
      </c>
      <c r="DG74">
        <f t="shared" si="24"/>
        <v>0</v>
      </c>
      <c r="DH74">
        <f t="shared" si="25"/>
        <v>0</v>
      </c>
      <c r="DI74">
        <f t="shared" si="26"/>
        <v>0</v>
      </c>
      <c r="DJ74">
        <f t="shared" ref="DJ74:DJ82" si="34">DF74</f>
        <v>4.51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ROW(Source!A133)</f>
        <v>133</v>
      </c>
      <c r="B75">
        <v>60258621</v>
      </c>
      <c r="C75">
        <v>60258902</v>
      </c>
      <c r="D75">
        <v>59039008</v>
      </c>
      <c r="E75">
        <v>1</v>
      </c>
      <c r="F75">
        <v>1</v>
      </c>
      <c r="G75">
        <v>1080</v>
      </c>
      <c r="H75">
        <v>3</v>
      </c>
      <c r="I75" t="s">
        <v>312</v>
      </c>
      <c r="J75" t="s">
        <v>313</v>
      </c>
      <c r="K75" t="s">
        <v>314</v>
      </c>
      <c r="L75">
        <v>1354</v>
      </c>
      <c r="N75">
        <v>1010</v>
      </c>
      <c r="O75" t="s">
        <v>216</v>
      </c>
      <c r="P75" t="s">
        <v>216</v>
      </c>
      <c r="Q75">
        <v>1</v>
      </c>
      <c r="W75">
        <v>0</v>
      </c>
      <c r="X75">
        <v>-40224714</v>
      </c>
      <c r="Y75">
        <f t="shared" si="28"/>
        <v>82</v>
      </c>
      <c r="AA75">
        <v>0.89</v>
      </c>
      <c r="AB75">
        <v>0</v>
      </c>
      <c r="AC75">
        <v>0</v>
      </c>
      <c r="AD75">
        <v>0</v>
      </c>
      <c r="AE75">
        <v>0.89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82</v>
      </c>
      <c r="AU75" t="s">
        <v>23</v>
      </c>
      <c r="AV75">
        <v>0</v>
      </c>
      <c r="AW75">
        <v>2</v>
      </c>
      <c r="AX75">
        <v>60259027</v>
      </c>
      <c r="AY75">
        <v>1</v>
      </c>
      <c r="AZ75">
        <v>0</v>
      </c>
      <c r="BA75">
        <v>91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ROUND(Y75*Source!I133,9)</f>
        <v>41</v>
      </c>
      <c r="CY75">
        <f t="shared" si="29"/>
        <v>0.89</v>
      </c>
      <c r="CZ75">
        <f t="shared" si="30"/>
        <v>0.89</v>
      </c>
      <c r="DA75">
        <f t="shared" si="31"/>
        <v>1</v>
      </c>
      <c r="DB75">
        <f t="shared" si="32"/>
        <v>72.98</v>
      </c>
      <c r="DC75">
        <f t="shared" si="33"/>
        <v>0</v>
      </c>
      <c r="DD75" t="s">
        <v>3</v>
      </c>
      <c r="DE75" t="s">
        <v>3</v>
      </c>
      <c r="DF75">
        <f t="shared" si="27"/>
        <v>36.49</v>
      </c>
      <c r="DG75">
        <f t="shared" si="24"/>
        <v>0</v>
      </c>
      <c r="DH75">
        <f t="shared" si="25"/>
        <v>0</v>
      </c>
      <c r="DI75">
        <f t="shared" si="26"/>
        <v>0</v>
      </c>
      <c r="DJ75">
        <f t="shared" si="34"/>
        <v>36.49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ROW(Source!A133)</f>
        <v>133</v>
      </c>
      <c r="B76">
        <v>60258621</v>
      </c>
      <c r="C76">
        <v>60258902</v>
      </c>
      <c r="D76">
        <v>59041375</v>
      </c>
      <c r="E76">
        <v>1</v>
      </c>
      <c r="F76">
        <v>1</v>
      </c>
      <c r="G76">
        <v>1080</v>
      </c>
      <c r="H76">
        <v>3</v>
      </c>
      <c r="I76" t="s">
        <v>330</v>
      </c>
      <c r="J76" t="s">
        <v>331</v>
      </c>
      <c r="K76" t="s">
        <v>332</v>
      </c>
      <c r="L76">
        <v>1346</v>
      </c>
      <c r="N76">
        <v>1009</v>
      </c>
      <c r="O76" t="s">
        <v>289</v>
      </c>
      <c r="P76" t="s">
        <v>289</v>
      </c>
      <c r="Q76">
        <v>1</v>
      </c>
      <c r="W76">
        <v>0</v>
      </c>
      <c r="X76">
        <v>-323488432</v>
      </c>
      <c r="Y76">
        <f t="shared" si="28"/>
        <v>0.03</v>
      </c>
      <c r="AA76">
        <v>520.51</v>
      </c>
      <c r="AB76">
        <v>0</v>
      </c>
      <c r="AC76">
        <v>0</v>
      </c>
      <c r="AD76">
        <v>0</v>
      </c>
      <c r="AE76">
        <v>520.51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0.03</v>
      </c>
      <c r="AU76" t="s">
        <v>23</v>
      </c>
      <c r="AV76">
        <v>0</v>
      </c>
      <c r="AW76">
        <v>2</v>
      </c>
      <c r="AX76">
        <v>60259028</v>
      </c>
      <c r="AY76">
        <v>1</v>
      </c>
      <c r="AZ76">
        <v>0</v>
      </c>
      <c r="BA76">
        <v>92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ROUND(Y76*Source!I133,9)</f>
        <v>1.4999999999999999E-2</v>
      </c>
      <c r="CY76">
        <f t="shared" si="29"/>
        <v>520.51</v>
      </c>
      <c r="CZ76">
        <f t="shared" si="30"/>
        <v>520.51</v>
      </c>
      <c r="DA76">
        <f t="shared" si="31"/>
        <v>1</v>
      </c>
      <c r="DB76">
        <f t="shared" si="32"/>
        <v>15.62</v>
      </c>
      <c r="DC76">
        <f t="shared" si="33"/>
        <v>0</v>
      </c>
      <c r="DD76" t="s">
        <v>3</v>
      </c>
      <c r="DE76" t="s">
        <v>3</v>
      </c>
      <c r="DF76">
        <f t="shared" si="27"/>
        <v>7.81</v>
      </c>
      <c r="DG76">
        <f t="shared" si="24"/>
        <v>0</v>
      </c>
      <c r="DH76">
        <f t="shared" si="25"/>
        <v>0</v>
      </c>
      <c r="DI76">
        <f t="shared" si="26"/>
        <v>0</v>
      </c>
      <c r="DJ76">
        <f t="shared" si="34"/>
        <v>7.81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ROW(Source!A133)</f>
        <v>133</v>
      </c>
      <c r="B77">
        <v>60258621</v>
      </c>
      <c r="C77">
        <v>60258902</v>
      </c>
      <c r="D77">
        <v>59039184</v>
      </c>
      <c r="E77">
        <v>1</v>
      </c>
      <c r="F77">
        <v>1</v>
      </c>
      <c r="G77">
        <v>1080</v>
      </c>
      <c r="H77">
        <v>3</v>
      </c>
      <c r="I77" t="s">
        <v>333</v>
      </c>
      <c r="J77" t="s">
        <v>334</v>
      </c>
      <c r="K77" t="s">
        <v>335</v>
      </c>
      <c r="L77">
        <v>1348</v>
      </c>
      <c r="N77">
        <v>1009</v>
      </c>
      <c r="O77" t="s">
        <v>281</v>
      </c>
      <c r="P77" t="s">
        <v>281</v>
      </c>
      <c r="Q77">
        <v>1000</v>
      </c>
      <c r="W77">
        <v>0</v>
      </c>
      <c r="X77">
        <v>-301728717</v>
      </c>
      <c r="Y77">
        <f t="shared" si="28"/>
        <v>6.8000000000000005E-4</v>
      </c>
      <c r="AA77">
        <v>16180.28</v>
      </c>
      <c r="AB77">
        <v>0</v>
      </c>
      <c r="AC77">
        <v>0</v>
      </c>
      <c r="AD77">
        <v>0</v>
      </c>
      <c r="AE77">
        <v>16180.28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6.8000000000000005E-4</v>
      </c>
      <c r="AU77" t="s">
        <v>23</v>
      </c>
      <c r="AV77">
        <v>0</v>
      </c>
      <c r="AW77">
        <v>2</v>
      </c>
      <c r="AX77">
        <v>60259029</v>
      </c>
      <c r="AY77">
        <v>1</v>
      </c>
      <c r="AZ77">
        <v>0</v>
      </c>
      <c r="BA77">
        <v>93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ROUND(Y77*Source!I133,9)</f>
        <v>3.4000000000000002E-4</v>
      </c>
      <c r="CY77">
        <f t="shared" si="29"/>
        <v>16180.28</v>
      </c>
      <c r="CZ77">
        <f t="shared" si="30"/>
        <v>16180.28</v>
      </c>
      <c r="DA77">
        <f t="shared" si="31"/>
        <v>1</v>
      </c>
      <c r="DB77">
        <f t="shared" si="32"/>
        <v>11</v>
      </c>
      <c r="DC77">
        <f t="shared" si="33"/>
        <v>0</v>
      </c>
      <c r="DD77" t="s">
        <v>3</v>
      </c>
      <c r="DE77" t="s">
        <v>3</v>
      </c>
      <c r="DF77">
        <f t="shared" si="27"/>
        <v>5.5</v>
      </c>
      <c r="DG77">
        <f t="shared" si="24"/>
        <v>0</v>
      </c>
      <c r="DH77">
        <f t="shared" si="25"/>
        <v>0</v>
      </c>
      <c r="DI77">
        <f t="shared" si="26"/>
        <v>0</v>
      </c>
      <c r="DJ77">
        <f t="shared" si="34"/>
        <v>5.5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ROW(Source!A133)</f>
        <v>133</v>
      </c>
      <c r="B78">
        <v>60258621</v>
      </c>
      <c r="C78">
        <v>60258902</v>
      </c>
      <c r="D78">
        <v>59039484</v>
      </c>
      <c r="E78">
        <v>1</v>
      </c>
      <c r="F78">
        <v>1</v>
      </c>
      <c r="G78">
        <v>1080</v>
      </c>
      <c r="H78">
        <v>3</v>
      </c>
      <c r="I78" t="s">
        <v>336</v>
      </c>
      <c r="J78" t="s">
        <v>337</v>
      </c>
      <c r="K78" t="s">
        <v>338</v>
      </c>
      <c r="L78">
        <v>1348</v>
      </c>
      <c r="N78">
        <v>1009</v>
      </c>
      <c r="O78" t="s">
        <v>281</v>
      </c>
      <c r="P78" t="s">
        <v>281</v>
      </c>
      <c r="Q78">
        <v>1000</v>
      </c>
      <c r="W78">
        <v>0</v>
      </c>
      <c r="X78">
        <v>-1942970469</v>
      </c>
      <c r="Y78">
        <f t="shared" si="28"/>
        <v>2.0999999999999999E-3</v>
      </c>
      <c r="AA78">
        <v>7973.67</v>
      </c>
      <c r="AB78">
        <v>0</v>
      </c>
      <c r="AC78">
        <v>0</v>
      </c>
      <c r="AD78">
        <v>0</v>
      </c>
      <c r="AE78">
        <v>7973.67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2.0999999999999999E-3</v>
      </c>
      <c r="AU78" t="s">
        <v>23</v>
      </c>
      <c r="AV78">
        <v>0</v>
      </c>
      <c r="AW78">
        <v>2</v>
      </c>
      <c r="AX78">
        <v>60259030</v>
      </c>
      <c r="AY78">
        <v>1</v>
      </c>
      <c r="AZ78">
        <v>0</v>
      </c>
      <c r="BA78">
        <v>94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ROUND(Y78*Source!I133,9)</f>
        <v>1.0499999999999999E-3</v>
      </c>
      <c r="CY78">
        <f t="shared" si="29"/>
        <v>7973.67</v>
      </c>
      <c r="CZ78">
        <f t="shared" si="30"/>
        <v>7973.67</v>
      </c>
      <c r="DA78">
        <f t="shared" si="31"/>
        <v>1</v>
      </c>
      <c r="DB78">
        <f t="shared" si="32"/>
        <v>16.739999999999998</v>
      </c>
      <c r="DC78">
        <f t="shared" si="33"/>
        <v>0</v>
      </c>
      <c r="DD78" t="s">
        <v>3</v>
      </c>
      <c r="DE78" t="s">
        <v>3</v>
      </c>
      <c r="DF78">
        <f t="shared" si="27"/>
        <v>8.3699999999999992</v>
      </c>
      <c r="DG78">
        <f t="shared" si="24"/>
        <v>0</v>
      </c>
      <c r="DH78">
        <f t="shared" si="25"/>
        <v>0</v>
      </c>
      <c r="DI78">
        <f t="shared" si="26"/>
        <v>0</v>
      </c>
      <c r="DJ78">
        <f t="shared" si="34"/>
        <v>8.3699999999999992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ROW(Source!A133)</f>
        <v>133</v>
      </c>
      <c r="B79">
        <v>60258621</v>
      </c>
      <c r="C79">
        <v>60258902</v>
      </c>
      <c r="D79">
        <v>59051839</v>
      </c>
      <c r="E79">
        <v>1</v>
      </c>
      <c r="F79">
        <v>1</v>
      </c>
      <c r="G79">
        <v>1080</v>
      </c>
      <c r="H79">
        <v>3</v>
      </c>
      <c r="I79" t="s">
        <v>223</v>
      </c>
      <c r="J79" t="s">
        <v>225</v>
      </c>
      <c r="K79" t="s">
        <v>224</v>
      </c>
      <c r="L79">
        <v>1301</v>
      </c>
      <c r="N79">
        <v>1003</v>
      </c>
      <c r="O79" t="s">
        <v>211</v>
      </c>
      <c r="P79" t="s">
        <v>211</v>
      </c>
      <c r="Q79">
        <v>1</v>
      </c>
      <c r="W79">
        <v>0</v>
      </c>
      <c r="X79">
        <v>1693732463</v>
      </c>
      <c r="Y79">
        <f t="shared" si="28"/>
        <v>103</v>
      </c>
      <c r="AA79">
        <v>21.84</v>
      </c>
      <c r="AB79">
        <v>0</v>
      </c>
      <c r="AC79">
        <v>0</v>
      </c>
      <c r="AD79">
        <v>0</v>
      </c>
      <c r="AE79">
        <v>21.84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 t="s">
        <v>3</v>
      </c>
      <c r="AT79">
        <v>103</v>
      </c>
      <c r="AU79" t="s">
        <v>23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ROUND(Y79*Source!I133,9)</f>
        <v>51.5</v>
      </c>
      <c r="CY79">
        <f t="shared" si="29"/>
        <v>21.84</v>
      </c>
      <c r="CZ79">
        <f t="shared" si="30"/>
        <v>21.84</v>
      </c>
      <c r="DA79">
        <f t="shared" si="31"/>
        <v>1</v>
      </c>
      <c r="DB79">
        <f t="shared" si="32"/>
        <v>2249.52</v>
      </c>
      <c r="DC79">
        <f t="shared" si="33"/>
        <v>0</v>
      </c>
      <c r="DD79" t="s">
        <v>3</v>
      </c>
      <c r="DE79" t="s">
        <v>3</v>
      </c>
      <c r="DF79">
        <f t="shared" si="27"/>
        <v>1124.76</v>
      </c>
      <c r="DG79">
        <f t="shared" si="24"/>
        <v>0</v>
      </c>
      <c r="DH79">
        <f t="shared" si="25"/>
        <v>0</v>
      </c>
      <c r="DI79">
        <f t="shared" si="26"/>
        <v>0</v>
      </c>
      <c r="DJ79">
        <f t="shared" si="34"/>
        <v>1124.76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ROW(Source!A133)</f>
        <v>133</v>
      </c>
      <c r="B80">
        <v>60258621</v>
      </c>
      <c r="C80">
        <v>60258902</v>
      </c>
      <c r="D80">
        <v>59063054</v>
      </c>
      <c r="E80">
        <v>1</v>
      </c>
      <c r="F80">
        <v>1</v>
      </c>
      <c r="G80">
        <v>1080</v>
      </c>
      <c r="H80">
        <v>3</v>
      </c>
      <c r="I80" t="s">
        <v>339</v>
      </c>
      <c r="J80" t="s">
        <v>340</v>
      </c>
      <c r="K80" t="s">
        <v>341</v>
      </c>
      <c r="L80">
        <v>1358</v>
      </c>
      <c r="N80">
        <v>1010</v>
      </c>
      <c r="O80" t="s">
        <v>342</v>
      </c>
      <c r="P80" t="s">
        <v>342</v>
      </c>
      <c r="Q80">
        <v>10</v>
      </c>
      <c r="W80">
        <v>0</v>
      </c>
      <c r="X80">
        <v>1514586905</v>
      </c>
      <c r="Y80">
        <f t="shared" si="28"/>
        <v>1.02</v>
      </c>
      <c r="AA80">
        <v>5.46</v>
      </c>
      <c r="AB80">
        <v>0</v>
      </c>
      <c r="AC80">
        <v>0</v>
      </c>
      <c r="AD80">
        <v>0</v>
      </c>
      <c r="AE80">
        <v>5.46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1.02</v>
      </c>
      <c r="AU80" t="s">
        <v>23</v>
      </c>
      <c r="AV80">
        <v>0</v>
      </c>
      <c r="AW80">
        <v>2</v>
      </c>
      <c r="AX80">
        <v>60259031</v>
      </c>
      <c r="AY80">
        <v>1</v>
      </c>
      <c r="AZ80">
        <v>0</v>
      </c>
      <c r="BA80">
        <v>95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ROUND(Y80*Source!I133,9)</f>
        <v>0.51</v>
      </c>
      <c r="CY80">
        <f t="shared" si="29"/>
        <v>5.46</v>
      </c>
      <c r="CZ80">
        <f t="shared" si="30"/>
        <v>5.46</v>
      </c>
      <c r="DA80">
        <f t="shared" si="31"/>
        <v>1</v>
      </c>
      <c r="DB80">
        <f t="shared" si="32"/>
        <v>5.57</v>
      </c>
      <c r="DC80">
        <f t="shared" si="33"/>
        <v>0</v>
      </c>
      <c r="DD80" t="s">
        <v>3</v>
      </c>
      <c r="DE80" t="s">
        <v>3</v>
      </c>
      <c r="DF80">
        <f t="shared" si="27"/>
        <v>2.78</v>
      </c>
      <c r="DG80">
        <f t="shared" si="24"/>
        <v>0</v>
      </c>
      <c r="DH80">
        <f t="shared" si="25"/>
        <v>0</v>
      </c>
      <c r="DI80">
        <f t="shared" si="26"/>
        <v>0</v>
      </c>
      <c r="DJ80">
        <f t="shared" si="34"/>
        <v>2.78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ROW(Source!A133)</f>
        <v>133</v>
      </c>
      <c r="B81">
        <v>60258621</v>
      </c>
      <c r="C81">
        <v>60258902</v>
      </c>
      <c r="D81">
        <v>59063148</v>
      </c>
      <c r="E81">
        <v>1</v>
      </c>
      <c r="F81">
        <v>1</v>
      </c>
      <c r="G81">
        <v>1080</v>
      </c>
      <c r="H81">
        <v>3</v>
      </c>
      <c r="I81" t="s">
        <v>343</v>
      </c>
      <c r="J81" t="s">
        <v>344</v>
      </c>
      <c r="K81" t="s">
        <v>345</v>
      </c>
      <c r="L81">
        <v>1354</v>
      </c>
      <c r="N81">
        <v>1010</v>
      </c>
      <c r="O81" t="s">
        <v>216</v>
      </c>
      <c r="P81" t="s">
        <v>216</v>
      </c>
      <c r="Q81">
        <v>1</v>
      </c>
      <c r="W81">
        <v>0</v>
      </c>
      <c r="X81">
        <v>446825684</v>
      </c>
      <c r="Y81">
        <f t="shared" si="28"/>
        <v>8</v>
      </c>
      <c r="AA81">
        <v>14.99</v>
      </c>
      <c r="AB81">
        <v>0</v>
      </c>
      <c r="AC81">
        <v>0</v>
      </c>
      <c r="AD81">
        <v>0</v>
      </c>
      <c r="AE81">
        <v>14.99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8</v>
      </c>
      <c r="AU81" t="s">
        <v>23</v>
      </c>
      <c r="AV81">
        <v>0</v>
      </c>
      <c r="AW81">
        <v>2</v>
      </c>
      <c r="AX81">
        <v>60259032</v>
      </c>
      <c r="AY81">
        <v>1</v>
      </c>
      <c r="AZ81">
        <v>0</v>
      </c>
      <c r="BA81">
        <v>96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ROUND(Y81*Source!I133,9)</f>
        <v>4</v>
      </c>
      <c r="CY81">
        <f t="shared" si="29"/>
        <v>14.99</v>
      </c>
      <c r="CZ81">
        <f t="shared" si="30"/>
        <v>14.99</v>
      </c>
      <c r="DA81">
        <f t="shared" si="31"/>
        <v>1</v>
      </c>
      <c r="DB81">
        <f t="shared" si="32"/>
        <v>119.92</v>
      </c>
      <c r="DC81">
        <f t="shared" si="33"/>
        <v>0</v>
      </c>
      <c r="DD81" t="s">
        <v>3</v>
      </c>
      <c r="DE81" t="s">
        <v>3</v>
      </c>
      <c r="DF81">
        <f t="shared" si="27"/>
        <v>59.96</v>
      </c>
      <c r="DG81">
        <f t="shared" si="24"/>
        <v>0</v>
      </c>
      <c r="DH81">
        <f t="shared" si="25"/>
        <v>0</v>
      </c>
      <c r="DI81">
        <f t="shared" si="26"/>
        <v>0</v>
      </c>
      <c r="DJ81">
        <f t="shared" si="34"/>
        <v>59.96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ROW(Source!A133)</f>
        <v>133</v>
      </c>
      <c r="B82">
        <v>60258621</v>
      </c>
      <c r="C82">
        <v>60258902</v>
      </c>
      <c r="D82">
        <v>59062463</v>
      </c>
      <c r="E82">
        <v>1</v>
      </c>
      <c r="F82">
        <v>1</v>
      </c>
      <c r="G82">
        <v>1080</v>
      </c>
      <c r="H82">
        <v>3</v>
      </c>
      <c r="I82" t="s">
        <v>346</v>
      </c>
      <c r="J82" t="s">
        <v>347</v>
      </c>
      <c r="K82" t="s">
        <v>348</v>
      </c>
      <c r="L82">
        <v>1356</v>
      </c>
      <c r="N82">
        <v>1010</v>
      </c>
      <c r="O82" t="s">
        <v>349</v>
      </c>
      <c r="P82" t="s">
        <v>349</v>
      </c>
      <c r="Q82">
        <v>1000</v>
      </c>
      <c r="W82">
        <v>0</v>
      </c>
      <c r="X82">
        <v>2136966088</v>
      </c>
      <c r="Y82">
        <f t="shared" si="28"/>
        <v>4.1000000000000002E-2</v>
      </c>
      <c r="AA82">
        <v>919.92</v>
      </c>
      <c r="AB82">
        <v>0</v>
      </c>
      <c r="AC82">
        <v>0</v>
      </c>
      <c r="AD82">
        <v>0</v>
      </c>
      <c r="AE82">
        <v>919.92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4.1000000000000002E-2</v>
      </c>
      <c r="AU82" t="s">
        <v>23</v>
      </c>
      <c r="AV82">
        <v>0</v>
      </c>
      <c r="AW82">
        <v>2</v>
      </c>
      <c r="AX82">
        <v>60259033</v>
      </c>
      <c r="AY82">
        <v>1</v>
      </c>
      <c r="AZ82">
        <v>0</v>
      </c>
      <c r="BA82">
        <v>97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ROUND(Y82*Source!I133,9)</f>
        <v>2.0500000000000001E-2</v>
      </c>
      <c r="CY82">
        <f t="shared" si="29"/>
        <v>919.92</v>
      </c>
      <c r="CZ82">
        <f t="shared" si="30"/>
        <v>919.92</v>
      </c>
      <c r="DA82">
        <f t="shared" si="31"/>
        <v>1</v>
      </c>
      <c r="DB82">
        <f t="shared" si="32"/>
        <v>37.72</v>
      </c>
      <c r="DC82">
        <f t="shared" si="33"/>
        <v>0</v>
      </c>
      <c r="DD82" t="s">
        <v>3</v>
      </c>
      <c r="DE82" t="s">
        <v>3</v>
      </c>
      <c r="DF82">
        <f t="shared" si="27"/>
        <v>18.86</v>
      </c>
      <c r="DG82">
        <f t="shared" si="24"/>
        <v>0</v>
      </c>
      <c r="DH82">
        <f t="shared" si="25"/>
        <v>0</v>
      </c>
      <c r="DI82">
        <f t="shared" si="26"/>
        <v>0</v>
      </c>
      <c r="DJ82">
        <f t="shared" si="34"/>
        <v>18.86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ROW(Source!A134)</f>
        <v>134</v>
      </c>
      <c r="B83">
        <v>60258618</v>
      </c>
      <c r="C83">
        <v>60258902</v>
      </c>
      <c r="D83">
        <v>58999254</v>
      </c>
      <c r="E83">
        <v>1080</v>
      </c>
      <c r="F83">
        <v>1</v>
      </c>
      <c r="G83">
        <v>1080</v>
      </c>
      <c r="H83">
        <v>1</v>
      </c>
      <c r="I83" t="s">
        <v>275</v>
      </c>
      <c r="J83" t="s">
        <v>3</v>
      </c>
      <c r="K83" t="s">
        <v>276</v>
      </c>
      <c r="L83">
        <v>1191</v>
      </c>
      <c r="N83">
        <v>1013</v>
      </c>
      <c r="O83" t="s">
        <v>277</v>
      </c>
      <c r="P83" t="s">
        <v>277</v>
      </c>
      <c r="Q83">
        <v>1</v>
      </c>
      <c r="W83">
        <v>0</v>
      </c>
      <c r="X83">
        <v>476480486</v>
      </c>
      <c r="Y83">
        <f>(AT83*1.1)</f>
        <v>29.480000000000004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5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26.8</v>
      </c>
      <c r="AU83" t="s">
        <v>24</v>
      </c>
      <c r="AV83">
        <v>1</v>
      </c>
      <c r="AW83">
        <v>2</v>
      </c>
      <c r="AX83">
        <v>60259021</v>
      </c>
      <c r="AY83">
        <v>1</v>
      </c>
      <c r="AZ83">
        <v>0</v>
      </c>
      <c r="BA83">
        <v>103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ROUND(AT83*Source!I134*AH83*AL83,2)</f>
        <v>0</v>
      </c>
      <c r="CV83">
        <f>ROUND(Y83*Source!I134,9)</f>
        <v>14.74</v>
      </c>
      <c r="CW83">
        <v>0</v>
      </c>
      <c r="CX83">
        <f>ROUND(Y83*Source!I134,9)</f>
        <v>14.74</v>
      </c>
      <c r="CY83">
        <f>AD83</f>
        <v>0</v>
      </c>
      <c r="CZ83">
        <f>AH83</f>
        <v>0</v>
      </c>
      <c r="DA83">
        <f>AL83</f>
        <v>1</v>
      </c>
      <c r="DB83">
        <f>ROUND((ROUND(AT83*CZ83,2)*1.1),6)</f>
        <v>0</v>
      </c>
      <c r="DC83">
        <f>ROUND((ROUND(AT83*AG83,2)*1.1),6)</f>
        <v>0</v>
      </c>
      <c r="DD83" t="s">
        <v>3</v>
      </c>
      <c r="DE83" t="s">
        <v>3</v>
      </c>
      <c r="DF83">
        <f t="shared" si="27"/>
        <v>0</v>
      </c>
      <c r="DG83">
        <f t="shared" si="24"/>
        <v>0</v>
      </c>
      <c r="DH83">
        <f t="shared" si="25"/>
        <v>0</v>
      </c>
      <c r="DI83">
        <f t="shared" si="26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ROW(Source!A134)</f>
        <v>134</v>
      </c>
      <c r="B84">
        <v>60258618</v>
      </c>
      <c r="C84">
        <v>60258902</v>
      </c>
      <c r="D84">
        <v>59070370</v>
      </c>
      <c r="E84">
        <v>1</v>
      </c>
      <c r="F84">
        <v>1</v>
      </c>
      <c r="G84">
        <v>1080</v>
      </c>
      <c r="H84">
        <v>2</v>
      </c>
      <c r="I84" t="s">
        <v>318</v>
      </c>
      <c r="J84" t="s">
        <v>319</v>
      </c>
      <c r="K84" t="s">
        <v>320</v>
      </c>
      <c r="L84">
        <v>1368</v>
      </c>
      <c r="N84">
        <v>1011</v>
      </c>
      <c r="O84" t="s">
        <v>304</v>
      </c>
      <c r="P84" t="s">
        <v>304</v>
      </c>
      <c r="Q84">
        <v>1</v>
      </c>
      <c r="W84">
        <v>0</v>
      </c>
      <c r="X84">
        <v>-2065404138</v>
      </c>
      <c r="Y84">
        <f>(AT84*1.1)</f>
        <v>6.0830000000000011</v>
      </c>
      <c r="AA84">
        <v>0</v>
      </c>
      <c r="AB84">
        <v>85.83</v>
      </c>
      <c r="AC84">
        <v>0</v>
      </c>
      <c r="AD84">
        <v>0</v>
      </c>
      <c r="AE84">
        <v>0</v>
      </c>
      <c r="AF84">
        <v>7.11</v>
      </c>
      <c r="AG84">
        <v>0</v>
      </c>
      <c r="AH84">
        <v>0</v>
      </c>
      <c r="AI84">
        <v>1</v>
      </c>
      <c r="AJ84">
        <v>11.53</v>
      </c>
      <c r="AK84">
        <v>54.99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5.53</v>
      </c>
      <c r="AU84" t="s">
        <v>24</v>
      </c>
      <c r="AV84">
        <v>0</v>
      </c>
      <c r="AW84">
        <v>2</v>
      </c>
      <c r="AX84">
        <v>60259022</v>
      </c>
      <c r="AY84">
        <v>1</v>
      </c>
      <c r="AZ84">
        <v>0</v>
      </c>
      <c r="BA84">
        <v>104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ROUND(Y84*Source!I134*DO84,9)</f>
        <v>0</v>
      </c>
      <c r="CX84">
        <f>ROUND(Y84*Source!I134,9)</f>
        <v>3.0415000000000001</v>
      </c>
      <c r="CY84">
        <f>AB84</f>
        <v>85.83</v>
      </c>
      <c r="CZ84">
        <f>AF84</f>
        <v>7.11</v>
      </c>
      <c r="DA84">
        <f>AJ84</f>
        <v>11.53</v>
      </c>
      <c r="DB84">
        <f>ROUND((ROUND(AT84*CZ84,2)*1.1),6)</f>
        <v>43.252000000000002</v>
      </c>
      <c r="DC84">
        <f>ROUND((ROUND(AT84*AG84,2)*1.1),6)</f>
        <v>0</v>
      </c>
      <c r="DD84" t="s">
        <v>3</v>
      </c>
      <c r="DE84" t="s">
        <v>3</v>
      </c>
      <c r="DF84">
        <f t="shared" si="27"/>
        <v>0</v>
      </c>
      <c r="DG84">
        <f>ROUND(ROUND(AF84*AJ84,2)*CX84,2)</f>
        <v>249.34</v>
      </c>
      <c r="DH84">
        <f>ROUND(ROUND(AG84*AK84,2)*CX84,2)</f>
        <v>0</v>
      </c>
      <c r="DI84">
        <f t="shared" si="26"/>
        <v>0</v>
      </c>
      <c r="DJ84">
        <f>DG84</f>
        <v>249.34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ROW(Source!A134)</f>
        <v>134</v>
      </c>
      <c r="B85">
        <v>60258618</v>
      </c>
      <c r="C85">
        <v>60258902</v>
      </c>
      <c r="D85">
        <v>59070669</v>
      </c>
      <c r="E85">
        <v>1</v>
      </c>
      <c r="F85">
        <v>1</v>
      </c>
      <c r="G85">
        <v>1080</v>
      </c>
      <c r="H85">
        <v>2</v>
      </c>
      <c r="I85" t="s">
        <v>301</v>
      </c>
      <c r="J85" t="s">
        <v>302</v>
      </c>
      <c r="K85" t="s">
        <v>303</v>
      </c>
      <c r="L85">
        <v>1368</v>
      </c>
      <c r="N85">
        <v>1011</v>
      </c>
      <c r="O85" t="s">
        <v>304</v>
      </c>
      <c r="P85" t="s">
        <v>304</v>
      </c>
      <c r="Q85">
        <v>1</v>
      </c>
      <c r="W85">
        <v>0</v>
      </c>
      <c r="X85">
        <v>-1985943078</v>
      </c>
      <c r="Y85">
        <f>(AT85*1.1)</f>
        <v>0.47300000000000003</v>
      </c>
      <c r="AA85">
        <v>0</v>
      </c>
      <c r="AB85">
        <v>1418.19</v>
      </c>
      <c r="AC85">
        <v>726.59</v>
      </c>
      <c r="AD85">
        <v>0</v>
      </c>
      <c r="AE85">
        <v>0</v>
      </c>
      <c r="AF85">
        <v>83.1</v>
      </c>
      <c r="AG85">
        <v>12.62</v>
      </c>
      <c r="AH85">
        <v>0</v>
      </c>
      <c r="AI85">
        <v>1</v>
      </c>
      <c r="AJ85">
        <v>16.3</v>
      </c>
      <c r="AK85">
        <v>54.99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0.43</v>
      </c>
      <c r="AU85" t="s">
        <v>24</v>
      </c>
      <c r="AV85">
        <v>0</v>
      </c>
      <c r="AW85">
        <v>2</v>
      </c>
      <c r="AX85">
        <v>60259023</v>
      </c>
      <c r="AY85">
        <v>1</v>
      </c>
      <c r="AZ85">
        <v>0</v>
      </c>
      <c r="BA85">
        <v>105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ROUND(Y85*Source!I134*DO85,9)</f>
        <v>2.9846300000000001</v>
      </c>
      <c r="CX85">
        <f>ROUND(Y85*Source!I134,9)</f>
        <v>0.23649999999999999</v>
      </c>
      <c r="CY85">
        <f>AB85</f>
        <v>1418.19</v>
      </c>
      <c r="CZ85">
        <f>AF85</f>
        <v>83.1</v>
      </c>
      <c r="DA85">
        <f>AJ85</f>
        <v>16.3</v>
      </c>
      <c r="DB85">
        <f>ROUND((ROUND(AT85*CZ85,2)*1.1),6)</f>
        <v>39.302999999999997</v>
      </c>
      <c r="DC85">
        <f>ROUND((ROUND(AT85*AG85,2)*1.1),6)</f>
        <v>5.9729999999999999</v>
      </c>
      <c r="DD85" t="s">
        <v>3</v>
      </c>
      <c r="DE85" t="s">
        <v>3</v>
      </c>
      <c r="DF85">
        <f t="shared" si="27"/>
        <v>0</v>
      </c>
      <c r="DG85">
        <f>ROUND(ROUND(AF85*AJ85,2)*CX85,2)</f>
        <v>320.35000000000002</v>
      </c>
      <c r="DH85">
        <f>ROUND(ROUND(AG85*AK85,2)*CX85,2)</f>
        <v>164.12</v>
      </c>
      <c r="DI85">
        <f t="shared" si="26"/>
        <v>0</v>
      </c>
      <c r="DJ85">
        <f>DG85</f>
        <v>320.35000000000002</v>
      </c>
      <c r="DK85">
        <v>0</v>
      </c>
      <c r="DL85" t="s">
        <v>305</v>
      </c>
      <c r="DM85">
        <v>0</v>
      </c>
      <c r="DN85" t="s">
        <v>277</v>
      </c>
      <c r="DO85">
        <v>12.62</v>
      </c>
    </row>
    <row r="86" spans="1:119" x14ac:dyDescent="0.2">
      <c r="A86">
        <f>ROW(Source!A134)</f>
        <v>134</v>
      </c>
      <c r="B86">
        <v>60258618</v>
      </c>
      <c r="C86">
        <v>60258902</v>
      </c>
      <c r="D86">
        <v>59070721</v>
      </c>
      <c r="E86">
        <v>1</v>
      </c>
      <c r="F86">
        <v>1</v>
      </c>
      <c r="G86">
        <v>1080</v>
      </c>
      <c r="H86">
        <v>2</v>
      </c>
      <c r="I86" t="s">
        <v>321</v>
      </c>
      <c r="J86" t="s">
        <v>322</v>
      </c>
      <c r="K86" t="s">
        <v>323</v>
      </c>
      <c r="L86">
        <v>1368</v>
      </c>
      <c r="N86">
        <v>1011</v>
      </c>
      <c r="O86" t="s">
        <v>304</v>
      </c>
      <c r="P86" t="s">
        <v>304</v>
      </c>
      <c r="Q86">
        <v>1</v>
      </c>
      <c r="W86">
        <v>0</v>
      </c>
      <c r="X86">
        <v>1387779639</v>
      </c>
      <c r="Y86">
        <f>(AT86*1.1)</f>
        <v>5.8630000000000004</v>
      </c>
      <c r="AA86">
        <v>0</v>
      </c>
      <c r="AB86">
        <v>6.98</v>
      </c>
      <c r="AC86">
        <v>0</v>
      </c>
      <c r="AD86">
        <v>0</v>
      </c>
      <c r="AE86">
        <v>0</v>
      </c>
      <c r="AF86">
        <v>0.77</v>
      </c>
      <c r="AG86">
        <v>0</v>
      </c>
      <c r="AH86">
        <v>0</v>
      </c>
      <c r="AI86">
        <v>1</v>
      </c>
      <c r="AJ86">
        <v>8.66</v>
      </c>
      <c r="AK86">
        <v>54.99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5.33</v>
      </c>
      <c r="AU86" t="s">
        <v>24</v>
      </c>
      <c r="AV86">
        <v>0</v>
      </c>
      <c r="AW86">
        <v>2</v>
      </c>
      <c r="AX86">
        <v>60259024</v>
      </c>
      <c r="AY86">
        <v>1</v>
      </c>
      <c r="AZ86">
        <v>0</v>
      </c>
      <c r="BA86">
        <v>106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ROUND(Y86*Source!I134*DO86,9)</f>
        <v>0</v>
      </c>
      <c r="CX86">
        <f>ROUND(Y86*Source!I134,9)</f>
        <v>2.9315000000000002</v>
      </c>
      <c r="CY86">
        <f>AB86</f>
        <v>6.98</v>
      </c>
      <c r="CZ86">
        <f>AF86</f>
        <v>0.77</v>
      </c>
      <c r="DA86">
        <f>AJ86</f>
        <v>8.66</v>
      </c>
      <c r="DB86">
        <f>ROUND((ROUND(AT86*CZ86,2)*1.1),6)</f>
        <v>4.51</v>
      </c>
      <c r="DC86">
        <f>ROUND((ROUND(AT86*AG86,2)*1.1),6)</f>
        <v>0</v>
      </c>
      <c r="DD86" t="s">
        <v>3</v>
      </c>
      <c r="DE86" t="s">
        <v>3</v>
      </c>
      <c r="DF86">
        <f t="shared" si="27"/>
        <v>0</v>
      </c>
      <c r="DG86">
        <f>ROUND(ROUND(AF86*AJ86,2)*CX86,2)</f>
        <v>19.55</v>
      </c>
      <c r="DH86">
        <f>ROUND(ROUND(AG86*AK86,2)*CX86,2)</f>
        <v>0</v>
      </c>
      <c r="DI86">
        <f t="shared" si="26"/>
        <v>0</v>
      </c>
      <c r="DJ86">
        <f>DG86</f>
        <v>19.55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ROW(Source!A134)</f>
        <v>134</v>
      </c>
      <c r="B87">
        <v>60258618</v>
      </c>
      <c r="C87">
        <v>60258902</v>
      </c>
      <c r="D87">
        <v>59070045</v>
      </c>
      <c r="E87">
        <v>1</v>
      </c>
      <c r="F87">
        <v>1</v>
      </c>
      <c r="G87">
        <v>1080</v>
      </c>
      <c r="H87">
        <v>2</v>
      </c>
      <c r="I87" t="s">
        <v>324</v>
      </c>
      <c r="J87" t="s">
        <v>325</v>
      </c>
      <c r="K87" t="s">
        <v>326</v>
      </c>
      <c r="L87">
        <v>1368</v>
      </c>
      <c r="N87">
        <v>1011</v>
      </c>
      <c r="O87" t="s">
        <v>304</v>
      </c>
      <c r="P87" t="s">
        <v>304</v>
      </c>
      <c r="Q87">
        <v>1</v>
      </c>
      <c r="W87">
        <v>0</v>
      </c>
      <c r="X87">
        <v>584621038</v>
      </c>
      <c r="Y87">
        <f>(AT87*1.1)</f>
        <v>19.25</v>
      </c>
      <c r="AA87">
        <v>0</v>
      </c>
      <c r="AB87">
        <v>879.26</v>
      </c>
      <c r="AC87">
        <v>726.59</v>
      </c>
      <c r="AD87">
        <v>0</v>
      </c>
      <c r="AE87">
        <v>0</v>
      </c>
      <c r="AF87">
        <v>25.58</v>
      </c>
      <c r="AG87">
        <v>12.62</v>
      </c>
      <c r="AH87">
        <v>0</v>
      </c>
      <c r="AI87">
        <v>1</v>
      </c>
      <c r="AJ87">
        <v>32.83</v>
      </c>
      <c r="AK87">
        <v>54.99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17.5</v>
      </c>
      <c r="AU87" t="s">
        <v>24</v>
      </c>
      <c r="AV87">
        <v>0</v>
      </c>
      <c r="AW87">
        <v>2</v>
      </c>
      <c r="AX87">
        <v>60259025</v>
      </c>
      <c r="AY87">
        <v>1</v>
      </c>
      <c r="AZ87">
        <v>0</v>
      </c>
      <c r="BA87">
        <v>107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f>ROUND(Y87*Source!I134*DO87,9)</f>
        <v>121.4675</v>
      </c>
      <c r="CX87">
        <f>ROUND(Y87*Source!I134,9)</f>
        <v>9.625</v>
      </c>
      <c r="CY87">
        <f>AB87</f>
        <v>879.26</v>
      </c>
      <c r="CZ87">
        <f>AF87</f>
        <v>25.58</v>
      </c>
      <c r="DA87">
        <f>AJ87</f>
        <v>32.83</v>
      </c>
      <c r="DB87">
        <f>ROUND((ROUND(AT87*CZ87,2)*1.1),6)</f>
        <v>492.41500000000002</v>
      </c>
      <c r="DC87">
        <f>ROUND((ROUND(AT87*AG87,2)*1.1),6)</f>
        <v>242.935</v>
      </c>
      <c r="DD87" t="s">
        <v>3</v>
      </c>
      <c r="DE87" t="s">
        <v>3</v>
      </c>
      <c r="DF87">
        <f t="shared" si="27"/>
        <v>0</v>
      </c>
      <c r="DG87">
        <f>ROUND(ROUND(AF87*AJ87,2)*CX87,2)</f>
        <v>8082.98</v>
      </c>
      <c r="DH87">
        <f>ROUND(ROUND(AG87*AK87,2)*CX87,2)</f>
        <v>6679.46</v>
      </c>
      <c r="DI87">
        <f t="shared" si="26"/>
        <v>0</v>
      </c>
      <c r="DJ87">
        <f>DG87</f>
        <v>8082.98</v>
      </c>
      <c r="DK87">
        <v>0</v>
      </c>
      <c r="DL87" t="s">
        <v>305</v>
      </c>
      <c r="DM87">
        <v>0</v>
      </c>
      <c r="DN87" t="s">
        <v>277</v>
      </c>
      <c r="DO87">
        <v>12.62</v>
      </c>
    </row>
    <row r="88" spans="1:119" x14ac:dyDescent="0.2">
      <c r="A88">
        <f>ROW(Source!A134)</f>
        <v>134</v>
      </c>
      <c r="B88">
        <v>60258618</v>
      </c>
      <c r="C88">
        <v>60258902</v>
      </c>
      <c r="D88">
        <v>59040049</v>
      </c>
      <c r="E88">
        <v>1</v>
      </c>
      <c r="F88">
        <v>1</v>
      </c>
      <c r="G88">
        <v>1080</v>
      </c>
      <c r="H88">
        <v>3</v>
      </c>
      <c r="I88" t="s">
        <v>327</v>
      </c>
      <c r="J88" t="s">
        <v>328</v>
      </c>
      <c r="K88" t="s">
        <v>329</v>
      </c>
      <c r="L88">
        <v>1348</v>
      </c>
      <c r="N88">
        <v>1009</v>
      </c>
      <c r="O88" t="s">
        <v>281</v>
      </c>
      <c r="P88" t="s">
        <v>281</v>
      </c>
      <c r="Q88">
        <v>1000</v>
      </c>
      <c r="W88">
        <v>0</v>
      </c>
      <c r="X88">
        <v>-1792704725</v>
      </c>
      <c r="Y88">
        <f t="shared" ref="Y88:Y96" si="35">(AT88*1)</f>
        <v>1.0499999999999999E-3</v>
      </c>
      <c r="AA88">
        <v>159875.9</v>
      </c>
      <c r="AB88">
        <v>0</v>
      </c>
      <c r="AC88">
        <v>0</v>
      </c>
      <c r="AD88">
        <v>0</v>
      </c>
      <c r="AE88">
        <v>8590.86</v>
      </c>
      <c r="AF88">
        <v>0</v>
      </c>
      <c r="AG88">
        <v>0</v>
      </c>
      <c r="AH88">
        <v>0</v>
      </c>
      <c r="AI88">
        <v>18.61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1.0499999999999999E-3</v>
      </c>
      <c r="AU88" t="s">
        <v>23</v>
      </c>
      <c r="AV88">
        <v>0</v>
      </c>
      <c r="AW88">
        <v>2</v>
      </c>
      <c r="AX88">
        <v>60259026</v>
      </c>
      <c r="AY88">
        <v>1</v>
      </c>
      <c r="AZ88">
        <v>0</v>
      </c>
      <c r="BA88">
        <v>108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ROUND(Y88*Source!I134,9)</f>
        <v>5.2499999999999997E-4</v>
      </c>
      <c r="CY88">
        <f t="shared" ref="CY88:CY96" si="36">AA88</f>
        <v>159875.9</v>
      </c>
      <c r="CZ88">
        <f t="shared" ref="CZ88:CZ96" si="37">AE88</f>
        <v>8590.86</v>
      </c>
      <c r="DA88">
        <f t="shared" ref="DA88:DA96" si="38">AI88</f>
        <v>18.61</v>
      </c>
      <c r="DB88">
        <f t="shared" ref="DB88:DB96" si="39">ROUND((ROUND(AT88*CZ88,2)*1),6)</f>
        <v>9.02</v>
      </c>
      <c r="DC88">
        <f t="shared" ref="DC88:DC96" si="40">ROUND((ROUND(AT88*AG88,2)*1),6)</f>
        <v>0</v>
      </c>
      <c r="DD88" t="s">
        <v>3</v>
      </c>
      <c r="DE88" t="s">
        <v>3</v>
      </c>
      <c r="DF88">
        <f t="shared" ref="DF88:DF96" si="41">ROUND(ROUND(AE88*AI88,2)*CX88,2)</f>
        <v>83.93</v>
      </c>
      <c r="DG88">
        <f t="shared" ref="DG88:DG106" si="42">ROUND(ROUND(AF88,2)*CX88,2)</f>
        <v>0</v>
      </c>
      <c r="DH88">
        <f t="shared" ref="DH88:DH106" si="43">ROUND(ROUND(AG88,2)*CX88,2)</f>
        <v>0</v>
      </c>
      <c r="DI88">
        <f t="shared" si="26"/>
        <v>0</v>
      </c>
      <c r="DJ88">
        <f t="shared" ref="DJ88:DJ96" si="44">DF88</f>
        <v>83.93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ROW(Source!A134)</f>
        <v>134</v>
      </c>
      <c r="B89">
        <v>60258618</v>
      </c>
      <c r="C89">
        <v>60258902</v>
      </c>
      <c r="D89">
        <v>59039008</v>
      </c>
      <c r="E89">
        <v>1</v>
      </c>
      <c r="F89">
        <v>1</v>
      </c>
      <c r="G89">
        <v>1080</v>
      </c>
      <c r="H89">
        <v>3</v>
      </c>
      <c r="I89" t="s">
        <v>312</v>
      </c>
      <c r="J89" t="s">
        <v>313</v>
      </c>
      <c r="K89" t="s">
        <v>314</v>
      </c>
      <c r="L89">
        <v>1354</v>
      </c>
      <c r="N89">
        <v>1010</v>
      </c>
      <c r="O89" t="s">
        <v>216</v>
      </c>
      <c r="P89" t="s">
        <v>216</v>
      </c>
      <c r="Q89">
        <v>1</v>
      </c>
      <c r="W89">
        <v>0</v>
      </c>
      <c r="X89">
        <v>-40224714</v>
      </c>
      <c r="Y89">
        <f t="shared" si="35"/>
        <v>82</v>
      </c>
      <c r="AA89">
        <v>0.8</v>
      </c>
      <c r="AB89">
        <v>0</v>
      </c>
      <c r="AC89">
        <v>0</v>
      </c>
      <c r="AD89">
        <v>0</v>
      </c>
      <c r="AE89">
        <v>0.89</v>
      </c>
      <c r="AF89">
        <v>0</v>
      </c>
      <c r="AG89">
        <v>0</v>
      </c>
      <c r="AH89">
        <v>0</v>
      </c>
      <c r="AI89">
        <v>0.9</v>
      </c>
      <c r="AJ89">
        <v>1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82</v>
      </c>
      <c r="AU89" t="s">
        <v>23</v>
      </c>
      <c r="AV89">
        <v>0</v>
      </c>
      <c r="AW89">
        <v>2</v>
      </c>
      <c r="AX89">
        <v>60259027</v>
      </c>
      <c r="AY89">
        <v>1</v>
      </c>
      <c r="AZ89">
        <v>0</v>
      </c>
      <c r="BA89">
        <v>109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ROUND(Y89*Source!I134,9)</f>
        <v>41</v>
      </c>
      <c r="CY89">
        <f t="shared" si="36"/>
        <v>0.8</v>
      </c>
      <c r="CZ89">
        <f t="shared" si="37"/>
        <v>0.89</v>
      </c>
      <c r="DA89">
        <f t="shared" si="38"/>
        <v>0.9</v>
      </c>
      <c r="DB89">
        <f t="shared" si="39"/>
        <v>72.98</v>
      </c>
      <c r="DC89">
        <f t="shared" si="40"/>
        <v>0</v>
      </c>
      <c r="DD89" t="s">
        <v>3</v>
      </c>
      <c r="DE89" t="s">
        <v>3</v>
      </c>
      <c r="DF89">
        <f t="shared" si="41"/>
        <v>32.799999999999997</v>
      </c>
      <c r="DG89">
        <f t="shared" si="42"/>
        <v>0</v>
      </c>
      <c r="DH89">
        <f t="shared" si="43"/>
        <v>0</v>
      </c>
      <c r="DI89">
        <f t="shared" si="26"/>
        <v>0</v>
      </c>
      <c r="DJ89">
        <f t="shared" si="44"/>
        <v>32.799999999999997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ROW(Source!A134)</f>
        <v>134</v>
      </c>
      <c r="B90">
        <v>60258618</v>
      </c>
      <c r="C90">
        <v>60258902</v>
      </c>
      <c r="D90">
        <v>59041375</v>
      </c>
      <c r="E90">
        <v>1</v>
      </c>
      <c r="F90">
        <v>1</v>
      </c>
      <c r="G90">
        <v>1080</v>
      </c>
      <c r="H90">
        <v>3</v>
      </c>
      <c r="I90" t="s">
        <v>330</v>
      </c>
      <c r="J90" t="s">
        <v>331</v>
      </c>
      <c r="K90" t="s">
        <v>332</v>
      </c>
      <c r="L90">
        <v>1346</v>
      </c>
      <c r="N90">
        <v>1009</v>
      </c>
      <c r="O90" t="s">
        <v>289</v>
      </c>
      <c r="P90" t="s">
        <v>289</v>
      </c>
      <c r="Q90">
        <v>1</v>
      </c>
      <c r="W90">
        <v>0</v>
      </c>
      <c r="X90">
        <v>-323488432</v>
      </c>
      <c r="Y90">
        <f t="shared" si="35"/>
        <v>0.03</v>
      </c>
      <c r="AA90">
        <v>1020.2</v>
      </c>
      <c r="AB90">
        <v>0</v>
      </c>
      <c r="AC90">
        <v>0</v>
      </c>
      <c r="AD90">
        <v>0</v>
      </c>
      <c r="AE90">
        <v>520.51</v>
      </c>
      <c r="AF90">
        <v>0</v>
      </c>
      <c r="AG90">
        <v>0</v>
      </c>
      <c r="AH90">
        <v>0</v>
      </c>
      <c r="AI90">
        <v>1.96</v>
      </c>
      <c r="AJ90">
        <v>1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0.03</v>
      </c>
      <c r="AU90" t="s">
        <v>23</v>
      </c>
      <c r="AV90">
        <v>0</v>
      </c>
      <c r="AW90">
        <v>2</v>
      </c>
      <c r="AX90">
        <v>60259028</v>
      </c>
      <c r="AY90">
        <v>1</v>
      </c>
      <c r="AZ90">
        <v>0</v>
      </c>
      <c r="BA90">
        <v>110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ROUND(Y90*Source!I134,9)</f>
        <v>1.4999999999999999E-2</v>
      </c>
      <c r="CY90">
        <f t="shared" si="36"/>
        <v>1020.2</v>
      </c>
      <c r="CZ90">
        <f t="shared" si="37"/>
        <v>520.51</v>
      </c>
      <c r="DA90">
        <f t="shared" si="38"/>
        <v>1.96</v>
      </c>
      <c r="DB90">
        <f t="shared" si="39"/>
        <v>15.62</v>
      </c>
      <c r="DC90">
        <f t="shared" si="40"/>
        <v>0</v>
      </c>
      <c r="DD90" t="s">
        <v>3</v>
      </c>
      <c r="DE90" t="s">
        <v>3</v>
      </c>
      <c r="DF90">
        <f t="shared" si="41"/>
        <v>15.3</v>
      </c>
      <c r="DG90">
        <f t="shared" si="42"/>
        <v>0</v>
      </c>
      <c r="DH90">
        <f t="shared" si="43"/>
        <v>0</v>
      </c>
      <c r="DI90">
        <f t="shared" si="26"/>
        <v>0</v>
      </c>
      <c r="DJ90">
        <f t="shared" si="44"/>
        <v>15.3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ROW(Source!A134)</f>
        <v>134</v>
      </c>
      <c r="B91">
        <v>60258618</v>
      </c>
      <c r="C91">
        <v>60258902</v>
      </c>
      <c r="D91">
        <v>59039184</v>
      </c>
      <c r="E91">
        <v>1</v>
      </c>
      <c r="F91">
        <v>1</v>
      </c>
      <c r="G91">
        <v>1080</v>
      </c>
      <c r="H91">
        <v>3</v>
      </c>
      <c r="I91" t="s">
        <v>333</v>
      </c>
      <c r="J91" t="s">
        <v>334</v>
      </c>
      <c r="K91" t="s">
        <v>335</v>
      </c>
      <c r="L91">
        <v>1348</v>
      </c>
      <c r="N91">
        <v>1009</v>
      </c>
      <c r="O91" t="s">
        <v>281</v>
      </c>
      <c r="P91" t="s">
        <v>281</v>
      </c>
      <c r="Q91">
        <v>1000</v>
      </c>
      <c r="W91">
        <v>0</v>
      </c>
      <c r="X91">
        <v>-301728717</v>
      </c>
      <c r="Y91">
        <f t="shared" si="35"/>
        <v>6.8000000000000005E-4</v>
      </c>
      <c r="AA91">
        <v>51129.68</v>
      </c>
      <c r="AB91">
        <v>0</v>
      </c>
      <c r="AC91">
        <v>0</v>
      </c>
      <c r="AD91">
        <v>0</v>
      </c>
      <c r="AE91">
        <v>16180.28</v>
      </c>
      <c r="AF91">
        <v>0</v>
      </c>
      <c r="AG91">
        <v>0</v>
      </c>
      <c r="AH91">
        <v>0</v>
      </c>
      <c r="AI91">
        <v>3.16</v>
      </c>
      <c r="AJ91">
        <v>1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6.8000000000000005E-4</v>
      </c>
      <c r="AU91" t="s">
        <v>23</v>
      </c>
      <c r="AV91">
        <v>0</v>
      </c>
      <c r="AW91">
        <v>2</v>
      </c>
      <c r="AX91">
        <v>60259029</v>
      </c>
      <c r="AY91">
        <v>1</v>
      </c>
      <c r="AZ91">
        <v>0</v>
      </c>
      <c r="BA91">
        <v>111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ROUND(Y91*Source!I134,9)</f>
        <v>3.4000000000000002E-4</v>
      </c>
      <c r="CY91">
        <f t="shared" si="36"/>
        <v>51129.68</v>
      </c>
      <c r="CZ91">
        <f t="shared" si="37"/>
        <v>16180.28</v>
      </c>
      <c r="DA91">
        <f t="shared" si="38"/>
        <v>3.16</v>
      </c>
      <c r="DB91">
        <f t="shared" si="39"/>
        <v>11</v>
      </c>
      <c r="DC91">
        <f t="shared" si="40"/>
        <v>0</v>
      </c>
      <c r="DD91" t="s">
        <v>3</v>
      </c>
      <c r="DE91" t="s">
        <v>3</v>
      </c>
      <c r="DF91">
        <f t="shared" si="41"/>
        <v>17.38</v>
      </c>
      <c r="DG91">
        <f t="shared" si="42"/>
        <v>0</v>
      </c>
      <c r="DH91">
        <f t="shared" si="43"/>
        <v>0</v>
      </c>
      <c r="DI91">
        <f t="shared" si="26"/>
        <v>0</v>
      </c>
      <c r="DJ91">
        <f t="shared" si="44"/>
        <v>17.38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ROW(Source!A134)</f>
        <v>134</v>
      </c>
      <c r="B92">
        <v>60258618</v>
      </c>
      <c r="C92">
        <v>60258902</v>
      </c>
      <c r="D92">
        <v>59039484</v>
      </c>
      <c r="E92">
        <v>1</v>
      </c>
      <c r="F92">
        <v>1</v>
      </c>
      <c r="G92">
        <v>1080</v>
      </c>
      <c r="H92">
        <v>3</v>
      </c>
      <c r="I92" t="s">
        <v>336</v>
      </c>
      <c r="J92" t="s">
        <v>337</v>
      </c>
      <c r="K92" t="s">
        <v>338</v>
      </c>
      <c r="L92">
        <v>1348</v>
      </c>
      <c r="N92">
        <v>1009</v>
      </c>
      <c r="O92" t="s">
        <v>281</v>
      </c>
      <c r="P92" t="s">
        <v>281</v>
      </c>
      <c r="Q92">
        <v>1000</v>
      </c>
      <c r="W92">
        <v>0</v>
      </c>
      <c r="X92">
        <v>-1942970469</v>
      </c>
      <c r="Y92">
        <f t="shared" si="35"/>
        <v>2.0999999999999999E-3</v>
      </c>
      <c r="AA92">
        <v>78381.179999999993</v>
      </c>
      <c r="AB92">
        <v>0</v>
      </c>
      <c r="AC92">
        <v>0</v>
      </c>
      <c r="AD92">
        <v>0</v>
      </c>
      <c r="AE92">
        <v>7973.67</v>
      </c>
      <c r="AF92">
        <v>0</v>
      </c>
      <c r="AG92">
        <v>0</v>
      </c>
      <c r="AH92">
        <v>0</v>
      </c>
      <c r="AI92">
        <v>9.83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2.0999999999999999E-3</v>
      </c>
      <c r="AU92" t="s">
        <v>23</v>
      </c>
      <c r="AV92">
        <v>0</v>
      </c>
      <c r="AW92">
        <v>2</v>
      </c>
      <c r="AX92">
        <v>60259030</v>
      </c>
      <c r="AY92">
        <v>1</v>
      </c>
      <c r="AZ92">
        <v>0</v>
      </c>
      <c r="BA92">
        <v>112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ROUND(Y92*Source!I134,9)</f>
        <v>1.0499999999999999E-3</v>
      </c>
      <c r="CY92">
        <f t="shared" si="36"/>
        <v>78381.179999999993</v>
      </c>
      <c r="CZ92">
        <f t="shared" si="37"/>
        <v>7973.67</v>
      </c>
      <c r="DA92">
        <f t="shared" si="38"/>
        <v>9.83</v>
      </c>
      <c r="DB92">
        <f t="shared" si="39"/>
        <v>16.739999999999998</v>
      </c>
      <c r="DC92">
        <f t="shared" si="40"/>
        <v>0</v>
      </c>
      <c r="DD92" t="s">
        <v>3</v>
      </c>
      <c r="DE92" t="s">
        <v>3</v>
      </c>
      <c r="DF92">
        <f t="shared" si="41"/>
        <v>82.3</v>
      </c>
      <c r="DG92">
        <f t="shared" si="42"/>
        <v>0</v>
      </c>
      <c r="DH92">
        <f t="shared" si="43"/>
        <v>0</v>
      </c>
      <c r="DI92">
        <f t="shared" si="26"/>
        <v>0</v>
      </c>
      <c r="DJ92">
        <f t="shared" si="44"/>
        <v>82.3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ROW(Source!A134)</f>
        <v>134</v>
      </c>
      <c r="B93">
        <v>60258618</v>
      </c>
      <c r="C93">
        <v>60258902</v>
      </c>
      <c r="D93">
        <v>59051839</v>
      </c>
      <c r="E93">
        <v>1</v>
      </c>
      <c r="F93">
        <v>1</v>
      </c>
      <c r="G93">
        <v>1080</v>
      </c>
      <c r="H93">
        <v>3</v>
      </c>
      <c r="I93" t="s">
        <v>223</v>
      </c>
      <c r="J93" t="s">
        <v>225</v>
      </c>
      <c r="K93" t="s">
        <v>224</v>
      </c>
      <c r="L93">
        <v>1301</v>
      </c>
      <c r="N93">
        <v>1003</v>
      </c>
      <c r="O93" t="s">
        <v>211</v>
      </c>
      <c r="P93" t="s">
        <v>211</v>
      </c>
      <c r="Q93">
        <v>1</v>
      </c>
      <c r="W93">
        <v>0</v>
      </c>
      <c r="X93">
        <v>1693732463</v>
      </c>
      <c r="Y93">
        <f t="shared" si="35"/>
        <v>103</v>
      </c>
      <c r="AA93">
        <v>71.849999999999994</v>
      </c>
      <c r="AB93">
        <v>0</v>
      </c>
      <c r="AC93">
        <v>0</v>
      </c>
      <c r="AD93">
        <v>0</v>
      </c>
      <c r="AE93">
        <v>21.84</v>
      </c>
      <c r="AF93">
        <v>0</v>
      </c>
      <c r="AG93">
        <v>0</v>
      </c>
      <c r="AH93">
        <v>0</v>
      </c>
      <c r="AI93">
        <v>3.29</v>
      </c>
      <c r="AJ93">
        <v>1</v>
      </c>
      <c r="AK93">
        <v>1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 t="s">
        <v>3</v>
      </c>
      <c r="AT93">
        <v>103</v>
      </c>
      <c r="AU93" t="s">
        <v>23</v>
      </c>
      <c r="AV93">
        <v>0</v>
      </c>
      <c r="AW93">
        <v>1</v>
      </c>
      <c r="AX93">
        <v>-1</v>
      </c>
      <c r="AY93">
        <v>0</v>
      </c>
      <c r="AZ93">
        <v>0</v>
      </c>
      <c r="BA93" t="s">
        <v>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ROUND(Y93*Source!I134,9)</f>
        <v>51.5</v>
      </c>
      <c r="CY93">
        <f t="shared" si="36"/>
        <v>71.849999999999994</v>
      </c>
      <c r="CZ93">
        <f t="shared" si="37"/>
        <v>21.84</v>
      </c>
      <c r="DA93">
        <f t="shared" si="38"/>
        <v>3.29</v>
      </c>
      <c r="DB93">
        <f t="shared" si="39"/>
        <v>2249.52</v>
      </c>
      <c r="DC93">
        <f t="shared" si="40"/>
        <v>0</v>
      </c>
      <c r="DD93" t="s">
        <v>3</v>
      </c>
      <c r="DE93" t="s">
        <v>3</v>
      </c>
      <c r="DF93">
        <f t="shared" si="41"/>
        <v>3700.28</v>
      </c>
      <c r="DG93">
        <f t="shared" si="42"/>
        <v>0</v>
      </c>
      <c r="DH93">
        <f t="shared" si="43"/>
        <v>0</v>
      </c>
      <c r="DI93">
        <f t="shared" si="26"/>
        <v>0</v>
      </c>
      <c r="DJ93">
        <f t="shared" si="44"/>
        <v>3700.28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ROW(Source!A134)</f>
        <v>134</v>
      </c>
      <c r="B94">
        <v>60258618</v>
      </c>
      <c r="C94">
        <v>60258902</v>
      </c>
      <c r="D94">
        <v>59063054</v>
      </c>
      <c r="E94">
        <v>1</v>
      </c>
      <c r="F94">
        <v>1</v>
      </c>
      <c r="G94">
        <v>1080</v>
      </c>
      <c r="H94">
        <v>3</v>
      </c>
      <c r="I94" t="s">
        <v>339</v>
      </c>
      <c r="J94" t="s">
        <v>340</v>
      </c>
      <c r="K94" t="s">
        <v>341</v>
      </c>
      <c r="L94">
        <v>1358</v>
      </c>
      <c r="N94">
        <v>1010</v>
      </c>
      <c r="O94" t="s">
        <v>342</v>
      </c>
      <c r="P94" t="s">
        <v>342</v>
      </c>
      <c r="Q94">
        <v>10</v>
      </c>
      <c r="W94">
        <v>0</v>
      </c>
      <c r="X94">
        <v>1514586905</v>
      </c>
      <c r="Y94">
        <f t="shared" si="35"/>
        <v>1.02</v>
      </c>
      <c r="AA94">
        <v>42.42</v>
      </c>
      <c r="AB94">
        <v>0</v>
      </c>
      <c r="AC94">
        <v>0</v>
      </c>
      <c r="AD94">
        <v>0</v>
      </c>
      <c r="AE94">
        <v>5.46</v>
      </c>
      <c r="AF94">
        <v>0</v>
      </c>
      <c r="AG94">
        <v>0</v>
      </c>
      <c r="AH94">
        <v>0</v>
      </c>
      <c r="AI94">
        <v>7.77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1.02</v>
      </c>
      <c r="AU94" t="s">
        <v>23</v>
      </c>
      <c r="AV94">
        <v>0</v>
      </c>
      <c r="AW94">
        <v>2</v>
      </c>
      <c r="AX94">
        <v>60259031</v>
      </c>
      <c r="AY94">
        <v>1</v>
      </c>
      <c r="AZ94">
        <v>0</v>
      </c>
      <c r="BA94">
        <v>113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ROUND(Y94*Source!I134,9)</f>
        <v>0.51</v>
      </c>
      <c r="CY94">
        <f t="shared" si="36"/>
        <v>42.42</v>
      </c>
      <c r="CZ94">
        <f t="shared" si="37"/>
        <v>5.46</v>
      </c>
      <c r="DA94">
        <f t="shared" si="38"/>
        <v>7.77</v>
      </c>
      <c r="DB94">
        <f t="shared" si="39"/>
        <v>5.57</v>
      </c>
      <c r="DC94">
        <f t="shared" si="40"/>
        <v>0</v>
      </c>
      <c r="DD94" t="s">
        <v>3</v>
      </c>
      <c r="DE94" t="s">
        <v>3</v>
      </c>
      <c r="DF94">
        <f t="shared" si="41"/>
        <v>21.63</v>
      </c>
      <c r="DG94">
        <f t="shared" si="42"/>
        <v>0</v>
      </c>
      <c r="DH94">
        <f t="shared" si="43"/>
        <v>0</v>
      </c>
      <c r="DI94">
        <f t="shared" si="26"/>
        <v>0</v>
      </c>
      <c r="DJ94">
        <f t="shared" si="44"/>
        <v>21.63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ROW(Source!A134)</f>
        <v>134</v>
      </c>
      <c r="B95">
        <v>60258618</v>
      </c>
      <c r="C95">
        <v>60258902</v>
      </c>
      <c r="D95">
        <v>59063148</v>
      </c>
      <c r="E95">
        <v>1</v>
      </c>
      <c r="F95">
        <v>1</v>
      </c>
      <c r="G95">
        <v>1080</v>
      </c>
      <c r="H95">
        <v>3</v>
      </c>
      <c r="I95" t="s">
        <v>343</v>
      </c>
      <c r="J95" t="s">
        <v>344</v>
      </c>
      <c r="K95" t="s">
        <v>345</v>
      </c>
      <c r="L95">
        <v>1354</v>
      </c>
      <c r="N95">
        <v>1010</v>
      </c>
      <c r="O95" t="s">
        <v>216</v>
      </c>
      <c r="P95" t="s">
        <v>216</v>
      </c>
      <c r="Q95">
        <v>1</v>
      </c>
      <c r="W95">
        <v>0</v>
      </c>
      <c r="X95">
        <v>446825684</v>
      </c>
      <c r="Y95">
        <f t="shared" si="35"/>
        <v>8</v>
      </c>
      <c r="AA95">
        <v>123.97</v>
      </c>
      <c r="AB95">
        <v>0</v>
      </c>
      <c r="AC95">
        <v>0</v>
      </c>
      <c r="AD95">
        <v>0</v>
      </c>
      <c r="AE95">
        <v>14.99</v>
      </c>
      <c r="AF95">
        <v>0</v>
      </c>
      <c r="AG95">
        <v>0</v>
      </c>
      <c r="AH95">
        <v>0</v>
      </c>
      <c r="AI95">
        <v>8.27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8</v>
      </c>
      <c r="AU95" t="s">
        <v>23</v>
      </c>
      <c r="AV95">
        <v>0</v>
      </c>
      <c r="AW95">
        <v>2</v>
      </c>
      <c r="AX95">
        <v>60259032</v>
      </c>
      <c r="AY95">
        <v>1</v>
      </c>
      <c r="AZ95">
        <v>0</v>
      </c>
      <c r="BA95">
        <v>114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ROUND(Y95*Source!I134,9)</f>
        <v>4</v>
      </c>
      <c r="CY95">
        <f t="shared" si="36"/>
        <v>123.97</v>
      </c>
      <c r="CZ95">
        <f t="shared" si="37"/>
        <v>14.99</v>
      </c>
      <c r="DA95">
        <f t="shared" si="38"/>
        <v>8.27</v>
      </c>
      <c r="DB95">
        <f t="shared" si="39"/>
        <v>119.92</v>
      </c>
      <c r="DC95">
        <f t="shared" si="40"/>
        <v>0</v>
      </c>
      <c r="DD95" t="s">
        <v>3</v>
      </c>
      <c r="DE95" t="s">
        <v>3</v>
      </c>
      <c r="DF95">
        <f t="shared" si="41"/>
        <v>495.88</v>
      </c>
      <c r="DG95">
        <f t="shared" si="42"/>
        <v>0</v>
      </c>
      <c r="DH95">
        <f t="shared" si="43"/>
        <v>0</v>
      </c>
      <c r="DI95">
        <f t="shared" si="26"/>
        <v>0</v>
      </c>
      <c r="DJ95">
        <f t="shared" si="44"/>
        <v>495.88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ROW(Source!A134)</f>
        <v>134</v>
      </c>
      <c r="B96">
        <v>60258618</v>
      </c>
      <c r="C96">
        <v>60258902</v>
      </c>
      <c r="D96">
        <v>59062463</v>
      </c>
      <c r="E96">
        <v>1</v>
      </c>
      <c r="F96">
        <v>1</v>
      </c>
      <c r="G96">
        <v>1080</v>
      </c>
      <c r="H96">
        <v>3</v>
      </c>
      <c r="I96" t="s">
        <v>346</v>
      </c>
      <c r="J96" t="s">
        <v>347</v>
      </c>
      <c r="K96" t="s">
        <v>348</v>
      </c>
      <c r="L96">
        <v>1356</v>
      </c>
      <c r="N96">
        <v>1010</v>
      </c>
      <c r="O96" t="s">
        <v>349</v>
      </c>
      <c r="P96" t="s">
        <v>349</v>
      </c>
      <c r="Q96">
        <v>1000</v>
      </c>
      <c r="W96">
        <v>0</v>
      </c>
      <c r="X96">
        <v>2136966088</v>
      </c>
      <c r="Y96">
        <f t="shared" si="35"/>
        <v>4.1000000000000002E-2</v>
      </c>
      <c r="AA96">
        <v>2612.5700000000002</v>
      </c>
      <c r="AB96">
        <v>0</v>
      </c>
      <c r="AC96">
        <v>0</v>
      </c>
      <c r="AD96">
        <v>0</v>
      </c>
      <c r="AE96">
        <v>919.92</v>
      </c>
      <c r="AF96">
        <v>0</v>
      </c>
      <c r="AG96">
        <v>0</v>
      </c>
      <c r="AH96">
        <v>0</v>
      </c>
      <c r="AI96">
        <v>2.84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4.1000000000000002E-2</v>
      </c>
      <c r="AU96" t="s">
        <v>23</v>
      </c>
      <c r="AV96">
        <v>0</v>
      </c>
      <c r="AW96">
        <v>2</v>
      </c>
      <c r="AX96">
        <v>60259033</v>
      </c>
      <c r="AY96">
        <v>1</v>
      </c>
      <c r="AZ96">
        <v>0</v>
      </c>
      <c r="BA96">
        <v>115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ROUND(Y96*Source!I134,9)</f>
        <v>2.0500000000000001E-2</v>
      </c>
      <c r="CY96">
        <f t="shared" si="36"/>
        <v>2612.5700000000002</v>
      </c>
      <c r="CZ96">
        <f t="shared" si="37"/>
        <v>919.92</v>
      </c>
      <c r="DA96">
        <f t="shared" si="38"/>
        <v>2.84</v>
      </c>
      <c r="DB96">
        <f t="shared" si="39"/>
        <v>37.72</v>
      </c>
      <c r="DC96">
        <f t="shared" si="40"/>
        <v>0</v>
      </c>
      <c r="DD96" t="s">
        <v>3</v>
      </c>
      <c r="DE96" t="s">
        <v>3</v>
      </c>
      <c r="DF96">
        <f t="shared" si="41"/>
        <v>53.56</v>
      </c>
      <c r="DG96">
        <f t="shared" si="42"/>
        <v>0</v>
      </c>
      <c r="DH96">
        <f t="shared" si="43"/>
        <v>0</v>
      </c>
      <c r="DI96">
        <f t="shared" si="26"/>
        <v>0</v>
      </c>
      <c r="DJ96">
        <f t="shared" si="44"/>
        <v>53.56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ROW(Source!A139)</f>
        <v>139</v>
      </c>
      <c r="B97">
        <v>60258621</v>
      </c>
      <c r="C97">
        <v>60258937</v>
      </c>
      <c r="D97">
        <v>58999254</v>
      </c>
      <c r="E97">
        <v>1080</v>
      </c>
      <c r="F97">
        <v>1</v>
      </c>
      <c r="G97">
        <v>1080</v>
      </c>
      <c r="H97">
        <v>1</v>
      </c>
      <c r="I97" t="s">
        <v>275</v>
      </c>
      <c r="J97" t="s">
        <v>3</v>
      </c>
      <c r="K97" t="s">
        <v>276</v>
      </c>
      <c r="L97">
        <v>1191</v>
      </c>
      <c r="N97">
        <v>1013</v>
      </c>
      <c r="O97" t="s">
        <v>277</v>
      </c>
      <c r="P97" t="s">
        <v>277</v>
      </c>
      <c r="Q97">
        <v>1</v>
      </c>
      <c r="W97">
        <v>0</v>
      </c>
      <c r="X97">
        <v>476480486</v>
      </c>
      <c r="Y97">
        <f>(AT97*1.1)</f>
        <v>4.9390000000000009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4.49</v>
      </c>
      <c r="AU97" t="s">
        <v>24</v>
      </c>
      <c r="AV97">
        <v>1</v>
      </c>
      <c r="AW97">
        <v>2</v>
      </c>
      <c r="AX97">
        <v>60259039</v>
      </c>
      <c r="AY97">
        <v>1</v>
      </c>
      <c r="AZ97">
        <v>0</v>
      </c>
      <c r="BA97">
        <v>121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ROUND(AT97*Source!I139*AH97*AL97,2)</f>
        <v>0</v>
      </c>
      <c r="CV97">
        <f>ROUND(Y97*Source!I139,9)</f>
        <v>148.16999999999999</v>
      </c>
      <c r="CW97">
        <v>0</v>
      </c>
      <c r="CX97">
        <f>ROUND(Y97*Source!I139,9)</f>
        <v>148.16999999999999</v>
      </c>
      <c r="CY97">
        <f>AD97</f>
        <v>0</v>
      </c>
      <c r="CZ97">
        <f>AH97</f>
        <v>0</v>
      </c>
      <c r="DA97">
        <f>AL97</f>
        <v>1</v>
      </c>
      <c r="DB97">
        <f>ROUND((ROUND(AT97*CZ97,2)*1.1),6)</f>
        <v>0</v>
      </c>
      <c r="DC97">
        <f>ROUND((ROUND(AT97*AG97,2)*1.1),6)</f>
        <v>0</v>
      </c>
      <c r="DD97" t="s">
        <v>3</v>
      </c>
      <c r="DE97" t="s">
        <v>3</v>
      </c>
      <c r="DF97">
        <f t="shared" ref="DF97:DF108" si="45">ROUND(ROUND(AE97,2)*CX97,2)</f>
        <v>0</v>
      </c>
      <c r="DG97">
        <f t="shared" si="42"/>
        <v>0</v>
      </c>
      <c r="DH97">
        <f t="shared" si="43"/>
        <v>0</v>
      </c>
      <c r="DI97">
        <f t="shared" ref="DI97:DI130" si="46">ROUND(ROUND(AH97,2)*CX97,2)</f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ROW(Source!A139)</f>
        <v>139</v>
      </c>
      <c r="B98">
        <v>60258621</v>
      </c>
      <c r="C98">
        <v>60258937</v>
      </c>
      <c r="D98">
        <v>59070669</v>
      </c>
      <c r="E98">
        <v>1</v>
      </c>
      <c r="F98">
        <v>1</v>
      </c>
      <c r="G98">
        <v>1080</v>
      </c>
      <c r="H98">
        <v>2</v>
      </c>
      <c r="I98" t="s">
        <v>301</v>
      </c>
      <c r="J98" t="s">
        <v>302</v>
      </c>
      <c r="K98" t="s">
        <v>303</v>
      </c>
      <c r="L98">
        <v>1368</v>
      </c>
      <c r="N98">
        <v>1011</v>
      </c>
      <c r="O98" t="s">
        <v>304</v>
      </c>
      <c r="P98" t="s">
        <v>304</v>
      </c>
      <c r="Q98">
        <v>1</v>
      </c>
      <c r="W98">
        <v>0</v>
      </c>
      <c r="X98">
        <v>-1985943078</v>
      </c>
      <c r="Y98">
        <f>(AT98*1.1)</f>
        <v>1.1000000000000001E-2</v>
      </c>
      <c r="AA98">
        <v>0</v>
      </c>
      <c r="AB98">
        <v>87.01</v>
      </c>
      <c r="AC98">
        <v>13.21</v>
      </c>
      <c r="AD98">
        <v>0</v>
      </c>
      <c r="AE98">
        <v>0</v>
      </c>
      <c r="AF98">
        <v>83.1</v>
      </c>
      <c r="AG98">
        <v>12.62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0.01</v>
      </c>
      <c r="AU98" t="s">
        <v>24</v>
      </c>
      <c r="AV98">
        <v>0</v>
      </c>
      <c r="AW98">
        <v>2</v>
      </c>
      <c r="AX98">
        <v>60259040</v>
      </c>
      <c r="AY98">
        <v>1</v>
      </c>
      <c r="AZ98">
        <v>0</v>
      </c>
      <c r="BA98">
        <v>122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ROUND(Y98*Source!I139*DO98,9)</f>
        <v>4.1646000000000001</v>
      </c>
      <c r="CX98">
        <f>ROUND(Y98*Source!I139,9)</f>
        <v>0.33</v>
      </c>
      <c r="CY98">
        <f>AB98</f>
        <v>87.01</v>
      </c>
      <c r="CZ98">
        <f>AF98</f>
        <v>83.1</v>
      </c>
      <c r="DA98">
        <f>AJ98</f>
        <v>1</v>
      </c>
      <c r="DB98">
        <f>ROUND((ROUND(AT98*CZ98,2)*1.1),6)</f>
        <v>0.91300000000000003</v>
      </c>
      <c r="DC98">
        <f>ROUND((ROUND(AT98*AG98,2)*1.1),6)</f>
        <v>0.14299999999999999</v>
      </c>
      <c r="DD98" t="s">
        <v>3</v>
      </c>
      <c r="DE98" t="s">
        <v>3</v>
      </c>
      <c r="DF98">
        <f t="shared" si="45"/>
        <v>0</v>
      </c>
      <c r="DG98">
        <f t="shared" si="42"/>
        <v>27.42</v>
      </c>
      <c r="DH98">
        <f t="shared" si="43"/>
        <v>4.16</v>
      </c>
      <c r="DI98">
        <f t="shared" si="46"/>
        <v>0</v>
      </c>
      <c r="DJ98">
        <f>DG98</f>
        <v>27.42</v>
      </c>
      <c r="DK98">
        <v>0</v>
      </c>
      <c r="DL98" t="s">
        <v>305</v>
      </c>
      <c r="DM98">
        <v>0</v>
      </c>
      <c r="DN98" t="s">
        <v>277</v>
      </c>
      <c r="DO98">
        <v>12.62</v>
      </c>
    </row>
    <row r="99" spans="1:119" x14ac:dyDescent="0.2">
      <c r="A99">
        <f>ROW(Source!A139)</f>
        <v>139</v>
      </c>
      <c r="B99">
        <v>60258621</v>
      </c>
      <c r="C99">
        <v>60258937</v>
      </c>
      <c r="D99">
        <v>59069905</v>
      </c>
      <c r="E99">
        <v>1</v>
      </c>
      <c r="F99">
        <v>1</v>
      </c>
      <c r="G99">
        <v>1080</v>
      </c>
      <c r="H99">
        <v>2</v>
      </c>
      <c r="I99" t="s">
        <v>350</v>
      </c>
      <c r="J99" t="s">
        <v>351</v>
      </c>
      <c r="K99" t="s">
        <v>352</v>
      </c>
      <c r="L99">
        <v>1368</v>
      </c>
      <c r="N99">
        <v>1011</v>
      </c>
      <c r="O99" t="s">
        <v>304</v>
      </c>
      <c r="P99" t="s">
        <v>304</v>
      </c>
      <c r="Q99">
        <v>1</v>
      </c>
      <c r="W99">
        <v>0</v>
      </c>
      <c r="X99">
        <v>1087580389</v>
      </c>
      <c r="Y99">
        <f>(AT99*1.1)</f>
        <v>1.1000000000000001E-2</v>
      </c>
      <c r="AA99">
        <v>0</v>
      </c>
      <c r="AB99">
        <v>187.59</v>
      </c>
      <c r="AC99">
        <v>17.73</v>
      </c>
      <c r="AD99">
        <v>0</v>
      </c>
      <c r="AE99">
        <v>0</v>
      </c>
      <c r="AF99">
        <v>179.17</v>
      </c>
      <c r="AG99">
        <v>16.93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0.01</v>
      </c>
      <c r="AU99" t="s">
        <v>24</v>
      </c>
      <c r="AV99">
        <v>0</v>
      </c>
      <c r="AW99">
        <v>2</v>
      </c>
      <c r="AX99">
        <v>60259041</v>
      </c>
      <c r="AY99">
        <v>1</v>
      </c>
      <c r="AZ99">
        <v>0</v>
      </c>
      <c r="BA99">
        <v>123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ROUND(Y99*Source!I139*DO99,9)</f>
        <v>5.5869</v>
      </c>
      <c r="CX99">
        <f>ROUND(Y99*Source!I139,9)</f>
        <v>0.33</v>
      </c>
      <c r="CY99">
        <f>AB99</f>
        <v>187.59</v>
      </c>
      <c r="CZ99">
        <f>AF99</f>
        <v>179.17</v>
      </c>
      <c r="DA99">
        <f>AJ99</f>
        <v>1</v>
      </c>
      <c r="DB99">
        <f>ROUND((ROUND(AT99*CZ99,2)*1.1),6)</f>
        <v>1.9690000000000001</v>
      </c>
      <c r="DC99">
        <f>ROUND((ROUND(AT99*AG99,2)*1.1),6)</f>
        <v>0.187</v>
      </c>
      <c r="DD99" t="s">
        <v>3</v>
      </c>
      <c r="DE99" t="s">
        <v>3</v>
      </c>
      <c r="DF99">
        <f t="shared" si="45"/>
        <v>0</v>
      </c>
      <c r="DG99">
        <f t="shared" si="42"/>
        <v>59.13</v>
      </c>
      <c r="DH99">
        <f t="shared" si="43"/>
        <v>5.59</v>
      </c>
      <c r="DI99">
        <f t="shared" si="46"/>
        <v>0</v>
      </c>
      <c r="DJ99">
        <f>DG99</f>
        <v>59.13</v>
      </c>
      <c r="DK99">
        <v>0</v>
      </c>
      <c r="DL99" t="s">
        <v>305</v>
      </c>
      <c r="DM99">
        <v>0</v>
      </c>
      <c r="DN99" t="s">
        <v>277</v>
      </c>
      <c r="DO99">
        <v>16.93</v>
      </c>
    </row>
    <row r="100" spans="1:119" x14ac:dyDescent="0.2">
      <c r="A100">
        <f>ROW(Source!A139)</f>
        <v>139</v>
      </c>
      <c r="B100">
        <v>60258621</v>
      </c>
      <c r="C100">
        <v>60258937</v>
      </c>
      <c r="D100">
        <v>59039702</v>
      </c>
      <c r="E100">
        <v>1</v>
      </c>
      <c r="F100">
        <v>1</v>
      </c>
      <c r="G100">
        <v>1080</v>
      </c>
      <c r="H100">
        <v>3</v>
      </c>
      <c r="I100" t="s">
        <v>353</v>
      </c>
      <c r="J100" t="s">
        <v>354</v>
      </c>
      <c r="K100" t="s">
        <v>355</v>
      </c>
      <c r="L100">
        <v>1346</v>
      </c>
      <c r="N100">
        <v>1009</v>
      </c>
      <c r="O100" t="s">
        <v>289</v>
      </c>
      <c r="P100" t="s">
        <v>289</v>
      </c>
      <c r="Q100">
        <v>1</v>
      </c>
      <c r="W100">
        <v>0</v>
      </c>
      <c r="X100">
        <v>1770006655</v>
      </c>
      <c r="Y100">
        <f t="shared" ref="Y100:Y105" si="47">(AT100*1)</f>
        <v>0.43</v>
      </c>
      <c r="AA100">
        <v>1.38</v>
      </c>
      <c r="AB100">
        <v>0</v>
      </c>
      <c r="AC100">
        <v>0</v>
      </c>
      <c r="AD100">
        <v>0</v>
      </c>
      <c r="AE100">
        <v>1.38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0.43</v>
      </c>
      <c r="AU100" t="s">
        <v>23</v>
      </c>
      <c r="AV100">
        <v>0</v>
      </c>
      <c r="AW100">
        <v>2</v>
      </c>
      <c r="AX100">
        <v>60259042</v>
      </c>
      <c r="AY100">
        <v>1</v>
      </c>
      <c r="AZ100">
        <v>0</v>
      </c>
      <c r="BA100">
        <v>124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ROUND(Y100*Source!I139,9)</f>
        <v>12.9</v>
      </c>
      <c r="CY100">
        <f t="shared" ref="CY100:CY105" si="48">AA100</f>
        <v>1.38</v>
      </c>
      <c r="CZ100">
        <f t="shared" ref="CZ100:CZ105" si="49">AE100</f>
        <v>1.38</v>
      </c>
      <c r="DA100">
        <f t="shared" ref="DA100:DA105" si="50">AI100</f>
        <v>1</v>
      </c>
      <c r="DB100">
        <f t="shared" ref="DB100:DB105" si="51">ROUND((ROUND(AT100*CZ100,2)*1),6)</f>
        <v>0.59</v>
      </c>
      <c r="DC100">
        <f t="shared" ref="DC100:DC105" si="52">ROUND((ROUND(AT100*AG100,2)*1),6)</f>
        <v>0</v>
      </c>
      <c r="DD100" t="s">
        <v>3</v>
      </c>
      <c r="DE100" t="s">
        <v>3</v>
      </c>
      <c r="DF100">
        <f t="shared" si="45"/>
        <v>17.8</v>
      </c>
      <c r="DG100">
        <f t="shared" si="42"/>
        <v>0</v>
      </c>
      <c r="DH100">
        <f t="shared" si="43"/>
        <v>0</v>
      </c>
      <c r="DI100">
        <f t="shared" si="46"/>
        <v>0</v>
      </c>
      <c r="DJ100">
        <f t="shared" ref="DJ100:DJ105" si="53">DF100</f>
        <v>17.8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ROW(Source!A139)</f>
        <v>139</v>
      </c>
      <c r="B101">
        <v>60258621</v>
      </c>
      <c r="C101">
        <v>60258937</v>
      </c>
      <c r="D101">
        <v>59040093</v>
      </c>
      <c r="E101">
        <v>1</v>
      </c>
      <c r="F101">
        <v>1</v>
      </c>
      <c r="G101">
        <v>1080</v>
      </c>
      <c r="H101">
        <v>3</v>
      </c>
      <c r="I101" t="s">
        <v>309</v>
      </c>
      <c r="J101" t="s">
        <v>310</v>
      </c>
      <c r="K101" t="s">
        <v>311</v>
      </c>
      <c r="L101">
        <v>1346</v>
      </c>
      <c r="N101">
        <v>1009</v>
      </c>
      <c r="O101" t="s">
        <v>289</v>
      </c>
      <c r="P101" t="s">
        <v>289</v>
      </c>
      <c r="Q101">
        <v>1</v>
      </c>
      <c r="W101">
        <v>0</v>
      </c>
      <c r="X101">
        <v>-878159893</v>
      </c>
      <c r="Y101">
        <f t="shared" si="47"/>
        <v>0.16</v>
      </c>
      <c r="AA101">
        <v>159.06</v>
      </c>
      <c r="AB101">
        <v>0</v>
      </c>
      <c r="AC101">
        <v>0</v>
      </c>
      <c r="AD101">
        <v>0</v>
      </c>
      <c r="AE101">
        <v>159.06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0.16</v>
      </c>
      <c r="AU101" t="s">
        <v>23</v>
      </c>
      <c r="AV101">
        <v>0</v>
      </c>
      <c r="AW101">
        <v>2</v>
      </c>
      <c r="AX101">
        <v>60259043</v>
      </c>
      <c r="AY101">
        <v>1</v>
      </c>
      <c r="AZ101">
        <v>0</v>
      </c>
      <c r="BA101">
        <v>125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ROUND(Y101*Source!I139,9)</f>
        <v>4.8</v>
      </c>
      <c r="CY101">
        <f t="shared" si="48"/>
        <v>159.06</v>
      </c>
      <c r="CZ101">
        <f t="shared" si="49"/>
        <v>159.06</v>
      </c>
      <c r="DA101">
        <f t="shared" si="50"/>
        <v>1</v>
      </c>
      <c r="DB101">
        <f t="shared" si="51"/>
        <v>25.45</v>
      </c>
      <c r="DC101">
        <f t="shared" si="52"/>
        <v>0</v>
      </c>
      <c r="DD101" t="s">
        <v>3</v>
      </c>
      <c r="DE101" t="s">
        <v>3</v>
      </c>
      <c r="DF101">
        <f t="shared" si="45"/>
        <v>763.49</v>
      </c>
      <c r="DG101">
        <f t="shared" si="42"/>
        <v>0</v>
      </c>
      <c r="DH101">
        <f t="shared" si="43"/>
        <v>0</v>
      </c>
      <c r="DI101">
        <f t="shared" si="46"/>
        <v>0</v>
      </c>
      <c r="DJ101">
        <f t="shared" si="53"/>
        <v>763.49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ROW(Source!A139)</f>
        <v>139</v>
      </c>
      <c r="B102">
        <v>60258621</v>
      </c>
      <c r="C102">
        <v>60258937</v>
      </c>
      <c r="D102">
        <v>59063036</v>
      </c>
      <c r="E102">
        <v>1</v>
      </c>
      <c r="F102">
        <v>1</v>
      </c>
      <c r="G102">
        <v>1080</v>
      </c>
      <c r="H102">
        <v>3</v>
      </c>
      <c r="I102" t="s">
        <v>356</v>
      </c>
      <c r="J102" t="s">
        <v>357</v>
      </c>
      <c r="K102" t="s">
        <v>358</v>
      </c>
      <c r="L102">
        <v>1355</v>
      </c>
      <c r="N102">
        <v>1010</v>
      </c>
      <c r="O102" t="s">
        <v>140</v>
      </c>
      <c r="P102" t="s">
        <v>140</v>
      </c>
      <c r="Q102">
        <v>100</v>
      </c>
      <c r="W102">
        <v>0</v>
      </c>
      <c r="X102">
        <v>-456781043</v>
      </c>
      <c r="Y102">
        <f t="shared" si="47"/>
        <v>0.05</v>
      </c>
      <c r="AA102">
        <v>68.819999999999993</v>
      </c>
      <c r="AB102">
        <v>0</v>
      </c>
      <c r="AC102">
        <v>0</v>
      </c>
      <c r="AD102">
        <v>0</v>
      </c>
      <c r="AE102">
        <v>68.819999999999993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0.05</v>
      </c>
      <c r="AU102" t="s">
        <v>23</v>
      </c>
      <c r="AV102">
        <v>0</v>
      </c>
      <c r="AW102">
        <v>2</v>
      </c>
      <c r="AX102">
        <v>60259044</v>
      </c>
      <c r="AY102">
        <v>1</v>
      </c>
      <c r="AZ102">
        <v>0</v>
      </c>
      <c r="BA102">
        <v>126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ROUND(Y102*Source!I139,9)</f>
        <v>1.5</v>
      </c>
      <c r="CY102">
        <f t="shared" si="48"/>
        <v>68.819999999999993</v>
      </c>
      <c r="CZ102">
        <f t="shared" si="49"/>
        <v>68.819999999999993</v>
      </c>
      <c r="DA102">
        <f t="shared" si="50"/>
        <v>1</v>
      </c>
      <c r="DB102">
        <f t="shared" si="51"/>
        <v>3.44</v>
      </c>
      <c r="DC102">
        <f t="shared" si="52"/>
        <v>0</v>
      </c>
      <c r="DD102" t="s">
        <v>3</v>
      </c>
      <c r="DE102" t="s">
        <v>3</v>
      </c>
      <c r="DF102">
        <f t="shared" si="45"/>
        <v>103.23</v>
      </c>
      <c r="DG102">
        <f t="shared" si="42"/>
        <v>0</v>
      </c>
      <c r="DH102">
        <f t="shared" si="43"/>
        <v>0</v>
      </c>
      <c r="DI102">
        <f t="shared" si="46"/>
        <v>0</v>
      </c>
      <c r="DJ102">
        <f t="shared" si="53"/>
        <v>103.23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ROW(Source!A139)</f>
        <v>139</v>
      </c>
      <c r="B103">
        <v>60258621</v>
      </c>
      <c r="C103">
        <v>60258937</v>
      </c>
      <c r="D103">
        <v>59063047</v>
      </c>
      <c r="E103">
        <v>1</v>
      </c>
      <c r="F103">
        <v>1</v>
      </c>
      <c r="G103">
        <v>1080</v>
      </c>
      <c r="H103">
        <v>3</v>
      </c>
      <c r="I103" t="s">
        <v>359</v>
      </c>
      <c r="J103" t="s">
        <v>360</v>
      </c>
      <c r="K103" t="s">
        <v>361</v>
      </c>
      <c r="L103">
        <v>1356</v>
      </c>
      <c r="N103">
        <v>1010</v>
      </c>
      <c r="O103" t="s">
        <v>349</v>
      </c>
      <c r="P103" t="s">
        <v>349</v>
      </c>
      <c r="Q103">
        <v>1000</v>
      </c>
      <c r="W103">
        <v>0</v>
      </c>
      <c r="X103">
        <v>1726193810</v>
      </c>
      <c r="Y103">
        <f t="shared" si="47"/>
        <v>1.2200000000000001E-2</v>
      </c>
      <c r="AA103">
        <v>183.4</v>
      </c>
      <c r="AB103">
        <v>0</v>
      </c>
      <c r="AC103">
        <v>0</v>
      </c>
      <c r="AD103">
        <v>0</v>
      </c>
      <c r="AE103">
        <v>183.4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1.2200000000000001E-2</v>
      </c>
      <c r="AU103" t="s">
        <v>23</v>
      </c>
      <c r="AV103">
        <v>0</v>
      </c>
      <c r="AW103">
        <v>2</v>
      </c>
      <c r="AX103">
        <v>60259045</v>
      </c>
      <c r="AY103">
        <v>1</v>
      </c>
      <c r="AZ103">
        <v>0</v>
      </c>
      <c r="BA103">
        <v>127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ROUND(Y103*Source!I139,9)</f>
        <v>0.36599999999999999</v>
      </c>
      <c r="CY103">
        <f t="shared" si="48"/>
        <v>183.4</v>
      </c>
      <c r="CZ103">
        <f t="shared" si="49"/>
        <v>183.4</v>
      </c>
      <c r="DA103">
        <f t="shared" si="50"/>
        <v>1</v>
      </c>
      <c r="DB103">
        <f t="shared" si="51"/>
        <v>2.2400000000000002</v>
      </c>
      <c r="DC103">
        <f t="shared" si="52"/>
        <v>0</v>
      </c>
      <c r="DD103" t="s">
        <v>3</v>
      </c>
      <c r="DE103" t="s">
        <v>3</v>
      </c>
      <c r="DF103">
        <f t="shared" si="45"/>
        <v>67.12</v>
      </c>
      <c r="DG103">
        <f t="shared" si="42"/>
        <v>0</v>
      </c>
      <c r="DH103">
        <f t="shared" si="43"/>
        <v>0</v>
      </c>
      <c r="DI103">
        <f t="shared" si="46"/>
        <v>0</v>
      </c>
      <c r="DJ103">
        <f t="shared" si="53"/>
        <v>67.12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ROW(Source!A139)</f>
        <v>139</v>
      </c>
      <c r="B104">
        <v>60258621</v>
      </c>
      <c r="C104">
        <v>60258937</v>
      </c>
      <c r="D104">
        <v>59062373</v>
      </c>
      <c r="E104">
        <v>1</v>
      </c>
      <c r="F104">
        <v>1</v>
      </c>
      <c r="G104">
        <v>1080</v>
      </c>
      <c r="H104">
        <v>3</v>
      </c>
      <c r="I104" t="s">
        <v>362</v>
      </c>
      <c r="J104" t="s">
        <v>363</v>
      </c>
      <c r="K104" t="s">
        <v>364</v>
      </c>
      <c r="L104">
        <v>1354</v>
      </c>
      <c r="N104">
        <v>1010</v>
      </c>
      <c r="O104" t="s">
        <v>216</v>
      </c>
      <c r="P104" t="s">
        <v>216</v>
      </c>
      <c r="Q104">
        <v>1</v>
      </c>
      <c r="W104">
        <v>0</v>
      </c>
      <c r="X104">
        <v>145081611</v>
      </c>
      <c r="Y104">
        <f t="shared" si="47"/>
        <v>3.1</v>
      </c>
      <c r="AA104">
        <v>6.94</v>
      </c>
      <c r="AB104">
        <v>0</v>
      </c>
      <c r="AC104">
        <v>0</v>
      </c>
      <c r="AD104">
        <v>0</v>
      </c>
      <c r="AE104">
        <v>6.94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3.1</v>
      </c>
      <c r="AU104" t="s">
        <v>23</v>
      </c>
      <c r="AV104">
        <v>0</v>
      </c>
      <c r="AW104">
        <v>2</v>
      </c>
      <c r="AX104">
        <v>60259046</v>
      </c>
      <c r="AY104">
        <v>1</v>
      </c>
      <c r="AZ104">
        <v>0</v>
      </c>
      <c r="BA104">
        <v>128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ROUND(Y104*Source!I139,9)</f>
        <v>93</v>
      </c>
      <c r="CY104">
        <f t="shared" si="48"/>
        <v>6.94</v>
      </c>
      <c r="CZ104">
        <f t="shared" si="49"/>
        <v>6.94</v>
      </c>
      <c r="DA104">
        <f t="shared" si="50"/>
        <v>1</v>
      </c>
      <c r="DB104">
        <f t="shared" si="51"/>
        <v>21.51</v>
      </c>
      <c r="DC104">
        <f t="shared" si="52"/>
        <v>0</v>
      </c>
      <c r="DD104" t="s">
        <v>3</v>
      </c>
      <c r="DE104" t="s">
        <v>3</v>
      </c>
      <c r="DF104">
        <f t="shared" si="45"/>
        <v>645.41999999999996</v>
      </c>
      <c r="DG104">
        <f t="shared" si="42"/>
        <v>0</v>
      </c>
      <c r="DH104">
        <f t="shared" si="43"/>
        <v>0</v>
      </c>
      <c r="DI104">
        <f t="shared" si="46"/>
        <v>0</v>
      </c>
      <c r="DJ104">
        <f t="shared" si="53"/>
        <v>645.41999999999996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ROW(Source!A139)</f>
        <v>139</v>
      </c>
      <c r="B105">
        <v>60258621</v>
      </c>
      <c r="C105">
        <v>60258937</v>
      </c>
      <c r="D105">
        <v>59062380</v>
      </c>
      <c r="E105">
        <v>1</v>
      </c>
      <c r="F105">
        <v>1</v>
      </c>
      <c r="G105">
        <v>1080</v>
      </c>
      <c r="H105">
        <v>3</v>
      </c>
      <c r="I105" t="s">
        <v>365</v>
      </c>
      <c r="J105" t="s">
        <v>366</v>
      </c>
      <c r="K105" t="s">
        <v>367</v>
      </c>
      <c r="L105">
        <v>1356</v>
      </c>
      <c r="N105">
        <v>1010</v>
      </c>
      <c r="O105" t="s">
        <v>349</v>
      </c>
      <c r="P105" t="s">
        <v>349</v>
      </c>
      <c r="Q105">
        <v>1000</v>
      </c>
      <c r="W105">
        <v>0</v>
      </c>
      <c r="X105">
        <v>-1715273674</v>
      </c>
      <c r="Y105">
        <f t="shared" si="47"/>
        <v>8.0000000000000002E-3</v>
      </c>
      <c r="AA105">
        <v>614.09</v>
      </c>
      <c r="AB105">
        <v>0</v>
      </c>
      <c r="AC105">
        <v>0</v>
      </c>
      <c r="AD105">
        <v>0</v>
      </c>
      <c r="AE105">
        <v>614.09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8.0000000000000002E-3</v>
      </c>
      <c r="AU105" t="s">
        <v>23</v>
      </c>
      <c r="AV105">
        <v>0</v>
      </c>
      <c r="AW105">
        <v>2</v>
      </c>
      <c r="AX105">
        <v>60259047</v>
      </c>
      <c r="AY105">
        <v>1</v>
      </c>
      <c r="AZ105">
        <v>0</v>
      </c>
      <c r="BA105">
        <v>129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ROUND(Y105*Source!I139,9)</f>
        <v>0.24</v>
      </c>
      <c r="CY105">
        <f t="shared" si="48"/>
        <v>614.09</v>
      </c>
      <c r="CZ105">
        <f t="shared" si="49"/>
        <v>614.09</v>
      </c>
      <c r="DA105">
        <f t="shared" si="50"/>
        <v>1</v>
      </c>
      <c r="DB105">
        <f t="shared" si="51"/>
        <v>4.91</v>
      </c>
      <c r="DC105">
        <f t="shared" si="52"/>
        <v>0</v>
      </c>
      <c r="DD105" t="s">
        <v>3</v>
      </c>
      <c r="DE105" t="s">
        <v>3</v>
      </c>
      <c r="DF105">
        <f t="shared" si="45"/>
        <v>147.38</v>
      </c>
      <c r="DG105">
        <f t="shared" si="42"/>
        <v>0</v>
      </c>
      <c r="DH105">
        <f t="shared" si="43"/>
        <v>0</v>
      </c>
      <c r="DI105">
        <f t="shared" si="46"/>
        <v>0</v>
      </c>
      <c r="DJ105">
        <f t="shared" si="53"/>
        <v>147.38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ROW(Source!A140)</f>
        <v>140</v>
      </c>
      <c r="B106">
        <v>60258618</v>
      </c>
      <c r="C106">
        <v>60258937</v>
      </c>
      <c r="D106">
        <v>58999254</v>
      </c>
      <c r="E106">
        <v>1080</v>
      </c>
      <c r="F106">
        <v>1</v>
      </c>
      <c r="G106">
        <v>1080</v>
      </c>
      <c r="H106">
        <v>1</v>
      </c>
      <c r="I106" t="s">
        <v>275</v>
      </c>
      <c r="J106" t="s">
        <v>3</v>
      </c>
      <c r="K106" t="s">
        <v>276</v>
      </c>
      <c r="L106">
        <v>1191</v>
      </c>
      <c r="N106">
        <v>1013</v>
      </c>
      <c r="O106" t="s">
        <v>277</v>
      </c>
      <c r="P106" t="s">
        <v>277</v>
      </c>
      <c r="Q106">
        <v>1</v>
      </c>
      <c r="W106">
        <v>0</v>
      </c>
      <c r="X106">
        <v>476480486</v>
      </c>
      <c r="Y106">
        <f>(AT106*1.1)</f>
        <v>4.9390000000000009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5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4.49</v>
      </c>
      <c r="AU106" t="s">
        <v>24</v>
      </c>
      <c r="AV106">
        <v>1</v>
      </c>
      <c r="AW106">
        <v>2</v>
      </c>
      <c r="AX106">
        <v>60259039</v>
      </c>
      <c r="AY106">
        <v>1</v>
      </c>
      <c r="AZ106">
        <v>0</v>
      </c>
      <c r="BA106">
        <v>131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U106">
        <f>ROUND(AT106*Source!I140*AH106*AL106,2)</f>
        <v>0</v>
      </c>
      <c r="CV106">
        <f>ROUND(Y106*Source!I140,9)</f>
        <v>148.16999999999999</v>
      </c>
      <c r="CW106">
        <v>0</v>
      </c>
      <c r="CX106">
        <f>ROUND(Y106*Source!I140,9)</f>
        <v>148.16999999999999</v>
      </c>
      <c r="CY106">
        <f>AD106</f>
        <v>0</v>
      </c>
      <c r="CZ106">
        <f>AH106</f>
        <v>0</v>
      </c>
      <c r="DA106">
        <f>AL106</f>
        <v>1</v>
      </c>
      <c r="DB106">
        <f>ROUND((ROUND(AT106*CZ106,2)*1.1),6)</f>
        <v>0</v>
      </c>
      <c r="DC106">
        <f>ROUND((ROUND(AT106*AG106,2)*1.1),6)</f>
        <v>0</v>
      </c>
      <c r="DD106" t="s">
        <v>3</v>
      </c>
      <c r="DE106" t="s">
        <v>3</v>
      </c>
      <c r="DF106">
        <f t="shared" si="45"/>
        <v>0</v>
      </c>
      <c r="DG106">
        <f t="shared" si="42"/>
        <v>0</v>
      </c>
      <c r="DH106">
        <f t="shared" si="43"/>
        <v>0</v>
      </c>
      <c r="DI106">
        <f t="shared" si="46"/>
        <v>0</v>
      </c>
      <c r="DJ106">
        <f>DI106</f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ROW(Source!A140)</f>
        <v>140</v>
      </c>
      <c r="B107">
        <v>60258618</v>
      </c>
      <c r="C107">
        <v>60258937</v>
      </c>
      <c r="D107">
        <v>59070669</v>
      </c>
      <c r="E107">
        <v>1</v>
      </c>
      <c r="F107">
        <v>1</v>
      </c>
      <c r="G107">
        <v>1080</v>
      </c>
      <c r="H107">
        <v>2</v>
      </c>
      <c r="I107" t="s">
        <v>301</v>
      </c>
      <c r="J107" t="s">
        <v>302</v>
      </c>
      <c r="K107" t="s">
        <v>303</v>
      </c>
      <c r="L107">
        <v>1368</v>
      </c>
      <c r="N107">
        <v>1011</v>
      </c>
      <c r="O107" t="s">
        <v>304</v>
      </c>
      <c r="P107" t="s">
        <v>304</v>
      </c>
      <c r="Q107">
        <v>1</v>
      </c>
      <c r="W107">
        <v>0</v>
      </c>
      <c r="X107">
        <v>-1985943078</v>
      </c>
      <c r="Y107">
        <f>(AT107*1.1)</f>
        <v>1.1000000000000001E-2</v>
      </c>
      <c r="AA107">
        <v>0</v>
      </c>
      <c r="AB107">
        <v>1418.19</v>
      </c>
      <c r="AC107">
        <v>726.59</v>
      </c>
      <c r="AD107">
        <v>0</v>
      </c>
      <c r="AE107">
        <v>0</v>
      </c>
      <c r="AF107">
        <v>83.1</v>
      </c>
      <c r="AG107">
        <v>12.62</v>
      </c>
      <c r="AH107">
        <v>0</v>
      </c>
      <c r="AI107">
        <v>1</v>
      </c>
      <c r="AJ107">
        <v>16.3</v>
      </c>
      <c r="AK107">
        <v>54.99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0.01</v>
      </c>
      <c r="AU107" t="s">
        <v>24</v>
      </c>
      <c r="AV107">
        <v>0</v>
      </c>
      <c r="AW107">
        <v>2</v>
      </c>
      <c r="AX107">
        <v>60259040</v>
      </c>
      <c r="AY107">
        <v>1</v>
      </c>
      <c r="AZ107">
        <v>0</v>
      </c>
      <c r="BA107">
        <v>132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f>ROUND(Y107*Source!I140*DO107,9)</f>
        <v>4.1646000000000001</v>
      </c>
      <c r="CX107">
        <f>ROUND(Y107*Source!I140,9)</f>
        <v>0.33</v>
      </c>
      <c r="CY107">
        <f>AB107</f>
        <v>1418.19</v>
      </c>
      <c r="CZ107">
        <f>AF107</f>
        <v>83.1</v>
      </c>
      <c r="DA107">
        <f>AJ107</f>
        <v>16.3</v>
      </c>
      <c r="DB107">
        <f>ROUND((ROUND(AT107*CZ107,2)*1.1),6)</f>
        <v>0.91300000000000003</v>
      </c>
      <c r="DC107">
        <f>ROUND((ROUND(AT107*AG107,2)*1.1),6)</f>
        <v>0.14299999999999999</v>
      </c>
      <c r="DD107" t="s">
        <v>3</v>
      </c>
      <c r="DE107" t="s">
        <v>3</v>
      </c>
      <c r="DF107">
        <f t="shared" si="45"/>
        <v>0</v>
      </c>
      <c r="DG107">
        <f>ROUND(ROUND(AF107*AJ107,2)*CX107,2)</f>
        <v>446.99</v>
      </c>
      <c r="DH107">
        <f>ROUND(ROUND(AG107*AK107,2)*CX107,2)</f>
        <v>229.01</v>
      </c>
      <c r="DI107">
        <f t="shared" si="46"/>
        <v>0</v>
      </c>
      <c r="DJ107">
        <f>DG107</f>
        <v>446.99</v>
      </c>
      <c r="DK107">
        <v>0</v>
      </c>
      <c r="DL107" t="s">
        <v>305</v>
      </c>
      <c r="DM107">
        <v>0</v>
      </c>
      <c r="DN107" t="s">
        <v>277</v>
      </c>
      <c r="DO107">
        <v>12.62</v>
      </c>
    </row>
    <row r="108" spans="1:119" x14ac:dyDescent="0.2">
      <c r="A108">
        <f>ROW(Source!A140)</f>
        <v>140</v>
      </c>
      <c r="B108">
        <v>60258618</v>
      </c>
      <c r="C108">
        <v>60258937</v>
      </c>
      <c r="D108">
        <v>59069905</v>
      </c>
      <c r="E108">
        <v>1</v>
      </c>
      <c r="F108">
        <v>1</v>
      </c>
      <c r="G108">
        <v>1080</v>
      </c>
      <c r="H108">
        <v>2</v>
      </c>
      <c r="I108" t="s">
        <v>350</v>
      </c>
      <c r="J108" t="s">
        <v>351</v>
      </c>
      <c r="K108" t="s">
        <v>352</v>
      </c>
      <c r="L108">
        <v>1368</v>
      </c>
      <c r="N108">
        <v>1011</v>
      </c>
      <c r="O108" t="s">
        <v>304</v>
      </c>
      <c r="P108" t="s">
        <v>304</v>
      </c>
      <c r="Q108">
        <v>1</v>
      </c>
      <c r="W108">
        <v>0</v>
      </c>
      <c r="X108">
        <v>1087580389</v>
      </c>
      <c r="Y108">
        <f>(AT108*1.1)</f>
        <v>1.1000000000000001E-2</v>
      </c>
      <c r="AA108">
        <v>0</v>
      </c>
      <c r="AB108">
        <v>2579.38</v>
      </c>
      <c r="AC108">
        <v>974.74</v>
      </c>
      <c r="AD108">
        <v>0</v>
      </c>
      <c r="AE108">
        <v>0</v>
      </c>
      <c r="AF108">
        <v>179.17</v>
      </c>
      <c r="AG108">
        <v>16.93</v>
      </c>
      <c r="AH108">
        <v>0</v>
      </c>
      <c r="AI108">
        <v>1</v>
      </c>
      <c r="AJ108">
        <v>13.75</v>
      </c>
      <c r="AK108">
        <v>54.99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0.01</v>
      </c>
      <c r="AU108" t="s">
        <v>24</v>
      </c>
      <c r="AV108">
        <v>0</v>
      </c>
      <c r="AW108">
        <v>2</v>
      </c>
      <c r="AX108">
        <v>60259041</v>
      </c>
      <c r="AY108">
        <v>1</v>
      </c>
      <c r="AZ108">
        <v>0</v>
      </c>
      <c r="BA108">
        <v>133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f>ROUND(Y108*Source!I140*DO108,9)</f>
        <v>5.5869</v>
      </c>
      <c r="CX108">
        <f>ROUND(Y108*Source!I140,9)</f>
        <v>0.33</v>
      </c>
      <c r="CY108">
        <f>AB108</f>
        <v>2579.38</v>
      </c>
      <c r="CZ108">
        <f>AF108</f>
        <v>179.17</v>
      </c>
      <c r="DA108">
        <f>AJ108</f>
        <v>13.75</v>
      </c>
      <c r="DB108">
        <f>ROUND((ROUND(AT108*CZ108,2)*1.1),6)</f>
        <v>1.9690000000000001</v>
      </c>
      <c r="DC108">
        <f>ROUND((ROUND(AT108*AG108,2)*1.1),6)</f>
        <v>0.187</v>
      </c>
      <c r="DD108" t="s">
        <v>3</v>
      </c>
      <c r="DE108" t="s">
        <v>3</v>
      </c>
      <c r="DF108">
        <f t="shared" si="45"/>
        <v>0</v>
      </c>
      <c r="DG108">
        <f>ROUND(ROUND(AF108*AJ108,2)*CX108,2)</f>
        <v>812.98</v>
      </c>
      <c r="DH108">
        <f>ROUND(ROUND(AG108*AK108,2)*CX108,2)</f>
        <v>307.22000000000003</v>
      </c>
      <c r="DI108">
        <f t="shared" si="46"/>
        <v>0</v>
      </c>
      <c r="DJ108">
        <f>DG108</f>
        <v>812.98</v>
      </c>
      <c r="DK108">
        <v>0</v>
      </c>
      <c r="DL108" t="s">
        <v>305</v>
      </c>
      <c r="DM108">
        <v>0</v>
      </c>
      <c r="DN108" t="s">
        <v>277</v>
      </c>
      <c r="DO108">
        <v>16.93</v>
      </c>
    </row>
    <row r="109" spans="1:119" x14ac:dyDescent="0.2">
      <c r="A109">
        <f>ROW(Source!A140)</f>
        <v>140</v>
      </c>
      <c r="B109">
        <v>60258618</v>
      </c>
      <c r="C109">
        <v>60258937</v>
      </c>
      <c r="D109">
        <v>59039702</v>
      </c>
      <c r="E109">
        <v>1</v>
      </c>
      <c r="F109">
        <v>1</v>
      </c>
      <c r="G109">
        <v>1080</v>
      </c>
      <c r="H109">
        <v>3</v>
      </c>
      <c r="I109" t="s">
        <v>353</v>
      </c>
      <c r="J109" t="s">
        <v>354</v>
      </c>
      <c r="K109" t="s">
        <v>355</v>
      </c>
      <c r="L109">
        <v>1346</v>
      </c>
      <c r="N109">
        <v>1009</v>
      </c>
      <c r="O109" t="s">
        <v>289</v>
      </c>
      <c r="P109" t="s">
        <v>289</v>
      </c>
      <c r="Q109">
        <v>1</v>
      </c>
      <c r="W109">
        <v>0</v>
      </c>
      <c r="X109">
        <v>1770006655</v>
      </c>
      <c r="Y109">
        <f t="shared" ref="Y109:Y114" si="54">(AT109*1)</f>
        <v>0.43</v>
      </c>
      <c r="AA109">
        <v>29.73</v>
      </c>
      <c r="AB109">
        <v>0</v>
      </c>
      <c r="AC109">
        <v>0</v>
      </c>
      <c r="AD109">
        <v>0</v>
      </c>
      <c r="AE109">
        <v>1.38</v>
      </c>
      <c r="AF109">
        <v>0</v>
      </c>
      <c r="AG109">
        <v>0</v>
      </c>
      <c r="AH109">
        <v>0</v>
      </c>
      <c r="AI109">
        <v>21.54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0.43</v>
      </c>
      <c r="AU109" t="s">
        <v>23</v>
      </c>
      <c r="AV109">
        <v>0</v>
      </c>
      <c r="AW109">
        <v>2</v>
      </c>
      <c r="AX109">
        <v>60259042</v>
      </c>
      <c r="AY109">
        <v>1</v>
      </c>
      <c r="AZ109">
        <v>0</v>
      </c>
      <c r="BA109">
        <v>134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ROUND(Y109*Source!I140,9)</f>
        <v>12.9</v>
      </c>
      <c r="CY109">
        <f t="shared" ref="CY109:CY114" si="55">AA109</f>
        <v>29.73</v>
      </c>
      <c r="CZ109">
        <f t="shared" ref="CZ109:CZ114" si="56">AE109</f>
        <v>1.38</v>
      </c>
      <c r="DA109">
        <f t="shared" ref="DA109:DA114" si="57">AI109</f>
        <v>21.54</v>
      </c>
      <c r="DB109">
        <f t="shared" ref="DB109:DB114" si="58">ROUND((ROUND(AT109*CZ109,2)*1),6)</f>
        <v>0.59</v>
      </c>
      <c r="DC109">
        <f t="shared" ref="DC109:DC114" si="59">ROUND((ROUND(AT109*AG109,2)*1),6)</f>
        <v>0</v>
      </c>
      <c r="DD109" t="s">
        <v>3</v>
      </c>
      <c r="DE109" t="s">
        <v>3</v>
      </c>
      <c r="DF109">
        <f t="shared" ref="DF109:DF114" si="60">ROUND(ROUND(AE109*AI109,2)*CX109,2)</f>
        <v>383.52</v>
      </c>
      <c r="DG109">
        <f t="shared" ref="DG109:DG123" si="61">ROUND(ROUND(AF109,2)*CX109,2)</f>
        <v>0</v>
      </c>
      <c r="DH109">
        <f t="shared" ref="DH109:DH123" si="62">ROUND(ROUND(AG109,2)*CX109,2)</f>
        <v>0</v>
      </c>
      <c r="DI109">
        <f t="shared" si="46"/>
        <v>0</v>
      </c>
      <c r="DJ109">
        <f t="shared" ref="DJ109:DJ114" si="63">DF109</f>
        <v>383.52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ROW(Source!A140)</f>
        <v>140</v>
      </c>
      <c r="B110">
        <v>60258618</v>
      </c>
      <c r="C110">
        <v>60258937</v>
      </c>
      <c r="D110">
        <v>59040093</v>
      </c>
      <c r="E110">
        <v>1</v>
      </c>
      <c r="F110">
        <v>1</v>
      </c>
      <c r="G110">
        <v>1080</v>
      </c>
      <c r="H110">
        <v>3</v>
      </c>
      <c r="I110" t="s">
        <v>309</v>
      </c>
      <c r="J110" t="s">
        <v>310</v>
      </c>
      <c r="K110" t="s">
        <v>311</v>
      </c>
      <c r="L110">
        <v>1346</v>
      </c>
      <c r="N110">
        <v>1009</v>
      </c>
      <c r="O110" t="s">
        <v>289</v>
      </c>
      <c r="P110" t="s">
        <v>289</v>
      </c>
      <c r="Q110">
        <v>1</v>
      </c>
      <c r="W110">
        <v>0</v>
      </c>
      <c r="X110">
        <v>-878159893</v>
      </c>
      <c r="Y110">
        <f t="shared" si="54"/>
        <v>0.16</v>
      </c>
      <c r="AA110">
        <v>286.31</v>
      </c>
      <c r="AB110">
        <v>0</v>
      </c>
      <c r="AC110">
        <v>0</v>
      </c>
      <c r="AD110">
        <v>0</v>
      </c>
      <c r="AE110">
        <v>159.06</v>
      </c>
      <c r="AF110">
        <v>0</v>
      </c>
      <c r="AG110">
        <v>0</v>
      </c>
      <c r="AH110">
        <v>0</v>
      </c>
      <c r="AI110">
        <v>1.8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0.16</v>
      </c>
      <c r="AU110" t="s">
        <v>23</v>
      </c>
      <c r="AV110">
        <v>0</v>
      </c>
      <c r="AW110">
        <v>2</v>
      </c>
      <c r="AX110">
        <v>60259043</v>
      </c>
      <c r="AY110">
        <v>1</v>
      </c>
      <c r="AZ110">
        <v>0</v>
      </c>
      <c r="BA110">
        <v>135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ROUND(Y110*Source!I140,9)</f>
        <v>4.8</v>
      </c>
      <c r="CY110">
        <f t="shared" si="55"/>
        <v>286.31</v>
      </c>
      <c r="CZ110">
        <f t="shared" si="56"/>
        <v>159.06</v>
      </c>
      <c r="DA110">
        <f t="shared" si="57"/>
        <v>1.8</v>
      </c>
      <c r="DB110">
        <f t="shared" si="58"/>
        <v>25.45</v>
      </c>
      <c r="DC110">
        <f t="shared" si="59"/>
        <v>0</v>
      </c>
      <c r="DD110" t="s">
        <v>3</v>
      </c>
      <c r="DE110" t="s">
        <v>3</v>
      </c>
      <c r="DF110">
        <f t="shared" si="60"/>
        <v>1374.29</v>
      </c>
      <c r="DG110">
        <f t="shared" si="61"/>
        <v>0</v>
      </c>
      <c r="DH110">
        <f t="shared" si="62"/>
        <v>0</v>
      </c>
      <c r="DI110">
        <f t="shared" si="46"/>
        <v>0</v>
      </c>
      <c r="DJ110">
        <f t="shared" si="63"/>
        <v>1374.29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ROW(Source!A140)</f>
        <v>140</v>
      </c>
      <c r="B111">
        <v>60258618</v>
      </c>
      <c r="C111">
        <v>60258937</v>
      </c>
      <c r="D111">
        <v>59063036</v>
      </c>
      <c r="E111">
        <v>1</v>
      </c>
      <c r="F111">
        <v>1</v>
      </c>
      <c r="G111">
        <v>1080</v>
      </c>
      <c r="H111">
        <v>3</v>
      </c>
      <c r="I111" t="s">
        <v>356</v>
      </c>
      <c r="J111" t="s">
        <v>357</v>
      </c>
      <c r="K111" t="s">
        <v>358</v>
      </c>
      <c r="L111">
        <v>1355</v>
      </c>
      <c r="N111">
        <v>1010</v>
      </c>
      <c r="O111" t="s">
        <v>140</v>
      </c>
      <c r="P111" t="s">
        <v>140</v>
      </c>
      <c r="Q111">
        <v>100</v>
      </c>
      <c r="W111">
        <v>0</v>
      </c>
      <c r="X111">
        <v>-456781043</v>
      </c>
      <c r="Y111">
        <f t="shared" si="54"/>
        <v>0.05</v>
      </c>
      <c r="AA111">
        <v>1102.5</v>
      </c>
      <c r="AB111">
        <v>0</v>
      </c>
      <c r="AC111">
        <v>0</v>
      </c>
      <c r="AD111">
        <v>0</v>
      </c>
      <c r="AE111">
        <v>68.819999999999993</v>
      </c>
      <c r="AF111">
        <v>0</v>
      </c>
      <c r="AG111">
        <v>0</v>
      </c>
      <c r="AH111">
        <v>0</v>
      </c>
      <c r="AI111">
        <v>16.02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0.05</v>
      </c>
      <c r="AU111" t="s">
        <v>23</v>
      </c>
      <c r="AV111">
        <v>0</v>
      </c>
      <c r="AW111">
        <v>2</v>
      </c>
      <c r="AX111">
        <v>60259044</v>
      </c>
      <c r="AY111">
        <v>1</v>
      </c>
      <c r="AZ111">
        <v>0</v>
      </c>
      <c r="BA111">
        <v>136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ROUND(Y111*Source!I140,9)</f>
        <v>1.5</v>
      </c>
      <c r="CY111">
        <f t="shared" si="55"/>
        <v>1102.5</v>
      </c>
      <c r="CZ111">
        <f t="shared" si="56"/>
        <v>68.819999999999993</v>
      </c>
      <c r="DA111">
        <f t="shared" si="57"/>
        <v>16.02</v>
      </c>
      <c r="DB111">
        <f t="shared" si="58"/>
        <v>3.44</v>
      </c>
      <c r="DC111">
        <f t="shared" si="59"/>
        <v>0</v>
      </c>
      <c r="DD111" t="s">
        <v>3</v>
      </c>
      <c r="DE111" t="s">
        <v>3</v>
      </c>
      <c r="DF111">
        <f t="shared" si="60"/>
        <v>1653.75</v>
      </c>
      <c r="DG111">
        <f t="shared" si="61"/>
        <v>0</v>
      </c>
      <c r="DH111">
        <f t="shared" si="62"/>
        <v>0</v>
      </c>
      <c r="DI111">
        <f t="shared" si="46"/>
        <v>0</v>
      </c>
      <c r="DJ111">
        <f t="shared" si="63"/>
        <v>1653.75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ROW(Source!A140)</f>
        <v>140</v>
      </c>
      <c r="B112">
        <v>60258618</v>
      </c>
      <c r="C112">
        <v>60258937</v>
      </c>
      <c r="D112">
        <v>59063047</v>
      </c>
      <c r="E112">
        <v>1</v>
      </c>
      <c r="F112">
        <v>1</v>
      </c>
      <c r="G112">
        <v>1080</v>
      </c>
      <c r="H112">
        <v>3</v>
      </c>
      <c r="I112" t="s">
        <v>359</v>
      </c>
      <c r="J112" t="s">
        <v>360</v>
      </c>
      <c r="K112" t="s">
        <v>361</v>
      </c>
      <c r="L112">
        <v>1356</v>
      </c>
      <c r="N112">
        <v>1010</v>
      </c>
      <c r="O112" t="s">
        <v>349</v>
      </c>
      <c r="P112" t="s">
        <v>349</v>
      </c>
      <c r="Q112">
        <v>1000</v>
      </c>
      <c r="W112">
        <v>0</v>
      </c>
      <c r="X112">
        <v>1726193810</v>
      </c>
      <c r="Y112">
        <f t="shared" si="54"/>
        <v>1.2200000000000001E-2</v>
      </c>
      <c r="AA112">
        <v>1318.65</v>
      </c>
      <c r="AB112">
        <v>0</v>
      </c>
      <c r="AC112">
        <v>0</v>
      </c>
      <c r="AD112">
        <v>0</v>
      </c>
      <c r="AE112">
        <v>183.4</v>
      </c>
      <c r="AF112">
        <v>0</v>
      </c>
      <c r="AG112">
        <v>0</v>
      </c>
      <c r="AH112">
        <v>0</v>
      </c>
      <c r="AI112">
        <v>7.19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1.2200000000000001E-2</v>
      </c>
      <c r="AU112" t="s">
        <v>23</v>
      </c>
      <c r="AV112">
        <v>0</v>
      </c>
      <c r="AW112">
        <v>2</v>
      </c>
      <c r="AX112">
        <v>60259045</v>
      </c>
      <c r="AY112">
        <v>1</v>
      </c>
      <c r="AZ112">
        <v>0</v>
      </c>
      <c r="BA112">
        <v>137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ROUND(Y112*Source!I140,9)</f>
        <v>0.36599999999999999</v>
      </c>
      <c r="CY112">
        <f t="shared" si="55"/>
        <v>1318.65</v>
      </c>
      <c r="CZ112">
        <f t="shared" si="56"/>
        <v>183.4</v>
      </c>
      <c r="DA112">
        <f t="shared" si="57"/>
        <v>7.19</v>
      </c>
      <c r="DB112">
        <f t="shared" si="58"/>
        <v>2.2400000000000002</v>
      </c>
      <c r="DC112">
        <f t="shared" si="59"/>
        <v>0</v>
      </c>
      <c r="DD112" t="s">
        <v>3</v>
      </c>
      <c r="DE112" t="s">
        <v>3</v>
      </c>
      <c r="DF112">
        <f t="shared" si="60"/>
        <v>482.63</v>
      </c>
      <c r="DG112">
        <f t="shared" si="61"/>
        <v>0</v>
      </c>
      <c r="DH112">
        <f t="shared" si="62"/>
        <v>0</v>
      </c>
      <c r="DI112">
        <f t="shared" si="46"/>
        <v>0</v>
      </c>
      <c r="DJ112">
        <f t="shared" si="63"/>
        <v>482.63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ROW(Source!A140)</f>
        <v>140</v>
      </c>
      <c r="B113">
        <v>60258618</v>
      </c>
      <c r="C113">
        <v>60258937</v>
      </c>
      <c r="D113">
        <v>59062373</v>
      </c>
      <c r="E113">
        <v>1</v>
      </c>
      <c r="F113">
        <v>1</v>
      </c>
      <c r="G113">
        <v>1080</v>
      </c>
      <c r="H113">
        <v>3</v>
      </c>
      <c r="I113" t="s">
        <v>362</v>
      </c>
      <c r="J113" t="s">
        <v>363</v>
      </c>
      <c r="K113" t="s">
        <v>364</v>
      </c>
      <c r="L113">
        <v>1354</v>
      </c>
      <c r="N113">
        <v>1010</v>
      </c>
      <c r="O113" t="s">
        <v>216</v>
      </c>
      <c r="P113" t="s">
        <v>216</v>
      </c>
      <c r="Q113">
        <v>1</v>
      </c>
      <c r="W113">
        <v>0</v>
      </c>
      <c r="X113">
        <v>145081611</v>
      </c>
      <c r="Y113">
        <f t="shared" si="54"/>
        <v>3.1</v>
      </c>
      <c r="AA113">
        <v>25.47</v>
      </c>
      <c r="AB113">
        <v>0</v>
      </c>
      <c r="AC113">
        <v>0</v>
      </c>
      <c r="AD113">
        <v>0</v>
      </c>
      <c r="AE113">
        <v>6.94</v>
      </c>
      <c r="AF113">
        <v>0</v>
      </c>
      <c r="AG113">
        <v>0</v>
      </c>
      <c r="AH113">
        <v>0</v>
      </c>
      <c r="AI113">
        <v>3.67</v>
      </c>
      <c r="AJ113">
        <v>1</v>
      </c>
      <c r="AK113">
        <v>1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3.1</v>
      </c>
      <c r="AU113" t="s">
        <v>23</v>
      </c>
      <c r="AV113">
        <v>0</v>
      </c>
      <c r="AW113">
        <v>2</v>
      </c>
      <c r="AX113">
        <v>60259046</v>
      </c>
      <c r="AY113">
        <v>1</v>
      </c>
      <c r="AZ113">
        <v>0</v>
      </c>
      <c r="BA113">
        <v>138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ROUND(Y113*Source!I140,9)</f>
        <v>93</v>
      </c>
      <c r="CY113">
        <f t="shared" si="55"/>
        <v>25.47</v>
      </c>
      <c r="CZ113">
        <f t="shared" si="56"/>
        <v>6.94</v>
      </c>
      <c r="DA113">
        <f t="shared" si="57"/>
        <v>3.67</v>
      </c>
      <c r="DB113">
        <f t="shared" si="58"/>
        <v>21.51</v>
      </c>
      <c r="DC113">
        <f t="shared" si="59"/>
        <v>0</v>
      </c>
      <c r="DD113" t="s">
        <v>3</v>
      </c>
      <c r="DE113" t="s">
        <v>3</v>
      </c>
      <c r="DF113">
        <f t="shared" si="60"/>
        <v>2368.71</v>
      </c>
      <c r="DG113">
        <f t="shared" si="61"/>
        <v>0</v>
      </c>
      <c r="DH113">
        <f t="shared" si="62"/>
        <v>0</v>
      </c>
      <c r="DI113">
        <f t="shared" si="46"/>
        <v>0</v>
      </c>
      <c r="DJ113">
        <f t="shared" si="63"/>
        <v>2368.71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ROW(Source!A140)</f>
        <v>140</v>
      </c>
      <c r="B114">
        <v>60258618</v>
      </c>
      <c r="C114">
        <v>60258937</v>
      </c>
      <c r="D114">
        <v>59062380</v>
      </c>
      <c r="E114">
        <v>1</v>
      </c>
      <c r="F114">
        <v>1</v>
      </c>
      <c r="G114">
        <v>1080</v>
      </c>
      <c r="H114">
        <v>3</v>
      </c>
      <c r="I114" t="s">
        <v>365</v>
      </c>
      <c r="J114" t="s">
        <v>366</v>
      </c>
      <c r="K114" t="s">
        <v>367</v>
      </c>
      <c r="L114">
        <v>1356</v>
      </c>
      <c r="N114">
        <v>1010</v>
      </c>
      <c r="O114" t="s">
        <v>349</v>
      </c>
      <c r="P114" t="s">
        <v>349</v>
      </c>
      <c r="Q114">
        <v>1000</v>
      </c>
      <c r="W114">
        <v>0</v>
      </c>
      <c r="X114">
        <v>-1715273674</v>
      </c>
      <c r="Y114">
        <f t="shared" si="54"/>
        <v>8.0000000000000002E-3</v>
      </c>
      <c r="AA114">
        <v>786.04</v>
      </c>
      <c r="AB114">
        <v>0</v>
      </c>
      <c r="AC114">
        <v>0</v>
      </c>
      <c r="AD114">
        <v>0</v>
      </c>
      <c r="AE114">
        <v>614.09</v>
      </c>
      <c r="AF114">
        <v>0</v>
      </c>
      <c r="AG114">
        <v>0</v>
      </c>
      <c r="AH114">
        <v>0</v>
      </c>
      <c r="AI114">
        <v>1.28</v>
      </c>
      <c r="AJ114">
        <v>1</v>
      </c>
      <c r="AK114">
        <v>1</v>
      </c>
      <c r="AL114">
        <v>1</v>
      </c>
      <c r="AM114">
        <v>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8.0000000000000002E-3</v>
      </c>
      <c r="AU114" t="s">
        <v>23</v>
      </c>
      <c r="AV114">
        <v>0</v>
      </c>
      <c r="AW114">
        <v>2</v>
      </c>
      <c r="AX114">
        <v>60259047</v>
      </c>
      <c r="AY114">
        <v>1</v>
      </c>
      <c r="AZ114">
        <v>0</v>
      </c>
      <c r="BA114">
        <v>139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ROUND(Y114*Source!I140,9)</f>
        <v>0.24</v>
      </c>
      <c r="CY114">
        <f t="shared" si="55"/>
        <v>786.04</v>
      </c>
      <c r="CZ114">
        <f t="shared" si="56"/>
        <v>614.09</v>
      </c>
      <c r="DA114">
        <f t="shared" si="57"/>
        <v>1.28</v>
      </c>
      <c r="DB114">
        <f t="shared" si="58"/>
        <v>4.91</v>
      </c>
      <c r="DC114">
        <f t="shared" si="59"/>
        <v>0</v>
      </c>
      <c r="DD114" t="s">
        <v>3</v>
      </c>
      <c r="DE114" t="s">
        <v>3</v>
      </c>
      <c r="DF114">
        <f t="shared" si="60"/>
        <v>188.65</v>
      </c>
      <c r="DG114">
        <f t="shared" si="61"/>
        <v>0</v>
      </c>
      <c r="DH114">
        <f t="shared" si="62"/>
        <v>0</v>
      </c>
      <c r="DI114">
        <f t="shared" si="46"/>
        <v>0</v>
      </c>
      <c r="DJ114">
        <f t="shared" si="63"/>
        <v>188.65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ROW(Source!A141)</f>
        <v>141</v>
      </c>
      <c r="B115">
        <v>60258621</v>
      </c>
      <c r="C115">
        <v>60258957</v>
      </c>
      <c r="D115">
        <v>58999254</v>
      </c>
      <c r="E115">
        <v>1080</v>
      </c>
      <c r="F115">
        <v>1</v>
      </c>
      <c r="G115">
        <v>1080</v>
      </c>
      <c r="H115">
        <v>1</v>
      </c>
      <c r="I115" t="s">
        <v>275</v>
      </c>
      <c r="J115" t="s">
        <v>3</v>
      </c>
      <c r="K115" t="s">
        <v>276</v>
      </c>
      <c r="L115">
        <v>1191</v>
      </c>
      <c r="N115">
        <v>1013</v>
      </c>
      <c r="O115" t="s">
        <v>277</v>
      </c>
      <c r="P115" t="s">
        <v>277</v>
      </c>
      <c r="Q115">
        <v>1</v>
      </c>
      <c r="W115">
        <v>0</v>
      </c>
      <c r="X115">
        <v>476480486</v>
      </c>
      <c r="Y115">
        <f>(AT115*1.1)</f>
        <v>2.0130000000000003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1.83</v>
      </c>
      <c r="AU115" t="s">
        <v>24</v>
      </c>
      <c r="AV115">
        <v>1</v>
      </c>
      <c r="AW115">
        <v>2</v>
      </c>
      <c r="AX115">
        <v>60259049</v>
      </c>
      <c r="AY115">
        <v>1</v>
      </c>
      <c r="AZ115">
        <v>0</v>
      </c>
      <c r="BA115">
        <v>141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ROUND(AT115*Source!I141*AH115*AL115,2)</f>
        <v>0</v>
      </c>
      <c r="CV115">
        <f>ROUND(Y115*Source!I141,9)</f>
        <v>4.0259999999999998</v>
      </c>
      <c r="CW115">
        <v>0</v>
      </c>
      <c r="CX115">
        <f>ROUND(Y115*Source!I141,9)</f>
        <v>4.0259999999999998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ROUND((ROUND(AT115*CZ115,2)*1.1),6)</f>
        <v>0</v>
      </c>
      <c r="DC115">
        <f>ROUND((ROUND(AT115*AG115,2)*1.1),6)</f>
        <v>0</v>
      </c>
      <c r="DD115" t="s">
        <v>3</v>
      </c>
      <c r="DE115" t="s">
        <v>3</v>
      </c>
      <c r="DF115">
        <f t="shared" ref="DF115:DF125" si="64">ROUND(ROUND(AE115,2)*CX115,2)</f>
        <v>0</v>
      </c>
      <c r="DG115">
        <f t="shared" si="61"/>
        <v>0</v>
      </c>
      <c r="DH115">
        <f t="shared" si="62"/>
        <v>0</v>
      </c>
      <c r="DI115">
        <f t="shared" si="46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ROW(Source!A141)</f>
        <v>141</v>
      </c>
      <c r="B116">
        <v>60258621</v>
      </c>
      <c r="C116">
        <v>60258957</v>
      </c>
      <c r="D116">
        <v>59070669</v>
      </c>
      <c r="E116">
        <v>1</v>
      </c>
      <c r="F116">
        <v>1</v>
      </c>
      <c r="G116">
        <v>1080</v>
      </c>
      <c r="H116">
        <v>2</v>
      </c>
      <c r="I116" t="s">
        <v>301</v>
      </c>
      <c r="J116" t="s">
        <v>302</v>
      </c>
      <c r="K116" t="s">
        <v>303</v>
      </c>
      <c r="L116">
        <v>1368</v>
      </c>
      <c r="N116">
        <v>1011</v>
      </c>
      <c r="O116" t="s">
        <v>304</v>
      </c>
      <c r="P116" t="s">
        <v>304</v>
      </c>
      <c r="Q116">
        <v>1</v>
      </c>
      <c r="W116">
        <v>0</v>
      </c>
      <c r="X116">
        <v>-1985943078</v>
      </c>
      <c r="Y116">
        <f>(AT116*1.1)</f>
        <v>1.1000000000000001E-2</v>
      </c>
      <c r="AA116">
        <v>0</v>
      </c>
      <c r="AB116">
        <v>87.01</v>
      </c>
      <c r="AC116">
        <v>13.21</v>
      </c>
      <c r="AD116">
        <v>0</v>
      </c>
      <c r="AE116">
        <v>0</v>
      </c>
      <c r="AF116">
        <v>83.1</v>
      </c>
      <c r="AG116">
        <v>12.62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0.01</v>
      </c>
      <c r="AU116" t="s">
        <v>24</v>
      </c>
      <c r="AV116">
        <v>0</v>
      </c>
      <c r="AW116">
        <v>2</v>
      </c>
      <c r="AX116">
        <v>60259050</v>
      </c>
      <c r="AY116">
        <v>1</v>
      </c>
      <c r="AZ116">
        <v>0</v>
      </c>
      <c r="BA116">
        <v>142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f>ROUND(Y116*Source!I141*DO116,9)</f>
        <v>0.27764</v>
      </c>
      <c r="CX116">
        <f>ROUND(Y116*Source!I141,9)</f>
        <v>2.1999999999999999E-2</v>
      </c>
      <c r="CY116">
        <f>AB116</f>
        <v>87.01</v>
      </c>
      <c r="CZ116">
        <f>AF116</f>
        <v>83.1</v>
      </c>
      <c r="DA116">
        <f>AJ116</f>
        <v>1</v>
      </c>
      <c r="DB116">
        <f>ROUND((ROUND(AT116*CZ116,2)*1.1),6)</f>
        <v>0.91300000000000003</v>
      </c>
      <c r="DC116">
        <f>ROUND((ROUND(AT116*AG116,2)*1.1),6)</f>
        <v>0.14299999999999999</v>
      </c>
      <c r="DD116" t="s">
        <v>3</v>
      </c>
      <c r="DE116" t="s">
        <v>3</v>
      </c>
      <c r="DF116">
        <f t="shared" si="64"/>
        <v>0</v>
      </c>
      <c r="DG116">
        <f t="shared" si="61"/>
        <v>1.83</v>
      </c>
      <c r="DH116">
        <f t="shared" si="62"/>
        <v>0.28000000000000003</v>
      </c>
      <c r="DI116">
        <f t="shared" si="46"/>
        <v>0</v>
      </c>
      <c r="DJ116">
        <f>DG116</f>
        <v>1.83</v>
      </c>
      <c r="DK116">
        <v>0</v>
      </c>
      <c r="DL116" t="s">
        <v>305</v>
      </c>
      <c r="DM116">
        <v>0</v>
      </c>
      <c r="DN116" t="s">
        <v>277</v>
      </c>
      <c r="DO116">
        <v>12.62</v>
      </c>
    </row>
    <row r="117" spans="1:119" x14ac:dyDescent="0.2">
      <c r="A117">
        <f>ROW(Source!A141)</f>
        <v>141</v>
      </c>
      <c r="B117">
        <v>60258621</v>
      </c>
      <c r="C117">
        <v>60258957</v>
      </c>
      <c r="D117">
        <v>59069905</v>
      </c>
      <c r="E117">
        <v>1</v>
      </c>
      <c r="F117">
        <v>1</v>
      </c>
      <c r="G117">
        <v>1080</v>
      </c>
      <c r="H117">
        <v>2</v>
      </c>
      <c r="I117" t="s">
        <v>350</v>
      </c>
      <c r="J117" t="s">
        <v>351</v>
      </c>
      <c r="K117" t="s">
        <v>352</v>
      </c>
      <c r="L117">
        <v>1368</v>
      </c>
      <c r="N117">
        <v>1011</v>
      </c>
      <c r="O117" t="s">
        <v>304</v>
      </c>
      <c r="P117" t="s">
        <v>304</v>
      </c>
      <c r="Q117">
        <v>1</v>
      </c>
      <c r="W117">
        <v>0</v>
      </c>
      <c r="X117">
        <v>1087580389</v>
      </c>
      <c r="Y117">
        <f>(AT117*1.1)</f>
        <v>1.1000000000000001E-2</v>
      </c>
      <c r="AA117">
        <v>0</v>
      </c>
      <c r="AB117">
        <v>187.59</v>
      </c>
      <c r="AC117">
        <v>17.73</v>
      </c>
      <c r="AD117">
        <v>0</v>
      </c>
      <c r="AE117">
        <v>0</v>
      </c>
      <c r="AF117">
        <v>179.17</v>
      </c>
      <c r="AG117">
        <v>16.93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0.01</v>
      </c>
      <c r="AU117" t="s">
        <v>24</v>
      </c>
      <c r="AV117">
        <v>0</v>
      </c>
      <c r="AW117">
        <v>2</v>
      </c>
      <c r="AX117">
        <v>60259051</v>
      </c>
      <c r="AY117">
        <v>1</v>
      </c>
      <c r="AZ117">
        <v>0</v>
      </c>
      <c r="BA117">
        <v>143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f>ROUND(Y117*Source!I141*DO117,9)</f>
        <v>0.37246000000000001</v>
      </c>
      <c r="CX117">
        <f>ROUND(Y117*Source!I141,9)</f>
        <v>2.1999999999999999E-2</v>
      </c>
      <c r="CY117">
        <f>AB117</f>
        <v>187.59</v>
      </c>
      <c r="CZ117">
        <f>AF117</f>
        <v>179.17</v>
      </c>
      <c r="DA117">
        <f>AJ117</f>
        <v>1</v>
      </c>
      <c r="DB117">
        <f>ROUND((ROUND(AT117*CZ117,2)*1.1),6)</f>
        <v>1.9690000000000001</v>
      </c>
      <c r="DC117">
        <f>ROUND((ROUND(AT117*AG117,2)*1.1),6)</f>
        <v>0.187</v>
      </c>
      <c r="DD117" t="s">
        <v>3</v>
      </c>
      <c r="DE117" t="s">
        <v>3</v>
      </c>
      <c r="DF117">
        <f t="shared" si="64"/>
        <v>0</v>
      </c>
      <c r="DG117">
        <f t="shared" si="61"/>
        <v>3.94</v>
      </c>
      <c r="DH117">
        <f t="shared" si="62"/>
        <v>0.37</v>
      </c>
      <c r="DI117">
        <f t="shared" si="46"/>
        <v>0</v>
      </c>
      <c r="DJ117">
        <f>DG117</f>
        <v>3.94</v>
      </c>
      <c r="DK117">
        <v>0</v>
      </c>
      <c r="DL117" t="s">
        <v>305</v>
      </c>
      <c r="DM117">
        <v>0</v>
      </c>
      <c r="DN117" t="s">
        <v>277</v>
      </c>
      <c r="DO117">
        <v>16.93</v>
      </c>
    </row>
    <row r="118" spans="1:119" x14ac:dyDescent="0.2">
      <c r="A118">
        <f>ROW(Source!A141)</f>
        <v>141</v>
      </c>
      <c r="B118">
        <v>60258621</v>
      </c>
      <c r="C118">
        <v>60258957</v>
      </c>
      <c r="D118">
        <v>59039702</v>
      </c>
      <c r="E118">
        <v>1</v>
      </c>
      <c r="F118">
        <v>1</v>
      </c>
      <c r="G118">
        <v>1080</v>
      </c>
      <c r="H118">
        <v>3</v>
      </c>
      <c r="I118" t="s">
        <v>353</v>
      </c>
      <c r="J118" t="s">
        <v>354</v>
      </c>
      <c r="K118" t="s">
        <v>355</v>
      </c>
      <c r="L118">
        <v>1346</v>
      </c>
      <c r="N118">
        <v>1009</v>
      </c>
      <c r="O118" t="s">
        <v>289</v>
      </c>
      <c r="P118" t="s">
        <v>289</v>
      </c>
      <c r="Q118">
        <v>1</v>
      </c>
      <c r="W118">
        <v>0</v>
      </c>
      <c r="X118">
        <v>1770006655</v>
      </c>
      <c r="Y118">
        <f>(AT118*1)</f>
        <v>0.6</v>
      </c>
      <c r="AA118">
        <v>1.38</v>
      </c>
      <c r="AB118">
        <v>0</v>
      </c>
      <c r="AC118">
        <v>0</v>
      </c>
      <c r="AD118">
        <v>0</v>
      </c>
      <c r="AE118">
        <v>1.38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0.6</v>
      </c>
      <c r="AU118" t="s">
        <v>23</v>
      </c>
      <c r="AV118">
        <v>0</v>
      </c>
      <c r="AW118">
        <v>2</v>
      </c>
      <c r="AX118">
        <v>60259052</v>
      </c>
      <c r="AY118">
        <v>1</v>
      </c>
      <c r="AZ118">
        <v>0</v>
      </c>
      <c r="BA118">
        <v>144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ROUND(Y118*Source!I141,9)</f>
        <v>1.2</v>
      </c>
      <c r="CY118">
        <f>AA118</f>
        <v>1.38</v>
      </c>
      <c r="CZ118">
        <f>AE118</f>
        <v>1.38</v>
      </c>
      <c r="DA118">
        <f>AI118</f>
        <v>1</v>
      </c>
      <c r="DB118">
        <f>ROUND((ROUND(AT118*CZ118,2)*1),6)</f>
        <v>0.83</v>
      </c>
      <c r="DC118">
        <f>ROUND((ROUND(AT118*AG118,2)*1),6)</f>
        <v>0</v>
      </c>
      <c r="DD118" t="s">
        <v>3</v>
      </c>
      <c r="DE118" t="s">
        <v>3</v>
      </c>
      <c r="DF118">
        <f t="shared" si="64"/>
        <v>1.66</v>
      </c>
      <c r="DG118">
        <f t="shared" si="61"/>
        <v>0</v>
      </c>
      <c r="DH118">
        <f t="shared" si="62"/>
        <v>0</v>
      </c>
      <c r="DI118">
        <f t="shared" si="46"/>
        <v>0</v>
      </c>
      <c r="DJ118">
        <f>DF118</f>
        <v>1.66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ROW(Source!A141)</f>
        <v>141</v>
      </c>
      <c r="B119">
        <v>60258621</v>
      </c>
      <c r="C119">
        <v>60258957</v>
      </c>
      <c r="D119">
        <v>59040093</v>
      </c>
      <c r="E119">
        <v>1</v>
      </c>
      <c r="F119">
        <v>1</v>
      </c>
      <c r="G119">
        <v>1080</v>
      </c>
      <c r="H119">
        <v>3</v>
      </c>
      <c r="I119" t="s">
        <v>309</v>
      </c>
      <c r="J119" t="s">
        <v>310</v>
      </c>
      <c r="K119" t="s">
        <v>311</v>
      </c>
      <c r="L119">
        <v>1346</v>
      </c>
      <c r="N119">
        <v>1009</v>
      </c>
      <c r="O119" t="s">
        <v>289</v>
      </c>
      <c r="P119" t="s">
        <v>289</v>
      </c>
      <c r="Q119">
        <v>1</v>
      </c>
      <c r="W119">
        <v>0</v>
      </c>
      <c r="X119">
        <v>-878159893</v>
      </c>
      <c r="Y119">
        <f>(AT119*1)</f>
        <v>0.16</v>
      </c>
      <c r="AA119">
        <v>159.06</v>
      </c>
      <c r="AB119">
        <v>0</v>
      </c>
      <c r="AC119">
        <v>0</v>
      </c>
      <c r="AD119">
        <v>0</v>
      </c>
      <c r="AE119">
        <v>159.06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0.16</v>
      </c>
      <c r="AU119" t="s">
        <v>23</v>
      </c>
      <c r="AV119">
        <v>0</v>
      </c>
      <c r="AW119">
        <v>2</v>
      </c>
      <c r="AX119">
        <v>60259053</v>
      </c>
      <c r="AY119">
        <v>1</v>
      </c>
      <c r="AZ119">
        <v>0</v>
      </c>
      <c r="BA119">
        <v>145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ROUND(Y119*Source!I141,9)</f>
        <v>0.32</v>
      </c>
      <c r="CY119">
        <f>AA119</f>
        <v>159.06</v>
      </c>
      <c r="CZ119">
        <f>AE119</f>
        <v>159.06</v>
      </c>
      <c r="DA119">
        <f>AI119</f>
        <v>1</v>
      </c>
      <c r="DB119">
        <f>ROUND((ROUND(AT119*CZ119,2)*1),6)</f>
        <v>25.45</v>
      </c>
      <c r="DC119">
        <f>ROUND((ROUND(AT119*AG119,2)*1),6)</f>
        <v>0</v>
      </c>
      <c r="DD119" t="s">
        <v>3</v>
      </c>
      <c r="DE119" t="s">
        <v>3</v>
      </c>
      <c r="DF119">
        <f t="shared" si="64"/>
        <v>50.9</v>
      </c>
      <c r="DG119">
        <f t="shared" si="61"/>
        <v>0</v>
      </c>
      <c r="DH119">
        <f t="shared" si="62"/>
        <v>0</v>
      </c>
      <c r="DI119">
        <f t="shared" si="46"/>
        <v>0</v>
      </c>
      <c r="DJ119">
        <f>DF119</f>
        <v>50.9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ROW(Source!A141)</f>
        <v>141</v>
      </c>
      <c r="B120">
        <v>60258621</v>
      </c>
      <c r="C120">
        <v>60258957</v>
      </c>
      <c r="D120">
        <v>59063048</v>
      </c>
      <c r="E120">
        <v>1</v>
      </c>
      <c r="F120">
        <v>1</v>
      </c>
      <c r="G120">
        <v>1080</v>
      </c>
      <c r="H120">
        <v>3</v>
      </c>
      <c r="I120" t="s">
        <v>368</v>
      </c>
      <c r="J120" t="s">
        <v>369</v>
      </c>
      <c r="K120" t="s">
        <v>370</v>
      </c>
      <c r="L120">
        <v>1356</v>
      </c>
      <c r="N120">
        <v>1010</v>
      </c>
      <c r="O120" t="s">
        <v>349</v>
      </c>
      <c r="P120" t="s">
        <v>349</v>
      </c>
      <c r="Q120">
        <v>1000</v>
      </c>
      <c r="W120">
        <v>0</v>
      </c>
      <c r="X120">
        <v>-422648154</v>
      </c>
      <c r="Y120">
        <f>(AT120*1)</f>
        <v>1.2200000000000001E-2</v>
      </c>
      <c r="AA120">
        <v>226.86</v>
      </c>
      <c r="AB120">
        <v>0</v>
      </c>
      <c r="AC120">
        <v>0</v>
      </c>
      <c r="AD120">
        <v>0</v>
      </c>
      <c r="AE120">
        <v>226.86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1.2200000000000001E-2</v>
      </c>
      <c r="AU120" t="s">
        <v>23</v>
      </c>
      <c r="AV120">
        <v>0</v>
      </c>
      <c r="AW120">
        <v>2</v>
      </c>
      <c r="AX120">
        <v>60259054</v>
      </c>
      <c r="AY120">
        <v>1</v>
      </c>
      <c r="AZ120">
        <v>0</v>
      </c>
      <c r="BA120">
        <v>146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ROUND(Y120*Source!I141,9)</f>
        <v>2.4400000000000002E-2</v>
      </c>
      <c r="CY120">
        <f>AA120</f>
        <v>226.86</v>
      </c>
      <c r="CZ120">
        <f>AE120</f>
        <v>226.86</v>
      </c>
      <c r="DA120">
        <f>AI120</f>
        <v>1</v>
      </c>
      <c r="DB120">
        <f>ROUND((ROUND(AT120*CZ120,2)*1),6)</f>
        <v>2.77</v>
      </c>
      <c r="DC120">
        <f>ROUND((ROUND(AT120*AG120,2)*1),6)</f>
        <v>0</v>
      </c>
      <c r="DD120" t="s">
        <v>3</v>
      </c>
      <c r="DE120" t="s">
        <v>3</v>
      </c>
      <c r="DF120">
        <f t="shared" si="64"/>
        <v>5.54</v>
      </c>
      <c r="DG120">
        <f t="shared" si="61"/>
        <v>0</v>
      </c>
      <c r="DH120">
        <f t="shared" si="62"/>
        <v>0</v>
      </c>
      <c r="DI120">
        <f t="shared" si="46"/>
        <v>0</v>
      </c>
      <c r="DJ120">
        <f>DF120</f>
        <v>5.54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ROW(Source!A141)</f>
        <v>141</v>
      </c>
      <c r="B121">
        <v>60258621</v>
      </c>
      <c r="C121">
        <v>60258957</v>
      </c>
      <c r="D121">
        <v>59062373</v>
      </c>
      <c r="E121">
        <v>1</v>
      </c>
      <c r="F121">
        <v>1</v>
      </c>
      <c r="G121">
        <v>1080</v>
      </c>
      <c r="H121">
        <v>3</v>
      </c>
      <c r="I121" t="s">
        <v>362</v>
      </c>
      <c r="J121" t="s">
        <v>363</v>
      </c>
      <c r="K121" t="s">
        <v>364</v>
      </c>
      <c r="L121">
        <v>1354</v>
      </c>
      <c r="N121">
        <v>1010</v>
      </c>
      <c r="O121" t="s">
        <v>216</v>
      </c>
      <c r="P121" t="s">
        <v>216</v>
      </c>
      <c r="Q121">
        <v>1</v>
      </c>
      <c r="W121">
        <v>0</v>
      </c>
      <c r="X121">
        <v>145081611</v>
      </c>
      <c r="Y121">
        <f>(AT121*1)</f>
        <v>3.1</v>
      </c>
      <c r="AA121">
        <v>6.94</v>
      </c>
      <c r="AB121">
        <v>0</v>
      </c>
      <c r="AC121">
        <v>0</v>
      </c>
      <c r="AD121">
        <v>0</v>
      </c>
      <c r="AE121">
        <v>6.94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3.1</v>
      </c>
      <c r="AU121" t="s">
        <v>23</v>
      </c>
      <c r="AV121">
        <v>0</v>
      </c>
      <c r="AW121">
        <v>2</v>
      </c>
      <c r="AX121">
        <v>60259055</v>
      </c>
      <c r="AY121">
        <v>1</v>
      </c>
      <c r="AZ121">
        <v>0</v>
      </c>
      <c r="BA121">
        <v>147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ROUND(Y121*Source!I141,9)</f>
        <v>6.2</v>
      </c>
      <c r="CY121">
        <f>AA121</f>
        <v>6.94</v>
      </c>
      <c r="CZ121">
        <f>AE121</f>
        <v>6.94</v>
      </c>
      <c r="DA121">
        <f>AI121</f>
        <v>1</v>
      </c>
      <c r="DB121">
        <f>ROUND((ROUND(AT121*CZ121,2)*1),6)</f>
        <v>21.51</v>
      </c>
      <c r="DC121">
        <f>ROUND((ROUND(AT121*AG121,2)*1),6)</f>
        <v>0</v>
      </c>
      <c r="DD121" t="s">
        <v>3</v>
      </c>
      <c r="DE121" t="s">
        <v>3</v>
      </c>
      <c r="DF121">
        <f t="shared" si="64"/>
        <v>43.03</v>
      </c>
      <c r="DG121">
        <f t="shared" si="61"/>
        <v>0</v>
      </c>
      <c r="DH121">
        <f t="shared" si="62"/>
        <v>0</v>
      </c>
      <c r="DI121">
        <f t="shared" si="46"/>
        <v>0</v>
      </c>
      <c r="DJ121">
        <f>DF121</f>
        <v>43.03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ROW(Source!A141)</f>
        <v>141</v>
      </c>
      <c r="B122">
        <v>60258621</v>
      </c>
      <c r="C122">
        <v>60258957</v>
      </c>
      <c r="D122">
        <v>59062381</v>
      </c>
      <c r="E122">
        <v>1</v>
      </c>
      <c r="F122">
        <v>1</v>
      </c>
      <c r="G122">
        <v>1080</v>
      </c>
      <c r="H122">
        <v>3</v>
      </c>
      <c r="I122" t="s">
        <v>371</v>
      </c>
      <c r="J122" t="s">
        <v>372</v>
      </c>
      <c r="K122" t="s">
        <v>373</v>
      </c>
      <c r="L122">
        <v>1356</v>
      </c>
      <c r="N122">
        <v>1010</v>
      </c>
      <c r="O122" t="s">
        <v>349</v>
      </c>
      <c r="P122" t="s">
        <v>349</v>
      </c>
      <c r="Q122">
        <v>1000</v>
      </c>
      <c r="W122">
        <v>0</v>
      </c>
      <c r="X122">
        <v>807379832</v>
      </c>
      <c r="Y122">
        <f>(AT122*1)</f>
        <v>8.0000000000000002E-3</v>
      </c>
      <c r="AA122">
        <v>614.09</v>
      </c>
      <c r="AB122">
        <v>0</v>
      </c>
      <c r="AC122">
        <v>0</v>
      </c>
      <c r="AD122">
        <v>0</v>
      </c>
      <c r="AE122">
        <v>614.09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8.0000000000000002E-3</v>
      </c>
      <c r="AU122" t="s">
        <v>23</v>
      </c>
      <c r="AV122">
        <v>0</v>
      </c>
      <c r="AW122">
        <v>2</v>
      </c>
      <c r="AX122">
        <v>60259056</v>
      </c>
      <c r="AY122">
        <v>1</v>
      </c>
      <c r="AZ122">
        <v>0</v>
      </c>
      <c r="BA122">
        <v>148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ROUND(Y122*Source!I141,9)</f>
        <v>1.6E-2</v>
      </c>
      <c r="CY122">
        <f>AA122</f>
        <v>614.09</v>
      </c>
      <c r="CZ122">
        <f>AE122</f>
        <v>614.09</v>
      </c>
      <c r="DA122">
        <f>AI122</f>
        <v>1</v>
      </c>
      <c r="DB122">
        <f>ROUND((ROUND(AT122*CZ122,2)*1),6)</f>
        <v>4.91</v>
      </c>
      <c r="DC122">
        <f>ROUND((ROUND(AT122*AG122,2)*1),6)</f>
        <v>0</v>
      </c>
      <c r="DD122" t="s">
        <v>3</v>
      </c>
      <c r="DE122" t="s">
        <v>3</v>
      </c>
      <c r="DF122">
        <f t="shared" si="64"/>
        <v>9.83</v>
      </c>
      <c r="DG122">
        <f t="shared" si="61"/>
        <v>0</v>
      </c>
      <c r="DH122">
        <f t="shared" si="62"/>
        <v>0</v>
      </c>
      <c r="DI122">
        <f t="shared" si="46"/>
        <v>0</v>
      </c>
      <c r="DJ122">
        <f>DF122</f>
        <v>9.83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ROW(Source!A142)</f>
        <v>142</v>
      </c>
      <c r="B123">
        <v>60258618</v>
      </c>
      <c r="C123">
        <v>60258957</v>
      </c>
      <c r="D123">
        <v>58999254</v>
      </c>
      <c r="E123">
        <v>1080</v>
      </c>
      <c r="F123">
        <v>1</v>
      </c>
      <c r="G123">
        <v>1080</v>
      </c>
      <c r="H123">
        <v>1</v>
      </c>
      <c r="I123" t="s">
        <v>275</v>
      </c>
      <c r="J123" t="s">
        <v>3</v>
      </c>
      <c r="K123" t="s">
        <v>276</v>
      </c>
      <c r="L123">
        <v>1191</v>
      </c>
      <c r="N123">
        <v>1013</v>
      </c>
      <c r="O123" t="s">
        <v>277</v>
      </c>
      <c r="P123" t="s">
        <v>277</v>
      </c>
      <c r="Q123">
        <v>1</v>
      </c>
      <c r="W123">
        <v>0</v>
      </c>
      <c r="X123">
        <v>476480486</v>
      </c>
      <c r="Y123">
        <f>(AT123*1.1)</f>
        <v>2.0130000000000003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5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1.83</v>
      </c>
      <c r="AU123" t="s">
        <v>24</v>
      </c>
      <c r="AV123">
        <v>1</v>
      </c>
      <c r="AW123">
        <v>2</v>
      </c>
      <c r="AX123">
        <v>60259049</v>
      </c>
      <c r="AY123">
        <v>1</v>
      </c>
      <c r="AZ123">
        <v>0</v>
      </c>
      <c r="BA123">
        <v>150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ROUND(AT123*Source!I142*AH123*AL123,2)</f>
        <v>0</v>
      </c>
      <c r="CV123">
        <f>ROUND(Y123*Source!I142,9)</f>
        <v>4.0259999999999998</v>
      </c>
      <c r="CW123">
        <v>0</v>
      </c>
      <c r="CX123">
        <f>ROUND(Y123*Source!I142,9)</f>
        <v>4.0259999999999998</v>
      </c>
      <c r="CY123">
        <f>AD123</f>
        <v>0</v>
      </c>
      <c r="CZ123">
        <f>AH123</f>
        <v>0</v>
      </c>
      <c r="DA123">
        <f>AL123</f>
        <v>1</v>
      </c>
      <c r="DB123">
        <f>ROUND((ROUND(AT123*CZ123,2)*1.1),6)</f>
        <v>0</v>
      </c>
      <c r="DC123">
        <f>ROUND((ROUND(AT123*AG123,2)*1.1),6)</f>
        <v>0</v>
      </c>
      <c r="DD123" t="s">
        <v>3</v>
      </c>
      <c r="DE123" t="s">
        <v>3</v>
      </c>
      <c r="DF123">
        <f t="shared" si="64"/>
        <v>0</v>
      </c>
      <c r="DG123">
        <f t="shared" si="61"/>
        <v>0</v>
      </c>
      <c r="DH123">
        <f t="shared" si="62"/>
        <v>0</v>
      </c>
      <c r="DI123">
        <f t="shared" si="46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ROW(Source!A142)</f>
        <v>142</v>
      </c>
      <c r="B124">
        <v>60258618</v>
      </c>
      <c r="C124">
        <v>60258957</v>
      </c>
      <c r="D124">
        <v>59070669</v>
      </c>
      <c r="E124">
        <v>1</v>
      </c>
      <c r="F124">
        <v>1</v>
      </c>
      <c r="G124">
        <v>1080</v>
      </c>
      <c r="H124">
        <v>2</v>
      </c>
      <c r="I124" t="s">
        <v>301</v>
      </c>
      <c r="J124" t="s">
        <v>302</v>
      </c>
      <c r="K124" t="s">
        <v>303</v>
      </c>
      <c r="L124">
        <v>1368</v>
      </c>
      <c r="N124">
        <v>1011</v>
      </c>
      <c r="O124" t="s">
        <v>304</v>
      </c>
      <c r="P124" t="s">
        <v>304</v>
      </c>
      <c r="Q124">
        <v>1</v>
      </c>
      <c r="W124">
        <v>0</v>
      </c>
      <c r="X124">
        <v>-1985943078</v>
      </c>
      <c r="Y124">
        <f>(AT124*1.1)</f>
        <v>1.1000000000000001E-2</v>
      </c>
      <c r="AA124">
        <v>0</v>
      </c>
      <c r="AB124">
        <v>1418.19</v>
      </c>
      <c r="AC124">
        <v>726.59</v>
      </c>
      <c r="AD124">
        <v>0</v>
      </c>
      <c r="AE124">
        <v>0</v>
      </c>
      <c r="AF124">
        <v>83.1</v>
      </c>
      <c r="AG124">
        <v>12.62</v>
      </c>
      <c r="AH124">
        <v>0</v>
      </c>
      <c r="AI124">
        <v>1</v>
      </c>
      <c r="AJ124">
        <v>16.3</v>
      </c>
      <c r="AK124">
        <v>54.99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0.01</v>
      </c>
      <c r="AU124" t="s">
        <v>24</v>
      </c>
      <c r="AV124">
        <v>0</v>
      </c>
      <c r="AW124">
        <v>2</v>
      </c>
      <c r="AX124">
        <v>60259050</v>
      </c>
      <c r="AY124">
        <v>1</v>
      </c>
      <c r="AZ124">
        <v>0</v>
      </c>
      <c r="BA124">
        <v>151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ROUND(Y124*Source!I142*DO124,9)</f>
        <v>0.27764</v>
      </c>
      <c r="CX124">
        <f>ROUND(Y124*Source!I142,9)</f>
        <v>2.1999999999999999E-2</v>
      </c>
      <c r="CY124">
        <f>AB124</f>
        <v>1418.19</v>
      </c>
      <c r="CZ124">
        <f>AF124</f>
        <v>83.1</v>
      </c>
      <c r="DA124">
        <f>AJ124</f>
        <v>16.3</v>
      </c>
      <c r="DB124">
        <f>ROUND((ROUND(AT124*CZ124,2)*1.1),6)</f>
        <v>0.91300000000000003</v>
      </c>
      <c r="DC124">
        <f>ROUND((ROUND(AT124*AG124,2)*1.1),6)</f>
        <v>0.14299999999999999</v>
      </c>
      <c r="DD124" t="s">
        <v>3</v>
      </c>
      <c r="DE124" t="s">
        <v>3</v>
      </c>
      <c r="DF124">
        <f t="shared" si="64"/>
        <v>0</v>
      </c>
      <c r="DG124">
        <f>ROUND(ROUND(AF124*AJ124,2)*CX124,2)</f>
        <v>29.8</v>
      </c>
      <c r="DH124">
        <f>ROUND(ROUND(AG124*AK124,2)*CX124,2)</f>
        <v>15.27</v>
      </c>
      <c r="DI124">
        <f t="shared" si="46"/>
        <v>0</v>
      </c>
      <c r="DJ124">
        <f>DG124</f>
        <v>29.8</v>
      </c>
      <c r="DK124">
        <v>0</v>
      </c>
      <c r="DL124" t="s">
        <v>305</v>
      </c>
      <c r="DM124">
        <v>0</v>
      </c>
      <c r="DN124" t="s">
        <v>277</v>
      </c>
      <c r="DO124">
        <v>12.62</v>
      </c>
    </row>
    <row r="125" spans="1:119" x14ac:dyDescent="0.2">
      <c r="A125">
        <f>ROW(Source!A142)</f>
        <v>142</v>
      </c>
      <c r="B125">
        <v>60258618</v>
      </c>
      <c r="C125">
        <v>60258957</v>
      </c>
      <c r="D125">
        <v>59069905</v>
      </c>
      <c r="E125">
        <v>1</v>
      </c>
      <c r="F125">
        <v>1</v>
      </c>
      <c r="G125">
        <v>1080</v>
      </c>
      <c r="H125">
        <v>2</v>
      </c>
      <c r="I125" t="s">
        <v>350</v>
      </c>
      <c r="J125" t="s">
        <v>351</v>
      </c>
      <c r="K125" t="s">
        <v>352</v>
      </c>
      <c r="L125">
        <v>1368</v>
      </c>
      <c r="N125">
        <v>1011</v>
      </c>
      <c r="O125" t="s">
        <v>304</v>
      </c>
      <c r="P125" t="s">
        <v>304</v>
      </c>
      <c r="Q125">
        <v>1</v>
      </c>
      <c r="W125">
        <v>0</v>
      </c>
      <c r="X125">
        <v>1087580389</v>
      </c>
      <c r="Y125">
        <f>(AT125*1.1)</f>
        <v>1.1000000000000001E-2</v>
      </c>
      <c r="AA125">
        <v>0</v>
      </c>
      <c r="AB125">
        <v>2579.38</v>
      </c>
      <c r="AC125">
        <v>974.74</v>
      </c>
      <c r="AD125">
        <v>0</v>
      </c>
      <c r="AE125">
        <v>0</v>
      </c>
      <c r="AF125">
        <v>179.17</v>
      </c>
      <c r="AG125">
        <v>16.93</v>
      </c>
      <c r="AH125">
        <v>0</v>
      </c>
      <c r="AI125">
        <v>1</v>
      </c>
      <c r="AJ125">
        <v>13.75</v>
      </c>
      <c r="AK125">
        <v>54.99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0.01</v>
      </c>
      <c r="AU125" t="s">
        <v>24</v>
      </c>
      <c r="AV125">
        <v>0</v>
      </c>
      <c r="AW125">
        <v>2</v>
      </c>
      <c r="AX125">
        <v>60259051</v>
      </c>
      <c r="AY125">
        <v>1</v>
      </c>
      <c r="AZ125">
        <v>0</v>
      </c>
      <c r="BA125">
        <v>152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ROUND(Y125*Source!I142*DO125,9)</f>
        <v>0.37246000000000001</v>
      </c>
      <c r="CX125">
        <f>ROUND(Y125*Source!I142,9)</f>
        <v>2.1999999999999999E-2</v>
      </c>
      <c r="CY125">
        <f>AB125</f>
        <v>2579.38</v>
      </c>
      <c r="CZ125">
        <f>AF125</f>
        <v>179.17</v>
      </c>
      <c r="DA125">
        <f>AJ125</f>
        <v>13.75</v>
      </c>
      <c r="DB125">
        <f>ROUND((ROUND(AT125*CZ125,2)*1.1),6)</f>
        <v>1.9690000000000001</v>
      </c>
      <c r="DC125">
        <f>ROUND((ROUND(AT125*AG125,2)*1.1),6)</f>
        <v>0.187</v>
      </c>
      <c r="DD125" t="s">
        <v>3</v>
      </c>
      <c r="DE125" t="s">
        <v>3</v>
      </c>
      <c r="DF125">
        <f t="shared" si="64"/>
        <v>0</v>
      </c>
      <c r="DG125">
        <f>ROUND(ROUND(AF125*AJ125,2)*CX125,2)</f>
        <v>54.2</v>
      </c>
      <c r="DH125">
        <f>ROUND(ROUND(AG125*AK125,2)*CX125,2)</f>
        <v>20.48</v>
      </c>
      <c r="DI125">
        <f t="shared" si="46"/>
        <v>0</v>
      </c>
      <c r="DJ125">
        <f>DG125</f>
        <v>54.2</v>
      </c>
      <c r="DK125">
        <v>0</v>
      </c>
      <c r="DL125" t="s">
        <v>305</v>
      </c>
      <c r="DM125">
        <v>0</v>
      </c>
      <c r="DN125" t="s">
        <v>277</v>
      </c>
      <c r="DO125">
        <v>16.93</v>
      </c>
    </row>
    <row r="126" spans="1:119" x14ac:dyDescent="0.2">
      <c r="A126">
        <f>ROW(Source!A142)</f>
        <v>142</v>
      </c>
      <c r="B126">
        <v>60258618</v>
      </c>
      <c r="C126">
        <v>60258957</v>
      </c>
      <c r="D126">
        <v>59039702</v>
      </c>
      <c r="E126">
        <v>1</v>
      </c>
      <c r="F126">
        <v>1</v>
      </c>
      <c r="G126">
        <v>1080</v>
      </c>
      <c r="H126">
        <v>3</v>
      </c>
      <c r="I126" t="s">
        <v>353</v>
      </c>
      <c r="J126" t="s">
        <v>354</v>
      </c>
      <c r="K126" t="s">
        <v>355</v>
      </c>
      <c r="L126">
        <v>1346</v>
      </c>
      <c r="N126">
        <v>1009</v>
      </c>
      <c r="O126" t="s">
        <v>289</v>
      </c>
      <c r="P126" t="s">
        <v>289</v>
      </c>
      <c r="Q126">
        <v>1</v>
      </c>
      <c r="W126">
        <v>0</v>
      </c>
      <c r="X126">
        <v>1770006655</v>
      </c>
      <c r="Y126">
        <f>(AT126*1)</f>
        <v>0.6</v>
      </c>
      <c r="AA126">
        <v>29.73</v>
      </c>
      <c r="AB126">
        <v>0</v>
      </c>
      <c r="AC126">
        <v>0</v>
      </c>
      <c r="AD126">
        <v>0</v>
      </c>
      <c r="AE126">
        <v>1.38</v>
      </c>
      <c r="AF126">
        <v>0</v>
      </c>
      <c r="AG126">
        <v>0</v>
      </c>
      <c r="AH126">
        <v>0</v>
      </c>
      <c r="AI126">
        <v>21.54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0.6</v>
      </c>
      <c r="AU126" t="s">
        <v>23</v>
      </c>
      <c r="AV126">
        <v>0</v>
      </c>
      <c r="AW126">
        <v>2</v>
      </c>
      <c r="AX126">
        <v>60259052</v>
      </c>
      <c r="AY126">
        <v>1</v>
      </c>
      <c r="AZ126">
        <v>0</v>
      </c>
      <c r="BA126">
        <v>153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ROUND(Y126*Source!I142,9)</f>
        <v>1.2</v>
      </c>
      <c r="CY126">
        <f>AA126</f>
        <v>29.73</v>
      </c>
      <c r="CZ126">
        <f>AE126</f>
        <v>1.38</v>
      </c>
      <c r="DA126">
        <f>AI126</f>
        <v>21.54</v>
      </c>
      <c r="DB126">
        <f>ROUND((ROUND(AT126*CZ126,2)*1),6)</f>
        <v>0.83</v>
      </c>
      <c r="DC126">
        <f>ROUND((ROUND(AT126*AG126,2)*1),6)</f>
        <v>0</v>
      </c>
      <c r="DD126" t="s">
        <v>3</v>
      </c>
      <c r="DE126" t="s">
        <v>3</v>
      </c>
      <c r="DF126">
        <f>ROUND(ROUND(AE126*AI126,2)*CX126,2)</f>
        <v>35.68</v>
      </c>
      <c r="DG126">
        <f>ROUND(ROUND(AF126,2)*CX126,2)</f>
        <v>0</v>
      </c>
      <c r="DH126">
        <f>ROUND(ROUND(AG126,2)*CX126,2)</f>
        <v>0</v>
      </c>
      <c r="DI126">
        <f t="shared" si="46"/>
        <v>0</v>
      </c>
      <c r="DJ126">
        <f>DF126</f>
        <v>35.68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ROW(Source!A142)</f>
        <v>142</v>
      </c>
      <c r="B127">
        <v>60258618</v>
      </c>
      <c r="C127">
        <v>60258957</v>
      </c>
      <c r="D127">
        <v>59040093</v>
      </c>
      <c r="E127">
        <v>1</v>
      </c>
      <c r="F127">
        <v>1</v>
      </c>
      <c r="G127">
        <v>1080</v>
      </c>
      <c r="H127">
        <v>3</v>
      </c>
      <c r="I127" t="s">
        <v>309</v>
      </c>
      <c r="J127" t="s">
        <v>310</v>
      </c>
      <c r="K127" t="s">
        <v>311</v>
      </c>
      <c r="L127">
        <v>1346</v>
      </c>
      <c r="N127">
        <v>1009</v>
      </c>
      <c r="O127" t="s">
        <v>289</v>
      </c>
      <c r="P127" t="s">
        <v>289</v>
      </c>
      <c r="Q127">
        <v>1</v>
      </c>
      <c r="W127">
        <v>0</v>
      </c>
      <c r="X127">
        <v>-878159893</v>
      </c>
      <c r="Y127">
        <f>(AT127*1)</f>
        <v>0.16</v>
      </c>
      <c r="AA127">
        <v>286.31</v>
      </c>
      <c r="AB127">
        <v>0</v>
      </c>
      <c r="AC127">
        <v>0</v>
      </c>
      <c r="AD127">
        <v>0</v>
      </c>
      <c r="AE127">
        <v>159.06</v>
      </c>
      <c r="AF127">
        <v>0</v>
      </c>
      <c r="AG127">
        <v>0</v>
      </c>
      <c r="AH127">
        <v>0</v>
      </c>
      <c r="AI127">
        <v>1.8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0.16</v>
      </c>
      <c r="AU127" t="s">
        <v>23</v>
      </c>
      <c r="AV127">
        <v>0</v>
      </c>
      <c r="AW127">
        <v>2</v>
      </c>
      <c r="AX127">
        <v>60259053</v>
      </c>
      <c r="AY127">
        <v>1</v>
      </c>
      <c r="AZ127">
        <v>0</v>
      </c>
      <c r="BA127">
        <v>154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ROUND(Y127*Source!I142,9)</f>
        <v>0.32</v>
      </c>
      <c r="CY127">
        <f>AA127</f>
        <v>286.31</v>
      </c>
      <c r="CZ127">
        <f>AE127</f>
        <v>159.06</v>
      </c>
      <c r="DA127">
        <f>AI127</f>
        <v>1.8</v>
      </c>
      <c r="DB127">
        <f>ROUND((ROUND(AT127*CZ127,2)*1),6)</f>
        <v>25.45</v>
      </c>
      <c r="DC127">
        <f>ROUND((ROUND(AT127*AG127,2)*1),6)</f>
        <v>0</v>
      </c>
      <c r="DD127" t="s">
        <v>3</v>
      </c>
      <c r="DE127" t="s">
        <v>3</v>
      </c>
      <c r="DF127">
        <f>ROUND(ROUND(AE127*AI127,2)*CX127,2)</f>
        <v>91.62</v>
      </c>
      <c r="DG127">
        <f>ROUND(ROUND(AF127,2)*CX127,2)</f>
        <v>0</v>
      </c>
      <c r="DH127">
        <f>ROUND(ROUND(AG127,2)*CX127,2)</f>
        <v>0</v>
      </c>
      <c r="DI127">
        <f t="shared" si="46"/>
        <v>0</v>
      </c>
      <c r="DJ127">
        <f>DF127</f>
        <v>91.62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ROW(Source!A142)</f>
        <v>142</v>
      </c>
      <c r="B128">
        <v>60258618</v>
      </c>
      <c r="C128">
        <v>60258957</v>
      </c>
      <c r="D128">
        <v>59063048</v>
      </c>
      <c r="E128">
        <v>1</v>
      </c>
      <c r="F128">
        <v>1</v>
      </c>
      <c r="G128">
        <v>1080</v>
      </c>
      <c r="H128">
        <v>3</v>
      </c>
      <c r="I128" t="s">
        <v>368</v>
      </c>
      <c r="J128" t="s">
        <v>369</v>
      </c>
      <c r="K128" t="s">
        <v>370</v>
      </c>
      <c r="L128">
        <v>1356</v>
      </c>
      <c r="N128">
        <v>1010</v>
      </c>
      <c r="O128" t="s">
        <v>349</v>
      </c>
      <c r="P128" t="s">
        <v>349</v>
      </c>
      <c r="Q128">
        <v>1000</v>
      </c>
      <c r="W128">
        <v>0</v>
      </c>
      <c r="X128">
        <v>-422648154</v>
      </c>
      <c r="Y128">
        <f>(AT128*1)</f>
        <v>1.2200000000000001E-2</v>
      </c>
      <c r="AA128">
        <v>1599.36</v>
      </c>
      <c r="AB128">
        <v>0</v>
      </c>
      <c r="AC128">
        <v>0</v>
      </c>
      <c r="AD128">
        <v>0</v>
      </c>
      <c r="AE128">
        <v>226.86</v>
      </c>
      <c r="AF128">
        <v>0</v>
      </c>
      <c r="AG128">
        <v>0</v>
      </c>
      <c r="AH128">
        <v>0</v>
      </c>
      <c r="AI128">
        <v>7.05</v>
      </c>
      <c r="AJ128">
        <v>1</v>
      </c>
      <c r="AK128">
        <v>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1.2200000000000001E-2</v>
      </c>
      <c r="AU128" t="s">
        <v>23</v>
      </c>
      <c r="AV128">
        <v>0</v>
      </c>
      <c r="AW128">
        <v>2</v>
      </c>
      <c r="AX128">
        <v>60259054</v>
      </c>
      <c r="AY128">
        <v>1</v>
      </c>
      <c r="AZ128">
        <v>0</v>
      </c>
      <c r="BA128">
        <v>155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ROUND(Y128*Source!I142,9)</f>
        <v>2.4400000000000002E-2</v>
      </c>
      <c r="CY128">
        <f>AA128</f>
        <v>1599.36</v>
      </c>
      <c r="CZ128">
        <f>AE128</f>
        <v>226.86</v>
      </c>
      <c r="DA128">
        <f>AI128</f>
        <v>7.05</v>
      </c>
      <c r="DB128">
        <f>ROUND((ROUND(AT128*CZ128,2)*1),6)</f>
        <v>2.77</v>
      </c>
      <c r="DC128">
        <f>ROUND((ROUND(AT128*AG128,2)*1),6)</f>
        <v>0</v>
      </c>
      <c r="DD128" t="s">
        <v>3</v>
      </c>
      <c r="DE128" t="s">
        <v>3</v>
      </c>
      <c r="DF128">
        <f>ROUND(ROUND(AE128*AI128,2)*CX128,2)</f>
        <v>39.020000000000003</v>
      </c>
      <c r="DG128">
        <f>ROUND(ROUND(AF128,2)*CX128,2)</f>
        <v>0</v>
      </c>
      <c r="DH128">
        <f>ROUND(ROUND(AG128,2)*CX128,2)</f>
        <v>0</v>
      </c>
      <c r="DI128">
        <f t="shared" si="46"/>
        <v>0</v>
      </c>
      <c r="DJ128">
        <f>DF128</f>
        <v>39.020000000000003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ROW(Source!A142)</f>
        <v>142</v>
      </c>
      <c r="B129">
        <v>60258618</v>
      </c>
      <c r="C129">
        <v>60258957</v>
      </c>
      <c r="D129">
        <v>59062373</v>
      </c>
      <c r="E129">
        <v>1</v>
      </c>
      <c r="F129">
        <v>1</v>
      </c>
      <c r="G129">
        <v>1080</v>
      </c>
      <c r="H129">
        <v>3</v>
      </c>
      <c r="I129" t="s">
        <v>362</v>
      </c>
      <c r="J129" t="s">
        <v>363</v>
      </c>
      <c r="K129" t="s">
        <v>364</v>
      </c>
      <c r="L129">
        <v>1354</v>
      </c>
      <c r="N129">
        <v>1010</v>
      </c>
      <c r="O129" t="s">
        <v>216</v>
      </c>
      <c r="P129" t="s">
        <v>216</v>
      </c>
      <c r="Q129">
        <v>1</v>
      </c>
      <c r="W129">
        <v>0</v>
      </c>
      <c r="X129">
        <v>145081611</v>
      </c>
      <c r="Y129">
        <f>(AT129*1)</f>
        <v>3.1</v>
      </c>
      <c r="AA129">
        <v>25.47</v>
      </c>
      <c r="AB129">
        <v>0</v>
      </c>
      <c r="AC129">
        <v>0</v>
      </c>
      <c r="AD129">
        <v>0</v>
      </c>
      <c r="AE129">
        <v>6.94</v>
      </c>
      <c r="AF129">
        <v>0</v>
      </c>
      <c r="AG129">
        <v>0</v>
      </c>
      <c r="AH129">
        <v>0</v>
      </c>
      <c r="AI129">
        <v>3.67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3.1</v>
      </c>
      <c r="AU129" t="s">
        <v>23</v>
      </c>
      <c r="AV129">
        <v>0</v>
      </c>
      <c r="AW129">
        <v>2</v>
      </c>
      <c r="AX129">
        <v>60259055</v>
      </c>
      <c r="AY129">
        <v>1</v>
      </c>
      <c r="AZ129">
        <v>0</v>
      </c>
      <c r="BA129">
        <v>156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ROUND(Y129*Source!I142,9)</f>
        <v>6.2</v>
      </c>
      <c r="CY129">
        <f>AA129</f>
        <v>25.47</v>
      </c>
      <c r="CZ129">
        <f>AE129</f>
        <v>6.94</v>
      </c>
      <c r="DA129">
        <f>AI129</f>
        <v>3.67</v>
      </c>
      <c r="DB129">
        <f>ROUND((ROUND(AT129*CZ129,2)*1),6)</f>
        <v>21.51</v>
      </c>
      <c r="DC129">
        <f>ROUND((ROUND(AT129*AG129,2)*1),6)</f>
        <v>0</v>
      </c>
      <c r="DD129" t="s">
        <v>3</v>
      </c>
      <c r="DE129" t="s">
        <v>3</v>
      </c>
      <c r="DF129">
        <f>ROUND(ROUND(AE129*AI129,2)*CX129,2)</f>
        <v>157.91</v>
      </c>
      <c r="DG129">
        <f>ROUND(ROUND(AF129,2)*CX129,2)</f>
        <v>0</v>
      </c>
      <c r="DH129">
        <f>ROUND(ROUND(AG129,2)*CX129,2)</f>
        <v>0</v>
      </c>
      <c r="DI129">
        <f t="shared" si="46"/>
        <v>0</v>
      </c>
      <c r="DJ129">
        <f>DF129</f>
        <v>157.91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ROW(Source!A142)</f>
        <v>142</v>
      </c>
      <c r="B130">
        <v>60258618</v>
      </c>
      <c r="C130">
        <v>60258957</v>
      </c>
      <c r="D130">
        <v>59062381</v>
      </c>
      <c r="E130">
        <v>1</v>
      </c>
      <c r="F130">
        <v>1</v>
      </c>
      <c r="G130">
        <v>1080</v>
      </c>
      <c r="H130">
        <v>3</v>
      </c>
      <c r="I130" t="s">
        <v>371</v>
      </c>
      <c r="J130" t="s">
        <v>372</v>
      </c>
      <c r="K130" t="s">
        <v>373</v>
      </c>
      <c r="L130">
        <v>1356</v>
      </c>
      <c r="N130">
        <v>1010</v>
      </c>
      <c r="O130" t="s">
        <v>349</v>
      </c>
      <c r="P130" t="s">
        <v>349</v>
      </c>
      <c r="Q130">
        <v>1000</v>
      </c>
      <c r="W130">
        <v>0</v>
      </c>
      <c r="X130">
        <v>807379832</v>
      </c>
      <c r="Y130">
        <f>(AT130*1)</f>
        <v>8.0000000000000002E-3</v>
      </c>
      <c r="AA130">
        <v>1197.48</v>
      </c>
      <c r="AB130">
        <v>0</v>
      </c>
      <c r="AC130">
        <v>0</v>
      </c>
      <c r="AD130">
        <v>0</v>
      </c>
      <c r="AE130">
        <v>614.09</v>
      </c>
      <c r="AF130">
        <v>0</v>
      </c>
      <c r="AG130">
        <v>0</v>
      </c>
      <c r="AH130">
        <v>0</v>
      </c>
      <c r="AI130">
        <v>1.95</v>
      </c>
      <c r="AJ130">
        <v>1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8.0000000000000002E-3</v>
      </c>
      <c r="AU130" t="s">
        <v>23</v>
      </c>
      <c r="AV130">
        <v>0</v>
      </c>
      <c r="AW130">
        <v>2</v>
      </c>
      <c r="AX130">
        <v>60259056</v>
      </c>
      <c r="AY130">
        <v>1</v>
      </c>
      <c r="AZ130">
        <v>0</v>
      </c>
      <c r="BA130">
        <v>157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ROUND(Y130*Source!I142,9)</f>
        <v>1.6E-2</v>
      </c>
      <c r="CY130">
        <f>AA130</f>
        <v>1197.48</v>
      </c>
      <c r="CZ130">
        <f>AE130</f>
        <v>614.09</v>
      </c>
      <c r="DA130">
        <f>AI130</f>
        <v>1.95</v>
      </c>
      <c r="DB130">
        <f>ROUND((ROUND(AT130*CZ130,2)*1),6)</f>
        <v>4.91</v>
      </c>
      <c r="DC130">
        <f>ROUND((ROUND(AT130*AG130,2)*1),6)</f>
        <v>0</v>
      </c>
      <c r="DD130" t="s">
        <v>3</v>
      </c>
      <c r="DE130" t="s">
        <v>3</v>
      </c>
      <c r="DF130">
        <f>ROUND(ROUND(AE130*AI130,2)*CX130,2)</f>
        <v>19.16</v>
      </c>
      <c r="DG130">
        <f>ROUND(ROUND(AF130,2)*CX130,2)</f>
        <v>0</v>
      </c>
      <c r="DH130">
        <f>ROUND(ROUND(AG130,2)*CX130,2)</f>
        <v>0</v>
      </c>
      <c r="DI130">
        <f t="shared" si="46"/>
        <v>0</v>
      </c>
      <c r="DJ130">
        <f>DF130</f>
        <v>19.16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60258979</v>
      </c>
      <c r="C1">
        <v>60258735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275</v>
      </c>
      <c r="J1" t="s">
        <v>3</v>
      </c>
      <c r="K1" t="s">
        <v>276</v>
      </c>
      <c r="L1">
        <v>1191</v>
      </c>
      <c r="N1">
        <v>1013</v>
      </c>
      <c r="O1" t="s">
        <v>277</v>
      </c>
      <c r="P1" t="s">
        <v>277</v>
      </c>
      <c r="Q1">
        <v>1</v>
      </c>
      <c r="X1">
        <v>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7.7000000000000011</v>
      </c>
      <c r="AH1">
        <v>2</v>
      </c>
      <c r="AI1">
        <v>60258736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60258980</v>
      </c>
      <c r="C2">
        <v>60258735</v>
      </c>
      <c r="D2">
        <v>59039462</v>
      </c>
      <c r="E2">
        <v>1</v>
      </c>
      <c r="F2">
        <v>1</v>
      </c>
      <c r="G2">
        <v>1080</v>
      </c>
      <c r="H2">
        <v>3</v>
      </c>
      <c r="I2" t="s">
        <v>278</v>
      </c>
      <c r="J2" t="s">
        <v>279</v>
      </c>
      <c r="K2" t="s">
        <v>280</v>
      </c>
      <c r="L2">
        <v>1348</v>
      </c>
      <c r="N2">
        <v>1009</v>
      </c>
      <c r="O2" t="s">
        <v>281</v>
      </c>
      <c r="P2" t="s">
        <v>281</v>
      </c>
      <c r="Q2">
        <v>1000</v>
      </c>
      <c r="X2">
        <v>1.2E-5</v>
      </c>
      <c r="Y2">
        <v>64123.05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23</v>
      </c>
      <c r="AG2">
        <v>1.2E-5</v>
      </c>
      <c r="AH2">
        <v>2</v>
      </c>
      <c r="AI2">
        <v>60258737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60258981</v>
      </c>
      <c r="C3">
        <v>60258735</v>
      </c>
      <c r="D3">
        <v>59045949</v>
      </c>
      <c r="E3">
        <v>1</v>
      </c>
      <c r="F3">
        <v>1</v>
      </c>
      <c r="G3">
        <v>1080</v>
      </c>
      <c r="H3">
        <v>3</v>
      </c>
      <c r="I3" t="s">
        <v>282</v>
      </c>
      <c r="J3" t="s">
        <v>283</v>
      </c>
      <c r="K3" t="s">
        <v>284</v>
      </c>
      <c r="L3">
        <v>1349</v>
      </c>
      <c r="N3">
        <v>1009</v>
      </c>
      <c r="O3" t="s">
        <v>285</v>
      </c>
      <c r="P3" t="s">
        <v>285</v>
      </c>
      <c r="Q3">
        <v>1E-3</v>
      </c>
      <c r="X3">
        <v>2</v>
      </c>
      <c r="Y3">
        <v>7.0000000000000007E-2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23</v>
      </c>
      <c r="AG3">
        <v>2</v>
      </c>
      <c r="AH3">
        <v>2</v>
      </c>
      <c r="AI3">
        <v>60258738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60258982</v>
      </c>
      <c r="C4">
        <v>60258735</v>
      </c>
      <c r="D4">
        <v>59062764</v>
      </c>
      <c r="E4">
        <v>1</v>
      </c>
      <c r="F4">
        <v>1</v>
      </c>
      <c r="G4">
        <v>1080</v>
      </c>
      <c r="H4">
        <v>3</v>
      </c>
      <c r="I4" t="s">
        <v>286</v>
      </c>
      <c r="J4" t="s">
        <v>287</v>
      </c>
      <c r="K4" t="s">
        <v>288</v>
      </c>
      <c r="L4">
        <v>1346</v>
      </c>
      <c r="N4">
        <v>1009</v>
      </c>
      <c r="O4" t="s">
        <v>289</v>
      </c>
      <c r="P4" t="s">
        <v>289</v>
      </c>
      <c r="Q4">
        <v>1</v>
      </c>
      <c r="X4">
        <v>6.0000000000000001E-3</v>
      </c>
      <c r="Y4">
        <v>493.08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23</v>
      </c>
      <c r="AG4">
        <v>6.0000000000000001E-3</v>
      </c>
      <c r="AH4">
        <v>2</v>
      </c>
      <c r="AI4">
        <v>60258739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60258983</v>
      </c>
      <c r="C5">
        <v>60258735</v>
      </c>
      <c r="D5">
        <v>59068402</v>
      </c>
      <c r="E5">
        <v>1</v>
      </c>
      <c r="F5">
        <v>1</v>
      </c>
      <c r="G5">
        <v>1080</v>
      </c>
      <c r="H5">
        <v>3</v>
      </c>
      <c r="I5" t="s">
        <v>290</v>
      </c>
      <c r="J5" t="s">
        <v>291</v>
      </c>
      <c r="K5" t="s">
        <v>292</v>
      </c>
      <c r="L5">
        <v>1303</v>
      </c>
      <c r="N5">
        <v>1003</v>
      </c>
      <c r="O5" t="s">
        <v>240</v>
      </c>
      <c r="P5" t="s">
        <v>240</v>
      </c>
      <c r="Q5">
        <v>1000</v>
      </c>
      <c r="X5">
        <v>0.06</v>
      </c>
      <c r="Y5">
        <v>516.63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23</v>
      </c>
      <c r="AG5">
        <v>0.06</v>
      </c>
      <c r="AH5">
        <v>2</v>
      </c>
      <c r="AI5">
        <v>60258740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60258984</v>
      </c>
      <c r="C6">
        <v>60258735</v>
      </c>
      <c r="D6">
        <v>59029738</v>
      </c>
      <c r="E6">
        <v>1080</v>
      </c>
      <c r="F6">
        <v>1</v>
      </c>
      <c r="G6">
        <v>1080</v>
      </c>
      <c r="H6">
        <v>3</v>
      </c>
      <c r="I6" t="s">
        <v>374</v>
      </c>
      <c r="J6" t="s">
        <v>3</v>
      </c>
      <c r="K6" t="s">
        <v>375</v>
      </c>
      <c r="L6">
        <v>1346</v>
      </c>
      <c r="N6">
        <v>1009</v>
      </c>
      <c r="O6" t="s">
        <v>289</v>
      </c>
      <c r="P6" t="s">
        <v>289</v>
      </c>
      <c r="Q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23</v>
      </c>
      <c r="AG6">
        <v>0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60258985</v>
      </c>
      <c r="C7">
        <v>60258735</v>
      </c>
      <c r="D7">
        <v>59029796</v>
      </c>
      <c r="E7">
        <v>1080</v>
      </c>
      <c r="F7">
        <v>1</v>
      </c>
      <c r="G7">
        <v>1080</v>
      </c>
      <c r="H7">
        <v>3</v>
      </c>
      <c r="I7" t="s">
        <v>376</v>
      </c>
      <c r="J7" t="s">
        <v>3</v>
      </c>
      <c r="K7" t="s">
        <v>377</v>
      </c>
      <c r="L7">
        <v>1354</v>
      </c>
      <c r="N7">
        <v>1010</v>
      </c>
      <c r="O7" t="s">
        <v>216</v>
      </c>
      <c r="P7" t="s">
        <v>216</v>
      </c>
      <c r="Q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23</v>
      </c>
      <c r="AG7">
        <v>1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60258979</v>
      </c>
      <c r="C8">
        <v>60258735</v>
      </c>
      <c r="D8">
        <v>58999254</v>
      </c>
      <c r="E8">
        <v>1080</v>
      </c>
      <c r="F8">
        <v>1</v>
      </c>
      <c r="G8">
        <v>1080</v>
      </c>
      <c r="H8">
        <v>1</v>
      </c>
      <c r="I8" t="s">
        <v>275</v>
      </c>
      <c r="J8" t="s">
        <v>3</v>
      </c>
      <c r="K8" t="s">
        <v>276</v>
      </c>
      <c r="L8">
        <v>1191</v>
      </c>
      <c r="N8">
        <v>1013</v>
      </c>
      <c r="O8" t="s">
        <v>277</v>
      </c>
      <c r="P8" t="s">
        <v>277</v>
      </c>
      <c r="Q8">
        <v>1</v>
      </c>
      <c r="X8">
        <v>7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24</v>
      </c>
      <c r="AG8">
        <v>7.7000000000000011</v>
      </c>
      <c r="AH8">
        <v>2</v>
      </c>
      <c r="AI8">
        <v>60258736</v>
      </c>
      <c r="AJ8">
        <v>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60258980</v>
      </c>
      <c r="C9">
        <v>60258735</v>
      </c>
      <c r="D9">
        <v>59039462</v>
      </c>
      <c r="E9">
        <v>1</v>
      </c>
      <c r="F9">
        <v>1</v>
      </c>
      <c r="G9">
        <v>1080</v>
      </c>
      <c r="H9">
        <v>3</v>
      </c>
      <c r="I9" t="s">
        <v>278</v>
      </c>
      <c r="J9" t="s">
        <v>279</v>
      </c>
      <c r="K9" t="s">
        <v>280</v>
      </c>
      <c r="L9">
        <v>1348</v>
      </c>
      <c r="N9">
        <v>1009</v>
      </c>
      <c r="O9" t="s">
        <v>281</v>
      </c>
      <c r="P9" t="s">
        <v>281</v>
      </c>
      <c r="Q9">
        <v>1000</v>
      </c>
      <c r="X9">
        <v>1.2E-5</v>
      </c>
      <c r="Y9">
        <v>64123.05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23</v>
      </c>
      <c r="AG9">
        <v>1.2E-5</v>
      </c>
      <c r="AH9">
        <v>2</v>
      </c>
      <c r="AI9">
        <v>60258737</v>
      </c>
      <c r="AJ9">
        <v>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60258981</v>
      </c>
      <c r="C10">
        <v>60258735</v>
      </c>
      <c r="D10">
        <v>59045949</v>
      </c>
      <c r="E10">
        <v>1</v>
      </c>
      <c r="F10">
        <v>1</v>
      </c>
      <c r="G10">
        <v>1080</v>
      </c>
      <c r="H10">
        <v>3</v>
      </c>
      <c r="I10" t="s">
        <v>282</v>
      </c>
      <c r="J10" t="s">
        <v>283</v>
      </c>
      <c r="K10" t="s">
        <v>284</v>
      </c>
      <c r="L10">
        <v>1349</v>
      </c>
      <c r="N10">
        <v>1009</v>
      </c>
      <c r="O10" t="s">
        <v>285</v>
      </c>
      <c r="P10" t="s">
        <v>285</v>
      </c>
      <c r="Q10">
        <v>1E-3</v>
      </c>
      <c r="X10">
        <v>2</v>
      </c>
      <c r="Y10">
        <v>7.0000000000000007E-2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23</v>
      </c>
      <c r="AG10">
        <v>2</v>
      </c>
      <c r="AH10">
        <v>2</v>
      </c>
      <c r="AI10">
        <v>60258738</v>
      </c>
      <c r="AJ10">
        <v>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ROW(Source!A29)</f>
        <v>29</v>
      </c>
      <c r="B11">
        <v>60258982</v>
      </c>
      <c r="C11">
        <v>60258735</v>
      </c>
      <c r="D11">
        <v>59062764</v>
      </c>
      <c r="E11">
        <v>1</v>
      </c>
      <c r="F11">
        <v>1</v>
      </c>
      <c r="G11">
        <v>1080</v>
      </c>
      <c r="H11">
        <v>3</v>
      </c>
      <c r="I11" t="s">
        <v>286</v>
      </c>
      <c r="J11" t="s">
        <v>287</v>
      </c>
      <c r="K11" t="s">
        <v>288</v>
      </c>
      <c r="L11">
        <v>1346</v>
      </c>
      <c r="N11">
        <v>1009</v>
      </c>
      <c r="O11" t="s">
        <v>289</v>
      </c>
      <c r="P11" t="s">
        <v>289</v>
      </c>
      <c r="Q11">
        <v>1</v>
      </c>
      <c r="X11">
        <v>6.0000000000000001E-3</v>
      </c>
      <c r="Y11">
        <v>493.08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23</v>
      </c>
      <c r="AG11">
        <v>6.0000000000000001E-3</v>
      </c>
      <c r="AH11">
        <v>2</v>
      </c>
      <c r="AI11">
        <v>60258739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60258983</v>
      </c>
      <c r="C12">
        <v>60258735</v>
      </c>
      <c r="D12">
        <v>59068402</v>
      </c>
      <c r="E12">
        <v>1</v>
      </c>
      <c r="F12">
        <v>1</v>
      </c>
      <c r="G12">
        <v>1080</v>
      </c>
      <c r="H12">
        <v>3</v>
      </c>
      <c r="I12" t="s">
        <v>290</v>
      </c>
      <c r="J12" t="s">
        <v>291</v>
      </c>
      <c r="K12" t="s">
        <v>292</v>
      </c>
      <c r="L12">
        <v>1303</v>
      </c>
      <c r="N12">
        <v>1003</v>
      </c>
      <c r="O12" t="s">
        <v>240</v>
      </c>
      <c r="P12" t="s">
        <v>240</v>
      </c>
      <c r="Q12">
        <v>1000</v>
      </c>
      <c r="X12">
        <v>0.06</v>
      </c>
      <c r="Y12">
        <v>516.63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23</v>
      </c>
      <c r="AG12">
        <v>0.06</v>
      </c>
      <c r="AH12">
        <v>2</v>
      </c>
      <c r="AI12">
        <v>60258740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60258984</v>
      </c>
      <c r="C13">
        <v>60258735</v>
      </c>
      <c r="D13">
        <v>59029738</v>
      </c>
      <c r="E13">
        <v>1080</v>
      </c>
      <c r="F13">
        <v>1</v>
      </c>
      <c r="G13">
        <v>1080</v>
      </c>
      <c r="H13">
        <v>3</v>
      </c>
      <c r="I13" t="s">
        <v>374</v>
      </c>
      <c r="J13" t="s">
        <v>3</v>
      </c>
      <c r="K13" t="s">
        <v>375</v>
      </c>
      <c r="L13">
        <v>1346</v>
      </c>
      <c r="N13">
        <v>1009</v>
      </c>
      <c r="O13" t="s">
        <v>289</v>
      </c>
      <c r="P13" t="s">
        <v>289</v>
      </c>
      <c r="Q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23</v>
      </c>
      <c r="AG13">
        <v>0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60258985</v>
      </c>
      <c r="C14">
        <v>60258735</v>
      </c>
      <c r="D14">
        <v>59029796</v>
      </c>
      <c r="E14">
        <v>1080</v>
      </c>
      <c r="F14">
        <v>1</v>
      </c>
      <c r="G14">
        <v>1080</v>
      </c>
      <c r="H14">
        <v>3</v>
      </c>
      <c r="I14" t="s">
        <v>376</v>
      </c>
      <c r="J14" t="s">
        <v>3</v>
      </c>
      <c r="K14" t="s">
        <v>377</v>
      </c>
      <c r="L14">
        <v>1354</v>
      </c>
      <c r="N14">
        <v>1010</v>
      </c>
      <c r="O14" t="s">
        <v>216</v>
      </c>
      <c r="P14" t="s">
        <v>216</v>
      </c>
      <c r="Q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23</v>
      </c>
      <c r="AG14">
        <v>1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ROW(Source!A34)</f>
        <v>34</v>
      </c>
      <c r="B15">
        <v>60258986</v>
      </c>
      <c r="C15">
        <v>60258750</v>
      </c>
      <c r="D15">
        <v>58999254</v>
      </c>
      <c r="E15">
        <v>1080</v>
      </c>
      <c r="F15">
        <v>1</v>
      </c>
      <c r="G15">
        <v>1080</v>
      </c>
      <c r="H15">
        <v>1</v>
      </c>
      <c r="I15" t="s">
        <v>275</v>
      </c>
      <c r="J15" t="s">
        <v>3</v>
      </c>
      <c r="K15" t="s">
        <v>276</v>
      </c>
      <c r="L15">
        <v>1191</v>
      </c>
      <c r="N15">
        <v>1013</v>
      </c>
      <c r="O15" t="s">
        <v>277</v>
      </c>
      <c r="P15" t="s">
        <v>277</v>
      </c>
      <c r="Q15">
        <v>1</v>
      </c>
      <c r="X15">
        <v>3.18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24</v>
      </c>
      <c r="AG15">
        <v>3.4980000000000007</v>
      </c>
      <c r="AH15">
        <v>2</v>
      </c>
      <c r="AI15">
        <v>60258751</v>
      </c>
      <c r="AJ15">
        <v>11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ROW(Source!A34)</f>
        <v>34</v>
      </c>
      <c r="B16">
        <v>60258987</v>
      </c>
      <c r="C16">
        <v>60258750</v>
      </c>
      <c r="D16">
        <v>59040743</v>
      </c>
      <c r="E16">
        <v>1</v>
      </c>
      <c r="F16">
        <v>1</v>
      </c>
      <c r="G16">
        <v>1080</v>
      </c>
      <c r="H16">
        <v>3</v>
      </c>
      <c r="I16" t="s">
        <v>293</v>
      </c>
      <c r="J16" t="s">
        <v>294</v>
      </c>
      <c r="K16" t="s">
        <v>295</v>
      </c>
      <c r="L16">
        <v>1346</v>
      </c>
      <c r="N16">
        <v>1009</v>
      </c>
      <c r="O16" t="s">
        <v>289</v>
      </c>
      <c r="P16" t="s">
        <v>289</v>
      </c>
      <c r="Q16">
        <v>1</v>
      </c>
      <c r="X16">
        <v>6.2700000000000004E-3</v>
      </c>
      <c r="Y16">
        <v>27.62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23</v>
      </c>
      <c r="AG16">
        <v>6.2700000000000004E-3</v>
      </c>
      <c r="AH16">
        <v>2</v>
      </c>
      <c r="AI16">
        <v>60258752</v>
      </c>
      <c r="AJ16">
        <v>12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ROW(Source!A34)</f>
        <v>34</v>
      </c>
      <c r="B17">
        <v>60258988</v>
      </c>
      <c r="C17">
        <v>60258750</v>
      </c>
      <c r="D17">
        <v>59039462</v>
      </c>
      <c r="E17">
        <v>1</v>
      </c>
      <c r="F17">
        <v>1</v>
      </c>
      <c r="G17">
        <v>1080</v>
      </c>
      <c r="H17">
        <v>3</v>
      </c>
      <c r="I17" t="s">
        <v>278</v>
      </c>
      <c r="J17" t="s">
        <v>279</v>
      </c>
      <c r="K17" t="s">
        <v>280</v>
      </c>
      <c r="L17">
        <v>1348</v>
      </c>
      <c r="N17">
        <v>1009</v>
      </c>
      <c r="O17" t="s">
        <v>281</v>
      </c>
      <c r="P17" t="s">
        <v>281</v>
      </c>
      <c r="Q17">
        <v>1000</v>
      </c>
      <c r="X17">
        <v>1.0000000000000001E-5</v>
      </c>
      <c r="Y17">
        <v>64123.05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23</v>
      </c>
      <c r="AG17">
        <v>1.0000000000000001E-5</v>
      </c>
      <c r="AH17">
        <v>2</v>
      </c>
      <c r="AI17">
        <v>60258753</v>
      </c>
      <c r="AJ17">
        <v>13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ROW(Source!A34)</f>
        <v>34</v>
      </c>
      <c r="B18">
        <v>60258989</v>
      </c>
      <c r="C18">
        <v>60258750</v>
      </c>
      <c r="D18">
        <v>59049354</v>
      </c>
      <c r="E18">
        <v>1</v>
      </c>
      <c r="F18">
        <v>1</v>
      </c>
      <c r="G18">
        <v>1080</v>
      </c>
      <c r="H18">
        <v>3</v>
      </c>
      <c r="I18" t="s">
        <v>296</v>
      </c>
      <c r="J18" t="s">
        <v>297</v>
      </c>
      <c r="K18" t="s">
        <v>298</v>
      </c>
      <c r="L18">
        <v>1354</v>
      </c>
      <c r="N18">
        <v>1010</v>
      </c>
      <c r="O18" t="s">
        <v>216</v>
      </c>
      <c r="P18" t="s">
        <v>216</v>
      </c>
      <c r="Q18">
        <v>1</v>
      </c>
      <c r="X18">
        <v>0.1</v>
      </c>
      <c r="Y18">
        <v>15.25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23</v>
      </c>
      <c r="AG18">
        <v>0.1</v>
      </c>
      <c r="AH18">
        <v>2</v>
      </c>
      <c r="AI18">
        <v>60258754</v>
      </c>
      <c r="AJ18">
        <v>14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ROW(Source!A34)</f>
        <v>34</v>
      </c>
      <c r="B19">
        <v>60258990</v>
      </c>
      <c r="C19">
        <v>60258750</v>
      </c>
      <c r="D19">
        <v>59021314</v>
      </c>
      <c r="E19">
        <v>1080</v>
      </c>
      <c r="F19">
        <v>1</v>
      </c>
      <c r="G19">
        <v>1080</v>
      </c>
      <c r="H19">
        <v>3</v>
      </c>
      <c r="I19" t="s">
        <v>378</v>
      </c>
      <c r="J19" t="s">
        <v>3</v>
      </c>
      <c r="K19" t="s">
        <v>379</v>
      </c>
      <c r="L19">
        <v>1354</v>
      </c>
      <c r="N19">
        <v>1010</v>
      </c>
      <c r="O19" t="s">
        <v>216</v>
      </c>
      <c r="P19" t="s">
        <v>216</v>
      </c>
      <c r="Q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23</v>
      </c>
      <c r="AG19">
        <v>1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ROW(Source!A35)</f>
        <v>35</v>
      </c>
      <c r="B20">
        <v>60258986</v>
      </c>
      <c r="C20">
        <v>60258750</v>
      </c>
      <c r="D20">
        <v>58999254</v>
      </c>
      <c r="E20">
        <v>1080</v>
      </c>
      <c r="F20">
        <v>1</v>
      </c>
      <c r="G20">
        <v>1080</v>
      </c>
      <c r="H20">
        <v>1</v>
      </c>
      <c r="I20" t="s">
        <v>275</v>
      </c>
      <c r="J20" t="s">
        <v>3</v>
      </c>
      <c r="K20" t="s">
        <v>276</v>
      </c>
      <c r="L20">
        <v>1191</v>
      </c>
      <c r="N20">
        <v>1013</v>
      </c>
      <c r="O20" t="s">
        <v>277</v>
      </c>
      <c r="P20" t="s">
        <v>277</v>
      </c>
      <c r="Q20">
        <v>1</v>
      </c>
      <c r="X20">
        <v>3.18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 t="s">
        <v>24</v>
      </c>
      <c r="AG20">
        <v>3.4980000000000007</v>
      </c>
      <c r="AH20">
        <v>2</v>
      </c>
      <c r="AI20">
        <v>60258751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ROW(Source!A35)</f>
        <v>35</v>
      </c>
      <c r="B21">
        <v>60258987</v>
      </c>
      <c r="C21">
        <v>60258750</v>
      </c>
      <c r="D21">
        <v>59040743</v>
      </c>
      <c r="E21">
        <v>1</v>
      </c>
      <c r="F21">
        <v>1</v>
      </c>
      <c r="G21">
        <v>1080</v>
      </c>
      <c r="H21">
        <v>3</v>
      </c>
      <c r="I21" t="s">
        <v>293</v>
      </c>
      <c r="J21" t="s">
        <v>294</v>
      </c>
      <c r="K21" t="s">
        <v>295</v>
      </c>
      <c r="L21">
        <v>1346</v>
      </c>
      <c r="N21">
        <v>1009</v>
      </c>
      <c r="O21" t="s">
        <v>289</v>
      </c>
      <c r="P21" t="s">
        <v>289</v>
      </c>
      <c r="Q21">
        <v>1</v>
      </c>
      <c r="X21">
        <v>6.2700000000000004E-3</v>
      </c>
      <c r="Y21">
        <v>27.62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23</v>
      </c>
      <c r="AG21">
        <v>6.2700000000000004E-3</v>
      </c>
      <c r="AH21">
        <v>2</v>
      </c>
      <c r="AI21">
        <v>60258752</v>
      </c>
      <c r="AJ21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ROW(Source!A35)</f>
        <v>35</v>
      </c>
      <c r="B22">
        <v>60258988</v>
      </c>
      <c r="C22">
        <v>60258750</v>
      </c>
      <c r="D22">
        <v>59039462</v>
      </c>
      <c r="E22">
        <v>1</v>
      </c>
      <c r="F22">
        <v>1</v>
      </c>
      <c r="G22">
        <v>1080</v>
      </c>
      <c r="H22">
        <v>3</v>
      </c>
      <c r="I22" t="s">
        <v>278</v>
      </c>
      <c r="J22" t="s">
        <v>279</v>
      </c>
      <c r="K22" t="s">
        <v>280</v>
      </c>
      <c r="L22">
        <v>1348</v>
      </c>
      <c r="N22">
        <v>1009</v>
      </c>
      <c r="O22" t="s">
        <v>281</v>
      </c>
      <c r="P22" t="s">
        <v>281</v>
      </c>
      <c r="Q22">
        <v>1000</v>
      </c>
      <c r="X22">
        <v>1.0000000000000001E-5</v>
      </c>
      <c r="Y22">
        <v>64123.05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23</v>
      </c>
      <c r="AG22">
        <v>1.0000000000000001E-5</v>
      </c>
      <c r="AH22">
        <v>2</v>
      </c>
      <c r="AI22">
        <v>60258753</v>
      </c>
      <c r="AJ22">
        <v>17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ROW(Source!A35)</f>
        <v>35</v>
      </c>
      <c r="B23">
        <v>60258989</v>
      </c>
      <c r="C23">
        <v>60258750</v>
      </c>
      <c r="D23">
        <v>59049354</v>
      </c>
      <c r="E23">
        <v>1</v>
      </c>
      <c r="F23">
        <v>1</v>
      </c>
      <c r="G23">
        <v>1080</v>
      </c>
      <c r="H23">
        <v>3</v>
      </c>
      <c r="I23" t="s">
        <v>296</v>
      </c>
      <c r="J23" t="s">
        <v>297</v>
      </c>
      <c r="K23" t="s">
        <v>298</v>
      </c>
      <c r="L23">
        <v>1354</v>
      </c>
      <c r="N23">
        <v>1010</v>
      </c>
      <c r="O23" t="s">
        <v>216</v>
      </c>
      <c r="P23" t="s">
        <v>216</v>
      </c>
      <c r="Q23">
        <v>1</v>
      </c>
      <c r="X23">
        <v>0.1</v>
      </c>
      <c r="Y23">
        <v>15.25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23</v>
      </c>
      <c r="AG23">
        <v>0.1</v>
      </c>
      <c r="AH23">
        <v>2</v>
      </c>
      <c r="AI23">
        <v>60258754</v>
      </c>
      <c r="AJ23">
        <v>18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ROW(Source!A35)</f>
        <v>35</v>
      </c>
      <c r="B24">
        <v>60258990</v>
      </c>
      <c r="C24">
        <v>60258750</v>
      </c>
      <c r="D24">
        <v>59021314</v>
      </c>
      <c r="E24">
        <v>1080</v>
      </c>
      <c r="F24">
        <v>1</v>
      </c>
      <c r="G24">
        <v>1080</v>
      </c>
      <c r="H24">
        <v>3</v>
      </c>
      <c r="I24" t="s">
        <v>378</v>
      </c>
      <c r="J24" t="s">
        <v>3</v>
      </c>
      <c r="K24" t="s">
        <v>379</v>
      </c>
      <c r="L24">
        <v>1354</v>
      </c>
      <c r="N24">
        <v>1010</v>
      </c>
      <c r="O24" t="s">
        <v>216</v>
      </c>
      <c r="P24" t="s">
        <v>216</v>
      </c>
      <c r="Q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23</v>
      </c>
      <c r="AG24">
        <v>1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ROW(Source!A38)</f>
        <v>38</v>
      </c>
      <c r="B25">
        <v>60258991</v>
      </c>
      <c r="C25">
        <v>60258761</v>
      </c>
      <c r="D25">
        <v>58999254</v>
      </c>
      <c r="E25">
        <v>1080</v>
      </c>
      <c r="F25">
        <v>1</v>
      </c>
      <c r="G25">
        <v>1080</v>
      </c>
      <c r="H25">
        <v>1</v>
      </c>
      <c r="I25" t="s">
        <v>275</v>
      </c>
      <c r="J25" t="s">
        <v>3</v>
      </c>
      <c r="K25" t="s">
        <v>276</v>
      </c>
      <c r="L25">
        <v>1191</v>
      </c>
      <c r="N25">
        <v>1013</v>
      </c>
      <c r="O25" t="s">
        <v>277</v>
      </c>
      <c r="P25" t="s">
        <v>277</v>
      </c>
      <c r="Q25">
        <v>1</v>
      </c>
      <c r="X25">
        <v>7.2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24</v>
      </c>
      <c r="AG25">
        <v>7.9200000000000008</v>
      </c>
      <c r="AH25">
        <v>2</v>
      </c>
      <c r="AI25">
        <v>60258762</v>
      </c>
      <c r="AJ25">
        <v>19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ROW(Source!A39)</f>
        <v>39</v>
      </c>
      <c r="B26">
        <v>60258991</v>
      </c>
      <c r="C26">
        <v>60258761</v>
      </c>
      <c r="D26">
        <v>58999254</v>
      </c>
      <c r="E26">
        <v>1080</v>
      </c>
      <c r="F26">
        <v>1</v>
      </c>
      <c r="G26">
        <v>1080</v>
      </c>
      <c r="H26">
        <v>1</v>
      </c>
      <c r="I26" t="s">
        <v>275</v>
      </c>
      <c r="J26" t="s">
        <v>3</v>
      </c>
      <c r="K26" t="s">
        <v>276</v>
      </c>
      <c r="L26">
        <v>1191</v>
      </c>
      <c r="N26">
        <v>1013</v>
      </c>
      <c r="O26" t="s">
        <v>277</v>
      </c>
      <c r="P26" t="s">
        <v>277</v>
      </c>
      <c r="Q26">
        <v>1</v>
      </c>
      <c r="X26">
        <v>7.2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24</v>
      </c>
      <c r="AG26">
        <v>7.9200000000000008</v>
      </c>
      <c r="AH26">
        <v>2</v>
      </c>
      <c r="AI26">
        <v>60258762</v>
      </c>
      <c r="AJ26">
        <v>20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ROW(Source!A42)</f>
        <v>42</v>
      </c>
      <c r="B27">
        <v>60258992</v>
      </c>
      <c r="C27">
        <v>60258765</v>
      </c>
      <c r="D27">
        <v>58999254</v>
      </c>
      <c r="E27">
        <v>1080</v>
      </c>
      <c r="F27">
        <v>1</v>
      </c>
      <c r="G27">
        <v>1080</v>
      </c>
      <c r="H27">
        <v>1</v>
      </c>
      <c r="I27" t="s">
        <v>275</v>
      </c>
      <c r="J27" t="s">
        <v>3</v>
      </c>
      <c r="K27" t="s">
        <v>276</v>
      </c>
      <c r="L27">
        <v>1191</v>
      </c>
      <c r="N27">
        <v>1013</v>
      </c>
      <c r="O27" t="s">
        <v>277</v>
      </c>
      <c r="P27" t="s">
        <v>277</v>
      </c>
      <c r="Q27">
        <v>1</v>
      </c>
      <c r="X27">
        <v>1.2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24</v>
      </c>
      <c r="AG27">
        <v>1.32</v>
      </c>
      <c r="AH27">
        <v>2</v>
      </c>
      <c r="AI27">
        <v>60258766</v>
      </c>
      <c r="AJ27">
        <v>21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ROW(Source!A43)</f>
        <v>43</v>
      </c>
      <c r="B28">
        <v>60258992</v>
      </c>
      <c r="C28">
        <v>60258765</v>
      </c>
      <c r="D28">
        <v>58999254</v>
      </c>
      <c r="E28">
        <v>1080</v>
      </c>
      <c r="F28">
        <v>1</v>
      </c>
      <c r="G28">
        <v>1080</v>
      </c>
      <c r="H28">
        <v>1</v>
      </c>
      <c r="I28" t="s">
        <v>275</v>
      </c>
      <c r="J28" t="s">
        <v>3</v>
      </c>
      <c r="K28" t="s">
        <v>276</v>
      </c>
      <c r="L28">
        <v>1191</v>
      </c>
      <c r="N28">
        <v>1013</v>
      </c>
      <c r="O28" t="s">
        <v>277</v>
      </c>
      <c r="P28" t="s">
        <v>277</v>
      </c>
      <c r="Q28">
        <v>1</v>
      </c>
      <c r="X28">
        <v>1.2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 t="s">
        <v>24</v>
      </c>
      <c r="AG28">
        <v>1.32</v>
      </c>
      <c r="AH28">
        <v>2</v>
      </c>
      <c r="AI28">
        <v>60258766</v>
      </c>
      <c r="AJ28">
        <v>22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ROW(Source!A46)</f>
        <v>46</v>
      </c>
      <c r="B29">
        <v>60258993</v>
      </c>
      <c r="C29">
        <v>60258769</v>
      </c>
      <c r="D29">
        <v>58999254</v>
      </c>
      <c r="E29">
        <v>1080</v>
      </c>
      <c r="F29">
        <v>1</v>
      </c>
      <c r="G29">
        <v>1080</v>
      </c>
      <c r="H29">
        <v>1</v>
      </c>
      <c r="I29" t="s">
        <v>275</v>
      </c>
      <c r="J29" t="s">
        <v>3</v>
      </c>
      <c r="K29" t="s">
        <v>276</v>
      </c>
      <c r="L29">
        <v>1191</v>
      </c>
      <c r="N29">
        <v>1013</v>
      </c>
      <c r="O29" t="s">
        <v>277</v>
      </c>
      <c r="P29" t="s">
        <v>277</v>
      </c>
      <c r="Q29">
        <v>1</v>
      </c>
      <c r="X29">
        <v>5.7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24</v>
      </c>
      <c r="AG29">
        <v>6.2700000000000005</v>
      </c>
      <c r="AH29">
        <v>2</v>
      </c>
      <c r="AI29">
        <v>60258770</v>
      </c>
      <c r="AJ29">
        <v>23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ROW(Source!A47)</f>
        <v>47</v>
      </c>
      <c r="B30">
        <v>60258993</v>
      </c>
      <c r="C30">
        <v>60258769</v>
      </c>
      <c r="D30">
        <v>58999254</v>
      </c>
      <c r="E30">
        <v>1080</v>
      </c>
      <c r="F30">
        <v>1</v>
      </c>
      <c r="G30">
        <v>1080</v>
      </c>
      <c r="H30">
        <v>1</v>
      </c>
      <c r="I30" t="s">
        <v>275</v>
      </c>
      <c r="J30" t="s">
        <v>3</v>
      </c>
      <c r="K30" t="s">
        <v>276</v>
      </c>
      <c r="L30">
        <v>1191</v>
      </c>
      <c r="N30">
        <v>1013</v>
      </c>
      <c r="O30" t="s">
        <v>277</v>
      </c>
      <c r="P30" t="s">
        <v>277</v>
      </c>
      <c r="Q30">
        <v>1</v>
      </c>
      <c r="X30">
        <v>5.7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 t="s">
        <v>24</v>
      </c>
      <c r="AG30">
        <v>6.2700000000000005</v>
      </c>
      <c r="AH30">
        <v>2</v>
      </c>
      <c r="AI30">
        <v>60258770</v>
      </c>
      <c r="AJ30">
        <v>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ROW(Source!A50)</f>
        <v>50</v>
      </c>
      <c r="B31">
        <v>60258994</v>
      </c>
      <c r="C31">
        <v>60258773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275</v>
      </c>
      <c r="J31" t="s">
        <v>3</v>
      </c>
      <c r="K31" t="s">
        <v>276</v>
      </c>
      <c r="L31">
        <v>1191</v>
      </c>
      <c r="N31">
        <v>1013</v>
      </c>
      <c r="O31" t="s">
        <v>277</v>
      </c>
      <c r="P31" t="s">
        <v>277</v>
      </c>
      <c r="Q31">
        <v>1</v>
      </c>
      <c r="X31">
        <v>3.6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24</v>
      </c>
      <c r="AG31">
        <v>3.9600000000000004</v>
      </c>
      <c r="AH31">
        <v>2</v>
      </c>
      <c r="AI31">
        <v>60258774</v>
      </c>
      <c r="AJ31">
        <v>25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ROW(Source!A51)</f>
        <v>51</v>
      </c>
      <c r="B32">
        <v>60258994</v>
      </c>
      <c r="C32">
        <v>60258773</v>
      </c>
      <c r="D32">
        <v>58999254</v>
      </c>
      <c r="E32">
        <v>1080</v>
      </c>
      <c r="F32">
        <v>1</v>
      </c>
      <c r="G32">
        <v>1080</v>
      </c>
      <c r="H32">
        <v>1</v>
      </c>
      <c r="I32" t="s">
        <v>275</v>
      </c>
      <c r="J32" t="s">
        <v>3</v>
      </c>
      <c r="K32" t="s">
        <v>276</v>
      </c>
      <c r="L32">
        <v>1191</v>
      </c>
      <c r="N32">
        <v>1013</v>
      </c>
      <c r="O32" t="s">
        <v>277</v>
      </c>
      <c r="P32" t="s">
        <v>277</v>
      </c>
      <c r="Q32">
        <v>1</v>
      </c>
      <c r="X32">
        <v>3.6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24</v>
      </c>
      <c r="AG32">
        <v>3.9600000000000004</v>
      </c>
      <c r="AH32">
        <v>2</v>
      </c>
      <c r="AI32">
        <v>60258774</v>
      </c>
      <c r="AJ32">
        <v>26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ROW(Source!A54)</f>
        <v>54</v>
      </c>
      <c r="B33">
        <v>60258995</v>
      </c>
      <c r="C33">
        <v>60258777</v>
      </c>
      <c r="D33">
        <v>58999254</v>
      </c>
      <c r="E33">
        <v>1080</v>
      </c>
      <c r="F33">
        <v>1</v>
      </c>
      <c r="G33">
        <v>1080</v>
      </c>
      <c r="H33">
        <v>1</v>
      </c>
      <c r="I33" t="s">
        <v>275</v>
      </c>
      <c r="J33" t="s">
        <v>3</v>
      </c>
      <c r="K33" t="s">
        <v>276</v>
      </c>
      <c r="L33">
        <v>1191</v>
      </c>
      <c r="N33">
        <v>1013</v>
      </c>
      <c r="O33" t="s">
        <v>277</v>
      </c>
      <c r="P33" t="s">
        <v>277</v>
      </c>
      <c r="Q33">
        <v>1</v>
      </c>
      <c r="X33">
        <v>3.18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24</v>
      </c>
      <c r="AG33">
        <v>3.4980000000000007</v>
      </c>
      <c r="AH33">
        <v>2</v>
      </c>
      <c r="AI33">
        <v>60258778</v>
      </c>
      <c r="AJ33">
        <v>27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ROW(Source!A54)</f>
        <v>54</v>
      </c>
      <c r="B34">
        <v>60258996</v>
      </c>
      <c r="C34">
        <v>60258777</v>
      </c>
      <c r="D34">
        <v>59040743</v>
      </c>
      <c r="E34">
        <v>1</v>
      </c>
      <c r="F34">
        <v>1</v>
      </c>
      <c r="G34">
        <v>1080</v>
      </c>
      <c r="H34">
        <v>3</v>
      </c>
      <c r="I34" t="s">
        <v>293</v>
      </c>
      <c r="J34" t="s">
        <v>294</v>
      </c>
      <c r="K34" t="s">
        <v>295</v>
      </c>
      <c r="L34">
        <v>1346</v>
      </c>
      <c r="N34">
        <v>1009</v>
      </c>
      <c r="O34" t="s">
        <v>289</v>
      </c>
      <c r="P34" t="s">
        <v>289</v>
      </c>
      <c r="Q34">
        <v>1</v>
      </c>
      <c r="X34">
        <v>6.2700000000000004E-3</v>
      </c>
      <c r="Y34">
        <v>27.62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23</v>
      </c>
      <c r="AG34">
        <v>6.2700000000000004E-3</v>
      </c>
      <c r="AH34">
        <v>2</v>
      </c>
      <c r="AI34">
        <v>60258779</v>
      </c>
      <c r="AJ34">
        <v>28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ROW(Source!A54)</f>
        <v>54</v>
      </c>
      <c r="B35">
        <v>60258997</v>
      </c>
      <c r="C35">
        <v>60258777</v>
      </c>
      <c r="D35">
        <v>59039462</v>
      </c>
      <c r="E35">
        <v>1</v>
      </c>
      <c r="F35">
        <v>1</v>
      </c>
      <c r="G35">
        <v>1080</v>
      </c>
      <c r="H35">
        <v>3</v>
      </c>
      <c r="I35" t="s">
        <v>278</v>
      </c>
      <c r="J35" t="s">
        <v>279</v>
      </c>
      <c r="K35" t="s">
        <v>280</v>
      </c>
      <c r="L35">
        <v>1348</v>
      </c>
      <c r="N35">
        <v>1009</v>
      </c>
      <c r="O35" t="s">
        <v>281</v>
      </c>
      <c r="P35" t="s">
        <v>281</v>
      </c>
      <c r="Q35">
        <v>1000</v>
      </c>
      <c r="X35">
        <v>1.0000000000000001E-5</v>
      </c>
      <c r="Y35">
        <v>64123.05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23</v>
      </c>
      <c r="AG35">
        <v>1.0000000000000001E-5</v>
      </c>
      <c r="AH35">
        <v>2</v>
      </c>
      <c r="AI35">
        <v>60258780</v>
      </c>
      <c r="AJ35">
        <v>29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ROW(Source!A54)</f>
        <v>54</v>
      </c>
      <c r="B36">
        <v>60258998</v>
      </c>
      <c r="C36">
        <v>60258777</v>
      </c>
      <c r="D36">
        <v>59049354</v>
      </c>
      <c r="E36">
        <v>1</v>
      </c>
      <c r="F36">
        <v>1</v>
      </c>
      <c r="G36">
        <v>1080</v>
      </c>
      <c r="H36">
        <v>3</v>
      </c>
      <c r="I36" t="s">
        <v>296</v>
      </c>
      <c r="J36" t="s">
        <v>297</v>
      </c>
      <c r="K36" t="s">
        <v>298</v>
      </c>
      <c r="L36">
        <v>1354</v>
      </c>
      <c r="N36">
        <v>1010</v>
      </c>
      <c r="O36" t="s">
        <v>216</v>
      </c>
      <c r="P36" t="s">
        <v>216</v>
      </c>
      <c r="Q36">
        <v>1</v>
      </c>
      <c r="X36">
        <v>0.1</v>
      </c>
      <c r="Y36">
        <v>15.25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23</v>
      </c>
      <c r="AG36">
        <v>0.1</v>
      </c>
      <c r="AH36">
        <v>2</v>
      </c>
      <c r="AI36">
        <v>60258781</v>
      </c>
      <c r="AJ36">
        <v>30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ROW(Source!A54)</f>
        <v>54</v>
      </c>
      <c r="B37">
        <v>60258999</v>
      </c>
      <c r="C37">
        <v>60258777</v>
      </c>
      <c r="D37">
        <v>59021314</v>
      </c>
      <c r="E37">
        <v>1080</v>
      </c>
      <c r="F37">
        <v>1</v>
      </c>
      <c r="G37">
        <v>1080</v>
      </c>
      <c r="H37">
        <v>3</v>
      </c>
      <c r="I37" t="s">
        <v>378</v>
      </c>
      <c r="J37" t="s">
        <v>3</v>
      </c>
      <c r="K37" t="s">
        <v>379</v>
      </c>
      <c r="L37">
        <v>1354</v>
      </c>
      <c r="N37">
        <v>1010</v>
      </c>
      <c r="O37" t="s">
        <v>216</v>
      </c>
      <c r="P37" t="s">
        <v>216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23</v>
      </c>
      <c r="AG37">
        <v>1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ROW(Source!A55)</f>
        <v>55</v>
      </c>
      <c r="B38">
        <v>60258995</v>
      </c>
      <c r="C38">
        <v>60258777</v>
      </c>
      <c r="D38">
        <v>58999254</v>
      </c>
      <c r="E38">
        <v>1080</v>
      </c>
      <c r="F38">
        <v>1</v>
      </c>
      <c r="G38">
        <v>1080</v>
      </c>
      <c r="H38">
        <v>1</v>
      </c>
      <c r="I38" t="s">
        <v>275</v>
      </c>
      <c r="J38" t="s">
        <v>3</v>
      </c>
      <c r="K38" t="s">
        <v>276</v>
      </c>
      <c r="L38">
        <v>1191</v>
      </c>
      <c r="N38">
        <v>1013</v>
      </c>
      <c r="O38" t="s">
        <v>277</v>
      </c>
      <c r="P38" t="s">
        <v>277</v>
      </c>
      <c r="Q38">
        <v>1</v>
      </c>
      <c r="X38">
        <v>3.18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 t="s">
        <v>24</v>
      </c>
      <c r="AG38">
        <v>3.4980000000000007</v>
      </c>
      <c r="AH38">
        <v>2</v>
      </c>
      <c r="AI38">
        <v>60258778</v>
      </c>
      <c r="AJ38">
        <v>31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ROW(Source!A55)</f>
        <v>55</v>
      </c>
      <c r="B39">
        <v>60258996</v>
      </c>
      <c r="C39">
        <v>60258777</v>
      </c>
      <c r="D39">
        <v>59040743</v>
      </c>
      <c r="E39">
        <v>1</v>
      </c>
      <c r="F39">
        <v>1</v>
      </c>
      <c r="G39">
        <v>1080</v>
      </c>
      <c r="H39">
        <v>3</v>
      </c>
      <c r="I39" t="s">
        <v>293</v>
      </c>
      <c r="J39" t="s">
        <v>294</v>
      </c>
      <c r="K39" t="s">
        <v>295</v>
      </c>
      <c r="L39">
        <v>1346</v>
      </c>
      <c r="N39">
        <v>1009</v>
      </c>
      <c r="O39" t="s">
        <v>289</v>
      </c>
      <c r="P39" t="s">
        <v>289</v>
      </c>
      <c r="Q39">
        <v>1</v>
      </c>
      <c r="X39">
        <v>6.2700000000000004E-3</v>
      </c>
      <c r="Y39">
        <v>27.62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23</v>
      </c>
      <c r="AG39">
        <v>6.2700000000000004E-3</v>
      </c>
      <c r="AH39">
        <v>2</v>
      </c>
      <c r="AI39">
        <v>60258779</v>
      </c>
      <c r="AJ39">
        <v>32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ROW(Source!A55)</f>
        <v>55</v>
      </c>
      <c r="B40">
        <v>60258997</v>
      </c>
      <c r="C40">
        <v>60258777</v>
      </c>
      <c r="D40">
        <v>59039462</v>
      </c>
      <c r="E40">
        <v>1</v>
      </c>
      <c r="F40">
        <v>1</v>
      </c>
      <c r="G40">
        <v>1080</v>
      </c>
      <c r="H40">
        <v>3</v>
      </c>
      <c r="I40" t="s">
        <v>278</v>
      </c>
      <c r="J40" t="s">
        <v>279</v>
      </c>
      <c r="K40" t="s">
        <v>280</v>
      </c>
      <c r="L40">
        <v>1348</v>
      </c>
      <c r="N40">
        <v>1009</v>
      </c>
      <c r="O40" t="s">
        <v>281</v>
      </c>
      <c r="P40" t="s">
        <v>281</v>
      </c>
      <c r="Q40">
        <v>1000</v>
      </c>
      <c r="X40">
        <v>1.0000000000000001E-5</v>
      </c>
      <c r="Y40">
        <v>64123.05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23</v>
      </c>
      <c r="AG40">
        <v>1.0000000000000001E-5</v>
      </c>
      <c r="AH40">
        <v>2</v>
      </c>
      <c r="AI40">
        <v>60258780</v>
      </c>
      <c r="AJ40">
        <v>33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ROW(Source!A55)</f>
        <v>55</v>
      </c>
      <c r="B41">
        <v>60258998</v>
      </c>
      <c r="C41">
        <v>60258777</v>
      </c>
      <c r="D41">
        <v>59049354</v>
      </c>
      <c r="E41">
        <v>1</v>
      </c>
      <c r="F41">
        <v>1</v>
      </c>
      <c r="G41">
        <v>1080</v>
      </c>
      <c r="H41">
        <v>3</v>
      </c>
      <c r="I41" t="s">
        <v>296</v>
      </c>
      <c r="J41" t="s">
        <v>297</v>
      </c>
      <c r="K41" t="s">
        <v>298</v>
      </c>
      <c r="L41">
        <v>1354</v>
      </c>
      <c r="N41">
        <v>1010</v>
      </c>
      <c r="O41" t="s">
        <v>216</v>
      </c>
      <c r="P41" t="s">
        <v>216</v>
      </c>
      <c r="Q41">
        <v>1</v>
      </c>
      <c r="X41">
        <v>0.1</v>
      </c>
      <c r="Y41">
        <v>15.25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23</v>
      </c>
      <c r="AG41">
        <v>0.1</v>
      </c>
      <c r="AH41">
        <v>2</v>
      </c>
      <c r="AI41">
        <v>60258781</v>
      </c>
      <c r="AJ41">
        <v>34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ROW(Source!A55)</f>
        <v>55</v>
      </c>
      <c r="B42">
        <v>60258999</v>
      </c>
      <c r="C42">
        <v>60258777</v>
      </c>
      <c r="D42">
        <v>59021314</v>
      </c>
      <c r="E42">
        <v>1080</v>
      </c>
      <c r="F42">
        <v>1</v>
      </c>
      <c r="G42">
        <v>1080</v>
      </c>
      <c r="H42">
        <v>3</v>
      </c>
      <c r="I42" t="s">
        <v>378</v>
      </c>
      <c r="J42" t="s">
        <v>3</v>
      </c>
      <c r="K42" t="s">
        <v>379</v>
      </c>
      <c r="L42">
        <v>1354</v>
      </c>
      <c r="N42">
        <v>1010</v>
      </c>
      <c r="O42" t="s">
        <v>216</v>
      </c>
      <c r="P42" t="s">
        <v>216</v>
      </c>
      <c r="Q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23</v>
      </c>
      <c r="AG42">
        <v>1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ROW(Source!A60)</f>
        <v>60</v>
      </c>
      <c r="B43">
        <v>60259000</v>
      </c>
      <c r="C43">
        <v>60258789</v>
      </c>
      <c r="D43">
        <v>58999254</v>
      </c>
      <c r="E43">
        <v>1080</v>
      </c>
      <c r="F43">
        <v>1</v>
      </c>
      <c r="G43">
        <v>1080</v>
      </c>
      <c r="H43">
        <v>1</v>
      </c>
      <c r="I43" t="s">
        <v>275</v>
      </c>
      <c r="J43" t="s">
        <v>3</v>
      </c>
      <c r="K43" t="s">
        <v>276</v>
      </c>
      <c r="L43">
        <v>1191</v>
      </c>
      <c r="N43">
        <v>1013</v>
      </c>
      <c r="O43" t="s">
        <v>277</v>
      </c>
      <c r="P43" t="s">
        <v>277</v>
      </c>
      <c r="Q43">
        <v>1</v>
      </c>
      <c r="X43">
        <v>1.2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24</v>
      </c>
      <c r="AG43">
        <v>1.32</v>
      </c>
      <c r="AH43">
        <v>2</v>
      </c>
      <c r="AI43">
        <v>60258790</v>
      </c>
      <c r="AJ43">
        <v>35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ROW(Source!A61)</f>
        <v>61</v>
      </c>
      <c r="B44">
        <v>60259000</v>
      </c>
      <c r="C44">
        <v>60258789</v>
      </c>
      <c r="D44">
        <v>58999254</v>
      </c>
      <c r="E44">
        <v>1080</v>
      </c>
      <c r="F44">
        <v>1</v>
      </c>
      <c r="G44">
        <v>1080</v>
      </c>
      <c r="H44">
        <v>1</v>
      </c>
      <c r="I44" t="s">
        <v>275</v>
      </c>
      <c r="J44" t="s">
        <v>3</v>
      </c>
      <c r="K44" t="s">
        <v>276</v>
      </c>
      <c r="L44">
        <v>1191</v>
      </c>
      <c r="N44">
        <v>1013</v>
      </c>
      <c r="O44" t="s">
        <v>277</v>
      </c>
      <c r="P44" t="s">
        <v>277</v>
      </c>
      <c r="Q44">
        <v>1</v>
      </c>
      <c r="X44">
        <v>1.2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 t="s">
        <v>24</v>
      </c>
      <c r="AG44">
        <v>1.32</v>
      </c>
      <c r="AH44">
        <v>2</v>
      </c>
      <c r="AI44">
        <v>60258790</v>
      </c>
      <c r="AJ44">
        <v>36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ROW(Source!A64)</f>
        <v>64</v>
      </c>
      <c r="B45">
        <v>60259001</v>
      </c>
      <c r="C45">
        <v>60258793</v>
      </c>
      <c r="D45">
        <v>58999254</v>
      </c>
      <c r="E45">
        <v>1080</v>
      </c>
      <c r="F45">
        <v>1</v>
      </c>
      <c r="G45">
        <v>1080</v>
      </c>
      <c r="H45">
        <v>1</v>
      </c>
      <c r="I45" t="s">
        <v>275</v>
      </c>
      <c r="J45" t="s">
        <v>3</v>
      </c>
      <c r="K45" t="s">
        <v>276</v>
      </c>
      <c r="L45">
        <v>1191</v>
      </c>
      <c r="N45">
        <v>1013</v>
      </c>
      <c r="O45" t="s">
        <v>277</v>
      </c>
      <c r="P45" t="s">
        <v>277</v>
      </c>
      <c r="Q45">
        <v>1</v>
      </c>
      <c r="X45">
        <v>1.2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24</v>
      </c>
      <c r="AG45">
        <v>1.32</v>
      </c>
      <c r="AH45">
        <v>2</v>
      </c>
      <c r="AI45">
        <v>60258794</v>
      </c>
      <c r="AJ45">
        <v>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ROW(Source!A65)</f>
        <v>65</v>
      </c>
      <c r="B46">
        <v>60259001</v>
      </c>
      <c r="C46">
        <v>60258793</v>
      </c>
      <c r="D46">
        <v>58999254</v>
      </c>
      <c r="E46">
        <v>1080</v>
      </c>
      <c r="F46">
        <v>1</v>
      </c>
      <c r="G46">
        <v>1080</v>
      </c>
      <c r="H46">
        <v>1</v>
      </c>
      <c r="I46" t="s">
        <v>275</v>
      </c>
      <c r="J46" t="s">
        <v>3</v>
      </c>
      <c r="K46" t="s">
        <v>276</v>
      </c>
      <c r="L46">
        <v>1191</v>
      </c>
      <c r="N46">
        <v>1013</v>
      </c>
      <c r="O46" t="s">
        <v>277</v>
      </c>
      <c r="P46" t="s">
        <v>277</v>
      </c>
      <c r="Q46">
        <v>1</v>
      </c>
      <c r="X46">
        <v>1.2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24</v>
      </c>
      <c r="AG46">
        <v>1.32</v>
      </c>
      <c r="AH46">
        <v>2</v>
      </c>
      <c r="AI46">
        <v>60258794</v>
      </c>
      <c r="AJ46">
        <v>38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ROW(Source!A68)</f>
        <v>68</v>
      </c>
      <c r="B47">
        <v>60259002</v>
      </c>
      <c r="C47">
        <v>60258797</v>
      </c>
      <c r="D47">
        <v>58999254</v>
      </c>
      <c r="E47">
        <v>1080</v>
      </c>
      <c r="F47">
        <v>1</v>
      </c>
      <c r="G47">
        <v>1080</v>
      </c>
      <c r="H47">
        <v>1</v>
      </c>
      <c r="I47" t="s">
        <v>275</v>
      </c>
      <c r="J47" t="s">
        <v>3</v>
      </c>
      <c r="K47" t="s">
        <v>276</v>
      </c>
      <c r="L47">
        <v>1191</v>
      </c>
      <c r="N47">
        <v>1013</v>
      </c>
      <c r="O47" t="s">
        <v>277</v>
      </c>
      <c r="P47" t="s">
        <v>277</v>
      </c>
      <c r="Q47">
        <v>1</v>
      </c>
      <c r="X47">
        <v>3.6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24</v>
      </c>
      <c r="AG47">
        <v>3.9600000000000004</v>
      </c>
      <c r="AH47">
        <v>2</v>
      </c>
      <c r="AI47">
        <v>60258798</v>
      </c>
      <c r="AJ47">
        <v>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ROW(Source!A69)</f>
        <v>69</v>
      </c>
      <c r="B48">
        <v>60259002</v>
      </c>
      <c r="C48">
        <v>60258797</v>
      </c>
      <c r="D48">
        <v>58999254</v>
      </c>
      <c r="E48">
        <v>1080</v>
      </c>
      <c r="F48">
        <v>1</v>
      </c>
      <c r="G48">
        <v>1080</v>
      </c>
      <c r="H48">
        <v>1</v>
      </c>
      <c r="I48" t="s">
        <v>275</v>
      </c>
      <c r="J48" t="s">
        <v>3</v>
      </c>
      <c r="K48" t="s">
        <v>276</v>
      </c>
      <c r="L48">
        <v>1191</v>
      </c>
      <c r="N48">
        <v>1013</v>
      </c>
      <c r="O48" t="s">
        <v>277</v>
      </c>
      <c r="P48" t="s">
        <v>277</v>
      </c>
      <c r="Q48">
        <v>1</v>
      </c>
      <c r="X48">
        <v>3.6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24</v>
      </c>
      <c r="AG48">
        <v>3.9600000000000004</v>
      </c>
      <c r="AH48">
        <v>2</v>
      </c>
      <c r="AI48">
        <v>60258798</v>
      </c>
      <c r="AJ48">
        <v>40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ROW(Source!A72)</f>
        <v>72</v>
      </c>
      <c r="B49">
        <v>60259003</v>
      </c>
      <c r="C49">
        <v>60258801</v>
      </c>
      <c r="D49">
        <v>58999254</v>
      </c>
      <c r="E49">
        <v>1080</v>
      </c>
      <c r="F49">
        <v>1</v>
      </c>
      <c r="G49">
        <v>1080</v>
      </c>
      <c r="H49">
        <v>1</v>
      </c>
      <c r="I49" t="s">
        <v>275</v>
      </c>
      <c r="J49" t="s">
        <v>3</v>
      </c>
      <c r="K49" t="s">
        <v>276</v>
      </c>
      <c r="L49">
        <v>1191</v>
      </c>
      <c r="N49">
        <v>1013</v>
      </c>
      <c r="O49" t="s">
        <v>277</v>
      </c>
      <c r="P49" t="s">
        <v>277</v>
      </c>
      <c r="Q49">
        <v>1</v>
      </c>
      <c r="X49">
        <v>0.84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24</v>
      </c>
      <c r="AG49">
        <v>0.92400000000000004</v>
      </c>
      <c r="AH49">
        <v>2</v>
      </c>
      <c r="AI49">
        <v>60258802</v>
      </c>
      <c r="AJ49">
        <v>41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ROW(Source!A73)</f>
        <v>73</v>
      </c>
      <c r="B50">
        <v>60259003</v>
      </c>
      <c r="C50">
        <v>60258801</v>
      </c>
      <c r="D50">
        <v>58999254</v>
      </c>
      <c r="E50">
        <v>1080</v>
      </c>
      <c r="F50">
        <v>1</v>
      </c>
      <c r="G50">
        <v>1080</v>
      </c>
      <c r="H50">
        <v>1</v>
      </c>
      <c r="I50" t="s">
        <v>275</v>
      </c>
      <c r="J50" t="s">
        <v>3</v>
      </c>
      <c r="K50" t="s">
        <v>276</v>
      </c>
      <c r="L50">
        <v>1191</v>
      </c>
      <c r="N50">
        <v>1013</v>
      </c>
      <c r="O50" t="s">
        <v>277</v>
      </c>
      <c r="P50" t="s">
        <v>277</v>
      </c>
      <c r="Q50">
        <v>1</v>
      </c>
      <c r="X50">
        <v>0.84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24</v>
      </c>
      <c r="AG50">
        <v>0.92400000000000004</v>
      </c>
      <c r="AH50">
        <v>2</v>
      </c>
      <c r="AI50">
        <v>60258802</v>
      </c>
      <c r="AJ50">
        <v>42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ROW(Source!A76)</f>
        <v>76</v>
      </c>
      <c r="B51">
        <v>60259004</v>
      </c>
      <c r="C51">
        <v>60258805</v>
      </c>
      <c r="D51">
        <v>58999254</v>
      </c>
      <c r="E51">
        <v>1080</v>
      </c>
      <c r="F51">
        <v>1</v>
      </c>
      <c r="G51">
        <v>1080</v>
      </c>
      <c r="H51">
        <v>1</v>
      </c>
      <c r="I51" t="s">
        <v>275</v>
      </c>
      <c r="J51" t="s">
        <v>3</v>
      </c>
      <c r="K51" t="s">
        <v>276</v>
      </c>
      <c r="L51">
        <v>1191</v>
      </c>
      <c r="N51">
        <v>1013</v>
      </c>
      <c r="O51" t="s">
        <v>277</v>
      </c>
      <c r="P51" t="s">
        <v>277</v>
      </c>
      <c r="Q51">
        <v>1</v>
      </c>
      <c r="X51">
        <v>0.84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24</v>
      </c>
      <c r="AG51">
        <v>0.92400000000000004</v>
      </c>
      <c r="AH51">
        <v>2</v>
      </c>
      <c r="AI51">
        <v>60258806</v>
      </c>
      <c r="AJ51">
        <v>43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ROW(Source!A77)</f>
        <v>77</v>
      </c>
      <c r="B52">
        <v>60259004</v>
      </c>
      <c r="C52">
        <v>60258805</v>
      </c>
      <c r="D52">
        <v>58999254</v>
      </c>
      <c r="E52">
        <v>1080</v>
      </c>
      <c r="F52">
        <v>1</v>
      </c>
      <c r="G52">
        <v>1080</v>
      </c>
      <c r="H52">
        <v>1</v>
      </c>
      <c r="I52" t="s">
        <v>275</v>
      </c>
      <c r="J52" t="s">
        <v>3</v>
      </c>
      <c r="K52" t="s">
        <v>276</v>
      </c>
      <c r="L52">
        <v>1191</v>
      </c>
      <c r="N52">
        <v>1013</v>
      </c>
      <c r="O52" t="s">
        <v>277</v>
      </c>
      <c r="P52" t="s">
        <v>277</v>
      </c>
      <c r="Q52">
        <v>1</v>
      </c>
      <c r="X52">
        <v>0.84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24</v>
      </c>
      <c r="AG52">
        <v>0.92400000000000004</v>
      </c>
      <c r="AH52">
        <v>2</v>
      </c>
      <c r="AI52">
        <v>60258806</v>
      </c>
      <c r="AJ52">
        <v>44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ROW(Source!A80)</f>
        <v>80</v>
      </c>
      <c r="B53">
        <v>60259005</v>
      </c>
      <c r="C53">
        <v>60258809</v>
      </c>
      <c r="D53">
        <v>58999254</v>
      </c>
      <c r="E53">
        <v>1080</v>
      </c>
      <c r="F53">
        <v>1</v>
      </c>
      <c r="G53">
        <v>1080</v>
      </c>
      <c r="H53">
        <v>1</v>
      </c>
      <c r="I53" t="s">
        <v>275</v>
      </c>
      <c r="J53" t="s">
        <v>3</v>
      </c>
      <c r="K53" t="s">
        <v>276</v>
      </c>
      <c r="L53">
        <v>1191</v>
      </c>
      <c r="N53">
        <v>1013</v>
      </c>
      <c r="O53" t="s">
        <v>277</v>
      </c>
      <c r="P53" t="s">
        <v>277</v>
      </c>
      <c r="Q53">
        <v>1</v>
      </c>
      <c r="X53">
        <v>1.2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24</v>
      </c>
      <c r="AG53">
        <v>1.32</v>
      </c>
      <c r="AH53">
        <v>2</v>
      </c>
      <c r="AI53">
        <v>60258810</v>
      </c>
      <c r="AJ53">
        <v>45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ROW(Source!A81)</f>
        <v>81</v>
      </c>
      <c r="B54">
        <v>60259005</v>
      </c>
      <c r="C54">
        <v>60258809</v>
      </c>
      <c r="D54">
        <v>58999254</v>
      </c>
      <c r="E54">
        <v>1080</v>
      </c>
      <c r="F54">
        <v>1</v>
      </c>
      <c r="G54">
        <v>1080</v>
      </c>
      <c r="H54">
        <v>1</v>
      </c>
      <c r="I54" t="s">
        <v>275</v>
      </c>
      <c r="J54" t="s">
        <v>3</v>
      </c>
      <c r="K54" t="s">
        <v>276</v>
      </c>
      <c r="L54">
        <v>1191</v>
      </c>
      <c r="N54">
        <v>1013</v>
      </c>
      <c r="O54" t="s">
        <v>277</v>
      </c>
      <c r="P54" t="s">
        <v>277</v>
      </c>
      <c r="Q54">
        <v>1</v>
      </c>
      <c r="X54">
        <v>1.2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 t="s">
        <v>24</v>
      </c>
      <c r="AG54">
        <v>1.32</v>
      </c>
      <c r="AH54">
        <v>2</v>
      </c>
      <c r="AI54">
        <v>60258810</v>
      </c>
      <c r="AJ54">
        <v>46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ROW(Source!A84)</f>
        <v>84</v>
      </c>
      <c r="B55">
        <v>60259006</v>
      </c>
      <c r="C55">
        <v>60258813</v>
      </c>
      <c r="D55">
        <v>58999254</v>
      </c>
      <c r="E55">
        <v>1080</v>
      </c>
      <c r="F55">
        <v>1</v>
      </c>
      <c r="G55">
        <v>1080</v>
      </c>
      <c r="H55">
        <v>1</v>
      </c>
      <c r="I55" t="s">
        <v>275</v>
      </c>
      <c r="J55" t="s">
        <v>3</v>
      </c>
      <c r="K55" t="s">
        <v>276</v>
      </c>
      <c r="L55">
        <v>1191</v>
      </c>
      <c r="N55">
        <v>1013</v>
      </c>
      <c r="O55" t="s">
        <v>277</v>
      </c>
      <c r="P55" t="s">
        <v>277</v>
      </c>
      <c r="Q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24</v>
      </c>
      <c r="AG55">
        <v>1.1000000000000001</v>
      </c>
      <c r="AH55">
        <v>2</v>
      </c>
      <c r="AI55">
        <v>60258814</v>
      </c>
      <c r="AJ55">
        <v>47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ROW(Source!A84)</f>
        <v>84</v>
      </c>
      <c r="B56">
        <v>60259007</v>
      </c>
      <c r="C56">
        <v>60258813</v>
      </c>
      <c r="D56">
        <v>59037429</v>
      </c>
      <c r="E56">
        <v>1080</v>
      </c>
      <c r="F56">
        <v>1</v>
      </c>
      <c r="G56">
        <v>1080</v>
      </c>
      <c r="H56">
        <v>3</v>
      </c>
      <c r="I56" t="s">
        <v>380</v>
      </c>
      <c r="J56" t="s">
        <v>3</v>
      </c>
      <c r="K56" t="s">
        <v>381</v>
      </c>
      <c r="L56">
        <v>1354</v>
      </c>
      <c r="N56">
        <v>1010</v>
      </c>
      <c r="O56" t="s">
        <v>216</v>
      </c>
      <c r="P56" t="s">
        <v>216</v>
      </c>
      <c r="Q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23</v>
      </c>
      <c r="AG56">
        <v>1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ROW(Source!A84)</f>
        <v>84</v>
      </c>
      <c r="B57">
        <v>60259008</v>
      </c>
      <c r="C57">
        <v>60258813</v>
      </c>
      <c r="D57">
        <v>59004256</v>
      </c>
      <c r="E57">
        <v>1080</v>
      </c>
      <c r="F57">
        <v>1</v>
      </c>
      <c r="G57">
        <v>1080</v>
      </c>
      <c r="H57">
        <v>3</v>
      </c>
      <c r="I57" t="s">
        <v>299</v>
      </c>
      <c r="J57" t="s">
        <v>3</v>
      </c>
      <c r="K57" t="s">
        <v>300</v>
      </c>
      <c r="L57">
        <v>1348</v>
      </c>
      <c r="N57">
        <v>1009</v>
      </c>
      <c r="O57" t="s">
        <v>281</v>
      </c>
      <c r="P57" t="s">
        <v>281</v>
      </c>
      <c r="Q57">
        <v>1000</v>
      </c>
      <c r="X57">
        <v>1.6000000000000001E-4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23</v>
      </c>
      <c r="AG57">
        <v>1.6000000000000001E-4</v>
      </c>
      <c r="AH57">
        <v>2</v>
      </c>
      <c r="AI57">
        <v>60258815</v>
      </c>
      <c r="AJ57">
        <v>48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ROW(Source!A85)</f>
        <v>85</v>
      </c>
      <c r="B58">
        <v>60259006</v>
      </c>
      <c r="C58">
        <v>60258813</v>
      </c>
      <c r="D58">
        <v>58999254</v>
      </c>
      <c r="E58">
        <v>1080</v>
      </c>
      <c r="F58">
        <v>1</v>
      </c>
      <c r="G58">
        <v>1080</v>
      </c>
      <c r="H58">
        <v>1</v>
      </c>
      <c r="I58" t="s">
        <v>275</v>
      </c>
      <c r="J58" t="s">
        <v>3</v>
      </c>
      <c r="K58" t="s">
        <v>276</v>
      </c>
      <c r="L58">
        <v>1191</v>
      </c>
      <c r="N58">
        <v>1013</v>
      </c>
      <c r="O58" t="s">
        <v>277</v>
      </c>
      <c r="P58" t="s">
        <v>277</v>
      </c>
      <c r="Q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24</v>
      </c>
      <c r="AG58">
        <v>1.1000000000000001</v>
      </c>
      <c r="AH58">
        <v>2</v>
      </c>
      <c r="AI58">
        <v>60258814</v>
      </c>
      <c r="AJ58">
        <v>49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ROW(Source!A85)</f>
        <v>85</v>
      </c>
      <c r="B59">
        <v>60259007</v>
      </c>
      <c r="C59">
        <v>60258813</v>
      </c>
      <c r="D59">
        <v>59037429</v>
      </c>
      <c r="E59">
        <v>1080</v>
      </c>
      <c r="F59">
        <v>1</v>
      </c>
      <c r="G59">
        <v>1080</v>
      </c>
      <c r="H59">
        <v>3</v>
      </c>
      <c r="I59" t="s">
        <v>380</v>
      </c>
      <c r="J59" t="s">
        <v>3</v>
      </c>
      <c r="K59" t="s">
        <v>381</v>
      </c>
      <c r="L59">
        <v>1354</v>
      </c>
      <c r="N59">
        <v>1010</v>
      </c>
      <c r="O59" t="s">
        <v>216</v>
      </c>
      <c r="P59" t="s">
        <v>216</v>
      </c>
      <c r="Q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23</v>
      </c>
      <c r="AG59">
        <v>1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ROW(Source!A85)</f>
        <v>85</v>
      </c>
      <c r="B60">
        <v>60259008</v>
      </c>
      <c r="C60">
        <v>60258813</v>
      </c>
      <c r="D60">
        <v>59004256</v>
      </c>
      <c r="E60">
        <v>1080</v>
      </c>
      <c r="F60">
        <v>1</v>
      </c>
      <c r="G60">
        <v>1080</v>
      </c>
      <c r="H60">
        <v>3</v>
      </c>
      <c r="I60" t="s">
        <v>299</v>
      </c>
      <c r="J60" t="s">
        <v>3</v>
      </c>
      <c r="K60" t="s">
        <v>300</v>
      </c>
      <c r="L60">
        <v>1348</v>
      </c>
      <c r="N60">
        <v>1009</v>
      </c>
      <c r="O60" t="s">
        <v>281</v>
      </c>
      <c r="P60" t="s">
        <v>281</v>
      </c>
      <c r="Q60">
        <v>1000</v>
      </c>
      <c r="X60">
        <v>1.6000000000000001E-4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23</v>
      </c>
      <c r="AG60">
        <v>1.6000000000000001E-4</v>
      </c>
      <c r="AH60">
        <v>2</v>
      </c>
      <c r="AI60">
        <v>60258815</v>
      </c>
      <c r="AJ60">
        <v>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ROW(Source!A88)</f>
        <v>88</v>
      </c>
      <c r="B61">
        <v>60259009</v>
      </c>
      <c r="C61">
        <v>60258820</v>
      </c>
      <c r="D61">
        <v>58999254</v>
      </c>
      <c r="E61">
        <v>1080</v>
      </c>
      <c r="F61">
        <v>1</v>
      </c>
      <c r="G61">
        <v>1080</v>
      </c>
      <c r="H61">
        <v>1</v>
      </c>
      <c r="I61" t="s">
        <v>275</v>
      </c>
      <c r="J61" t="s">
        <v>3</v>
      </c>
      <c r="K61" t="s">
        <v>276</v>
      </c>
      <c r="L61">
        <v>1191</v>
      </c>
      <c r="N61">
        <v>1013</v>
      </c>
      <c r="O61" t="s">
        <v>277</v>
      </c>
      <c r="P61" t="s">
        <v>277</v>
      </c>
      <c r="Q61">
        <v>1</v>
      </c>
      <c r="X61">
        <v>84.67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24</v>
      </c>
      <c r="AG61">
        <v>93.137000000000015</v>
      </c>
      <c r="AH61">
        <v>2</v>
      </c>
      <c r="AI61">
        <v>60258821</v>
      </c>
      <c r="AJ61">
        <v>51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ROW(Source!A88)</f>
        <v>88</v>
      </c>
      <c r="B62">
        <v>60259010</v>
      </c>
      <c r="C62">
        <v>60258820</v>
      </c>
      <c r="D62">
        <v>59070669</v>
      </c>
      <c r="E62">
        <v>1</v>
      </c>
      <c r="F62">
        <v>1</v>
      </c>
      <c r="G62">
        <v>1080</v>
      </c>
      <c r="H62">
        <v>2</v>
      </c>
      <c r="I62" t="s">
        <v>301</v>
      </c>
      <c r="J62" t="s">
        <v>302</v>
      </c>
      <c r="K62" t="s">
        <v>303</v>
      </c>
      <c r="L62">
        <v>1368</v>
      </c>
      <c r="N62">
        <v>1011</v>
      </c>
      <c r="O62" t="s">
        <v>304</v>
      </c>
      <c r="P62" t="s">
        <v>304</v>
      </c>
      <c r="Q62">
        <v>1</v>
      </c>
      <c r="X62">
        <v>1.03</v>
      </c>
      <c r="Y62">
        <v>0</v>
      </c>
      <c r="Z62">
        <v>83.1</v>
      </c>
      <c r="AA62">
        <v>12.62</v>
      </c>
      <c r="AB62">
        <v>0</v>
      </c>
      <c r="AC62">
        <v>0</v>
      </c>
      <c r="AD62">
        <v>1</v>
      </c>
      <c r="AE62">
        <v>0</v>
      </c>
      <c r="AF62" t="s">
        <v>24</v>
      </c>
      <c r="AG62">
        <v>1.1330000000000002</v>
      </c>
      <c r="AH62">
        <v>2</v>
      </c>
      <c r="AI62">
        <v>60258822</v>
      </c>
      <c r="AJ62">
        <v>52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ROW(Source!A88)</f>
        <v>88</v>
      </c>
      <c r="B63">
        <v>60259011</v>
      </c>
      <c r="C63">
        <v>60258820</v>
      </c>
      <c r="D63">
        <v>59070782</v>
      </c>
      <c r="E63">
        <v>1</v>
      </c>
      <c r="F63">
        <v>1</v>
      </c>
      <c r="G63">
        <v>1080</v>
      </c>
      <c r="H63">
        <v>2</v>
      </c>
      <c r="I63" t="s">
        <v>306</v>
      </c>
      <c r="J63" t="s">
        <v>307</v>
      </c>
      <c r="K63" t="s">
        <v>308</v>
      </c>
      <c r="L63">
        <v>1368</v>
      </c>
      <c r="N63">
        <v>1011</v>
      </c>
      <c r="O63" t="s">
        <v>304</v>
      </c>
      <c r="P63" t="s">
        <v>304</v>
      </c>
      <c r="Q63">
        <v>1</v>
      </c>
      <c r="X63">
        <v>22.08</v>
      </c>
      <c r="Y63">
        <v>0</v>
      </c>
      <c r="Z63">
        <v>0.35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24</v>
      </c>
      <c r="AG63">
        <v>24.288</v>
      </c>
      <c r="AH63">
        <v>2</v>
      </c>
      <c r="AI63">
        <v>60258823</v>
      </c>
      <c r="AJ63">
        <v>53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ROW(Source!A88)</f>
        <v>88</v>
      </c>
      <c r="B64">
        <v>60259012</v>
      </c>
      <c r="C64">
        <v>60258820</v>
      </c>
      <c r="D64">
        <v>59040093</v>
      </c>
      <c r="E64">
        <v>1</v>
      </c>
      <c r="F64">
        <v>1</v>
      </c>
      <c r="G64">
        <v>1080</v>
      </c>
      <c r="H64">
        <v>3</v>
      </c>
      <c r="I64" t="s">
        <v>309</v>
      </c>
      <c r="J64" t="s">
        <v>310</v>
      </c>
      <c r="K64" t="s">
        <v>311</v>
      </c>
      <c r="L64">
        <v>1346</v>
      </c>
      <c r="N64">
        <v>1009</v>
      </c>
      <c r="O64" t="s">
        <v>289</v>
      </c>
      <c r="P64" t="s">
        <v>289</v>
      </c>
      <c r="Q64">
        <v>1</v>
      </c>
      <c r="X64">
        <v>0.21</v>
      </c>
      <c r="Y64">
        <v>159.06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23</v>
      </c>
      <c r="AG64">
        <v>0.21</v>
      </c>
      <c r="AH64">
        <v>2</v>
      </c>
      <c r="AI64">
        <v>60258824</v>
      </c>
      <c r="AJ64">
        <v>54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ROW(Source!A88)</f>
        <v>88</v>
      </c>
      <c r="B65">
        <v>60259013</v>
      </c>
      <c r="C65">
        <v>60258820</v>
      </c>
      <c r="D65">
        <v>59039008</v>
      </c>
      <c r="E65">
        <v>1</v>
      </c>
      <c r="F65">
        <v>1</v>
      </c>
      <c r="G65">
        <v>1080</v>
      </c>
      <c r="H65">
        <v>3</v>
      </c>
      <c r="I65" t="s">
        <v>312</v>
      </c>
      <c r="J65" t="s">
        <v>313</v>
      </c>
      <c r="K65" t="s">
        <v>314</v>
      </c>
      <c r="L65">
        <v>1354</v>
      </c>
      <c r="N65">
        <v>1010</v>
      </c>
      <c r="O65" t="s">
        <v>216</v>
      </c>
      <c r="P65" t="s">
        <v>216</v>
      </c>
      <c r="Q65">
        <v>1</v>
      </c>
      <c r="X65">
        <v>4.08</v>
      </c>
      <c r="Y65">
        <v>0.89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23</v>
      </c>
      <c r="AG65">
        <v>4.08</v>
      </c>
      <c r="AH65">
        <v>2</v>
      </c>
      <c r="AI65">
        <v>60258825</v>
      </c>
      <c r="AJ65">
        <v>55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ROW(Source!A88)</f>
        <v>88</v>
      </c>
      <c r="B66">
        <v>60259014</v>
      </c>
      <c r="C66">
        <v>60258820</v>
      </c>
      <c r="D66">
        <v>59068333</v>
      </c>
      <c r="E66">
        <v>1</v>
      </c>
      <c r="F66">
        <v>1</v>
      </c>
      <c r="G66">
        <v>1080</v>
      </c>
      <c r="H66">
        <v>3</v>
      </c>
      <c r="I66" t="s">
        <v>315</v>
      </c>
      <c r="J66" t="s">
        <v>316</v>
      </c>
      <c r="K66" t="s">
        <v>317</v>
      </c>
      <c r="L66">
        <v>1303</v>
      </c>
      <c r="N66">
        <v>1003</v>
      </c>
      <c r="O66" t="s">
        <v>240</v>
      </c>
      <c r="P66" t="s">
        <v>240</v>
      </c>
      <c r="Q66">
        <v>1000</v>
      </c>
      <c r="X66">
        <v>1.5299999999999999E-2</v>
      </c>
      <c r="Y66">
        <v>2897.31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23</v>
      </c>
      <c r="AG66">
        <v>1.5299999999999999E-2</v>
      </c>
      <c r="AH66">
        <v>2</v>
      </c>
      <c r="AI66">
        <v>60258826</v>
      </c>
      <c r="AJ66">
        <v>56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ROW(Source!A88)</f>
        <v>88</v>
      </c>
      <c r="B67">
        <v>60259015</v>
      </c>
      <c r="C67">
        <v>60258820</v>
      </c>
      <c r="D67">
        <v>59013951</v>
      </c>
      <c r="E67">
        <v>1080</v>
      </c>
      <c r="F67">
        <v>1</v>
      </c>
      <c r="G67">
        <v>1080</v>
      </c>
      <c r="H67">
        <v>3</v>
      </c>
      <c r="I67" t="s">
        <v>382</v>
      </c>
      <c r="J67" t="s">
        <v>3</v>
      </c>
      <c r="K67" t="s">
        <v>383</v>
      </c>
      <c r="L67">
        <v>1354</v>
      </c>
      <c r="N67">
        <v>1010</v>
      </c>
      <c r="O67" t="s">
        <v>216</v>
      </c>
      <c r="P67" t="s">
        <v>216</v>
      </c>
      <c r="Q67">
        <v>1</v>
      </c>
      <c r="X67">
        <v>100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23</v>
      </c>
      <c r="AG67">
        <v>100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ROW(Source!A88)</f>
        <v>88</v>
      </c>
      <c r="B68">
        <v>60259016</v>
      </c>
      <c r="C68">
        <v>60258820</v>
      </c>
      <c r="D68">
        <v>59014482</v>
      </c>
      <c r="E68">
        <v>1080</v>
      </c>
      <c r="F68">
        <v>1</v>
      </c>
      <c r="G68">
        <v>1080</v>
      </c>
      <c r="H68">
        <v>3</v>
      </c>
      <c r="I68" t="s">
        <v>384</v>
      </c>
      <c r="J68" t="s">
        <v>3</v>
      </c>
      <c r="K68" t="s">
        <v>385</v>
      </c>
      <c r="L68">
        <v>1358</v>
      </c>
      <c r="N68">
        <v>1010</v>
      </c>
      <c r="O68" t="s">
        <v>342</v>
      </c>
      <c r="P68" t="s">
        <v>342</v>
      </c>
      <c r="Q68">
        <v>10</v>
      </c>
      <c r="X68">
        <v>10.199999999999999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23</v>
      </c>
      <c r="AG68">
        <v>10.199999999999999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ROW(Source!A89)</f>
        <v>89</v>
      </c>
      <c r="B69">
        <v>60259009</v>
      </c>
      <c r="C69">
        <v>60258820</v>
      </c>
      <c r="D69">
        <v>58999254</v>
      </c>
      <c r="E69">
        <v>1080</v>
      </c>
      <c r="F69">
        <v>1</v>
      </c>
      <c r="G69">
        <v>1080</v>
      </c>
      <c r="H69">
        <v>1</v>
      </c>
      <c r="I69" t="s">
        <v>275</v>
      </c>
      <c r="J69" t="s">
        <v>3</v>
      </c>
      <c r="K69" t="s">
        <v>276</v>
      </c>
      <c r="L69">
        <v>1191</v>
      </c>
      <c r="N69">
        <v>1013</v>
      </c>
      <c r="O69" t="s">
        <v>277</v>
      </c>
      <c r="P69" t="s">
        <v>277</v>
      </c>
      <c r="Q69">
        <v>1</v>
      </c>
      <c r="X69">
        <v>84.67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24</v>
      </c>
      <c r="AG69">
        <v>93.137000000000015</v>
      </c>
      <c r="AH69">
        <v>2</v>
      </c>
      <c r="AI69">
        <v>60258821</v>
      </c>
      <c r="AJ69">
        <v>57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ROW(Source!A89)</f>
        <v>89</v>
      </c>
      <c r="B70">
        <v>60259010</v>
      </c>
      <c r="C70">
        <v>60258820</v>
      </c>
      <c r="D70">
        <v>59070669</v>
      </c>
      <c r="E70">
        <v>1</v>
      </c>
      <c r="F70">
        <v>1</v>
      </c>
      <c r="G70">
        <v>1080</v>
      </c>
      <c r="H70">
        <v>2</v>
      </c>
      <c r="I70" t="s">
        <v>301</v>
      </c>
      <c r="J70" t="s">
        <v>302</v>
      </c>
      <c r="K70" t="s">
        <v>303</v>
      </c>
      <c r="L70">
        <v>1368</v>
      </c>
      <c r="N70">
        <v>1011</v>
      </c>
      <c r="O70" t="s">
        <v>304</v>
      </c>
      <c r="P70" t="s">
        <v>304</v>
      </c>
      <c r="Q70">
        <v>1</v>
      </c>
      <c r="X70">
        <v>1.03</v>
      </c>
      <c r="Y70">
        <v>0</v>
      </c>
      <c r="Z70">
        <v>83.1</v>
      </c>
      <c r="AA70">
        <v>12.62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1.1330000000000002</v>
      </c>
      <c r="AH70">
        <v>2</v>
      </c>
      <c r="AI70">
        <v>60258822</v>
      </c>
      <c r="AJ70">
        <v>58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ROW(Source!A89)</f>
        <v>89</v>
      </c>
      <c r="B71">
        <v>60259011</v>
      </c>
      <c r="C71">
        <v>60258820</v>
      </c>
      <c r="D71">
        <v>59070782</v>
      </c>
      <c r="E71">
        <v>1</v>
      </c>
      <c r="F71">
        <v>1</v>
      </c>
      <c r="G71">
        <v>1080</v>
      </c>
      <c r="H71">
        <v>2</v>
      </c>
      <c r="I71" t="s">
        <v>306</v>
      </c>
      <c r="J71" t="s">
        <v>307</v>
      </c>
      <c r="K71" t="s">
        <v>308</v>
      </c>
      <c r="L71">
        <v>1368</v>
      </c>
      <c r="N71">
        <v>1011</v>
      </c>
      <c r="O71" t="s">
        <v>304</v>
      </c>
      <c r="P71" t="s">
        <v>304</v>
      </c>
      <c r="Q71">
        <v>1</v>
      </c>
      <c r="X71">
        <v>22.08</v>
      </c>
      <c r="Y71">
        <v>0</v>
      </c>
      <c r="Z71">
        <v>0.35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24.288</v>
      </c>
      <c r="AH71">
        <v>2</v>
      </c>
      <c r="AI71">
        <v>60258823</v>
      </c>
      <c r="AJ71">
        <v>59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ROW(Source!A89)</f>
        <v>89</v>
      </c>
      <c r="B72">
        <v>60259012</v>
      </c>
      <c r="C72">
        <v>60258820</v>
      </c>
      <c r="D72">
        <v>59040093</v>
      </c>
      <c r="E72">
        <v>1</v>
      </c>
      <c r="F72">
        <v>1</v>
      </c>
      <c r="G72">
        <v>1080</v>
      </c>
      <c r="H72">
        <v>3</v>
      </c>
      <c r="I72" t="s">
        <v>309</v>
      </c>
      <c r="J72" t="s">
        <v>310</v>
      </c>
      <c r="K72" t="s">
        <v>311</v>
      </c>
      <c r="L72">
        <v>1346</v>
      </c>
      <c r="N72">
        <v>1009</v>
      </c>
      <c r="O72" t="s">
        <v>289</v>
      </c>
      <c r="P72" t="s">
        <v>289</v>
      </c>
      <c r="Q72">
        <v>1</v>
      </c>
      <c r="X72">
        <v>0.21</v>
      </c>
      <c r="Y72">
        <v>159.06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23</v>
      </c>
      <c r="AG72">
        <v>0.21</v>
      </c>
      <c r="AH72">
        <v>2</v>
      </c>
      <c r="AI72">
        <v>60258824</v>
      </c>
      <c r="AJ72">
        <v>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ROW(Source!A89)</f>
        <v>89</v>
      </c>
      <c r="B73">
        <v>60259013</v>
      </c>
      <c r="C73">
        <v>60258820</v>
      </c>
      <c r="D73">
        <v>59039008</v>
      </c>
      <c r="E73">
        <v>1</v>
      </c>
      <c r="F73">
        <v>1</v>
      </c>
      <c r="G73">
        <v>1080</v>
      </c>
      <c r="H73">
        <v>3</v>
      </c>
      <c r="I73" t="s">
        <v>312</v>
      </c>
      <c r="J73" t="s">
        <v>313</v>
      </c>
      <c r="K73" t="s">
        <v>314</v>
      </c>
      <c r="L73">
        <v>1354</v>
      </c>
      <c r="N73">
        <v>1010</v>
      </c>
      <c r="O73" t="s">
        <v>216</v>
      </c>
      <c r="P73" t="s">
        <v>216</v>
      </c>
      <c r="Q73">
        <v>1</v>
      </c>
      <c r="X73">
        <v>4.08</v>
      </c>
      <c r="Y73">
        <v>0.89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23</v>
      </c>
      <c r="AG73">
        <v>4.08</v>
      </c>
      <c r="AH73">
        <v>2</v>
      </c>
      <c r="AI73">
        <v>60258825</v>
      </c>
      <c r="AJ73">
        <v>61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ROW(Source!A89)</f>
        <v>89</v>
      </c>
      <c r="B74">
        <v>60259014</v>
      </c>
      <c r="C74">
        <v>60258820</v>
      </c>
      <c r="D74">
        <v>59068333</v>
      </c>
      <c r="E74">
        <v>1</v>
      </c>
      <c r="F74">
        <v>1</v>
      </c>
      <c r="G74">
        <v>1080</v>
      </c>
      <c r="H74">
        <v>3</v>
      </c>
      <c r="I74" t="s">
        <v>315</v>
      </c>
      <c r="J74" t="s">
        <v>316</v>
      </c>
      <c r="K74" t="s">
        <v>317</v>
      </c>
      <c r="L74">
        <v>1303</v>
      </c>
      <c r="N74">
        <v>1003</v>
      </c>
      <c r="O74" t="s">
        <v>240</v>
      </c>
      <c r="P74" t="s">
        <v>240</v>
      </c>
      <c r="Q74">
        <v>1000</v>
      </c>
      <c r="X74">
        <v>1.5299999999999999E-2</v>
      </c>
      <c r="Y74">
        <v>2897.31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23</v>
      </c>
      <c r="AG74">
        <v>1.5299999999999999E-2</v>
      </c>
      <c r="AH74">
        <v>2</v>
      </c>
      <c r="AI74">
        <v>60258826</v>
      </c>
      <c r="AJ74">
        <v>62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ROW(Source!A89)</f>
        <v>89</v>
      </c>
      <c r="B75">
        <v>60259015</v>
      </c>
      <c r="C75">
        <v>60258820</v>
      </c>
      <c r="D75">
        <v>59013951</v>
      </c>
      <c r="E75">
        <v>1080</v>
      </c>
      <c r="F75">
        <v>1</v>
      </c>
      <c r="G75">
        <v>1080</v>
      </c>
      <c r="H75">
        <v>3</v>
      </c>
      <c r="I75" t="s">
        <v>382</v>
      </c>
      <c r="J75" t="s">
        <v>3</v>
      </c>
      <c r="K75" t="s">
        <v>383</v>
      </c>
      <c r="L75">
        <v>1354</v>
      </c>
      <c r="N75">
        <v>1010</v>
      </c>
      <c r="O75" t="s">
        <v>216</v>
      </c>
      <c r="P75" t="s">
        <v>216</v>
      </c>
      <c r="Q75">
        <v>1</v>
      </c>
      <c r="X75">
        <v>100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23</v>
      </c>
      <c r="AG75">
        <v>100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ROW(Source!A89)</f>
        <v>89</v>
      </c>
      <c r="B76">
        <v>60259016</v>
      </c>
      <c r="C76">
        <v>60258820</v>
      </c>
      <c r="D76">
        <v>59014482</v>
      </c>
      <c r="E76">
        <v>1080</v>
      </c>
      <c r="F76">
        <v>1</v>
      </c>
      <c r="G76">
        <v>1080</v>
      </c>
      <c r="H76">
        <v>3</v>
      </c>
      <c r="I76" t="s">
        <v>384</v>
      </c>
      <c r="J76" t="s">
        <v>3</v>
      </c>
      <c r="K76" t="s">
        <v>385</v>
      </c>
      <c r="L76">
        <v>1358</v>
      </c>
      <c r="N76">
        <v>1010</v>
      </c>
      <c r="O76" t="s">
        <v>342</v>
      </c>
      <c r="P76" t="s">
        <v>342</v>
      </c>
      <c r="Q76">
        <v>10</v>
      </c>
      <c r="X76">
        <v>10.199999999999999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23</v>
      </c>
      <c r="AG76">
        <v>10.199999999999999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ROW(Source!A127)</f>
        <v>127</v>
      </c>
      <c r="B77">
        <v>60259017</v>
      </c>
      <c r="C77">
        <v>60258892</v>
      </c>
      <c r="D77">
        <v>58999254</v>
      </c>
      <c r="E77">
        <v>1080</v>
      </c>
      <c r="F77">
        <v>1</v>
      </c>
      <c r="G77">
        <v>1080</v>
      </c>
      <c r="H77">
        <v>1</v>
      </c>
      <c r="I77" t="s">
        <v>275</v>
      </c>
      <c r="J77" t="s">
        <v>3</v>
      </c>
      <c r="K77" t="s">
        <v>276</v>
      </c>
      <c r="L77">
        <v>1191</v>
      </c>
      <c r="N77">
        <v>1013</v>
      </c>
      <c r="O77" t="s">
        <v>277</v>
      </c>
      <c r="P77" t="s">
        <v>277</v>
      </c>
      <c r="Q77">
        <v>1</v>
      </c>
      <c r="X77">
        <v>14.37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24</v>
      </c>
      <c r="AG77">
        <v>15.807</v>
      </c>
      <c r="AH77">
        <v>2</v>
      </c>
      <c r="AI77">
        <v>60258893</v>
      </c>
      <c r="AJ77">
        <v>63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ROW(Source!A127)</f>
        <v>127</v>
      </c>
      <c r="B78">
        <v>60259018</v>
      </c>
      <c r="C78">
        <v>60258892</v>
      </c>
      <c r="D78">
        <v>59008656</v>
      </c>
      <c r="E78">
        <v>1080</v>
      </c>
      <c r="F78">
        <v>1</v>
      </c>
      <c r="G78">
        <v>1080</v>
      </c>
      <c r="H78">
        <v>3</v>
      </c>
      <c r="I78" t="s">
        <v>386</v>
      </c>
      <c r="J78" t="s">
        <v>3</v>
      </c>
      <c r="K78" t="s">
        <v>387</v>
      </c>
      <c r="L78">
        <v>1301</v>
      </c>
      <c r="N78">
        <v>1003</v>
      </c>
      <c r="O78" t="s">
        <v>211</v>
      </c>
      <c r="P78" t="s">
        <v>211</v>
      </c>
      <c r="Q78">
        <v>1</v>
      </c>
      <c r="X78">
        <v>102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23</v>
      </c>
      <c r="AG78">
        <v>102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ROW(Source!A127)</f>
        <v>127</v>
      </c>
      <c r="B79">
        <v>60259019</v>
      </c>
      <c r="C79">
        <v>60258892</v>
      </c>
      <c r="D79">
        <v>59011823</v>
      </c>
      <c r="E79">
        <v>1080</v>
      </c>
      <c r="F79">
        <v>1</v>
      </c>
      <c r="G79">
        <v>1080</v>
      </c>
      <c r="H79">
        <v>3</v>
      </c>
      <c r="I79" t="s">
        <v>388</v>
      </c>
      <c r="J79" t="s">
        <v>3</v>
      </c>
      <c r="K79" t="s">
        <v>389</v>
      </c>
      <c r="L79">
        <v>1354</v>
      </c>
      <c r="N79">
        <v>1010</v>
      </c>
      <c r="O79" t="s">
        <v>216</v>
      </c>
      <c r="P79" t="s">
        <v>216</v>
      </c>
      <c r="Q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23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ROW(Source!A127)</f>
        <v>127</v>
      </c>
      <c r="B80">
        <v>60259020</v>
      </c>
      <c r="C80">
        <v>60258892</v>
      </c>
      <c r="D80">
        <v>59012395</v>
      </c>
      <c r="E80">
        <v>1080</v>
      </c>
      <c r="F80">
        <v>1</v>
      </c>
      <c r="G80">
        <v>1080</v>
      </c>
      <c r="H80">
        <v>3</v>
      </c>
      <c r="I80" t="s">
        <v>390</v>
      </c>
      <c r="J80" t="s">
        <v>3</v>
      </c>
      <c r="K80" t="s">
        <v>391</v>
      </c>
      <c r="L80">
        <v>1354</v>
      </c>
      <c r="N80">
        <v>1010</v>
      </c>
      <c r="O80" t="s">
        <v>216</v>
      </c>
      <c r="P80" t="s">
        <v>216</v>
      </c>
      <c r="Q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23</v>
      </c>
      <c r="AG80">
        <v>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ROW(Source!A128)</f>
        <v>128</v>
      </c>
      <c r="B81">
        <v>60259017</v>
      </c>
      <c r="C81">
        <v>60258892</v>
      </c>
      <c r="D81">
        <v>58999254</v>
      </c>
      <c r="E81">
        <v>1080</v>
      </c>
      <c r="F81">
        <v>1</v>
      </c>
      <c r="G81">
        <v>1080</v>
      </c>
      <c r="H81">
        <v>1</v>
      </c>
      <c r="I81" t="s">
        <v>275</v>
      </c>
      <c r="J81" t="s">
        <v>3</v>
      </c>
      <c r="K81" t="s">
        <v>276</v>
      </c>
      <c r="L81">
        <v>1191</v>
      </c>
      <c r="N81">
        <v>1013</v>
      </c>
      <c r="O81" t="s">
        <v>277</v>
      </c>
      <c r="P81" t="s">
        <v>277</v>
      </c>
      <c r="Q81">
        <v>1</v>
      </c>
      <c r="X81">
        <v>14.37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24</v>
      </c>
      <c r="AG81">
        <v>15.807</v>
      </c>
      <c r="AH81">
        <v>2</v>
      </c>
      <c r="AI81">
        <v>60258893</v>
      </c>
      <c r="AJ81">
        <v>66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ROW(Source!A128)</f>
        <v>128</v>
      </c>
      <c r="B82">
        <v>60259018</v>
      </c>
      <c r="C82">
        <v>60258892</v>
      </c>
      <c r="D82">
        <v>59008656</v>
      </c>
      <c r="E82">
        <v>1080</v>
      </c>
      <c r="F82">
        <v>1</v>
      </c>
      <c r="G82">
        <v>1080</v>
      </c>
      <c r="H82">
        <v>3</v>
      </c>
      <c r="I82" t="s">
        <v>386</v>
      </c>
      <c r="J82" t="s">
        <v>3</v>
      </c>
      <c r="K82" t="s">
        <v>387</v>
      </c>
      <c r="L82">
        <v>1301</v>
      </c>
      <c r="N82">
        <v>1003</v>
      </c>
      <c r="O82" t="s">
        <v>211</v>
      </c>
      <c r="P82" t="s">
        <v>211</v>
      </c>
      <c r="Q82">
        <v>1</v>
      </c>
      <c r="X82">
        <v>102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23</v>
      </c>
      <c r="AG82">
        <v>102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ROW(Source!A128)</f>
        <v>128</v>
      </c>
      <c r="B83">
        <v>60259019</v>
      </c>
      <c r="C83">
        <v>60258892</v>
      </c>
      <c r="D83">
        <v>59011823</v>
      </c>
      <c r="E83">
        <v>1080</v>
      </c>
      <c r="F83">
        <v>1</v>
      </c>
      <c r="G83">
        <v>1080</v>
      </c>
      <c r="H83">
        <v>3</v>
      </c>
      <c r="I83" t="s">
        <v>388</v>
      </c>
      <c r="J83" t="s">
        <v>3</v>
      </c>
      <c r="K83" t="s">
        <v>389</v>
      </c>
      <c r="L83">
        <v>1354</v>
      </c>
      <c r="N83">
        <v>1010</v>
      </c>
      <c r="O83" t="s">
        <v>216</v>
      </c>
      <c r="P83" t="s">
        <v>216</v>
      </c>
      <c r="Q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23</v>
      </c>
      <c r="AG83">
        <v>0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ROW(Source!A128)</f>
        <v>128</v>
      </c>
      <c r="B84">
        <v>60259020</v>
      </c>
      <c r="C84">
        <v>60258892</v>
      </c>
      <c r="D84">
        <v>59012395</v>
      </c>
      <c r="E84">
        <v>1080</v>
      </c>
      <c r="F84">
        <v>1</v>
      </c>
      <c r="G84">
        <v>1080</v>
      </c>
      <c r="H84">
        <v>3</v>
      </c>
      <c r="I84" t="s">
        <v>390</v>
      </c>
      <c r="J84" t="s">
        <v>3</v>
      </c>
      <c r="K84" t="s">
        <v>391</v>
      </c>
      <c r="L84">
        <v>1354</v>
      </c>
      <c r="N84">
        <v>1010</v>
      </c>
      <c r="O84" t="s">
        <v>216</v>
      </c>
      <c r="P84" t="s">
        <v>216</v>
      </c>
      <c r="Q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23</v>
      </c>
      <c r="AG84">
        <v>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ROW(Source!A133)</f>
        <v>133</v>
      </c>
      <c r="B85">
        <v>60259021</v>
      </c>
      <c r="C85">
        <v>60258902</v>
      </c>
      <c r="D85">
        <v>58999254</v>
      </c>
      <c r="E85">
        <v>1080</v>
      </c>
      <c r="F85">
        <v>1</v>
      </c>
      <c r="G85">
        <v>1080</v>
      </c>
      <c r="H85">
        <v>1</v>
      </c>
      <c r="I85" t="s">
        <v>275</v>
      </c>
      <c r="J85" t="s">
        <v>3</v>
      </c>
      <c r="K85" t="s">
        <v>276</v>
      </c>
      <c r="L85">
        <v>1191</v>
      </c>
      <c r="N85">
        <v>1013</v>
      </c>
      <c r="O85" t="s">
        <v>277</v>
      </c>
      <c r="P85" t="s">
        <v>277</v>
      </c>
      <c r="Q85">
        <v>1</v>
      </c>
      <c r="X85">
        <v>26.8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24</v>
      </c>
      <c r="AG85">
        <v>29.480000000000004</v>
      </c>
      <c r="AH85">
        <v>2</v>
      </c>
      <c r="AI85">
        <v>60258903</v>
      </c>
      <c r="AJ85">
        <v>69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ROW(Source!A133)</f>
        <v>133</v>
      </c>
      <c r="B86">
        <v>60259022</v>
      </c>
      <c r="C86">
        <v>60258902</v>
      </c>
      <c r="D86">
        <v>59070370</v>
      </c>
      <c r="E86">
        <v>1</v>
      </c>
      <c r="F86">
        <v>1</v>
      </c>
      <c r="G86">
        <v>1080</v>
      </c>
      <c r="H86">
        <v>2</v>
      </c>
      <c r="I86" t="s">
        <v>318</v>
      </c>
      <c r="J86" t="s">
        <v>319</v>
      </c>
      <c r="K86" t="s">
        <v>320</v>
      </c>
      <c r="L86">
        <v>1368</v>
      </c>
      <c r="N86">
        <v>1011</v>
      </c>
      <c r="O86" t="s">
        <v>304</v>
      </c>
      <c r="P86" t="s">
        <v>304</v>
      </c>
      <c r="Q86">
        <v>1</v>
      </c>
      <c r="X86">
        <v>5.53</v>
      </c>
      <c r="Y86">
        <v>0</v>
      </c>
      <c r="Z86">
        <v>7.11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24</v>
      </c>
      <c r="AG86">
        <v>6.0830000000000011</v>
      </c>
      <c r="AH86">
        <v>2</v>
      </c>
      <c r="AI86">
        <v>60258904</v>
      </c>
      <c r="AJ86">
        <v>70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ROW(Source!A133)</f>
        <v>133</v>
      </c>
      <c r="B87">
        <v>60259023</v>
      </c>
      <c r="C87">
        <v>60258902</v>
      </c>
      <c r="D87">
        <v>59070669</v>
      </c>
      <c r="E87">
        <v>1</v>
      </c>
      <c r="F87">
        <v>1</v>
      </c>
      <c r="G87">
        <v>1080</v>
      </c>
      <c r="H87">
        <v>2</v>
      </c>
      <c r="I87" t="s">
        <v>301</v>
      </c>
      <c r="J87" t="s">
        <v>302</v>
      </c>
      <c r="K87" t="s">
        <v>303</v>
      </c>
      <c r="L87">
        <v>1368</v>
      </c>
      <c r="N87">
        <v>1011</v>
      </c>
      <c r="O87" t="s">
        <v>304</v>
      </c>
      <c r="P87" t="s">
        <v>304</v>
      </c>
      <c r="Q87">
        <v>1</v>
      </c>
      <c r="X87">
        <v>0.43</v>
      </c>
      <c r="Y87">
        <v>0</v>
      </c>
      <c r="Z87">
        <v>83.1</v>
      </c>
      <c r="AA87">
        <v>12.62</v>
      </c>
      <c r="AB87">
        <v>0</v>
      </c>
      <c r="AC87">
        <v>0</v>
      </c>
      <c r="AD87">
        <v>1</v>
      </c>
      <c r="AE87">
        <v>0</v>
      </c>
      <c r="AF87" t="s">
        <v>24</v>
      </c>
      <c r="AG87">
        <v>0.47300000000000003</v>
      </c>
      <c r="AH87">
        <v>2</v>
      </c>
      <c r="AI87">
        <v>60258905</v>
      </c>
      <c r="AJ87">
        <v>71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ROW(Source!A133)</f>
        <v>133</v>
      </c>
      <c r="B88">
        <v>60259024</v>
      </c>
      <c r="C88">
        <v>60258902</v>
      </c>
      <c r="D88">
        <v>59070721</v>
      </c>
      <c r="E88">
        <v>1</v>
      </c>
      <c r="F88">
        <v>1</v>
      </c>
      <c r="G88">
        <v>1080</v>
      </c>
      <c r="H88">
        <v>2</v>
      </c>
      <c r="I88" t="s">
        <v>321</v>
      </c>
      <c r="J88" t="s">
        <v>322</v>
      </c>
      <c r="K88" t="s">
        <v>323</v>
      </c>
      <c r="L88">
        <v>1368</v>
      </c>
      <c r="N88">
        <v>1011</v>
      </c>
      <c r="O88" t="s">
        <v>304</v>
      </c>
      <c r="P88" t="s">
        <v>304</v>
      </c>
      <c r="Q88">
        <v>1</v>
      </c>
      <c r="X88">
        <v>5.33</v>
      </c>
      <c r="Y88">
        <v>0</v>
      </c>
      <c r="Z88">
        <v>0.77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24</v>
      </c>
      <c r="AG88">
        <v>5.8630000000000004</v>
      </c>
      <c r="AH88">
        <v>2</v>
      </c>
      <c r="AI88">
        <v>60258906</v>
      </c>
      <c r="AJ88">
        <v>72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ROW(Source!A133)</f>
        <v>133</v>
      </c>
      <c r="B89">
        <v>60259025</v>
      </c>
      <c r="C89">
        <v>60258902</v>
      </c>
      <c r="D89">
        <v>59070045</v>
      </c>
      <c r="E89">
        <v>1</v>
      </c>
      <c r="F89">
        <v>1</v>
      </c>
      <c r="G89">
        <v>1080</v>
      </c>
      <c r="H89">
        <v>2</v>
      </c>
      <c r="I89" t="s">
        <v>324</v>
      </c>
      <c r="J89" t="s">
        <v>325</v>
      </c>
      <c r="K89" t="s">
        <v>326</v>
      </c>
      <c r="L89">
        <v>1368</v>
      </c>
      <c r="N89">
        <v>1011</v>
      </c>
      <c r="O89" t="s">
        <v>304</v>
      </c>
      <c r="P89" t="s">
        <v>304</v>
      </c>
      <c r="Q89">
        <v>1</v>
      </c>
      <c r="X89">
        <v>17.5</v>
      </c>
      <c r="Y89">
        <v>0</v>
      </c>
      <c r="Z89">
        <v>25.58</v>
      </c>
      <c r="AA89">
        <v>12.62</v>
      </c>
      <c r="AB89">
        <v>0</v>
      </c>
      <c r="AC89">
        <v>0</v>
      </c>
      <c r="AD89">
        <v>1</v>
      </c>
      <c r="AE89">
        <v>0</v>
      </c>
      <c r="AF89" t="s">
        <v>24</v>
      </c>
      <c r="AG89">
        <v>19.25</v>
      </c>
      <c r="AH89">
        <v>2</v>
      </c>
      <c r="AI89">
        <v>60258907</v>
      </c>
      <c r="AJ89">
        <v>73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ROW(Source!A133)</f>
        <v>133</v>
      </c>
      <c r="B90">
        <v>60259026</v>
      </c>
      <c r="C90">
        <v>60258902</v>
      </c>
      <c r="D90">
        <v>59040049</v>
      </c>
      <c r="E90">
        <v>1</v>
      </c>
      <c r="F90">
        <v>1</v>
      </c>
      <c r="G90">
        <v>1080</v>
      </c>
      <c r="H90">
        <v>3</v>
      </c>
      <c r="I90" t="s">
        <v>327</v>
      </c>
      <c r="J90" t="s">
        <v>328</v>
      </c>
      <c r="K90" t="s">
        <v>329</v>
      </c>
      <c r="L90">
        <v>1348</v>
      </c>
      <c r="N90">
        <v>1009</v>
      </c>
      <c r="O90" t="s">
        <v>281</v>
      </c>
      <c r="P90" t="s">
        <v>281</v>
      </c>
      <c r="Q90">
        <v>1000</v>
      </c>
      <c r="X90">
        <v>1.0499999999999999E-3</v>
      </c>
      <c r="Y90">
        <v>8590.86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23</v>
      </c>
      <c r="AG90">
        <v>1.0499999999999999E-3</v>
      </c>
      <c r="AH90">
        <v>2</v>
      </c>
      <c r="AI90">
        <v>60258908</v>
      </c>
      <c r="AJ90">
        <v>74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ROW(Source!A133)</f>
        <v>133</v>
      </c>
      <c r="B91">
        <v>60259027</v>
      </c>
      <c r="C91">
        <v>60258902</v>
      </c>
      <c r="D91">
        <v>59039008</v>
      </c>
      <c r="E91">
        <v>1</v>
      </c>
      <c r="F91">
        <v>1</v>
      </c>
      <c r="G91">
        <v>1080</v>
      </c>
      <c r="H91">
        <v>3</v>
      </c>
      <c r="I91" t="s">
        <v>312</v>
      </c>
      <c r="J91" t="s">
        <v>313</v>
      </c>
      <c r="K91" t="s">
        <v>314</v>
      </c>
      <c r="L91">
        <v>1354</v>
      </c>
      <c r="N91">
        <v>1010</v>
      </c>
      <c r="O91" t="s">
        <v>216</v>
      </c>
      <c r="P91" t="s">
        <v>216</v>
      </c>
      <c r="Q91">
        <v>1</v>
      </c>
      <c r="X91">
        <v>82</v>
      </c>
      <c r="Y91">
        <v>0.89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23</v>
      </c>
      <c r="AG91">
        <v>82</v>
      </c>
      <c r="AH91">
        <v>2</v>
      </c>
      <c r="AI91">
        <v>60258909</v>
      </c>
      <c r="AJ91">
        <v>75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ROW(Source!A133)</f>
        <v>133</v>
      </c>
      <c r="B92">
        <v>60259028</v>
      </c>
      <c r="C92">
        <v>60258902</v>
      </c>
      <c r="D92">
        <v>59041375</v>
      </c>
      <c r="E92">
        <v>1</v>
      </c>
      <c r="F92">
        <v>1</v>
      </c>
      <c r="G92">
        <v>1080</v>
      </c>
      <c r="H92">
        <v>3</v>
      </c>
      <c r="I92" t="s">
        <v>330</v>
      </c>
      <c r="J92" t="s">
        <v>331</v>
      </c>
      <c r="K92" t="s">
        <v>332</v>
      </c>
      <c r="L92">
        <v>1346</v>
      </c>
      <c r="N92">
        <v>1009</v>
      </c>
      <c r="O92" t="s">
        <v>289</v>
      </c>
      <c r="P92" t="s">
        <v>289</v>
      </c>
      <c r="Q92">
        <v>1</v>
      </c>
      <c r="X92">
        <v>0.03</v>
      </c>
      <c r="Y92">
        <v>520.51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23</v>
      </c>
      <c r="AG92">
        <v>0.03</v>
      </c>
      <c r="AH92">
        <v>2</v>
      </c>
      <c r="AI92">
        <v>60258910</v>
      </c>
      <c r="AJ92">
        <v>76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ROW(Source!A133)</f>
        <v>133</v>
      </c>
      <c r="B93">
        <v>60259029</v>
      </c>
      <c r="C93">
        <v>60258902</v>
      </c>
      <c r="D93">
        <v>59039184</v>
      </c>
      <c r="E93">
        <v>1</v>
      </c>
      <c r="F93">
        <v>1</v>
      </c>
      <c r="G93">
        <v>1080</v>
      </c>
      <c r="H93">
        <v>3</v>
      </c>
      <c r="I93" t="s">
        <v>333</v>
      </c>
      <c r="J93" t="s">
        <v>334</v>
      </c>
      <c r="K93" t="s">
        <v>335</v>
      </c>
      <c r="L93">
        <v>1348</v>
      </c>
      <c r="N93">
        <v>1009</v>
      </c>
      <c r="O93" t="s">
        <v>281</v>
      </c>
      <c r="P93" t="s">
        <v>281</v>
      </c>
      <c r="Q93">
        <v>1000</v>
      </c>
      <c r="X93">
        <v>6.8000000000000005E-4</v>
      </c>
      <c r="Y93">
        <v>16180.28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23</v>
      </c>
      <c r="AG93">
        <v>6.8000000000000005E-4</v>
      </c>
      <c r="AH93">
        <v>2</v>
      </c>
      <c r="AI93">
        <v>60258911</v>
      </c>
      <c r="AJ93">
        <v>77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ROW(Source!A133)</f>
        <v>133</v>
      </c>
      <c r="B94">
        <v>60259030</v>
      </c>
      <c r="C94">
        <v>60258902</v>
      </c>
      <c r="D94">
        <v>59039484</v>
      </c>
      <c r="E94">
        <v>1</v>
      </c>
      <c r="F94">
        <v>1</v>
      </c>
      <c r="G94">
        <v>1080</v>
      </c>
      <c r="H94">
        <v>3</v>
      </c>
      <c r="I94" t="s">
        <v>336</v>
      </c>
      <c r="J94" t="s">
        <v>337</v>
      </c>
      <c r="K94" t="s">
        <v>338</v>
      </c>
      <c r="L94">
        <v>1348</v>
      </c>
      <c r="N94">
        <v>1009</v>
      </c>
      <c r="O94" t="s">
        <v>281</v>
      </c>
      <c r="P94" t="s">
        <v>281</v>
      </c>
      <c r="Q94">
        <v>1000</v>
      </c>
      <c r="X94">
        <v>2.0999999999999999E-3</v>
      </c>
      <c r="Y94">
        <v>7973.67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23</v>
      </c>
      <c r="AG94">
        <v>2.0999999999999999E-3</v>
      </c>
      <c r="AH94">
        <v>2</v>
      </c>
      <c r="AI94">
        <v>60258912</v>
      </c>
      <c r="AJ94">
        <v>78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ROW(Source!A133)</f>
        <v>133</v>
      </c>
      <c r="B95">
        <v>60259031</v>
      </c>
      <c r="C95">
        <v>60258902</v>
      </c>
      <c r="D95">
        <v>59063054</v>
      </c>
      <c r="E95">
        <v>1</v>
      </c>
      <c r="F95">
        <v>1</v>
      </c>
      <c r="G95">
        <v>1080</v>
      </c>
      <c r="H95">
        <v>3</v>
      </c>
      <c r="I95" t="s">
        <v>339</v>
      </c>
      <c r="J95" t="s">
        <v>340</v>
      </c>
      <c r="K95" t="s">
        <v>341</v>
      </c>
      <c r="L95">
        <v>1358</v>
      </c>
      <c r="N95">
        <v>1010</v>
      </c>
      <c r="O95" t="s">
        <v>342</v>
      </c>
      <c r="P95" t="s">
        <v>342</v>
      </c>
      <c r="Q95">
        <v>10</v>
      </c>
      <c r="X95">
        <v>1.02</v>
      </c>
      <c r="Y95">
        <v>5.46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23</v>
      </c>
      <c r="AG95">
        <v>1.02</v>
      </c>
      <c r="AH95">
        <v>2</v>
      </c>
      <c r="AI95">
        <v>60258913</v>
      </c>
      <c r="AJ95">
        <v>80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ROW(Source!A133)</f>
        <v>133</v>
      </c>
      <c r="B96">
        <v>60259032</v>
      </c>
      <c r="C96">
        <v>60258902</v>
      </c>
      <c r="D96">
        <v>59063148</v>
      </c>
      <c r="E96">
        <v>1</v>
      </c>
      <c r="F96">
        <v>1</v>
      </c>
      <c r="G96">
        <v>1080</v>
      </c>
      <c r="H96">
        <v>3</v>
      </c>
      <c r="I96" t="s">
        <v>343</v>
      </c>
      <c r="J96" t="s">
        <v>344</v>
      </c>
      <c r="K96" t="s">
        <v>345</v>
      </c>
      <c r="L96">
        <v>1354</v>
      </c>
      <c r="N96">
        <v>1010</v>
      </c>
      <c r="O96" t="s">
        <v>216</v>
      </c>
      <c r="P96" t="s">
        <v>216</v>
      </c>
      <c r="Q96">
        <v>1</v>
      </c>
      <c r="X96">
        <v>8</v>
      </c>
      <c r="Y96">
        <v>14.99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23</v>
      </c>
      <c r="AG96">
        <v>8</v>
      </c>
      <c r="AH96">
        <v>2</v>
      </c>
      <c r="AI96">
        <v>60258914</v>
      </c>
      <c r="AJ96">
        <v>81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ROW(Source!A133)</f>
        <v>133</v>
      </c>
      <c r="B97">
        <v>60259033</v>
      </c>
      <c r="C97">
        <v>60258902</v>
      </c>
      <c r="D97">
        <v>59062463</v>
      </c>
      <c r="E97">
        <v>1</v>
      </c>
      <c r="F97">
        <v>1</v>
      </c>
      <c r="G97">
        <v>1080</v>
      </c>
      <c r="H97">
        <v>3</v>
      </c>
      <c r="I97" t="s">
        <v>346</v>
      </c>
      <c r="J97" t="s">
        <v>347</v>
      </c>
      <c r="K97" t="s">
        <v>348</v>
      </c>
      <c r="L97">
        <v>1356</v>
      </c>
      <c r="N97">
        <v>1010</v>
      </c>
      <c r="O97" t="s">
        <v>349</v>
      </c>
      <c r="P97" t="s">
        <v>349</v>
      </c>
      <c r="Q97">
        <v>1000</v>
      </c>
      <c r="X97">
        <v>4.1000000000000002E-2</v>
      </c>
      <c r="Y97">
        <v>919.92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23</v>
      </c>
      <c r="AG97">
        <v>4.1000000000000002E-2</v>
      </c>
      <c r="AH97">
        <v>2</v>
      </c>
      <c r="AI97">
        <v>60258915</v>
      </c>
      <c r="AJ97">
        <v>82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ROW(Source!A133)</f>
        <v>133</v>
      </c>
      <c r="B98">
        <v>60259034</v>
      </c>
      <c r="C98">
        <v>60258902</v>
      </c>
      <c r="D98">
        <v>58996653</v>
      </c>
      <c r="E98">
        <v>1080</v>
      </c>
      <c r="F98">
        <v>1</v>
      </c>
      <c r="G98">
        <v>1080</v>
      </c>
      <c r="H98">
        <v>3</v>
      </c>
      <c r="I98" t="s">
        <v>392</v>
      </c>
      <c r="J98" t="s">
        <v>3</v>
      </c>
      <c r="K98" t="s">
        <v>393</v>
      </c>
      <c r="L98">
        <v>1301</v>
      </c>
      <c r="N98">
        <v>1003</v>
      </c>
      <c r="O98" t="s">
        <v>211</v>
      </c>
      <c r="P98" t="s">
        <v>211</v>
      </c>
      <c r="Q98">
        <v>1</v>
      </c>
      <c r="X98">
        <v>103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23</v>
      </c>
      <c r="AG98">
        <v>103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ROW(Source!A133)</f>
        <v>133</v>
      </c>
      <c r="B99">
        <v>60259035</v>
      </c>
      <c r="C99">
        <v>60258902</v>
      </c>
      <c r="D99">
        <v>58999463</v>
      </c>
      <c r="E99">
        <v>1080</v>
      </c>
      <c r="F99">
        <v>1</v>
      </c>
      <c r="G99">
        <v>1080</v>
      </c>
      <c r="H99">
        <v>3</v>
      </c>
      <c r="I99" t="s">
        <v>394</v>
      </c>
      <c r="J99" t="s">
        <v>3</v>
      </c>
      <c r="K99" t="s">
        <v>395</v>
      </c>
      <c r="L99">
        <v>1354</v>
      </c>
      <c r="N99">
        <v>1010</v>
      </c>
      <c r="O99" t="s">
        <v>216</v>
      </c>
      <c r="P99" t="s">
        <v>216</v>
      </c>
      <c r="Q99">
        <v>1</v>
      </c>
      <c r="X99">
        <v>17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23</v>
      </c>
      <c r="AG99">
        <v>17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ROW(Source!A133)</f>
        <v>133</v>
      </c>
      <c r="B100">
        <v>60259036</v>
      </c>
      <c r="C100">
        <v>60258902</v>
      </c>
      <c r="D100">
        <v>59012413</v>
      </c>
      <c r="E100">
        <v>1080</v>
      </c>
      <c r="F100">
        <v>1</v>
      </c>
      <c r="G100">
        <v>1080</v>
      </c>
      <c r="H100">
        <v>3</v>
      </c>
      <c r="I100" t="s">
        <v>396</v>
      </c>
      <c r="J100" t="s">
        <v>3</v>
      </c>
      <c r="K100" t="s">
        <v>397</v>
      </c>
      <c r="L100">
        <v>1355</v>
      </c>
      <c r="N100">
        <v>1010</v>
      </c>
      <c r="O100" t="s">
        <v>140</v>
      </c>
      <c r="P100" t="s">
        <v>140</v>
      </c>
      <c r="Q100">
        <v>100</v>
      </c>
      <c r="X100">
        <v>0.65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23</v>
      </c>
      <c r="AG100">
        <v>0.65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ROW(Source!A133)</f>
        <v>133</v>
      </c>
      <c r="B101">
        <v>60259037</v>
      </c>
      <c r="C101">
        <v>60258902</v>
      </c>
      <c r="D101">
        <v>59013644</v>
      </c>
      <c r="E101">
        <v>1080</v>
      </c>
      <c r="F101">
        <v>1</v>
      </c>
      <c r="G101">
        <v>1080</v>
      </c>
      <c r="H101">
        <v>3</v>
      </c>
      <c r="I101" t="s">
        <v>398</v>
      </c>
      <c r="J101" t="s">
        <v>3</v>
      </c>
      <c r="K101" t="s">
        <v>399</v>
      </c>
      <c r="L101">
        <v>1354</v>
      </c>
      <c r="N101">
        <v>1010</v>
      </c>
      <c r="O101" t="s">
        <v>216</v>
      </c>
      <c r="P101" t="s">
        <v>216</v>
      </c>
      <c r="Q101">
        <v>1</v>
      </c>
      <c r="X101">
        <v>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23</v>
      </c>
      <c r="AG101">
        <v>8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ROW(Source!A133)</f>
        <v>133</v>
      </c>
      <c r="B102">
        <v>60259038</v>
      </c>
      <c r="C102">
        <v>60258902</v>
      </c>
      <c r="D102">
        <v>59014459</v>
      </c>
      <c r="E102">
        <v>1080</v>
      </c>
      <c r="F102">
        <v>1</v>
      </c>
      <c r="G102">
        <v>1080</v>
      </c>
      <c r="H102">
        <v>3</v>
      </c>
      <c r="I102" t="s">
        <v>400</v>
      </c>
      <c r="J102" t="s">
        <v>3</v>
      </c>
      <c r="K102" t="s">
        <v>401</v>
      </c>
      <c r="L102">
        <v>1354</v>
      </c>
      <c r="N102">
        <v>1010</v>
      </c>
      <c r="O102" t="s">
        <v>216</v>
      </c>
      <c r="P102" t="s">
        <v>216</v>
      </c>
      <c r="Q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23</v>
      </c>
      <c r="AG102">
        <v>0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ROW(Source!A134)</f>
        <v>134</v>
      </c>
      <c r="B103">
        <v>60259021</v>
      </c>
      <c r="C103">
        <v>60258902</v>
      </c>
      <c r="D103">
        <v>58999254</v>
      </c>
      <c r="E103">
        <v>1080</v>
      </c>
      <c r="F103">
        <v>1</v>
      </c>
      <c r="G103">
        <v>1080</v>
      </c>
      <c r="H103">
        <v>1</v>
      </c>
      <c r="I103" t="s">
        <v>275</v>
      </c>
      <c r="J103" t="s">
        <v>3</v>
      </c>
      <c r="K103" t="s">
        <v>276</v>
      </c>
      <c r="L103">
        <v>1191</v>
      </c>
      <c r="N103">
        <v>1013</v>
      </c>
      <c r="O103" t="s">
        <v>277</v>
      </c>
      <c r="P103" t="s">
        <v>277</v>
      </c>
      <c r="Q103">
        <v>1</v>
      </c>
      <c r="X103">
        <v>26.8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24</v>
      </c>
      <c r="AG103">
        <v>29.480000000000004</v>
      </c>
      <c r="AH103">
        <v>2</v>
      </c>
      <c r="AI103">
        <v>60258903</v>
      </c>
      <c r="AJ103">
        <v>83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ROW(Source!A134)</f>
        <v>134</v>
      </c>
      <c r="B104">
        <v>60259022</v>
      </c>
      <c r="C104">
        <v>60258902</v>
      </c>
      <c r="D104">
        <v>59070370</v>
      </c>
      <c r="E104">
        <v>1</v>
      </c>
      <c r="F104">
        <v>1</v>
      </c>
      <c r="G104">
        <v>1080</v>
      </c>
      <c r="H104">
        <v>2</v>
      </c>
      <c r="I104" t="s">
        <v>318</v>
      </c>
      <c r="J104" t="s">
        <v>319</v>
      </c>
      <c r="K104" t="s">
        <v>320</v>
      </c>
      <c r="L104">
        <v>1368</v>
      </c>
      <c r="N104">
        <v>1011</v>
      </c>
      <c r="O104" t="s">
        <v>304</v>
      </c>
      <c r="P104" t="s">
        <v>304</v>
      </c>
      <c r="Q104">
        <v>1</v>
      </c>
      <c r="X104">
        <v>5.53</v>
      </c>
      <c r="Y104">
        <v>0</v>
      </c>
      <c r="Z104">
        <v>7.11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24</v>
      </c>
      <c r="AG104">
        <v>6.0830000000000011</v>
      </c>
      <c r="AH104">
        <v>2</v>
      </c>
      <c r="AI104">
        <v>60258904</v>
      </c>
      <c r="AJ104">
        <v>84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ROW(Source!A134)</f>
        <v>134</v>
      </c>
      <c r="B105">
        <v>60259023</v>
      </c>
      <c r="C105">
        <v>60258902</v>
      </c>
      <c r="D105">
        <v>59070669</v>
      </c>
      <c r="E105">
        <v>1</v>
      </c>
      <c r="F105">
        <v>1</v>
      </c>
      <c r="G105">
        <v>1080</v>
      </c>
      <c r="H105">
        <v>2</v>
      </c>
      <c r="I105" t="s">
        <v>301</v>
      </c>
      <c r="J105" t="s">
        <v>302</v>
      </c>
      <c r="K105" t="s">
        <v>303</v>
      </c>
      <c r="L105">
        <v>1368</v>
      </c>
      <c r="N105">
        <v>1011</v>
      </c>
      <c r="O105" t="s">
        <v>304</v>
      </c>
      <c r="P105" t="s">
        <v>304</v>
      </c>
      <c r="Q105">
        <v>1</v>
      </c>
      <c r="X105">
        <v>0.43</v>
      </c>
      <c r="Y105">
        <v>0</v>
      </c>
      <c r="Z105">
        <v>83.1</v>
      </c>
      <c r="AA105">
        <v>12.62</v>
      </c>
      <c r="AB105">
        <v>0</v>
      </c>
      <c r="AC105">
        <v>0</v>
      </c>
      <c r="AD105">
        <v>1</v>
      </c>
      <c r="AE105">
        <v>0</v>
      </c>
      <c r="AF105" t="s">
        <v>24</v>
      </c>
      <c r="AG105">
        <v>0.47300000000000003</v>
      </c>
      <c r="AH105">
        <v>2</v>
      </c>
      <c r="AI105">
        <v>60258905</v>
      </c>
      <c r="AJ105">
        <v>85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ROW(Source!A134)</f>
        <v>134</v>
      </c>
      <c r="B106">
        <v>60259024</v>
      </c>
      <c r="C106">
        <v>60258902</v>
      </c>
      <c r="D106">
        <v>59070721</v>
      </c>
      <c r="E106">
        <v>1</v>
      </c>
      <c r="F106">
        <v>1</v>
      </c>
      <c r="G106">
        <v>1080</v>
      </c>
      <c r="H106">
        <v>2</v>
      </c>
      <c r="I106" t="s">
        <v>321</v>
      </c>
      <c r="J106" t="s">
        <v>322</v>
      </c>
      <c r="K106" t="s">
        <v>323</v>
      </c>
      <c r="L106">
        <v>1368</v>
      </c>
      <c r="N106">
        <v>1011</v>
      </c>
      <c r="O106" t="s">
        <v>304</v>
      </c>
      <c r="P106" t="s">
        <v>304</v>
      </c>
      <c r="Q106">
        <v>1</v>
      </c>
      <c r="X106">
        <v>5.33</v>
      </c>
      <c r="Y106">
        <v>0</v>
      </c>
      <c r="Z106">
        <v>0.77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24</v>
      </c>
      <c r="AG106">
        <v>5.8630000000000004</v>
      </c>
      <c r="AH106">
        <v>2</v>
      </c>
      <c r="AI106">
        <v>60258906</v>
      </c>
      <c r="AJ106">
        <v>86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ROW(Source!A134)</f>
        <v>134</v>
      </c>
      <c r="B107">
        <v>60259025</v>
      </c>
      <c r="C107">
        <v>60258902</v>
      </c>
      <c r="D107">
        <v>59070045</v>
      </c>
      <c r="E107">
        <v>1</v>
      </c>
      <c r="F107">
        <v>1</v>
      </c>
      <c r="G107">
        <v>1080</v>
      </c>
      <c r="H107">
        <v>2</v>
      </c>
      <c r="I107" t="s">
        <v>324</v>
      </c>
      <c r="J107" t="s">
        <v>325</v>
      </c>
      <c r="K107" t="s">
        <v>326</v>
      </c>
      <c r="L107">
        <v>1368</v>
      </c>
      <c r="N107">
        <v>1011</v>
      </c>
      <c r="O107" t="s">
        <v>304</v>
      </c>
      <c r="P107" t="s">
        <v>304</v>
      </c>
      <c r="Q107">
        <v>1</v>
      </c>
      <c r="X107">
        <v>17.5</v>
      </c>
      <c r="Y107">
        <v>0</v>
      </c>
      <c r="Z107">
        <v>25.58</v>
      </c>
      <c r="AA107">
        <v>12.62</v>
      </c>
      <c r="AB107">
        <v>0</v>
      </c>
      <c r="AC107">
        <v>0</v>
      </c>
      <c r="AD107">
        <v>1</v>
      </c>
      <c r="AE107">
        <v>0</v>
      </c>
      <c r="AF107" t="s">
        <v>24</v>
      </c>
      <c r="AG107">
        <v>19.25</v>
      </c>
      <c r="AH107">
        <v>2</v>
      </c>
      <c r="AI107">
        <v>60258907</v>
      </c>
      <c r="AJ107">
        <v>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ROW(Source!A134)</f>
        <v>134</v>
      </c>
      <c r="B108">
        <v>60259026</v>
      </c>
      <c r="C108">
        <v>60258902</v>
      </c>
      <c r="D108">
        <v>59040049</v>
      </c>
      <c r="E108">
        <v>1</v>
      </c>
      <c r="F108">
        <v>1</v>
      </c>
      <c r="G108">
        <v>1080</v>
      </c>
      <c r="H108">
        <v>3</v>
      </c>
      <c r="I108" t="s">
        <v>327</v>
      </c>
      <c r="J108" t="s">
        <v>328</v>
      </c>
      <c r="K108" t="s">
        <v>329</v>
      </c>
      <c r="L108">
        <v>1348</v>
      </c>
      <c r="N108">
        <v>1009</v>
      </c>
      <c r="O108" t="s">
        <v>281</v>
      </c>
      <c r="P108" t="s">
        <v>281</v>
      </c>
      <c r="Q108">
        <v>1000</v>
      </c>
      <c r="X108">
        <v>1.0499999999999999E-3</v>
      </c>
      <c r="Y108">
        <v>8590.86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23</v>
      </c>
      <c r="AG108">
        <v>1.0499999999999999E-3</v>
      </c>
      <c r="AH108">
        <v>2</v>
      </c>
      <c r="AI108">
        <v>60258908</v>
      </c>
      <c r="AJ108">
        <v>88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ROW(Source!A134)</f>
        <v>134</v>
      </c>
      <c r="B109">
        <v>60259027</v>
      </c>
      <c r="C109">
        <v>60258902</v>
      </c>
      <c r="D109">
        <v>59039008</v>
      </c>
      <c r="E109">
        <v>1</v>
      </c>
      <c r="F109">
        <v>1</v>
      </c>
      <c r="G109">
        <v>1080</v>
      </c>
      <c r="H109">
        <v>3</v>
      </c>
      <c r="I109" t="s">
        <v>312</v>
      </c>
      <c r="J109" t="s">
        <v>313</v>
      </c>
      <c r="K109" t="s">
        <v>314</v>
      </c>
      <c r="L109">
        <v>1354</v>
      </c>
      <c r="N109">
        <v>1010</v>
      </c>
      <c r="O109" t="s">
        <v>216</v>
      </c>
      <c r="P109" t="s">
        <v>216</v>
      </c>
      <c r="Q109">
        <v>1</v>
      </c>
      <c r="X109">
        <v>82</v>
      </c>
      <c r="Y109">
        <v>0.89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23</v>
      </c>
      <c r="AG109">
        <v>82</v>
      </c>
      <c r="AH109">
        <v>2</v>
      </c>
      <c r="AI109">
        <v>60258909</v>
      </c>
      <c r="AJ109">
        <v>89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ROW(Source!A134)</f>
        <v>134</v>
      </c>
      <c r="B110">
        <v>60259028</v>
      </c>
      <c r="C110">
        <v>60258902</v>
      </c>
      <c r="D110">
        <v>59041375</v>
      </c>
      <c r="E110">
        <v>1</v>
      </c>
      <c r="F110">
        <v>1</v>
      </c>
      <c r="G110">
        <v>1080</v>
      </c>
      <c r="H110">
        <v>3</v>
      </c>
      <c r="I110" t="s">
        <v>330</v>
      </c>
      <c r="J110" t="s">
        <v>331</v>
      </c>
      <c r="K110" t="s">
        <v>332</v>
      </c>
      <c r="L110">
        <v>1346</v>
      </c>
      <c r="N110">
        <v>1009</v>
      </c>
      <c r="O110" t="s">
        <v>289</v>
      </c>
      <c r="P110" t="s">
        <v>289</v>
      </c>
      <c r="Q110">
        <v>1</v>
      </c>
      <c r="X110">
        <v>0.03</v>
      </c>
      <c r="Y110">
        <v>520.51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23</v>
      </c>
      <c r="AG110">
        <v>0.03</v>
      </c>
      <c r="AH110">
        <v>2</v>
      </c>
      <c r="AI110">
        <v>60258910</v>
      </c>
      <c r="AJ110">
        <v>90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ROW(Source!A134)</f>
        <v>134</v>
      </c>
      <c r="B111">
        <v>60259029</v>
      </c>
      <c r="C111">
        <v>60258902</v>
      </c>
      <c r="D111">
        <v>59039184</v>
      </c>
      <c r="E111">
        <v>1</v>
      </c>
      <c r="F111">
        <v>1</v>
      </c>
      <c r="G111">
        <v>1080</v>
      </c>
      <c r="H111">
        <v>3</v>
      </c>
      <c r="I111" t="s">
        <v>333</v>
      </c>
      <c r="J111" t="s">
        <v>334</v>
      </c>
      <c r="K111" t="s">
        <v>335</v>
      </c>
      <c r="L111">
        <v>1348</v>
      </c>
      <c r="N111">
        <v>1009</v>
      </c>
      <c r="O111" t="s">
        <v>281</v>
      </c>
      <c r="P111" t="s">
        <v>281</v>
      </c>
      <c r="Q111">
        <v>1000</v>
      </c>
      <c r="X111">
        <v>6.8000000000000005E-4</v>
      </c>
      <c r="Y111">
        <v>16180.28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23</v>
      </c>
      <c r="AG111">
        <v>6.8000000000000005E-4</v>
      </c>
      <c r="AH111">
        <v>2</v>
      </c>
      <c r="AI111">
        <v>60258911</v>
      </c>
      <c r="AJ111">
        <v>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ROW(Source!A134)</f>
        <v>134</v>
      </c>
      <c r="B112">
        <v>60259030</v>
      </c>
      <c r="C112">
        <v>60258902</v>
      </c>
      <c r="D112">
        <v>59039484</v>
      </c>
      <c r="E112">
        <v>1</v>
      </c>
      <c r="F112">
        <v>1</v>
      </c>
      <c r="G112">
        <v>1080</v>
      </c>
      <c r="H112">
        <v>3</v>
      </c>
      <c r="I112" t="s">
        <v>336</v>
      </c>
      <c r="J112" t="s">
        <v>337</v>
      </c>
      <c r="K112" t="s">
        <v>338</v>
      </c>
      <c r="L112">
        <v>1348</v>
      </c>
      <c r="N112">
        <v>1009</v>
      </c>
      <c r="O112" t="s">
        <v>281</v>
      </c>
      <c r="P112" t="s">
        <v>281</v>
      </c>
      <c r="Q112">
        <v>1000</v>
      </c>
      <c r="X112">
        <v>2.0999999999999999E-3</v>
      </c>
      <c r="Y112">
        <v>7973.67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23</v>
      </c>
      <c r="AG112">
        <v>2.0999999999999999E-3</v>
      </c>
      <c r="AH112">
        <v>2</v>
      </c>
      <c r="AI112">
        <v>60258912</v>
      </c>
      <c r="AJ112">
        <v>92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ROW(Source!A134)</f>
        <v>134</v>
      </c>
      <c r="B113">
        <v>60259031</v>
      </c>
      <c r="C113">
        <v>60258902</v>
      </c>
      <c r="D113">
        <v>59063054</v>
      </c>
      <c r="E113">
        <v>1</v>
      </c>
      <c r="F113">
        <v>1</v>
      </c>
      <c r="G113">
        <v>1080</v>
      </c>
      <c r="H113">
        <v>3</v>
      </c>
      <c r="I113" t="s">
        <v>339</v>
      </c>
      <c r="J113" t="s">
        <v>340</v>
      </c>
      <c r="K113" t="s">
        <v>341</v>
      </c>
      <c r="L113">
        <v>1358</v>
      </c>
      <c r="N113">
        <v>1010</v>
      </c>
      <c r="O113" t="s">
        <v>342</v>
      </c>
      <c r="P113" t="s">
        <v>342</v>
      </c>
      <c r="Q113">
        <v>10</v>
      </c>
      <c r="X113">
        <v>1.02</v>
      </c>
      <c r="Y113">
        <v>5.46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23</v>
      </c>
      <c r="AG113">
        <v>1.02</v>
      </c>
      <c r="AH113">
        <v>2</v>
      </c>
      <c r="AI113">
        <v>60258913</v>
      </c>
      <c r="AJ113">
        <v>94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ROW(Source!A134)</f>
        <v>134</v>
      </c>
      <c r="B114">
        <v>60259032</v>
      </c>
      <c r="C114">
        <v>60258902</v>
      </c>
      <c r="D114">
        <v>59063148</v>
      </c>
      <c r="E114">
        <v>1</v>
      </c>
      <c r="F114">
        <v>1</v>
      </c>
      <c r="G114">
        <v>1080</v>
      </c>
      <c r="H114">
        <v>3</v>
      </c>
      <c r="I114" t="s">
        <v>343</v>
      </c>
      <c r="J114" t="s">
        <v>344</v>
      </c>
      <c r="K114" t="s">
        <v>345</v>
      </c>
      <c r="L114">
        <v>1354</v>
      </c>
      <c r="N114">
        <v>1010</v>
      </c>
      <c r="O114" t="s">
        <v>216</v>
      </c>
      <c r="P114" t="s">
        <v>216</v>
      </c>
      <c r="Q114">
        <v>1</v>
      </c>
      <c r="X114">
        <v>8</v>
      </c>
      <c r="Y114">
        <v>14.99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23</v>
      </c>
      <c r="AG114">
        <v>8</v>
      </c>
      <c r="AH114">
        <v>2</v>
      </c>
      <c r="AI114">
        <v>60258914</v>
      </c>
      <c r="AJ114">
        <v>95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ROW(Source!A134)</f>
        <v>134</v>
      </c>
      <c r="B115">
        <v>60259033</v>
      </c>
      <c r="C115">
        <v>60258902</v>
      </c>
      <c r="D115">
        <v>59062463</v>
      </c>
      <c r="E115">
        <v>1</v>
      </c>
      <c r="F115">
        <v>1</v>
      </c>
      <c r="G115">
        <v>1080</v>
      </c>
      <c r="H115">
        <v>3</v>
      </c>
      <c r="I115" t="s">
        <v>346</v>
      </c>
      <c r="J115" t="s">
        <v>347</v>
      </c>
      <c r="K115" t="s">
        <v>348</v>
      </c>
      <c r="L115">
        <v>1356</v>
      </c>
      <c r="N115">
        <v>1010</v>
      </c>
      <c r="O115" t="s">
        <v>349</v>
      </c>
      <c r="P115" t="s">
        <v>349</v>
      </c>
      <c r="Q115">
        <v>1000</v>
      </c>
      <c r="X115">
        <v>4.1000000000000002E-2</v>
      </c>
      <c r="Y115">
        <v>919.92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23</v>
      </c>
      <c r="AG115">
        <v>4.1000000000000002E-2</v>
      </c>
      <c r="AH115">
        <v>2</v>
      </c>
      <c r="AI115">
        <v>60258915</v>
      </c>
      <c r="AJ115">
        <v>96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ROW(Source!A134)</f>
        <v>134</v>
      </c>
      <c r="B116">
        <v>60259034</v>
      </c>
      <c r="C116">
        <v>60258902</v>
      </c>
      <c r="D116">
        <v>58996653</v>
      </c>
      <c r="E116">
        <v>1080</v>
      </c>
      <c r="F116">
        <v>1</v>
      </c>
      <c r="G116">
        <v>1080</v>
      </c>
      <c r="H116">
        <v>3</v>
      </c>
      <c r="I116" t="s">
        <v>392</v>
      </c>
      <c r="J116" t="s">
        <v>3</v>
      </c>
      <c r="K116" t="s">
        <v>393</v>
      </c>
      <c r="L116">
        <v>1301</v>
      </c>
      <c r="N116">
        <v>1003</v>
      </c>
      <c r="O116" t="s">
        <v>211</v>
      </c>
      <c r="P116" t="s">
        <v>211</v>
      </c>
      <c r="Q116">
        <v>1</v>
      </c>
      <c r="X116">
        <v>103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23</v>
      </c>
      <c r="AG116">
        <v>103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ROW(Source!A134)</f>
        <v>134</v>
      </c>
      <c r="B117">
        <v>60259035</v>
      </c>
      <c r="C117">
        <v>60258902</v>
      </c>
      <c r="D117">
        <v>58999463</v>
      </c>
      <c r="E117">
        <v>1080</v>
      </c>
      <c r="F117">
        <v>1</v>
      </c>
      <c r="G117">
        <v>1080</v>
      </c>
      <c r="H117">
        <v>3</v>
      </c>
      <c r="I117" t="s">
        <v>394</v>
      </c>
      <c r="J117" t="s">
        <v>3</v>
      </c>
      <c r="K117" t="s">
        <v>395</v>
      </c>
      <c r="L117">
        <v>1354</v>
      </c>
      <c r="N117">
        <v>1010</v>
      </c>
      <c r="O117" t="s">
        <v>216</v>
      </c>
      <c r="P117" t="s">
        <v>216</v>
      </c>
      <c r="Q117">
        <v>1</v>
      </c>
      <c r="X117">
        <v>17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23</v>
      </c>
      <c r="AG117">
        <v>17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ROW(Source!A134)</f>
        <v>134</v>
      </c>
      <c r="B118">
        <v>60259036</v>
      </c>
      <c r="C118">
        <v>60258902</v>
      </c>
      <c r="D118">
        <v>59012413</v>
      </c>
      <c r="E118">
        <v>1080</v>
      </c>
      <c r="F118">
        <v>1</v>
      </c>
      <c r="G118">
        <v>1080</v>
      </c>
      <c r="H118">
        <v>3</v>
      </c>
      <c r="I118" t="s">
        <v>396</v>
      </c>
      <c r="J118" t="s">
        <v>3</v>
      </c>
      <c r="K118" t="s">
        <v>397</v>
      </c>
      <c r="L118">
        <v>1355</v>
      </c>
      <c r="N118">
        <v>1010</v>
      </c>
      <c r="O118" t="s">
        <v>140</v>
      </c>
      <c r="P118" t="s">
        <v>140</v>
      </c>
      <c r="Q118">
        <v>100</v>
      </c>
      <c r="X118">
        <v>0.65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23</v>
      </c>
      <c r="AG118">
        <v>0.65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ROW(Source!A134)</f>
        <v>134</v>
      </c>
      <c r="B119">
        <v>60259037</v>
      </c>
      <c r="C119">
        <v>60258902</v>
      </c>
      <c r="D119">
        <v>59013644</v>
      </c>
      <c r="E119">
        <v>1080</v>
      </c>
      <c r="F119">
        <v>1</v>
      </c>
      <c r="G119">
        <v>1080</v>
      </c>
      <c r="H119">
        <v>3</v>
      </c>
      <c r="I119" t="s">
        <v>398</v>
      </c>
      <c r="J119" t="s">
        <v>3</v>
      </c>
      <c r="K119" t="s">
        <v>399</v>
      </c>
      <c r="L119">
        <v>1354</v>
      </c>
      <c r="N119">
        <v>1010</v>
      </c>
      <c r="O119" t="s">
        <v>216</v>
      </c>
      <c r="P119" t="s">
        <v>216</v>
      </c>
      <c r="Q119">
        <v>1</v>
      </c>
      <c r="X119">
        <v>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23</v>
      </c>
      <c r="AG119">
        <v>8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ROW(Source!A134)</f>
        <v>134</v>
      </c>
      <c r="B120">
        <v>60259038</v>
      </c>
      <c r="C120">
        <v>60258902</v>
      </c>
      <c r="D120">
        <v>59014459</v>
      </c>
      <c r="E120">
        <v>1080</v>
      </c>
      <c r="F120">
        <v>1</v>
      </c>
      <c r="G120">
        <v>1080</v>
      </c>
      <c r="H120">
        <v>3</v>
      </c>
      <c r="I120" t="s">
        <v>400</v>
      </c>
      <c r="J120" t="s">
        <v>3</v>
      </c>
      <c r="K120" t="s">
        <v>401</v>
      </c>
      <c r="L120">
        <v>1354</v>
      </c>
      <c r="N120">
        <v>1010</v>
      </c>
      <c r="O120" t="s">
        <v>216</v>
      </c>
      <c r="P120" t="s">
        <v>216</v>
      </c>
      <c r="Q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23</v>
      </c>
      <c r="AG120">
        <v>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ROW(Source!A139)</f>
        <v>139</v>
      </c>
      <c r="B121">
        <v>60259039</v>
      </c>
      <c r="C121">
        <v>60258937</v>
      </c>
      <c r="D121">
        <v>58999254</v>
      </c>
      <c r="E121">
        <v>1080</v>
      </c>
      <c r="F121">
        <v>1</v>
      </c>
      <c r="G121">
        <v>1080</v>
      </c>
      <c r="H121">
        <v>1</v>
      </c>
      <c r="I121" t="s">
        <v>275</v>
      </c>
      <c r="J121" t="s">
        <v>3</v>
      </c>
      <c r="K121" t="s">
        <v>276</v>
      </c>
      <c r="L121">
        <v>1191</v>
      </c>
      <c r="N121">
        <v>1013</v>
      </c>
      <c r="O121" t="s">
        <v>277</v>
      </c>
      <c r="P121" t="s">
        <v>277</v>
      </c>
      <c r="Q121">
        <v>1</v>
      </c>
      <c r="X121">
        <v>4.49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24</v>
      </c>
      <c r="AG121">
        <v>4.9390000000000009</v>
      </c>
      <c r="AH121">
        <v>2</v>
      </c>
      <c r="AI121">
        <v>60258938</v>
      </c>
      <c r="AJ121">
        <v>97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ROW(Source!A139)</f>
        <v>139</v>
      </c>
      <c r="B122">
        <v>60259040</v>
      </c>
      <c r="C122">
        <v>60258937</v>
      </c>
      <c r="D122">
        <v>59070669</v>
      </c>
      <c r="E122">
        <v>1</v>
      </c>
      <c r="F122">
        <v>1</v>
      </c>
      <c r="G122">
        <v>1080</v>
      </c>
      <c r="H122">
        <v>2</v>
      </c>
      <c r="I122" t="s">
        <v>301</v>
      </c>
      <c r="J122" t="s">
        <v>302</v>
      </c>
      <c r="K122" t="s">
        <v>303</v>
      </c>
      <c r="L122">
        <v>1368</v>
      </c>
      <c r="N122">
        <v>1011</v>
      </c>
      <c r="O122" t="s">
        <v>304</v>
      </c>
      <c r="P122" t="s">
        <v>304</v>
      </c>
      <c r="Q122">
        <v>1</v>
      </c>
      <c r="X122">
        <v>0.01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24</v>
      </c>
      <c r="AG122">
        <v>1.1000000000000001E-2</v>
      </c>
      <c r="AH122">
        <v>2</v>
      </c>
      <c r="AI122">
        <v>60258939</v>
      </c>
      <c r="AJ122">
        <v>98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ROW(Source!A139)</f>
        <v>139</v>
      </c>
      <c r="B123">
        <v>60259041</v>
      </c>
      <c r="C123">
        <v>60258937</v>
      </c>
      <c r="D123">
        <v>59069905</v>
      </c>
      <c r="E123">
        <v>1</v>
      </c>
      <c r="F123">
        <v>1</v>
      </c>
      <c r="G123">
        <v>1080</v>
      </c>
      <c r="H123">
        <v>2</v>
      </c>
      <c r="I123" t="s">
        <v>350</v>
      </c>
      <c r="J123" t="s">
        <v>351</v>
      </c>
      <c r="K123" t="s">
        <v>352</v>
      </c>
      <c r="L123">
        <v>1368</v>
      </c>
      <c r="N123">
        <v>1011</v>
      </c>
      <c r="O123" t="s">
        <v>304</v>
      </c>
      <c r="P123" t="s">
        <v>304</v>
      </c>
      <c r="Q123">
        <v>1</v>
      </c>
      <c r="X123">
        <v>0.01</v>
      </c>
      <c r="Y123">
        <v>0</v>
      </c>
      <c r="Z123">
        <v>179.17</v>
      </c>
      <c r="AA123">
        <v>16.93</v>
      </c>
      <c r="AB123">
        <v>0</v>
      </c>
      <c r="AC123">
        <v>0</v>
      </c>
      <c r="AD123">
        <v>1</v>
      </c>
      <c r="AE123">
        <v>0</v>
      </c>
      <c r="AF123" t="s">
        <v>24</v>
      </c>
      <c r="AG123">
        <v>1.1000000000000001E-2</v>
      </c>
      <c r="AH123">
        <v>2</v>
      </c>
      <c r="AI123">
        <v>60258940</v>
      </c>
      <c r="AJ123">
        <v>99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ROW(Source!A139)</f>
        <v>139</v>
      </c>
      <c r="B124">
        <v>60259042</v>
      </c>
      <c r="C124">
        <v>60258937</v>
      </c>
      <c r="D124">
        <v>59039702</v>
      </c>
      <c r="E124">
        <v>1</v>
      </c>
      <c r="F124">
        <v>1</v>
      </c>
      <c r="G124">
        <v>1080</v>
      </c>
      <c r="H124">
        <v>3</v>
      </c>
      <c r="I124" t="s">
        <v>353</v>
      </c>
      <c r="J124" t="s">
        <v>354</v>
      </c>
      <c r="K124" t="s">
        <v>355</v>
      </c>
      <c r="L124">
        <v>1346</v>
      </c>
      <c r="N124">
        <v>1009</v>
      </c>
      <c r="O124" t="s">
        <v>289</v>
      </c>
      <c r="P124" t="s">
        <v>289</v>
      </c>
      <c r="Q124">
        <v>1</v>
      </c>
      <c r="X124">
        <v>0.43</v>
      </c>
      <c r="Y124">
        <v>1.38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23</v>
      </c>
      <c r="AG124">
        <v>0.43</v>
      </c>
      <c r="AH124">
        <v>2</v>
      </c>
      <c r="AI124">
        <v>60258941</v>
      </c>
      <c r="AJ124">
        <v>100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ROW(Source!A139)</f>
        <v>139</v>
      </c>
      <c r="B125">
        <v>60259043</v>
      </c>
      <c r="C125">
        <v>60258937</v>
      </c>
      <c r="D125">
        <v>59040093</v>
      </c>
      <c r="E125">
        <v>1</v>
      </c>
      <c r="F125">
        <v>1</v>
      </c>
      <c r="G125">
        <v>1080</v>
      </c>
      <c r="H125">
        <v>3</v>
      </c>
      <c r="I125" t="s">
        <v>309</v>
      </c>
      <c r="J125" t="s">
        <v>310</v>
      </c>
      <c r="K125" t="s">
        <v>311</v>
      </c>
      <c r="L125">
        <v>1346</v>
      </c>
      <c r="N125">
        <v>1009</v>
      </c>
      <c r="O125" t="s">
        <v>289</v>
      </c>
      <c r="P125" t="s">
        <v>289</v>
      </c>
      <c r="Q125">
        <v>1</v>
      </c>
      <c r="X125">
        <v>0.16</v>
      </c>
      <c r="Y125">
        <v>159.06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23</v>
      </c>
      <c r="AG125">
        <v>0.16</v>
      </c>
      <c r="AH125">
        <v>2</v>
      </c>
      <c r="AI125">
        <v>60258942</v>
      </c>
      <c r="AJ125">
        <v>101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ROW(Source!A139)</f>
        <v>139</v>
      </c>
      <c r="B126">
        <v>60259044</v>
      </c>
      <c r="C126">
        <v>60258937</v>
      </c>
      <c r="D126">
        <v>59063036</v>
      </c>
      <c r="E126">
        <v>1</v>
      </c>
      <c r="F126">
        <v>1</v>
      </c>
      <c r="G126">
        <v>1080</v>
      </c>
      <c r="H126">
        <v>3</v>
      </c>
      <c r="I126" t="s">
        <v>356</v>
      </c>
      <c r="J126" t="s">
        <v>357</v>
      </c>
      <c r="K126" t="s">
        <v>358</v>
      </c>
      <c r="L126">
        <v>1355</v>
      </c>
      <c r="N126">
        <v>1010</v>
      </c>
      <c r="O126" t="s">
        <v>140</v>
      </c>
      <c r="P126" t="s">
        <v>140</v>
      </c>
      <c r="Q126">
        <v>100</v>
      </c>
      <c r="X126">
        <v>0.05</v>
      </c>
      <c r="Y126">
        <v>68.819999999999993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23</v>
      </c>
      <c r="AG126">
        <v>0.05</v>
      </c>
      <c r="AH126">
        <v>2</v>
      </c>
      <c r="AI126">
        <v>60258943</v>
      </c>
      <c r="AJ126">
        <v>102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ROW(Source!A139)</f>
        <v>139</v>
      </c>
      <c r="B127">
        <v>60259045</v>
      </c>
      <c r="C127">
        <v>60258937</v>
      </c>
      <c r="D127">
        <v>59063047</v>
      </c>
      <c r="E127">
        <v>1</v>
      </c>
      <c r="F127">
        <v>1</v>
      </c>
      <c r="G127">
        <v>1080</v>
      </c>
      <c r="H127">
        <v>3</v>
      </c>
      <c r="I127" t="s">
        <v>359</v>
      </c>
      <c r="J127" t="s">
        <v>360</v>
      </c>
      <c r="K127" t="s">
        <v>361</v>
      </c>
      <c r="L127">
        <v>1356</v>
      </c>
      <c r="N127">
        <v>1010</v>
      </c>
      <c r="O127" t="s">
        <v>349</v>
      </c>
      <c r="P127" t="s">
        <v>349</v>
      </c>
      <c r="Q127">
        <v>1000</v>
      </c>
      <c r="X127">
        <v>1.2200000000000001E-2</v>
      </c>
      <c r="Y127">
        <v>183.4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23</v>
      </c>
      <c r="AG127">
        <v>1.2200000000000001E-2</v>
      </c>
      <c r="AH127">
        <v>2</v>
      </c>
      <c r="AI127">
        <v>60258944</v>
      </c>
      <c r="AJ127">
        <v>103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ROW(Source!A139)</f>
        <v>139</v>
      </c>
      <c r="B128">
        <v>60259046</v>
      </c>
      <c r="C128">
        <v>60258937</v>
      </c>
      <c r="D128">
        <v>59062373</v>
      </c>
      <c r="E128">
        <v>1</v>
      </c>
      <c r="F128">
        <v>1</v>
      </c>
      <c r="G128">
        <v>1080</v>
      </c>
      <c r="H128">
        <v>3</v>
      </c>
      <c r="I128" t="s">
        <v>362</v>
      </c>
      <c r="J128" t="s">
        <v>363</v>
      </c>
      <c r="K128" t="s">
        <v>364</v>
      </c>
      <c r="L128">
        <v>1354</v>
      </c>
      <c r="N128">
        <v>1010</v>
      </c>
      <c r="O128" t="s">
        <v>216</v>
      </c>
      <c r="P128" t="s">
        <v>216</v>
      </c>
      <c r="Q128">
        <v>1</v>
      </c>
      <c r="X128">
        <v>3.1</v>
      </c>
      <c r="Y128">
        <v>6.94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23</v>
      </c>
      <c r="AG128">
        <v>3.1</v>
      </c>
      <c r="AH128">
        <v>2</v>
      </c>
      <c r="AI128">
        <v>60258945</v>
      </c>
      <c r="AJ128">
        <v>104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ROW(Source!A139)</f>
        <v>139</v>
      </c>
      <c r="B129">
        <v>60259047</v>
      </c>
      <c r="C129">
        <v>60258937</v>
      </c>
      <c r="D129">
        <v>59062380</v>
      </c>
      <c r="E129">
        <v>1</v>
      </c>
      <c r="F129">
        <v>1</v>
      </c>
      <c r="G129">
        <v>1080</v>
      </c>
      <c r="H129">
        <v>3</v>
      </c>
      <c r="I129" t="s">
        <v>365</v>
      </c>
      <c r="J129" t="s">
        <v>366</v>
      </c>
      <c r="K129" t="s">
        <v>367</v>
      </c>
      <c r="L129">
        <v>1356</v>
      </c>
      <c r="N129">
        <v>1010</v>
      </c>
      <c r="O129" t="s">
        <v>349</v>
      </c>
      <c r="P129" t="s">
        <v>349</v>
      </c>
      <c r="Q129">
        <v>1000</v>
      </c>
      <c r="X129">
        <v>8.0000000000000002E-3</v>
      </c>
      <c r="Y129">
        <v>614.09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23</v>
      </c>
      <c r="AG129">
        <v>8.0000000000000002E-3</v>
      </c>
      <c r="AH129">
        <v>2</v>
      </c>
      <c r="AI129">
        <v>60258946</v>
      </c>
      <c r="AJ129">
        <v>105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ROW(Source!A139)</f>
        <v>139</v>
      </c>
      <c r="B130">
        <v>60259048</v>
      </c>
      <c r="C130">
        <v>60258937</v>
      </c>
      <c r="D130">
        <v>59014724</v>
      </c>
      <c r="E130">
        <v>1080</v>
      </c>
      <c r="F130">
        <v>1</v>
      </c>
      <c r="G130">
        <v>1080</v>
      </c>
      <c r="H130">
        <v>3</v>
      </c>
      <c r="I130" t="s">
        <v>402</v>
      </c>
      <c r="J130" t="s">
        <v>3</v>
      </c>
      <c r="K130" t="s">
        <v>403</v>
      </c>
      <c r="L130">
        <v>1303</v>
      </c>
      <c r="N130">
        <v>1003</v>
      </c>
      <c r="O130" t="s">
        <v>240</v>
      </c>
      <c r="P130" t="s">
        <v>240</v>
      </c>
      <c r="Q130">
        <v>1000</v>
      </c>
      <c r="X130">
        <v>0.10299999999999999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23</v>
      </c>
      <c r="AG130">
        <v>0.10299999999999999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ROW(Source!A140)</f>
        <v>140</v>
      </c>
      <c r="B131">
        <v>60259039</v>
      </c>
      <c r="C131">
        <v>60258937</v>
      </c>
      <c r="D131">
        <v>58999254</v>
      </c>
      <c r="E131">
        <v>1080</v>
      </c>
      <c r="F131">
        <v>1</v>
      </c>
      <c r="G131">
        <v>1080</v>
      </c>
      <c r="H131">
        <v>1</v>
      </c>
      <c r="I131" t="s">
        <v>275</v>
      </c>
      <c r="J131" t="s">
        <v>3</v>
      </c>
      <c r="K131" t="s">
        <v>276</v>
      </c>
      <c r="L131">
        <v>1191</v>
      </c>
      <c r="N131">
        <v>1013</v>
      </c>
      <c r="O131" t="s">
        <v>277</v>
      </c>
      <c r="P131" t="s">
        <v>277</v>
      </c>
      <c r="Q131">
        <v>1</v>
      </c>
      <c r="X131">
        <v>4.49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24</v>
      </c>
      <c r="AG131">
        <v>4.9390000000000009</v>
      </c>
      <c r="AH131">
        <v>2</v>
      </c>
      <c r="AI131">
        <v>60258938</v>
      </c>
      <c r="AJ131">
        <v>106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ROW(Source!A140)</f>
        <v>140</v>
      </c>
      <c r="B132">
        <v>60259040</v>
      </c>
      <c r="C132">
        <v>60258937</v>
      </c>
      <c r="D132">
        <v>59070669</v>
      </c>
      <c r="E132">
        <v>1</v>
      </c>
      <c r="F132">
        <v>1</v>
      </c>
      <c r="G132">
        <v>1080</v>
      </c>
      <c r="H132">
        <v>2</v>
      </c>
      <c r="I132" t="s">
        <v>301</v>
      </c>
      <c r="J132" t="s">
        <v>302</v>
      </c>
      <c r="K132" t="s">
        <v>303</v>
      </c>
      <c r="L132">
        <v>1368</v>
      </c>
      <c r="N132">
        <v>1011</v>
      </c>
      <c r="O132" t="s">
        <v>304</v>
      </c>
      <c r="P132" t="s">
        <v>304</v>
      </c>
      <c r="Q132">
        <v>1</v>
      </c>
      <c r="X132">
        <v>0.01</v>
      </c>
      <c r="Y132">
        <v>0</v>
      </c>
      <c r="Z132">
        <v>83.1</v>
      </c>
      <c r="AA132">
        <v>12.62</v>
      </c>
      <c r="AB132">
        <v>0</v>
      </c>
      <c r="AC132">
        <v>0</v>
      </c>
      <c r="AD132">
        <v>1</v>
      </c>
      <c r="AE132">
        <v>0</v>
      </c>
      <c r="AF132" t="s">
        <v>24</v>
      </c>
      <c r="AG132">
        <v>1.1000000000000001E-2</v>
      </c>
      <c r="AH132">
        <v>2</v>
      </c>
      <c r="AI132">
        <v>60258939</v>
      </c>
      <c r="AJ132">
        <v>107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ROW(Source!A140)</f>
        <v>140</v>
      </c>
      <c r="B133">
        <v>60259041</v>
      </c>
      <c r="C133">
        <v>60258937</v>
      </c>
      <c r="D133">
        <v>59069905</v>
      </c>
      <c r="E133">
        <v>1</v>
      </c>
      <c r="F133">
        <v>1</v>
      </c>
      <c r="G133">
        <v>1080</v>
      </c>
      <c r="H133">
        <v>2</v>
      </c>
      <c r="I133" t="s">
        <v>350</v>
      </c>
      <c r="J133" t="s">
        <v>351</v>
      </c>
      <c r="K133" t="s">
        <v>352</v>
      </c>
      <c r="L133">
        <v>1368</v>
      </c>
      <c r="N133">
        <v>1011</v>
      </c>
      <c r="O133" t="s">
        <v>304</v>
      </c>
      <c r="P133" t="s">
        <v>304</v>
      </c>
      <c r="Q133">
        <v>1</v>
      </c>
      <c r="X133">
        <v>0.01</v>
      </c>
      <c r="Y133">
        <v>0</v>
      </c>
      <c r="Z133">
        <v>179.17</v>
      </c>
      <c r="AA133">
        <v>16.93</v>
      </c>
      <c r="AB133">
        <v>0</v>
      </c>
      <c r="AC133">
        <v>0</v>
      </c>
      <c r="AD133">
        <v>1</v>
      </c>
      <c r="AE133">
        <v>0</v>
      </c>
      <c r="AF133" t="s">
        <v>24</v>
      </c>
      <c r="AG133">
        <v>1.1000000000000001E-2</v>
      </c>
      <c r="AH133">
        <v>2</v>
      </c>
      <c r="AI133">
        <v>60258940</v>
      </c>
      <c r="AJ133">
        <v>108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ROW(Source!A140)</f>
        <v>140</v>
      </c>
      <c r="B134">
        <v>60259042</v>
      </c>
      <c r="C134">
        <v>60258937</v>
      </c>
      <c r="D134">
        <v>59039702</v>
      </c>
      <c r="E134">
        <v>1</v>
      </c>
      <c r="F134">
        <v>1</v>
      </c>
      <c r="G134">
        <v>1080</v>
      </c>
      <c r="H134">
        <v>3</v>
      </c>
      <c r="I134" t="s">
        <v>353</v>
      </c>
      <c r="J134" t="s">
        <v>354</v>
      </c>
      <c r="K134" t="s">
        <v>355</v>
      </c>
      <c r="L134">
        <v>1346</v>
      </c>
      <c r="N134">
        <v>1009</v>
      </c>
      <c r="O134" t="s">
        <v>289</v>
      </c>
      <c r="P134" t="s">
        <v>289</v>
      </c>
      <c r="Q134">
        <v>1</v>
      </c>
      <c r="X134">
        <v>0.43</v>
      </c>
      <c r="Y134">
        <v>1.38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23</v>
      </c>
      <c r="AG134">
        <v>0.43</v>
      </c>
      <c r="AH134">
        <v>2</v>
      </c>
      <c r="AI134">
        <v>60258941</v>
      </c>
      <c r="AJ134">
        <v>109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ROW(Source!A140)</f>
        <v>140</v>
      </c>
      <c r="B135">
        <v>60259043</v>
      </c>
      <c r="C135">
        <v>60258937</v>
      </c>
      <c r="D135">
        <v>59040093</v>
      </c>
      <c r="E135">
        <v>1</v>
      </c>
      <c r="F135">
        <v>1</v>
      </c>
      <c r="G135">
        <v>1080</v>
      </c>
      <c r="H135">
        <v>3</v>
      </c>
      <c r="I135" t="s">
        <v>309</v>
      </c>
      <c r="J135" t="s">
        <v>310</v>
      </c>
      <c r="K135" t="s">
        <v>311</v>
      </c>
      <c r="L135">
        <v>1346</v>
      </c>
      <c r="N135">
        <v>1009</v>
      </c>
      <c r="O135" t="s">
        <v>289</v>
      </c>
      <c r="P135" t="s">
        <v>289</v>
      </c>
      <c r="Q135">
        <v>1</v>
      </c>
      <c r="X135">
        <v>0.16</v>
      </c>
      <c r="Y135">
        <v>159.06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23</v>
      </c>
      <c r="AG135">
        <v>0.16</v>
      </c>
      <c r="AH135">
        <v>2</v>
      </c>
      <c r="AI135">
        <v>60258942</v>
      </c>
      <c r="AJ135">
        <v>110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ROW(Source!A140)</f>
        <v>140</v>
      </c>
      <c r="B136">
        <v>60259044</v>
      </c>
      <c r="C136">
        <v>60258937</v>
      </c>
      <c r="D136">
        <v>59063036</v>
      </c>
      <c r="E136">
        <v>1</v>
      </c>
      <c r="F136">
        <v>1</v>
      </c>
      <c r="G136">
        <v>1080</v>
      </c>
      <c r="H136">
        <v>3</v>
      </c>
      <c r="I136" t="s">
        <v>356</v>
      </c>
      <c r="J136" t="s">
        <v>357</v>
      </c>
      <c r="K136" t="s">
        <v>358</v>
      </c>
      <c r="L136">
        <v>1355</v>
      </c>
      <c r="N136">
        <v>1010</v>
      </c>
      <c r="O136" t="s">
        <v>140</v>
      </c>
      <c r="P136" t="s">
        <v>140</v>
      </c>
      <c r="Q136">
        <v>100</v>
      </c>
      <c r="X136">
        <v>0.05</v>
      </c>
      <c r="Y136">
        <v>68.819999999999993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23</v>
      </c>
      <c r="AG136">
        <v>0.05</v>
      </c>
      <c r="AH136">
        <v>2</v>
      </c>
      <c r="AI136">
        <v>60258943</v>
      </c>
      <c r="AJ136">
        <v>111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ROW(Source!A140)</f>
        <v>140</v>
      </c>
      <c r="B137">
        <v>60259045</v>
      </c>
      <c r="C137">
        <v>60258937</v>
      </c>
      <c r="D137">
        <v>59063047</v>
      </c>
      <c r="E137">
        <v>1</v>
      </c>
      <c r="F137">
        <v>1</v>
      </c>
      <c r="G137">
        <v>1080</v>
      </c>
      <c r="H137">
        <v>3</v>
      </c>
      <c r="I137" t="s">
        <v>359</v>
      </c>
      <c r="J137" t="s">
        <v>360</v>
      </c>
      <c r="K137" t="s">
        <v>361</v>
      </c>
      <c r="L137">
        <v>1356</v>
      </c>
      <c r="N137">
        <v>1010</v>
      </c>
      <c r="O137" t="s">
        <v>349</v>
      </c>
      <c r="P137" t="s">
        <v>349</v>
      </c>
      <c r="Q137">
        <v>1000</v>
      </c>
      <c r="X137">
        <v>1.2200000000000001E-2</v>
      </c>
      <c r="Y137">
        <v>183.4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23</v>
      </c>
      <c r="AG137">
        <v>1.2200000000000001E-2</v>
      </c>
      <c r="AH137">
        <v>2</v>
      </c>
      <c r="AI137">
        <v>60258944</v>
      </c>
      <c r="AJ137">
        <v>112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ROW(Source!A140)</f>
        <v>140</v>
      </c>
      <c r="B138">
        <v>60259046</v>
      </c>
      <c r="C138">
        <v>60258937</v>
      </c>
      <c r="D138">
        <v>59062373</v>
      </c>
      <c r="E138">
        <v>1</v>
      </c>
      <c r="F138">
        <v>1</v>
      </c>
      <c r="G138">
        <v>1080</v>
      </c>
      <c r="H138">
        <v>3</v>
      </c>
      <c r="I138" t="s">
        <v>362</v>
      </c>
      <c r="J138" t="s">
        <v>363</v>
      </c>
      <c r="K138" t="s">
        <v>364</v>
      </c>
      <c r="L138">
        <v>1354</v>
      </c>
      <c r="N138">
        <v>1010</v>
      </c>
      <c r="O138" t="s">
        <v>216</v>
      </c>
      <c r="P138" t="s">
        <v>216</v>
      </c>
      <c r="Q138">
        <v>1</v>
      </c>
      <c r="X138">
        <v>3.1</v>
      </c>
      <c r="Y138">
        <v>6.94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23</v>
      </c>
      <c r="AG138">
        <v>3.1</v>
      </c>
      <c r="AH138">
        <v>2</v>
      </c>
      <c r="AI138">
        <v>60258945</v>
      </c>
      <c r="AJ138">
        <v>113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ROW(Source!A140)</f>
        <v>140</v>
      </c>
      <c r="B139">
        <v>60259047</v>
      </c>
      <c r="C139">
        <v>60258937</v>
      </c>
      <c r="D139">
        <v>59062380</v>
      </c>
      <c r="E139">
        <v>1</v>
      </c>
      <c r="F139">
        <v>1</v>
      </c>
      <c r="G139">
        <v>1080</v>
      </c>
      <c r="H139">
        <v>3</v>
      </c>
      <c r="I139" t="s">
        <v>365</v>
      </c>
      <c r="J139" t="s">
        <v>366</v>
      </c>
      <c r="K139" t="s">
        <v>367</v>
      </c>
      <c r="L139">
        <v>1356</v>
      </c>
      <c r="N139">
        <v>1010</v>
      </c>
      <c r="O139" t="s">
        <v>349</v>
      </c>
      <c r="P139" t="s">
        <v>349</v>
      </c>
      <c r="Q139">
        <v>1000</v>
      </c>
      <c r="X139">
        <v>8.0000000000000002E-3</v>
      </c>
      <c r="Y139">
        <v>614.09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23</v>
      </c>
      <c r="AG139">
        <v>8.0000000000000002E-3</v>
      </c>
      <c r="AH139">
        <v>2</v>
      </c>
      <c r="AI139">
        <v>60258946</v>
      </c>
      <c r="AJ139">
        <v>114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ROW(Source!A140)</f>
        <v>140</v>
      </c>
      <c r="B140">
        <v>60259048</v>
      </c>
      <c r="C140">
        <v>60258937</v>
      </c>
      <c r="D140">
        <v>59014724</v>
      </c>
      <c r="E140">
        <v>1080</v>
      </c>
      <c r="F140">
        <v>1</v>
      </c>
      <c r="G140">
        <v>1080</v>
      </c>
      <c r="H140">
        <v>3</v>
      </c>
      <c r="I140" t="s">
        <v>402</v>
      </c>
      <c r="J140" t="s">
        <v>3</v>
      </c>
      <c r="K140" t="s">
        <v>403</v>
      </c>
      <c r="L140">
        <v>1303</v>
      </c>
      <c r="N140">
        <v>1003</v>
      </c>
      <c r="O140" t="s">
        <v>240</v>
      </c>
      <c r="P140" t="s">
        <v>240</v>
      </c>
      <c r="Q140">
        <v>1000</v>
      </c>
      <c r="X140">
        <v>0.10299999999999999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23</v>
      </c>
      <c r="AG140">
        <v>0.10299999999999999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ROW(Source!A141)</f>
        <v>141</v>
      </c>
      <c r="B141">
        <v>60259049</v>
      </c>
      <c r="C141">
        <v>60258957</v>
      </c>
      <c r="D141">
        <v>58999254</v>
      </c>
      <c r="E141">
        <v>1080</v>
      </c>
      <c r="F141">
        <v>1</v>
      </c>
      <c r="G141">
        <v>1080</v>
      </c>
      <c r="H141">
        <v>1</v>
      </c>
      <c r="I141" t="s">
        <v>275</v>
      </c>
      <c r="J141" t="s">
        <v>3</v>
      </c>
      <c r="K141" t="s">
        <v>276</v>
      </c>
      <c r="L141">
        <v>1191</v>
      </c>
      <c r="N141">
        <v>1013</v>
      </c>
      <c r="O141" t="s">
        <v>277</v>
      </c>
      <c r="P141" t="s">
        <v>277</v>
      </c>
      <c r="Q141">
        <v>1</v>
      </c>
      <c r="X141">
        <v>1.83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24</v>
      </c>
      <c r="AG141">
        <v>2.0130000000000003</v>
      </c>
      <c r="AH141">
        <v>2</v>
      </c>
      <c r="AI141">
        <v>60258958</v>
      </c>
      <c r="AJ141">
        <v>115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ROW(Source!A141)</f>
        <v>141</v>
      </c>
      <c r="B142">
        <v>60259050</v>
      </c>
      <c r="C142">
        <v>60258957</v>
      </c>
      <c r="D142">
        <v>59070669</v>
      </c>
      <c r="E142">
        <v>1</v>
      </c>
      <c r="F142">
        <v>1</v>
      </c>
      <c r="G142">
        <v>1080</v>
      </c>
      <c r="H142">
        <v>2</v>
      </c>
      <c r="I142" t="s">
        <v>301</v>
      </c>
      <c r="J142" t="s">
        <v>302</v>
      </c>
      <c r="K142" t="s">
        <v>303</v>
      </c>
      <c r="L142">
        <v>1368</v>
      </c>
      <c r="N142">
        <v>1011</v>
      </c>
      <c r="O142" t="s">
        <v>304</v>
      </c>
      <c r="P142" t="s">
        <v>304</v>
      </c>
      <c r="Q142">
        <v>1</v>
      </c>
      <c r="X142">
        <v>0.01</v>
      </c>
      <c r="Y142">
        <v>0</v>
      </c>
      <c r="Z142">
        <v>83.1</v>
      </c>
      <c r="AA142">
        <v>12.62</v>
      </c>
      <c r="AB142">
        <v>0</v>
      </c>
      <c r="AC142">
        <v>0</v>
      </c>
      <c r="AD142">
        <v>1</v>
      </c>
      <c r="AE142">
        <v>0</v>
      </c>
      <c r="AF142" t="s">
        <v>24</v>
      </c>
      <c r="AG142">
        <v>1.1000000000000001E-2</v>
      </c>
      <c r="AH142">
        <v>2</v>
      </c>
      <c r="AI142">
        <v>60258959</v>
      </c>
      <c r="AJ142">
        <v>116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ROW(Source!A141)</f>
        <v>141</v>
      </c>
      <c r="B143">
        <v>60259051</v>
      </c>
      <c r="C143">
        <v>60258957</v>
      </c>
      <c r="D143">
        <v>59069905</v>
      </c>
      <c r="E143">
        <v>1</v>
      </c>
      <c r="F143">
        <v>1</v>
      </c>
      <c r="G143">
        <v>1080</v>
      </c>
      <c r="H143">
        <v>2</v>
      </c>
      <c r="I143" t="s">
        <v>350</v>
      </c>
      <c r="J143" t="s">
        <v>351</v>
      </c>
      <c r="K143" t="s">
        <v>352</v>
      </c>
      <c r="L143">
        <v>1368</v>
      </c>
      <c r="N143">
        <v>1011</v>
      </c>
      <c r="O143" t="s">
        <v>304</v>
      </c>
      <c r="P143" t="s">
        <v>304</v>
      </c>
      <c r="Q143">
        <v>1</v>
      </c>
      <c r="X143">
        <v>0.01</v>
      </c>
      <c r="Y143">
        <v>0</v>
      </c>
      <c r="Z143">
        <v>179.17</v>
      </c>
      <c r="AA143">
        <v>16.93</v>
      </c>
      <c r="AB143">
        <v>0</v>
      </c>
      <c r="AC143">
        <v>0</v>
      </c>
      <c r="AD143">
        <v>1</v>
      </c>
      <c r="AE143">
        <v>0</v>
      </c>
      <c r="AF143" t="s">
        <v>24</v>
      </c>
      <c r="AG143">
        <v>1.1000000000000001E-2</v>
      </c>
      <c r="AH143">
        <v>2</v>
      </c>
      <c r="AI143">
        <v>60258960</v>
      </c>
      <c r="AJ143">
        <v>117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ROW(Source!A141)</f>
        <v>141</v>
      </c>
      <c r="B144">
        <v>60259052</v>
      </c>
      <c r="C144">
        <v>60258957</v>
      </c>
      <c r="D144">
        <v>59039702</v>
      </c>
      <c r="E144">
        <v>1</v>
      </c>
      <c r="F144">
        <v>1</v>
      </c>
      <c r="G144">
        <v>1080</v>
      </c>
      <c r="H144">
        <v>3</v>
      </c>
      <c r="I144" t="s">
        <v>353</v>
      </c>
      <c r="J144" t="s">
        <v>354</v>
      </c>
      <c r="K144" t="s">
        <v>355</v>
      </c>
      <c r="L144">
        <v>1346</v>
      </c>
      <c r="N144">
        <v>1009</v>
      </c>
      <c r="O144" t="s">
        <v>289</v>
      </c>
      <c r="P144" t="s">
        <v>289</v>
      </c>
      <c r="Q144">
        <v>1</v>
      </c>
      <c r="X144">
        <v>0.6</v>
      </c>
      <c r="Y144">
        <v>1.38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23</v>
      </c>
      <c r="AG144">
        <v>0.6</v>
      </c>
      <c r="AH144">
        <v>2</v>
      </c>
      <c r="AI144">
        <v>60258961</v>
      </c>
      <c r="AJ144">
        <v>118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ROW(Source!A141)</f>
        <v>141</v>
      </c>
      <c r="B145">
        <v>60259053</v>
      </c>
      <c r="C145">
        <v>60258957</v>
      </c>
      <c r="D145">
        <v>59040093</v>
      </c>
      <c r="E145">
        <v>1</v>
      </c>
      <c r="F145">
        <v>1</v>
      </c>
      <c r="G145">
        <v>1080</v>
      </c>
      <c r="H145">
        <v>3</v>
      </c>
      <c r="I145" t="s">
        <v>309</v>
      </c>
      <c r="J145" t="s">
        <v>310</v>
      </c>
      <c r="K145" t="s">
        <v>311</v>
      </c>
      <c r="L145">
        <v>1346</v>
      </c>
      <c r="N145">
        <v>1009</v>
      </c>
      <c r="O145" t="s">
        <v>289</v>
      </c>
      <c r="P145" t="s">
        <v>289</v>
      </c>
      <c r="Q145">
        <v>1</v>
      </c>
      <c r="X145">
        <v>0.16</v>
      </c>
      <c r="Y145">
        <v>159.06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23</v>
      </c>
      <c r="AG145">
        <v>0.16</v>
      </c>
      <c r="AH145">
        <v>2</v>
      </c>
      <c r="AI145">
        <v>60258962</v>
      </c>
      <c r="AJ145">
        <v>119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ROW(Source!A141)</f>
        <v>141</v>
      </c>
      <c r="B146">
        <v>60259054</v>
      </c>
      <c r="C146">
        <v>60258957</v>
      </c>
      <c r="D146">
        <v>59063048</v>
      </c>
      <c r="E146">
        <v>1</v>
      </c>
      <c r="F146">
        <v>1</v>
      </c>
      <c r="G146">
        <v>1080</v>
      </c>
      <c r="H146">
        <v>3</v>
      </c>
      <c r="I146" t="s">
        <v>368</v>
      </c>
      <c r="J146" t="s">
        <v>369</v>
      </c>
      <c r="K146" t="s">
        <v>370</v>
      </c>
      <c r="L146">
        <v>1356</v>
      </c>
      <c r="N146">
        <v>1010</v>
      </c>
      <c r="O146" t="s">
        <v>349</v>
      </c>
      <c r="P146" t="s">
        <v>349</v>
      </c>
      <c r="Q146">
        <v>1000</v>
      </c>
      <c r="X146">
        <v>1.2200000000000001E-2</v>
      </c>
      <c r="Y146">
        <v>226.86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23</v>
      </c>
      <c r="AG146">
        <v>1.2200000000000001E-2</v>
      </c>
      <c r="AH146">
        <v>2</v>
      </c>
      <c r="AI146">
        <v>60258963</v>
      </c>
      <c r="AJ146">
        <v>120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ROW(Source!A141)</f>
        <v>141</v>
      </c>
      <c r="B147">
        <v>60259055</v>
      </c>
      <c r="C147">
        <v>60258957</v>
      </c>
      <c r="D147">
        <v>59062373</v>
      </c>
      <c r="E147">
        <v>1</v>
      </c>
      <c r="F147">
        <v>1</v>
      </c>
      <c r="G147">
        <v>1080</v>
      </c>
      <c r="H147">
        <v>3</v>
      </c>
      <c r="I147" t="s">
        <v>362</v>
      </c>
      <c r="J147" t="s">
        <v>363</v>
      </c>
      <c r="K147" t="s">
        <v>364</v>
      </c>
      <c r="L147">
        <v>1354</v>
      </c>
      <c r="N147">
        <v>1010</v>
      </c>
      <c r="O147" t="s">
        <v>216</v>
      </c>
      <c r="P147" t="s">
        <v>216</v>
      </c>
      <c r="Q147">
        <v>1</v>
      </c>
      <c r="X147">
        <v>3.1</v>
      </c>
      <c r="Y147">
        <v>6.94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23</v>
      </c>
      <c r="AG147">
        <v>3.1</v>
      </c>
      <c r="AH147">
        <v>2</v>
      </c>
      <c r="AI147">
        <v>60258964</v>
      </c>
      <c r="AJ147">
        <v>121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ROW(Source!A141)</f>
        <v>141</v>
      </c>
      <c r="B148">
        <v>60259056</v>
      </c>
      <c r="C148">
        <v>60258957</v>
      </c>
      <c r="D148">
        <v>59062381</v>
      </c>
      <c r="E148">
        <v>1</v>
      </c>
      <c r="F148">
        <v>1</v>
      </c>
      <c r="G148">
        <v>1080</v>
      </c>
      <c r="H148">
        <v>3</v>
      </c>
      <c r="I148" t="s">
        <v>371</v>
      </c>
      <c r="J148" t="s">
        <v>372</v>
      </c>
      <c r="K148" t="s">
        <v>373</v>
      </c>
      <c r="L148">
        <v>1356</v>
      </c>
      <c r="N148">
        <v>1010</v>
      </c>
      <c r="O148" t="s">
        <v>349</v>
      </c>
      <c r="P148" t="s">
        <v>349</v>
      </c>
      <c r="Q148">
        <v>1000</v>
      </c>
      <c r="X148">
        <v>8.0000000000000002E-3</v>
      </c>
      <c r="Y148">
        <v>614.09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23</v>
      </c>
      <c r="AG148">
        <v>8.0000000000000002E-3</v>
      </c>
      <c r="AH148">
        <v>2</v>
      </c>
      <c r="AI148">
        <v>60258965</v>
      </c>
      <c r="AJ148">
        <v>122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ROW(Source!A141)</f>
        <v>141</v>
      </c>
      <c r="B149">
        <v>60259057</v>
      </c>
      <c r="C149">
        <v>60258957</v>
      </c>
      <c r="D149">
        <v>59014724</v>
      </c>
      <c r="E149">
        <v>1080</v>
      </c>
      <c r="F149">
        <v>1</v>
      </c>
      <c r="G149">
        <v>1080</v>
      </c>
      <c r="H149">
        <v>3</v>
      </c>
      <c r="I149" t="s">
        <v>402</v>
      </c>
      <c r="J149" t="s">
        <v>3</v>
      </c>
      <c r="K149" t="s">
        <v>403</v>
      </c>
      <c r="L149">
        <v>1303</v>
      </c>
      <c r="N149">
        <v>1003</v>
      </c>
      <c r="O149" t="s">
        <v>240</v>
      </c>
      <c r="P149" t="s">
        <v>240</v>
      </c>
      <c r="Q149">
        <v>1000</v>
      </c>
      <c r="X149">
        <v>0.10299999999999999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23</v>
      </c>
      <c r="AG149">
        <v>0.10299999999999999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ROW(Source!A142)</f>
        <v>142</v>
      </c>
      <c r="B150">
        <v>60259049</v>
      </c>
      <c r="C150">
        <v>60258957</v>
      </c>
      <c r="D150">
        <v>58999254</v>
      </c>
      <c r="E150">
        <v>1080</v>
      </c>
      <c r="F150">
        <v>1</v>
      </c>
      <c r="G150">
        <v>1080</v>
      </c>
      <c r="H150">
        <v>1</v>
      </c>
      <c r="I150" t="s">
        <v>275</v>
      </c>
      <c r="J150" t="s">
        <v>3</v>
      </c>
      <c r="K150" t="s">
        <v>276</v>
      </c>
      <c r="L150">
        <v>1191</v>
      </c>
      <c r="N150">
        <v>1013</v>
      </c>
      <c r="O150" t="s">
        <v>277</v>
      </c>
      <c r="P150" t="s">
        <v>277</v>
      </c>
      <c r="Q150">
        <v>1</v>
      </c>
      <c r="X150">
        <v>1.83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 t="s">
        <v>24</v>
      </c>
      <c r="AG150">
        <v>2.0130000000000003</v>
      </c>
      <c r="AH150">
        <v>2</v>
      </c>
      <c r="AI150">
        <v>60258958</v>
      </c>
      <c r="AJ150">
        <v>123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ROW(Source!A142)</f>
        <v>142</v>
      </c>
      <c r="B151">
        <v>60259050</v>
      </c>
      <c r="C151">
        <v>60258957</v>
      </c>
      <c r="D151">
        <v>59070669</v>
      </c>
      <c r="E151">
        <v>1</v>
      </c>
      <c r="F151">
        <v>1</v>
      </c>
      <c r="G151">
        <v>1080</v>
      </c>
      <c r="H151">
        <v>2</v>
      </c>
      <c r="I151" t="s">
        <v>301</v>
      </c>
      <c r="J151" t="s">
        <v>302</v>
      </c>
      <c r="K151" t="s">
        <v>303</v>
      </c>
      <c r="L151">
        <v>1368</v>
      </c>
      <c r="N151">
        <v>1011</v>
      </c>
      <c r="O151" t="s">
        <v>304</v>
      </c>
      <c r="P151" t="s">
        <v>304</v>
      </c>
      <c r="Q151">
        <v>1</v>
      </c>
      <c r="X151">
        <v>0.01</v>
      </c>
      <c r="Y151">
        <v>0</v>
      </c>
      <c r="Z151">
        <v>83.1</v>
      </c>
      <c r="AA151">
        <v>12.62</v>
      </c>
      <c r="AB151">
        <v>0</v>
      </c>
      <c r="AC151">
        <v>0</v>
      </c>
      <c r="AD151">
        <v>1</v>
      </c>
      <c r="AE151">
        <v>0</v>
      </c>
      <c r="AF151" t="s">
        <v>24</v>
      </c>
      <c r="AG151">
        <v>1.1000000000000001E-2</v>
      </c>
      <c r="AH151">
        <v>2</v>
      </c>
      <c r="AI151">
        <v>60258959</v>
      </c>
      <c r="AJ151">
        <v>124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ROW(Source!A142)</f>
        <v>142</v>
      </c>
      <c r="B152">
        <v>60259051</v>
      </c>
      <c r="C152">
        <v>60258957</v>
      </c>
      <c r="D152">
        <v>59069905</v>
      </c>
      <c r="E152">
        <v>1</v>
      </c>
      <c r="F152">
        <v>1</v>
      </c>
      <c r="G152">
        <v>1080</v>
      </c>
      <c r="H152">
        <v>2</v>
      </c>
      <c r="I152" t="s">
        <v>350</v>
      </c>
      <c r="J152" t="s">
        <v>351</v>
      </c>
      <c r="K152" t="s">
        <v>352</v>
      </c>
      <c r="L152">
        <v>1368</v>
      </c>
      <c r="N152">
        <v>1011</v>
      </c>
      <c r="O152" t="s">
        <v>304</v>
      </c>
      <c r="P152" t="s">
        <v>304</v>
      </c>
      <c r="Q152">
        <v>1</v>
      </c>
      <c r="X152">
        <v>0.01</v>
      </c>
      <c r="Y152">
        <v>0</v>
      </c>
      <c r="Z152">
        <v>179.17</v>
      </c>
      <c r="AA152">
        <v>16.93</v>
      </c>
      <c r="AB152">
        <v>0</v>
      </c>
      <c r="AC152">
        <v>0</v>
      </c>
      <c r="AD152">
        <v>1</v>
      </c>
      <c r="AE152">
        <v>0</v>
      </c>
      <c r="AF152" t="s">
        <v>24</v>
      </c>
      <c r="AG152">
        <v>1.1000000000000001E-2</v>
      </c>
      <c r="AH152">
        <v>2</v>
      </c>
      <c r="AI152">
        <v>60258960</v>
      </c>
      <c r="AJ152">
        <v>125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ROW(Source!A142)</f>
        <v>142</v>
      </c>
      <c r="B153">
        <v>60259052</v>
      </c>
      <c r="C153">
        <v>60258957</v>
      </c>
      <c r="D153">
        <v>59039702</v>
      </c>
      <c r="E153">
        <v>1</v>
      </c>
      <c r="F153">
        <v>1</v>
      </c>
      <c r="G153">
        <v>1080</v>
      </c>
      <c r="H153">
        <v>3</v>
      </c>
      <c r="I153" t="s">
        <v>353</v>
      </c>
      <c r="J153" t="s">
        <v>354</v>
      </c>
      <c r="K153" t="s">
        <v>355</v>
      </c>
      <c r="L153">
        <v>1346</v>
      </c>
      <c r="N153">
        <v>1009</v>
      </c>
      <c r="O153" t="s">
        <v>289</v>
      </c>
      <c r="P153" t="s">
        <v>289</v>
      </c>
      <c r="Q153">
        <v>1</v>
      </c>
      <c r="X153">
        <v>0.6</v>
      </c>
      <c r="Y153">
        <v>1.38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23</v>
      </c>
      <c r="AG153">
        <v>0.6</v>
      </c>
      <c r="AH153">
        <v>2</v>
      </c>
      <c r="AI153">
        <v>60258961</v>
      </c>
      <c r="AJ153">
        <v>126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ROW(Source!A142)</f>
        <v>142</v>
      </c>
      <c r="B154">
        <v>60259053</v>
      </c>
      <c r="C154">
        <v>60258957</v>
      </c>
      <c r="D154">
        <v>59040093</v>
      </c>
      <c r="E154">
        <v>1</v>
      </c>
      <c r="F154">
        <v>1</v>
      </c>
      <c r="G154">
        <v>1080</v>
      </c>
      <c r="H154">
        <v>3</v>
      </c>
      <c r="I154" t="s">
        <v>309</v>
      </c>
      <c r="J154" t="s">
        <v>310</v>
      </c>
      <c r="K154" t="s">
        <v>311</v>
      </c>
      <c r="L154">
        <v>1346</v>
      </c>
      <c r="N154">
        <v>1009</v>
      </c>
      <c r="O154" t="s">
        <v>289</v>
      </c>
      <c r="P154" t="s">
        <v>289</v>
      </c>
      <c r="Q154">
        <v>1</v>
      </c>
      <c r="X154">
        <v>0.16</v>
      </c>
      <c r="Y154">
        <v>159.06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23</v>
      </c>
      <c r="AG154">
        <v>0.16</v>
      </c>
      <c r="AH154">
        <v>2</v>
      </c>
      <c r="AI154">
        <v>60258962</v>
      </c>
      <c r="AJ154">
        <v>127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ROW(Source!A142)</f>
        <v>142</v>
      </c>
      <c r="B155">
        <v>60259054</v>
      </c>
      <c r="C155">
        <v>60258957</v>
      </c>
      <c r="D155">
        <v>59063048</v>
      </c>
      <c r="E155">
        <v>1</v>
      </c>
      <c r="F155">
        <v>1</v>
      </c>
      <c r="G155">
        <v>1080</v>
      </c>
      <c r="H155">
        <v>3</v>
      </c>
      <c r="I155" t="s">
        <v>368</v>
      </c>
      <c r="J155" t="s">
        <v>369</v>
      </c>
      <c r="K155" t="s">
        <v>370</v>
      </c>
      <c r="L155">
        <v>1356</v>
      </c>
      <c r="N155">
        <v>1010</v>
      </c>
      <c r="O155" t="s">
        <v>349</v>
      </c>
      <c r="P155" t="s">
        <v>349</v>
      </c>
      <c r="Q155">
        <v>1000</v>
      </c>
      <c r="X155">
        <v>1.2200000000000001E-2</v>
      </c>
      <c r="Y155">
        <v>226.86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23</v>
      </c>
      <c r="AG155">
        <v>1.2200000000000001E-2</v>
      </c>
      <c r="AH155">
        <v>2</v>
      </c>
      <c r="AI155">
        <v>60258963</v>
      </c>
      <c r="AJ155">
        <v>128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ROW(Source!A142)</f>
        <v>142</v>
      </c>
      <c r="B156">
        <v>60259055</v>
      </c>
      <c r="C156">
        <v>60258957</v>
      </c>
      <c r="D156">
        <v>59062373</v>
      </c>
      <c r="E156">
        <v>1</v>
      </c>
      <c r="F156">
        <v>1</v>
      </c>
      <c r="G156">
        <v>1080</v>
      </c>
      <c r="H156">
        <v>3</v>
      </c>
      <c r="I156" t="s">
        <v>362</v>
      </c>
      <c r="J156" t="s">
        <v>363</v>
      </c>
      <c r="K156" t="s">
        <v>364</v>
      </c>
      <c r="L156">
        <v>1354</v>
      </c>
      <c r="N156">
        <v>1010</v>
      </c>
      <c r="O156" t="s">
        <v>216</v>
      </c>
      <c r="P156" t="s">
        <v>216</v>
      </c>
      <c r="Q156">
        <v>1</v>
      </c>
      <c r="X156">
        <v>3.1</v>
      </c>
      <c r="Y156">
        <v>6.94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23</v>
      </c>
      <c r="AG156">
        <v>3.1</v>
      </c>
      <c r="AH156">
        <v>2</v>
      </c>
      <c r="AI156">
        <v>60258964</v>
      </c>
      <c r="AJ156">
        <v>129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ROW(Source!A142)</f>
        <v>142</v>
      </c>
      <c r="B157">
        <v>60259056</v>
      </c>
      <c r="C157">
        <v>60258957</v>
      </c>
      <c r="D157">
        <v>59062381</v>
      </c>
      <c r="E157">
        <v>1</v>
      </c>
      <c r="F157">
        <v>1</v>
      </c>
      <c r="G157">
        <v>1080</v>
      </c>
      <c r="H157">
        <v>3</v>
      </c>
      <c r="I157" t="s">
        <v>371</v>
      </c>
      <c r="J157" t="s">
        <v>372</v>
      </c>
      <c r="K157" t="s">
        <v>373</v>
      </c>
      <c r="L157">
        <v>1356</v>
      </c>
      <c r="N157">
        <v>1010</v>
      </c>
      <c r="O157" t="s">
        <v>349</v>
      </c>
      <c r="P157" t="s">
        <v>349</v>
      </c>
      <c r="Q157">
        <v>1000</v>
      </c>
      <c r="X157">
        <v>8.0000000000000002E-3</v>
      </c>
      <c r="Y157">
        <v>614.09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23</v>
      </c>
      <c r="AG157">
        <v>8.0000000000000002E-3</v>
      </c>
      <c r="AH157">
        <v>2</v>
      </c>
      <c r="AI157">
        <v>60258965</v>
      </c>
      <c r="AJ157">
        <v>130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ROW(Source!A142)</f>
        <v>142</v>
      </c>
      <c r="B158">
        <v>60259057</v>
      </c>
      <c r="C158">
        <v>60258957</v>
      </c>
      <c r="D158">
        <v>59014724</v>
      </c>
      <c r="E158">
        <v>1080</v>
      </c>
      <c r="F158">
        <v>1</v>
      </c>
      <c r="G158">
        <v>1080</v>
      </c>
      <c r="H158">
        <v>3</v>
      </c>
      <c r="I158" t="s">
        <v>402</v>
      </c>
      <c r="J158" t="s">
        <v>3</v>
      </c>
      <c r="K158" t="s">
        <v>403</v>
      </c>
      <c r="L158">
        <v>1303</v>
      </c>
      <c r="N158">
        <v>1003</v>
      </c>
      <c r="O158" t="s">
        <v>240</v>
      </c>
      <c r="P158" t="s">
        <v>240</v>
      </c>
      <c r="Q158">
        <v>1000</v>
      </c>
      <c r="X158">
        <v>0.10299999999999999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23</v>
      </c>
      <c r="AG158">
        <v>0.10299999999999999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23</v>
      </c>
      <c r="E1" t="s">
        <v>24</v>
      </c>
      <c r="F1" t="s">
        <v>24</v>
      </c>
      <c r="G1" t="s">
        <v>24</v>
      </c>
      <c r="H1" t="s">
        <v>3</v>
      </c>
      <c r="I1" t="s">
        <v>24</v>
      </c>
      <c r="J1" t="s">
        <v>24</v>
      </c>
      <c r="K1" t="s">
        <v>3</v>
      </c>
      <c r="L1" t="s">
        <v>3</v>
      </c>
      <c r="M1" t="s">
        <v>3</v>
      </c>
      <c r="N1" t="s">
        <v>23</v>
      </c>
      <c r="O1" t="s">
        <v>24</v>
      </c>
      <c r="P1" t="s">
        <v>3</v>
      </c>
      <c r="Q1" t="s">
        <v>3</v>
      </c>
      <c r="R1" t="s">
        <v>3</v>
      </c>
      <c r="S1" t="s">
        <v>404</v>
      </c>
      <c r="T1" t="s">
        <v>406</v>
      </c>
      <c r="U1" t="s">
        <v>405</v>
      </c>
    </row>
    <row r="2" spans="1:21" x14ac:dyDescent="0.2">
      <c r="A2">
        <v>29</v>
      </c>
      <c r="B2">
        <v>1</v>
      </c>
      <c r="C2" t="s">
        <v>3</v>
      </c>
      <c r="D2" t="s">
        <v>23</v>
      </c>
      <c r="E2" t="s">
        <v>24</v>
      </c>
      <c r="F2" t="s">
        <v>24</v>
      </c>
      <c r="G2" t="s">
        <v>24</v>
      </c>
      <c r="H2" t="s">
        <v>3</v>
      </c>
      <c r="I2" t="s">
        <v>24</v>
      </c>
      <c r="J2" t="s">
        <v>24</v>
      </c>
      <c r="K2" t="s">
        <v>3</v>
      </c>
      <c r="L2" t="s">
        <v>3</v>
      </c>
      <c r="M2" t="s">
        <v>3</v>
      </c>
      <c r="N2" t="s">
        <v>23</v>
      </c>
      <c r="O2" t="s">
        <v>24</v>
      </c>
      <c r="P2" t="s">
        <v>3</v>
      </c>
      <c r="Q2" t="s">
        <v>3</v>
      </c>
      <c r="R2" t="s">
        <v>3</v>
      </c>
      <c r="S2" t="s">
        <v>404</v>
      </c>
      <c r="T2" t="s">
        <v>406</v>
      </c>
      <c r="U2" t="s">
        <v>405</v>
      </c>
    </row>
    <row r="3" spans="1:21" x14ac:dyDescent="0.2">
      <c r="A3">
        <v>34</v>
      </c>
      <c r="B3">
        <v>1</v>
      </c>
      <c r="C3" t="s">
        <v>3</v>
      </c>
      <c r="D3" t="s">
        <v>23</v>
      </c>
      <c r="E3" t="s">
        <v>24</v>
      </c>
      <c r="F3" t="s">
        <v>24</v>
      </c>
      <c r="G3" t="s">
        <v>24</v>
      </c>
      <c r="H3" t="s">
        <v>3</v>
      </c>
      <c r="I3" t="s">
        <v>24</v>
      </c>
      <c r="J3" t="s">
        <v>24</v>
      </c>
      <c r="K3" t="s">
        <v>3</v>
      </c>
      <c r="L3" t="s">
        <v>3</v>
      </c>
      <c r="M3" t="s">
        <v>3</v>
      </c>
      <c r="N3" t="s">
        <v>23</v>
      </c>
      <c r="O3" t="s">
        <v>24</v>
      </c>
      <c r="P3" t="s">
        <v>3</v>
      </c>
      <c r="Q3" t="s">
        <v>3</v>
      </c>
      <c r="R3" t="s">
        <v>3</v>
      </c>
      <c r="S3" t="s">
        <v>404</v>
      </c>
      <c r="T3" t="s">
        <v>406</v>
      </c>
      <c r="U3" t="s">
        <v>405</v>
      </c>
    </row>
    <row r="4" spans="1:21" x14ac:dyDescent="0.2">
      <c r="A4">
        <v>35</v>
      </c>
      <c r="B4">
        <v>1</v>
      </c>
      <c r="C4" t="s">
        <v>3</v>
      </c>
      <c r="D4" t="s">
        <v>23</v>
      </c>
      <c r="E4" t="s">
        <v>24</v>
      </c>
      <c r="F4" t="s">
        <v>24</v>
      </c>
      <c r="G4" t="s">
        <v>24</v>
      </c>
      <c r="H4" t="s">
        <v>3</v>
      </c>
      <c r="I4" t="s">
        <v>24</v>
      </c>
      <c r="J4" t="s">
        <v>24</v>
      </c>
      <c r="K4" t="s">
        <v>3</v>
      </c>
      <c r="L4" t="s">
        <v>3</v>
      </c>
      <c r="M4" t="s">
        <v>3</v>
      </c>
      <c r="N4" t="s">
        <v>23</v>
      </c>
      <c r="O4" t="s">
        <v>24</v>
      </c>
      <c r="P4" t="s">
        <v>3</v>
      </c>
      <c r="Q4" t="s">
        <v>3</v>
      </c>
      <c r="R4" t="s">
        <v>3</v>
      </c>
      <c r="S4" t="s">
        <v>404</v>
      </c>
      <c r="T4" t="s">
        <v>406</v>
      </c>
      <c r="U4" t="s">
        <v>405</v>
      </c>
    </row>
    <row r="5" spans="1:21" x14ac:dyDescent="0.2">
      <c r="A5">
        <v>38</v>
      </c>
      <c r="B5">
        <v>1</v>
      </c>
      <c r="C5" t="s">
        <v>3</v>
      </c>
      <c r="D5" t="s">
        <v>23</v>
      </c>
      <c r="E5" t="s">
        <v>24</v>
      </c>
      <c r="F5" t="s">
        <v>24</v>
      </c>
      <c r="G5" t="s">
        <v>24</v>
      </c>
      <c r="H5" t="s">
        <v>3</v>
      </c>
      <c r="I5" t="s">
        <v>24</v>
      </c>
      <c r="J5" t="s">
        <v>24</v>
      </c>
      <c r="K5" t="s">
        <v>3</v>
      </c>
      <c r="L5" t="s">
        <v>3</v>
      </c>
      <c r="M5" t="s">
        <v>3</v>
      </c>
      <c r="N5" t="s">
        <v>23</v>
      </c>
      <c r="O5" t="s">
        <v>24</v>
      </c>
      <c r="P5" t="s">
        <v>3</v>
      </c>
      <c r="Q5" t="s">
        <v>3</v>
      </c>
      <c r="R5" t="s">
        <v>3</v>
      </c>
      <c r="S5" t="s">
        <v>404</v>
      </c>
      <c r="T5" t="s">
        <v>406</v>
      </c>
      <c r="U5" t="s">
        <v>405</v>
      </c>
    </row>
    <row r="6" spans="1:21" x14ac:dyDescent="0.2">
      <c r="A6">
        <v>39</v>
      </c>
      <c r="B6">
        <v>1</v>
      </c>
      <c r="C6" t="s">
        <v>3</v>
      </c>
      <c r="D6" t="s">
        <v>23</v>
      </c>
      <c r="E6" t="s">
        <v>24</v>
      </c>
      <c r="F6" t="s">
        <v>24</v>
      </c>
      <c r="G6" t="s">
        <v>24</v>
      </c>
      <c r="H6" t="s">
        <v>3</v>
      </c>
      <c r="I6" t="s">
        <v>24</v>
      </c>
      <c r="J6" t="s">
        <v>24</v>
      </c>
      <c r="K6" t="s">
        <v>3</v>
      </c>
      <c r="L6" t="s">
        <v>3</v>
      </c>
      <c r="M6" t="s">
        <v>3</v>
      </c>
      <c r="N6" t="s">
        <v>23</v>
      </c>
      <c r="O6" t="s">
        <v>24</v>
      </c>
      <c r="P6" t="s">
        <v>3</v>
      </c>
      <c r="Q6" t="s">
        <v>3</v>
      </c>
      <c r="R6" t="s">
        <v>3</v>
      </c>
      <c r="S6" t="s">
        <v>404</v>
      </c>
      <c r="T6" t="s">
        <v>406</v>
      </c>
      <c r="U6" t="s">
        <v>405</v>
      </c>
    </row>
    <row r="7" spans="1:21" x14ac:dyDescent="0.2">
      <c r="A7">
        <v>42</v>
      </c>
      <c r="B7">
        <v>1</v>
      </c>
      <c r="C7" t="s">
        <v>3</v>
      </c>
      <c r="D7" t="s">
        <v>23</v>
      </c>
      <c r="E7" t="s">
        <v>24</v>
      </c>
      <c r="F7" t="s">
        <v>24</v>
      </c>
      <c r="G7" t="s">
        <v>24</v>
      </c>
      <c r="H7" t="s">
        <v>3</v>
      </c>
      <c r="I7" t="s">
        <v>24</v>
      </c>
      <c r="J7" t="s">
        <v>24</v>
      </c>
      <c r="K7" t="s">
        <v>3</v>
      </c>
      <c r="L7" t="s">
        <v>3</v>
      </c>
      <c r="M7" t="s">
        <v>3</v>
      </c>
      <c r="N7" t="s">
        <v>23</v>
      </c>
      <c r="O7" t="s">
        <v>24</v>
      </c>
      <c r="P7" t="s">
        <v>3</v>
      </c>
      <c r="Q7" t="s">
        <v>3</v>
      </c>
      <c r="R7" t="s">
        <v>3</v>
      </c>
      <c r="S7" t="s">
        <v>404</v>
      </c>
      <c r="T7" t="s">
        <v>406</v>
      </c>
      <c r="U7" t="s">
        <v>405</v>
      </c>
    </row>
    <row r="8" spans="1:21" x14ac:dyDescent="0.2">
      <c r="A8">
        <v>43</v>
      </c>
      <c r="B8">
        <v>1</v>
      </c>
      <c r="C8" t="s">
        <v>3</v>
      </c>
      <c r="D8" t="s">
        <v>23</v>
      </c>
      <c r="E8" t="s">
        <v>24</v>
      </c>
      <c r="F8" t="s">
        <v>24</v>
      </c>
      <c r="G8" t="s">
        <v>24</v>
      </c>
      <c r="H8" t="s">
        <v>3</v>
      </c>
      <c r="I8" t="s">
        <v>24</v>
      </c>
      <c r="J8" t="s">
        <v>24</v>
      </c>
      <c r="K8" t="s">
        <v>3</v>
      </c>
      <c r="L8" t="s">
        <v>3</v>
      </c>
      <c r="M8" t="s">
        <v>3</v>
      </c>
      <c r="N8" t="s">
        <v>23</v>
      </c>
      <c r="O8" t="s">
        <v>24</v>
      </c>
      <c r="P8" t="s">
        <v>3</v>
      </c>
      <c r="Q8" t="s">
        <v>3</v>
      </c>
      <c r="R8" t="s">
        <v>3</v>
      </c>
      <c r="S8" t="s">
        <v>404</v>
      </c>
      <c r="T8" t="s">
        <v>406</v>
      </c>
      <c r="U8" t="s">
        <v>405</v>
      </c>
    </row>
    <row r="9" spans="1:21" x14ac:dyDescent="0.2">
      <c r="A9">
        <v>46</v>
      </c>
      <c r="B9">
        <v>1</v>
      </c>
      <c r="C9" t="s">
        <v>3</v>
      </c>
      <c r="D9" t="s">
        <v>23</v>
      </c>
      <c r="E9" t="s">
        <v>24</v>
      </c>
      <c r="F9" t="s">
        <v>24</v>
      </c>
      <c r="G9" t="s">
        <v>24</v>
      </c>
      <c r="H9" t="s">
        <v>3</v>
      </c>
      <c r="I9" t="s">
        <v>24</v>
      </c>
      <c r="J9" t="s">
        <v>24</v>
      </c>
      <c r="K9" t="s">
        <v>3</v>
      </c>
      <c r="L9" t="s">
        <v>3</v>
      </c>
      <c r="M9" t="s">
        <v>3</v>
      </c>
      <c r="N9" t="s">
        <v>23</v>
      </c>
      <c r="O9" t="s">
        <v>24</v>
      </c>
      <c r="P9" t="s">
        <v>3</v>
      </c>
      <c r="Q9" t="s">
        <v>3</v>
      </c>
      <c r="R9" t="s">
        <v>3</v>
      </c>
      <c r="S9" t="s">
        <v>404</v>
      </c>
      <c r="T9" t="s">
        <v>406</v>
      </c>
      <c r="U9" t="s">
        <v>405</v>
      </c>
    </row>
    <row r="10" spans="1:21" x14ac:dyDescent="0.2">
      <c r="A10">
        <v>47</v>
      </c>
      <c r="B10">
        <v>1</v>
      </c>
      <c r="C10" t="s">
        <v>3</v>
      </c>
      <c r="D10" t="s">
        <v>23</v>
      </c>
      <c r="E10" t="s">
        <v>24</v>
      </c>
      <c r="F10" t="s">
        <v>24</v>
      </c>
      <c r="G10" t="s">
        <v>24</v>
      </c>
      <c r="H10" t="s">
        <v>3</v>
      </c>
      <c r="I10" t="s">
        <v>24</v>
      </c>
      <c r="J10" t="s">
        <v>24</v>
      </c>
      <c r="K10" t="s">
        <v>3</v>
      </c>
      <c r="L10" t="s">
        <v>3</v>
      </c>
      <c r="M10" t="s">
        <v>3</v>
      </c>
      <c r="N10" t="s">
        <v>23</v>
      </c>
      <c r="O10" t="s">
        <v>24</v>
      </c>
      <c r="P10" t="s">
        <v>3</v>
      </c>
      <c r="Q10" t="s">
        <v>3</v>
      </c>
      <c r="R10" t="s">
        <v>3</v>
      </c>
      <c r="S10" t="s">
        <v>404</v>
      </c>
      <c r="T10" t="s">
        <v>406</v>
      </c>
      <c r="U10" t="s">
        <v>405</v>
      </c>
    </row>
    <row r="11" spans="1:21" x14ac:dyDescent="0.2">
      <c r="A11">
        <v>50</v>
      </c>
      <c r="B11">
        <v>1</v>
      </c>
      <c r="C11" t="s">
        <v>3</v>
      </c>
      <c r="D11" t="s">
        <v>23</v>
      </c>
      <c r="E11" t="s">
        <v>24</v>
      </c>
      <c r="F11" t="s">
        <v>24</v>
      </c>
      <c r="G11" t="s">
        <v>24</v>
      </c>
      <c r="H11" t="s">
        <v>3</v>
      </c>
      <c r="I11" t="s">
        <v>24</v>
      </c>
      <c r="J11" t="s">
        <v>24</v>
      </c>
      <c r="K11" t="s">
        <v>3</v>
      </c>
      <c r="L11" t="s">
        <v>3</v>
      </c>
      <c r="M11" t="s">
        <v>3</v>
      </c>
      <c r="N11" t="s">
        <v>23</v>
      </c>
      <c r="O11" t="s">
        <v>24</v>
      </c>
      <c r="P11" t="s">
        <v>3</v>
      </c>
      <c r="Q11" t="s">
        <v>3</v>
      </c>
      <c r="R11" t="s">
        <v>3</v>
      </c>
      <c r="S11" t="s">
        <v>404</v>
      </c>
      <c r="T11" t="s">
        <v>406</v>
      </c>
      <c r="U11" t="s">
        <v>405</v>
      </c>
    </row>
    <row r="12" spans="1:21" x14ac:dyDescent="0.2">
      <c r="A12">
        <v>51</v>
      </c>
      <c r="B12">
        <v>1</v>
      </c>
      <c r="C12" t="s">
        <v>3</v>
      </c>
      <c r="D12" t="s">
        <v>23</v>
      </c>
      <c r="E12" t="s">
        <v>24</v>
      </c>
      <c r="F12" t="s">
        <v>24</v>
      </c>
      <c r="G12" t="s">
        <v>24</v>
      </c>
      <c r="H12" t="s">
        <v>3</v>
      </c>
      <c r="I12" t="s">
        <v>24</v>
      </c>
      <c r="J12" t="s">
        <v>24</v>
      </c>
      <c r="K12" t="s">
        <v>3</v>
      </c>
      <c r="L12" t="s">
        <v>3</v>
      </c>
      <c r="M12" t="s">
        <v>3</v>
      </c>
      <c r="N12" t="s">
        <v>23</v>
      </c>
      <c r="O12" t="s">
        <v>24</v>
      </c>
      <c r="P12" t="s">
        <v>3</v>
      </c>
      <c r="Q12" t="s">
        <v>3</v>
      </c>
      <c r="R12" t="s">
        <v>3</v>
      </c>
      <c r="S12" t="s">
        <v>404</v>
      </c>
      <c r="T12" t="s">
        <v>406</v>
      </c>
      <c r="U12" t="s">
        <v>405</v>
      </c>
    </row>
    <row r="13" spans="1:21" x14ac:dyDescent="0.2">
      <c r="A13">
        <v>54</v>
      </c>
      <c r="B13">
        <v>1</v>
      </c>
      <c r="C13" t="s">
        <v>3</v>
      </c>
      <c r="D13" t="s">
        <v>23</v>
      </c>
      <c r="E13" t="s">
        <v>24</v>
      </c>
      <c r="F13" t="s">
        <v>24</v>
      </c>
      <c r="G13" t="s">
        <v>24</v>
      </c>
      <c r="H13" t="s">
        <v>3</v>
      </c>
      <c r="I13" t="s">
        <v>24</v>
      </c>
      <c r="J13" t="s">
        <v>24</v>
      </c>
      <c r="K13" t="s">
        <v>3</v>
      </c>
      <c r="L13" t="s">
        <v>3</v>
      </c>
      <c r="M13" t="s">
        <v>3</v>
      </c>
      <c r="N13" t="s">
        <v>23</v>
      </c>
      <c r="O13" t="s">
        <v>24</v>
      </c>
      <c r="P13" t="s">
        <v>3</v>
      </c>
      <c r="Q13" t="s">
        <v>3</v>
      </c>
      <c r="R13" t="s">
        <v>3</v>
      </c>
      <c r="S13" t="s">
        <v>404</v>
      </c>
      <c r="T13" t="s">
        <v>406</v>
      </c>
      <c r="U13" t="s">
        <v>405</v>
      </c>
    </row>
    <row r="14" spans="1:21" x14ac:dyDescent="0.2">
      <c r="A14">
        <v>55</v>
      </c>
      <c r="B14">
        <v>1</v>
      </c>
      <c r="C14" t="s">
        <v>3</v>
      </c>
      <c r="D14" t="s">
        <v>23</v>
      </c>
      <c r="E14" t="s">
        <v>24</v>
      </c>
      <c r="F14" t="s">
        <v>24</v>
      </c>
      <c r="G14" t="s">
        <v>24</v>
      </c>
      <c r="H14" t="s">
        <v>3</v>
      </c>
      <c r="I14" t="s">
        <v>24</v>
      </c>
      <c r="J14" t="s">
        <v>24</v>
      </c>
      <c r="K14" t="s">
        <v>3</v>
      </c>
      <c r="L14" t="s">
        <v>3</v>
      </c>
      <c r="M14" t="s">
        <v>3</v>
      </c>
      <c r="N14" t="s">
        <v>23</v>
      </c>
      <c r="O14" t="s">
        <v>24</v>
      </c>
      <c r="P14" t="s">
        <v>3</v>
      </c>
      <c r="Q14" t="s">
        <v>3</v>
      </c>
      <c r="R14" t="s">
        <v>3</v>
      </c>
      <c r="S14" t="s">
        <v>404</v>
      </c>
      <c r="T14" t="s">
        <v>406</v>
      </c>
      <c r="U14" t="s">
        <v>405</v>
      </c>
    </row>
    <row r="15" spans="1:21" x14ac:dyDescent="0.2">
      <c r="A15">
        <v>60</v>
      </c>
      <c r="B15">
        <v>1</v>
      </c>
      <c r="C15" t="s">
        <v>3</v>
      </c>
      <c r="D15" t="s">
        <v>23</v>
      </c>
      <c r="E15" t="s">
        <v>24</v>
      </c>
      <c r="F15" t="s">
        <v>24</v>
      </c>
      <c r="G15" t="s">
        <v>24</v>
      </c>
      <c r="H15" t="s">
        <v>3</v>
      </c>
      <c r="I15" t="s">
        <v>24</v>
      </c>
      <c r="J15" t="s">
        <v>24</v>
      </c>
      <c r="K15" t="s">
        <v>3</v>
      </c>
      <c r="L15" t="s">
        <v>3</v>
      </c>
      <c r="M15" t="s">
        <v>3</v>
      </c>
      <c r="N15" t="s">
        <v>23</v>
      </c>
      <c r="O15" t="s">
        <v>24</v>
      </c>
      <c r="P15" t="s">
        <v>3</v>
      </c>
      <c r="Q15" t="s">
        <v>3</v>
      </c>
      <c r="R15" t="s">
        <v>3</v>
      </c>
      <c r="S15" t="s">
        <v>404</v>
      </c>
      <c r="T15" t="s">
        <v>406</v>
      </c>
      <c r="U15" t="s">
        <v>405</v>
      </c>
    </row>
    <row r="16" spans="1:21" x14ac:dyDescent="0.2">
      <c r="A16">
        <v>61</v>
      </c>
      <c r="B16">
        <v>1</v>
      </c>
      <c r="C16" t="s">
        <v>3</v>
      </c>
      <c r="D16" t="s">
        <v>23</v>
      </c>
      <c r="E16" t="s">
        <v>24</v>
      </c>
      <c r="F16" t="s">
        <v>24</v>
      </c>
      <c r="G16" t="s">
        <v>24</v>
      </c>
      <c r="H16" t="s">
        <v>3</v>
      </c>
      <c r="I16" t="s">
        <v>24</v>
      </c>
      <c r="J16" t="s">
        <v>24</v>
      </c>
      <c r="K16" t="s">
        <v>3</v>
      </c>
      <c r="L16" t="s">
        <v>3</v>
      </c>
      <c r="M16" t="s">
        <v>3</v>
      </c>
      <c r="N16" t="s">
        <v>23</v>
      </c>
      <c r="O16" t="s">
        <v>24</v>
      </c>
      <c r="P16" t="s">
        <v>3</v>
      </c>
      <c r="Q16" t="s">
        <v>3</v>
      </c>
      <c r="R16" t="s">
        <v>3</v>
      </c>
      <c r="S16" t="s">
        <v>404</v>
      </c>
      <c r="T16" t="s">
        <v>406</v>
      </c>
      <c r="U16" t="s">
        <v>405</v>
      </c>
    </row>
    <row r="17" spans="1:21" x14ac:dyDescent="0.2">
      <c r="A17">
        <v>64</v>
      </c>
      <c r="B17">
        <v>1</v>
      </c>
      <c r="C17" t="s">
        <v>3</v>
      </c>
      <c r="D17" t="s">
        <v>23</v>
      </c>
      <c r="E17" t="s">
        <v>24</v>
      </c>
      <c r="F17" t="s">
        <v>24</v>
      </c>
      <c r="G17" t="s">
        <v>24</v>
      </c>
      <c r="H17" t="s">
        <v>3</v>
      </c>
      <c r="I17" t="s">
        <v>24</v>
      </c>
      <c r="J17" t="s">
        <v>24</v>
      </c>
      <c r="K17" t="s">
        <v>3</v>
      </c>
      <c r="L17" t="s">
        <v>3</v>
      </c>
      <c r="M17" t="s">
        <v>3</v>
      </c>
      <c r="N17" t="s">
        <v>23</v>
      </c>
      <c r="O17" t="s">
        <v>24</v>
      </c>
      <c r="P17" t="s">
        <v>3</v>
      </c>
      <c r="Q17" t="s">
        <v>3</v>
      </c>
      <c r="R17" t="s">
        <v>3</v>
      </c>
      <c r="S17" t="s">
        <v>404</v>
      </c>
      <c r="T17" t="s">
        <v>406</v>
      </c>
      <c r="U17" t="s">
        <v>405</v>
      </c>
    </row>
    <row r="18" spans="1:21" x14ac:dyDescent="0.2">
      <c r="A18">
        <v>65</v>
      </c>
      <c r="B18">
        <v>1</v>
      </c>
      <c r="C18" t="s">
        <v>3</v>
      </c>
      <c r="D18" t="s">
        <v>23</v>
      </c>
      <c r="E18" t="s">
        <v>24</v>
      </c>
      <c r="F18" t="s">
        <v>24</v>
      </c>
      <c r="G18" t="s">
        <v>24</v>
      </c>
      <c r="H18" t="s">
        <v>3</v>
      </c>
      <c r="I18" t="s">
        <v>24</v>
      </c>
      <c r="J18" t="s">
        <v>24</v>
      </c>
      <c r="K18" t="s">
        <v>3</v>
      </c>
      <c r="L18" t="s">
        <v>3</v>
      </c>
      <c r="M18" t="s">
        <v>3</v>
      </c>
      <c r="N18" t="s">
        <v>23</v>
      </c>
      <c r="O18" t="s">
        <v>24</v>
      </c>
      <c r="P18" t="s">
        <v>3</v>
      </c>
      <c r="Q18" t="s">
        <v>3</v>
      </c>
      <c r="R18" t="s">
        <v>3</v>
      </c>
      <c r="S18" t="s">
        <v>404</v>
      </c>
      <c r="T18" t="s">
        <v>406</v>
      </c>
      <c r="U18" t="s">
        <v>405</v>
      </c>
    </row>
    <row r="19" spans="1:21" x14ac:dyDescent="0.2">
      <c r="A19">
        <v>68</v>
      </c>
      <c r="B19">
        <v>1</v>
      </c>
      <c r="C19" t="s">
        <v>3</v>
      </c>
      <c r="D19" t="s">
        <v>23</v>
      </c>
      <c r="E19" t="s">
        <v>24</v>
      </c>
      <c r="F19" t="s">
        <v>24</v>
      </c>
      <c r="G19" t="s">
        <v>24</v>
      </c>
      <c r="H19" t="s">
        <v>3</v>
      </c>
      <c r="I19" t="s">
        <v>24</v>
      </c>
      <c r="J19" t="s">
        <v>24</v>
      </c>
      <c r="K19" t="s">
        <v>3</v>
      </c>
      <c r="L19" t="s">
        <v>3</v>
      </c>
      <c r="M19" t="s">
        <v>3</v>
      </c>
      <c r="N19" t="s">
        <v>23</v>
      </c>
      <c r="O19" t="s">
        <v>24</v>
      </c>
      <c r="P19" t="s">
        <v>3</v>
      </c>
      <c r="Q19" t="s">
        <v>3</v>
      </c>
      <c r="R19" t="s">
        <v>3</v>
      </c>
      <c r="S19" t="s">
        <v>404</v>
      </c>
      <c r="T19" t="s">
        <v>406</v>
      </c>
      <c r="U19" t="s">
        <v>405</v>
      </c>
    </row>
    <row r="20" spans="1:21" x14ac:dyDescent="0.2">
      <c r="A20">
        <v>69</v>
      </c>
      <c r="B20">
        <v>1</v>
      </c>
      <c r="C20" t="s">
        <v>3</v>
      </c>
      <c r="D20" t="s">
        <v>23</v>
      </c>
      <c r="E20" t="s">
        <v>24</v>
      </c>
      <c r="F20" t="s">
        <v>24</v>
      </c>
      <c r="G20" t="s">
        <v>24</v>
      </c>
      <c r="H20" t="s">
        <v>3</v>
      </c>
      <c r="I20" t="s">
        <v>24</v>
      </c>
      <c r="J20" t="s">
        <v>24</v>
      </c>
      <c r="K20" t="s">
        <v>3</v>
      </c>
      <c r="L20" t="s">
        <v>3</v>
      </c>
      <c r="M20" t="s">
        <v>3</v>
      </c>
      <c r="N20" t="s">
        <v>23</v>
      </c>
      <c r="O20" t="s">
        <v>24</v>
      </c>
      <c r="P20" t="s">
        <v>3</v>
      </c>
      <c r="Q20" t="s">
        <v>3</v>
      </c>
      <c r="R20" t="s">
        <v>3</v>
      </c>
      <c r="S20" t="s">
        <v>404</v>
      </c>
      <c r="T20" t="s">
        <v>406</v>
      </c>
      <c r="U20" t="s">
        <v>405</v>
      </c>
    </row>
    <row r="21" spans="1:21" x14ac:dyDescent="0.2">
      <c r="A21">
        <v>72</v>
      </c>
      <c r="B21">
        <v>1</v>
      </c>
      <c r="C21" t="s">
        <v>3</v>
      </c>
      <c r="D21" t="s">
        <v>23</v>
      </c>
      <c r="E21" t="s">
        <v>24</v>
      </c>
      <c r="F21" t="s">
        <v>24</v>
      </c>
      <c r="G21" t="s">
        <v>24</v>
      </c>
      <c r="H21" t="s">
        <v>3</v>
      </c>
      <c r="I21" t="s">
        <v>24</v>
      </c>
      <c r="J21" t="s">
        <v>24</v>
      </c>
      <c r="K21" t="s">
        <v>3</v>
      </c>
      <c r="L21" t="s">
        <v>3</v>
      </c>
      <c r="M21" t="s">
        <v>3</v>
      </c>
      <c r="N21" t="s">
        <v>23</v>
      </c>
      <c r="O21" t="s">
        <v>24</v>
      </c>
      <c r="P21" t="s">
        <v>3</v>
      </c>
      <c r="Q21" t="s">
        <v>3</v>
      </c>
      <c r="R21" t="s">
        <v>3</v>
      </c>
      <c r="S21" t="s">
        <v>404</v>
      </c>
      <c r="T21" t="s">
        <v>406</v>
      </c>
      <c r="U21" t="s">
        <v>405</v>
      </c>
    </row>
    <row r="22" spans="1:21" x14ac:dyDescent="0.2">
      <c r="A22">
        <v>73</v>
      </c>
      <c r="B22">
        <v>1</v>
      </c>
      <c r="C22" t="s">
        <v>3</v>
      </c>
      <c r="D22" t="s">
        <v>23</v>
      </c>
      <c r="E22" t="s">
        <v>24</v>
      </c>
      <c r="F22" t="s">
        <v>24</v>
      </c>
      <c r="G22" t="s">
        <v>24</v>
      </c>
      <c r="H22" t="s">
        <v>3</v>
      </c>
      <c r="I22" t="s">
        <v>24</v>
      </c>
      <c r="J22" t="s">
        <v>24</v>
      </c>
      <c r="K22" t="s">
        <v>3</v>
      </c>
      <c r="L22" t="s">
        <v>3</v>
      </c>
      <c r="M22" t="s">
        <v>3</v>
      </c>
      <c r="N22" t="s">
        <v>23</v>
      </c>
      <c r="O22" t="s">
        <v>24</v>
      </c>
      <c r="P22" t="s">
        <v>3</v>
      </c>
      <c r="Q22" t="s">
        <v>3</v>
      </c>
      <c r="R22" t="s">
        <v>3</v>
      </c>
      <c r="S22" t="s">
        <v>404</v>
      </c>
      <c r="T22" t="s">
        <v>406</v>
      </c>
      <c r="U22" t="s">
        <v>405</v>
      </c>
    </row>
    <row r="23" spans="1:21" x14ac:dyDescent="0.2">
      <c r="A23">
        <v>76</v>
      </c>
      <c r="B23">
        <v>1</v>
      </c>
      <c r="C23" t="s">
        <v>3</v>
      </c>
      <c r="D23" t="s">
        <v>23</v>
      </c>
      <c r="E23" t="s">
        <v>24</v>
      </c>
      <c r="F23" t="s">
        <v>24</v>
      </c>
      <c r="G23" t="s">
        <v>24</v>
      </c>
      <c r="H23" t="s">
        <v>3</v>
      </c>
      <c r="I23" t="s">
        <v>24</v>
      </c>
      <c r="J23" t="s">
        <v>24</v>
      </c>
      <c r="K23" t="s">
        <v>3</v>
      </c>
      <c r="L23" t="s">
        <v>3</v>
      </c>
      <c r="M23" t="s">
        <v>3</v>
      </c>
      <c r="N23" t="s">
        <v>23</v>
      </c>
      <c r="O23" t="s">
        <v>24</v>
      </c>
      <c r="P23" t="s">
        <v>3</v>
      </c>
      <c r="Q23" t="s">
        <v>3</v>
      </c>
      <c r="R23" t="s">
        <v>3</v>
      </c>
      <c r="S23" t="s">
        <v>404</v>
      </c>
      <c r="T23" t="s">
        <v>406</v>
      </c>
      <c r="U23" t="s">
        <v>405</v>
      </c>
    </row>
    <row r="24" spans="1:21" x14ac:dyDescent="0.2">
      <c r="A24">
        <v>77</v>
      </c>
      <c r="B24">
        <v>1</v>
      </c>
      <c r="C24" t="s">
        <v>3</v>
      </c>
      <c r="D24" t="s">
        <v>23</v>
      </c>
      <c r="E24" t="s">
        <v>24</v>
      </c>
      <c r="F24" t="s">
        <v>24</v>
      </c>
      <c r="G24" t="s">
        <v>24</v>
      </c>
      <c r="H24" t="s">
        <v>3</v>
      </c>
      <c r="I24" t="s">
        <v>24</v>
      </c>
      <c r="J24" t="s">
        <v>24</v>
      </c>
      <c r="K24" t="s">
        <v>3</v>
      </c>
      <c r="L24" t="s">
        <v>3</v>
      </c>
      <c r="M24" t="s">
        <v>3</v>
      </c>
      <c r="N24" t="s">
        <v>23</v>
      </c>
      <c r="O24" t="s">
        <v>24</v>
      </c>
      <c r="P24" t="s">
        <v>3</v>
      </c>
      <c r="Q24" t="s">
        <v>3</v>
      </c>
      <c r="R24" t="s">
        <v>3</v>
      </c>
      <c r="S24" t="s">
        <v>404</v>
      </c>
      <c r="T24" t="s">
        <v>406</v>
      </c>
      <c r="U24" t="s">
        <v>405</v>
      </c>
    </row>
    <row r="25" spans="1:21" x14ac:dyDescent="0.2">
      <c r="A25">
        <v>80</v>
      </c>
      <c r="B25">
        <v>1</v>
      </c>
      <c r="C25" t="s">
        <v>3</v>
      </c>
      <c r="D25" t="s">
        <v>23</v>
      </c>
      <c r="E25" t="s">
        <v>24</v>
      </c>
      <c r="F25" t="s">
        <v>24</v>
      </c>
      <c r="G25" t="s">
        <v>24</v>
      </c>
      <c r="H25" t="s">
        <v>3</v>
      </c>
      <c r="I25" t="s">
        <v>24</v>
      </c>
      <c r="J25" t="s">
        <v>24</v>
      </c>
      <c r="K25" t="s">
        <v>3</v>
      </c>
      <c r="L25" t="s">
        <v>3</v>
      </c>
      <c r="M25" t="s">
        <v>3</v>
      </c>
      <c r="N25" t="s">
        <v>23</v>
      </c>
      <c r="O25" t="s">
        <v>24</v>
      </c>
      <c r="P25" t="s">
        <v>3</v>
      </c>
      <c r="Q25" t="s">
        <v>3</v>
      </c>
      <c r="R25" t="s">
        <v>3</v>
      </c>
      <c r="S25" t="s">
        <v>404</v>
      </c>
      <c r="T25" t="s">
        <v>406</v>
      </c>
      <c r="U25" t="s">
        <v>405</v>
      </c>
    </row>
    <row r="26" spans="1:21" x14ac:dyDescent="0.2">
      <c r="A26">
        <v>81</v>
      </c>
      <c r="B26">
        <v>1</v>
      </c>
      <c r="C26" t="s">
        <v>3</v>
      </c>
      <c r="D26" t="s">
        <v>23</v>
      </c>
      <c r="E26" t="s">
        <v>24</v>
      </c>
      <c r="F26" t="s">
        <v>24</v>
      </c>
      <c r="G26" t="s">
        <v>24</v>
      </c>
      <c r="H26" t="s">
        <v>3</v>
      </c>
      <c r="I26" t="s">
        <v>24</v>
      </c>
      <c r="J26" t="s">
        <v>24</v>
      </c>
      <c r="K26" t="s">
        <v>3</v>
      </c>
      <c r="L26" t="s">
        <v>3</v>
      </c>
      <c r="M26" t="s">
        <v>3</v>
      </c>
      <c r="N26" t="s">
        <v>23</v>
      </c>
      <c r="O26" t="s">
        <v>24</v>
      </c>
      <c r="P26" t="s">
        <v>3</v>
      </c>
      <c r="Q26" t="s">
        <v>3</v>
      </c>
      <c r="R26" t="s">
        <v>3</v>
      </c>
      <c r="S26" t="s">
        <v>404</v>
      </c>
      <c r="T26" t="s">
        <v>406</v>
      </c>
      <c r="U26" t="s">
        <v>405</v>
      </c>
    </row>
    <row r="27" spans="1:21" x14ac:dyDescent="0.2">
      <c r="A27">
        <v>84</v>
      </c>
      <c r="B27">
        <v>1</v>
      </c>
      <c r="C27" t="s">
        <v>3</v>
      </c>
      <c r="D27" t="s">
        <v>23</v>
      </c>
      <c r="E27" t="s">
        <v>24</v>
      </c>
      <c r="F27" t="s">
        <v>24</v>
      </c>
      <c r="G27" t="s">
        <v>24</v>
      </c>
      <c r="H27" t="s">
        <v>3</v>
      </c>
      <c r="I27" t="s">
        <v>24</v>
      </c>
      <c r="J27" t="s">
        <v>24</v>
      </c>
      <c r="K27" t="s">
        <v>3</v>
      </c>
      <c r="L27" t="s">
        <v>3</v>
      </c>
      <c r="M27" t="s">
        <v>3</v>
      </c>
      <c r="N27" t="s">
        <v>23</v>
      </c>
      <c r="O27" t="s">
        <v>24</v>
      </c>
      <c r="P27" t="s">
        <v>3</v>
      </c>
      <c r="Q27" t="s">
        <v>3</v>
      </c>
      <c r="R27" t="s">
        <v>3</v>
      </c>
      <c r="S27" t="s">
        <v>404</v>
      </c>
      <c r="T27" t="s">
        <v>406</v>
      </c>
      <c r="U27" t="s">
        <v>405</v>
      </c>
    </row>
    <row r="28" spans="1:21" x14ac:dyDescent="0.2">
      <c r="A28">
        <v>85</v>
      </c>
      <c r="B28">
        <v>1</v>
      </c>
      <c r="C28" t="s">
        <v>3</v>
      </c>
      <c r="D28" t="s">
        <v>23</v>
      </c>
      <c r="E28" t="s">
        <v>24</v>
      </c>
      <c r="F28" t="s">
        <v>24</v>
      </c>
      <c r="G28" t="s">
        <v>24</v>
      </c>
      <c r="H28" t="s">
        <v>3</v>
      </c>
      <c r="I28" t="s">
        <v>24</v>
      </c>
      <c r="J28" t="s">
        <v>24</v>
      </c>
      <c r="K28" t="s">
        <v>3</v>
      </c>
      <c r="L28" t="s">
        <v>3</v>
      </c>
      <c r="M28" t="s">
        <v>3</v>
      </c>
      <c r="N28" t="s">
        <v>23</v>
      </c>
      <c r="O28" t="s">
        <v>24</v>
      </c>
      <c r="P28" t="s">
        <v>3</v>
      </c>
      <c r="Q28" t="s">
        <v>3</v>
      </c>
      <c r="R28" t="s">
        <v>3</v>
      </c>
      <c r="S28" t="s">
        <v>404</v>
      </c>
      <c r="T28" t="s">
        <v>406</v>
      </c>
      <c r="U28" t="s">
        <v>405</v>
      </c>
    </row>
    <row r="29" spans="1:21" x14ac:dyDescent="0.2">
      <c r="A29">
        <v>88</v>
      </c>
      <c r="B29">
        <v>1</v>
      </c>
      <c r="C29" t="s">
        <v>3</v>
      </c>
      <c r="D29" t="s">
        <v>23</v>
      </c>
      <c r="E29" t="s">
        <v>24</v>
      </c>
      <c r="F29" t="s">
        <v>24</v>
      </c>
      <c r="G29" t="s">
        <v>24</v>
      </c>
      <c r="H29" t="s">
        <v>3</v>
      </c>
      <c r="I29" t="s">
        <v>24</v>
      </c>
      <c r="J29" t="s">
        <v>24</v>
      </c>
      <c r="K29" t="s">
        <v>3</v>
      </c>
      <c r="L29" t="s">
        <v>3</v>
      </c>
      <c r="M29" t="s">
        <v>3</v>
      </c>
      <c r="N29" t="s">
        <v>23</v>
      </c>
      <c r="O29" t="s">
        <v>24</v>
      </c>
      <c r="P29" t="s">
        <v>3</v>
      </c>
      <c r="Q29" t="s">
        <v>3</v>
      </c>
      <c r="R29" t="s">
        <v>3</v>
      </c>
      <c r="S29" t="s">
        <v>404</v>
      </c>
      <c r="T29" t="s">
        <v>406</v>
      </c>
      <c r="U29" t="s">
        <v>405</v>
      </c>
    </row>
    <row r="30" spans="1:21" x14ac:dyDescent="0.2">
      <c r="A30">
        <v>89</v>
      </c>
      <c r="B30">
        <v>1</v>
      </c>
      <c r="C30" t="s">
        <v>3</v>
      </c>
      <c r="D30" t="s">
        <v>23</v>
      </c>
      <c r="E30" t="s">
        <v>24</v>
      </c>
      <c r="F30" t="s">
        <v>24</v>
      </c>
      <c r="G30" t="s">
        <v>24</v>
      </c>
      <c r="H30" t="s">
        <v>3</v>
      </c>
      <c r="I30" t="s">
        <v>24</v>
      </c>
      <c r="J30" t="s">
        <v>24</v>
      </c>
      <c r="K30" t="s">
        <v>3</v>
      </c>
      <c r="L30" t="s">
        <v>3</v>
      </c>
      <c r="M30" t="s">
        <v>3</v>
      </c>
      <c r="N30" t="s">
        <v>23</v>
      </c>
      <c r="O30" t="s">
        <v>24</v>
      </c>
      <c r="P30" t="s">
        <v>3</v>
      </c>
      <c r="Q30" t="s">
        <v>3</v>
      </c>
      <c r="R30" t="s">
        <v>3</v>
      </c>
      <c r="S30" t="s">
        <v>404</v>
      </c>
      <c r="T30" t="s">
        <v>406</v>
      </c>
      <c r="U30" t="s">
        <v>405</v>
      </c>
    </row>
    <row r="31" spans="1:21" x14ac:dyDescent="0.2">
      <c r="A31">
        <v>127</v>
      </c>
      <c r="B31">
        <v>1</v>
      </c>
      <c r="C31" t="s">
        <v>3</v>
      </c>
      <c r="D31" t="s">
        <v>23</v>
      </c>
      <c r="E31" t="s">
        <v>24</v>
      </c>
      <c r="F31" t="s">
        <v>24</v>
      </c>
      <c r="G31" t="s">
        <v>24</v>
      </c>
      <c r="H31" t="s">
        <v>3</v>
      </c>
      <c r="I31" t="s">
        <v>24</v>
      </c>
      <c r="J31" t="s">
        <v>24</v>
      </c>
      <c r="K31" t="s">
        <v>3</v>
      </c>
      <c r="L31" t="s">
        <v>3</v>
      </c>
      <c r="M31" t="s">
        <v>3</v>
      </c>
      <c r="N31" t="s">
        <v>23</v>
      </c>
      <c r="O31" t="s">
        <v>24</v>
      </c>
      <c r="P31" t="s">
        <v>3</v>
      </c>
      <c r="Q31" t="s">
        <v>3</v>
      </c>
      <c r="R31" t="s">
        <v>3</v>
      </c>
      <c r="S31" t="s">
        <v>404</v>
      </c>
      <c r="T31" t="s">
        <v>406</v>
      </c>
      <c r="U31" t="s">
        <v>405</v>
      </c>
    </row>
    <row r="32" spans="1:21" x14ac:dyDescent="0.2">
      <c r="A32">
        <v>128</v>
      </c>
      <c r="B32">
        <v>1</v>
      </c>
      <c r="C32" t="s">
        <v>3</v>
      </c>
      <c r="D32" t="s">
        <v>23</v>
      </c>
      <c r="E32" t="s">
        <v>24</v>
      </c>
      <c r="F32" t="s">
        <v>24</v>
      </c>
      <c r="G32" t="s">
        <v>24</v>
      </c>
      <c r="H32" t="s">
        <v>3</v>
      </c>
      <c r="I32" t="s">
        <v>24</v>
      </c>
      <c r="J32" t="s">
        <v>24</v>
      </c>
      <c r="K32" t="s">
        <v>3</v>
      </c>
      <c r="L32" t="s">
        <v>3</v>
      </c>
      <c r="M32" t="s">
        <v>3</v>
      </c>
      <c r="N32" t="s">
        <v>23</v>
      </c>
      <c r="O32" t="s">
        <v>24</v>
      </c>
      <c r="P32" t="s">
        <v>3</v>
      </c>
      <c r="Q32" t="s">
        <v>3</v>
      </c>
      <c r="R32" t="s">
        <v>3</v>
      </c>
      <c r="S32" t="s">
        <v>404</v>
      </c>
      <c r="T32" t="s">
        <v>406</v>
      </c>
      <c r="U32" t="s">
        <v>405</v>
      </c>
    </row>
    <row r="33" spans="1:21" x14ac:dyDescent="0.2">
      <c r="A33">
        <v>133</v>
      </c>
      <c r="B33">
        <v>1</v>
      </c>
      <c r="C33" t="s">
        <v>3</v>
      </c>
      <c r="D33" t="s">
        <v>23</v>
      </c>
      <c r="E33" t="s">
        <v>24</v>
      </c>
      <c r="F33" t="s">
        <v>24</v>
      </c>
      <c r="G33" t="s">
        <v>24</v>
      </c>
      <c r="H33" t="s">
        <v>3</v>
      </c>
      <c r="I33" t="s">
        <v>24</v>
      </c>
      <c r="J33" t="s">
        <v>24</v>
      </c>
      <c r="K33" t="s">
        <v>3</v>
      </c>
      <c r="L33" t="s">
        <v>3</v>
      </c>
      <c r="M33" t="s">
        <v>3</v>
      </c>
      <c r="N33" t="s">
        <v>23</v>
      </c>
      <c r="O33" t="s">
        <v>24</v>
      </c>
      <c r="P33" t="s">
        <v>3</v>
      </c>
      <c r="Q33" t="s">
        <v>3</v>
      </c>
      <c r="R33" t="s">
        <v>3</v>
      </c>
      <c r="S33" t="s">
        <v>404</v>
      </c>
      <c r="T33" t="s">
        <v>406</v>
      </c>
      <c r="U33" t="s">
        <v>405</v>
      </c>
    </row>
    <row r="34" spans="1:21" x14ac:dyDescent="0.2">
      <c r="A34">
        <v>134</v>
      </c>
      <c r="B34">
        <v>1</v>
      </c>
      <c r="C34" t="s">
        <v>3</v>
      </c>
      <c r="D34" t="s">
        <v>23</v>
      </c>
      <c r="E34" t="s">
        <v>24</v>
      </c>
      <c r="F34" t="s">
        <v>24</v>
      </c>
      <c r="G34" t="s">
        <v>24</v>
      </c>
      <c r="H34" t="s">
        <v>3</v>
      </c>
      <c r="I34" t="s">
        <v>24</v>
      </c>
      <c r="J34" t="s">
        <v>24</v>
      </c>
      <c r="K34" t="s">
        <v>3</v>
      </c>
      <c r="L34" t="s">
        <v>3</v>
      </c>
      <c r="M34" t="s">
        <v>3</v>
      </c>
      <c r="N34" t="s">
        <v>23</v>
      </c>
      <c r="O34" t="s">
        <v>24</v>
      </c>
      <c r="P34" t="s">
        <v>3</v>
      </c>
      <c r="Q34" t="s">
        <v>3</v>
      </c>
      <c r="R34" t="s">
        <v>3</v>
      </c>
      <c r="S34" t="s">
        <v>404</v>
      </c>
      <c r="T34" t="s">
        <v>406</v>
      </c>
      <c r="U34" t="s">
        <v>405</v>
      </c>
    </row>
    <row r="35" spans="1:21" x14ac:dyDescent="0.2">
      <c r="A35">
        <v>139</v>
      </c>
      <c r="B35">
        <v>1</v>
      </c>
      <c r="C35" t="s">
        <v>3</v>
      </c>
      <c r="D35" t="s">
        <v>23</v>
      </c>
      <c r="E35" t="s">
        <v>24</v>
      </c>
      <c r="F35" t="s">
        <v>24</v>
      </c>
      <c r="G35" t="s">
        <v>24</v>
      </c>
      <c r="H35" t="s">
        <v>3</v>
      </c>
      <c r="I35" t="s">
        <v>24</v>
      </c>
      <c r="J35" t="s">
        <v>24</v>
      </c>
      <c r="K35" t="s">
        <v>3</v>
      </c>
      <c r="L35" t="s">
        <v>3</v>
      </c>
      <c r="M35" t="s">
        <v>3</v>
      </c>
      <c r="N35" t="s">
        <v>23</v>
      </c>
      <c r="O35" t="s">
        <v>24</v>
      </c>
      <c r="P35" t="s">
        <v>3</v>
      </c>
      <c r="Q35" t="s">
        <v>3</v>
      </c>
      <c r="R35" t="s">
        <v>3</v>
      </c>
      <c r="S35" t="s">
        <v>404</v>
      </c>
      <c r="T35" t="s">
        <v>406</v>
      </c>
      <c r="U35" t="s">
        <v>405</v>
      </c>
    </row>
    <row r="36" spans="1:21" x14ac:dyDescent="0.2">
      <c r="A36">
        <v>140</v>
      </c>
      <c r="B36">
        <v>1</v>
      </c>
      <c r="C36" t="s">
        <v>3</v>
      </c>
      <c r="D36" t="s">
        <v>23</v>
      </c>
      <c r="E36" t="s">
        <v>24</v>
      </c>
      <c r="F36" t="s">
        <v>24</v>
      </c>
      <c r="G36" t="s">
        <v>24</v>
      </c>
      <c r="H36" t="s">
        <v>3</v>
      </c>
      <c r="I36" t="s">
        <v>24</v>
      </c>
      <c r="J36" t="s">
        <v>24</v>
      </c>
      <c r="K36" t="s">
        <v>3</v>
      </c>
      <c r="L36" t="s">
        <v>3</v>
      </c>
      <c r="M36" t="s">
        <v>3</v>
      </c>
      <c r="N36" t="s">
        <v>23</v>
      </c>
      <c r="O36" t="s">
        <v>24</v>
      </c>
      <c r="P36" t="s">
        <v>3</v>
      </c>
      <c r="Q36" t="s">
        <v>3</v>
      </c>
      <c r="R36" t="s">
        <v>3</v>
      </c>
      <c r="S36" t="s">
        <v>404</v>
      </c>
      <c r="T36" t="s">
        <v>406</v>
      </c>
      <c r="U36" t="s">
        <v>405</v>
      </c>
    </row>
    <row r="37" spans="1:21" x14ac:dyDescent="0.2">
      <c r="A37">
        <v>141</v>
      </c>
      <c r="B37">
        <v>1</v>
      </c>
      <c r="C37" t="s">
        <v>3</v>
      </c>
      <c r="D37" t="s">
        <v>23</v>
      </c>
      <c r="E37" t="s">
        <v>24</v>
      </c>
      <c r="F37" t="s">
        <v>24</v>
      </c>
      <c r="G37" t="s">
        <v>24</v>
      </c>
      <c r="H37" t="s">
        <v>3</v>
      </c>
      <c r="I37" t="s">
        <v>24</v>
      </c>
      <c r="J37" t="s">
        <v>24</v>
      </c>
      <c r="K37" t="s">
        <v>3</v>
      </c>
      <c r="L37" t="s">
        <v>3</v>
      </c>
      <c r="M37" t="s">
        <v>3</v>
      </c>
      <c r="N37" t="s">
        <v>23</v>
      </c>
      <c r="O37" t="s">
        <v>24</v>
      </c>
      <c r="P37" t="s">
        <v>3</v>
      </c>
      <c r="Q37" t="s">
        <v>3</v>
      </c>
      <c r="R37" t="s">
        <v>3</v>
      </c>
      <c r="S37" t="s">
        <v>404</v>
      </c>
      <c r="T37" t="s">
        <v>406</v>
      </c>
      <c r="U37" t="s">
        <v>405</v>
      </c>
    </row>
    <row r="38" spans="1:21" x14ac:dyDescent="0.2">
      <c r="A38">
        <v>142</v>
      </c>
      <c r="B38">
        <v>1</v>
      </c>
      <c r="C38" t="s">
        <v>3</v>
      </c>
      <c r="D38" t="s">
        <v>23</v>
      </c>
      <c r="E38" t="s">
        <v>24</v>
      </c>
      <c r="F38" t="s">
        <v>24</v>
      </c>
      <c r="G38" t="s">
        <v>24</v>
      </c>
      <c r="H38" t="s">
        <v>3</v>
      </c>
      <c r="I38" t="s">
        <v>24</v>
      </c>
      <c r="J38" t="s">
        <v>24</v>
      </c>
      <c r="K38" t="s">
        <v>3</v>
      </c>
      <c r="L38" t="s">
        <v>3</v>
      </c>
      <c r="M38" t="s">
        <v>3</v>
      </c>
      <c r="N38" t="s">
        <v>23</v>
      </c>
      <c r="O38" t="s">
        <v>24</v>
      </c>
      <c r="P38" t="s">
        <v>3</v>
      </c>
      <c r="Q38" t="s">
        <v>3</v>
      </c>
      <c r="R38" t="s">
        <v>3</v>
      </c>
      <c r="S38" t="s">
        <v>404</v>
      </c>
      <c r="T38" t="s">
        <v>406</v>
      </c>
      <c r="U38" t="s">
        <v>405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/>
      </c>
      <c r="G12" t="str">
        <f>Source!G12</f>
        <v>02-01-16 СОС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02-01-16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'02-01-16'!Заголовки_для_печати</vt:lpstr>
      <vt:lpstr>'Ведомость объемов работ'!Заголовки_для_печати</vt:lpstr>
      <vt:lpstr>'02-01-16'!Область_печати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cp:lastPrinted>2026-03-23T11:49:25Z</cp:lastPrinted>
  <dcterms:created xsi:type="dcterms:W3CDTF">2026-03-23T11:48:24Z</dcterms:created>
  <dcterms:modified xsi:type="dcterms:W3CDTF">2026-03-23T11:49:29Z</dcterms:modified>
</cp:coreProperties>
</file>