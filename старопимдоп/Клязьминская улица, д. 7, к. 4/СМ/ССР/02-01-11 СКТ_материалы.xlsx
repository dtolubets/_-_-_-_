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ПРОЕКТНЫЙ ОТДЕЛ\СМЕТЫ 2025 год\ШКОЛЫ\Клязьминская ул., д.7, к. 4\Сметы\"/>
    </mc:Choice>
  </mc:AlternateContent>
  <bookViews>
    <workbookView xWindow="0" yWindow="0" windowWidth="22843" windowHeight="12934"/>
  </bookViews>
  <sheets>
    <sheet name="02-01-11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'02-01-11'!$27:$27</definedName>
    <definedName name="_xlnm.Print_Titles" localSheetId="1">'Ведомость объемов работ'!$17:$17</definedName>
    <definedName name="_xlnm.Print_Area" localSheetId="0">'02-01-11'!$A$1:$K$144</definedName>
    <definedName name="_xlnm.Print_Area" localSheetId="1">'Ведомость объемов работ'!$A$1:$H$49</definedName>
  </definedNames>
  <calcPr calcId="162913" iterate="1"/>
</workbook>
</file>

<file path=xl/calcChain.xml><?xml version="1.0" encoding="utf-8"?>
<calcChain xmlns="http://schemas.openxmlformats.org/spreadsheetml/2006/main">
  <c r="D47" i="8" l="1"/>
  <c r="D45" i="8"/>
  <c r="F42" i="8"/>
  <c r="E42" i="8"/>
  <c r="C42" i="8"/>
  <c r="B42" i="8"/>
  <c r="G41" i="8"/>
  <c r="F41" i="8"/>
  <c r="E41" i="8"/>
  <c r="C41" i="8"/>
  <c r="B41" i="8"/>
  <c r="F40" i="8"/>
  <c r="E40" i="8"/>
  <c r="C40" i="8"/>
  <c r="B40" i="8"/>
  <c r="G39" i="8"/>
  <c r="F39" i="8"/>
  <c r="E39" i="8"/>
  <c r="C39" i="8"/>
  <c r="B39" i="8"/>
  <c r="F38" i="8"/>
  <c r="E38" i="8"/>
  <c r="C38" i="8"/>
  <c r="B38" i="8"/>
  <c r="G37" i="8"/>
  <c r="F37" i="8"/>
  <c r="E37" i="8"/>
  <c r="C37" i="8"/>
  <c r="B37" i="8"/>
  <c r="F36" i="8"/>
  <c r="E36" i="8"/>
  <c r="C36" i="8"/>
  <c r="B36" i="8"/>
  <c r="F35" i="8"/>
  <c r="E35" i="8"/>
  <c r="C35" i="8"/>
  <c r="B35" i="8"/>
  <c r="F34" i="8"/>
  <c r="E34" i="8"/>
  <c r="C34" i="8"/>
  <c r="B34" i="8"/>
  <c r="F33" i="8"/>
  <c r="E33" i="8"/>
  <c r="C33" i="8"/>
  <c r="B33" i="8"/>
  <c r="F32" i="8"/>
  <c r="E32" i="8"/>
  <c r="C32" i="8"/>
  <c r="B32" i="8"/>
  <c r="F31" i="8"/>
  <c r="E31" i="8"/>
  <c r="C31" i="8"/>
  <c r="B31" i="8"/>
  <c r="F30" i="8"/>
  <c r="E30" i="8"/>
  <c r="C30" i="8"/>
  <c r="B30" i="8"/>
  <c r="G29" i="8"/>
  <c r="F29" i="8"/>
  <c r="E29" i="8"/>
  <c r="C29" i="8"/>
  <c r="B29" i="8"/>
  <c r="F28" i="8"/>
  <c r="E28" i="8"/>
  <c r="C28" i="8"/>
  <c r="B28" i="8"/>
  <c r="G27" i="8"/>
  <c r="F27" i="8"/>
  <c r="E27" i="8"/>
  <c r="C27" i="8"/>
  <c r="B27" i="8"/>
  <c r="A26" i="8"/>
  <c r="F25" i="8"/>
  <c r="E25" i="8"/>
  <c r="C25" i="8"/>
  <c r="B25" i="8"/>
  <c r="F24" i="8"/>
  <c r="E24" i="8"/>
  <c r="C24" i="8"/>
  <c r="B24" i="8"/>
  <c r="F23" i="8"/>
  <c r="E23" i="8"/>
  <c r="C23" i="8"/>
  <c r="B23" i="8"/>
  <c r="G22" i="8"/>
  <c r="F22" i="8"/>
  <c r="E22" i="8"/>
  <c r="C22" i="8"/>
  <c r="B22" i="8"/>
  <c r="F21" i="8"/>
  <c r="E21" i="8"/>
  <c r="C21" i="8"/>
  <c r="B21" i="8"/>
  <c r="G20" i="8"/>
  <c r="F20" i="8"/>
  <c r="E20" i="8"/>
  <c r="C20" i="8"/>
  <c r="B20" i="8"/>
  <c r="A19" i="8"/>
  <c r="A18" i="8"/>
  <c r="B13" i="8"/>
  <c r="B12" i="8"/>
  <c r="A1" i="8"/>
  <c r="H142" i="7"/>
  <c r="H139" i="7"/>
  <c r="C142" i="7"/>
  <c r="C139" i="7"/>
  <c r="J22" i="7"/>
  <c r="J19" i="7"/>
  <c r="J18" i="7"/>
  <c r="J17" i="7"/>
  <c r="J16" i="7"/>
  <c r="J15" i="7"/>
  <c r="J14" i="7" s="1"/>
  <c r="I22" i="7"/>
  <c r="I20" i="7"/>
  <c r="I19" i="7"/>
  <c r="I18" i="7"/>
  <c r="I17" i="7"/>
  <c r="I16" i="7"/>
  <c r="I15" i="7"/>
  <c r="I14" i="7"/>
  <c r="I136" i="7"/>
  <c r="J136" i="7"/>
  <c r="I135" i="7"/>
  <c r="J135" i="7"/>
  <c r="A134" i="7"/>
  <c r="I132" i="7"/>
  <c r="J132" i="7"/>
  <c r="I131" i="7"/>
  <c r="J131" i="7"/>
  <c r="A130" i="7"/>
  <c r="H126" i="7"/>
  <c r="J126" i="7"/>
  <c r="I124" i="7"/>
  <c r="H124" i="7"/>
  <c r="G124" i="7"/>
  <c r="E124" i="7"/>
  <c r="K123" i="7"/>
  <c r="J123" i="7"/>
  <c r="I123" i="7"/>
  <c r="E123" i="7"/>
  <c r="J122" i="7"/>
  <c r="E122" i="7"/>
  <c r="K121" i="7"/>
  <c r="J121" i="7"/>
  <c r="H121" i="7"/>
  <c r="I121" i="7"/>
  <c r="F121" i="7"/>
  <c r="V121" i="7"/>
  <c r="T121" i="7"/>
  <c r="R121" i="7"/>
  <c r="K122" i="7" s="1"/>
  <c r="U121" i="7"/>
  <c r="S121" i="7"/>
  <c r="Q121" i="7"/>
  <c r="E121" i="7"/>
  <c r="D121" i="7"/>
  <c r="B121" i="7"/>
  <c r="K120" i="7"/>
  <c r="J120" i="7"/>
  <c r="I120" i="7"/>
  <c r="O127" i="7" s="1"/>
  <c r="H120" i="7"/>
  <c r="G120" i="7"/>
  <c r="F120" i="7"/>
  <c r="K119" i="7"/>
  <c r="J119" i="7"/>
  <c r="I119" i="7"/>
  <c r="H119" i="7"/>
  <c r="G119" i="7"/>
  <c r="F119" i="7"/>
  <c r="K118" i="7"/>
  <c r="J118" i="7"/>
  <c r="I118" i="7"/>
  <c r="H125" i="7" s="1"/>
  <c r="H118" i="7"/>
  <c r="G118" i="7"/>
  <c r="F118" i="7"/>
  <c r="K117" i="7"/>
  <c r="J117" i="7"/>
  <c r="I117" i="7"/>
  <c r="H127" i="7" s="1"/>
  <c r="H117" i="7"/>
  <c r="G117" i="7"/>
  <c r="F117" i="7"/>
  <c r="C116" i="7"/>
  <c r="V115" i="7"/>
  <c r="T115" i="7"/>
  <c r="R115" i="7"/>
  <c r="U115" i="7"/>
  <c r="S115" i="7"/>
  <c r="Q115" i="7"/>
  <c r="I122" i="7" s="1"/>
  <c r="E115" i="7"/>
  <c r="D115" i="7"/>
  <c r="H112" i="7"/>
  <c r="J112" i="7"/>
  <c r="I110" i="7"/>
  <c r="H110" i="7"/>
  <c r="G110" i="7"/>
  <c r="E110" i="7"/>
  <c r="J109" i="7"/>
  <c r="E109" i="7"/>
  <c r="K108" i="7"/>
  <c r="J108" i="7"/>
  <c r="E108" i="7"/>
  <c r="K107" i="7"/>
  <c r="J107" i="7"/>
  <c r="H107" i="7"/>
  <c r="I107" i="7"/>
  <c r="F107" i="7"/>
  <c r="V107" i="7"/>
  <c r="T107" i="7"/>
  <c r="R107" i="7"/>
  <c r="U107" i="7"/>
  <c r="S107" i="7"/>
  <c r="Q107" i="7"/>
  <c r="E107" i="7"/>
  <c r="D107" i="7"/>
  <c r="B107" i="7"/>
  <c r="K106" i="7"/>
  <c r="J106" i="7"/>
  <c r="I106" i="7"/>
  <c r="H106" i="7"/>
  <c r="G106" i="7"/>
  <c r="F106" i="7"/>
  <c r="K105" i="7"/>
  <c r="P113" i="7" s="1"/>
  <c r="J105" i="7"/>
  <c r="I105" i="7"/>
  <c r="H105" i="7"/>
  <c r="G105" i="7"/>
  <c r="F105" i="7"/>
  <c r="V104" i="7"/>
  <c r="T104" i="7"/>
  <c r="K109" i="7" s="1"/>
  <c r="R104" i="7"/>
  <c r="U104" i="7"/>
  <c r="S104" i="7"/>
  <c r="I109" i="7" s="1"/>
  <c r="Q104" i="7"/>
  <c r="I108" i="7" s="1"/>
  <c r="H111" i="7" s="1"/>
  <c r="E104" i="7"/>
  <c r="D104" i="7"/>
  <c r="H101" i="7"/>
  <c r="J101" i="7"/>
  <c r="I99" i="7"/>
  <c r="H99" i="7"/>
  <c r="G99" i="7"/>
  <c r="E99" i="7"/>
  <c r="J98" i="7"/>
  <c r="E98" i="7"/>
  <c r="J97" i="7"/>
  <c r="E97" i="7"/>
  <c r="K96" i="7"/>
  <c r="J96" i="7"/>
  <c r="H96" i="7"/>
  <c r="I96" i="7"/>
  <c r="F96" i="7"/>
  <c r="V96" i="7"/>
  <c r="T96" i="7"/>
  <c r="R96" i="7"/>
  <c r="U96" i="7"/>
  <c r="S96" i="7"/>
  <c r="Q96" i="7"/>
  <c r="E96" i="7"/>
  <c r="D96" i="7"/>
  <c r="B96" i="7"/>
  <c r="K95" i="7"/>
  <c r="J95" i="7"/>
  <c r="I95" i="7"/>
  <c r="H95" i="7"/>
  <c r="G95" i="7"/>
  <c r="F95" i="7"/>
  <c r="K94" i="7"/>
  <c r="J94" i="7"/>
  <c r="I94" i="7"/>
  <c r="O102" i="7" s="1"/>
  <c r="H94" i="7"/>
  <c r="G94" i="7"/>
  <c r="F94" i="7"/>
  <c r="V93" i="7"/>
  <c r="T93" i="7"/>
  <c r="K98" i="7" s="1"/>
  <c r="R93" i="7"/>
  <c r="K97" i="7" s="1"/>
  <c r="U93" i="7"/>
  <c r="S93" i="7"/>
  <c r="I98" i="7" s="1"/>
  <c r="Q93" i="7"/>
  <c r="I97" i="7" s="1"/>
  <c r="E93" i="7"/>
  <c r="D93" i="7"/>
  <c r="H90" i="7"/>
  <c r="J90" i="7"/>
  <c r="I88" i="7"/>
  <c r="H88" i="7"/>
  <c r="G88" i="7"/>
  <c r="E88" i="7"/>
  <c r="J87" i="7"/>
  <c r="E87" i="7"/>
  <c r="J86" i="7"/>
  <c r="E86" i="7"/>
  <c r="K85" i="7"/>
  <c r="J85" i="7"/>
  <c r="H85" i="7"/>
  <c r="I85" i="7"/>
  <c r="F85" i="7"/>
  <c r="V85" i="7"/>
  <c r="T85" i="7"/>
  <c r="R85" i="7"/>
  <c r="U85" i="7"/>
  <c r="S85" i="7"/>
  <c r="Q85" i="7"/>
  <c r="E85" i="7"/>
  <c r="D85" i="7"/>
  <c r="B85" i="7"/>
  <c r="K84" i="7"/>
  <c r="J84" i="7"/>
  <c r="H84" i="7"/>
  <c r="I84" i="7"/>
  <c r="F84" i="7"/>
  <c r="V84" i="7"/>
  <c r="T84" i="7"/>
  <c r="R84" i="7"/>
  <c r="U84" i="7"/>
  <c r="S84" i="7"/>
  <c r="Q84" i="7"/>
  <c r="E84" i="7"/>
  <c r="D84" i="7"/>
  <c r="B84" i="7"/>
  <c r="K83" i="7"/>
  <c r="J83" i="7"/>
  <c r="H83" i="7"/>
  <c r="I83" i="7"/>
  <c r="F83" i="7"/>
  <c r="V83" i="7"/>
  <c r="T83" i="7"/>
  <c r="R83" i="7"/>
  <c r="U83" i="7"/>
  <c r="S83" i="7"/>
  <c r="Q83" i="7"/>
  <c r="E83" i="7"/>
  <c r="D83" i="7"/>
  <c r="B83" i="7"/>
  <c r="K82" i="7"/>
  <c r="J82" i="7"/>
  <c r="H82" i="7"/>
  <c r="I82" i="7"/>
  <c r="F82" i="7"/>
  <c r="V82" i="7"/>
  <c r="T82" i="7"/>
  <c r="R82" i="7"/>
  <c r="U82" i="7"/>
  <c r="S82" i="7"/>
  <c r="Q82" i="7"/>
  <c r="E82" i="7"/>
  <c r="D82" i="7"/>
  <c r="B82" i="7"/>
  <c r="K81" i="7"/>
  <c r="J81" i="7"/>
  <c r="H81" i="7"/>
  <c r="I81" i="7"/>
  <c r="F81" i="7"/>
  <c r="V81" i="7"/>
  <c r="T81" i="7"/>
  <c r="R81" i="7"/>
  <c r="U81" i="7"/>
  <c r="S81" i="7"/>
  <c r="Q81" i="7"/>
  <c r="E81" i="7"/>
  <c r="D81" i="7"/>
  <c r="B81" i="7"/>
  <c r="K80" i="7"/>
  <c r="J80" i="7"/>
  <c r="H80" i="7"/>
  <c r="I80" i="7"/>
  <c r="F80" i="7"/>
  <c r="V80" i="7"/>
  <c r="T80" i="7"/>
  <c r="R80" i="7"/>
  <c r="U80" i="7"/>
  <c r="S80" i="7"/>
  <c r="Q80" i="7"/>
  <c r="E80" i="7"/>
  <c r="D80" i="7"/>
  <c r="B80" i="7"/>
  <c r="K79" i="7"/>
  <c r="J79" i="7"/>
  <c r="H79" i="7"/>
  <c r="I79" i="7"/>
  <c r="F79" i="7"/>
  <c r="V79" i="7"/>
  <c r="T79" i="7"/>
  <c r="R79" i="7"/>
  <c r="U79" i="7"/>
  <c r="S79" i="7"/>
  <c r="I87" i="7" s="1"/>
  <c r="Q79" i="7"/>
  <c r="E79" i="7"/>
  <c r="D79" i="7"/>
  <c r="B79" i="7"/>
  <c r="K78" i="7"/>
  <c r="J78" i="7"/>
  <c r="I78" i="7"/>
  <c r="H78" i="7"/>
  <c r="G78" i="7"/>
  <c r="F78" i="7"/>
  <c r="K77" i="7"/>
  <c r="J77" i="7"/>
  <c r="I77" i="7"/>
  <c r="H77" i="7"/>
  <c r="G77" i="7"/>
  <c r="F77" i="7"/>
  <c r="K76" i="7"/>
  <c r="P91" i="7" s="1"/>
  <c r="J76" i="7"/>
  <c r="I76" i="7"/>
  <c r="O91" i="7" s="1"/>
  <c r="H76" i="7"/>
  <c r="G76" i="7"/>
  <c r="F76" i="7"/>
  <c r="C75" i="7"/>
  <c r="V74" i="7"/>
  <c r="T74" i="7"/>
  <c r="K87" i="7" s="1"/>
  <c r="R74" i="7"/>
  <c r="K86" i="7" s="1"/>
  <c r="U74" i="7"/>
  <c r="S74" i="7"/>
  <c r="Q74" i="7"/>
  <c r="I86" i="7" s="1"/>
  <c r="E74" i="7"/>
  <c r="D74" i="7"/>
  <c r="H71" i="7"/>
  <c r="J71" i="7"/>
  <c r="I69" i="7"/>
  <c r="H69" i="7"/>
  <c r="G69" i="7"/>
  <c r="E69" i="7"/>
  <c r="J68" i="7"/>
  <c r="E68" i="7"/>
  <c r="K67" i="7"/>
  <c r="J67" i="7"/>
  <c r="E67" i="7"/>
  <c r="K66" i="7"/>
  <c r="J66" i="7"/>
  <c r="H66" i="7"/>
  <c r="I66" i="7"/>
  <c r="F66" i="7"/>
  <c r="V66" i="7"/>
  <c r="T66" i="7"/>
  <c r="R66" i="7"/>
  <c r="U66" i="7"/>
  <c r="S66" i="7"/>
  <c r="Q66" i="7"/>
  <c r="I67" i="7" s="1"/>
  <c r="E66" i="7"/>
  <c r="D66" i="7"/>
  <c r="B66" i="7"/>
  <c r="K65" i="7"/>
  <c r="J65" i="7"/>
  <c r="I65" i="7"/>
  <c r="H65" i="7"/>
  <c r="G65" i="7"/>
  <c r="F65" i="7"/>
  <c r="K64" i="7"/>
  <c r="J64" i="7"/>
  <c r="I64" i="7"/>
  <c r="H64" i="7"/>
  <c r="G64" i="7"/>
  <c r="F64" i="7"/>
  <c r="K63" i="7"/>
  <c r="J63" i="7"/>
  <c r="I63" i="7"/>
  <c r="H63" i="7"/>
  <c r="G63" i="7"/>
  <c r="F63" i="7"/>
  <c r="K62" i="7"/>
  <c r="J62" i="7"/>
  <c r="I62" i="7"/>
  <c r="O72" i="7" s="1"/>
  <c r="H62" i="7"/>
  <c r="G62" i="7"/>
  <c r="F62" i="7"/>
  <c r="C61" i="7"/>
  <c r="V60" i="7"/>
  <c r="T60" i="7"/>
  <c r="K68" i="7" s="1"/>
  <c r="R60" i="7"/>
  <c r="U60" i="7"/>
  <c r="S60" i="7"/>
  <c r="I68" i="7" s="1"/>
  <c r="Q60" i="7"/>
  <c r="E60" i="7"/>
  <c r="D60" i="7"/>
  <c r="A59" i="7"/>
  <c r="I57" i="7"/>
  <c r="J57" i="7"/>
  <c r="I56" i="7"/>
  <c r="J56" i="7"/>
  <c r="A55" i="7"/>
  <c r="H51" i="7"/>
  <c r="J51" i="7"/>
  <c r="I49" i="7"/>
  <c r="H49" i="7"/>
  <c r="G49" i="7"/>
  <c r="E49" i="7"/>
  <c r="J48" i="7"/>
  <c r="E48" i="7"/>
  <c r="J47" i="7"/>
  <c r="E47" i="7"/>
  <c r="K46" i="7"/>
  <c r="J46" i="7"/>
  <c r="H46" i="7"/>
  <c r="I46" i="7"/>
  <c r="F46" i="7"/>
  <c r="V46" i="7"/>
  <c r="T46" i="7"/>
  <c r="R46" i="7"/>
  <c r="U46" i="7"/>
  <c r="S46" i="7"/>
  <c r="Q46" i="7"/>
  <c r="E46" i="7"/>
  <c r="D46" i="7"/>
  <c r="B46" i="7"/>
  <c r="K45" i="7"/>
  <c r="J45" i="7"/>
  <c r="H45" i="7"/>
  <c r="I45" i="7"/>
  <c r="F45" i="7"/>
  <c r="V45" i="7"/>
  <c r="T45" i="7"/>
  <c r="R45" i="7"/>
  <c r="U45" i="7"/>
  <c r="S45" i="7"/>
  <c r="Q45" i="7"/>
  <c r="E45" i="7"/>
  <c r="D45" i="7"/>
  <c r="B45" i="7"/>
  <c r="K44" i="7"/>
  <c r="J44" i="7"/>
  <c r="H44" i="7"/>
  <c r="I44" i="7"/>
  <c r="F44" i="7"/>
  <c r="V44" i="7"/>
  <c r="T44" i="7"/>
  <c r="R44" i="7"/>
  <c r="U44" i="7"/>
  <c r="S44" i="7"/>
  <c r="Q44" i="7"/>
  <c r="E44" i="7"/>
  <c r="D44" i="7"/>
  <c r="B44" i="7"/>
  <c r="K43" i="7"/>
  <c r="J43" i="7"/>
  <c r="I43" i="7"/>
  <c r="H43" i="7"/>
  <c r="G43" i="7"/>
  <c r="F43" i="7"/>
  <c r="K42" i="7"/>
  <c r="J42" i="7"/>
  <c r="I42" i="7"/>
  <c r="H42" i="7"/>
  <c r="G42" i="7"/>
  <c r="F42" i="7"/>
  <c r="V41" i="7"/>
  <c r="T41" i="7"/>
  <c r="K48" i="7" s="1"/>
  <c r="R41" i="7"/>
  <c r="K47" i="7" s="1"/>
  <c r="U41" i="7"/>
  <c r="S41" i="7"/>
  <c r="I48" i="7" s="1"/>
  <c r="Q41" i="7"/>
  <c r="I47" i="7" s="1"/>
  <c r="E41" i="7"/>
  <c r="D41" i="7"/>
  <c r="H38" i="7"/>
  <c r="J38" i="7"/>
  <c r="I36" i="7"/>
  <c r="H36" i="7"/>
  <c r="G36" i="7"/>
  <c r="E36" i="7"/>
  <c r="K35" i="7"/>
  <c r="J35" i="7"/>
  <c r="E35" i="7"/>
  <c r="J34" i="7"/>
  <c r="E34" i="7"/>
  <c r="K33" i="7"/>
  <c r="J33" i="7"/>
  <c r="H33" i="7"/>
  <c r="I33" i="7"/>
  <c r="F33" i="7"/>
  <c r="V33" i="7"/>
  <c r="T33" i="7"/>
  <c r="R33" i="7"/>
  <c r="U33" i="7"/>
  <c r="S33" i="7"/>
  <c r="Q33" i="7"/>
  <c r="E33" i="7"/>
  <c r="D33" i="7"/>
  <c r="B33" i="7"/>
  <c r="K32" i="7"/>
  <c r="J32" i="7"/>
  <c r="I32" i="7"/>
  <c r="H32" i="7"/>
  <c r="G32" i="7"/>
  <c r="F32" i="7"/>
  <c r="K31" i="7"/>
  <c r="J37" i="7" s="1"/>
  <c r="J31" i="7"/>
  <c r="I31" i="7"/>
  <c r="H31" i="7"/>
  <c r="G31" i="7"/>
  <c r="F31" i="7"/>
  <c r="V30" i="7"/>
  <c r="T30" i="7"/>
  <c r="R30" i="7"/>
  <c r="K34" i="7" s="1"/>
  <c r="J39" i="7" s="1"/>
  <c r="U30" i="7"/>
  <c r="S30" i="7"/>
  <c r="I35" i="7" s="1"/>
  <c r="Q30" i="7"/>
  <c r="I34" i="7" s="1"/>
  <c r="H37" i="7" s="1"/>
  <c r="E30" i="7"/>
  <c r="D30" i="7"/>
  <c r="A29" i="7"/>
  <c r="A11" i="7"/>
  <c r="A8" i="7"/>
  <c r="A6" i="7"/>
  <c r="A1" i="7"/>
  <c r="P52" i="7" l="1"/>
  <c r="J50" i="7"/>
  <c r="H130" i="7"/>
  <c r="J70" i="7"/>
  <c r="P102" i="7"/>
  <c r="J89" i="7"/>
  <c r="J91" i="7"/>
  <c r="H100" i="7"/>
  <c r="H102" i="7"/>
  <c r="J113" i="7"/>
  <c r="J111" i="7"/>
  <c r="O52" i="7"/>
  <c r="J52" i="7"/>
  <c r="H39" i="7"/>
  <c r="H52" i="7"/>
  <c r="H50" i="7"/>
  <c r="J102" i="7"/>
  <c r="O113" i="7"/>
  <c r="P127" i="7"/>
  <c r="P39" i="7"/>
  <c r="J72" i="7"/>
  <c r="H70" i="7"/>
  <c r="H89" i="7"/>
  <c r="O39" i="7"/>
  <c r="H72" i="7"/>
  <c r="H91" i="7"/>
  <c r="J100" i="7"/>
  <c r="H113" i="7"/>
  <c r="P72" i="7"/>
  <c r="J130" i="7" s="1"/>
  <c r="J125" i="7"/>
  <c r="J127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" i="3"/>
  <c r="Y1" i="3"/>
  <c r="CV1" i="3" s="1"/>
  <c r="CY1" i="3"/>
  <c r="CZ1" i="3"/>
  <c r="DB1" i="3" s="1"/>
  <c r="DA1" i="3"/>
  <c r="DC1" i="3"/>
  <c r="A2" i="3"/>
  <c r="Y2" i="3"/>
  <c r="CW2" i="3" s="1"/>
  <c r="CY2" i="3"/>
  <c r="CZ2" i="3"/>
  <c r="DA2" i="3"/>
  <c r="DB2" i="3"/>
  <c r="DC2" i="3"/>
  <c r="A3" i="3"/>
  <c r="Y3" i="3"/>
  <c r="CX3" i="3" s="1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Y5" i="3"/>
  <c r="CZ5" i="3"/>
  <c r="DB5" i="3" s="1"/>
  <c r="DA5" i="3"/>
  <c r="DC5" i="3"/>
  <c r="A6" i="3"/>
  <c r="Y6" i="3"/>
  <c r="CY6" i="3"/>
  <c r="CZ6" i="3"/>
  <c r="DA6" i="3"/>
  <c r="DB6" i="3"/>
  <c r="DC6" i="3"/>
  <c r="A7" i="3"/>
  <c r="Y7" i="3"/>
  <c r="CW7" i="3" s="1"/>
  <c r="CY7" i="3"/>
  <c r="CZ7" i="3"/>
  <c r="DB7" i="3" s="1"/>
  <c r="DA7" i="3"/>
  <c r="DC7" i="3"/>
  <c r="A8" i="3"/>
  <c r="Y8" i="3"/>
  <c r="CX8" i="3" s="1"/>
  <c r="CY8" i="3"/>
  <c r="CZ8" i="3"/>
  <c r="DA8" i="3"/>
  <c r="DB8" i="3"/>
  <c r="DC8" i="3"/>
  <c r="A9" i="3"/>
  <c r="Y9" i="3"/>
  <c r="CY9" i="3"/>
  <c r="CZ9" i="3"/>
  <c r="DB9" i="3" s="1"/>
  <c r="DA9" i="3"/>
  <c r="DC9" i="3"/>
  <c r="A10" i="3"/>
  <c r="Y10" i="3"/>
  <c r="CX10" i="3" s="1"/>
  <c r="CY10" i="3"/>
  <c r="CZ10" i="3"/>
  <c r="DB10" i="3" s="1"/>
  <c r="DA10" i="3"/>
  <c r="DC10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S28" i="1"/>
  <c r="V28" i="1"/>
  <c r="AC28" i="1"/>
  <c r="P28" i="1" s="1"/>
  <c r="AE28" i="1"/>
  <c r="CS28" i="1" s="1"/>
  <c r="AF28" i="1"/>
  <c r="CT28" i="1" s="1"/>
  <c r="AG28" i="1"/>
  <c r="CU28" i="1" s="1"/>
  <c r="T28" i="1" s="1"/>
  <c r="AH28" i="1"/>
  <c r="AI28" i="1"/>
  <c r="AJ28" i="1"/>
  <c r="CQ28" i="1"/>
  <c r="CR28" i="1"/>
  <c r="CV28" i="1"/>
  <c r="U28" i="1" s="1"/>
  <c r="CW28" i="1"/>
  <c r="CX28" i="1"/>
  <c r="W28" i="1" s="1"/>
  <c r="GL28" i="1"/>
  <c r="GN28" i="1"/>
  <c r="GP28" i="1"/>
  <c r="GV28" i="1"/>
  <c r="HC28" i="1"/>
  <c r="GX28" i="1" s="1"/>
  <c r="D29" i="1"/>
  <c r="R29" i="1"/>
  <c r="AC29" i="1"/>
  <c r="CQ29" i="1" s="1"/>
  <c r="AD29" i="1"/>
  <c r="AE29" i="1"/>
  <c r="Q29" i="1" s="1"/>
  <c r="AF29" i="1"/>
  <c r="S29" i="1" s="1"/>
  <c r="AG29" i="1"/>
  <c r="CU29" i="1" s="1"/>
  <c r="T29" i="1" s="1"/>
  <c r="AH29" i="1"/>
  <c r="CV29" i="1" s="1"/>
  <c r="U29" i="1" s="1"/>
  <c r="AI29" i="1"/>
  <c r="AJ29" i="1"/>
  <c r="CX29" i="1" s="1"/>
  <c r="W29" i="1" s="1"/>
  <c r="CR29" i="1"/>
  <c r="CS29" i="1"/>
  <c r="CW29" i="1"/>
  <c r="V29" i="1" s="1"/>
  <c r="GL29" i="1"/>
  <c r="GN29" i="1"/>
  <c r="GP29" i="1"/>
  <c r="GV29" i="1"/>
  <c r="HC29" i="1" s="1"/>
  <c r="GX29" i="1" s="1"/>
  <c r="I30" i="1"/>
  <c r="P30" i="1" s="1"/>
  <c r="AB30" i="1"/>
  <c r="AC30" i="1"/>
  <c r="CQ30" i="1" s="1"/>
  <c r="AD30" i="1"/>
  <c r="AE30" i="1"/>
  <c r="CR30" i="1" s="1"/>
  <c r="AF30" i="1"/>
  <c r="CT30" i="1" s="1"/>
  <c r="AG30" i="1"/>
  <c r="AH30" i="1"/>
  <c r="CV30" i="1" s="1"/>
  <c r="U30" i="1" s="1"/>
  <c r="AI30" i="1"/>
  <c r="AJ30" i="1"/>
  <c r="CX30" i="1" s="1"/>
  <c r="W30" i="1" s="1"/>
  <c r="CS30" i="1"/>
  <c r="CU30" i="1"/>
  <c r="T30" i="1" s="1"/>
  <c r="CW30" i="1"/>
  <c r="V30" i="1" s="1"/>
  <c r="AI41" i="1" s="1"/>
  <c r="GL30" i="1"/>
  <c r="GN30" i="1"/>
  <c r="GO30" i="1"/>
  <c r="GP30" i="1"/>
  <c r="GV30" i="1"/>
  <c r="HC30" i="1" s="1"/>
  <c r="GX30" i="1" s="1"/>
  <c r="I31" i="1"/>
  <c r="R31" i="1"/>
  <c r="T31" i="1"/>
  <c r="AC31" i="1"/>
  <c r="CQ31" i="1" s="1"/>
  <c r="AE31" i="1"/>
  <c r="CS31" i="1" s="1"/>
  <c r="AF31" i="1"/>
  <c r="S31" i="1" s="1"/>
  <c r="AG31" i="1"/>
  <c r="AH31" i="1"/>
  <c r="CV31" i="1" s="1"/>
  <c r="U31" i="1" s="1"/>
  <c r="AI31" i="1"/>
  <c r="CW31" i="1" s="1"/>
  <c r="V31" i="1" s="1"/>
  <c r="AJ31" i="1"/>
  <c r="CX31" i="1" s="1"/>
  <c r="W31" i="1" s="1"/>
  <c r="CR31" i="1"/>
  <c r="CT31" i="1"/>
  <c r="CU31" i="1"/>
  <c r="GL31" i="1"/>
  <c r="GN31" i="1"/>
  <c r="GO31" i="1"/>
  <c r="GP31" i="1"/>
  <c r="GV31" i="1"/>
  <c r="HC31" i="1"/>
  <c r="GX31" i="1" s="1"/>
  <c r="D32" i="1"/>
  <c r="R32" i="1"/>
  <c r="AC32" i="1"/>
  <c r="P32" i="1" s="1"/>
  <c r="AD32" i="1"/>
  <c r="AE32" i="1"/>
  <c r="Q32" i="1" s="1"/>
  <c r="AF32" i="1"/>
  <c r="S32" i="1" s="1"/>
  <c r="AG32" i="1"/>
  <c r="AH32" i="1"/>
  <c r="CV32" i="1" s="1"/>
  <c r="U32" i="1" s="1"/>
  <c r="AI32" i="1"/>
  <c r="AJ32" i="1"/>
  <c r="CX32" i="1" s="1"/>
  <c r="W32" i="1" s="1"/>
  <c r="CR32" i="1"/>
  <c r="CT32" i="1"/>
  <c r="CU32" i="1"/>
  <c r="T32" i="1" s="1"/>
  <c r="CW32" i="1"/>
  <c r="V32" i="1" s="1"/>
  <c r="GL32" i="1"/>
  <c r="GN32" i="1"/>
  <c r="GP32" i="1"/>
  <c r="GV32" i="1"/>
  <c r="HC32" i="1" s="1"/>
  <c r="GX32" i="1" s="1"/>
  <c r="D33" i="1"/>
  <c r="R33" i="1"/>
  <c r="W33" i="1"/>
  <c r="AB33" i="1"/>
  <c r="AC33" i="1"/>
  <c r="P33" i="1" s="1"/>
  <c r="AD33" i="1"/>
  <c r="AE33" i="1"/>
  <c r="CR33" i="1" s="1"/>
  <c r="AF33" i="1"/>
  <c r="CT33" i="1" s="1"/>
  <c r="AG33" i="1"/>
  <c r="AH33" i="1"/>
  <c r="CV33" i="1" s="1"/>
  <c r="U33" i="1" s="1"/>
  <c r="AI33" i="1"/>
  <c r="AJ33" i="1"/>
  <c r="CQ33" i="1"/>
  <c r="CS33" i="1"/>
  <c r="CU33" i="1"/>
  <c r="T33" i="1" s="1"/>
  <c r="CW33" i="1"/>
  <c r="V33" i="1" s="1"/>
  <c r="CX33" i="1"/>
  <c r="GL33" i="1"/>
  <c r="GN33" i="1"/>
  <c r="GP33" i="1"/>
  <c r="GV33" i="1"/>
  <c r="HC33" i="1" s="1"/>
  <c r="GX33" i="1" s="1"/>
  <c r="I34" i="1"/>
  <c r="P34" i="1" s="1"/>
  <c r="S34" i="1"/>
  <c r="V34" i="1"/>
  <c r="AC34" i="1"/>
  <c r="AE34" i="1"/>
  <c r="CR34" i="1" s="1"/>
  <c r="AF34" i="1"/>
  <c r="CT34" i="1" s="1"/>
  <c r="AG34" i="1"/>
  <c r="CU34" i="1" s="1"/>
  <c r="T34" i="1" s="1"/>
  <c r="AH34" i="1"/>
  <c r="CV34" i="1" s="1"/>
  <c r="U34" i="1" s="1"/>
  <c r="AI34" i="1"/>
  <c r="AJ34" i="1"/>
  <c r="CQ34" i="1"/>
  <c r="CS34" i="1"/>
  <c r="CW34" i="1"/>
  <c r="CX34" i="1"/>
  <c r="W34" i="1" s="1"/>
  <c r="GL34" i="1"/>
  <c r="GN34" i="1"/>
  <c r="GP34" i="1"/>
  <c r="GV34" i="1"/>
  <c r="HC34" i="1"/>
  <c r="GX34" i="1" s="1"/>
  <c r="I35" i="1"/>
  <c r="Q35" i="1" s="1"/>
  <c r="R35" i="1"/>
  <c r="AC35" i="1"/>
  <c r="P35" i="1" s="1"/>
  <c r="AD35" i="1"/>
  <c r="AE35" i="1"/>
  <c r="AF35" i="1"/>
  <c r="S35" i="1" s="1"/>
  <c r="AG35" i="1"/>
  <c r="AH35" i="1"/>
  <c r="CV35" i="1" s="1"/>
  <c r="U35" i="1" s="1"/>
  <c r="AI35" i="1"/>
  <c r="AJ35" i="1"/>
  <c r="CX35" i="1" s="1"/>
  <c r="W35" i="1" s="1"/>
  <c r="CR35" i="1"/>
  <c r="CS35" i="1"/>
  <c r="CT35" i="1"/>
  <c r="CU35" i="1"/>
  <c r="T35" i="1" s="1"/>
  <c r="CW35" i="1"/>
  <c r="V35" i="1" s="1"/>
  <c r="GL35" i="1"/>
  <c r="GN35" i="1"/>
  <c r="GP35" i="1"/>
  <c r="GV35" i="1"/>
  <c r="HC35" i="1" s="1"/>
  <c r="GX35" i="1" s="1"/>
  <c r="I36" i="1"/>
  <c r="P36" i="1" s="1"/>
  <c r="AC36" i="1"/>
  <c r="AD36" i="1"/>
  <c r="AB36" i="1" s="1"/>
  <c r="AE36" i="1"/>
  <c r="CR36" i="1" s="1"/>
  <c r="AF36" i="1"/>
  <c r="CT36" i="1" s="1"/>
  <c r="AG36" i="1"/>
  <c r="AH36" i="1"/>
  <c r="CV36" i="1" s="1"/>
  <c r="U36" i="1" s="1"/>
  <c r="AI36" i="1"/>
  <c r="AJ36" i="1"/>
  <c r="CX36" i="1" s="1"/>
  <c r="W36" i="1" s="1"/>
  <c r="CQ36" i="1"/>
  <c r="CS36" i="1"/>
  <c r="CU36" i="1"/>
  <c r="T36" i="1" s="1"/>
  <c r="CW36" i="1"/>
  <c r="V36" i="1" s="1"/>
  <c r="GL36" i="1"/>
  <c r="GN36" i="1"/>
  <c r="GP36" i="1"/>
  <c r="GV36" i="1"/>
  <c r="HC36" i="1" s="1"/>
  <c r="GX36" i="1" s="1"/>
  <c r="I37" i="1"/>
  <c r="P37" i="1" s="1"/>
  <c r="S37" i="1"/>
  <c r="V37" i="1"/>
  <c r="AC37" i="1"/>
  <c r="AE37" i="1"/>
  <c r="CR37" i="1" s="1"/>
  <c r="AF37" i="1"/>
  <c r="CT37" i="1" s="1"/>
  <c r="AG37" i="1"/>
  <c r="CU37" i="1" s="1"/>
  <c r="T37" i="1" s="1"/>
  <c r="AH37" i="1"/>
  <c r="CV37" i="1" s="1"/>
  <c r="U37" i="1" s="1"/>
  <c r="AI37" i="1"/>
  <c r="AJ37" i="1"/>
  <c r="CQ37" i="1"/>
  <c r="CS37" i="1"/>
  <c r="CW37" i="1"/>
  <c r="CX37" i="1"/>
  <c r="W37" i="1" s="1"/>
  <c r="GL37" i="1"/>
  <c r="GN37" i="1"/>
  <c r="GP37" i="1"/>
  <c r="GV37" i="1"/>
  <c r="HC37" i="1"/>
  <c r="GX37" i="1" s="1"/>
  <c r="I38" i="1"/>
  <c r="Q38" i="1" s="1"/>
  <c r="R38" i="1"/>
  <c r="AC38" i="1"/>
  <c r="P38" i="1" s="1"/>
  <c r="AD38" i="1"/>
  <c r="AE38" i="1"/>
  <c r="AF38" i="1"/>
  <c r="S38" i="1" s="1"/>
  <c r="AG38" i="1"/>
  <c r="AH38" i="1"/>
  <c r="CV38" i="1" s="1"/>
  <c r="U38" i="1" s="1"/>
  <c r="AI38" i="1"/>
  <c r="AJ38" i="1"/>
  <c r="CX38" i="1" s="1"/>
  <c r="W38" i="1" s="1"/>
  <c r="CR38" i="1"/>
  <c r="CS38" i="1"/>
  <c r="CT38" i="1"/>
  <c r="CU38" i="1"/>
  <c r="T38" i="1" s="1"/>
  <c r="CW38" i="1"/>
  <c r="V38" i="1" s="1"/>
  <c r="GL38" i="1"/>
  <c r="GN38" i="1"/>
  <c r="GP38" i="1"/>
  <c r="GV38" i="1"/>
  <c r="HC38" i="1" s="1"/>
  <c r="GX38" i="1" s="1"/>
  <c r="I39" i="1"/>
  <c r="Q39" i="1" s="1"/>
  <c r="P39" i="1"/>
  <c r="AC39" i="1"/>
  <c r="AD39" i="1"/>
  <c r="AB39" i="1" s="1"/>
  <c r="AE39" i="1"/>
  <c r="CR39" i="1" s="1"/>
  <c r="AF39" i="1"/>
  <c r="CT39" i="1" s="1"/>
  <c r="AG39" i="1"/>
  <c r="AH39" i="1"/>
  <c r="AI39" i="1"/>
  <c r="AJ39" i="1"/>
  <c r="CX39" i="1" s="1"/>
  <c r="W39" i="1" s="1"/>
  <c r="CQ39" i="1"/>
  <c r="CS39" i="1"/>
  <c r="CU39" i="1"/>
  <c r="T39" i="1" s="1"/>
  <c r="CV39" i="1"/>
  <c r="CW39" i="1"/>
  <c r="V39" i="1" s="1"/>
  <c r="GL39" i="1"/>
  <c r="GN39" i="1"/>
  <c r="GP39" i="1"/>
  <c r="GV39" i="1"/>
  <c r="HC39" i="1" s="1"/>
  <c r="GX39" i="1" s="1"/>
  <c r="B41" i="1"/>
  <c r="B26" i="1" s="1"/>
  <c r="C41" i="1"/>
  <c r="C26" i="1" s="1"/>
  <c r="D41" i="1"/>
  <c r="D26" i="1" s="1"/>
  <c r="F41" i="1"/>
  <c r="F26" i="1" s="1"/>
  <c r="G41" i="1"/>
  <c r="G26" i="1" s="1"/>
  <c r="BX41" i="1"/>
  <c r="BX26" i="1" s="1"/>
  <c r="BZ41" i="1"/>
  <c r="AQ41" i="1" s="1"/>
  <c r="CB41" i="1"/>
  <c r="AS41" i="1" s="1"/>
  <c r="CD41" i="1"/>
  <c r="CD26" i="1" s="1"/>
  <c r="CK41" i="1"/>
  <c r="CK26" i="1" s="1"/>
  <c r="CL41" i="1"/>
  <c r="BC41" i="1" s="1"/>
  <c r="CM41" i="1"/>
  <c r="BD41" i="1" s="1"/>
  <c r="EI41" i="1"/>
  <c r="EI26" i="1" s="1"/>
  <c r="EK41" i="1"/>
  <c r="P58" i="1" s="1"/>
  <c r="FP41" i="1"/>
  <c r="EG41" i="1" s="1"/>
  <c r="FR41" i="1"/>
  <c r="FR26" i="1" s="1"/>
  <c r="FT41" i="1"/>
  <c r="FT26" i="1" s="1"/>
  <c r="FV41" i="1"/>
  <c r="FV26" i="1" s="1"/>
  <c r="GC41" i="1"/>
  <c r="ET41" i="1" s="1"/>
  <c r="GD41" i="1"/>
  <c r="EU41" i="1" s="1"/>
  <c r="GE41" i="1"/>
  <c r="EV41" i="1" s="1"/>
  <c r="P51" i="1"/>
  <c r="D71" i="1"/>
  <c r="E73" i="1"/>
  <c r="Z73" i="1"/>
  <c r="AA73" i="1"/>
  <c r="AM73" i="1"/>
  <c r="AN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R73" i="1"/>
  <c r="DS73" i="1"/>
  <c r="EE73" i="1"/>
  <c r="EF73" i="1"/>
  <c r="EW73" i="1"/>
  <c r="EX73" i="1"/>
  <c r="EY73" i="1"/>
  <c r="EZ73" i="1"/>
  <c r="FA73" i="1"/>
  <c r="FB73" i="1"/>
  <c r="FC73" i="1"/>
  <c r="FD73" i="1"/>
  <c r="FE73" i="1"/>
  <c r="FF73" i="1"/>
  <c r="FG73" i="1"/>
  <c r="FH73" i="1"/>
  <c r="FI73" i="1"/>
  <c r="FJ73" i="1"/>
  <c r="FK73" i="1"/>
  <c r="FL73" i="1"/>
  <c r="FM73" i="1"/>
  <c r="FN73" i="1"/>
  <c r="FO73" i="1"/>
  <c r="GF73" i="1"/>
  <c r="GG73" i="1"/>
  <c r="GH73" i="1"/>
  <c r="GI73" i="1"/>
  <c r="GJ73" i="1"/>
  <c r="GK73" i="1"/>
  <c r="GL73" i="1"/>
  <c r="GM73" i="1"/>
  <c r="GN73" i="1"/>
  <c r="GO73" i="1"/>
  <c r="GP73" i="1"/>
  <c r="GQ73" i="1"/>
  <c r="GR73" i="1"/>
  <c r="GS73" i="1"/>
  <c r="GT73" i="1"/>
  <c r="GU73" i="1"/>
  <c r="GV73" i="1"/>
  <c r="GW73" i="1"/>
  <c r="GX73" i="1"/>
  <c r="C75" i="1"/>
  <c r="D75" i="1"/>
  <c r="I75" i="1"/>
  <c r="CX4" i="3" s="1"/>
  <c r="K75" i="1"/>
  <c r="R75" i="1"/>
  <c r="AC75" i="1"/>
  <c r="CQ75" i="1" s="1"/>
  <c r="AD75" i="1"/>
  <c r="AE75" i="1"/>
  <c r="AF75" i="1"/>
  <c r="AG75" i="1"/>
  <c r="AH75" i="1"/>
  <c r="CV75" i="1" s="1"/>
  <c r="U75" i="1" s="1"/>
  <c r="AI75" i="1"/>
  <c r="AJ75" i="1"/>
  <c r="CR75" i="1"/>
  <c r="CS75" i="1"/>
  <c r="CU75" i="1"/>
  <c r="T75" i="1" s="1"/>
  <c r="CW75" i="1"/>
  <c r="V75" i="1" s="1"/>
  <c r="CX75" i="1"/>
  <c r="W75" i="1" s="1"/>
  <c r="GL75" i="1"/>
  <c r="GN75" i="1"/>
  <c r="GP75" i="1"/>
  <c r="GV75" i="1"/>
  <c r="HC75" i="1" s="1"/>
  <c r="GX75" i="1" s="1"/>
  <c r="C76" i="1"/>
  <c r="D76" i="1"/>
  <c r="I76" i="1"/>
  <c r="CU6" i="3" s="1"/>
  <c r="K76" i="1"/>
  <c r="S76" i="1"/>
  <c r="W76" i="1"/>
  <c r="AC76" i="1"/>
  <c r="P76" i="1" s="1"/>
  <c r="AE76" i="1"/>
  <c r="AD76" i="1" s="1"/>
  <c r="AB76" i="1" s="1"/>
  <c r="AF76" i="1"/>
  <c r="CT76" i="1" s="1"/>
  <c r="AG76" i="1"/>
  <c r="CU76" i="1" s="1"/>
  <c r="T76" i="1" s="1"/>
  <c r="AH76" i="1"/>
  <c r="CV76" i="1" s="1"/>
  <c r="U76" i="1" s="1"/>
  <c r="AI76" i="1"/>
  <c r="AJ76" i="1"/>
  <c r="CW76" i="1"/>
  <c r="V76" i="1" s="1"/>
  <c r="CX76" i="1"/>
  <c r="GL76" i="1"/>
  <c r="GN76" i="1"/>
  <c r="GP76" i="1"/>
  <c r="GV76" i="1"/>
  <c r="HC76" i="1"/>
  <c r="GX76" i="1" s="1"/>
  <c r="I77" i="1"/>
  <c r="Q77" i="1" s="1"/>
  <c r="P77" i="1"/>
  <c r="CP77" i="1" s="1"/>
  <c r="O77" i="1" s="1"/>
  <c r="S77" i="1"/>
  <c r="AC77" i="1"/>
  <c r="AD77" i="1"/>
  <c r="AE77" i="1"/>
  <c r="CS77" i="1" s="1"/>
  <c r="AF77" i="1"/>
  <c r="AG77" i="1"/>
  <c r="AH77" i="1"/>
  <c r="AI77" i="1"/>
  <c r="CW77" i="1" s="1"/>
  <c r="V77" i="1" s="1"/>
  <c r="AJ77" i="1"/>
  <c r="CR77" i="1"/>
  <c r="CT77" i="1"/>
  <c r="CU77" i="1"/>
  <c r="T77" i="1" s="1"/>
  <c r="CV77" i="1"/>
  <c r="U77" i="1" s="1"/>
  <c r="CX77" i="1"/>
  <c r="W77" i="1" s="1"/>
  <c r="GL77" i="1"/>
  <c r="GN77" i="1"/>
  <c r="GP77" i="1"/>
  <c r="GV77" i="1"/>
  <c r="HC77" i="1" s="1"/>
  <c r="GX77" i="1"/>
  <c r="I78" i="1"/>
  <c r="R78" i="1"/>
  <c r="U78" i="1"/>
  <c r="X78" i="1"/>
  <c r="AC78" i="1"/>
  <c r="AE78" i="1"/>
  <c r="CS78" i="1" s="1"/>
  <c r="AF78" i="1"/>
  <c r="S78" i="1" s="1"/>
  <c r="CY78" i="1" s="1"/>
  <c r="AG78" i="1"/>
  <c r="CU78" i="1" s="1"/>
  <c r="T78" i="1" s="1"/>
  <c r="AH78" i="1"/>
  <c r="AI78" i="1"/>
  <c r="CW78" i="1" s="1"/>
  <c r="V78" i="1" s="1"/>
  <c r="AJ78" i="1"/>
  <c r="CX78" i="1" s="1"/>
  <c r="W78" i="1" s="1"/>
  <c r="CR78" i="1"/>
  <c r="CT78" i="1"/>
  <c r="CV78" i="1"/>
  <c r="CZ78" i="1"/>
  <c r="Y78" i="1" s="1"/>
  <c r="GL78" i="1"/>
  <c r="GN78" i="1"/>
  <c r="GP78" i="1"/>
  <c r="GV78" i="1"/>
  <c r="HC78" i="1" s="1"/>
  <c r="GX78" i="1" s="1"/>
  <c r="D79" i="1"/>
  <c r="I79" i="1"/>
  <c r="K79" i="1"/>
  <c r="O79" i="1"/>
  <c r="P79" i="1"/>
  <c r="CP79" i="1" s="1"/>
  <c r="Q79" i="1"/>
  <c r="R79" i="1"/>
  <c r="S79" i="1"/>
  <c r="AC79" i="1"/>
  <c r="AD79" i="1"/>
  <c r="AE79" i="1"/>
  <c r="AF79" i="1"/>
  <c r="AG79" i="1"/>
  <c r="AH79" i="1"/>
  <c r="AI79" i="1"/>
  <c r="CW79" i="1" s="1"/>
  <c r="V79" i="1" s="1"/>
  <c r="AJ79" i="1"/>
  <c r="CT79" i="1"/>
  <c r="CU79" i="1"/>
  <c r="T79" i="1" s="1"/>
  <c r="CV79" i="1"/>
  <c r="U79" i="1" s="1"/>
  <c r="CX79" i="1"/>
  <c r="W79" i="1" s="1"/>
  <c r="GL79" i="1"/>
  <c r="GN79" i="1"/>
  <c r="GP79" i="1"/>
  <c r="GV79" i="1"/>
  <c r="HC79" i="1"/>
  <c r="GX79" i="1" s="1"/>
  <c r="D80" i="1"/>
  <c r="I80" i="1"/>
  <c r="V80" i="1" s="1"/>
  <c r="K80" i="1"/>
  <c r="AC80" i="1"/>
  <c r="AE80" i="1"/>
  <c r="AF80" i="1"/>
  <c r="AG80" i="1"/>
  <c r="AH80" i="1"/>
  <c r="AI80" i="1"/>
  <c r="CW80" i="1" s="1"/>
  <c r="AJ80" i="1"/>
  <c r="CX80" i="1" s="1"/>
  <c r="CS80" i="1"/>
  <c r="CT80" i="1"/>
  <c r="CU80" i="1"/>
  <c r="CV80" i="1"/>
  <c r="GL80" i="1"/>
  <c r="GN80" i="1"/>
  <c r="GP80" i="1"/>
  <c r="GV80" i="1"/>
  <c r="HC80" i="1" s="1"/>
  <c r="I81" i="1"/>
  <c r="S81" i="1"/>
  <c r="T81" i="1"/>
  <c r="U81" i="1"/>
  <c r="AC81" i="1"/>
  <c r="AE81" i="1"/>
  <c r="AD81" i="1" s="1"/>
  <c r="AF81" i="1"/>
  <c r="AG81" i="1"/>
  <c r="AH81" i="1"/>
  <c r="CV81" i="1" s="1"/>
  <c r="AI81" i="1"/>
  <c r="CW81" i="1" s="1"/>
  <c r="V81" i="1" s="1"/>
  <c r="AJ81" i="1"/>
  <c r="CX81" i="1" s="1"/>
  <c r="W81" i="1" s="1"/>
  <c r="CR81" i="1"/>
  <c r="CS81" i="1"/>
  <c r="CT81" i="1"/>
  <c r="CU81" i="1"/>
  <c r="GL81" i="1"/>
  <c r="GN81" i="1"/>
  <c r="GP81" i="1"/>
  <c r="GV81" i="1"/>
  <c r="HC81" i="1" s="1"/>
  <c r="GX81" i="1"/>
  <c r="AC82" i="1"/>
  <c r="AD82" i="1"/>
  <c r="AE82" i="1"/>
  <c r="AF82" i="1"/>
  <c r="AG82" i="1"/>
  <c r="AH82" i="1"/>
  <c r="AI82" i="1"/>
  <c r="CW82" i="1" s="1"/>
  <c r="AJ82" i="1"/>
  <c r="CX82" i="1" s="1"/>
  <c r="CQ82" i="1"/>
  <c r="CU82" i="1"/>
  <c r="CV82" i="1"/>
  <c r="GL82" i="1"/>
  <c r="GN82" i="1"/>
  <c r="GP82" i="1"/>
  <c r="GV82" i="1"/>
  <c r="HC82" i="1"/>
  <c r="I83" i="1"/>
  <c r="T83" i="1"/>
  <c r="AC83" i="1"/>
  <c r="P83" i="1" s="1"/>
  <c r="AE83" i="1"/>
  <c r="CR83" i="1" s="1"/>
  <c r="AF83" i="1"/>
  <c r="AG83" i="1"/>
  <c r="CU83" i="1" s="1"/>
  <c r="AH83" i="1"/>
  <c r="CV83" i="1" s="1"/>
  <c r="U83" i="1" s="1"/>
  <c r="AI83" i="1"/>
  <c r="AJ83" i="1"/>
  <c r="CQ83" i="1"/>
  <c r="CW83" i="1"/>
  <c r="V83" i="1" s="1"/>
  <c r="CX83" i="1"/>
  <c r="W83" i="1" s="1"/>
  <c r="GL83" i="1"/>
  <c r="GN83" i="1"/>
  <c r="GP83" i="1"/>
  <c r="GV83" i="1"/>
  <c r="HC83" i="1"/>
  <c r="GX83" i="1" s="1"/>
  <c r="AC84" i="1"/>
  <c r="CQ84" i="1" s="1"/>
  <c r="AD84" i="1"/>
  <c r="AB84" i="1" s="1"/>
  <c r="AE84" i="1"/>
  <c r="AF84" i="1"/>
  <c r="AG84" i="1"/>
  <c r="AH84" i="1"/>
  <c r="CV84" i="1" s="1"/>
  <c r="AI84" i="1"/>
  <c r="CW84" i="1" s="1"/>
  <c r="AJ84" i="1"/>
  <c r="CX84" i="1" s="1"/>
  <c r="CR84" i="1"/>
  <c r="CS84" i="1"/>
  <c r="CT84" i="1"/>
  <c r="CU84" i="1"/>
  <c r="GL84" i="1"/>
  <c r="GN84" i="1"/>
  <c r="GP84" i="1"/>
  <c r="GV84" i="1"/>
  <c r="HC84" i="1" s="1"/>
  <c r="I85" i="1"/>
  <c r="P85" i="1"/>
  <c r="CP85" i="1" s="1"/>
  <c r="O85" i="1" s="1"/>
  <c r="Q85" i="1"/>
  <c r="R85" i="1"/>
  <c r="V85" i="1"/>
  <c r="W85" i="1"/>
  <c r="AC85" i="1"/>
  <c r="AB85" i="1" s="1"/>
  <c r="AD85" i="1"/>
  <c r="AE85" i="1"/>
  <c r="AF85" i="1"/>
  <c r="S85" i="1" s="1"/>
  <c r="CY85" i="1" s="1"/>
  <c r="X85" i="1" s="1"/>
  <c r="AG85" i="1"/>
  <c r="AH85" i="1"/>
  <c r="AI85" i="1"/>
  <c r="CW85" i="1" s="1"/>
  <c r="AJ85" i="1"/>
  <c r="CX85" i="1" s="1"/>
  <c r="CQ85" i="1"/>
  <c r="CT85" i="1"/>
  <c r="CU85" i="1"/>
  <c r="T85" i="1" s="1"/>
  <c r="CV85" i="1"/>
  <c r="U85" i="1" s="1"/>
  <c r="GL85" i="1"/>
  <c r="GN85" i="1"/>
  <c r="GP85" i="1"/>
  <c r="GV85" i="1"/>
  <c r="HC85" i="1"/>
  <c r="GX85" i="1" s="1"/>
  <c r="AB86" i="1"/>
  <c r="AC86" i="1"/>
  <c r="AE86" i="1"/>
  <c r="AD86" i="1" s="1"/>
  <c r="AF86" i="1"/>
  <c r="AG86" i="1"/>
  <c r="CU86" i="1" s="1"/>
  <c r="AH86" i="1"/>
  <c r="AI86" i="1"/>
  <c r="AJ86" i="1"/>
  <c r="CQ86" i="1"/>
  <c r="CR86" i="1"/>
  <c r="CS86" i="1"/>
  <c r="CV86" i="1"/>
  <c r="CW86" i="1"/>
  <c r="CX86" i="1"/>
  <c r="GL86" i="1"/>
  <c r="GN86" i="1"/>
  <c r="GP86" i="1"/>
  <c r="GV86" i="1"/>
  <c r="HC86" i="1"/>
  <c r="I87" i="1"/>
  <c r="U87" i="1"/>
  <c r="AC87" i="1"/>
  <c r="CQ87" i="1" s="1"/>
  <c r="AD87" i="1"/>
  <c r="AB87" i="1" s="1"/>
  <c r="AE87" i="1"/>
  <c r="AF87" i="1"/>
  <c r="AG87" i="1"/>
  <c r="CU87" i="1" s="1"/>
  <c r="T87" i="1" s="1"/>
  <c r="AH87" i="1"/>
  <c r="CV87" i="1" s="1"/>
  <c r="AI87" i="1"/>
  <c r="CW87" i="1" s="1"/>
  <c r="AJ87" i="1"/>
  <c r="CX87" i="1" s="1"/>
  <c r="W87" i="1" s="1"/>
  <c r="CR87" i="1"/>
  <c r="CS87" i="1"/>
  <c r="CT87" i="1"/>
  <c r="GL87" i="1"/>
  <c r="GN87" i="1"/>
  <c r="GP87" i="1"/>
  <c r="GV87" i="1"/>
  <c r="HC87" i="1" s="1"/>
  <c r="GX87" i="1" s="1"/>
  <c r="AC88" i="1"/>
  <c r="AE88" i="1"/>
  <c r="AF88" i="1"/>
  <c r="AG88" i="1"/>
  <c r="AH88" i="1"/>
  <c r="AI88" i="1"/>
  <c r="CW88" i="1" s="1"/>
  <c r="AJ88" i="1"/>
  <c r="CX88" i="1" s="1"/>
  <c r="CQ88" i="1"/>
  <c r="CT88" i="1"/>
  <c r="CU88" i="1"/>
  <c r="CV88" i="1"/>
  <c r="GL88" i="1"/>
  <c r="GN88" i="1"/>
  <c r="GP88" i="1"/>
  <c r="GV88" i="1"/>
  <c r="HC88" i="1"/>
  <c r="I89" i="1"/>
  <c r="Q89" i="1"/>
  <c r="T89" i="1"/>
  <c r="W89" i="1"/>
  <c r="AC89" i="1"/>
  <c r="AE89" i="1"/>
  <c r="CR89" i="1" s="1"/>
  <c r="AF89" i="1"/>
  <c r="AG89" i="1"/>
  <c r="CU89" i="1" s="1"/>
  <c r="AH89" i="1"/>
  <c r="CV89" i="1" s="1"/>
  <c r="U89" i="1" s="1"/>
  <c r="AI89" i="1"/>
  <c r="AJ89" i="1"/>
  <c r="CQ89" i="1"/>
  <c r="CS89" i="1"/>
  <c r="CW89" i="1"/>
  <c r="CX89" i="1"/>
  <c r="GL89" i="1"/>
  <c r="GN89" i="1"/>
  <c r="GP89" i="1"/>
  <c r="GV89" i="1"/>
  <c r="HC89" i="1"/>
  <c r="GX89" i="1" s="1"/>
  <c r="I90" i="1"/>
  <c r="Q90" i="1" s="1"/>
  <c r="AC90" i="1"/>
  <c r="AD90" i="1"/>
  <c r="AE90" i="1"/>
  <c r="AF90" i="1"/>
  <c r="AG90" i="1"/>
  <c r="CU90" i="1" s="1"/>
  <c r="AH90" i="1"/>
  <c r="CV90" i="1" s="1"/>
  <c r="AI90" i="1"/>
  <c r="CW90" i="1" s="1"/>
  <c r="V90" i="1" s="1"/>
  <c r="AJ90" i="1"/>
  <c r="CX90" i="1" s="1"/>
  <c r="W90" i="1" s="1"/>
  <c r="CR90" i="1"/>
  <c r="CS90" i="1"/>
  <c r="CT90" i="1"/>
  <c r="GL90" i="1"/>
  <c r="GN90" i="1"/>
  <c r="GP90" i="1"/>
  <c r="GV90" i="1"/>
  <c r="HC90" i="1" s="1"/>
  <c r="I91" i="1"/>
  <c r="U91" i="1"/>
  <c r="AC91" i="1"/>
  <c r="AD91" i="1"/>
  <c r="AE91" i="1"/>
  <c r="Q91" i="1" s="1"/>
  <c r="AF91" i="1"/>
  <c r="AG91" i="1"/>
  <c r="AH91" i="1"/>
  <c r="AI91" i="1"/>
  <c r="CW91" i="1" s="1"/>
  <c r="V91" i="1" s="1"/>
  <c r="AJ91" i="1"/>
  <c r="CX91" i="1" s="1"/>
  <c r="W91" i="1" s="1"/>
  <c r="CQ91" i="1"/>
  <c r="CU91" i="1"/>
  <c r="T91" i="1" s="1"/>
  <c r="CV91" i="1"/>
  <c r="GL91" i="1"/>
  <c r="GN91" i="1"/>
  <c r="GP91" i="1"/>
  <c r="GV91" i="1"/>
  <c r="HC91" i="1"/>
  <c r="GX91" i="1" s="1"/>
  <c r="AC92" i="1"/>
  <c r="AE92" i="1"/>
  <c r="AF92" i="1"/>
  <c r="CT92" i="1" s="1"/>
  <c r="AG92" i="1"/>
  <c r="CU92" i="1" s="1"/>
  <c r="AH92" i="1"/>
  <c r="AI92" i="1"/>
  <c r="AJ92" i="1"/>
  <c r="CQ92" i="1"/>
  <c r="CV92" i="1"/>
  <c r="CW92" i="1"/>
  <c r="CX92" i="1"/>
  <c r="GL92" i="1"/>
  <c r="GN92" i="1"/>
  <c r="GP92" i="1"/>
  <c r="GV92" i="1"/>
  <c r="HC92" i="1"/>
  <c r="I93" i="1"/>
  <c r="Q93" i="1" s="1"/>
  <c r="S93" i="1"/>
  <c r="CZ93" i="1" s="1"/>
  <c r="Y93" i="1"/>
  <c r="AC93" i="1"/>
  <c r="CQ93" i="1" s="1"/>
  <c r="AD93" i="1"/>
  <c r="AE93" i="1"/>
  <c r="R93" i="1" s="1"/>
  <c r="AF93" i="1"/>
  <c r="AG93" i="1"/>
  <c r="CU93" i="1" s="1"/>
  <c r="T93" i="1" s="1"/>
  <c r="AH93" i="1"/>
  <c r="CV93" i="1" s="1"/>
  <c r="U93" i="1" s="1"/>
  <c r="AI93" i="1"/>
  <c r="CW93" i="1" s="1"/>
  <c r="V93" i="1" s="1"/>
  <c r="AJ93" i="1"/>
  <c r="CR93" i="1"/>
  <c r="CS93" i="1"/>
  <c r="CT93" i="1"/>
  <c r="CX93" i="1"/>
  <c r="W93" i="1" s="1"/>
  <c r="CY93" i="1"/>
  <c r="X93" i="1" s="1"/>
  <c r="GL93" i="1"/>
  <c r="GN93" i="1"/>
  <c r="GP93" i="1"/>
  <c r="GV93" i="1"/>
  <c r="HC93" i="1" s="1"/>
  <c r="GX93" i="1" s="1"/>
  <c r="AC94" i="1"/>
  <c r="AD94" i="1"/>
  <c r="AE94" i="1"/>
  <c r="AF94" i="1"/>
  <c r="AG94" i="1"/>
  <c r="AH94" i="1"/>
  <c r="AI94" i="1"/>
  <c r="AJ94" i="1"/>
  <c r="CX94" i="1" s="1"/>
  <c r="CU94" i="1"/>
  <c r="CV94" i="1"/>
  <c r="CW94" i="1"/>
  <c r="GL94" i="1"/>
  <c r="GN94" i="1"/>
  <c r="GP94" i="1"/>
  <c r="GV94" i="1"/>
  <c r="HC94" i="1" s="1"/>
  <c r="D95" i="1"/>
  <c r="I95" i="1"/>
  <c r="I99" i="1" s="1"/>
  <c r="R99" i="1" s="1"/>
  <c r="K95" i="1"/>
  <c r="P95" i="1"/>
  <c r="U95" i="1"/>
  <c r="V95" i="1"/>
  <c r="W95" i="1"/>
  <c r="AC95" i="1"/>
  <c r="AE95" i="1"/>
  <c r="AF95" i="1"/>
  <c r="S95" i="1" s="1"/>
  <c r="AG95" i="1"/>
  <c r="AH95" i="1"/>
  <c r="AI95" i="1"/>
  <c r="CW95" i="1" s="1"/>
  <c r="AJ95" i="1"/>
  <c r="CX95" i="1" s="1"/>
  <c r="CQ95" i="1"/>
  <c r="CT95" i="1"/>
  <c r="CU95" i="1"/>
  <c r="T95" i="1" s="1"/>
  <c r="CV95" i="1"/>
  <c r="GL95" i="1"/>
  <c r="GN95" i="1"/>
  <c r="GP95" i="1"/>
  <c r="GV95" i="1"/>
  <c r="HC95" i="1"/>
  <c r="GX95" i="1" s="1"/>
  <c r="D96" i="1"/>
  <c r="I96" i="1"/>
  <c r="I102" i="1" s="1"/>
  <c r="R102" i="1" s="1"/>
  <c r="K96" i="1"/>
  <c r="Q96" i="1"/>
  <c r="R96" i="1"/>
  <c r="CZ96" i="1" s="1"/>
  <c r="Y96" i="1" s="1"/>
  <c r="AC96" i="1"/>
  <c r="AE96" i="1"/>
  <c r="AF96" i="1"/>
  <c r="S96" i="1" s="1"/>
  <c r="AG96" i="1"/>
  <c r="AH96" i="1"/>
  <c r="AI96" i="1"/>
  <c r="AJ96" i="1"/>
  <c r="CX96" i="1" s="1"/>
  <c r="W96" i="1" s="1"/>
  <c r="CU96" i="1"/>
  <c r="T96" i="1" s="1"/>
  <c r="CV96" i="1"/>
  <c r="U96" i="1" s="1"/>
  <c r="CW96" i="1"/>
  <c r="V96" i="1" s="1"/>
  <c r="GL96" i="1"/>
  <c r="GN96" i="1"/>
  <c r="GP96" i="1"/>
  <c r="GV96" i="1"/>
  <c r="HC96" i="1" s="1"/>
  <c r="GX96" i="1"/>
  <c r="I97" i="1"/>
  <c r="R97" i="1"/>
  <c r="S97" i="1"/>
  <c r="T97" i="1"/>
  <c r="AC97" i="1"/>
  <c r="P97" i="1" s="1"/>
  <c r="AE97" i="1"/>
  <c r="Q97" i="1" s="1"/>
  <c r="CP97" i="1" s="1"/>
  <c r="O97" i="1" s="1"/>
  <c r="AF97" i="1"/>
  <c r="CT97" i="1" s="1"/>
  <c r="AG97" i="1"/>
  <c r="CU97" i="1" s="1"/>
  <c r="AH97" i="1"/>
  <c r="CV97" i="1" s="1"/>
  <c r="U97" i="1" s="1"/>
  <c r="AI97" i="1"/>
  <c r="AJ97" i="1"/>
  <c r="CQ97" i="1"/>
  <c r="CS97" i="1"/>
  <c r="CW97" i="1"/>
  <c r="V97" i="1" s="1"/>
  <c r="CX97" i="1"/>
  <c r="W97" i="1" s="1"/>
  <c r="GL97" i="1"/>
  <c r="GN97" i="1"/>
  <c r="GP97" i="1"/>
  <c r="GV97" i="1"/>
  <c r="HC97" i="1"/>
  <c r="GX97" i="1" s="1"/>
  <c r="I98" i="1"/>
  <c r="Q98" i="1" s="1"/>
  <c r="AB98" i="1"/>
  <c r="AC98" i="1"/>
  <c r="CQ98" i="1" s="1"/>
  <c r="AD98" i="1"/>
  <c r="AE98" i="1"/>
  <c r="AF98" i="1"/>
  <c r="AG98" i="1"/>
  <c r="AH98" i="1"/>
  <c r="CV98" i="1" s="1"/>
  <c r="U98" i="1" s="1"/>
  <c r="AI98" i="1"/>
  <c r="CW98" i="1" s="1"/>
  <c r="V98" i="1" s="1"/>
  <c r="AJ98" i="1"/>
  <c r="CR98" i="1"/>
  <c r="CS98" i="1"/>
  <c r="CT98" i="1"/>
  <c r="CU98" i="1"/>
  <c r="CX98" i="1"/>
  <c r="GL98" i="1"/>
  <c r="GN98" i="1"/>
  <c r="GP98" i="1"/>
  <c r="GV98" i="1"/>
  <c r="HC98" i="1" s="1"/>
  <c r="GX98" i="1" s="1"/>
  <c r="Q99" i="1"/>
  <c r="AC99" i="1"/>
  <c r="P99" i="1" s="1"/>
  <c r="AD99" i="1"/>
  <c r="AE99" i="1"/>
  <c r="AF99" i="1"/>
  <c r="AG99" i="1"/>
  <c r="AH99" i="1"/>
  <c r="AI99" i="1"/>
  <c r="AJ99" i="1"/>
  <c r="CX99" i="1" s="1"/>
  <c r="W99" i="1" s="1"/>
  <c r="CT99" i="1"/>
  <c r="CU99" i="1"/>
  <c r="CV99" i="1"/>
  <c r="U99" i="1" s="1"/>
  <c r="CW99" i="1"/>
  <c r="V99" i="1" s="1"/>
  <c r="GL99" i="1"/>
  <c r="GN99" i="1"/>
  <c r="GP99" i="1"/>
  <c r="GV99" i="1"/>
  <c r="HC99" i="1" s="1"/>
  <c r="GX99" i="1" s="1"/>
  <c r="I100" i="1"/>
  <c r="Q100" i="1" s="1"/>
  <c r="AB100" i="1"/>
  <c r="AC100" i="1"/>
  <c r="AE100" i="1"/>
  <c r="AD100" i="1" s="1"/>
  <c r="AF100" i="1"/>
  <c r="CT100" i="1" s="1"/>
  <c r="AG100" i="1"/>
  <c r="CU100" i="1" s="1"/>
  <c r="AH100" i="1"/>
  <c r="CV100" i="1" s="1"/>
  <c r="U100" i="1" s="1"/>
  <c r="AI100" i="1"/>
  <c r="AJ100" i="1"/>
  <c r="CQ100" i="1"/>
  <c r="CR100" i="1"/>
  <c r="CS100" i="1"/>
  <c r="CW100" i="1"/>
  <c r="CX100" i="1"/>
  <c r="GL100" i="1"/>
  <c r="GN100" i="1"/>
  <c r="GP100" i="1"/>
  <c r="GV100" i="1"/>
  <c r="HC100" i="1"/>
  <c r="I101" i="1"/>
  <c r="P101" i="1"/>
  <c r="U101" i="1"/>
  <c r="V101" i="1"/>
  <c r="AB101" i="1"/>
  <c r="AC101" i="1"/>
  <c r="CQ101" i="1" s="1"/>
  <c r="AD101" i="1"/>
  <c r="AE101" i="1"/>
  <c r="R101" i="1" s="1"/>
  <c r="AF101" i="1"/>
  <c r="AG101" i="1"/>
  <c r="CU101" i="1" s="1"/>
  <c r="T101" i="1" s="1"/>
  <c r="AH101" i="1"/>
  <c r="CV101" i="1" s="1"/>
  <c r="AI101" i="1"/>
  <c r="CW101" i="1" s="1"/>
  <c r="AJ101" i="1"/>
  <c r="CR101" i="1"/>
  <c r="CS101" i="1"/>
  <c r="CT101" i="1"/>
  <c r="CX101" i="1"/>
  <c r="GL101" i="1"/>
  <c r="GN101" i="1"/>
  <c r="GP101" i="1"/>
  <c r="GV101" i="1"/>
  <c r="HC101" i="1" s="1"/>
  <c r="GX101" i="1"/>
  <c r="Q102" i="1"/>
  <c r="AC102" i="1"/>
  <c r="AB102" i="1" s="1"/>
  <c r="AD102" i="1"/>
  <c r="AE102" i="1"/>
  <c r="AF102" i="1"/>
  <c r="AG102" i="1"/>
  <c r="AH102" i="1"/>
  <c r="AI102" i="1"/>
  <c r="CW102" i="1" s="1"/>
  <c r="V102" i="1" s="1"/>
  <c r="AJ102" i="1"/>
  <c r="CX102" i="1" s="1"/>
  <c r="CU102" i="1"/>
  <c r="CV102" i="1"/>
  <c r="GL102" i="1"/>
  <c r="GN102" i="1"/>
  <c r="GP102" i="1"/>
  <c r="GV102" i="1"/>
  <c r="HC102" i="1"/>
  <c r="D103" i="1"/>
  <c r="I103" i="1"/>
  <c r="I107" i="1" s="1"/>
  <c r="Q107" i="1" s="1"/>
  <c r="K103" i="1"/>
  <c r="AC103" i="1"/>
  <c r="AD103" i="1"/>
  <c r="AE103" i="1"/>
  <c r="AF103" i="1"/>
  <c r="AG103" i="1"/>
  <c r="AH103" i="1"/>
  <c r="AI103" i="1"/>
  <c r="CW103" i="1" s="1"/>
  <c r="V103" i="1" s="1"/>
  <c r="AJ103" i="1"/>
  <c r="CX103" i="1" s="1"/>
  <c r="W103" i="1" s="1"/>
  <c r="CU103" i="1"/>
  <c r="T103" i="1" s="1"/>
  <c r="CV103" i="1"/>
  <c r="U103" i="1" s="1"/>
  <c r="GL103" i="1"/>
  <c r="GN103" i="1"/>
  <c r="GP103" i="1"/>
  <c r="GV103" i="1"/>
  <c r="HC103" i="1"/>
  <c r="GX103" i="1" s="1"/>
  <c r="D104" i="1"/>
  <c r="I104" i="1"/>
  <c r="K104" i="1"/>
  <c r="Q104" i="1"/>
  <c r="R104" i="1"/>
  <c r="W104" i="1"/>
  <c r="AC104" i="1"/>
  <c r="AB104" i="1" s="1"/>
  <c r="AD104" i="1"/>
  <c r="AE104" i="1"/>
  <c r="AF104" i="1"/>
  <c r="S104" i="1" s="1"/>
  <c r="AG104" i="1"/>
  <c r="AH104" i="1"/>
  <c r="AI104" i="1"/>
  <c r="CW104" i="1" s="1"/>
  <c r="V104" i="1" s="1"/>
  <c r="AJ104" i="1"/>
  <c r="CX104" i="1" s="1"/>
  <c r="CU104" i="1"/>
  <c r="T104" i="1" s="1"/>
  <c r="CV104" i="1"/>
  <c r="U104" i="1" s="1"/>
  <c r="GL104" i="1"/>
  <c r="GN104" i="1"/>
  <c r="GP104" i="1"/>
  <c r="GV104" i="1"/>
  <c r="HC104" i="1"/>
  <c r="GX104" i="1" s="1"/>
  <c r="I105" i="1"/>
  <c r="W105" i="1" s="1"/>
  <c r="Q105" i="1"/>
  <c r="AB105" i="1"/>
  <c r="AC105" i="1"/>
  <c r="AE105" i="1"/>
  <c r="AD105" i="1" s="1"/>
  <c r="AF105" i="1"/>
  <c r="AG105" i="1"/>
  <c r="CU105" i="1" s="1"/>
  <c r="T105" i="1" s="1"/>
  <c r="AH105" i="1"/>
  <c r="CV105" i="1" s="1"/>
  <c r="U105" i="1" s="1"/>
  <c r="AI105" i="1"/>
  <c r="AJ105" i="1"/>
  <c r="CQ105" i="1"/>
  <c r="CR105" i="1"/>
  <c r="CS105" i="1"/>
  <c r="CW105" i="1"/>
  <c r="CX105" i="1"/>
  <c r="GL105" i="1"/>
  <c r="GN105" i="1"/>
  <c r="GP105" i="1"/>
  <c r="GV105" i="1"/>
  <c r="HC105" i="1"/>
  <c r="I106" i="1"/>
  <c r="T106" i="1"/>
  <c r="U106" i="1"/>
  <c r="V106" i="1"/>
  <c r="AC106" i="1"/>
  <c r="CQ106" i="1" s="1"/>
  <c r="AD106" i="1"/>
  <c r="AB106" i="1" s="1"/>
  <c r="AE106" i="1"/>
  <c r="R106" i="1" s="1"/>
  <c r="AF106" i="1"/>
  <c r="AG106" i="1"/>
  <c r="CU106" i="1" s="1"/>
  <c r="AH106" i="1"/>
  <c r="CV106" i="1" s="1"/>
  <c r="AI106" i="1"/>
  <c r="CW106" i="1" s="1"/>
  <c r="AJ106" i="1"/>
  <c r="CX106" i="1" s="1"/>
  <c r="W106" i="1" s="1"/>
  <c r="CR106" i="1"/>
  <c r="CS106" i="1"/>
  <c r="CT106" i="1"/>
  <c r="GL106" i="1"/>
  <c r="GN106" i="1"/>
  <c r="GP106" i="1"/>
  <c r="GV106" i="1"/>
  <c r="HC106" i="1" s="1"/>
  <c r="GX106" i="1" s="1"/>
  <c r="U107" i="1"/>
  <c r="V107" i="1"/>
  <c r="W107" i="1"/>
  <c r="AC107" i="1"/>
  <c r="AE107" i="1"/>
  <c r="AF107" i="1"/>
  <c r="AG107" i="1"/>
  <c r="AH107" i="1"/>
  <c r="AI107" i="1"/>
  <c r="CW107" i="1" s="1"/>
  <c r="AJ107" i="1"/>
  <c r="CX107" i="1" s="1"/>
  <c r="CQ107" i="1"/>
  <c r="CU107" i="1"/>
  <c r="T107" i="1" s="1"/>
  <c r="CV107" i="1"/>
  <c r="GL107" i="1"/>
  <c r="GN107" i="1"/>
  <c r="GP107" i="1"/>
  <c r="GV107" i="1"/>
  <c r="HC107" i="1"/>
  <c r="GX107" i="1" s="1"/>
  <c r="I108" i="1"/>
  <c r="Q108" i="1"/>
  <c r="T108" i="1"/>
  <c r="AC108" i="1"/>
  <c r="AE108" i="1"/>
  <c r="AF108" i="1"/>
  <c r="AG108" i="1"/>
  <c r="CU108" i="1" s="1"/>
  <c r="AH108" i="1"/>
  <c r="CV108" i="1" s="1"/>
  <c r="AI108" i="1"/>
  <c r="AJ108" i="1"/>
  <c r="CQ108" i="1"/>
  <c r="CW108" i="1"/>
  <c r="CX108" i="1"/>
  <c r="W108" i="1" s="1"/>
  <c r="GL108" i="1"/>
  <c r="GN108" i="1"/>
  <c r="GP108" i="1"/>
  <c r="GV108" i="1"/>
  <c r="HC108" i="1"/>
  <c r="GX108" i="1" s="1"/>
  <c r="D109" i="1"/>
  <c r="I109" i="1"/>
  <c r="K109" i="1"/>
  <c r="R109" i="1"/>
  <c r="S109" i="1"/>
  <c r="T109" i="1"/>
  <c r="AC109" i="1"/>
  <c r="P109" i="1" s="1"/>
  <c r="AE109" i="1"/>
  <c r="AF109" i="1"/>
  <c r="CT109" i="1" s="1"/>
  <c r="AG109" i="1"/>
  <c r="CU109" i="1" s="1"/>
  <c r="AH109" i="1"/>
  <c r="AI109" i="1"/>
  <c r="AJ109" i="1"/>
  <c r="CQ109" i="1"/>
  <c r="CV109" i="1"/>
  <c r="U109" i="1" s="1"/>
  <c r="CW109" i="1"/>
  <c r="V109" i="1" s="1"/>
  <c r="CX109" i="1"/>
  <c r="W109" i="1" s="1"/>
  <c r="GL109" i="1"/>
  <c r="GN109" i="1"/>
  <c r="GP109" i="1"/>
  <c r="GV109" i="1"/>
  <c r="HC109" i="1"/>
  <c r="D110" i="1"/>
  <c r="I110" i="1"/>
  <c r="I112" i="1" s="1"/>
  <c r="K110" i="1"/>
  <c r="AC110" i="1"/>
  <c r="AE110" i="1"/>
  <c r="AF110" i="1"/>
  <c r="AG110" i="1"/>
  <c r="CU110" i="1" s="1"/>
  <c r="T110" i="1" s="1"/>
  <c r="AH110" i="1"/>
  <c r="CV110" i="1" s="1"/>
  <c r="AI110" i="1"/>
  <c r="AJ110" i="1"/>
  <c r="CQ110" i="1"/>
  <c r="CR110" i="1"/>
  <c r="CS110" i="1"/>
  <c r="CW110" i="1"/>
  <c r="CX110" i="1"/>
  <c r="GL110" i="1"/>
  <c r="GN110" i="1"/>
  <c r="GP110" i="1"/>
  <c r="GV110" i="1"/>
  <c r="HC110" i="1"/>
  <c r="I111" i="1"/>
  <c r="Q111" i="1" s="1"/>
  <c r="S111" i="1"/>
  <c r="T111" i="1"/>
  <c r="U111" i="1"/>
  <c r="AC111" i="1"/>
  <c r="AD111" i="1"/>
  <c r="AE111" i="1"/>
  <c r="R111" i="1" s="1"/>
  <c r="AF111" i="1"/>
  <c r="AG111" i="1"/>
  <c r="CU111" i="1" s="1"/>
  <c r="AH111" i="1"/>
  <c r="CV111" i="1" s="1"/>
  <c r="AI111" i="1"/>
  <c r="CW111" i="1" s="1"/>
  <c r="AJ111" i="1"/>
  <c r="CX111" i="1" s="1"/>
  <c r="W111" i="1" s="1"/>
  <c r="CR111" i="1"/>
  <c r="CS111" i="1"/>
  <c r="CT111" i="1"/>
  <c r="GL111" i="1"/>
  <c r="GN111" i="1"/>
  <c r="GP111" i="1"/>
  <c r="GV111" i="1"/>
  <c r="HC111" i="1"/>
  <c r="GX111" i="1" s="1"/>
  <c r="Q112" i="1"/>
  <c r="R112" i="1"/>
  <c r="S112" i="1"/>
  <c r="CY112" i="1" s="1"/>
  <c r="X112" i="1" s="1"/>
  <c r="AC112" i="1"/>
  <c r="AD112" i="1"/>
  <c r="AE112" i="1"/>
  <c r="CS112" i="1" s="1"/>
  <c r="AF112" i="1"/>
  <c r="AG112" i="1"/>
  <c r="AH112" i="1"/>
  <c r="AI112" i="1"/>
  <c r="CW112" i="1" s="1"/>
  <c r="V112" i="1" s="1"/>
  <c r="AJ112" i="1"/>
  <c r="CX112" i="1" s="1"/>
  <c r="W112" i="1" s="1"/>
  <c r="CR112" i="1"/>
  <c r="CT112" i="1"/>
  <c r="CU112" i="1"/>
  <c r="CV112" i="1"/>
  <c r="U112" i="1" s="1"/>
  <c r="GL112" i="1"/>
  <c r="GN112" i="1"/>
  <c r="GP112" i="1"/>
  <c r="GV112" i="1"/>
  <c r="HC112" i="1"/>
  <c r="GX112" i="1" s="1"/>
  <c r="D113" i="1"/>
  <c r="R113" i="1"/>
  <c r="S113" i="1"/>
  <c r="T113" i="1"/>
  <c r="U113" i="1"/>
  <c r="AC113" i="1"/>
  <c r="AE113" i="1"/>
  <c r="AF113" i="1"/>
  <c r="AG113" i="1"/>
  <c r="CU113" i="1" s="1"/>
  <c r="AH113" i="1"/>
  <c r="CV113" i="1" s="1"/>
  <c r="AI113" i="1"/>
  <c r="CW113" i="1" s="1"/>
  <c r="V113" i="1" s="1"/>
  <c r="AJ113" i="1"/>
  <c r="CS113" i="1"/>
  <c r="CT113" i="1"/>
  <c r="CX113" i="1"/>
  <c r="W113" i="1" s="1"/>
  <c r="GL113" i="1"/>
  <c r="GN113" i="1"/>
  <c r="CB130" i="1" s="1"/>
  <c r="GP113" i="1"/>
  <c r="GV113" i="1"/>
  <c r="HC113" i="1" s="1"/>
  <c r="GX113" i="1" s="1"/>
  <c r="D114" i="1"/>
  <c r="S114" i="1"/>
  <c r="T114" i="1"/>
  <c r="AC114" i="1"/>
  <c r="AE114" i="1"/>
  <c r="AF114" i="1"/>
  <c r="AG114" i="1"/>
  <c r="AH114" i="1"/>
  <c r="CV114" i="1" s="1"/>
  <c r="U114" i="1" s="1"/>
  <c r="AI114" i="1"/>
  <c r="CW114" i="1" s="1"/>
  <c r="V114" i="1" s="1"/>
  <c r="AJ114" i="1"/>
  <c r="CT114" i="1"/>
  <c r="CU114" i="1"/>
  <c r="CX114" i="1"/>
  <c r="W114" i="1" s="1"/>
  <c r="GL114" i="1"/>
  <c r="GN114" i="1"/>
  <c r="GP114" i="1"/>
  <c r="GV114" i="1"/>
  <c r="HC114" i="1"/>
  <c r="GX114" i="1" s="1"/>
  <c r="I115" i="1"/>
  <c r="S115" i="1"/>
  <c r="U115" i="1"/>
  <c r="V115" i="1"/>
  <c r="AC115" i="1"/>
  <c r="AE115" i="1"/>
  <c r="AF115" i="1"/>
  <c r="AG115" i="1"/>
  <c r="AH115" i="1"/>
  <c r="AI115" i="1"/>
  <c r="AJ115" i="1"/>
  <c r="CX115" i="1" s="1"/>
  <c r="W115" i="1" s="1"/>
  <c r="CT115" i="1"/>
  <c r="CU115" i="1"/>
  <c r="T115" i="1" s="1"/>
  <c r="CV115" i="1"/>
  <c r="CW115" i="1"/>
  <c r="GL115" i="1"/>
  <c r="GN115" i="1"/>
  <c r="GP115" i="1"/>
  <c r="GV115" i="1"/>
  <c r="HC115" i="1"/>
  <c r="GX115" i="1" s="1"/>
  <c r="I116" i="1"/>
  <c r="AC116" i="1"/>
  <c r="AE116" i="1"/>
  <c r="AF116" i="1"/>
  <c r="AG116" i="1"/>
  <c r="CU116" i="1" s="1"/>
  <c r="AH116" i="1"/>
  <c r="AI116" i="1"/>
  <c r="CW116" i="1" s="1"/>
  <c r="AJ116" i="1"/>
  <c r="CT116" i="1"/>
  <c r="CV116" i="1"/>
  <c r="CX116" i="1"/>
  <c r="GL116" i="1"/>
  <c r="GN116" i="1"/>
  <c r="GP116" i="1"/>
  <c r="GV116" i="1"/>
  <c r="HC116" i="1"/>
  <c r="D117" i="1"/>
  <c r="I117" i="1"/>
  <c r="K117" i="1"/>
  <c r="S117" i="1"/>
  <c r="AC117" i="1"/>
  <c r="AE117" i="1"/>
  <c r="AF117" i="1"/>
  <c r="AG117" i="1"/>
  <c r="AH117" i="1"/>
  <c r="AI117" i="1"/>
  <c r="CW117" i="1" s="1"/>
  <c r="V117" i="1" s="1"/>
  <c r="AJ117" i="1"/>
  <c r="CT117" i="1"/>
  <c r="CU117" i="1"/>
  <c r="T117" i="1" s="1"/>
  <c r="CV117" i="1"/>
  <c r="U117" i="1" s="1"/>
  <c r="CX117" i="1"/>
  <c r="GL117" i="1"/>
  <c r="GN117" i="1"/>
  <c r="GP117" i="1"/>
  <c r="GV117" i="1"/>
  <c r="HC117" i="1" s="1"/>
  <c r="GX117" i="1" s="1"/>
  <c r="D118" i="1"/>
  <c r="I118" i="1"/>
  <c r="K118" i="1"/>
  <c r="P118" i="1"/>
  <c r="T118" i="1"/>
  <c r="V118" i="1"/>
  <c r="W118" i="1"/>
  <c r="AC118" i="1"/>
  <c r="CQ118" i="1" s="1"/>
  <c r="AE118" i="1"/>
  <c r="Q118" i="1" s="1"/>
  <c r="CP118" i="1" s="1"/>
  <c r="O118" i="1" s="1"/>
  <c r="AF118" i="1"/>
  <c r="S118" i="1" s="1"/>
  <c r="AG118" i="1"/>
  <c r="AH118" i="1"/>
  <c r="CV118" i="1" s="1"/>
  <c r="U118" i="1" s="1"/>
  <c r="AI118" i="1"/>
  <c r="CW118" i="1" s="1"/>
  <c r="AJ118" i="1"/>
  <c r="CX118" i="1" s="1"/>
  <c r="CT118" i="1"/>
  <c r="CU118" i="1"/>
  <c r="GL118" i="1"/>
  <c r="GN118" i="1"/>
  <c r="GP118" i="1"/>
  <c r="GV118" i="1"/>
  <c r="HC118" i="1" s="1"/>
  <c r="GX118" i="1" s="1"/>
  <c r="AC119" i="1"/>
  <c r="AE119" i="1"/>
  <c r="CR119" i="1" s="1"/>
  <c r="AF119" i="1"/>
  <c r="CT119" i="1" s="1"/>
  <c r="AG119" i="1"/>
  <c r="CU119" i="1" s="1"/>
  <c r="AH119" i="1"/>
  <c r="AI119" i="1"/>
  <c r="AJ119" i="1"/>
  <c r="CQ119" i="1"/>
  <c r="CV119" i="1"/>
  <c r="CW119" i="1"/>
  <c r="CX119" i="1"/>
  <c r="GL119" i="1"/>
  <c r="GN119" i="1"/>
  <c r="GP119" i="1"/>
  <c r="GV119" i="1"/>
  <c r="HC119" i="1"/>
  <c r="I120" i="1"/>
  <c r="Q120" i="1" s="1"/>
  <c r="R120" i="1"/>
  <c r="S120" i="1"/>
  <c r="CZ120" i="1" s="1"/>
  <c r="Y120" i="1" s="1"/>
  <c r="T120" i="1"/>
  <c r="U120" i="1"/>
  <c r="AC120" i="1"/>
  <c r="P120" i="1" s="1"/>
  <c r="AD120" i="1"/>
  <c r="AE120" i="1"/>
  <c r="AF120" i="1"/>
  <c r="AG120" i="1"/>
  <c r="CU120" i="1" s="1"/>
  <c r="AH120" i="1"/>
  <c r="CV120" i="1" s="1"/>
  <c r="AI120" i="1"/>
  <c r="CW120" i="1" s="1"/>
  <c r="V120" i="1" s="1"/>
  <c r="AJ120" i="1"/>
  <c r="CR120" i="1"/>
  <c r="CS120" i="1"/>
  <c r="CT120" i="1"/>
  <c r="CX120" i="1"/>
  <c r="W120" i="1" s="1"/>
  <c r="CY120" i="1"/>
  <c r="X120" i="1" s="1"/>
  <c r="GL120" i="1"/>
  <c r="GN120" i="1"/>
  <c r="GP120" i="1"/>
  <c r="GV120" i="1"/>
  <c r="HC120" i="1" s="1"/>
  <c r="GX120" i="1" s="1"/>
  <c r="D121" i="1"/>
  <c r="I121" i="1"/>
  <c r="Q121" i="1" s="1"/>
  <c r="K121" i="1"/>
  <c r="P121" i="1"/>
  <c r="R121" i="1"/>
  <c r="U121" i="1"/>
  <c r="V121" i="1"/>
  <c r="AC121" i="1"/>
  <c r="AD121" i="1"/>
  <c r="AB121" i="1" s="1"/>
  <c r="AE121" i="1"/>
  <c r="AF121" i="1"/>
  <c r="AG121" i="1"/>
  <c r="CU121" i="1" s="1"/>
  <c r="T121" i="1" s="1"/>
  <c r="AH121" i="1"/>
  <c r="CV121" i="1" s="1"/>
  <c r="AI121" i="1"/>
  <c r="AJ121" i="1"/>
  <c r="CQ121" i="1"/>
  <c r="CR121" i="1"/>
  <c r="CS121" i="1"/>
  <c r="CW121" i="1"/>
  <c r="CX121" i="1"/>
  <c r="W121" i="1" s="1"/>
  <c r="GL121" i="1"/>
  <c r="GN121" i="1"/>
  <c r="GP121" i="1"/>
  <c r="GV121" i="1"/>
  <c r="HC121" i="1" s="1"/>
  <c r="GX121" i="1"/>
  <c r="D122" i="1"/>
  <c r="I122" i="1"/>
  <c r="Q122" i="1" s="1"/>
  <c r="K122" i="1"/>
  <c r="P122" i="1"/>
  <c r="R122" i="1"/>
  <c r="U122" i="1"/>
  <c r="V122" i="1"/>
  <c r="AC122" i="1"/>
  <c r="AD122" i="1"/>
  <c r="AE122" i="1"/>
  <c r="AF122" i="1"/>
  <c r="AG122" i="1"/>
  <c r="CU122" i="1" s="1"/>
  <c r="T122" i="1" s="1"/>
  <c r="AH122" i="1"/>
  <c r="CV122" i="1" s="1"/>
  <c r="AI122" i="1"/>
  <c r="AJ122" i="1"/>
  <c r="CQ122" i="1"/>
  <c r="CR122" i="1"/>
  <c r="CS122" i="1"/>
  <c r="CW122" i="1"/>
  <c r="CX122" i="1"/>
  <c r="W122" i="1" s="1"/>
  <c r="GL122" i="1"/>
  <c r="GN122" i="1"/>
  <c r="GP122" i="1"/>
  <c r="GV122" i="1"/>
  <c r="HC122" i="1" s="1"/>
  <c r="GX122" i="1"/>
  <c r="I123" i="1"/>
  <c r="Q123" i="1"/>
  <c r="R123" i="1"/>
  <c r="T123" i="1"/>
  <c r="W123" i="1"/>
  <c r="AC123" i="1"/>
  <c r="P123" i="1" s="1"/>
  <c r="CP123" i="1" s="1"/>
  <c r="O123" i="1" s="1"/>
  <c r="AD123" i="1"/>
  <c r="AE123" i="1"/>
  <c r="CR123" i="1" s="1"/>
  <c r="AF123" i="1"/>
  <c r="S123" i="1" s="1"/>
  <c r="AG123" i="1"/>
  <c r="AH123" i="1"/>
  <c r="CV123" i="1" s="1"/>
  <c r="U123" i="1" s="1"/>
  <c r="AI123" i="1"/>
  <c r="CW123" i="1" s="1"/>
  <c r="V123" i="1" s="1"/>
  <c r="AJ123" i="1"/>
  <c r="CX123" i="1" s="1"/>
  <c r="CS123" i="1"/>
  <c r="CT123" i="1"/>
  <c r="CU123" i="1"/>
  <c r="GL123" i="1"/>
  <c r="GN123" i="1"/>
  <c r="GP123" i="1"/>
  <c r="GV123" i="1"/>
  <c r="HC123" i="1" s="1"/>
  <c r="GX123" i="1" s="1"/>
  <c r="I124" i="1"/>
  <c r="Q124" i="1" s="1"/>
  <c r="T124" i="1"/>
  <c r="V124" i="1"/>
  <c r="AB124" i="1"/>
  <c r="AC124" i="1"/>
  <c r="AD124" i="1"/>
  <c r="AE124" i="1"/>
  <c r="AF124" i="1"/>
  <c r="CT124" i="1" s="1"/>
  <c r="AG124" i="1"/>
  <c r="AH124" i="1"/>
  <c r="AI124" i="1"/>
  <c r="AJ124" i="1"/>
  <c r="CX124" i="1" s="1"/>
  <c r="W124" i="1" s="1"/>
  <c r="CQ124" i="1"/>
  <c r="CR124" i="1"/>
  <c r="CS124" i="1"/>
  <c r="CU124" i="1"/>
  <c r="CV124" i="1"/>
  <c r="U124" i="1" s="1"/>
  <c r="CW124" i="1"/>
  <c r="GL124" i="1"/>
  <c r="GN124" i="1"/>
  <c r="GP124" i="1"/>
  <c r="GV124" i="1"/>
  <c r="GX124" i="1"/>
  <c r="HC124" i="1"/>
  <c r="I125" i="1"/>
  <c r="T125" i="1" s="1"/>
  <c r="AC125" i="1"/>
  <c r="AD125" i="1"/>
  <c r="AB125" i="1" s="1"/>
  <c r="AE125" i="1"/>
  <c r="AF125" i="1"/>
  <c r="AG125" i="1"/>
  <c r="AH125" i="1"/>
  <c r="CV125" i="1" s="1"/>
  <c r="AI125" i="1"/>
  <c r="CW125" i="1" s="1"/>
  <c r="V125" i="1" s="1"/>
  <c r="AJ125" i="1"/>
  <c r="CX125" i="1" s="1"/>
  <c r="CR125" i="1"/>
  <c r="CS125" i="1"/>
  <c r="CT125" i="1"/>
  <c r="CU125" i="1"/>
  <c r="GL125" i="1"/>
  <c r="GN125" i="1"/>
  <c r="GP125" i="1"/>
  <c r="GV125" i="1"/>
  <c r="HC125" i="1" s="1"/>
  <c r="I126" i="1"/>
  <c r="Q126" i="1" s="1"/>
  <c r="P126" i="1"/>
  <c r="U126" i="1"/>
  <c r="W126" i="1"/>
  <c r="AC126" i="1"/>
  <c r="AD126" i="1"/>
  <c r="AE126" i="1"/>
  <c r="CR126" i="1" s="1"/>
  <c r="AF126" i="1"/>
  <c r="AG126" i="1"/>
  <c r="AH126" i="1"/>
  <c r="AI126" i="1"/>
  <c r="AJ126" i="1"/>
  <c r="CX126" i="1" s="1"/>
  <c r="CQ126" i="1"/>
  <c r="CU126" i="1"/>
  <c r="T126" i="1" s="1"/>
  <c r="CV126" i="1"/>
  <c r="CW126" i="1"/>
  <c r="GL126" i="1"/>
  <c r="GN126" i="1"/>
  <c r="GP126" i="1"/>
  <c r="GV126" i="1"/>
  <c r="HC126" i="1" s="1"/>
  <c r="GX126" i="1" s="1"/>
  <c r="I127" i="1"/>
  <c r="GX127" i="1" s="1"/>
  <c r="P127" i="1"/>
  <c r="R127" i="1"/>
  <c r="W127" i="1"/>
  <c r="AC127" i="1"/>
  <c r="AE127" i="1"/>
  <c r="AF127" i="1"/>
  <c r="CT127" i="1" s="1"/>
  <c r="AG127" i="1"/>
  <c r="CU127" i="1" s="1"/>
  <c r="T127" i="1" s="1"/>
  <c r="AH127" i="1"/>
  <c r="AI127" i="1"/>
  <c r="AJ127" i="1"/>
  <c r="CQ127" i="1"/>
  <c r="CR127" i="1"/>
  <c r="CV127" i="1"/>
  <c r="U127" i="1" s="1"/>
  <c r="CW127" i="1"/>
  <c r="V127" i="1" s="1"/>
  <c r="CX127" i="1"/>
  <c r="GL127" i="1"/>
  <c r="GN127" i="1"/>
  <c r="GP127" i="1"/>
  <c r="GV127" i="1"/>
  <c r="HC127" i="1"/>
  <c r="I128" i="1"/>
  <c r="P128" i="1" s="1"/>
  <c r="V128" i="1"/>
  <c r="AC128" i="1"/>
  <c r="AE128" i="1"/>
  <c r="AF128" i="1"/>
  <c r="CT128" i="1" s="1"/>
  <c r="AG128" i="1"/>
  <c r="CU128" i="1" s="1"/>
  <c r="T128" i="1" s="1"/>
  <c r="AH128" i="1"/>
  <c r="AI128" i="1"/>
  <c r="AJ128" i="1"/>
  <c r="CQ128" i="1"/>
  <c r="CR128" i="1"/>
  <c r="CV128" i="1"/>
  <c r="U128" i="1" s="1"/>
  <c r="CW128" i="1"/>
  <c r="CX128" i="1"/>
  <c r="W128" i="1" s="1"/>
  <c r="GL128" i="1"/>
  <c r="GN128" i="1"/>
  <c r="GP128" i="1"/>
  <c r="GV128" i="1"/>
  <c r="HC128" i="1"/>
  <c r="GX128" i="1" s="1"/>
  <c r="B130" i="1"/>
  <c r="B73" i="1" s="1"/>
  <c r="C130" i="1"/>
  <c r="C73" i="1" s="1"/>
  <c r="D130" i="1"/>
  <c r="D73" i="1" s="1"/>
  <c r="F130" i="1"/>
  <c r="F73" i="1" s="1"/>
  <c r="G130" i="1"/>
  <c r="G73" i="1" s="1"/>
  <c r="AP130" i="1"/>
  <c r="AP73" i="1" s="1"/>
  <c r="BB130" i="1"/>
  <c r="BB73" i="1" s="1"/>
  <c r="BC130" i="1"/>
  <c r="BC160" i="1" s="1"/>
  <c r="BD130" i="1"/>
  <c r="BX130" i="1"/>
  <c r="BY130" i="1"/>
  <c r="BY73" i="1" s="1"/>
  <c r="CD130" i="1"/>
  <c r="CK130" i="1"/>
  <c r="CK73" i="1" s="1"/>
  <c r="CL130" i="1"/>
  <c r="CL73" i="1" s="1"/>
  <c r="CM130" i="1"/>
  <c r="CM73" i="1" s="1"/>
  <c r="EH130" i="1"/>
  <c r="EH73" i="1" s="1"/>
  <c r="ET130" i="1"/>
  <c r="ET73" i="1" s="1"/>
  <c r="EU130" i="1"/>
  <c r="EV130" i="1"/>
  <c r="EV73" i="1" s="1"/>
  <c r="FP130" i="1"/>
  <c r="FQ130" i="1"/>
  <c r="FQ73" i="1" s="1"/>
  <c r="FT130" i="1"/>
  <c r="FT73" i="1" s="1"/>
  <c r="FV130" i="1"/>
  <c r="GC130" i="1"/>
  <c r="GC73" i="1" s="1"/>
  <c r="GD130" i="1"/>
  <c r="GD73" i="1" s="1"/>
  <c r="GE130" i="1"/>
  <c r="GE73" i="1" s="1"/>
  <c r="F139" i="1"/>
  <c r="P146" i="1"/>
  <c r="B160" i="1"/>
  <c r="B22" i="1" s="1"/>
  <c r="C160" i="1"/>
  <c r="C22" i="1" s="1"/>
  <c r="D160" i="1"/>
  <c r="D22" i="1" s="1"/>
  <c r="F160" i="1"/>
  <c r="F22" i="1" s="1"/>
  <c r="G160" i="1"/>
  <c r="G22" i="1" s="1"/>
  <c r="BD160" i="1"/>
  <c r="BD190" i="1" s="1"/>
  <c r="ET160" i="1"/>
  <c r="B190" i="1"/>
  <c r="B18" i="1" s="1"/>
  <c r="C190" i="1"/>
  <c r="C18" i="1" s="1"/>
  <c r="D190" i="1"/>
  <c r="D18" i="1" s="1"/>
  <c r="F190" i="1"/>
  <c r="F18" i="1" s="1"/>
  <c r="G190" i="1"/>
  <c r="G18" i="1" s="1"/>
  <c r="F12" i="6"/>
  <c r="G12" i="6"/>
  <c r="J134" i="7" l="1"/>
  <c r="J55" i="7"/>
  <c r="H55" i="7"/>
  <c r="H134" i="7"/>
  <c r="BD18" i="1"/>
  <c r="F215" i="1"/>
  <c r="CB73" i="1"/>
  <c r="AS130" i="1"/>
  <c r="BC22" i="1"/>
  <c r="F176" i="1"/>
  <c r="BC190" i="1"/>
  <c r="CZ118" i="1"/>
  <c r="Y118" i="1" s="1"/>
  <c r="R114" i="1"/>
  <c r="CZ114" i="1" s="1"/>
  <c r="Y114" i="1" s="1"/>
  <c r="Q114" i="1"/>
  <c r="CR114" i="1"/>
  <c r="CS114" i="1"/>
  <c r="S122" i="1"/>
  <c r="CT122" i="1"/>
  <c r="AD117" i="1"/>
  <c r="AB117" i="1" s="1"/>
  <c r="CR117" i="1"/>
  <c r="R117" i="1"/>
  <c r="CY117" i="1" s="1"/>
  <c r="X117" i="1" s="1"/>
  <c r="CS117" i="1"/>
  <c r="U116" i="1"/>
  <c r="AD114" i="1"/>
  <c r="P117" i="1"/>
  <c r="CP117" i="1" s="1"/>
  <c r="O117" i="1" s="1"/>
  <c r="CQ117" i="1"/>
  <c r="Q116" i="1"/>
  <c r="S116" i="1"/>
  <c r="T116" i="1"/>
  <c r="FP73" i="1"/>
  <c r="FY130" i="1"/>
  <c r="EG130" i="1"/>
  <c r="CS128" i="1"/>
  <c r="AD128" i="1"/>
  <c r="AB128" i="1" s="1"/>
  <c r="AB122" i="1"/>
  <c r="CZ117" i="1"/>
  <c r="Y117" i="1" s="1"/>
  <c r="U94" i="1"/>
  <c r="BZ130" i="1"/>
  <c r="S126" i="1"/>
  <c r="CT126" i="1"/>
  <c r="EU73" i="1"/>
  <c r="EU160" i="1"/>
  <c r="CD73" i="1"/>
  <c r="AU130" i="1"/>
  <c r="CS127" i="1"/>
  <c r="AD127" i="1"/>
  <c r="AB127" i="1" s="1"/>
  <c r="P125" i="1"/>
  <c r="CP125" i="1" s="1"/>
  <c r="O125" i="1" s="1"/>
  <c r="S121" i="1"/>
  <c r="CT121" i="1"/>
  <c r="V116" i="1"/>
  <c r="CS115" i="1"/>
  <c r="Q115" i="1"/>
  <c r="CR115" i="1"/>
  <c r="R115" i="1"/>
  <c r="AD115" i="1"/>
  <c r="ET22" i="1"/>
  <c r="P173" i="1"/>
  <c r="ET190" i="1"/>
  <c r="AB126" i="1"/>
  <c r="CY111" i="1"/>
  <c r="X111" i="1" s="1"/>
  <c r="U125" i="1"/>
  <c r="CY123" i="1"/>
  <c r="X123" i="1" s="1"/>
  <c r="GM123" i="1" s="1"/>
  <c r="GO123" i="1" s="1"/>
  <c r="CZ123" i="1"/>
  <c r="Y123" i="1" s="1"/>
  <c r="CS119" i="1"/>
  <c r="AD119" i="1"/>
  <c r="AB119" i="1" s="1"/>
  <c r="BX73" i="1"/>
  <c r="AO130" i="1"/>
  <c r="R128" i="1"/>
  <c r="V126" i="1"/>
  <c r="CZ112" i="1"/>
  <c r="Y112" i="1" s="1"/>
  <c r="AB112" i="1"/>
  <c r="P112" i="1"/>
  <c r="CP112" i="1" s="1"/>
  <c r="O112" i="1" s="1"/>
  <c r="GM112" i="1" s="1"/>
  <c r="GO112" i="1" s="1"/>
  <c r="CQ112" i="1"/>
  <c r="Q125" i="1"/>
  <c r="R125" i="1"/>
  <c r="GX125" i="1"/>
  <c r="S125" i="1"/>
  <c r="CP122" i="1"/>
  <c r="O122" i="1" s="1"/>
  <c r="BD22" i="1"/>
  <c r="F185" i="1"/>
  <c r="BD73" i="1"/>
  <c r="F155" i="1"/>
  <c r="EK130" i="1"/>
  <c r="BC73" i="1"/>
  <c r="F146" i="1"/>
  <c r="W125" i="1"/>
  <c r="FV73" i="1"/>
  <c r="EM130" i="1"/>
  <c r="W116" i="1"/>
  <c r="S107" i="1"/>
  <c r="CT107" i="1"/>
  <c r="CP99" i="1"/>
  <c r="O99" i="1" s="1"/>
  <c r="FR130" i="1"/>
  <c r="AD109" i="1"/>
  <c r="AB109" i="1" s="1"/>
  <c r="CR109" i="1"/>
  <c r="P155" i="1"/>
  <c r="P143" i="1"/>
  <c r="S128" i="1"/>
  <c r="S127" i="1"/>
  <c r="P124" i="1"/>
  <c r="AD116" i="1"/>
  <c r="AB116" i="1" s="1"/>
  <c r="R116" i="1"/>
  <c r="CR116" i="1"/>
  <c r="CS116" i="1"/>
  <c r="P113" i="1"/>
  <c r="CQ113" i="1"/>
  <c r="GX105" i="1"/>
  <c r="R105" i="1"/>
  <c r="CQ104" i="1"/>
  <c r="CR103" i="1"/>
  <c r="CS103" i="1"/>
  <c r="S102" i="1"/>
  <c r="Q101" i="1"/>
  <c r="CP101" i="1" s="1"/>
  <c r="O101" i="1" s="1"/>
  <c r="S101" i="1"/>
  <c r="S100" i="1"/>
  <c r="S98" i="1"/>
  <c r="CQ96" i="1"/>
  <c r="W94" i="1"/>
  <c r="P93" i="1"/>
  <c r="CP93" i="1" s="1"/>
  <c r="O93" i="1" s="1"/>
  <c r="GM93" i="1" s="1"/>
  <c r="GO93" i="1" s="1"/>
  <c r="U90" i="1"/>
  <c r="CS88" i="1"/>
  <c r="CR88" i="1"/>
  <c r="R88" i="1"/>
  <c r="AD88" i="1"/>
  <c r="R83" i="1"/>
  <c r="P116" i="1"/>
  <c r="CP116" i="1" s="1"/>
  <c r="O116" i="1" s="1"/>
  <c r="CS109" i="1"/>
  <c r="CT108" i="1"/>
  <c r="S108" i="1"/>
  <c r="GX100" i="1"/>
  <c r="R100" i="1"/>
  <c r="P98" i="1"/>
  <c r="CP98" i="1" s="1"/>
  <c r="O98" i="1" s="1"/>
  <c r="R91" i="1"/>
  <c r="T90" i="1"/>
  <c r="Q83" i="1"/>
  <c r="CP83" i="1" s="1"/>
  <c r="O83" i="1" s="1"/>
  <c r="GX80" i="1"/>
  <c r="BD26" i="1"/>
  <c r="F66" i="1"/>
  <c r="EA41" i="1"/>
  <c r="CQ120" i="1"/>
  <c r="Q127" i="1"/>
  <c r="CP127" i="1" s="1"/>
  <c r="O127" i="1" s="1"/>
  <c r="AB123" i="1"/>
  <c r="CS118" i="1"/>
  <c r="CY114" i="1"/>
  <c r="X114" i="1" s="1"/>
  <c r="U110" i="1"/>
  <c r="CZ109" i="1"/>
  <c r="Y109" i="1" s="1"/>
  <c r="CY109" i="1"/>
  <c r="X109" i="1" s="1"/>
  <c r="AD108" i="1"/>
  <c r="AB108" i="1" s="1"/>
  <c r="R108" i="1"/>
  <c r="P104" i="1"/>
  <c r="CP104" i="1" s="1"/>
  <c r="O104" i="1" s="1"/>
  <c r="GM104" i="1" s="1"/>
  <c r="GO104" i="1" s="1"/>
  <c r="AB103" i="1"/>
  <c r="P103" i="1"/>
  <c r="CY95" i="1"/>
  <c r="X95" i="1" s="1"/>
  <c r="S90" i="1"/>
  <c r="CZ97" i="1"/>
  <c r="Y97" i="1" s="1"/>
  <c r="CY97" i="1"/>
  <c r="X97" i="1" s="1"/>
  <c r="GM97" i="1" s="1"/>
  <c r="GO97" i="1" s="1"/>
  <c r="CR95" i="1"/>
  <c r="CS95" i="1"/>
  <c r="R95" i="1"/>
  <c r="CZ95" i="1" s="1"/>
  <c r="Y95" i="1" s="1"/>
  <c r="AD95" i="1"/>
  <c r="Q95" i="1"/>
  <c r="CP95" i="1" s="1"/>
  <c r="O95" i="1" s="1"/>
  <c r="GM95" i="1" s="1"/>
  <c r="GO95" i="1" s="1"/>
  <c r="T88" i="1"/>
  <c r="P78" i="1"/>
  <c r="CQ78" i="1"/>
  <c r="CZ34" i="1"/>
  <c r="Y34" i="1" s="1"/>
  <c r="AG41" i="1"/>
  <c r="Q128" i="1"/>
  <c r="CQ123" i="1"/>
  <c r="Q109" i="1"/>
  <c r="CP109" i="1" s="1"/>
  <c r="O109" i="1" s="1"/>
  <c r="U102" i="1"/>
  <c r="AB79" i="1"/>
  <c r="CT75" i="1"/>
  <c r="S75" i="1"/>
  <c r="EV26" i="1"/>
  <c r="P66" i="1"/>
  <c r="CY35" i="1"/>
  <c r="X35" i="1" s="1"/>
  <c r="CZ35" i="1"/>
  <c r="Y35" i="1" s="1"/>
  <c r="EB41" i="1"/>
  <c r="Q117" i="1"/>
  <c r="W117" i="1"/>
  <c r="I119" i="1"/>
  <c r="W119" i="1" s="1"/>
  <c r="AJ130" i="1" s="1"/>
  <c r="CZ111" i="1"/>
  <c r="Y111" i="1" s="1"/>
  <c r="CT110" i="1"/>
  <c r="S110" i="1"/>
  <c r="GX90" i="1"/>
  <c r="EV160" i="1"/>
  <c r="CQ116" i="1"/>
  <c r="AB115" i="1"/>
  <c r="CQ115" i="1"/>
  <c r="P115" i="1"/>
  <c r="CY113" i="1"/>
  <c r="X113" i="1" s="1"/>
  <c r="T112" i="1"/>
  <c r="CQ111" i="1"/>
  <c r="AB111" i="1"/>
  <c r="P111" i="1"/>
  <c r="CP111" i="1" s="1"/>
  <c r="O111" i="1" s="1"/>
  <c r="AD110" i="1"/>
  <c r="AB110" i="1" s="1"/>
  <c r="R110" i="1"/>
  <c r="CS108" i="1"/>
  <c r="CT105" i="1"/>
  <c r="S105" i="1"/>
  <c r="CY104" i="1"/>
  <c r="X104" i="1" s="1"/>
  <c r="CZ104" i="1"/>
  <c r="Y104" i="1" s="1"/>
  <c r="CQ103" i="1"/>
  <c r="R103" i="1"/>
  <c r="T102" i="1"/>
  <c r="W102" i="1"/>
  <c r="T100" i="1"/>
  <c r="P96" i="1"/>
  <c r="CP96" i="1" s="1"/>
  <c r="O96" i="1" s="1"/>
  <c r="CS94" i="1"/>
  <c r="CR94" i="1"/>
  <c r="I84" i="1"/>
  <c r="W84" i="1" s="1"/>
  <c r="CS107" i="1"/>
  <c r="CR107" i="1"/>
  <c r="R107" i="1"/>
  <c r="AD107" i="1"/>
  <c r="P139" i="1"/>
  <c r="CS126" i="1"/>
  <c r="CQ125" i="1"/>
  <c r="GX116" i="1"/>
  <c r="V111" i="1"/>
  <c r="CR108" i="1"/>
  <c r="Q103" i="1"/>
  <c r="CT102" i="1"/>
  <c r="Q87" i="1"/>
  <c r="P87" i="1"/>
  <c r="CP87" i="1" s="1"/>
  <c r="O87" i="1" s="1"/>
  <c r="S87" i="1"/>
  <c r="V87" i="1"/>
  <c r="U80" i="1"/>
  <c r="CQ102" i="1"/>
  <c r="AB94" i="1"/>
  <c r="CQ94" i="1"/>
  <c r="S91" i="1"/>
  <c r="CT91" i="1"/>
  <c r="I86" i="1"/>
  <c r="P86" i="1" s="1"/>
  <c r="P81" i="1"/>
  <c r="CQ81" i="1"/>
  <c r="AB81" i="1"/>
  <c r="T80" i="1"/>
  <c r="CP35" i="1"/>
  <c r="O35" i="1" s="1"/>
  <c r="DY41" i="1"/>
  <c r="AJ41" i="1"/>
  <c r="P102" i="1"/>
  <c r="CP102" i="1" s="1"/>
  <c r="O102" i="1" s="1"/>
  <c r="W100" i="1"/>
  <c r="P100" i="1"/>
  <c r="CP100" i="1" s="1"/>
  <c r="O100" i="1" s="1"/>
  <c r="AB99" i="1"/>
  <c r="CQ99" i="1"/>
  <c r="W98" i="1"/>
  <c r="V94" i="1"/>
  <c r="AB93" i="1"/>
  <c r="AD92" i="1"/>
  <c r="AB92" i="1" s="1"/>
  <c r="CR92" i="1"/>
  <c r="CS92" i="1"/>
  <c r="CS91" i="1"/>
  <c r="CR91" i="1"/>
  <c r="R90" i="1"/>
  <c r="CT83" i="1"/>
  <c r="S83" i="1"/>
  <c r="CZ37" i="1"/>
  <c r="Y37" i="1" s="1"/>
  <c r="AI26" i="1"/>
  <c r="V41" i="1"/>
  <c r="FR30" i="1"/>
  <c r="BY41" i="1" s="1"/>
  <c r="CY29" i="1"/>
  <c r="X29" i="1" s="1"/>
  <c r="CZ29" i="1"/>
  <c r="Y29" i="1" s="1"/>
  <c r="DF10" i="3"/>
  <c r="DJ10" i="3" s="1"/>
  <c r="DG10" i="3"/>
  <c r="DH10" i="3"/>
  <c r="DI10" i="3"/>
  <c r="CT89" i="1"/>
  <c r="S89" i="1"/>
  <c r="AD83" i="1"/>
  <c r="AB83" i="1" s="1"/>
  <c r="CS83" i="1"/>
  <c r="Q80" i="1"/>
  <c r="I82" i="1"/>
  <c r="I88" i="1"/>
  <c r="V88" i="1" s="1"/>
  <c r="I94" i="1"/>
  <c r="S80" i="1"/>
  <c r="I92" i="1"/>
  <c r="P92" i="1" s="1"/>
  <c r="CY38" i="1"/>
  <c r="X38" i="1" s="1"/>
  <c r="CZ38" i="1"/>
  <c r="Y38" i="1" s="1"/>
  <c r="CY31" i="1"/>
  <c r="X31" i="1" s="1"/>
  <c r="CZ31" i="1"/>
  <c r="Y31" i="1" s="1"/>
  <c r="GB41" i="1"/>
  <c r="AH41" i="1"/>
  <c r="DF8" i="3"/>
  <c r="DJ8" i="3" s="1"/>
  <c r="DG8" i="3"/>
  <c r="DH8" i="3"/>
  <c r="DI8" i="3"/>
  <c r="CP120" i="1"/>
  <c r="O120" i="1" s="1"/>
  <c r="GM120" i="1" s="1"/>
  <c r="GO120" i="1" s="1"/>
  <c r="CR118" i="1"/>
  <c r="R118" i="1"/>
  <c r="CY118" i="1" s="1"/>
  <c r="X118" i="1" s="1"/>
  <c r="GM118" i="1" s="1"/>
  <c r="GO118" i="1" s="1"/>
  <c r="CQ114" i="1"/>
  <c r="P114" i="1"/>
  <c r="CP114" i="1" s="1"/>
  <c r="O114" i="1" s="1"/>
  <c r="T98" i="1"/>
  <c r="R124" i="1"/>
  <c r="AB120" i="1"/>
  <c r="AD118" i="1"/>
  <c r="AB118" i="1" s="1"/>
  <c r="AB114" i="1"/>
  <c r="P107" i="1"/>
  <c r="CP107" i="1" s="1"/>
  <c r="O107" i="1" s="1"/>
  <c r="GX102" i="1"/>
  <c r="AD97" i="1"/>
  <c r="AB97" i="1" s="1"/>
  <c r="CR97" i="1"/>
  <c r="CS96" i="1"/>
  <c r="CR96" i="1"/>
  <c r="T94" i="1"/>
  <c r="AB91" i="1"/>
  <c r="P91" i="1"/>
  <c r="CP91" i="1" s="1"/>
  <c r="O91" i="1" s="1"/>
  <c r="CQ90" i="1"/>
  <c r="P90" i="1"/>
  <c r="CP90" i="1" s="1"/>
  <c r="O90" i="1" s="1"/>
  <c r="AB90" i="1"/>
  <c r="AD89" i="1"/>
  <c r="AB89" i="1" s="1"/>
  <c r="R89" i="1"/>
  <c r="U82" i="1"/>
  <c r="S124" i="1"/>
  <c r="CY115" i="1"/>
  <c r="X115" i="1" s="1"/>
  <c r="CZ115" i="1"/>
  <c r="Y115" i="1" s="1"/>
  <c r="W110" i="1"/>
  <c r="V100" i="1"/>
  <c r="F143" i="1"/>
  <c r="R126" i="1"/>
  <c r="CZ113" i="1"/>
  <c r="Y113" i="1" s="1"/>
  <c r="AD113" i="1"/>
  <c r="AB113" i="1" s="1"/>
  <c r="Q113" i="1"/>
  <c r="CR113" i="1"/>
  <c r="GX110" i="1"/>
  <c r="Q110" i="1"/>
  <c r="U108" i="1"/>
  <c r="Q106" i="1"/>
  <c r="P106" i="1"/>
  <c r="CP106" i="1" s="1"/>
  <c r="O106" i="1" s="1"/>
  <c r="S106" i="1"/>
  <c r="CT104" i="1"/>
  <c r="S103" i="1"/>
  <c r="CT103" i="1"/>
  <c r="T99" i="1"/>
  <c r="AD96" i="1"/>
  <c r="AB96" i="1" s="1"/>
  <c r="R87" i="1"/>
  <c r="CT86" i="1"/>
  <c r="T82" i="1"/>
  <c r="W101" i="1"/>
  <c r="CS99" i="1"/>
  <c r="CR99" i="1"/>
  <c r="S94" i="1"/>
  <c r="CS82" i="1"/>
  <c r="CR82" i="1"/>
  <c r="W80" i="1"/>
  <c r="AB82" i="1"/>
  <c r="V110" i="1"/>
  <c r="P110" i="1"/>
  <c r="GX109" i="1"/>
  <c r="CS102" i="1"/>
  <c r="CR102" i="1"/>
  <c r="R98" i="1"/>
  <c r="CT94" i="1"/>
  <c r="AD80" i="1"/>
  <c r="AB80" i="1" s="1"/>
  <c r="R80" i="1"/>
  <c r="CR80" i="1"/>
  <c r="AB107" i="1"/>
  <c r="V105" i="1"/>
  <c r="P105" i="1"/>
  <c r="CP105" i="1" s="1"/>
  <c r="O105" i="1" s="1"/>
  <c r="CY96" i="1"/>
  <c r="X96" i="1" s="1"/>
  <c r="AB95" i="1"/>
  <c r="AB88" i="1"/>
  <c r="V86" i="1"/>
  <c r="P80" i="1"/>
  <c r="CQ80" i="1"/>
  <c r="V108" i="1"/>
  <c r="P108" i="1"/>
  <c r="CP108" i="1" s="1"/>
  <c r="O108" i="1" s="1"/>
  <c r="CS104" i="1"/>
  <c r="CR104" i="1"/>
  <c r="S99" i="1"/>
  <c r="CT96" i="1"/>
  <c r="V89" i="1"/>
  <c r="P89" i="1"/>
  <c r="CP89" i="1" s="1"/>
  <c r="O89" i="1" s="1"/>
  <c r="CZ85" i="1"/>
  <c r="Y85" i="1" s="1"/>
  <c r="GM85" i="1" s="1"/>
  <c r="GO85" i="1" s="1"/>
  <c r="CS85" i="1"/>
  <c r="CR85" i="1"/>
  <c r="CT82" i="1"/>
  <c r="S82" i="1"/>
  <c r="Q81" i="1"/>
  <c r="R81" i="1"/>
  <c r="CZ81" i="1" s="1"/>
  <c r="Y81" i="1" s="1"/>
  <c r="CR79" i="1"/>
  <c r="CS79" i="1"/>
  <c r="CY77" i="1"/>
  <c r="X77" i="1" s="1"/>
  <c r="GM77" i="1" s="1"/>
  <c r="GO77" i="1" s="1"/>
  <c r="CZ77" i="1"/>
  <c r="Y77" i="1" s="1"/>
  <c r="CP38" i="1"/>
  <c r="O38" i="1" s="1"/>
  <c r="F57" i="1"/>
  <c r="BC26" i="1"/>
  <c r="CY32" i="1"/>
  <c r="X32" i="1" s="1"/>
  <c r="CZ32" i="1"/>
  <c r="Y32" i="1" s="1"/>
  <c r="CJ41" i="1"/>
  <c r="CQ79" i="1"/>
  <c r="CY79" i="1"/>
  <c r="X79" i="1" s="1"/>
  <c r="GM79" i="1" s="1"/>
  <c r="GO79" i="1" s="1"/>
  <c r="P57" i="1"/>
  <c r="EU26" i="1"/>
  <c r="F58" i="1"/>
  <c r="AS26" i="1"/>
  <c r="CP32" i="1"/>
  <c r="O32" i="1" s="1"/>
  <c r="DF3" i="3"/>
  <c r="DJ3" i="3" s="1"/>
  <c r="DG3" i="3"/>
  <c r="DH3" i="3"/>
  <c r="DI3" i="3"/>
  <c r="ET26" i="1"/>
  <c r="P54" i="1"/>
  <c r="F51" i="1"/>
  <c r="AQ26" i="1"/>
  <c r="DZ41" i="1"/>
  <c r="AC41" i="1"/>
  <c r="CP28" i="1"/>
  <c r="O28" i="1" s="1"/>
  <c r="CQ77" i="1"/>
  <c r="AB77" i="1"/>
  <c r="DF4" i="3"/>
  <c r="DJ4" i="3" s="1"/>
  <c r="DG4" i="3"/>
  <c r="DH4" i="3"/>
  <c r="DI4" i="3"/>
  <c r="P45" i="1"/>
  <c r="EG26" i="1"/>
  <c r="CZ79" i="1"/>
  <c r="Y79" i="1" s="1"/>
  <c r="CS76" i="1"/>
  <c r="CG41" i="1"/>
  <c r="BB41" i="1"/>
  <c r="AB38" i="1"/>
  <c r="R37" i="1"/>
  <c r="AB35" i="1"/>
  <c r="R34" i="1"/>
  <c r="CY34" i="1" s="1"/>
  <c r="X34" i="1" s="1"/>
  <c r="CS32" i="1"/>
  <c r="AB32" i="1"/>
  <c r="P29" i="1"/>
  <c r="CY28" i="1"/>
  <c r="X28" i="1" s="1"/>
  <c r="EK26" i="1"/>
  <c r="Q78" i="1"/>
  <c r="CR76" i="1"/>
  <c r="EM41" i="1"/>
  <c r="AO41" i="1"/>
  <c r="U39" i="1"/>
  <c r="Q37" i="1"/>
  <c r="CP37" i="1" s="1"/>
  <c r="O37" i="1" s="1"/>
  <c r="Q34" i="1"/>
  <c r="CP34" i="1" s="1"/>
  <c r="O34" i="1" s="1"/>
  <c r="GM34" i="1" s="1"/>
  <c r="GO34" i="1" s="1"/>
  <c r="CT29" i="1"/>
  <c r="CB26" i="1"/>
  <c r="CX2" i="3"/>
  <c r="AD78" i="1"/>
  <c r="AB78" i="1" s="1"/>
  <c r="CQ76" i="1"/>
  <c r="CQ38" i="1"/>
  <c r="AD37" i="1"/>
  <c r="AB37" i="1" s="1"/>
  <c r="CQ35" i="1"/>
  <c r="AD34" i="1"/>
  <c r="AB34" i="1" s="1"/>
  <c r="CQ32" i="1"/>
  <c r="Q31" i="1"/>
  <c r="DV41" i="1" s="1"/>
  <c r="AB29" i="1"/>
  <c r="R28" i="1"/>
  <c r="AE41" i="1" s="1"/>
  <c r="GE26" i="1"/>
  <c r="CM26" i="1"/>
  <c r="S39" i="1"/>
  <c r="S36" i="1"/>
  <c r="S33" i="1"/>
  <c r="DX41" i="1" s="1"/>
  <c r="AD31" i="1"/>
  <c r="AB31" i="1" s="1"/>
  <c r="P31" i="1"/>
  <c r="Q28" i="1"/>
  <c r="GD26" i="1"/>
  <c r="CL26" i="1"/>
  <c r="BZ26" i="1"/>
  <c r="CX9" i="3"/>
  <c r="CX1" i="3"/>
  <c r="R77" i="1"/>
  <c r="Q75" i="1"/>
  <c r="R39" i="1"/>
  <c r="R36" i="1"/>
  <c r="AD28" i="1"/>
  <c r="AB28" i="1" s="1"/>
  <c r="GC26" i="1"/>
  <c r="P75" i="1"/>
  <c r="Q36" i="1"/>
  <c r="CP36" i="1" s="1"/>
  <c r="O36" i="1" s="1"/>
  <c r="Q33" i="1"/>
  <c r="CP33" i="1" s="1"/>
  <c r="O33" i="1" s="1"/>
  <c r="S30" i="1"/>
  <c r="FP26" i="1"/>
  <c r="CX7" i="3"/>
  <c r="CU1" i="3"/>
  <c r="FY41" i="1"/>
  <c r="R30" i="1"/>
  <c r="AB75" i="1"/>
  <c r="AU41" i="1"/>
  <c r="Q30" i="1"/>
  <c r="CP30" i="1" s="1"/>
  <c r="O30" i="1" s="1"/>
  <c r="CX6" i="3"/>
  <c r="R76" i="1"/>
  <c r="CV6" i="3"/>
  <c r="Q76" i="1"/>
  <c r="CX5" i="3"/>
  <c r="GM83" i="1" l="1"/>
  <c r="GO83" i="1" s="1"/>
  <c r="DV26" i="1"/>
  <c r="DI41" i="1"/>
  <c r="AJ73" i="1"/>
  <c r="W130" i="1"/>
  <c r="DX26" i="1"/>
  <c r="DK41" i="1"/>
  <c r="GM36" i="1"/>
  <c r="GO36" i="1" s="1"/>
  <c r="CY76" i="1"/>
  <c r="X76" i="1" s="1"/>
  <c r="CY36" i="1"/>
  <c r="X36" i="1" s="1"/>
  <c r="CZ36" i="1"/>
  <c r="Y36" i="1" s="1"/>
  <c r="GM107" i="1"/>
  <c r="GO107" i="1" s="1"/>
  <c r="DF5" i="3"/>
  <c r="DJ5" i="3" s="1"/>
  <c r="DG5" i="3"/>
  <c r="DH5" i="3"/>
  <c r="DI5" i="3"/>
  <c r="DF1" i="3"/>
  <c r="DG1" i="3"/>
  <c r="DH1" i="3"/>
  <c r="DI1" i="3"/>
  <c r="DJ1" i="3" s="1"/>
  <c r="CY99" i="1"/>
  <c r="X99" i="1" s="1"/>
  <c r="CZ99" i="1"/>
  <c r="Y99" i="1" s="1"/>
  <c r="CJ130" i="1"/>
  <c r="CY106" i="1"/>
  <c r="X106" i="1" s="1"/>
  <c r="CZ106" i="1"/>
  <c r="Y106" i="1" s="1"/>
  <c r="GM106" i="1" s="1"/>
  <c r="GO106" i="1" s="1"/>
  <c r="Q94" i="1"/>
  <c r="R94" i="1"/>
  <c r="CY91" i="1"/>
  <c r="X91" i="1" s="1"/>
  <c r="GM91" i="1" s="1"/>
  <c r="GO91" i="1" s="1"/>
  <c r="CZ91" i="1"/>
  <c r="Y91" i="1" s="1"/>
  <c r="GM96" i="1"/>
  <c r="GO96" i="1" s="1"/>
  <c r="CP78" i="1"/>
  <c r="O78" i="1" s="1"/>
  <c r="GM78" i="1" s="1"/>
  <c r="GO78" i="1" s="1"/>
  <c r="CY90" i="1"/>
  <c r="X90" i="1" s="1"/>
  <c r="CZ90" i="1"/>
  <c r="Y90" i="1" s="1"/>
  <c r="S92" i="1"/>
  <c r="CZ127" i="1"/>
  <c r="Y127" i="1" s="1"/>
  <c r="CY127" i="1"/>
  <c r="X127" i="1" s="1"/>
  <c r="GM127" i="1" s="1"/>
  <c r="GO127" i="1" s="1"/>
  <c r="CZ126" i="1"/>
  <c r="Y126" i="1" s="1"/>
  <c r="CY126" i="1"/>
  <c r="X126" i="1" s="1"/>
  <c r="CZ116" i="1"/>
  <c r="Y116" i="1" s="1"/>
  <c r="CY116" i="1"/>
  <c r="X116" i="1" s="1"/>
  <c r="CY122" i="1"/>
  <c r="X122" i="1" s="1"/>
  <c r="CZ122" i="1"/>
  <c r="Y122" i="1" s="1"/>
  <c r="GM122" i="1" s="1"/>
  <c r="GO122" i="1" s="1"/>
  <c r="GX119" i="1"/>
  <c r="CY39" i="1"/>
  <c r="X39" i="1" s="1"/>
  <c r="CZ39" i="1"/>
  <c r="Y39" i="1" s="1"/>
  <c r="CP39" i="1"/>
  <c r="O39" i="1" s="1"/>
  <c r="GM39" i="1" s="1"/>
  <c r="GO39" i="1" s="1"/>
  <c r="AF41" i="1"/>
  <c r="CY30" i="1"/>
  <c r="X30" i="1" s="1"/>
  <c r="AK41" i="1" s="1"/>
  <c r="CZ30" i="1"/>
  <c r="Y30" i="1" s="1"/>
  <c r="DF9" i="3"/>
  <c r="DJ9" i="3" s="1"/>
  <c r="DG9" i="3"/>
  <c r="DH9" i="3"/>
  <c r="DI9" i="3"/>
  <c r="AH26" i="1"/>
  <c r="U41" i="1"/>
  <c r="Q88" i="1"/>
  <c r="GX88" i="1"/>
  <c r="P88" i="1"/>
  <c r="CP88" i="1" s="1"/>
  <c r="O88" i="1" s="1"/>
  <c r="U88" i="1"/>
  <c r="W88" i="1"/>
  <c r="CZ28" i="1"/>
  <c r="Y28" i="1" s="1"/>
  <c r="AL41" i="1" s="1"/>
  <c r="GM111" i="1"/>
  <c r="GO111" i="1" s="1"/>
  <c r="CZ110" i="1"/>
  <c r="Y110" i="1" s="1"/>
  <c r="CY110" i="1"/>
  <c r="X110" i="1" s="1"/>
  <c r="CY75" i="1"/>
  <c r="X75" i="1" s="1"/>
  <c r="CZ75" i="1"/>
  <c r="Y75" i="1" s="1"/>
  <c r="AF130" i="1"/>
  <c r="CZ128" i="1"/>
  <c r="Y128" i="1" s="1"/>
  <c r="CY128" i="1"/>
  <c r="X128" i="1" s="1"/>
  <c r="EM73" i="1"/>
  <c r="P149" i="1"/>
  <c r="T119" i="1"/>
  <c r="AG130" i="1" s="1"/>
  <c r="BZ73" i="1"/>
  <c r="CI130" i="1"/>
  <c r="AQ130" i="1"/>
  <c r="CP126" i="1"/>
  <c r="O126" i="1" s="1"/>
  <c r="EP41" i="1"/>
  <c r="FY26" i="1"/>
  <c r="R41" i="1"/>
  <c r="AE26" i="1"/>
  <c r="CP110" i="1"/>
  <c r="O110" i="1" s="1"/>
  <c r="R84" i="1"/>
  <c r="CJ26" i="1"/>
  <c r="BA41" i="1"/>
  <c r="GM105" i="1"/>
  <c r="GO105" i="1" s="1"/>
  <c r="S86" i="1"/>
  <c r="R82" i="1"/>
  <c r="DW130" i="1" s="1"/>
  <c r="GX82" i="1"/>
  <c r="P82" i="1"/>
  <c r="Q82" i="1"/>
  <c r="DV130" i="1" s="1"/>
  <c r="AJ26" i="1"/>
  <c r="W41" i="1"/>
  <c r="U86" i="1"/>
  <c r="CP103" i="1"/>
  <c r="O103" i="1" s="1"/>
  <c r="U92" i="1"/>
  <c r="CG130" i="1"/>
  <c r="W82" i="1"/>
  <c r="CY125" i="1"/>
  <c r="X125" i="1" s="1"/>
  <c r="CZ125" i="1"/>
  <c r="Y125" i="1" s="1"/>
  <c r="AO73" i="1"/>
  <c r="F134" i="1"/>
  <c r="ET18" i="1"/>
  <c r="P203" i="1"/>
  <c r="CY121" i="1"/>
  <c r="X121" i="1" s="1"/>
  <c r="CZ121" i="1"/>
  <c r="Y121" i="1" s="1"/>
  <c r="DY26" i="1"/>
  <c r="DL41" i="1"/>
  <c r="DH6" i="3"/>
  <c r="DI6" i="3"/>
  <c r="DJ6" i="3" s="1"/>
  <c r="DF6" i="3"/>
  <c r="DG6" i="3"/>
  <c r="CZ76" i="1"/>
  <c r="Y76" i="1" s="1"/>
  <c r="GM114" i="1"/>
  <c r="GO114" i="1" s="1"/>
  <c r="GM117" i="1"/>
  <c r="GO117" i="1" s="1"/>
  <c r="ES41" i="1"/>
  <c r="GB26" i="1"/>
  <c r="CY37" i="1"/>
  <c r="X37" i="1" s="1"/>
  <c r="GM37" i="1" s="1"/>
  <c r="GO37" i="1" s="1"/>
  <c r="DW41" i="1"/>
  <c r="S119" i="1"/>
  <c r="V119" i="1"/>
  <c r="P119" i="1"/>
  <c r="AC130" i="1" s="1"/>
  <c r="Q119" i="1"/>
  <c r="AD130" i="1" s="1"/>
  <c r="GM125" i="1"/>
  <c r="GO125" i="1" s="1"/>
  <c r="CP75" i="1"/>
  <c r="O75" i="1" s="1"/>
  <c r="AD41" i="1"/>
  <c r="F45" i="1"/>
  <c r="AO26" i="1"/>
  <c r="AO160" i="1"/>
  <c r="P84" i="1"/>
  <c r="S88" i="1"/>
  <c r="AI130" i="1"/>
  <c r="GM109" i="1"/>
  <c r="GO109" i="1" s="1"/>
  <c r="EA26" i="1"/>
  <c r="DN41" i="1"/>
  <c r="BC18" i="1"/>
  <c r="F206" i="1"/>
  <c r="EC41" i="1"/>
  <c r="CZ108" i="1"/>
  <c r="Y108" i="1" s="1"/>
  <c r="GM108" i="1" s="1"/>
  <c r="GO108" i="1" s="1"/>
  <c r="CY108" i="1"/>
  <c r="X108" i="1" s="1"/>
  <c r="AU26" i="1"/>
  <c r="F60" i="1"/>
  <c r="AU160" i="1"/>
  <c r="FR31" i="1"/>
  <c r="FQ41" i="1" s="1"/>
  <c r="CP31" i="1"/>
  <c r="O31" i="1" s="1"/>
  <c r="GM31" i="1" s="1"/>
  <c r="EM26" i="1"/>
  <c r="P60" i="1"/>
  <c r="EM160" i="1"/>
  <c r="BB26" i="1"/>
  <c r="F54" i="1"/>
  <c r="BB160" i="1"/>
  <c r="V92" i="1"/>
  <c r="CZ89" i="1"/>
  <c r="Y89" i="1" s="1"/>
  <c r="CY89" i="1"/>
  <c r="X89" i="1" s="1"/>
  <c r="CI41" i="1"/>
  <c r="BY26" i="1"/>
  <c r="AP41" i="1"/>
  <c r="CY87" i="1"/>
  <c r="X87" i="1" s="1"/>
  <c r="GM87" i="1" s="1"/>
  <c r="GO87" i="1" s="1"/>
  <c r="CZ87" i="1"/>
  <c r="Y87" i="1" s="1"/>
  <c r="CP115" i="1"/>
  <c r="O115" i="1" s="1"/>
  <c r="GM115" i="1" s="1"/>
  <c r="GO115" i="1" s="1"/>
  <c r="CP113" i="1"/>
  <c r="O113" i="1" s="1"/>
  <c r="GM113" i="1" s="1"/>
  <c r="GO113" i="1" s="1"/>
  <c r="W92" i="1"/>
  <c r="P94" i="1"/>
  <c r="CP94" i="1" s="1"/>
  <c r="O94" i="1" s="1"/>
  <c r="GM94" i="1" s="1"/>
  <c r="GO94" i="1" s="1"/>
  <c r="CY82" i="1"/>
  <c r="X82" i="1" s="1"/>
  <c r="CZ82" i="1"/>
  <c r="Y82" i="1" s="1"/>
  <c r="CG26" i="1"/>
  <c r="AX41" i="1"/>
  <c r="GM32" i="1"/>
  <c r="GO32" i="1" s="1"/>
  <c r="CP80" i="1"/>
  <c r="O80" i="1" s="1"/>
  <c r="GM80" i="1" s="1"/>
  <c r="GO80" i="1" s="1"/>
  <c r="CY94" i="1"/>
  <c r="X94" i="1" s="1"/>
  <c r="CZ94" i="1"/>
  <c r="Y94" i="1" s="1"/>
  <c r="T86" i="1"/>
  <c r="V26" i="1"/>
  <c r="F64" i="1"/>
  <c r="EB26" i="1"/>
  <c r="DO41" i="1"/>
  <c r="CP128" i="1"/>
  <c r="O128" i="1" s="1"/>
  <c r="GM116" i="1"/>
  <c r="GO116" i="1" s="1"/>
  <c r="CY98" i="1"/>
  <c r="X98" i="1" s="1"/>
  <c r="GM98" i="1" s="1"/>
  <c r="GO98" i="1" s="1"/>
  <c r="CZ98" i="1"/>
  <c r="Y98" i="1" s="1"/>
  <c r="FR73" i="1"/>
  <c r="GA130" i="1"/>
  <c r="EI130" i="1"/>
  <c r="EK73" i="1"/>
  <c r="P147" i="1"/>
  <c r="EK160" i="1"/>
  <c r="CP76" i="1"/>
  <c r="O76" i="1" s="1"/>
  <c r="R119" i="1"/>
  <c r="AU73" i="1"/>
  <c r="F149" i="1"/>
  <c r="R92" i="1"/>
  <c r="CZ124" i="1"/>
  <c r="Y124" i="1" s="1"/>
  <c r="CY124" i="1"/>
  <c r="X124" i="1" s="1"/>
  <c r="GM35" i="1"/>
  <c r="GO35" i="1" s="1"/>
  <c r="GM28" i="1"/>
  <c r="AB41" i="1"/>
  <c r="CY33" i="1"/>
  <c r="X33" i="1" s="1"/>
  <c r="GM33" i="1" s="1"/>
  <c r="GO33" i="1" s="1"/>
  <c r="CZ33" i="1"/>
  <c r="Y33" i="1" s="1"/>
  <c r="ED41" i="1" s="1"/>
  <c r="CH41" i="1"/>
  <c r="P41" i="1"/>
  <c r="AC26" i="1"/>
  <c r="CE41" i="1"/>
  <c r="CF41" i="1"/>
  <c r="GM38" i="1"/>
  <c r="GO38" i="1" s="1"/>
  <c r="CP81" i="1"/>
  <c r="O81" i="1" s="1"/>
  <c r="CZ105" i="1"/>
  <c r="Y105" i="1" s="1"/>
  <c r="CY105" i="1"/>
  <c r="X105" i="1" s="1"/>
  <c r="T41" i="1"/>
  <c r="AG26" i="1"/>
  <c r="CZ100" i="1"/>
  <c r="Y100" i="1" s="1"/>
  <c r="CY100" i="1"/>
  <c r="X100" i="1" s="1"/>
  <c r="GX94" i="1"/>
  <c r="EG73" i="1"/>
  <c r="EG160" i="1"/>
  <c r="P134" i="1"/>
  <c r="AS73" i="1"/>
  <c r="F147" i="1"/>
  <c r="AS160" i="1"/>
  <c r="DZ26" i="1"/>
  <c r="DM41" i="1"/>
  <c r="Q86" i="1"/>
  <c r="CP86" i="1" s="1"/>
  <c r="O86" i="1" s="1"/>
  <c r="R86" i="1"/>
  <c r="W86" i="1"/>
  <c r="EB130" i="1" s="1"/>
  <c r="CY101" i="1"/>
  <c r="X101" i="1" s="1"/>
  <c r="GM101" i="1" s="1"/>
  <c r="GO101" i="1" s="1"/>
  <c r="CZ101" i="1"/>
  <c r="Y101" i="1" s="1"/>
  <c r="GM99" i="1"/>
  <c r="GO99" i="1" s="1"/>
  <c r="EU22" i="1"/>
  <c r="P176" i="1"/>
  <c r="EU190" i="1"/>
  <c r="FY73" i="1"/>
  <c r="EP130" i="1"/>
  <c r="S84" i="1"/>
  <c r="Q84" i="1"/>
  <c r="T84" i="1"/>
  <c r="DY130" i="1" s="1"/>
  <c r="GX84" i="1"/>
  <c r="GB130" i="1" s="1"/>
  <c r="U84" i="1"/>
  <c r="DZ130" i="1" s="1"/>
  <c r="V84" i="1"/>
  <c r="Q92" i="1"/>
  <c r="CP92" i="1" s="1"/>
  <c r="O92" i="1" s="1"/>
  <c r="T92" i="1"/>
  <c r="CP121" i="1"/>
  <c r="O121" i="1" s="1"/>
  <c r="GM121" i="1" s="1"/>
  <c r="GO121" i="1" s="1"/>
  <c r="GM89" i="1"/>
  <c r="GO89" i="1" s="1"/>
  <c r="CY103" i="1"/>
  <c r="X103" i="1" s="1"/>
  <c r="CZ103" i="1"/>
  <c r="Y103" i="1" s="1"/>
  <c r="CZ83" i="1"/>
  <c r="Y83" i="1" s="1"/>
  <c r="CY83" i="1"/>
  <c r="X83" i="1" s="1"/>
  <c r="GX86" i="1"/>
  <c r="U119" i="1"/>
  <c r="AH130" i="1" s="1"/>
  <c r="DF7" i="3"/>
  <c r="DG7" i="3"/>
  <c r="DJ7" i="3" s="1"/>
  <c r="DH7" i="3"/>
  <c r="DI7" i="3"/>
  <c r="AE130" i="1"/>
  <c r="DF2" i="3"/>
  <c r="DG2" i="3"/>
  <c r="DJ2" i="3" s="1"/>
  <c r="DH2" i="3"/>
  <c r="DI2" i="3"/>
  <c r="CP29" i="1"/>
  <c r="O29" i="1" s="1"/>
  <c r="DU41" i="1"/>
  <c r="GX92" i="1"/>
  <c r="CY81" i="1"/>
  <c r="X81" i="1" s="1"/>
  <c r="GM90" i="1"/>
  <c r="GO90" i="1" s="1"/>
  <c r="CY80" i="1"/>
  <c r="X80" i="1" s="1"/>
  <c r="CZ80" i="1"/>
  <c r="Y80" i="1" s="1"/>
  <c r="DX130" i="1"/>
  <c r="GM100" i="1"/>
  <c r="GO100" i="1" s="1"/>
  <c r="EV22" i="1"/>
  <c r="P185" i="1"/>
  <c r="EV190" i="1"/>
  <c r="V82" i="1"/>
  <c r="CY102" i="1"/>
  <c r="X102" i="1" s="1"/>
  <c r="GM102" i="1" s="1"/>
  <c r="GO102" i="1" s="1"/>
  <c r="CZ102" i="1"/>
  <c r="Y102" i="1" s="1"/>
  <c r="CP124" i="1"/>
  <c r="O124" i="1" s="1"/>
  <c r="GM124" i="1" s="1"/>
  <c r="GO124" i="1" s="1"/>
  <c r="CY107" i="1"/>
  <c r="X107" i="1" s="1"/>
  <c r="CZ107" i="1"/>
  <c r="Y107" i="1" s="1"/>
  <c r="AK26" i="1" l="1"/>
  <c r="X41" i="1"/>
  <c r="DW73" i="1"/>
  <c r="DJ130" i="1"/>
  <c r="DZ73" i="1"/>
  <c r="DM130" i="1"/>
  <c r="DV73" i="1"/>
  <c r="DI130" i="1"/>
  <c r="EB73" i="1"/>
  <c r="DO130" i="1"/>
  <c r="ED26" i="1"/>
  <c r="DQ41" i="1"/>
  <c r="GB73" i="1"/>
  <c r="ES130" i="1"/>
  <c r="ES160" i="1" s="1"/>
  <c r="DY73" i="1"/>
  <c r="DL130" i="1"/>
  <c r="AD73" i="1"/>
  <c r="Q130" i="1"/>
  <c r="AC73" i="1"/>
  <c r="CF130" i="1"/>
  <c r="CE130" i="1"/>
  <c r="CH130" i="1"/>
  <c r="P130" i="1"/>
  <c r="EP73" i="1"/>
  <c r="P137" i="1"/>
  <c r="AO22" i="1"/>
  <c r="AO190" i="1"/>
  <c r="F164" i="1"/>
  <c r="EC26" i="1"/>
  <c r="DP41" i="1"/>
  <c r="GM81" i="1"/>
  <c r="GO81" i="1" s="1"/>
  <c r="GA73" i="1"/>
  <c r="ER130" i="1"/>
  <c r="EM22" i="1"/>
  <c r="P179" i="1"/>
  <c r="EM190" i="1"/>
  <c r="Q41" i="1"/>
  <c r="AD26" i="1"/>
  <c r="P61" i="1"/>
  <c r="ES26" i="1"/>
  <c r="GM103" i="1"/>
  <c r="GO103" i="1" s="1"/>
  <c r="AL26" i="1"/>
  <c r="Y41" i="1"/>
  <c r="F62" i="1"/>
  <c r="T26" i="1"/>
  <c r="GO28" i="1"/>
  <c r="CC41" i="1" s="1"/>
  <c r="GM110" i="1"/>
  <c r="GO110" i="1" s="1"/>
  <c r="P56" i="1"/>
  <c r="DK26" i="1"/>
  <c r="DK160" i="1"/>
  <c r="CE26" i="1"/>
  <c r="AV41" i="1"/>
  <c r="DW26" i="1"/>
  <c r="DJ41" i="1"/>
  <c r="CG73" i="1"/>
  <c r="AX130" i="1"/>
  <c r="CI73" i="1"/>
  <c r="AZ130" i="1"/>
  <c r="AS22" i="1"/>
  <c r="AS190" i="1"/>
  <c r="F177" i="1"/>
  <c r="T16" i="2" s="1"/>
  <c r="F61" i="1"/>
  <c r="BA26" i="1"/>
  <c r="BA160" i="1"/>
  <c r="EG22" i="1"/>
  <c r="P164" i="1"/>
  <c r="EG190" i="1"/>
  <c r="CF26" i="1"/>
  <c r="AW41" i="1"/>
  <c r="DN26" i="1"/>
  <c r="P64" i="1"/>
  <c r="GM75" i="1"/>
  <c r="AB130" i="1"/>
  <c r="W26" i="1"/>
  <c r="F65" i="1"/>
  <c r="W160" i="1"/>
  <c r="W73" i="1"/>
  <c r="F154" i="1"/>
  <c r="AH73" i="1"/>
  <c r="U130" i="1"/>
  <c r="U160" i="1" s="1"/>
  <c r="EH41" i="1"/>
  <c r="FQ26" i="1"/>
  <c r="GA41" i="1"/>
  <c r="F44" i="1"/>
  <c r="P26" i="1"/>
  <c r="P160" i="1"/>
  <c r="CP119" i="1"/>
  <c r="O119" i="1" s="1"/>
  <c r="CP82" i="1"/>
  <c r="O82" i="1" s="1"/>
  <c r="GM82" i="1" s="1"/>
  <c r="GO82" i="1" s="1"/>
  <c r="AF73" i="1"/>
  <c r="S130" i="1"/>
  <c r="CZ92" i="1"/>
  <c r="Y92" i="1" s="1"/>
  <c r="CY92" i="1"/>
  <c r="X92" i="1" s="1"/>
  <c r="GM92" i="1" s="1"/>
  <c r="GO92" i="1" s="1"/>
  <c r="CJ73" i="1"/>
  <c r="BA130" i="1"/>
  <c r="AI73" i="1"/>
  <c r="V130" i="1"/>
  <c r="CH26" i="1"/>
  <c r="AY41" i="1"/>
  <c r="DO26" i="1"/>
  <c r="P65" i="1"/>
  <c r="EP26" i="1"/>
  <c r="P48" i="1"/>
  <c r="EP160" i="1"/>
  <c r="F63" i="1"/>
  <c r="U26" i="1"/>
  <c r="GM30" i="1"/>
  <c r="CA41" i="1" s="1"/>
  <c r="F50" i="1"/>
  <c r="AP26" i="1"/>
  <c r="AP160" i="1"/>
  <c r="FW41" i="1"/>
  <c r="FX41" i="1"/>
  <c r="FZ41" i="1"/>
  <c r="DU26" i="1"/>
  <c r="DH41" i="1"/>
  <c r="AU22" i="1"/>
  <c r="F179" i="1"/>
  <c r="AU190" i="1"/>
  <c r="EA130" i="1"/>
  <c r="GM76" i="1"/>
  <c r="DT130" i="1"/>
  <c r="CY88" i="1"/>
  <c r="X88" i="1" s="1"/>
  <c r="GM88" i="1" s="1"/>
  <c r="GO88" i="1" s="1"/>
  <c r="CZ88" i="1"/>
  <c r="Y88" i="1" s="1"/>
  <c r="CZ119" i="1"/>
  <c r="Y119" i="1" s="1"/>
  <c r="AL130" i="1" s="1"/>
  <c r="CY119" i="1"/>
  <c r="X119" i="1" s="1"/>
  <c r="GM126" i="1"/>
  <c r="GO126" i="1" s="1"/>
  <c r="AK130" i="1"/>
  <c r="F55" i="1"/>
  <c r="R26" i="1"/>
  <c r="S41" i="1"/>
  <c r="AF26" i="1"/>
  <c r="GM128" i="1"/>
  <c r="GO128" i="1" s="1"/>
  <c r="AX26" i="1"/>
  <c r="F48" i="1"/>
  <c r="AX160" i="1"/>
  <c r="CI26" i="1"/>
  <c r="AZ41" i="1"/>
  <c r="DT41" i="1"/>
  <c r="GM29" i="1"/>
  <c r="EV18" i="1"/>
  <c r="P215" i="1"/>
  <c r="CY84" i="1"/>
  <c r="X84" i="1" s="1"/>
  <c r="EC130" i="1" s="1"/>
  <c r="CZ84" i="1"/>
  <c r="Y84" i="1" s="1"/>
  <c r="ED130" i="1" s="1"/>
  <c r="P63" i="1"/>
  <c r="DM26" i="1"/>
  <c r="DM160" i="1"/>
  <c r="EK22" i="1"/>
  <c r="EK190" i="1"/>
  <c r="P177" i="1"/>
  <c r="E16" i="2" s="1"/>
  <c r="CP84" i="1"/>
  <c r="O84" i="1" s="1"/>
  <c r="CZ86" i="1"/>
  <c r="Y86" i="1" s="1"/>
  <c r="CY86" i="1"/>
  <c r="X86" i="1" s="1"/>
  <c r="GM86" i="1" s="1"/>
  <c r="GO86" i="1" s="1"/>
  <c r="AQ73" i="1"/>
  <c r="F140" i="1"/>
  <c r="AQ160" i="1"/>
  <c r="DU130" i="1"/>
  <c r="DI26" i="1"/>
  <c r="P53" i="1"/>
  <c r="DI160" i="1"/>
  <c r="O41" i="1"/>
  <c r="AB26" i="1"/>
  <c r="BB22" i="1"/>
  <c r="F173" i="1"/>
  <c r="BB190" i="1"/>
  <c r="P62" i="1"/>
  <c r="DL26" i="1"/>
  <c r="DL160" i="1"/>
  <c r="DX73" i="1"/>
  <c r="DK130" i="1"/>
  <c r="AE73" i="1"/>
  <c r="R130" i="1"/>
  <c r="EU18" i="1"/>
  <c r="P206" i="1"/>
  <c r="EI73" i="1"/>
  <c r="EI160" i="1"/>
  <c r="P140" i="1"/>
  <c r="AG73" i="1"/>
  <c r="T130" i="1"/>
  <c r="ED73" i="1" l="1"/>
  <c r="DQ130" i="1"/>
  <c r="EC73" i="1"/>
  <c r="DP130" i="1"/>
  <c r="AR41" i="1"/>
  <c r="CA26" i="1"/>
  <c r="U22" i="1"/>
  <c r="U190" i="1"/>
  <c r="F182" i="1"/>
  <c r="AL73" i="1"/>
  <c r="Y130" i="1"/>
  <c r="ES22" i="1"/>
  <c r="P180" i="1"/>
  <c r="ES190" i="1"/>
  <c r="DU73" i="1"/>
  <c r="FW130" i="1"/>
  <c r="FX130" i="1"/>
  <c r="DH130" i="1"/>
  <c r="FZ130" i="1"/>
  <c r="DT73" i="1"/>
  <c r="DG130" i="1"/>
  <c r="AP22" i="1"/>
  <c r="AP190" i="1"/>
  <c r="F169" i="1"/>
  <c r="V16" i="2" s="1"/>
  <c r="P55" i="1"/>
  <c r="DJ26" i="1"/>
  <c r="DJ160" i="1"/>
  <c r="CH73" i="1"/>
  <c r="AY130" i="1"/>
  <c r="R73" i="1"/>
  <c r="F144" i="1"/>
  <c r="DL22" i="1"/>
  <c r="DL190" i="1"/>
  <c r="P181" i="1"/>
  <c r="AQ22" i="1"/>
  <c r="F170" i="1"/>
  <c r="AQ190" i="1"/>
  <c r="GO76" i="1"/>
  <c r="FU130" i="1" s="1"/>
  <c r="FS130" i="1"/>
  <c r="W22" i="1"/>
  <c r="F184" i="1"/>
  <c r="W190" i="1"/>
  <c r="ER73" i="1"/>
  <c r="P141" i="1"/>
  <c r="CE73" i="1"/>
  <c r="AV130" i="1"/>
  <c r="DO73" i="1"/>
  <c r="P154" i="1"/>
  <c r="F56" i="1"/>
  <c r="S26" i="1"/>
  <c r="S160" i="1"/>
  <c r="EA73" i="1"/>
  <c r="DN130" i="1"/>
  <c r="F49" i="1"/>
  <c r="AY26" i="1"/>
  <c r="AY160" i="1"/>
  <c r="GM119" i="1"/>
  <c r="GO119" i="1" s="1"/>
  <c r="BA22" i="1"/>
  <c r="BA190" i="1"/>
  <c r="F180" i="1"/>
  <c r="W16" i="2" s="1"/>
  <c r="AV26" i="1"/>
  <c r="F46" i="1"/>
  <c r="AV160" i="1"/>
  <c r="F68" i="1"/>
  <c r="Y26" i="1"/>
  <c r="CF73" i="1"/>
  <c r="AW130" i="1"/>
  <c r="AB73" i="1"/>
  <c r="O130" i="1"/>
  <c r="DK22" i="1"/>
  <c r="DK190" i="1"/>
  <c r="P175" i="1"/>
  <c r="P67" i="1"/>
  <c r="DP26" i="1"/>
  <c r="DP160" i="1"/>
  <c r="Q73" i="1"/>
  <c r="F142" i="1"/>
  <c r="EI22" i="1"/>
  <c r="P170" i="1"/>
  <c r="EI190" i="1"/>
  <c r="GO29" i="1"/>
  <c r="FU41" i="1" s="1"/>
  <c r="FS41" i="1"/>
  <c r="GO75" i="1"/>
  <c r="CC130" i="1" s="1"/>
  <c r="AK73" i="1"/>
  <c r="X130" i="1"/>
  <c r="P44" i="1"/>
  <c r="DH26" i="1"/>
  <c r="DH160" i="1"/>
  <c r="ER41" i="1"/>
  <c r="GA26" i="1"/>
  <c r="AS18" i="1"/>
  <c r="F207" i="1"/>
  <c r="DM73" i="1"/>
  <c r="P152" i="1"/>
  <c r="R160" i="1"/>
  <c r="P22" i="1"/>
  <c r="F163" i="1"/>
  <c r="P190" i="1"/>
  <c r="DI73" i="1"/>
  <c r="P142" i="1"/>
  <c r="DT26" i="1"/>
  <c r="DG41" i="1"/>
  <c r="AZ26" i="1"/>
  <c r="F52" i="1"/>
  <c r="AZ160" i="1"/>
  <c r="BA73" i="1"/>
  <c r="F150" i="1"/>
  <c r="AO18" i="1"/>
  <c r="F194" i="1"/>
  <c r="DL73" i="1"/>
  <c r="P151" i="1"/>
  <c r="T73" i="1"/>
  <c r="F151" i="1"/>
  <c r="AU18" i="1"/>
  <c r="F209" i="1"/>
  <c r="BB18" i="1"/>
  <c r="F203" i="1"/>
  <c r="V73" i="1"/>
  <c r="F153" i="1"/>
  <c r="V160" i="1"/>
  <c r="GM84" i="1"/>
  <c r="GO84" i="1" s="1"/>
  <c r="F43" i="1"/>
  <c r="O26" i="1"/>
  <c r="O160" i="1"/>
  <c r="EK18" i="1"/>
  <c r="P207" i="1"/>
  <c r="EQ41" i="1"/>
  <c r="FZ26" i="1"/>
  <c r="EP22" i="1"/>
  <c r="EP190" i="1"/>
  <c r="P167" i="1"/>
  <c r="P50" i="1"/>
  <c r="EH26" i="1"/>
  <c r="EH160" i="1"/>
  <c r="AZ73" i="1"/>
  <c r="F141" i="1"/>
  <c r="DJ73" i="1"/>
  <c r="P144" i="1"/>
  <c r="DI22" i="1"/>
  <c r="DI190" i="1"/>
  <c r="P172" i="1"/>
  <c r="AX22" i="1"/>
  <c r="F167" i="1"/>
  <c r="AX190" i="1"/>
  <c r="EO41" i="1"/>
  <c r="FX26" i="1"/>
  <c r="U73" i="1"/>
  <c r="F152" i="1"/>
  <c r="AW26" i="1"/>
  <c r="F47" i="1"/>
  <c r="AW160" i="1"/>
  <c r="AT41" i="1"/>
  <c r="CC26" i="1"/>
  <c r="Q26" i="1"/>
  <c r="F53" i="1"/>
  <c r="Q160" i="1"/>
  <c r="ES73" i="1"/>
  <c r="P150" i="1"/>
  <c r="DM22" i="1"/>
  <c r="P182" i="1"/>
  <c r="DM190" i="1"/>
  <c r="FW26" i="1"/>
  <c r="EN41" i="1"/>
  <c r="AX73" i="1"/>
  <c r="F137" i="1"/>
  <c r="EM18" i="1"/>
  <c r="P209" i="1"/>
  <c r="F67" i="1"/>
  <c r="X26" i="1"/>
  <c r="X160" i="1"/>
  <c r="DK73" i="1"/>
  <c r="P145" i="1"/>
  <c r="DO160" i="1"/>
  <c r="S73" i="1"/>
  <c r="F145" i="1"/>
  <c r="EG18" i="1"/>
  <c r="P194" i="1"/>
  <c r="T160" i="1"/>
  <c r="H16" i="2"/>
  <c r="P73" i="1"/>
  <c r="F133" i="1"/>
  <c r="DQ26" i="1"/>
  <c r="P68" i="1"/>
  <c r="DQ160" i="1"/>
  <c r="CC73" i="1" l="1"/>
  <c r="AT130" i="1"/>
  <c r="AT160" i="1" s="1"/>
  <c r="DK18" i="1"/>
  <c r="P205" i="1"/>
  <c r="FS73" i="1"/>
  <c r="EJ130" i="1"/>
  <c r="AW22" i="1"/>
  <c r="AW190" i="1"/>
  <c r="F166" i="1"/>
  <c r="EJ41" i="1"/>
  <c r="FS26" i="1"/>
  <c r="BA18" i="1"/>
  <c r="F210" i="1"/>
  <c r="AP18" i="1"/>
  <c r="F199" i="1"/>
  <c r="Y73" i="1"/>
  <c r="F157" i="1"/>
  <c r="DO22" i="1"/>
  <c r="DO190" i="1"/>
  <c r="P184" i="1"/>
  <c r="DM18" i="1"/>
  <c r="P212" i="1"/>
  <c r="EL41" i="1"/>
  <c r="FU26" i="1"/>
  <c r="O73" i="1"/>
  <c r="F132" i="1"/>
  <c r="AV73" i="1"/>
  <c r="F135" i="1"/>
  <c r="T22" i="1"/>
  <c r="F181" i="1"/>
  <c r="T190" i="1"/>
  <c r="R22" i="1"/>
  <c r="R190" i="1"/>
  <c r="F174" i="1"/>
  <c r="AZ22" i="1"/>
  <c r="F171" i="1"/>
  <c r="AZ190" i="1"/>
  <c r="EI18" i="1"/>
  <c r="P200" i="1"/>
  <c r="DG73" i="1"/>
  <c r="P132" i="1"/>
  <c r="AY22" i="1"/>
  <c r="F168" i="1"/>
  <c r="AY190" i="1"/>
  <c r="U18" i="1"/>
  <c r="F212" i="1"/>
  <c r="X22" i="1"/>
  <c r="X190" i="1"/>
  <c r="F186" i="1"/>
  <c r="EH22" i="1"/>
  <c r="EH190" i="1"/>
  <c r="P169" i="1"/>
  <c r="G16" i="2" s="1"/>
  <c r="DH22" i="1"/>
  <c r="P163" i="1"/>
  <c r="DH190" i="1"/>
  <c r="FZ73" i="1"/>
  <c r="EQ130" i="1"/>
  <c r="AV22" i="1"/>
  <c r="AV190" i="1"/>
  <c r="F165" i="1"/>
  <c r="P49" i="1"/>
  <c r="EQ26" i="1"/>
  <c r="O22" i="1"/>
  <c r="O190" i="1"/>
  <c r="F162" i="1"/>
  <c r="AW73" i="1"/>
  <c r="F136" i="1"/>
  <c r="Y160" i="1"/>
  <c r="W18" i="1"/>
  <c r="F214" i="1"/>
  <c r="DH73" i="1"/>
  <c r="P133" i="1"/>
  <c r="S22" i="1"/>
  <c r="F175" i="1"/>
  <c r="S190" i="1"/>
  <c r="EN26" i="1"/>
  <c r="P46" i="1"/>
  <c r="DL18" i="1"/>
  <c r="P211" i="1"/>
  <c r="ER26" i="1"/>
  <c r="P52" i="1"/>
  <c r="ER160" i="1"/>
  <c r="EO26" i="1"/>
  <c r="P47" i="1"/>
  <c r="Q22" i="1"/>
  <c r="Q190" i="1"/>
  <c r="F172" i="1"/>
  <c r="AX18" i="1"/>
  <c r="F197" i="1"/>
  <c r="P18" i="1"/>
  <c r="F193" i="1"/>
  <c r="DN73" i="1"/>
  <c r="P153" i="1"/>
  <c r="DN160" i="1"/>
  <c r="AY73" i="1"/>
  <c r="F138" i="1"/>
  <c r="FX73" i="1"/>
  <c r="EO130" i="1"/>
  <c r="F69" i="1"/>
  <c r="AR26" i="1"/>
  <c r="DJ22" i="1"/>
  <c r="DJ190" i="1"/>
  <c r="P174" i="1"/>
  <c r="J16" i="2" s="1"/>
  <c r="DQ22" i="1"/>
  <c r="P187" i="1"/>
  <c r="DQ190" i="1"/>
  <c r="P43" i="1"/>
  <c r="DG26" i="1"/>
  <c r="DG160" i="1"/>
  <c r="V22" i="1"/>
  <c r="V190" i="1"/>
  <c r="F183" i="1"/>
  <c r="X73" i="1"/>
  <c r="F156" i="1"/>
  <c r="DP22" i="1"/>
  <c r="DP190" i="1"/>
  <c r="P186" i="1"/>
  <c r="FW73" i="1"/>
  <c r="EN130" i="1"/>
  <c r="EN160" i="1" s="1"/>
  <c r="DP73" i="1"/>
  <c r="P156" i="1"/>
  <c r="EP18" i="1"/>
  <c r="P197" i="1"/>
  <c r="FU73" i="1"/>
  <c r="EL130" i="1"/>
  <c r="ES18" i="1"/>
  <c r="P210" i="1"/>
  <c r="DQ73" i="1"/>
  <c r="P157" i="1"/>
  <c r="AT26" i="1"/>
  <c r="F59" i="1"/>
  <c r="DI18" i="1"/>
  <c r="P202" i="1"/>
  <c r="CA130" i="1"/>
  <c r="AQ18" i="1"/>
  <c r="F200" i="1"/>
  <c r="EN22" i="1" l="1"/>
  <c r="EN190" i="1"/>
  <c r="P165" i="1"/>
  <c r="AT22" i="1"/>
  <c r="AT190" i="1"/>
  <c r="F178" i="1"/>
  <c r="U16" i="2" s="1"/>
  <c r="X16" i="2" s="1"/>
  <c r="AC16" i="2" s="1"/>
  <c r="ER22" i="1"/>
  <c r="ER190" i="1"/>
  <c r="P171" i="1"/>
  <c r="X18" i="1"/>
  <c r="F216" i="1"/>
  <c r="AV18" i="1"/>
  <c r="F195" i="1"/>
  <c r="EL26" i="1"/>
  <c r="P59" i="1"/>
  <c r="EL160" i="1"/>
  <c r="P69" i="1"/>
  <c r="EJ26" i="1"/>
  <c r="EJ160" i="1"/>
  <c r="Y22" i="1"/>
  <c r="F187" i="1"/>
  <c r="Y190" i="1"/>
  <c r="EQ73" i="1"/>
  <c r="P138" i="1"/>
  <c r="R18" i="1"/>
  <c r="F204" i="1"/>
  <c r="CA73" i="1"/>
  <c r="AR130" i="1"/>
  <c r="V18" i="1"/>
  <c r="F213" i="1"/>
  <c r="DH18" i="1"/>
  <c r="P193" i="1"/>
  <c r="T18" i="1"/>
  <c r="F211" i="1"/>
  <c r="DO18" i="1"/>
  <c r="P214" i="1"/>
  <c r="DP18" i="1"/>
  <c r="P216" i="1"/>
  <c r="DJ18" i="1"/>
  <c r="P204" i="1"/>
  <c r="AY18" i="1"/>
  <c r="F198" i="1"/>
  <c r="EJ73" i="1"/>
  <c r="P158" i="1"/>
  <c r="EL73" i="1"/>
  <c r="P148" i="1"/>
  <c r="DG22" i="1"/>
  <c r="DG190" i="1"/>
  <c r="P162" i="1"/>
  <c r="EO73" i="1"/>
  <c r="P136" i="1"/>
  <c r="Q18" i="1"/>
  <c r="F202" i="1"/>
  <c r="O18" i="1"/>
  <c r="F192" i="1"/>
  <c r="S18" i="1"/>
  <c r="F205" i="1"/>
  <c r="AW18" i="1"/>
  <c r="F196" i="1"/>
  <c r="EN73" i="1"/>
  <c r="P135" i="1"/>
  <c r="EO160" i="1"/>
  <c r="Y16" i="2"/>
  <c r="EQ160" i="1"/>
  <c r="EH18" i="1"/>
  <c r="P199" i="1"/>
  <c r="DQ18" i="1"/>
  <c r="P217" i="1"/>
  <c r="AT73" i="1"/>
  <c r="F148" i="1"/>
  <c r="DN22" i="1"/>
  <c r="P183" i="1"/>
  <c r="DN190" i="1"/>
  <c r="AZ18" i="1"/>
  <c r="F201" i="1"/>
  <c r="ER18" i="1" l="1"/>
  <c r="P201" i="1"/>
  <c r="AT18" i="1"/>
  <c r="F208" i="1"/>
  <c r="Y18" i="1"/>
  <c r="F217" i="1"/>
  <c r="AR73" i="1"/>
  <c r="F158" i="1"/>
  <c r="AR160" i="1"/>
  <c r="EL22" i="1"/>
  <c r="EL190" i="1"/>
  <c r="P178" i="1"/>
  <c r="F16" i="2" s="1"/>
  <c r="I16" i="2" s="1"/>
  <c r="N16" i="2" s="1"/>
  <c r="EQ22" i="1"/>
  <c r="EQ190" i="1"/>
  <c r="P168" i="1"/>
  <c r="EO22" i="1"/>
  <c r="P166" i="1"/>
  <c r="EO190" i="1"/>
  <c r="EN18" i="1"/>
  <c r="P195" i="1"/>
  <c r="DG18" i="1"/>
  <c r="P192" i="1"/>
  <c r="EJ22" i="1"/>
  <c r="P188" i="1"/>
  <c r="EJ190" i="1"/>
  <c r="DN18" i="1"/>
  <c r="P213" i="1"/>
  <c r="AR22" i="1" l="1"/>
  <c r="F188" i="1"/>
  <c r="AR190" i="1"/>
  <c r="EL18" i="1"/>
  <c r="P208" i="1"/>
  <c r="EO18" i="1"/>
  <c r="P196" i="1"/>
  <c r="EQ18" i="1"/>
  <c r="P198" i="1"/>
  <c r="EJ18" i="1"/>
  <c r="P218" i="1"/>
  <c r="AR18" i="1" l="1"/>
  <c r="F218" i="1"/>
</calcChain>
</file>

<file path=xl/sharedStrings.xml><?xml version="1.0" encoding="utf-8"?>
<sst xmlns="http://schemas.openxmlformats.org/spreadsheetml/2006/main" count="4831" uniqueCount="385">
  <si>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</si>
  <si>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</si>
  <si>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</si>
  <si>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</si>
  <si>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</t>
  </si>
  <si>
    <t>02-01-11</t>
  </si>
  <si>
    <t>02-01-11 СКТ</t>
  </si>
  <si>
    <t>2024-00272-01-0-ИОС5.4</t>
  </si>
  <si>
    <t>Лукьянова А.Л.</t>
  </si>
  <si>
    <t>Сметные нормы списания</t>
  </si>
  <si>
    <t>Коды ОКП для ТСН-2001 МГЭ Дополнение 80</t>
  </si>
  <si>
    <t>ТСН-2001 (МГЭ) Доп 80 - Новое строительство</t>
  </si>
  <si>
    <t>Типовой расчет для ТСН-2001 МГЭ, Дополнение 80, строительство</t>
  </si>
  <si>
    <t>Территориальные сметные нормативы для Москвы ТСН-2001 (МГЭ), дополнение 80</t>
  </si>
  <si>
    <t>Поправки для ТСН-2001 от 03.02.2026 г. доп.80</t>
  </si>
  <si>
    <t>Территориальные сметные нормативы для Москвы (ТСН-2001)</t>
  </si>
  <si>
    <t>ТЕР</t>
  </si>
  <si>
    <t>Система кабельного телевидения</t>
  </si>
  <si>
    <t>Оборудование</t>
  </si>
  <si>
    <t>1</t>
  </si>
  <si>
    <t>4.10-136-5</t>
  </si>
  <si>
    <t>Разные устройства, монтаж базового блока головной станции настенного типа</t>
  </si>
  <si>
    <t>1  ШТ.</t>
  </si>
  <si>
    <t>ТСН-2001.4. Доп. 1-42. Сб. 10, т. 136, поз. 5</t>
  </si>
  <si>
    <t>*1,1</t>
  </si>
  <si>
    <t>Монтаж оборудования</t>
  </si>
  <si>
    <t>ТСН-2001.4-10. Монтаж радиотелевизионного и электронного оборудования</t>
  </si>
  <si>
    <t>ТСН-2001.4-10-2</t>
  </si>
  <si>
    <t>Поправка: Гл.12.Прил.8.п.8. 5_12.00.01.11.003</t>
  </si>
  <si>
    <t>1,1</t>
  </si>
  <si>
    <t>КА 1</t>
  </si>
  <si>
    <t>Головная станция СКТ "Мини-ГС" на базе оборудования VS50 Pro в шкафу с блоком розеток и автоматом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</si>
  <si>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</si>
  <si>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</si>
  <si>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</si>
  <si>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</si>
  <si>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[77 500 / 1,2 /  7,66] +  3% Трансп +  1,2% Заг.скл</t>
  </si>
  <si>
    <t>3</t>
  </si>
  <si>
    <t>1,2</t>
  </si>
  <si>
    <t>2</t>
  </si>
  <si>
    <t>4.11-2-1</t>
  </si>
  <si>
    <t>Установка прибора на резьбовых соединениях</t>
  </si>
  <si>
    <t>ТСН-2001.4 Доп. 67, Сб. 11, т. 2, поз. 1</t>
  </si>
  <si>
    <t>ТСН-2001.4-11. Приборы и средства автоматизации и вычислительной техники</t>
  </si>
  <si>
    <t>ТСН-2001.4-11-1</t>
  </si>
  <si>
    <t>2,1</t>
  </si>
  <si>
    <t>1.14-1-551</t>
  </si>
  <si>
    <t>Ответвитель направленный, абонентский, типа ОАТ 410</t>
  </si>
  <si>
    <t>ТСН-2001.1 Доп. 73, Р. 14, о. 1, поз. 551</t>
  </si>
  <si>
    <t>2,2</t>
  </si>
  <si>
    <t>1.14-1-552</t>
  </si>
  <si>
    <t>Ответвитель направленный, абонентский, типа ОАТ 412</t>
  </si>
  <si>
    <t>ТСН-2001.1 Доп. 73, Р. 14, о. 1, поз. 552</t>
  </si>
  <si>
    <t>2,3</t>
  </si>
  <si>
    <t>1.14-1-553</t>
  </si>
  <si>
    <t>Ответвитель направленный, абонентский, типа ОАТ 416</t>
  </si>
  <si>
    <t>ТСН-2001.1 Доп. 73, Р. 14, о. 1, поз. 553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</si>
  <si>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</si>
  <si>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</si>
  <si>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</si>
  <si>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</si>
  <si>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</si>
  <si>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</si>
  <si>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</si>
  <si>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</si>
  <si>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</si>
  <si>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</si>
  <si>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</si>
  <si>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</si>
  <si>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</si>
  <si>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</si>
  <si>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</si>
  <si>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</si>
  <si>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</si>
  <si>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</si>
  <si>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</si>
  <si>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</si>
  <si>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</si>
  <si>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</si>
  <si>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</si>
  <si>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</si>
  <si>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</si>
  <si>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</si>
  <si>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</si>
  <si>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</si>
  <si>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</si>
  <si>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</si>
  <si>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</si>
  <si>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</si>
  <si>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</si>
  <si>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</si>
  <si>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</si>
  <si>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</si>
  <si>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</si>
  <si>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</si>
  <si>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</si>
  <si>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</si>
  <si>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</si>
  <si>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</si>
  <si>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</si>
  <si>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</si>
  <si>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</si>
  <si>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</si>
  <si>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</si>
  <si>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</si>
  <si>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</si>
  <si>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</si>
  <si>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</si>
  <si>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</si>
  <si>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</si>
  <si>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</si>
  <si>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Материалы</t>
  </si>
  <si>
    <t>4.8-243-11</t>
  </si>
  <si>
    <t>Монтаж розетки штепсельной трехполюсной</t>
  </si>
  <si>
    <t>100 шт.</t>
  </si>
  <si>
    <t>ТСН-2001.4 Доп. 79, Сб. 8, т. 243, поз. 11</t>
  </si>
  <si>
    <t>ТСН-2001.4-8. Электротехнические установки</t>
  </si>
  <si>
    <t>ТСН-2001.4-8-1</t>
  </si>
  <si>
    <t>3,1</t>
  </si>
  <si>
    <t>1.14-1-199</t>
  </si>
  <si>
    <t>ТСН-2001.1 Доп. 67, Р. 14, о. 1, поз. 199</t>
  </si>
  <si>
    <t>4</t>
  </si>
  <si>
    <t>4.10-186-5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</si>
  <si>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</si>
  <si>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100 м</t>
  </si>
  <si>
    <t>ТСН-2001.4 Доп. 79, Сб. 10, т. 186, поз. 5</t>
  </si>
  <si>
    <t>ТСН-2001.4-10. Прокладка и монтаж сетей связи</t>
  </si>
  <si>
    <t>ТСН-2001.4-10-1</t>
  </si>
  <si>
    <t>4,1</t>
  </si>
  <si>
    <t>1.12-5-372</t>
  </si>
  <si>
    <t>Трубы электротехнические, гофрированные, из ПВХ, негорючие, с зондом, наружный диаметр 20 мм</t>
  </si>
  <si>
    <t>м</t>
  </si>
  <si>
    <t>ТСН-2001.1 Доп. 67, Р. 12, о. 5, поз. 372</t>
  </si>
  <si>
    <t>4,2</t>
  </si>
  <si>
    <t>1.21-5-896</t>
  </si>
  <si>
    <t>Коробка установочная, для скрытой проводки, из полистирола, диаметр 65 мм, высота 40 мм, без саморезов</t>
  </si>
  <si>
    <t>ТСН-2001.1 Доп. 73, Р. 21, о. 5, поз. 896</t>
  </si>
  <si>
    <t>4,3</t>
  </si>
  <si>
    <t>1.21-5-1136</t>
  </si>
  <si>
    <t>Держатель пластиковый с защелкой для крепления труб, рукавов и гибких вводов диаметром 20 мм</t>
  </si>
  <si>
    <t>ТСН-2001.1 Доп. 73, Р. 21, о. 5, поз. 1136</t>
  </si>
  <si>
    <t>4,4</t>
  </si>
  <si>
    <t>КА 2</t>
  </si>
  <si>
    <t>Кабель коаксиальный РК 75-4,8-319нг(А)-LSLTx</t>
  </si>
  <si>
    <t>км</t>
  </si>
  <si>
    <t>[160 560 / 1,2 /  9,88] +  2% Заг.скл</t>
  </si>
  <si>
    <t>0</t>
  </si>
  <si>
    <t>4,5</t>
  </si>
  <si>
    <t>КА 3</t>
  </si>
  <si>
    <t>Кабель коаксиальный РК 75-7-327нг(А)-LSLTx</t>
  </si>
  <si>
    <t>[258 980 / 1,2 /  9,88] +  2% Заг.скл</t>
  </si>
  <si>
    <t>4,6</t>
  </si>
  <si>
    <t>1.14-1-281</t>
  </si>
  <si>
    <t>Разъем телевизионный F для коаксиального кабеля стандарта RG11</t>
  </si>
  <si>
    <t>ТСН-2001.1 Доп. 67, Р. 14, о. 1, поз. 281</t>
  </si>
  <si>
    <t>4,7</t>
  </si>
  <si>
    <t>1.14-1-280</t>
  </si>
  <si>
    <t>Разъем телевизионный F для коаксиального кабеля стандарта RG6</t>
  </si>
  <si>
    <t>ТСН-2001.1 Доп. 67, Р. 14, о. 1, поз. 280</t>
  </si>
  <si>
    <t>4.8-175-2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</si>
  <si>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6 мм2</t>
  </si>
  <si>
    <t>ТСН-2001.4 Доп. 79, Сб. 8, т. 175, поз. 2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</si>
  <si>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</si>
  <si>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8-175-1 и 8-175-2)</t>
  </si>
  <si>
    <t>ТСН-2001.4 Доп. 80, Сб. 8, т. 175, поз. 9</t>
  </si>
  <si>
    <t>5</t>
  </si>
  <si>
    <t>4.10-134-4</t>
  </si>
  <si>
    <t>Антенные устройства, монтаж антенны коллективной для приема ТВ на антенной опоре высотой до 6 м без оттяжек на кровле с ранее оборудованными трубостойками</t>
  </si>
  <si>
    <t>1 антенна</t>
  </si>
  <si>
    <t>ТСН-2001.4. Доп. 1-42. Сб. 10, т. 134, поз. 4</t>
  </si>
  <si>
    <t>5,1</t>
  </si>
  <si>
    <t>КА 4</t>
  </si>
  <si>
    <t>Антенна ДМВ диапазона EB45LTE</t>
  </si>
  <si>
    <t>[5 500 / 1,2 /  9,88] +  2% Заг.скл</t>
  </si>
  <si>
    <t>6</t>
  </si>
  <si>
    <t>4.10-136-1</t>
  </si>
  <si>
    <t>Разные устройства, монтаж коробки телевизионной (ответвители, разветвители магистральные, домовые, абонентские), УСС, БФТК</t>
  </si>
  <si>
    <t>ТСН-2001.4. Доп. 1-42. Сб. 10, т. 136, поз. 1</t>
  </si>
  <si>
    <t>6,1</t>
  </si>
  <si>
    <t>КА 5</t>
  </si>
  <si>
    <t>Грозозащита 75 Ом ОВР</t>
  </si>
  <si>
    <t>[6 081 / 1,2 /  9,88] +  2% Заг.скл</t>
  </si>
  <si>
    <t>7</t>
  </si>
  <si>
    <t>4.8-174-1</t>
  </si>
  <si>
    <t>Прокладка металлического рукава, наружный диаметр до 48 мм</t>
  </si>
  <si>
    <t>ТСН-2001.4 Доп. 80, Сб. 8, т. 174, поз. 1</t>
  </si>
  <si>
    <t>7,1</t>
  </si>
  <si>
    <t>1.21-5-442</t>
  </si>
  <si>
    <t>Рукав металлический из алюминиевой ленты, негерметичный, уплотненный хлопчатобумажной нитью, для защиты кабеля от механических повреждений, номинальный диаметр 22 мм</t>
  </si>
  <si>
    <t>ТСН-2001.1 Доп. 67, Р. 21, о. 5, поз. 442</t>
  </si>
  <si>
    <t>4.8-288-3</t>
  </si>
  <si>
    <t>Трубы гофрированные поливинилхлоридные наружным диаметром 25 мм открыто по стенам и потолкам с установкой соединительных коробок</t>
  </si>
  <si>
    <t>ТСН-2001.4 Доп. 54, Сб. 8, т. 288, поз. 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</si>
  <si>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</si>
  <si>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</si>
  <si>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</si>
  <si>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</si>
  <si>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</si>
  <si>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</si>
  <si>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</si>
  <si>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</si>
  <si>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</si>
  <si>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</si>
  <si>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</si>
  <si>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</si>
  <si>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</si>
  <si>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</si>
  <si>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</si>
  <si>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</si>
  <si>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</si>
  <si>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</si>
  <si>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</si>
  <si>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</si>
  <si>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</si>
  <si>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</si>
  <si>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</si>
  <si>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</si>
  <si>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</si>
  <si>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</si>
  <si>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1.1-1-1092</t>
  </si>
  <si>
    <t>ТСН-2001.1 Доп. 79, Р. 1, о. 1, поз. 1092</t>
  </si>
  <si>
    <t>Полоса из стали углеродистой обыкновенного качества, спокойной</t>
  </si>
  <si>
    <t>т</t>
  </si>
  <si>
    <t>1.1-1-237</t>
  </si>
  <si>
    <t>ТСН-2001.1 Доп. 67, Р. 1, о. 1, поз. 237</t>
  </si>
  <si>
    <t>Дюбель с патроном</t>
  </si>
  <si>
    <t>1.18-7-1</t>
  </si>
  <si>
    <t>ТСН-2001.1 Доп. 79, Р. 18, о. 7, поз. 1</t>
  </si>
  <si>
    <t>Прокладка паронитовая, уплотнительная, толщина от 0,5 до 2,5 мм</t>
  </si>
  <si>
    <t>кг</t>
  </si>
  <si>
    <t>4200000000</t>
  </si>
  <si>
    <t>Приборы, устанавливаемые на резьбовых соединениях</t>
  </si>
  <si>
    <t>9999990002</t>
  </si>
  <si>
    <t>Масса оборудования</t>
  </si>
  <si>
    <t>3464400000</t>
  </si>
  <si>
    <t>Розетки штепсельные трехполюсные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</si>
  <si>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</si>
  <si>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</si>
  <si>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</si>
  <si>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</si>
  <si>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</si>
  <si>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</si>
  <si>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1.1-1-2494</t>
  </si>
  <si>
    <t>ТСН-2001.1 Доп. 79, Р. 1, о. 1, поз. 2494</t>
  </si>
  <si>
    <t>Шурупы-саморезы, диаметр 3,5 мм, длина 45 мм</t>
  </si>
  <si>
    <t>1.1-1-3693</t>
  </si>
  <si>
    <t>ТСН-2001.1 Доп. 80, Р. 1, о. 1, поз. 3693</t>
  </si>
  <si>
    <t>Дюбель распорный пластмассовый, диаметр 6 мм, длина 40 мм</t>
  </si>
  <si>
    <t>1.21-5-1180</t>
  </si>
  <si>
    <t>ТСН-2001.1 Доп. 79, Р. 21, о. 5, поз. 1180</t>
  </si>
  <si>
    <t>Бирка маркировочная для кабелей и проводов, типа У134 У3,5</t>
  </si>
  <si>
    <t>1000 шт.</t>
  </si>
  <si>
    <t>1.21-5-926</t>
  </si>
  <si>
    <t>ТСН-2001.1 Доп. 67, Р. 21, о. 5, поз. 926</t>
  </si>
  <si>
    <t>Хомут (стяжка) кабельный из полиамида, размеры 3,6х200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</si>
  <si>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</si>
  <si>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</si>
  <si>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</si>
  <si>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2248200000</t>
  </si>
  <si>
    <t>Трубы электротехнические гофрированные (2248100000)</t>
  </si>
  <si>
    <t>3449651000</t>
  </si>
  <si>
    <t>Держатели пластиковые для крепления труб</t>
  </si>
  <si>
    <t>3574100000</t>
  </si>
  <si>
    <t>Кабели связи симметричные (3573110000)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</si>
  <si>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</si>
  <si>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</si>
  <si>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</si>
  <si>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</si>
  <si>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</si>
  <si>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</si>
  <si>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1.1-1-1723</t>
  </si>
  <si>
    <t>ТСН-2001.1 Доп. 79, Р. 1, о. 1, поз. 1723</t>
  </si>
  <si>
    <t>Лента изоляционная, прорезиненная, односторонняя</t>
  </si>
  <si>
    <t>1.21-5-1544</t>
  </si>
  <si>
    <t>ТСН-2001.1 Доп. 65, Р. 21, о. 5, поз. 1544</t>
  </si>
  <si>
    <t>Гильзы кабельные медные типа ГМ 6</t>
  </si>
  <si>
    <t>1.21-5-1555</t>
  </si>
  <si>
    <t>ТСН-2001.1 Доп. 79, Р. 21, о. 5, поз. 1555</t>
  </si>
  <si>
    <t>Втулка трубная, полипропиленовая, диаметр 22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</si>
  <si>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</si>
  <si>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</si>
  <si>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</si>
  <si>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1.21-5-758</t>
  </si>
  <si>
    <t>ТСН-2001.1 Доп. 79, Р. 21, о. 5, поз. 758</t>
  </si>
  <si>
    <t>Зажим соединительно-изолирующий, типа СИЗ-3</t>
  </si>
  <si>
    <t>3500000000</t>
  </si>
  <si>
    <t>Провода (марка и сечение по проекту)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</si>
  <si>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</si>
  <si>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</si>
  <si>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</si>
  <si>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1.1-1-1669</t>
  </si>
  <si>
    <t>ТСН-2001.1 Доп. 79, Р. 1, о. 1, поз. 1669</t>
  </si>
  <si>
    <t>Электроды, типа Э-42А, диаметр от 4 до 6 мм</t>
  </si>
  <si>
    <t>1.1-1-2381</t>
  </si>
  <si>
    <t>ТСН-2001.1 Доп. 79, Р. 1, о. 1, поз. 2381</t>
  </si>
  <si>
    <t>Винты с полукруглой головкой, М6х10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</si>
  <si>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</si>
  <si>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</si>
  <si>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</si>
  <si>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1.21-5-1655</t>
  </si>
  <si>
    <t>ТСН-2001.1 Доп. 67, Р. 21, о. 5, поз. 1655</t>
  </si>
  <si>
    <t>Перемычка гибкая, типа ПГС 50-280</t>
  </si>
  <si>
    <t>1.21-5-873</t>
  </si>
  <si>
    <t>ТСН-2001.1 Доп. 79, Р. 21, о. 5, поз. 873</t>
  </si>
  <si>
    <t>Скоба двухлапковая стальная оцинкованная, для кабелей диаметром от 48 до 50 мм</t>
  </si>
  <si>
    <t>3449650000</t>
  </si>
  <si>
    <t>Рукава металлические (2559370000, 3148630000, 4833852000)</t>
  </si>
  <si>
    <t>Муфты соединительные для металлорукавов (2559370000)</t>
  </si>
  <si>
    <t>Патрубки (2248208000)</t>
  </si>
  <si>
    <t>3449652000</t>
  </si>
  <si>
    <t>Втулки изолирующие</t>
  </si>
  <si>
    <t>3464740000</t>
  </si>
  <si>
    <t>Коробки для соединения проводов (3434200000)</t>
  </si>
  <si>
    <t>Трубы поливинилхлоридные гофрированные</t>
  </si>
  <si>
    <t>3434200000</t>
  </si>
  <si>
    <t>Коробки соединительные</t>
  </si>
  <si>
    <t>Держатели пластиковые для труб</t>
  </si>
  <si>
    <t>Розетка телевизионная, скрытой установки, раздельная, двухместная, "штырь" и "гнездо", конечная, затухание 4 дБ, возвратные потери от 12 до 18 дБ, диапазон частот от 5 до 2400 МГц, степень защиты IP20, с безвинтовыми зажимами для радиочастотного коаксиального кабеля с диаметром внутреннего проводника от 0,58 до 1,15 мм и диаметром по изоляции от 3,7 до 5,8 мм, механизм с литой цинковой крепежной рамой, без декоративной крышки, размер не более 71х71х22 мм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</si>
  <si>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</si>
  <si>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</si>
  <si>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</si>
  <si>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</si>
  <si>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</si>
  <si>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</si>
  <si>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</si>
  <si>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</si>
  <si>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</si>
  <si>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</si>
  <si>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</si>
  <si>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</si>
  <si>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</si>
  <si>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</si>
  <si>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</si>
  <si>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</si>
  <si>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</si>
  <si>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</si>
  <si>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</si>
  <si>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</si>
  <si>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</si>
  <si>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</si>
  <si>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этап. 02-01-11 СКТ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</si>
  <si>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</si>
  <si>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</si>
  <si>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</si>
  <si>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r>
      <t>4.10-136-5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</si>
  <si>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ЗП</t>
  </si>
  <si>
    <t>МР</t>
  </si>
  <si>
    <r>
      <t>ОБОРУДОВАНИЕ:_x000D_
Головная станция СКТ "Мини-ГС" на базе оборудования VS50 Pro в шкафу с блоком розеток и автоматом</t>
    </r>
    <r>
      <rPr>
        <i/>
        <sz val="10"/>
        <color rgb="FF821E82"/>
        <rFont val="Arial"/>
        <family val="2"/>
        <charset val="204"/>
      </rPr>
      <t xml:space="preserve">
8 788,39 = [77 500 / 1,2 /  7,66] +  3% Трансп +  1,2% Заг.скл</t>
    </r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</si>
  <si>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</si>
  <si>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</si>
  <si>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</si>
  <si>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</si>
  <si>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</si>
  <si>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</si>
  <si>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</si>
  <si>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</si>
  <si>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4.11-2-1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</si>
  <si>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 xml:space="preserve">   Итого по ТСН-2001.16</t>
  </si>
  <si>
    <t xml:space="preserve">   Итого возвратных сумм</t>
  </si>
  <si>
    <r>
      <t>4.8-243-11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</si>
  <si>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>ЭМ</t>
  </si>
  <si>
    <t>в т.ч. ЗПМ</t>
  </si>
  <si>
    <r>
      <t>4.10-186-5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</si>
  <si>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Кабель коаксиальный РК 75-4,8-319нг(А)-LSLTx</t>
    </r>
    <r>
      <rPr>
        <i/>
        <sz val="10"/>
        <rFont val="Arial"/>
        <family val="2"/>
        <charset val="204"/>
      </rPr>
      <t xml:space="preserve">
13 813,36 = [160 560 / 1,2 /  9,88] +  2% Заг.скл</t>
    </r>
  </si>
  <si>
    <r>
      <t>Кабель коаксиальный РК 75-7-327нг(А)-LSLTx</t>
    </r>
    <r>
      <rPr>
        <i/>
        <sz val="10"/>
        <rFont val="Arial"/>
        <family val="2"/>
        <charset val="204"/>
      </rPr>
      <t xml:space="preserve">
22 280,67 = [258 980 / 1,2 /  9,88] +  2% Заг.скл</t>
    </r>
  </si>
  <si>
    <r>
      <t>4.10-134-4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</si>
  <si>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Антенна ДМВ диапазона EB45LTE</t>
    </r>
    <r>
      <rPr>
        <i/>
        <sz val="10"/>
        <rFont val="Arial"/>
        <family val="2"/>
        <charset val="204"/>
      </rPr>
      <t xml:space="preserve">
473,18 = [5 500 / 1,2 /  9,88] +  2% Заг.скл</t>
    </r>
  </si>
  <si>
    <r>
      <t>4.10-136-1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</si>
  <si>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r>
      <t>Грозозащита 75 Ом ОВР</t>
    </r>
    <r>
      <rPr>
        <i/>
        <sz val="10"/>
        <rFont val="Arial"/>
        <family val="2"/>
        <charset val="204"/>
      </rPr>
      <t xml:space="preserve">
523,16 = [6 081 / 1,2 /  9,88] +  2% Заг.скл</t>
    </r>
  </si>
  <si>
    <r>
      <t>4.8-174-1</t>
    </r>
    <r>
      <rPr>
        <i/>
        <sz val="10"/>
        <rFont val="Arial"/>
        <family val="2"/>
        <charset val="204"/>
      </rPr>
      <t xml:space="preserve">
Поправка: Гл.12.Прил.8.п.8. 5_12.00.01.11.003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</si>
  <si>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</si>
  <si>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</si>
  <si>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</si>
  <si>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</si>
  <si>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"УТВЕРЖДАЮ"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</si>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</sst>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3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/>
    </xf>
    <xf numFmtId="164" fontId="20" fillId="0" borderId="0" xfId="0" applyNumberFormat="1" applyFont="1" applyAlignment="1">
      <alignment horizontal="right" vertical="top"/>
    </xf>
    <xf numFmtId="0" fontId="20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2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6" fillId="0" borderId="0" xfId="0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43"/>
  <sheetViews>
    <sheetView tabSelected="1" zoomScaleNormal="100" workbookViewId="0">
      <selection activeCell="K7" sqref="K7"/>
    </sheetView>
  </sheetViews>
  <sheetFormatPr defaultRowHeight="12.45" x14ac:dyDescent="0.3"/>
  <cols>
    <col min="1" max="1" width="5.69140625" customWidth="1"/>
    <col min="2" max="2" width="11.69140625" customWidth="1"/>
    <col min="3" max="3" width="40.69140625" customWidth="1"/>
    <col min="4" max="4" width="11.69140625" customWidth="1"/>
    <col min="5" max="5" width="7.61328125" bestFit="1" customWidth="1"/>
    <col min="6" max="11" width="11.3046875" customWidth="1"/>
    <col min="15" max="41" width="0" hidden="1" customWidth="1"/>
    <col min="42" max="42" width="130.4609375" hidden="1" customWidth="1"/>
    <col min="43" max="47" width="0" hidden="1" customWidth="1"/>
  </cols>
  <sheetData>
    <row r="1" spans="1:42" x14ac:dyDescent="0.3">
      <c r="A1" s="10" t="str">
        <f>Source!B1</f>
        <v>Smeta.RU  (495) 974-1589</v>
      </c>
    </row>
    <row r="2" spans="1:42" ht="14.15" x14ac:dyDescent="0.35">
      <c r="A2" s="11"/>
      <c r="B2" s="11"/>
      <c r="C2" s="11"/>
      <c r="D2" s="11"/>
      <c r="E2" s="11"/>
      <c r="F2" s="11"/>
      <c r="G2" s="11"/>
      <c r="H2" s="11"/>
      <c r="I2" s="11"/>
      <c r="J2" s="31" t="s">
        <v>339</v>
      </c>
      <c r="K2" s="31"/>
    </row>
    <row r="3" spans="1:42" ht="30.9" x14ac:dyDescent="0.4">
      <c r="A3" s="12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2"/>
      <c r="AP3" s="32" t="s">
        <v>340</v>
      </c>
    </row>
    <row r="4" spans="1:42" x14ac:dyDescent="0.3">
      <c r="A4" s="13" t="s">
        <v>318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42" ht="14.15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45" x14ac:dyDescent="0.4">
      <c r="A6" s="12" t="str">
        <f>CONCATENATE( "ЛОКАЛЬНАЯ СМЕТА № ",IF(Source!F20&lt;&gt;"Новая локальная смета", Source!F20, ""))</f>
        <v>ЛОКАЛЬНАЯ СМЕТА № 02-01-11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42" ht="14.15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7.600000000000001" x14ac:dyDescent="0.4">
      <c r="A8" s="15" t="str">
        <f>IF(Source!G20&lt;&gt;"Новая локальная смета", Source!G20, "")</f>
        <v>Система кабельного телевидения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42" x14ac:dyDescent="0.3">
      <c r="A9" s="16" t="s">
        <v>319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14.15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15" x14ac:dyDescent="0.35">
      <c r="A11" s="18" t="str">
        <f>CONCATENATE( "Основание: чертежи № ", Source!J20)</f>
        <v>Основание: чертежи № 2024-00272-01-0-ИОС5.4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42" ht="14.15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42" ht="70.75" x14ac:dyDescent="0.35">
      <c r="A13" s="11"/>
      <c r="B13" s="11"/>
      <c r="C13" s="11"/>
      <c r="D13" s="11"/>
      <c r="E13" s="11"/>
      <c r="F13" s="11"/>
      <c r="G13" s="11"/>
      <c r="H13" s="11"/>
      <c r="I13" s="20" t="s">
        <v>320</v>
      </c>
      <c r="J13" s="20" t="s">
        <v>321</v>
      </c>
      <c r="K13" s="11"/>
    </row>
    <row r="14" spans="1:42" ht="14.15" x14ac:dyDescent="0.35">
      <c r="A14" s="11"/>
      <c r="B14" s="11"/>
      <c r="C14" s="11"/>
      <c r="D14" s="11"/>
      <c r="E14" s="21" t="s">
        <v>322</v>
      </c>
      <c r="F14" s="21"/>
      <c r="G14" s="21"/>
      <c r="H14" s="21"/>
      <c r="I14" s="22">
        <f>I15+I16+I17+I18</f>
        <v>22.04</v>
      </c>
      <c r="J14" s="22">
        <f>J15+J16+J17+J18</f>
        <v>267.52</v>
      </c>
      <c r="K14" s="23" t="s">
        <v>370</v>
      </c>
    </row>
    <row r="15" spans="1:42" ht="14.15" x14ac:dyDescent="0.35">
      <c r="A15" s="11"/>
      <c r="B15" s="11"/>
      <c r="C15" s="11"/>
      <c r="D15" s="11"/>
      <c r="E15" s="24" t="s">
        <v>323</v>
      </c>
      <c r="F15" s="24"/>
      <c r="G15" s="24"/>
      <c r="H15" s="24"/>
      <c r="I15" s="25">
        <f>ROUND((Source!F177)/1000, 2)</f>
        <v>0</v>
      </c>
      <c r="J15" s="25">
        <f>ROUND((Source!P177)/1000, 2)</f>
        <v>0</v>
      </c>
      <c r="K15" s="11" t="s">
        <v>370</v>
      </c>
    </row>
    <row r="16" spans="1:42" ht="14.15" x14ac:dyDescent="0.35">
      <c r="A16" s="11"/>
      <c r="B16" s="11"/>
      <c r="C16" s="11"/>
      <c r="D16" s="11"/>
      <c r="E16" s="24" t="s">
        <v>324</v>
      </c>
      <c r="F16" s="24"/>
      <c r="G16" s="24"/>
      <c r="H16" s="24"/>
      <c r="I16" s="25">
        <f>ROUND((Source!F178)/1000, 2)</f>
        <v>13.25</v>
      </c>
      <c r="J16" s="25">
        <f>ROUND((Source!P178)/1000, 2)</f>
        <v>200.2</v>
      </c>
      <c r="K16" s="11" t="s">
        <v>370</v>
      </c>
    </row>
    <row r="17" spans="1:42" ht="14.15" x14ac:dyDescent="0.35">
      <c r="A17" s="11"/>
      <c r="B17" s="11"/>
      <c r="C17" s="11"/>
      <c r="D17" s="11"/>
      <c r="E17" s="24" t="s">
        <v>18</v>
      </c>
      <c r="F17" s="24"/>
      <c r="G17" s="24"/>
      <c r="H17" s="24"/>
      <c r="I17" s="25">
        <f>ROUND((Source!F169)/1000, 2)</f>
        <v>8.7899999999999991</v>
      </c>
      <c r="J17" s="25">
        <f>ROUND((Source!P169)/1000, 2)</f>
        <v>67.319999999999993</v>
      </c>
      <c r="K17" s="11" t="s">
        <v>370</v>
      </c>
    </row>
    <row r="18" spans="1:42" ht="14.15" x14ac:dyDescent="0.35">
      <c r="A18" s="11"/>
      <c r="B18" s="11"/>
      <c r="C18" s="11"/>
      <c r="D18" s="11"/>
      <c r="E18" s="24" t="s">
        <v>325</v>
      </c>
      <c r="F18" s="24"/>
      <c r="G18" s="24"/>
      <c r="H18" s="24"/>
      <c r="I18" s="25">
        <f>ROUND((Source!F179+Source!F180)/1000, 2)</f>
        <v>0</v>
      </c>
      <c r="J18" s="25">
        <f>ROUND((Source!P179+Source!P180)/1000, 2)</f>
        <v>0</v>
      </c>
      <c r="K18" s="11" t="s">
        <v>370</v>
      </c>
    </row>
    <row r="19" spans="1:42" ht="14.15" x14ac:dyDescent="0.35">
      <c r="A19" s="11"/>
      <c r="B19" s="11"/>
      <c r="C19" s="11"/>
      <c r="D19" s="11"/>
      <c r="E19" s="24" t="s">
        <v>326</v>
      </c>
      <c r="F19" s="24"/>
      <c r="G19" s="24"/>
      <c r="H19" s="24"/>
      <c r="I19" s="25">
        <f>(Source!F175+ Source!F174)/1000</f>
        <v>0.79883999999999999</v>
      </c>
      <c r="J19" s="25">
        <f>((Source!P175 + Source!P174)/1000)</f>
        <v>43.928229999999999</v>
      </c>
      <c r="K19" s="11" t="s">
        <v>370</v>
      </c>
    </row>
    <row r="20" spans="1:42" ht="14.15" x14ac:dyDescent="0.35">
      <c r="A20" s="11"/>
      <c r="B20" s="11"/>
      <c r="C20" s="11"/>
      <c r="D20" s="11"/>
      <c r="E20" s="24" t="s">
        <v>327</v>
      </c>
      <c r="F20" s="24"/>
      <c r="G20" s="24"/>
      <c r="H20" s="24"/>
      <c r="I20" s="25">
        <f>Source!F182</f>
        <v>63.539123450000005</v>
      </c>
      <c r="J20" s="25"/>
      <c r="K20" s="11" t="s">
        <v>213</v>
      </c>
    </row>
    <row r="21" spans="1:42" ht="14.15" hidden="1" x14ac:dyDescent="0.35">
      <c r="A21" s="11"/>
      <c r="B21" s="11"/>
      <c r="C21" s="11"/>
      <c r="D21" s="11"/>
      <c r="E21" s="26" t="s">
        <v>328</v>
      </c>
      <c r="F21" s="26"/>
      <c r="G21" s="26"/>
      <c r="H21" s="26"/>
      <c r="I21" s="25"/>
      <c r="J21" s="25"/>
      <c r="K21" s="11"/>
    </row>
    <row r="22" spans="1:42" ht="14.15" hidden="1" x14ac:dyDescent="0.35">
      <c r="A22" s="11"/>
      <c r="B22" s="11"/>
      <c r="C22" s="11"/>
      <c r="D22" s="11"/>
      <c r="E22" s="27" t="s">
        <v>96</v>
      </c>
      <c r="F22" s="27"/>
      <c r="G22" s="27"/>
      <c r="H22" s="27"/>
      <c r="I22" s="25">
        <f>SUM(Y28:Y136)/1000</f>
        <v>0</v>
      </c>
      <c r="J22" s="25">
        <f>SUM(Z28:Z136)/1000</f>
        <v>0</v>
      </c>
      <c r="K22" s="11" t="s">
        <v>370</v>
      </c>
    </row>
    <row r="23" spans="1:42" ht="14.15" x14ac:dyDescent="0.35">
      <c r="A23" s="11"/>
      <c r="B23" s="11"/>
      <c r="C23" s="11"/>
      <c r="D23" s="11"/>
      <c r="E23" s="11"/>
      <c r="F23" s="28"/>
      <c r="G23" s="28"/>
      <c r="H23" s="28"/>
      <c r="I23" s="25"/>
      <c r="J23" s="25"/>
      <c r="K23" s="11"/>
    </row>
    <row r="24" spans="1:42" ht="14.15" x14ac:dyDescent="0.35">
      <c r="A24" s="11" t="s">
        <v>341</v>
      </c>
      <c r="B24" s="11"/>
      <c r="C24" s="11"/>
      <c r="D24" s="11"/>
      <c r="E24" s="11"/>
      <c r="F24" s="28"/>
      <c r="G24" s="28"/>
      <c r="H24" s="28"/>
      <c r="I24" s="25"/>
      <c r="J24" s="25"/>
      <c r="K24" s="11"/>
    </row>
    <row r="25" spans="1:42" ht="28.3" x14ac:dyDescent="0.35">
      <c r="A25" s="18" t="s">
        <v>342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3" t="s">
        <v>342</v>
      </c>
    </row>
    <row r="26" spans="1:42" ht="99" x14ac:dyDescent="0.3">
      <c r="A26" s="29" t="s">
        <v>329</v>
      </c>
      <c r="B26" s="29" t="s">
        <v>330</v>
      </c>
      <c r="C26" s="29" t="s">
        <v>331</v>
      </c>
      <c r="D26" s="29" t="s">
        <v>332</v>
      </c>
      <c r="E26" s="29" t="s">
        <v>333</v>
      </c>
      <c r="F26" s="29" t="s">
        <v>334</v>
      </c>
      <c r="G26" s="30" t="s">
        <v>335</v>
      </c>
      <c r="H26" s="30" t="s">
        <v>336</v>
      </c>
      <c r="I26" s="29" t="s">
        <v>343</v>
      </c>
      <c r="J26" s="29" t="s">
        <v>337</v>
      </c>
      <c r="K26" s="29" t="s">
        <v>338</v>
      </c>
    </row>
    <row r="27" spans="1:42" ht="14.15" x14ac:dyDescent="0.3">
      <c r="A27" s="29">
        <v>1</v>
      </c>
      <c r="B27" s="29">
        <v>2</v>
      </c>
      <c r="C27" s="29">
        <v>3</v>
      </c>
      <c r="D27" s="29">
        <v>4</v>
      </c>
      <c r="E27" s="29">
        <v>5</v>
      </c>
      <c r="F27" s="29">
        <v>6</v>
      </c>
      <c r="G27" s="29">
        <v>7</v>
      </c>
      <c r="H27" s="29">
        <v>8</v>
      </c>
      <c r="I27" s="29">
        <v>9</v>
      </c>
      <c r="J27" s="29">
        <v>10</v>
      </c>
      <c r="K27" s="29">
        <v>11</v>
      </c>
    </row>
    <row r="29" spans="1:42" ht="16.3" x14ac:dyDescent="0.3">
      <c r="A29" s="34" t="str">
        <f>CONCATENATE("Раздел: ",IF(Source!G24&lt;&gt;"Новый раздел", Source!G24, ""))</f>
        <v>Раздел: Оборудование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</row>
    <row r="30" spans="1:42" ht="78.45" x14ac:dyDescent="0.3">
      <c r="A30" s="35">
        <v>1</v>
      </c>
      <c r="B30" s="35" t="s">
        <v>344</v>
      </c>
      <c r="C30" s="35" t="s">
        <v>21</v>
      </c>
      <c r="D30" s="37" t="str">
        <f>Source!H28</f>
        <v>1  ШТ.</v>
      </c>
      <c r="E30" s="36">
        <f>Source!I28</f>
        <v>1</v>
      </c>
      <c r="F30" s="39"/>
      <c r="G30" s="38"/>
      <c r="H30" s="36"/>
      <c r="I30" s="39"/>
      <c r="J30" s="36"/>
      <c r="K30" s="39"/>
      <c r="Q30">
        <f>Source!X28</f>
        <v>126.86</v>
      </c>
      <c r="R30">
        <f>Source!X29</f>
        <v>6976.19</v>
      </c>
      <c r="S30">
        <f>Source!Y28</f>
        <v>70.78</v>
      </c>
      <c r="T30">
        <f>Source!Y29</f>
        <v>3891.98</v>
      </c>
      <c r="U30">
        <f>ROUND((175/100)*ROUND(Source!R28, 2), 2)</f>
        <v>0</v>
      </c>
      <c r="V30">
        <f>ROUND((0/100)*ROUND(Source!R29, 2), 2)</f>
        <v>0</v>
      </c>
      <c r="AC30">
        <v>0</v>
      </c>
    </row>
    <row r="31" spans="1:42" ht="14.15" x14ac:dyDescent="0.3">
      <c r="A31" s="35"/>
      <c r="B31" s="35"/>
      <c r="C31" s="35" t="s">
        <v>345</v>
      </c>
      <c r="D31" s="37"/>
      <c r="E31" s="36"/>
      <c r="F31" s="39">
        <f>Source!AO28</f>
        <v>111.68</v>
      </c>
      <c r="G31" s="38" t="str">
        <f>Source!DG28</f>
        <v>*1,1</v>
      </c>
      <c r="H31" s="36">
        <f>Source!AV29</f>
        <v>1.087</v>
      </c>
      <c r="I31" s="39">
        <f>Source!S28</f>
        <v>133.54</v>
      </c>
      <c r="J31" s="36">
        <f>IF(Source!BA29&lt;&gt; 0, Source!BA29, 1)</f>
        <v>54.99</v>
      </c>
      <c r="K31" s="39">
        <f>Source!S29</f>
        <v>7343.36</v>
      </c>
    </row>
    <row r="32" spans="1:42" ht="14.15" x14ac:dyDescent="0.3">
      <c r="A32" s="35"/>
      <c r="B32" s="35"/>
      <c r="C32" s="35" t="s">
        <v>346</v>
      </c>
      <c r="D32" s="37"/>
      <c r="E32" s="36"/>
      <c r="F32" s="39">
        <f>Source!AL28</f>
        <v>0.28999999999999998</v>
      </c>
      <c r="G32" s="38" t="str">
        <f>Source!DD28</f>
        <v/>
      </c>
      <c r="H32" s="36">
        <f>Source!AW29</f>
        <v>1</v>
      </c>
      <c r="I32" s="39">
        <f>Source!P28</f>
        <v>0.28999999999999998</v>
      </c>
      <c r="J32" s="36">
        <f>IF(Source!BC29&lt;&gt; 0, Source!BC29, 1)</f>
        <v>9.9</v>
      </c>
      <c r="K32" s="39">
        <f>Source!P29</f>
        <v>2.87</v>
      </c>
    </row>
    <row r="33" spans="1:29" ht="82.3" x14ac:dyDescent="0.3">
      <c r="A33" s="40" t="s">
        <v>29</v>
      </c>
      <c r="B33" s="40" t="str">
        <f>Source!F30</f>
        <v>КА 1</v>
      </c>
      <c r="C33" s="40" t="s">
        <v>347</v>
      </c>
      <c r="D33" s="41" t="str">
        <f>Source!H30</f>
        <v>шт.</v>
      </c>
      <c r="E33" s="42">
        <f>Source!I30</f>
        <v>1</v>
      </c>
      <c r="F33" s="43">
        <f>Source!AK30</f>
        <v>8788.39</v>
      </c>
      <c r="G33" s="44" t="s">
        <v>3</v>
      </c>
      <c r="H33" s="42">
        <f>Source!AW31</f>
        <v>1</v>
      </c>
      <c r="I33" s="43">
        <f>Source!O30</f>
        <v>8788.39</v>
      </c>
      <c r="J33" s="42">
        <f>IF(Source!BC31&lt;&gt; 0, Source!BC31, 1)</f>
        <v>7.66</v>
      </c>
      <c r="K33" s="43">
        <f>Source!O31</f>
        <v>67319.070000000007</v>
      </c>
      <c r="Q33">
        <f>Source!X30</f>
        <v>0</v>
      </c>
      <c r="R33">
        <f>Source!X31</f>
        <v>0</v>
      </c>
      <c r="S33">
        <f>Source!Y30</f>
        <v>0</v>
      </c>
      <c r="T33">
        <f>Source!Y31</f>
        <v>0</v>
      </c>
      <c r="U33">
        <f>ROUND((175/100)*ROUND(Source!R30, 2), 2)</f>
        <v>0</v>
      </c>
      <c r="V33">
        <f>ROUND((0/100)*ROUND(Source!R31, 2), 2)</f>
        <v>0</v>
      </c>
      <c r="AC33">
        <v>5</v>
      </c>
    </row>
    <row r="34" spans="1:29" ht="14.15" x14ac:dyDescent="0.3">
      <c r="A34" s="35"/>
      <c r="B34" s="35"/>
      <c r="C34" s="35" t="s">
        <v>348</v>
      </c>
      <c r="D34" s="37" t="s">
        <v>349</v>
      </c>
      <c r="E34" s="36">
        <f>Source!BZ29</f>
        <v>95</v>
      </c>
      <c r="F34" s="39"/>
      <c r="G34" s="38"/>
      <c r="H34" s="36"/>
      <c r="I34" s="39">
        <f>SUM(Q30:Q33)</f>
        <v>126.86</v>
      </c>
      <c r="J34" s="36">
        <f>Source!AT29</f>
        <v>95</v>
      </c>
      <c r="K34" s="39">
        <f>SUM(R30:R33)</f>
        <v>6976.19</v>
      </c>
    </row>
    <row r="35" spans="1:29" ht="14.15" x14ac:dyDescent="0.3">
      <c r="A35" s="35"/>
      <c r="B35" s="35"/>
      <c r="C35" s="35" t="s">
        <v>350</v>
      </c>
      <c r="D35" s="37" t="s">
        <v>349</v>
      </c>
      <c r="E35" s="36">
        <f>Source!CA29</f>
        <v>53</v>
      </c>
      <c r="F35" s="39"/>
      <c r="G35" s="38"/>
      <c r="H35" s="36"/>
      <c r="I35" s="39">
        <f>SUM(S30:S34)</f>
        <v>70.78</v>
      </c>
      <c r="J35" s="36">
        <f>Source!AU29</f>
        <v>53</v>
      </c>
      <c r="K35" s="39">
        <f>SUM(T30:T34)</f>
        <v>3891.98</v>
      </c>
    </row>
    <row r="36" spans="1:29" ht="14.15" x14ac:dyDescent="0.3">
      <c r="A36" s="45"/>
      <c r="B36" s="45"/>
      <c r="C36" s="45" t="s">
        <v>351</v>
      </c>
      <c r="D36" s="46" t="s">
        <v>352</v>
      </c>
      <c r="E36" s="47">
        <f>Source!AQ28</f>
        <v>8</v>
      </c>
      <c r="F36" s="48"/>
      <c r="G36" s="49" t="str">
        <f>Source!DI28</f>
        <v>*1,1</v>
      </c>
      <c r="H36" s="47">
        <f>Source!AV29</f>
        <v>1.087</v>
      </c>
      <c r="I36" s="48">
        <f>Source!U28</f>
        <v>9.5655999999999999</v>
      </c>
      <c r="J36" s="47"/>
      <c r="K36" s="48"/>
    </row>
    <row r="37" spans="1:29" ht="14.15" x14ac:dyDescent="0.3">
      <c r="C37" s="50" t="s">
        <v>353</v>
      </c>
      <c r="H37" s="51">
        <f>I31+I32+I34+I35+SUM(I33:I33)-SUMIF(AC33:AC33, 5, I33:I33)-SUMIF(AC33:AC33, 6, I33:I33)</f>
        <v>331.46999999999935</v>
      </c>
      <c r="I37" s="51"/>
      <c r="J37" s="51">
        <f>K31+K32+K34+K35+SUM(K33:K33)-SUMIF(AC33:AC33, 5, K33:K33)-SUMIF(AC33:AC33, 6, K33:K33)</f>
        <v>18214.399999999994</v>
      </c>
      <c r="K37" s="51"/>
    </row>
    <row r="38" spans="1:29" ht="14.15" x14ac:dyDescent="0.3">
      <c r="C38" s="50" t="s">
        <v>354</v>
      </c>
      <c r="H38" s="53">
        <f>SUMIF(AC33:AC33, 5, I33:I33)+SUMIF(AC33:AC33, 6, I33:I33)</f>
        <v>8788.39</v>
      </c>
      <c r="I38" s="53"/>
      <c r="J38" s="53">
        <f>SUMIF(AC33:AC33, 5, K33:K33)+SUMIF(AC33:AC33, 6, K33:K33)</f>
        <v>67319.070000000007</v>
      </c>
      <c r="K38" s="53"/>
    </row>
    <row r="39" spans="1:29" ht="14.15" x14ac:dyDescent="0.3">
      <c r="C39" s="50" t="s">
        <v>355</v>
      </c>
      <c r="H39" s="53">
        <f>I31+I32+I34+I35+SUM(I33:I33)</f>
        <v>9119.8599999999988</v>
      </c>
      <c r="I39" s="53"/>
      <c r="J39" s="53">
        <f>K31+K32+K34+K35+SUM(K33:K33)</f>
        <v>85533.47</v>
      </c>
      <c r="K39" s="53"/>
      <c r="O39" s="54">
        <f>I31+I32+I34+I35+SUM(I33:I33)</f>
        <v>9119.8599999999988</v>
      </c>
      <c r="P39" s="54">
        <f>K31+K32+K34+K35+SUM(K33:K33)</f>
        <v>85533.47</v>
      </c>
    </row>
    <row r="41" spans="1:29" ht="78.45" x14ac:dyDescent="0.3">
      <c r="A41" s="35">
        <v>2</v>
      </c>
      <c r="B41" s="35" t="s">
        <v>356</v>
      </c>
      <c r="C41" s="35" t="s">
        <v>41</v>
      </c>
      <c r="D41" s="37" t="str">
        <f>Source!H32</f>
        <v>1  ШТ.</v>
      </c>
      <c r="E41" s="36">
        <f>Source!I32</f>
        <v>3</v>
      </c>
      <c r="F41" s="39"/>
      <c r="G41" s="38"/>
      <c r="H41" s="36"/>
      <c r="I41" s="39"/>
      <c r="J41" s="36"/>
      <c r="K41" s="39"/>
      <c r="Q41">
        <f>Source!X32</f>
        <v>12.12</v>
      </c>
      <c r="R41">
        <f>Source!X33</f>
        <v>666.65</v>
      </c>
      <c r="S41">
        <f>Source!Y32</f>
        <v>6.2</v>
      </c>
      <c r="T41">
        <f>Source!Y33</f>
        <v>340.73</v>
      </c>
      <c r="U41">
        <f>ROUND((175/100)*ROUND(Source!R32, 2), 2)</f>
        <v>0</v>
      </c>
      <c r="V41">
        <f>ROUND((0/100)*ROUND(Source!R33, 2), 2)</f>
        <v>0</v>
      </c>
      <c r="AC41">
        <v>0</v>
      </c>
    </row>
    <row r="42" spans="1:29" ht="14.15" x14ac:dyDescent="0.3">
      <c r="A42" s="35"/>
      <c r="B42" s="35"/>
      <c r="C42" s="35" t="s">
        <v>345</v>
      </c>
      <c r="D42" s="37"/>
      <c r="E42" s="36"/>
      <c r="F42" s="39">
        <f>Source!AO32</f>
        <v>3.9</v>
      </c>
      <c r="G42" s="38" t="str">
        <f>Source!DG32</f>
        <v>*1,1</v>
      </c>
      <c r="H42" s="36">
        <f>Source!AV33</f>
        <v>1.0469999999999999</v>
      </c>
      <c r="I42" s="39">
        <f>Source!S32</f>
        <v>13.47</v>
      </c>
      <c r="J42" s="36">
        <f>IF(Source!BA33&lt;&gt; 0, Source!BA33, 1)</f>
        <v>54.99</v>
      </c>
      <c r="K42" s="39">
        <f>Source!S33</f>
        <v>740.72</v>
      </c>
    </row>
    <row r="43" spans="1:29" ht="14.15" x14ac:dyDescent="0.3">
      <c r="A43" s="35"/>
      <c r="B43" s="35"/>
      <c r="C43" s="35" t="s">
        <v>346</v>
      </c>
      <c r="D43" s="37"/>
      <c r="E43" s="36"/>
      <c r="F43" s="39">
        <f>Source!AL32</f>
        <v>0.81</v>
      </c>
      <c r="G43" s="38" t="str">
        <f>Source!DD32</f>
        <v/>
      </c>
      <c r="H43" s="36">
        <f>Source!AW33</f>
        <v>1</v>
      </c>
      <c r="I43" s="39">
        <f>Source!P32</f>
        <v>2.4300000000000002</v>
      </c>
      <c r="J43" s="36">
        <f>IF(Source!BC33&lt;&gt; 0, Source!BC33, 1)</f>
        <v>8.8000000000000007</v>
      </c>
      <c r="K43" s="39">
        <f>Source!P33</f>
        <v>21.38</v>
      </c>
    </row>
    <row r="44" spans="1:29" ht="28.3" x14ac:dyDescent="0.3">
      <c r="A44" s="35" t="s">
        <v>45</v>
      </c>
      <c r="B44" s="35" t="str">
        <f>Source!F34</f>
        <v>1.14-1-551</v>
      </c>
      <c r="C44" s="35" t="s">
        <v>47</v>
      </c>
      <c r="D44" s="37" t="str">
        <f>Source!H34</f>
        <v>шт.</v>
      </c>
      <c r="E44" s="36">
        <f>Source!I34</f>
        <v>1</v>
      </c>
      <c r="F44" s="39">
        <f>Source!AK34</f>
        <v>39.869999999999997</v>
      </c>
      <c r="G44" s="55" t="s">
        <v>3</v>
      </c>
      <c r="H44" s="36">
        <f>Source!AW35</f>
        <v>1</v>
      </c>
      <c r="I44" s="39">
        <f>Source!O34</f>
        <v>39.869999999999997</v>
      </c>
      <c r="J44" s="36">
        <f>IF(Source!BC35&lt;&gt; 0, Source!BC35, 1)</f>
        <v>2.85</v>
      </c>
      <c r="K44" s="39">
        <f>Source!O35</f>
        <v>113.63</v>
      </c>
      <c r="Q44">
        <f>Source!X34</f>
        <v>0</v>
      </c>
      <c r="R44">
        <f>Source!X35</f>
        <v>0</v>
      </c>
      <c r="S44">
        <f>Source!Y34</f>
        <v>0</v>
      </c>
      <c r="T44">
        <f>Source!Y35</f>
        <v>0</v>
      </c>
      <c r="U44">
        <f>ROUND((175/100)*ROUND(Source!R34, 2), 2)</f>
        <v>0</v>
      </c>
      <c r="V44">
        <f>ROUND((0/100)*ROUND(Source!R35, 2), 2)</f>
        <v>0</v>
      </c>
      <c r="AC44">
        <v>3</v>
      </c>
    </row>
    <row r="45" spans="1:29" ht="28.3" x14ac:dyDescent="0.3">
      <c r="A45" s="35" t="s">
        <v>49</v>
      </c>
      <c r="B45" s="35" t="str">
        <f>Source!F36</f>
        <v>1.14-1-552</v>
      </c>
      <c r="C45" s="35" t="s">
        <v>51</v>
      </c>
      <c r="D45" s="37" t="str">
        <f>Source!H36</f>
        <v>шт.</v>
      </c>
      <c r="E45" s="36">
        <f>Source!I36</f>
        <v>1</v>
      </c>
      <c r="F45" s="39">
        <f>Source!AK36</f>
        <v>40.049999999999997</v>
      </c>
      <c r="G45" s="55" t="s">
        <v>3</v>
      </c>
      <c r="H45" s="36">
        <f>Source!AW37</f>
        <v>1</v>
      </c>
      <c r="I45" s="39">
        <f>Source!O36</f>
        <v>40.049999999999997</v>
      </c>
      <c r="J45" s="36">
        <f>IF(Source!BC37&lt;&gt; 0, Source!BC37, 1)</f>
        <v>2.83</v>
      </c>
      <c r="K45" s="39">
        <f>Source!O37</f>
        <v>113.34</v>
      </c>
      <c r="Q45">
        <f>Source!X36</f>
        <v>0</v>
      </c>
      <c r="R45">
        <f>Source!X37</f>
        <v>0</v>
      </c>
      <c r="S45">
        <f>Source!Y36</f>
        <v>0</v>
      </c>
      <c r="T45">
        <f>Source!Y37</f>
        <v>0</v>
      </c>
      <c r="U45">
        <f>ROUND((175/100)*ROUND(Source!R36, 2), 2)</f>
        <v>0</v>
      </c>
      <c r="V45">
        <f>ROUND((0/100)*ROUND(Source!R37, 2), 2)</f>
        <v>0</v>
      </c>
      <c r="AC45">
        <v>3</v>
      </c>
    </row>
    <row r="46" spans="1:29" ht="28.3" x14ac:dyDescent="0.3">
      <c r="A46" s="35" t="s">
        <v>53</v>
      </c>
      <c r="B46" s="35" t="str">
        <f>Source!F38</f>
        <v>1.14-1-553</v>
      </c>
      <c r="C46" s="35" t="s">
        <v>55</v>
      </c>
      <c r="D46" s="37" t="str">
        <f>Source!H38</f>
        <v>шт.</v>
      </c>
      <c r="E46" s="36">
        <f>Source!I38</f>
        <v>1</v>
      </c>
      <c r="F46" s="39">
        <f>Source!AK38</f>
        <v>40.17</v>
      </c>
      <c r="G46" s="55" t="s">
        <v>3</v>
      </c>
      <c r="H46" s="36">
        <f>Source!AW39</f>
        <v>1</v>
      </c>
      <c r="I46" s="39">
        <f>Source!O38</f>
        <v>40.17</v>
      </c>
      <c r="J46" s="36">
        <f>IF(Source!BC39&lt;&gt; 0, Source!BC39, 1)</f>
        <v>2.83</v>
      </c>
      <c r="K46" s="39">
        <f>Source!O39</f>
        <v>113.68</v>
      </c>
      <c r="Q46">
        <f>Source!X38</f>
        <v>0</v>
      </c>
      <c r="R46">
        <f>Source!X39</f>
        <v>0</v>
      </c>
      <c r="S46">
        <f>Source!Y38</f>
        <v>0</v>
      </c>
      <c r="T46">
        <f>Source!Y39</f>
        <v>0</v>
      </c>
      <c r="U46">
        <f>ROUND((175/100)*ROUND(Source!R38, 2), 2)</f>
        <v>0</v>
      </c>
      <c r="V46">
        <f>ROUND((0/100)*ROUND(Source!R39, 2), 2)</f>
        <v>0</v>
      </c>
      <c r="AC46">
        <v>3</v>
      </c>
    </row>
    <row r="47" spans="1:29" ht="14.15" x14ac:dyDescent="0.3">
      <c r="A47" s="35"/>
      <c r="B47" s="35"/>
      <c r="C47" s="35" t="s">
        <v>348</v>
      </c>
      <c r="D47" s="37" t="s">
        <v>349</v>
      </c>
      <c r="E47" s="36">
        <f>Source!BZ33</f>
        <v>90</v>
      </c>
      <c r="F47" s="39"/>
      <c r="G47" s="38"/>
      <c r="H47" s="36"/>
      <c r="I47" s="39">
        <f>SUM(Q41:Q46)</f>
        <v>12.12</v>
      </c>
      <c r="J47" s="36">
        <f>Source!AT33</f>
        <v>90</v>
      </c>
      <c r="K47" s="39">
        <f>SUM(R41:R46)</f>
        <v>666.65</v>
      </c>
    </row>
    <row r="48" spans="1:29" ht="14.15" x14ac:dyDescent="0.3">
      <c r="A48" s="35"/>
      <c r="B48" s="35"/>
      <c r="C48" s="35" t="s">
        <v>350</v>
      </c>
      <c r="D48" s="37" t="s">
        <v>349</v>
      </c>
      <c r="E48" s="36">
        <f>Source!CA33</f>
        <v>46</v>
      </c>
      <c r="F48" s="39"/>
      <c r="G48" s="38"/>
      <c r="H48" s="36"/>
      <c r="I48" s="39">
        <f>SUM(S41:S47)</f>
        <v>6.2</v>
      </c>
      <c r="J48" s="36">
        <f>Source!AU33</f>
        <v>46</v>
      </c>
      <c r="K48" s="39">
        <f>SUM(T41:T47)</f>
        <v>340.73</v>
      </c>
    </row>
    <row r="49" spans="1:29" ht="14.15" x14ac:dyDescent="0.3">
      <c r="A49" s="45"/>
      <c r="B49" s="45"/>
      <c r="C49" s="45" t="s">
        <v>351</v>
      </c>
      <c r="D49" s="46" t="s">
        <v>352</v>
      </c>
      <c r="E49" s="47">
        <f>Source!AQ32</f>
        <v>0.3</v>
      </c>
      <c r="F49" s="48"/>
      <c r="G49" s="49" t="str">
        <f>Source!DI32</f>
        <v>*1,1</v>
      </c>
      <c r="H49" s="47">
        <f>Source!AV33</f>
        <v>1.0469999999999999</v>
      </c>
      <c r="I49" s="48">
        <f>Source!U32</f>
        <v>1.03653</v>
      </c>
      <c r="J49" s="47"/>
      <c r="K49" s="48"/>
    </row>
    <row r="50" spans="1:29" ht="14.15" x14ac:dyDescent="0.3">
      <c r="C50" s="50" t="s">
        <v>353</v>
      </c>
      <c r="H50" s="51">
        <f>I42+I43+I47+I48+SUM(I44:I46)-SUMIF(AC44:AC46, 5, I44:I46)-SUMIF(AC44:AC46, 6, I44:I46)</f>
        <v>154.31</v>
      </c>
      <c r="I50" s="51"/>
      <c r="J50" s="51">
        <f>K42+K43+K47+K48+SUM(K44:K46)-SUMIF(AC44:AC46, 5, K44:K46)-SUMIF(AC44:AC46, 6, K44:K46)</f>
        <v>2110.13</v>
      </c>
      <c r="K50" s="51"/>
    </row>
    <row r="51" spans="1:29" ht="14.15" hidden="1" x14ac:dyDescent="0.3">
      <c r="C51" s="50" t="s">
        <v>354</v>
      </c>
      <c r="H51" s="53">
        <f>SUMIF(AC44:AC46, 5, I44:I46)+SUMIF(AC44:AC46, 6, I44:I46)</f>
        <v>0</v>
      </c>
      <c r="I51" s="53"/>
      <c r="J51" s="53">
        <f>SUMIF(AC44:AC46, 5, K44:K46)+SUMIF(AC44:AC46, 6, K44:K46)</f>
        <v>0</v>
      </c>
      <c r="K51" s="53"/>
    </row>
    <row r="52" spans="1:29" ht="14.15" x14ac:dyDescent="0.3">
      <c r="C52" s="50" t="s">
        <v>355</v>
      </c>
      <c r="H52" s="53">
        <f>I42+I43+I47+I48+SUM(I44:I46)</f>
        <v>154.31</v>
      </c>
      <c r="I52" s="53"/>
      <c r="J52" s="53">
        <f>K42+K43+K47+K48+SUM(K44:K46)</f>
        <v>2110.13</v>
      </c>
      <c r="K52" s="53"/>
      <c r="O52" s="54">
        <f>I42+I43+I47+I48+SUM(I44:I46)</f>
        <v>154.31</v>
      </c>
      <c r="P52" s="54">
        <f>K42+K43+K47+K48+SUM(K44:K46)</f>
        <v>2110.13</v>
      </c>
    </row>
    <row r="55" spans="1:29" ht="14.15" x14ac:dyDescent="0.35">
      <c r="A55" s="57" t="str">
        <f>CONCATENATE("Итого по разделу: ",IF(Source!G41&lt;&gt;"Новый раздел", Source!G41, ""))</f>
        <v>Итого по разделу: Оборудование</v>
      </c>
      <c r="B55" s="57"/>
      <c r="C55" s="57"/>
      <c r="D55" s="57"/>
      <c r="E55" s="57"/>
      <c r="F55" s="57"/>
      <c r="G55" s="57"/>
      <c r="H55" s="53">
        <f>SUM(O29:O54)</f>
        <v>9274.1699999999983</v>
      </c>
      <c r="I55" s="52"/>
      <c r="J55" s="53">
        <f>SUM(P29:P54)</f>
        <v>87643.6</v>
      </c>
      <c r="K55" s="52"/>
    </row>
    <row r="56" spans="1:29" hidden="1" x14ac:dyDescent="0.3">
      <c r="A56" t="s">
        <v>357</v>
      </c>
      <c r="I56">
        <f>SUM(W29:W55)</f>
        <v>0</v>
      </c>
      <c r="J56">
        <f>SUM(X29:X55)</f>
        <v>0</v>
      </c>
    </row>
    <row r="57" spans="1:29" hidden="1" x14ac:dyDescent="0.3">
      <c r="A57" t="s">
        <v>358</v>
      </c>
      <c r="I57">
        <f>SUM(Y29:Y56)</f>
        <v>0</v>
      </c>
      <c r="J57">
        <f>SUM(Z29:Z56)</f>
        <v>0</v>
      </c>
    </row>
    <row r="59" spans="1:29" ht="16.3" x14ac:dyDescent="0.3">
      <c r="A59" s="34" t="str">
        <f>CONCATENATE("Раздел: ",IF(Source!G71&lt;&gt;"Новый раздел", Source!G71, ""))</f>
        <v>Раздел: Материалы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</row>
    <row r="60" spans="1:29" ht="78.45" x14ac:dyDescent="0.3">
      <c r="A60" s="35">
        <v>3</v>
      </c>
      <c r="B60" s="35" t="s">
        <v>359</v>
      </c>
      <c r="C60" s="35" t="s">
        <v>113</v>
      </c>
      <c r="D60" s="37" t="str">
        <f>Source!H75</f>
        <v>100 шт.</v>
      </c>
      <c r="E60" s="36">
        <f>Source!I75</f>
        <v>0.05</v>
      </c>
      <c r="F60" s="39"/>
      <c r="G60" s="38"/>
      <c r="H60" s="36"/>
      <c r="I60" s="39"/>
      <c r="J60" s="36"/>
      <c r="K60" s="39"/>
      <c r="Q60">
        <f>Source!X75</f>
        <v>48.96</v>
      </c>
      <c r="R60">
        <f>Source!X76</f>
        <v>2692.09</v>
      </c>
      <c r="S60">
        <f>Source!Y75</f>
        <v>25.74</v>
      </c>
      <c r="T60">
        <f>Source!Y76</f>
        <v>1415.43</v>
      </c>
      <c r="U60">
        <f>ROUND((175/100)*ROUND(Source!R75, 2), 2)</f>
        <v>0.14000000000000001</v>
      </c>
      <c r="V60">
        <f>ROUND((0/100)*ROUND(Source!R76, 2), 2)</f>
        <v>0</v>
      </c>
      <c r="AC60">
        <v>0</v>
      </c>
    </row>
    <row r="61" spans="1:29" x14ac:dyDescent="0.3">
      <c r="C61" s="58" t="str">
        <f>"Объем: "&amp;Source!I75&amp;"=5/"&amp;"100"</f>
        <v>Объем: 0,05=5/100</v>
      </c>
    </row>
    <row r="62" spans="1:29" ht="14.15" x14ac:dyDescent="0.3">
      <c r="A62" s="35"/>
      <c r="B62" s="35"/>
      <c r="C62" s="35" t="s">
        <v>345</v>
      </c>
      <c r="D62" s="37"/>
      <c r="E62" s="36"/>
      <c r="F62" s="39">
        <f>Source!AO75</f>
        <v>875.14</v>
      </c>
      <c r="G62" s="38" t="str">
        <f>Source!DG75</f>
        <v>*1,1</v>
      </c>
      <c r="H62" s="36">
        <f>Source!AV76</f>
        <v>1.0469999999999999</v>
      </c>
      <c r="I62" s="39">
        <f>Source!S75</f>
        <v>50.39</v>
      </c>
      <c r="J62" s="36">
        <f>IF(Source!BA76&lt;&gt; 0, Source!BA76, 1)</f>
        <v>54.99</v>
      </c>
      <c r="K62" s="39">
        <f>Source!S76</f>
        <v>2770.95</v>
      </c>
    </row>
    <row r="63" spans="1:29" ht="14.15" x14ac:dyDescent="0.3">
      <c r="A63" s="35"/>
      <c r="B63" s="35"/>
      <c r="C63" s="35" t="s">
        <v>360</v>
      </c>
      <c r="D63" s="37"/>
      <c r="E63" s="36"/>
      <c r="F63" s="39">
        <f>Source!AM75</f>
        <v>9.14</v>
      </c>
      <c r="G63" s="38" t="str">
        <f>Source!DE75</f>
        <v>*1,1</v>
      </c>
      <c r="H63" s="36">
        <f>Source!AV76</f>
        <v>1.0469999999999999</v>
      </c>
      <c r="I63" s="39">
        <f>Source!Q75</f>
        <v>0.53</v>
      </c>
      <c r="J63" s="36">
        <f>IF(Source!BB76&lt;&gt; 0, Source!BB76, 1)</f>
        <v>16.3</v>
      </c>
      <c r="K63" s="39">
        <f>Source!Q76</f>
        <v>8.64</v>
      </c>
    </row>
    <row r="64" spans="1:29" ht="14.15" x14ac:dyDescent="0.3">
      <c r="A64" s="35"/>
      <c r="B64" s="35"/>
      <c r="C64" s="35" t="s">
        <v>361</v>
      </c>
      <c r="D64" s="37"/>
      <c r="E64" s="36"/>
      <c r="F64" s="39">
        <f>Source!AN75</f>
        <v>1.39</v>
      </c>
      <c r="G64" s="38" t="str">
        <f>Source!DF75</f>
        <v>*1,1</v>
      </c>
      <c r="H64" s="36">
        <f>Source!AV76</f>
        <v>1.0469999999999999</v>
      </c>
      <c r="I64" s="59">
        <f>Source!R75</f>
        <v>0.08</v>
      </c>
      <c r="J64" s="36">
        <f>IF(Source!BS76&lt;&gt; 0, Source!BS76, 1)</f>
        <v>54.99</v>
      </c>
      <c r="K64" s="59">
        <f>Source!R76</f>
        <v>4.4000000000000004</v>
      </c>
    </row>
    <row r="65" spans="1:29" ht="14.15" x14ac:dyDescent="0.3">
      <c r="A65" s="35"/>
      <c r="B65" s="35"/>
      <c r="C65" s="35" t="s">
        <v>346</v>
      </c>
      <c r="D65" s="37"/>
      <c r="E65" s="36"/>
      <c r="F65" s="39">
        <f>Source!AL75</f>
        <v>857</v>
      </c>
      <c r="G65" s="38" t="str">
        <f>Source!DD75</f>
        <v/>
      </c>
      <c r="H65" s="36">
        <f>Source!AW76</f>
        <v>1</v>
      </c>
      <c r="I65" s="39">
        <f>Source!P75</f>
        <v>42.85</v>
      </c>
      <c r="J65" s="36">
        <f>IF(Source!BC76&lt;&gt; 0, Source!BC76, 1)</f>
        <v>2.95</v>
      </c>
      <c r="K65" s="39">
        <f>Source!P76</f>
        <v>126.41</v>
      </c>
    </row>
    <row r="66" spans="1:29" ht="183.9" x14ac:dyDescent="0.3">
      <c r="A66" s="35" t="s">
        <v>118</v>
      </c>
      <c r="B66" s="35" t="str">
        <f>Source!F77</f>
        <v>1.14-1-199</v>
      </c>
      <c r="C66" s="35" t="s">
        <v>317</v>
      </c>
      <c r="D66" s="37" t="str">
        <f>Source!H77</f>
        <v>шт.</v>
      </c>
      <c r="E66" s="36">
        <f>Source!I77</f>
        <v>5</v>
      </c>
      <c r="F66" s="39">
        <f>Source!AK77</f>
        <v>133.05000000000001</v>
      </c>
      <c r="G66" s="55" t="s">
        <v>3</v>
      </c>
      <c r="H66" s="36">
        <f>Source!AW78</f>
        <v>1</v>
      </c>
      <c r="I66" s="39">
        <f>Source!O77</f>
        <v>665.25</v>
      </c>
      <c r="J66" s="36">
        <f>IF(Source!BC78&lt;&gt; 0, Source!BC78, 1)</f>
        <v>9.34</v>
      </c>
      <c r="K66" s="39">
        <f>Source!O78</f>
        <v>6213.44</v>
      </c>
      <c r="Q66">
        <f>Source!X77</f>
        <v>0</v>
      </c>
      <c r="R66">
        <f>Source!X78</f>
        <v>0</v>
      </c>
      <c r="S66">
        <f>Source!Y77</f>
        <v>0</v>
      </c>
      <c r="T66">
        <f>Source!Y78</f>
        <v>0</v>
      </c>
      <c r="U66">
        <f>ROUND((175/100)*ROUND(Source!R77, 2), 2)</f>
        <v>0</v>
      </c>
      <c r="V66">
        <f>ROUND((0/100)*ROUND(Source!R78, 2), 2)</f>
        <v>0</v>
      </c>
      <c r="AC66">
        <v>3</v>
      </c>
    </row>
    <row r="67" spans="1:29" ht="14.15" x14ac:dyDescent="0.3">
      <c r="A67" s="35"/>
      <c r="B67" s="35"/>
      <c r="C67" s="35" t="s">
        <v>348</v>
      </c>
      <c r="D67" s="37" t="s">
        <v>349</v>
      </c>
      <c r="E67" s="36">
        <f>Source!BZ76</f>
        <v>97</v>
      </c>
      <c r="F67" s="39"/>
      <c r="G67" s="38"/>
      <c r="H67" s="36"/>
      <c r="I67" s="39">
        <f>SUM(Q60:Q66)</f>
        <v>48.96</v>
      </c>
      <c r="J67" s="36">
        <f>Source!AT76</f>
        <v>97</v>
      </c>
      <c r="K67" s="39">
        <f>SUM(R60:R66)</f>
        <v>2692.09</v>
      </c>
    </row>
    <row r="68" spans="1:29" ht="14.15" x14ac:dyDescent="0.3">
      <c r="A68" s="35"/>
      <c r="B68" s="35"/>
      <c r="C68" s="35" t="s">
        <v>350</v>
      </c>
      <c r="D68" s="37" t="s">
        <v>349</v>
      </c>
      <c r="E68" s="36">
        <f>Source!CA76</f>
        <v>51</v>
      </c>
      <c r="F68" s="39"/>
      <c r="G68" s="38"/>
      <c r="H68" s="36"/>
      <c r="I68" s="39">
        <f>SUM(S60:S67)</f>
        <v>25.74</v>
      </c>
      <c r="J68" s="36">
        <f>Source!AU76</f>
        <v>51</v>
      </c>
      <c r="K68" s="39">
        <f>SUM(T60:T67)</f>
        <v>1415.43</v>
      </c>
    </row>
    <row r="69" spans="1:29" ht="14.15" x14ac:dyDescent="0.3">
      <c r="A69" s="45"/>
      <c r="B69" s="45"/>
      <c r="C69" s="45" t="s">
        <v>351</v>
      </c>
      <c r="D69" s="46" t="s">
        <v>352</v>
      </c>
      <c r="E69" s="47">
        <f>Source!AQ75</f>
        <v>67.37</v>
      </c>
      <c r="F69" s="48"/>
      <c r="G69" s="49" t="str">
        <f>Source!DI75</f>
        <v>*1,1</v>
      </c>
      <c r="H69" s="47">
        <f>Source!AV76</f>
        <v>1.0469999999999999</v>
      </c>
      <c r="I69" s="48">
        <f>Source!U75</f>
        <v>3.8795014500000011</v>
      </c>
      <c r="J69" s="47"/>
      <c r="K69" s="48"/>
    </row>
    <row r="70" spans="1:29" ht="14.15" x14ac:dyDescent="0.3">
      <c r="C70" s="50" t="s">
        <v>353</v>
      </c>
      <c r="H70" s="51">
        <f>I62+I63+I65+I67+I68+SUM(I66:I66)-SUMIF(AC66:AC66, 5, I66:I66)-SUMIF(AC66:AC66, 6, I66:I66)</f>
        <v>833.72</v>
      </c>
      <c r="I70" s="51"/>
      <c r="J70" s="51">
        <f>K62+K63+K65+K67+K68+SUM(K66:K66)-SUMIF(AC66:AC66, 5, K66:K66)-SUMIF(AC66:AC66, 6, K66:K66)</f>
        <v>13226.96</v>
      </c>
      <c r="K70" s="51"/>
    </row>
    <row r="71" spans="1:29" ht="14.15" hidden="1" x14ac:dyDescent="0.3">
      <c r="C71" s="50" t="s">
        <v>354</v>
      </c>
      <c r="H71" s="53">
        <f>SUMIF(AC66:AC66, 5, I66:I66)+SUMIF(AC66:AC66, 6, I66:I66)</f>
        <v>0</v>
      </c>
      <c r="I71" s="53"/>
      <c r="J71" s="53">
        <f>SUMIF(AC66:AC66, 5, K66:K66)+SUMIF(AC66:AC66, 6, K66:K66)</f>
        <v>0</v>
      </c>
      <c r="K71" s="53"/>
    </row>
    <row r="72" spans="1:29" ht="14.15" x14ac:dyDescent="0.3">
      <c r="C72" s="50" t="s">
        <v>355</v>
      </c>
      <c r="H72" s="53">
        <f>I62+I63+I65+I67+I68+SUM(I66:I66)</f>
        <v>833.72</v>
      </c>
      <c r="I72" s="53"/>
      <c r="J72" s="53">
        <f>K62+K63+K65+K67+K68+SUM(K66:K66)</f>
        <v>13226.96</v>
      </c>
      <c r="K72" s="53"/>
      <c r="O72" s="54">
        <f>I62+I63+I65+I67+I68+SUM(I66:I66)</f>
        <v>833.72</v>
      </c>
      <c r="P72" s="54">
        <f>K62+K63+K65+K67+K68+SUM(K66:K66)</f>
        <v>13226.96</v>
      </c>
    </row>
    <row r="74" spans="1:29" ht="78.45" x14ac:dyDescent="0.3">
      <c r="A74" s="35">
        <v>4</v>
      </c>
      <c r="B74" s="35" t="s">
        <v>362</v>
      </c>
      <c r="C74" s="35" t="s">
        <v>123</v>
      </c>
      <c r="D74" s="37" t="str">
        <f>Source!H79</f>
        <v>100 м</v>
      </c>
      <c r="E74" s="36">
        <f>Source!I79</f>
        <v>2</v>
      </c>
      <c r="F74" s="39"/>
      <c r="G74" s="38"/>
      <c r="H74" s="36"/>
      <c r="I74" s="39"/>
      <c r="J74" s="36"/>
      <c r="K74" s="39"/>
      <c r="Q74">
        <f>Source!X79</f>
        <v>408.97</v>
      </c>
      <c r="R74">
        <f>Source!X80</f>
        <v>22489.21</v>
      </c>
      <c r="S74">
        <f>Source!Y79</f>
        <v>209.03</v>
      </c>
      <c r="T74">
        <f>Source!Y80</f>
        <v>11494.48</v>
      </c>
      <c r="U74">
        <f>ROUND((175/100)*ROUND(Source!R79, 2), 2)</f>
        <v>0</v>
      </c>
      <c r="V74">
        <f>ROUND((0/100)*ROUND(Source!R80, 2), 2)</f>
        <v>0</v>
      </c>
      <c r="AC74">
        <v>0</v>
      </c>
    </row>
    <row r="75" spans="1:29" x14ac:dyDescent="0.3">
      <c r="C75" s="58" t="str">
        <f>"Объем: "&amp;Source!I79&amp;"=200/"&amp;"100"</f>
        <v>Объем: 2=200/100</v>
      </c>
    </row>
    <row r="76" spans="1:29" ht="14.15" x14ac:dyDescent="0.3">
      <c r="A76" s="35"/>
      <c r="B76" s="35"/>
      <c r="C76" s="35" t="s">
        <v>345</v>
      </c>
      <c r="D76" s="37"/>
      <c r="E76" s="36"/>
      <c r="F76" s="39">
        <f>Source!AO79</f>
        <v>197.28</v>
      </c>
      <c r="G76" s="38" t="str">
        <f>Source!DG79</f>
        <v>*1,1</v>
      </c>
      <c r="H76" s="36">
        <f>Source!AV80</f>
        <v>1.0469999999999999</v>
      </c>
      <c r="I76" s="39">
        <f>Source!S79</f>
        <v>454.41</v>
      </c>
      <c r="J76" s="36">
        <f>IF(Source!BA80&lt;&gt; 0, Source!BA80, 1)</f>
        <v>54.99</v>
      </c>
      <c r="K76" s="39">
        <f>Source!S80</f>
        <v>24988.01</v>
      </c>
    </row>
    <row r="77" spans="1:29" ht="14.15" x14ac:dyDescent="0.3">
      <c r="A77" s="35"/>
      <c r="B77" s="35"/>
      <c r="C77" s="35" t="s">
        <v>360</v>
      </c>
      <c r="D77" s="37"/>
      <c r="E77" s="36"/>
      <c r="F77" s="39">
        <f>Source!AM79</f>
        <v>1.73</v>
      </c>
      <c r="G77" s="38" t="str">
        <f>Source!DE79</f>
        <v>*1,1</v>
      </c>
      <c r="H77" s="36">
        <f>Source!AV80</f>
        <v>1.0469999999999999</v>
      </c>
      <c r="I77" s="39">
        <f>Source!Q79</f>
        <v>3.98</v>
      </c>
      <c r="J77" s="36">
        <f>IF(Source!BB80&lt;&gt; 0, Source!BB80, 1)</f>
        <v>8.7100000000000009</v>
      </c>
      <c r="K77" s="39">
        <f>Source!Q80</f>
        <v>34.67</v>
      </c>
    </row>
    <row r="78" spans="1:29" ht="14.15" x14ac:dyDescent="0.3">
      <c r="A78" s="35"/>
      <c r="B78" s="35"/>
      <c r="C78" s="35" t="s">
        <v>346</v>
      </c>
      <c r="D78" s="37"/>
      <c r="E78" s="36"/>
      <c r="F78" s="39">
        <f>Source!AL79</f>
        <v>91.91</v>
      </c>
      <c r="G78" s="38" t="str">
        <f>Source!DD79</f>
        <v/>
      </c>
      <c r="H78" s="36">
        <f>Source!AW80</f>
        <v>1</v>
      </c>
      <c r="I78" s="39">
        <f>Source!P79</f>
        <v>183.82</v>
      </c>
      <c r="J78" s="36">
        <f>IF(Source!BC80&lt;&gt; 0, Source!BC80, 1)</f>
        <v>2.76</v>
      </c>
      <c r="K78" s="39">
        <f>Source!P80</f>
        <v>507.34</v>
      </c>
    </row>
    <row r="79" spans="1:29" ht="42.45" x14ac:dyDescent="0.3">
      <c r="A79" s="35" t="s">
        <v>128</v>
      </c>
      <c r="B79" s="35" t="str">
        <f>Source!F81</f>
        <v>1.12-5-372</v>
      </c>
      <c r="C79" s="35" t="s">
        <v>130</v>
      </c>
      <c r="D79" s="37" t="str">
        <f>Source!H81</f>
        <v>м</v>
      </c>
      <c r="E79" s="36">
        <f>Source!I81</f>
        <v>204</v>
      </c>
      <c r="F79" s="39">
        <f>Source!AK81</f>
        <v>3.45</v>
      </c>
      <c r="G79" s="55" t="s">
        <v>3</v>
      </c>
      <c r="H79" s="36">
        <f>Source!AW82</f>
        <v>1</v>
      </c>
      <c r="I79" s="39">
        <f>Source!O81</f>
        <v>703.8</v>
      </c>
      <c r="J79" s="36">
        <f>IF(Source!BC82&lt;&gt; 0, Source!BC82, 1)</f>
        <v>3.93</v>
      </c>
      <c r="K79" s="39">
        <f>Source!O82</f>
        <v>2765.93</v>
      </c>
      <c r="Q79">
        <f>Source!X81</f>
        <v>0</v>
      </c>
      <c r="R79">
        <f>Source!X82</f>
        <v>0</v>
      </c>
      <c r="S79">
        <f>Source!Y81</f>
        <v>0</v>
      </c>
      <c r="T79">
        <f>Source!Y82</f>
        <v>0</v>
      </c>
      <c r="U79">
        <f>ROUND((175/100)*ROUND(Source!R81, 2), 2)</f>
        <v>0</v>
      </c>
      <c r="V79">
        <f>ROUND((0/100)*ROUND(Source!R82, 2), 2)</f>
        <v>0</v>
      </c>
      <c r="AC79">
        <v>3</v>
      </c>
    </row>
    <row r="80" spans="1:29" ht="42.45" x14ac:dyDescent="0.3">
      <c r="A80" s="35" t="s">
        <v>133</v>
      </c>
      <c r="B80" s="35" t="str">
        <f>Source!F83</f>
        <v>1.21-5-896</v>
      </c>
      <c r="C80" s="35" t="s">
        <v>135</v>
      </c>
      <c r="D80" s="37" t="str">
        <f>Source!H83</f>
        <v>шт.</v>
      </c>
      <c r="E80" s="36">
        <f>Source!I83</f>
        <v>5</v>
      </c>
      <c r="F80" s="39">
        <f>Source!AK83</f>
        <v>1.06</v>
      </c>
      <c r="G80" s="55" t="s">
        <v>3</v>
      </c>
      <c r="H80" s="36">
        <f>Source!AW84</f>
        <v>1</v>
      </c>
      <c r="I80" s="39">
        <f>Source!O83</f>
        <v>5.3</v>
      </c>
      <c r="J80" s="36">
        <f>IF(Source!BC84&lt;&gt; 0, Source!BC84, 1)</f>
        <v>5.93</v>
      </c>
      <c r="K80" s="39">
        <f>Source!O84</f>
        <v>31.43</v>
      </c>
      <c r="Q80">
        <f>Source!X83</f>
        <v>0</v>
      </c>
      <c r="R80">
        <f>Source!X84</f>
        <v>0</v>
      </c>
      <c r="S80">
        <f>Source!Y83</f>
        <v>0</v>
      </c>
      <c r="T80">
        <f>Source!Y84</f>
        <v>0</v>
      </c>
      <c r="U80">
        <f>ROUND((175/100)*ROUND(Source!R83, 2), 2)</f>
        <v>0</v>
      </c>
      <c r="V80">
        <f>ROUND((0/100)*ROUND(Source!R84, 2), 2)</f>
        <v>0</v>
      </c>
      <c r="AC80">
        <v>3</v>
      </c>
    </row>
    <row r="81" spans="1:29" ht="42.45" x14ac:dyDescent="0.3">
      <c r="A81" s="35" t="s">
        <v>137</v>
      </c>
      <c r="B81" s="35" t="str">
        <f>Source!F85</f>
        <v>1.21-5-1136</v>
      </c>
      <c r="C81" s="35" t="s">
        <v>139</v>
      </c>
      <c r="D81" s="37" t="str">
        <f>Source!H85</f>
        <v>100 шт.</v>
      </c>
      <c r="E81" s="36">
        <f>Source!I85</f>
        <v>6</v>
      </c>
      <c r="F81" s="39">
        <f>Source!AK85</f>
        <v>146.88999999999999</v>
      </c>
      <c r="G81" s="55" t="s">
        <v>3</v>
      </c>
      <c r="H81" s="36">
        <f>Source!AW86</f>
        <v>1</v>
      </c>
      <c r="I81" s="39">
        <f>Source!O85</f>
        <v>881.34</v>
      </c>
      <c r="J81" s="36">
        <f>IF(Source!BC86&lt;&gt; 0, Source!BC86, 1)</f>
        <v>2.0299999999999998</v>
      </c>
      <c r="K81" s="39">
        <f>Source!O86</f>
        <v>1789.12</v>
      </c>
      <c r="Q81">
        <f>Source!X85</f>
        <v>0</v>
      </c>
      <c r="R81">
        <f>Source!X86</f>
        <v>0</v>
      </c>
      <c r="S81">
        <f>Source!Y85</f>
        <v>0</v>
      </c>
      <c r="T81">
        <f>Source!Y86</f>
        <v>0</v>
      </c>
      <c r="U81">
        <f>ROUND((175/100)*ROUND(Source!R85, 2), 2)</f>
        <v>0</v>
      </c>
      <c r="V81">
        <f>ROUND((0/100)*ROUND(Source!R86, 2), 2)</f>
        <v>0</v>
      </c>
      <c r="AC81">
        <v>3</v>
      </c>
    </row>
    <row r="82" spans="1:29" ht="41.15" x14ac:dyDescent="0.3">
      <c r="A82" s="35" t="s">
        <v>141</v>
      </c>
      <c r="B82" s="35" t="str">
        <f>Source!F87</f>
        <v>КА 2</v>
      </c>
      <c r="C82" s="35" t="s">
        <v>363</v>
      </c>
      <c r="D82" s="37" t="str">
        <f>Source!H87</f>
        <v>км</v>
      </c>
      <c r="E82" s="36">
        <f>Source!I87</f>
        <v>0.255</v>
      </c>
      <c r="F82" s="39">
        <f>Source!AK87</f>
        <v>13813.36</v>
      </c>
      <c r="G82" s="55" t="s">
        <v>3</v>
      </c>
      <c r="H82" s="36">
        <f>Source!AW88</f>
        <v>1</v>
      </c>
      <c r="I82" s="39">
        <f>Source!O87</f>
        <v>3522.41</v>
      </c>
      <c r="J82" s="36">
        <f>IF(Source!BC88&lt;&gt; 0, Source!BC88, 1)</f>
        <v>9.8800000000000008</v>
      </c>
      <c r="K82" s="39">
        <f>Source!O88</f>
        <v>34801.410000000003</v>
      </c>
      <c r="Q82">
        <f>Source!X87</f>
        <v>0</v>
      </c>
      <c r="R82">
        <f>Source!X88</f>
        <v>0</v>
      </c>
      <c r="S82">
        <f>Source!Y87</f>
        <v>0</v>
      </c>
      <c r="T82">
        <f>Source!Y88</f>
        <v>0</v>
      </c>
      <c r="U82">
        <f>ROUND((175/100)*ROUND(Source!R87, 2), 2)</f>
        <v>0</v>
      </c>
      <c r="V82">
        <f>ROUND((0/100)*ROUND(Source!R88, 2), 2)</f>
        <v>0</v>
      </c>
      <c r="AC82">
        <v>3</v>
      </c>
    </row>
    <row r="83" spans="1:29" ht="41.15" x14ac:dyDescent="0.3">
      <c r="A83" s="35" t="s">
        <v>147</v>
      </c>
      <c r="B83" s="35" t="str">
        <f>Source!F89</f>
        <v>КА 3</v>
      </c>
      <c r="C83" s="35" t="s">
        <v>364</v>
      </c>
      <c r="D83" s="37" t="str">
        <f>Source!H89</f>
        <v>км</v>
      </c>
      <c r="E83" s="36">
        <f>Source!I89</f>
        <v>0.13769999999999999</v>
      </c>
      <c r="F83" s="39">
        <f>Source!AK89</f>
        <v>22280.670000000002</v>
      </c>
      <c r="G83" s="55" t="s">
        <v>3</v>
      </c>
      <c r="H83" s="36">
        <f>Source!AW90</f>
        <v>1</v>
      </c>
      <c r="I83" s="39">
        <f>Source!O89</f>
        <v>3068.05</v>
      </c>
      <c r="J83" s="36">
        <f>IF(Source!BC90&lt;&gt; 0, Source!BC90, 1)</f>
        <v>9.8800000000000008</v>
      </c>
      <c r="K83" s="39">
        <f>Source!O90</f>
        <v>30312.33</v>
      </c>
      <c r="Q83">
        <f>Source!X89</f>
        <v>0</v>
      </c>
      <c r="R83">
        <f>Source!X90</f>
        <v>0</v>
      </c>
      <c r="S83">
        <f>Source!Y89</f>
        <v>0</v>
      </c>
      <c r="T83">
        <f>Source!Y90</f>
        <v>0</v>
      </c>
      <c r="U83">
        <f>ROUND((175/100)*ROUND(Source!R89, 2), 2)</f>
        <v>0</v>
      </c>
      <c r="V83">
        <f>ROUND((0/100)*ROUND(Source!R90, 2), 2)</f>
        <v>0</v>
      </c>
      <c r="AC83">
        <v>3</v>
      </c>
    </row>
    <row r="84" spans="1:29" ht="28.3" x14ac:dyDescent="0.3">
      <c r="A84" s="35" t="s">
        <v>151</v>
      </c>
      <c r="B84" s="35" t="str">
        <f>Source!F91</f>
        <v>1.14-1-281</v>
      </c>
      <c r="C84" s="35" t="s">
        <v>153</v>
      </c>
      <c r="D84" s="37" t="str">
        <f>Source!H91</f>
        <v>шт.</v>
      </c>
      <c r="E84" s="36">
        <f>Source!I91</f>
        <v>20</v>
      </c>
      <c r="F84" s="39">
        <f>Source!AK91</f>
        <v>30.69</v>
      </c>
      <c r="G84" s="55" t="s">
        <v>3</v>
      </c>
      <c r="H84" s="36">
        <f>Source!AW92</f>
        <v>1</v>
      </c>
      <c r="I84" s="39">
        <f>Source!O91</f>
        <v>613.79999999999995</v>
      </c>
      <c r="J84" s="36">
        <f>IF(Source!BC92&lt;&gt; 0, Source!BC92, 1)</f>
        <v>5.76</v>
      </c>
      <c r="K84" s="39">
        <f>Source!O92</f>
        <v>3535.49</v>
      </c>
      <c r="Q84">
        <f>Source!X91</f>
        <v>0</v>
      </c>
      <c r="R84">
        <f>Source!X92</f>
        <v>0</v>
      </c>
      <c r="S84">
        <f>Source!Y91</f>
        <v>0</v>
      </c>
      <c r="T84">
        <f>Source!Y92</f>
        <v>0</v>
      </c>
      <c r="U84">
        <f>ROUND((175/100)*ROUND(Source!R91, 2), 2)</f>
        <v>0</v>
      </c>
      <c r="V84">
        <f>ROUND((0/100)*ROUND(Source!R92, 2), 2)</f>
        <v>0</v>
      </c>
      <c r="AC84">
        <v>3</v>
      </c>
    </row>
    <row r="85" spans="1:29" ht="28.3" x14ac:dyDescent="0.3">
      <c r="A85" s="35" t="s">
        <v>155</v>
      </c>
      <c r="B85" s="35" t="str">
        <f>Source!F93</f>
        <v>1.14-1-280</v>
      </c>
      <c r="C85" s="35" t="s">
        <v>157</v>
      </c>
      <c r="D85" s="37" t="str">
        <f>Source!H93</f>
        <v>шт.</v>
      </c>
      <c r="E85" s="36">
        <f>Source!I93</f>
        <v>15</v>
      </c>
      <c r="F85" s="39">
        <f>Source!AK93</f>
        <v>9.1199999999999992</v>
      </c>
      <c r="G85" s="55" t="s">
        <v>3</v>
      </c>
      <c r="H85" s="36">
        <f>Source!AW94</f>
        <v>1</v>
      </c>
      <c r="I85" s="39">
        <f>Source!O93</f>
        <v>136.80000000000001</v>
      </c>
      <c r="J85" s="36">
        <f>IF(Source!BC94&lt;&gt; 0, Source!BC94, 1)</f>
        <v>2.68</v>
      </c>
      <c r="K85" s="39">
        <f>Source!O94</f>
        <v>366.62</v>
      </c>
      <c r="Q85">
        <f>Source!X93</f>
        <v>0</v>
      </c>
      <c r="R85">
        <f>Source!X94</f>
        <v>0</v>
      </c>
      <c r="S85">
        <f>Source!Y93</f>
        <v>0</v>
      </c>
      <c r="T85">
        <f>Source!Y94</f>
        <v>0</v>
      </c>
      <c r="U85">
        <f>ROUND((175/100)*ROUND(Source!R93, 2), 2)</f>
        <v>0</v>
      </c>
      <c r="V85">
        <f>ROUND((0/100)*ROUND(Source!R94, 2), 2)</f>
        <v>0</v>
      </c>
      <c r="AC85">
        <v>3</v>
      </c>
    </row>
    <row r="86" spans="1:29" ht="14.15" x14ac:dyDescent="0.3">
      <c r="A86" s="35"/>
      <c r="B86" s="35"/>
      <c r="C86" s="35" t="s">
        <v>348</v>
      </c>
      <c r="D86" s="37" t="s">
        <v>349</v>
      </c>
      <c r="E86" s="36">
        <f>Source!BZ80</f>
        <v>90</v>
      </c>
      <c r="F86" s="39"/>
      <c r="G86" s="38"/>
      <c r="H86" s="36"/>
      <c r="I86" s="39">
        <f>SUM(Q74:Q85)</f>
        <v>408.97</v>
      </c>
      <c r="J86" s="36">
        <f>Source!AT80</f>
        <v>90</v>
      </c>
      <c r="K86" s="39">
        <f>SUM(R74:R85)</f>
        <v>22489.21</v>
      </c>
    </row>
    <row r="87" spans="1:29" ht="14.15" x14ac:dyDescent="0.3">
      <c r="A87" s="35"/>
      <c r="B87" s="35"/>
      <c r="C87" s="35" t="s">
        <v>350</v>
      </c>
      <c r="D87" s="37" t="s">
        <v>349</v>
      </c>
      <c r="E87" s="36">
        <f>Source!CA80</f>
        <v>46</v>
      </c>
      <c r="F87" s="39"/>
      <c r="G87" s="38"/>
      <c r="H87" s="36"/>
      <c r="I87" s="39">
        <f>SUM(S74:S86)</f>
        <v>209.03</v>
      </c>
      <c r="J87" s="36">
        <f>Source!AU80</f>
        <v>46</v>
      </c>
      <c r="K87" s="39">
        <f>SUM(T74:T86)</f>
        <v>11494.48</v>
      </c>
    </row>
    <row r="88" spans="1:29" ht="14.15" x14ac:dyDescent="0.3">
      <c r="A88" s="45"/>
      <c r="B88" s="45"/>
      <c r="C88" s="45" t="s">
        <v>351</v>
      </c>
      <c r="D88" s="46" t="s">
        <v>352</v>
      </c>
      <c r="E88" s="47">
        <f>Source!AQ79</f>
        <v>16.600000000000001</v>
      </c>
      <c r="F88" s="48"/>
      <c r="G88" s="49" t="str">
        <f>Source!DI79</f>
        <v>*1,1</v>
      </c>
      <c r="H88" s="47">
        <f>Source!AV80</f>
        <v>1.0469999999999999</v>
      </c>
      <c r="I88" s="48">
        <f>Source!U79</f>
        <v>38.236440000000002</v>
      </c>
      <c r="J88" s="47"/>
      <c r="K88" s="48"/>
    </row>
    <row r="89" spans="1:29" ht="14.15" x14ac:dyDescent="0.3">
      <c r="C89" s="50" t="s">
        <v>353</v>
      </c>
      <c r="H89" s="51">
        <f>I76+I77+I78+I86+I87+SUM(I79:I85)-SUMIF(AC79:AC85, 5, I79:I85)-SUMIF(AC79:AC85, 6, I79:I85)</f>
        <v>10191.709999999999</v>
      </c>
      <c r="I89" s="51"/>
      <c r="J89" s="51">
        <f>K76+K77+K78+K86+K87+SUM(K79:K85)-SUMIF(AC79:AC85, 5, K79:K85)-SUMIF(AC79:AC85, 6, K79:K85)</f>
        <v>133116.03999999998</v>
      </c>
      <c r="K89" s="51"/>
    </row>
    <row r="90" spans="1:29" ht="14.15" hidden="1" x14ac:dyDescent="0.3">
      <c r="C90" s="50" t="s">
        <v>354</v>
      </c>
      <c r="H90" s="53">
        <f>SUMIF(AC79:AC85, 5, I79:I85)+SUMIF(AC79:AC85, 6, I79:I85)</f>
        <v>0</v>
      </c>
      <c r="I90" s="53"/>
      <c r="J90" s="53">
        <f>SUMIF(AC79:AC85, 5, K79:K85)+SUMIF(AC79:AC85, 6, K79:K85)</f>
        <v>0</v>
      </c>
      <c r="K90" s="53"/>
    </row>
    <row r="91" spans="1:29" ht="14.15" x14ac:dyDescent="0.3">
      <c r="C91" s="50" t="s">
        <v>355</v>
      </c>
      <c r="H91" s="53">
        <f>I76+I77+I78+I86+I87+SUM(I79:I85)</f>
        <v>10191.709999999999</v>
      </c>
      <c r="I91" s="53"/>
      <c r="J91" s="53">
        <f>K76+K77+K78+K86+K87+SUM(K79:K85)</f>
        <v>133116.03999999998</v>
      </c>
      <c r="K91" s="53"/>
      <c r="O91" s="54">
        <f>I76+I77+I78+I86+I87+SUM(I79:I85)</f>
        <v>10191.709999999999</v>
      </c>
      <c r="P91" s="54">
        <f>K76+K77+K78+K86+K87+SUM(K79:K85)</f>
        <v>133116.03999999998</v>
      </c>
    </row>
    <row r="93" spans="1:29" ht="78.45" x14ac:dyDescent="0.3">
      <c r="A93" s="35">
        <v>5</v>
      </c>
      <c r="B93" s="35" t="s">
        <v>365</v>
      </c>
      <c r="C93" s="35" t="s">
        <v>167</v>
      </c>
      <c r="D93" s="37" t="str">
        <f>Source!H109</f>
        <v>1 антенна</v>
      </c>
      <c r="E93" s="36">
        <f>Source!I109</f>
        <v>1</v>
      </c>
      <c r="F93" s="39"/>
      <c r="G93" s="38"/>
      <c r="H93" s="36"/>
      <c r="I93" s="39"/>
      <c r="J93" s="36"/>
      <c r="K93" s="39"/>
      <c r="Q93">
        <f>Source!X109</f>
        <v>86.5</v>
      </c>
      <c r="R93">
        <f>Source!X110</f>
        <v>4756.5</v>
      </c>
      <c r="S93">
        <f>Source!Y109</f>
        <v>48.26</v>
      </c>
      <c r="T93">
        <f>Source!Y110</f>
        <v>2653.63</v>
      </c>
      <c r="U93">
        <f>ROUND((175/100)*ROUND(Source!R109, 2), 2)</f>
        <v>0</v>
      </c>
      <c r="V93">
        <f>ROUND((0/100)*ROUND(Source!R110, 2), 2)</f>
        <v>0</v>
      </c>
      <c r="AC93">
        <v>0</v>
      </c>
    </row>
    <row r="94" spans="1:29" ht="14.15" x14ac:dyDescent="0.3">
      <c r="A94" s="35"/>
      <c r="B94" s="35"/>
      <c r="C94" s="35" t="s">
        <v>345</v>
      </c>
      <c r="D94" s="37"/>
      <c r="E94" s="36"/>
      <c r="F94" s="39">
        <f>Source!AO109</f>
        <v>76.150000000000006</v>
      </c>
      <c r="G94" s="38" t="str">
        <f>Source!DG109</f>
        <v>*1,1</v>
      </c>
      <c r="H94" s="36">
        <f>Source!AV110</f>
        <v>1.087</v>
      </c>
      <c r="I94" s="39">
        <f>Source!S109</f>
        <v>91.05</v>
      </c>
      <c r="J94" s="36">
        <f>IF(Source!BA110&lt;&gt; 0, Source!BA110, 1)</f>
        <v>54.99</v>
      </c>
      <c r="K94" s="39">
        <f>Source!S110</f>
        <v>5006.84</v>
      </c>
    </row>
    <row r="95" spans="1:29" ht="14.15" x14ac:dyDescent="0.3">
      <c r="A95" s="35"/>
      <c r="B95" s="35"/>
      <c r="C95" s="35" t="s">
        <v>346</v>
      </c>
      <c r="D95" s="37"/>
      <c r="E95" s="36"/>
      <c r="F95" s="39">
        <f>Source!AL109</f>
        <v>0.37</v>
      </c>
      <c r="G95" s="38" t="str">
        <f>Source!DD109</f>
        <v/>
      </c>
      <c r="H95" s="36">
        <f>Source!AW110</f>
        <v>1</v>
      </c>
      <c r="I95" s="39">
        <f>Source!P109</f>
        <v>0.37</v>
      </c>
      <c r="J95" s="36">
        <f>IF(Source!BC110&lt;&gt; 0, Source!BC110, 1)</f>
        <v>9.89</v>
      </c>
      <c r="K95" s="39">
        <f>Source!P110</f>
        <v>3.66</v>
      </c>
    </row>
    <row r="96" spans="1:29" ht="27" x14ac:dyDescent="0.3">
      <c r="A96" s="35" t="s">
        <v>170</v>
      </c>
      <c r="B96" s="35" t="str">
        <f>Source!F111</f>
        <v>КА 4</v>
      </c>
      <c r="C96" s="35" t="s">
        <v>366</v>
      </c>
      <c r="D96" s="37" t="str">
        <f>Source!H111</f>
        <v>шт.</v>
      </c>
      <c r="E96" s="36">
        <f>Source!I111</f>
        <v>1</v>
      </c>
      <c r="F96" s="39">
        <f>Source!AK111</f>
        <v>473.17999999999995</v>
      </c>
      <c r="G96" s="55" t="s">
        <v>3</v>
      </c>
      <c r="H96" s="36">
        <f>Source!AW112</f>
        <v>1</v>
      </c>
      <c r="I96" s="39">
        <f>Source!O111</f>
        <v>473.18</v>
      </c>
      <c r="J96" s="36">
        <f>IF(Source!BC112&lt;&gt; 0, Source!BC112, 1)</f>
        <v>9.8800000000000008</v>
      </c>
      <c r="K96" s="39">
        <f>Source!O112</f>
        <v>4675.0200000000004</v>
      </c>
      <c r="Q96">
        <f>Source!X111</f>
        <v>0</v>
      </c>
      <c r="R96">
        <f>Source!X112</f>
        <v>0</v>
      </c>
      <c r="S96">
        <f>Source!Y111</f>
        <v>0</v>
      </c>
      <c r="T96">
        <f>Source!Y112</f>
        <v>0</v>
      </c>
      <c r="U96">
        <f>ROUND((175/100)*ROUND(Source!R111, 2), 2)</f>
        <v>0</v>
      </c>
      <c r="V96">
        <f>ROUND((0/100)*ROUND(Source!R112, 2), 2)</f>
        <v>0</v>
      </c>
      <c r="AC96">
        <v>3</v>
      </c>
    </row>
    <row r="97" spans="1:29" ht="14.15" x14ac:dyDescent="0.3">
      <c r="A97" s="35"/>
      <c r="B97" s="35"/>
      <c r="C97" s="35" t="s">
        <v>348</v>
      </c>
      <c r="D97" s="37" t="s">
        <v>349</v>
      </c>
      <c r="E97" s="36">
        <f>Source!BZ110</f>
        <v>95</v>
      </c>
      <c r="F97" s="39"/>
      <c r="G97" s="38"/>
      <c r="H97" s="36"/>
      <c r="I97" s="39">
        <f>SUM(Q93:Q96)</f>
        <v>86.5</v>
      </c>
      <c r="J97" s="36">
        <f>Source!AT110</f>
        <v>95</v>
      </c>
      <c r="K97" s="39">
        <f>SUM(R93:R96)</f>
        <v>4756.5</v>
      </c>
    </row>
    <row r="98" spans="1:29" ht="14.15" x14ac:dyDescent="0.3">
      <c r="A98" s="35"/>
      <c r="B98" s="35"/>
      <c r="C98" s="35" t="s">
        <v>350</v>
      </c>
      <c r="D98" s="37" t="s">
        <v>349</v>
      </c>
      <c r="E98" s="36">
        <f>Source!CA110</f>
        <v>53</v>
      </c>
      <c r="F98" s="39"/>
      <c r="G98" s="38"/>
      <c r="H98" s="36"/>
      <c r="I98" s="39">
        <f>SUM(S93:S97)</f>
        <v>48.26</v>
      </c>
      <c r="J98" s="36">
        <f>Source!AU110</f>
        <v>53</v>
      </c>
      <c r="K98" s="39">
        <f>SUM(T93:T97)</f>
        <v>2653.63</v>
      </c>
    </row>
    <row r="99" spans="1:29" ht="14.15" x14ac:dyDescent="0.3">
      <c r="A99" s="45"/>
      <c r="B99" s="45"/>
      <c r="C99" s="45" t="s">
        <v>351</v>
      </c>
      <c r="D99" s="46" t="s">
        <v>352</v>
      </c>
      <c r="E99" s="47">
        <f>Source!AQ109</f>
        <v>5.37</v>
      </c>
      <c r="F99" s="48"/>
      <c r="G99" s="49" t="str">
        <f>Source!DI109</f>
        <v>*1,1</v>
      </c>
      <c r="H99" s="47">
        <f>Source!AV110</f>
        <v>1.087</v>
      </c>
      <c r="I99" s="48">
        <f>Source!U109</f>
        <v>6.4209090000000009</v>
      </c>
      <c r="J99" s="47"/>
      <c r="K99" s="48"/>
    </row>
    <row r="100" spans="1:29" ht="14.15" x14ac:dyDescent="0.3">
      <c r="C100" s="50" t="s">
        <v>353</v>
      </c>
      <c r="H100" s="51">
        <f>I94+I95+I97+I98+SUM(I96:I96)-SUMIF(AC96:AC96, 5, I96:I96)-SUMIF(AC96:AC96, 6, I96:I96)</f>
        <v>699.36</v>
      </c>
      <c r="I100" s="51"/>
      <c r="J100" s="51">
        <f>K94+K95+K97+K98+SUM(K96:K96)-SUMIF(AC96:AC96, 5, K96:K96)-SUMIF(AC96:AC96, 6, K96:K96)</f>
        <v>17095.650000000001</v>
      </c>
      <c r="K100" s="51"/>
    </row>
    <row r="101" spans="1:29" ht="14.15" hidden="1" x14ac:dyDescent="0.3">
      <c r="C101" s="50" t="s">
        <v>354</v>
      </c>
      <c r="H101" s="53">
        <f>SUMIF(AC96:AC96, 5, I96:I96)+SUMIF(AC96:AC96, 6, I96:I96)</f>
        <v>0</v>
      </c>
      <c r="I101" s="53"/>
      <c r="J101" s="53">
        <f>SUMIF(AC96:AC96, 5, K96:K96)+SUMIF(AC96:AC96, 6, K96:K96)</f>
        <v>0</v>
      </c>
      <c r="K101" s="53"/>
    </row>
    <row r="102" spans="1:29" ht="14.15" x14ac:dyDescent="0.3">
      <c r="C102" s="50" t="s">
        <v>355</v>
      </c>
      <c r="H102" s="53">
        <f>I94+I95+I97+I98+SUM(I96:I96)</f>
        <v>699.36</v>
      </c>
      <c r="I102" s="53"/>
      <c r="J102" s="53">
        <f>K94+K95+K97+K98+SUM(K96:K96)</f>
        <v>17095.650000000001</v>
      </c>
      <c r="K102" s="53"/>
      <c r="O102" s="54">
        <f>I94+I95+I97+I98+SUM(I96:I96)</f>
        <v>699.36</v>
      </c>
      <c r="P102" s="54">
        <f>K94+K95+K97+K98+SUM(K96:K96)</f>
        <v>17095.650000000001</v>
      </c>
    </row>
    <row r="104" spans="1:29" ht="78.45" x14ac:dyDescent="0.3">
      <c r="A104" s="35">
        <v>6</v>
      </c>
      <c r="B104" s="35" t="s">
        <v>367</v>
      </c>
      <c r="C104" s="35" t="s">
        <v>176</v>
      </c>
      <c r="D104" s="37" t="str">
        <f>Source!H113</f>
        <v>1  ШТ.</v>
      </c>
      <c r="E104" s="36">
        <f>Source!I113</f>
        <v>1</v>
      </c>
      <c r="F104" s="39"/>
      <c r="G104" s="38"/>
      <c r="H104" s="36"/>
      <c r="I104" s="39"/>
      <c r="J104" s="36"/>
      <c r="K104" s="39"/>
      <c r="Q104">
        <f>Source!X113</f>
        <v>12.52</v>
      </c>
      <c r="R104">
        <f>Source!X114</f>
        <v>688.53</v>
      </c>
      <c r="S104">
        <f>Source!Y113</f>
        <v>6.99</v>
      </c>
      <c r="T104">
        <f>Source!Y114</f>
        <v>384.13</v>
      </c>
      <c r="U104">
        <f>ROUND((175/100)*ROUND(Source!R113, 2), 2)</f>
        <v>0</v>
      </c>
      <c r="V104">
        <f>ROUND((0/100)*ROUND(Source!R114, 2), 2)</f>
        <v>0</v>
      </c>
      <c r="AC104">
        <v>0</v>
      </c>
    </row>
    <row r="105" spans="1:29" ht="14.15" x14ac:dyDescent="0.3">
      <c r="A105" s="35"/>
      <c r="B105" s="35"/>
      <c r="C105" s="35" t="s">
        <v>345</v>
      </c>
      <c r="D105" s="37"/>
      <c r="E105" s="36"/>
      <c r="F105" s="39">
        <f>Source!AO113</f>
        <v>11.02</v>
      </c>
      <c r="G105" s="38" t="str">
        <f>Source!DG113</f>
        <v>*1,1</v>
      </c>
      <c r="H105" s="36">
        <f>Source!AV114</f>
        <v>1.087</v>
      </c>
      <c r="I105" s="39">
        <f>Source!S113</f>
        <v>13.18</v>
      </c>
      <c r="J105" s="36">
        <f>IF(Source!BA114&lt;&gt; 0, Source!BA114, 1)</f>
        <v>54.99</v>
      </c>
      <c r="K105" s="39">
        <f>Source!S114</f>
        <v>724.77</v>
      </c>
    </row>
    <row r="106" spans="1:29" ht="14.15" x14ac:dyDescent="0.3">
      <c r="A106" s="35"/>
      <c r="B106" s="35"/>
      <c r="C106" s="35" t="s">
        <v>346</v>
      </c>
      <c r="D106" s="37"/>
      <c r="E106" s="36"/>
      <c r="F106" s="39">
        <f>Source!AL113</f>
        <v>0.28999999999999998</v>
      </c>
      <c r="G106" s="38" t="str">
        <f>Source!DD113</f>
        <v/>
      </c>
      <c r="H106" s="36">
        <f>Source!AW114</f>
        <v>1</v>
      </c>
      <c r="I106" s="39">
        <f>Source!P113</f>
        <v>0.28999999999999998</v>
      </c>
      <c r="J106" s="36">
        <f>IF(Source!BC114&lt;&gt; 0, Source!BC114, 1)</f>
        <v>9.9</v>
      </c>
      <c r="K106" s="39">
        <f>Source!P114</f>
        <v>2.87</v>
      </c>
    </row>
    <row r="107" spans="1:29" ht="27" x14ac:dyDescent="0.3">
      <c r="A107" s="35" t="s">
        <v>178</v>
      </c>
      <c r="B107" s="35" t="str">
        <f>Source!F115</f>
        <v>КА 5</v>
      </c>
      <c r="C107" s="35" t="s">
        <v>368</v>
      </c>
      <c r="D107" s="37" t="str">
        <f>Source!H115</f>
        <v>шт.</v>
      </c>
      <c r="E107" s="36">
        <f>Source!I115</f>
        <v>1</v>
      </c>
      <c r="F107" s="39">
        <f>Source!AK115</f>
        <v>523.16</v>
      </c>
      <c r="G107" s="55" t="s">
        <v>3</v>
      </c>
      <c r="H107" s="36">
        <f>Source!AW116</f>
        <v>1</v>
      </c>
      <c r="I107" s="39">
        <f>Source!O115</f>
        <v>523.16</v>
      </c>
      <c r="J107" s="36">
        <f>IF(Source!BC116&lt;&gt; 0, Source!BC116, 1)</f>
        <v>9.8800000000000008</v>
      </c>
      <c r="K107" s="39">
        <f>Source!O116</f>
        <v>5168.82</v>
      </c>
      <c r="Q107">
        <f>Source!X115</f>
        <v>0</v>
      </c>
      <c r="R107">
        <f>Source!X116</f>
        <v>0</v>
      </c>
      <c r="S107">
        <f>Source!Y115</f>
        <v>0</v>
      </c>
      <c r="T107">
        <f>Source!Y116</f>
        <v>0</v>
      </c>
      <c r="U107">
        <f>ROUND((175/100)*ROUND(Source!R115, 2), 2)</f>
        <v>0</v>
      </c>
      <c r="V107">
        <f>ROUND((0/100)*ROUND(Source!R116, 2), 2)</f>
        <v>0</v>
      </c>
      <c r="AC107">
        <v>3</v>
      </c>
    </row>
    <row r="108" spans="1:29" ht="14.15" x14ac:dyDescent="0.3">
      <c r="A108" s="35"/>
      <c r="B108" s="35"/>
      <c r="C108" s="35" t="s">
        <v>348</v>
      </c>
      <c r="D108" s="37" t="s">
        <v>349</v>
      </c>
      <c r="E108" s="36">
        <f>Source!BZ114</f>
        <v>95</v>
      </c>
      <c r="F108" s="39"/>
      <c r="G108" s="38"/>
      <c r="H108" s="36"/>
      <c r="I108" s="39">
        <f>SUM(Q104:Q107)</f>
        <v>12.52</v>
      </c>
      <c r="J108" s="36">
        <f>Source!AT114</f>
        <v>95</v>
      </c>
      <c r="K108" s="39">
        <f>SUM(R104:R107)</f>
        <v>688.53</v>
      </c>
    </row>
    <row r="109" spans="1:29" ht="14.15" x14ac:dyDescent="0.3">
      <c r="A109" s="35"/>
      <c r="B109" s="35"/>
      <c r="C109" s="35" t="s">
        <v>350</v>
      </c>
      <c r="D109" s="37" t="s">
        <v>349</v>
      </c>
      <c r="E109" s="36">
        <f>Source!CA114</f>
        <v>53</v>
      </c>
      <c r="F109" s="39"/>
      <c r="G109" s="38"/>
      <c r="H109" s="36"/>
      <c r="I109" s="39">
        <f>SUM(S104:S108)</f>
        <v>6.99</v>
      </c>
      <c r="J109" s="36">
        <f>Source!AU114</f>
        <v>53</v>
      </c>
      <c r="K109" s="39">
        <f>SUM(T104:T108)</f>
        <v>384.13</v>
      </c>
    </row>
    <row r="110" spans="1:29" ht="14.15" x14ac:dyDescent="0.3">
      <c r="A110" s="45"/>
      <c r="B110" s="45"/>
      <c r="C110" s="45" t="s">
        <v>351</v>
      </c>
      <c r="D110" s="46" t="s">
        <v>352</v>
      </c>
      <c r="E110" s="47">
        <f>Source!AQ113</f>
        <v>0.8</v>
      </c>
      <c r="F110" s="48"/>
      <c r="G110" s="49" t="str">
        <f>Source!DI113</f>
        <v>*1,1</v>
      </c>
      <c r="H110" s="47">
        <f>Source!AV114</f>
        <v>1.087</v>
      </c>
      <c r="I110" s="48">
        <f>Source!U113</f>
        <v>0.95656000000000008</v>
      </c>
      <c r="J110" s="47"/>
      <c r="K110" s="48"/>
    </row>
    <row r="111" spans="1:29" ht="14.15" x14ac:dyDescent="0.3">
      <c r="C111" s="50" t="s">
        <v>353</v>
      </c>
      <c r="H111" s="51">
        <f>I105+I106+I108+I109+SUM(I107:I107)-SUMIF(AC107:AC107, 5, I107:I107)-SUMIF(AC107:AC107, 6, I107:I107)</f>
        <v>556.14</v>
      </c>
      <c r="I111" s="51"/>
      <c r="J111" s="51">
        <f>K105+K106+K108+K109+SUM(K107:K107)-SUMIF(AC107:AC107, 5, K107:K107)-SUMIF(AC107:AC107, 6, K107:K107)</f>
        <v>6969.12</v>
      </c>
      <c r="K111" s="51"/>
    </row>
    <row r="112" spans="1:29" ht="14.15" hidden="1" x14ac:dyDescent="0.3">
      <c r="C112" s="50" t="s">
        <v>354</v>
      </c>
      <c r="H112" s="53">
        <f>SUMIF(AC107:AC107, 5, I107:I107)+SUMIF(AC107:AC107, 6, I107:I107)</f>
        <v>0</v>
      </c>
      <c r="I112" s="53"/>
      <c r="J112" s="53">
        <f>SUMIF(AC107:AC107, 5, K107:K107)+SUMIF(AC107:AC107, 6, K107:K107)</f>
        <v>0</v>
      </c>
      <c r="K112" s="53"/>
    </row>
    <row r="113" spans="1:29" ht="14.15" x14ac:dyDescent="0.3">
      <c r="C113" s="50" t="s">
        <v>355</v>
      </c>
      <c r="H113" s="53">
        <f>I105+I106+I108+I109+SUM(I107:I107)</f>
        <v>556.14</v>
      </c>
      <c r="I113" s="53"/>
      <c r="J113" s="53">
        <f>K105+K106+K108+K109+SUM(K107:K107)</f>
        <v>6969.12</v>
      </c>
      <c r="K113" s="53"/>
      <c r="O113" s="54">
        <f>I105+I106+I108+I109+SUM(I107:I107)</f>
        <v>556.14</v>
      </c>
      <c r="P113" s="54">
        <f>K105+K106+K108+K109+SUM(K107:K107)</f>
        <v>6969.12</v>
      </c>
    </row>
    <row r="115" spans="1:29" ht="78.45" x14ac:dyDescent="0.3">
      <c r="A115" s="35">
        <v>7</v>
      </c>
      <c r="B115" s="35" t="s">
        <v>369</v>
      </c>
      <c r="C115" s="35" t="s">
        <v>184</v>
      </c>
      <c r="D115" s="37" t="str">
        <f>Source!H117</f>
        <v>100 м</v>
      </c>
      <c r="E115" s="36">
        <f>Source!I117</f>
        <v>0.1</v>
      </c>
      <c r="F115" s="39"/>
      <c r="G115" s="38"/>
      <c r="H115" s="36"/>
      <c r="I115" s="39"/>
      <c r="J115" s="36"/>
      <c r="K115" s="39"/>
      <c r="Q115">
        <f>Source!X117</f>
        <v>41.44</v>
      </c>
      <c r="R115">
        <f>Source!X118</f>
        <v>2278.6999999999998</v>
      </c>
      <c r="S115">
        <f>Source!Y117</f>
        <v>21.79</v>
      </c>
      <c r="T115">
        <f>Source!Y118</f>
        <v>1198.08</v>
      </c>
      <c r="U115">
        <f>ROUND((175/100)*ROUND(Source!R117, 2), 2)</f>
        <v>0.51</v>
      </c>
      <c r="V115">
        <f>ROUND((0/100)*ROUND(Source!R118, 2), 2)</f>
        <v>0</v>
      </c>
      <c r="AC115">
        <v>0</v>
      </c>
    </row>
    <row r="116" spans="1:29" x14ac:dyDescent="0.3">
      <c r="C116" s="58" t="str">
        <f>"Объем: "&amp;Source!I117&amp;"=10/"&amp;"100"</f>
        <v>Объем: 0,1=10/100</v>
      </c>
    </row>
    <row r="117" spans="1:29" ht="14.15" x14ac:dyDescent="0.3">
      <c r="A117" s="35"/>
      <c r="B117" s="35"/>
      <c r="C117" s="35" t="s">
        <v>345</v>
      </c>
      <c r="D117" s="37"/>
      <c r="E117" s="36"/>
      <c r="F117" s="39">
        <f>Source!AO117</f>
        <v>368.37</v>
      </c>
      <c r="G117" s="38" t="str">
        <f>Source!DG117</f>
        <v>*1,1</v>
      </c>
      <c r="H117" s="36">
        <f>Source!AV118</f>
        <v>1.0469999999999999</v>
      </c>
      <c r="I117" s="39">
        <f>Source!S117</f>
        <v>42.43</v>
      </c>
      <c r="J117" s="36">
        <f>IF(Source!BA118&lt;&gt; 0, Source!BA118, 1)</f>
        <v>54.99</v>
      </c>
      <c r="K117" s="39">
        <f>Source!S118</f>
        <v>2333.23</v>
      </c>
    </row>
    <row r="118" spans="1:29" ht="14.15" x14ac:dyDescent="0.3">
      <c r="A118" s="35"/>
      <c r="B118" s="35"/>
      <c r="C118" s="35" t="s">
        <v>360</v>
      </c>
      <c r="D118" s="37"/>
      <c r="E118" s="36"/>
      <c r="F118" s="39">
        <f>Source!AM117</f>
        <v>129.06</v>
      </c>
      <c r="G118" s="38" t="str">
        <f>Source!DE117</f>
        <v>*1,1</v>
      </c>
      <c r="H118" s="36">
        <f>Source!AV118</f>
        <v>1.0469999999999999</v>
      </c>
      <c r="I118" s="39">
        <f>Source!Q117</f>
        <v>14.86</v>
      </c>
      <c r="J118" s="36">
        <f>IF(Source!BB118&lt;&gt; 0, Source!BB118, 1)</f>
        <v>12.08</v>
      </c>
      <c r="K118" s="39">
        <f>Source!Q118</f>
        <v>179.51</v>
      </c>
    </row>
    <row r="119" spans="1:29" ht="14.15" x14ac:dyDescent="0.3">
      <c r="A119" s="35"/>
      <c r="B119" s="35"/>
      <c r="C119" s="35" t="s">
        <v>361</v>
      </c>
      <c r="D119" s="37"/>
      <c r="E119" s="36"/>
      <c r="F119" s="39">
        <f>Source!AN117</f>
        <v>2.52</v>
      </c>
      <c r="G119" s="38" t="str">
        <f>Source!DF117</f>
        <v>*1,1</v>
      </c>
      <c r="H119" s="36">
        <f>Source!AV118</f>
        <v>1.0469999999999999</v>
      </c>
      <c r="I119" s="59">
        <f>Source!R117</f>
        <v>0.28999999999999998</v>
      </c>
      <c r="J119" s="36">
        <f>IF(Source!BS118&lt;&gt; 0, Source!BS118, 1)</f>
        <v>54.99</v>
      </c>
      <c r="K119" s="59">
        <f>Source!R118</f>
        <v>15.95</v>
      </c>
    </row>
    <row r="120" spans="1:29" ht="14.15" x14ac:dyDescent="0.3">
      <c r="A120" s="35"/>
      <c r="B120" s="35"/>
      <c r="C120" s="35" t="s">
        <v>346</v>
      </c>
      <c r="D120" s="37"/>
      <c r="E120" s="36"/>
      <c r="F120" s="39">
        <f>Source!AL117</f>
        <v>1763.74</v>
      </c>
      <c r="G120" s="38" t="str">
        <f>Source!DD117</f>
        <v/>
      </c>
      <c r="H120" s="36">
        <f>Source!AW118</f>
        <v>1</v>
      </c>
      <c r="I120" s="39">
        <f>Source!P117</f>
        <v>176.37</v>
      </c>
      <c r="J120" s="36">
        <f>IF(Source!BC118&lt;&gt; 0, Source!BC118, 1)</f>
        <v>4.59</v>
      </c>
      <c r="K120" s="39">
        <f>Source!P118</f>
        <v>809.54</v>
      </c>
    </row>
    <row r="121" spans="1:29" ht="70.75" x14ac:dyDescent="0.3">
      <c r="A121" s="35" t="s">
        <v>186</v>
      </c>
      <c r="B121" s="35" t="str">
        <f>Source!F119</f>
        <v>1.21-5-442</v>
      </c>
      <c r="C121" s="35" t="s">
        <v>188</v>
      </c>
      <c r="D121" s="37" t="str">
        <f>Source!H119</f>
        <v>м</v>
      </c>
      <c r="E121" s="36">
        <f>Source!I119</f>
        <v>10.3</v>
      </c>
      <c r="F121" s="39">
        <f>Source!AK119</f>
        <v>18.079999999999998</v>
      </c>
      <c r="G121" s="55" t="s">
        <v>3</v>
      </c>
      <c r="H121" s="36">
        <f>Source!AW120</f>
        <v>1</v>
      </c>
      <c r="I121" s="39">
        <f>Source!O119</f>
        <v>186.22</v>
      </c>
      <c r="J121" s="36">
        <f>IF(Source!BC120&lt;&gt; 0, Source!BC120, 1)</f>
        <v>14.35</v>
      </c>
      <c r="K121" s="39">
        <f>Source!O120</f>
        <v>2672.26</v>
      </c>
      <c r="Q121">
        <f>Source!X119</f>
        <v>0</v>
      </c>
      <c r="R121">
        <f>Source!X120</f>
        <v>0</v>
      </c>
      <c r="S121">
        <f>Source!Y119</f>
        <v>0</v>
      </c>
      <c r="T121">
        <f>Source!Y120</f>
        <v>0</v>
      </c>
      <c r="U121">
        <f>ROUND((175/100)*ROUND(Source!R119, 2), 2)</f>
        <v>0</v>
      </c>
      <c r="V121">
        <f>ROUND((0/100)*ROUND(Source!R120, 2), 2)</f>
        <v>0</v>
      </c>
      <c r="AC121">
        <v>3</v>
      </c>
    </row>
    <row r="122" spans="1:29" ht="14.15" x14ac:dyDescent="0.3">
      <c r="A122" s="35"/>
      <c r="B122" s="35"/>
      <c r="C122" s="35" t="s">
        <v>348</v>
      </c>
      <c r="D122" s="37" t="s">
        <v>349</v>
      </c>
      <c r="E122" s="36">
        <f>Source!BZ118</f>
        <v>97</v>
      </c>
      <c r="F122" s="39"/>
      <c r="G122" s="38"/>
      <c r="H122" s="36"/>
      <c r="I122" s="39">
        <f>SUM(Q115:Q121)</f>
        <v>41.44</v>
      </c>
      <c r="J122" s="36">
        <f>Source!AT118</f>
        <v>97</v>
      </c>
      <c r="K122" s="39">
        <f>SUM(R115:R121)</f>
        <v>2278.6999999999998</v>
      </c>
    </row>
    <row r="123" spans="1:29" ht="14.15" x14ac:dyDescent="0.3">
      <c r="A123" s="35"/>
      <c r="B123" s="35"/>
      <c r="C123" s="35" t="s">
        <v>350</v>
      </c>
      <c r="D123" s="37" t="s">
        <v>349</v>
      </c>
      <c r="E123" s="36">
        <f>Source!CA118</f>
        <v>51</v>
      </c>
      <c r="F123" s="39"/>
      <c r="G123" s="38"/>
      <c r="H123" s="36"/>
      <c r="I123" s="39">
        <f>SUM(S115:S122)</f>
        <v>21.79</v>
      </c>
      <c r="J123" s="36">
        <f>Source!AU118</f>
        <v>51</v>
      </c>
      <c r="K123" s="39">
        <f>SUM(T115:T122)</f>
        <v>1198.08</v>
      </c>
    </row>
    <row r="124" spans="1:29" ht="14.15" x14ac:dyDescent="0.3">
      <c r="A124" s="45"/>
      <c r="B124" s="45"/>
      <c r="C124" s="45" t="s">
        <v>351</v>
      </c>
      <c r="D124" s="46" t="s">
        <v>352</v>
      </c>
      <c r="E124" s="47">
        <f>Source!AQ117</f>
        <v>29.9</v>
      </c>
      <c r="F124" s="48"/>
      <c r="G124" s="49" t="str">
        <f>Source!DI117</f>
        <v>*1,1</v>
      </c>
      <c r="H124" s="47">
        <f>Source!AV118</f>
        <v>1.0469999999999999</v>
      </c>
      <c r="I124" s="48">
        <f>Source!U117</f>
        <v>3.4435829999999998</v>
      </c>
      <c r="J124" s="47"/>
      <c r="K124" s="48"/>
    </row>
    <row r="125" spans="1:29" ht="14.15" x14ac:dyDescent="0.3">
      <c r="C125" s="50" t="s">
        <v>353</v>
      </c>
      <c r="H125" s="51">
        <f>I117+I118+I120+I122+I123+SUM(I121:I121)-SUMIF(AC121:AC121, 5, I121:I121)-SUMIF(AC121:AC121, 6, I121:I121)</f>
        <v>483.11</v>
      </c>
      <c r="I125" s="51"/>
      <c r="J125" s="51">
        <f>K117+K118+K120+K122+K123+SUM(K121:K121)-SUMIF(AC121:AC121, 5, K121:K121)-SUMIF(AC121:AC121, 6, K121:K121)</f>
        <v>9471.32</v>
      </c>
      <c r="K125" s="51"/>
    </row>
    <row r="126" spans="1:29" ht="14.15" hidden="1" x14ac:dyDescent="0.3">
      <c r="C126" s="50" t="s">
        <v>354</v>
      </c>
      <c r="H126" s="53">
        <f>SUMIF(AC121:AC121, 5, I121:I121)+SUMIF(AC121:AC121, 6, I121:I121)</f>
        <v>0</v>
      </c>
      <c r="I126" s="53"/>
      <c r="J126" s="53">
        <f>SUMIF(AC121:AC121, 5, K121:K121)+SUMIF(AC121:AC121, 6, K121:K121)</f>
        <v>0</v>
      </c>
      <c r="K126" s="53"/>
    </row>
    <row r="127" spans="1:29" ht="14.15" x14ac:dyDescent="0.3">
      <c r="C127" s="50" t="s">
        <v>355</v>
      </c>
      <c r="H127" s="53">
        <f>I117+I118+I120+I122+I123+SUM(I121:I121)</f>
        <v>483.11</v>
      </c>
      <c r="I127" s="53"/>
      <c r="J127" s="53">
        <f>K117+K118+K120+K122+K123+SUM(K121:K121)</f>
        <v>9471.32</v>
      </c>
      <c r="K127" s="53"/>
      <c r="O127" s="54">
        <f>I117+I118+I120+I122+I123+SUM(I121:I121)</f>
        <v>483.11</v>
      </c>
      <c r="P127" s="54">
        <f>K117+K118+K120+K122+K123+SUM(K121:K121)</f>
        <v>9471.32</v>
      </c>
    </row>
    <row r="130" spans="1:11" ht="14.15" x14ac:dyDescent="0.35">
      <c r="A130" s="57" t="str">
        <f>CONCATENATE("Итого по разделу: ",IF(Source!G130&lt;&gt;"Новый раздел", Source!G130, ""))</f>
        <v>Итого по разделу: Материалы</v>
      </c>
      <c r="B130" s="57"/>
      <c r="C130" s="57"/>
      <c r="D130" s="57"/>
      <c r="E130" s="57"/>
      <c r="F130" s="57"/>
      <c r="G130" s="57"/>
      <c r="H130" s="53">
        <f>SUM(O59:O129)</f>
        <v>12764.039999999999</v>
      </c>
      <c r="I130" s="52"/>
      <c r="J130" s="53">
        <f>SUM(P59:P129)</f>
        <v>179879.08999999997</v>
      </c>
      <c r="K130" s="52"/>
    </row>
    <row r="131" spans="1:11" hidden="1" x14ac:dyDescent="0.3">
      <c r="A131" t="s">
        <v>357</v>
      </c>
      <c r="I131">
        <f>SUM(W59:W130)</f>
        <v>0</v>
      </c>
      <c r="J131">
        <f>SUM(X59:X130)</f>
        <v>0</v>
      </c>
    </row>
    <row r="132" spans="1:11" hidden="1" x14ac:dyDescent="0.3">
      <c r="A132" t="s">
        <v>358</v>
      </c>
      <c r="I132">
        <f>SUM(Y59:Y131)</f>
        <v>0</v>
      </c>
      <c r="J132">
        <f>SUM(Z59:Z131)</f>
        <v>0</v>
      </c>
    </row>
    <row r="134" spans="1:11" ht="14.15" x14ac:dyDescent="0.35">
      <c r="A134" s="57" t="str">
        <f>CONCATENATE("Итого по локальной смете: ",IF(Source!G160&lt;&gt;"Новая локальная смета", Source!G160, ""))</f>
        <v>Итого по локальной смете: Система кабельного телевидения</v>
      </c>
      <c r="B134" s="57"/>
      <c r="C134" s="57"/>
      <c r="D134" s="57"/>
      <c r="E134" s="57"/>
      <c r="F134" s="57"/>
      <c r="G134" s="57"/>
      <c r="H134" s="53">
        <f>SUM(O28:O133)</f>
        <v>22038.21</v>
      </c>
      <c r="I134" s="52"/>
      <c r="J134" s="53">
        <f>SUM(P28:P133)</f>
        <v>267522.68999999994</v>
      </c>
      <c r="K134" s="52"/>
    </row>
    <row r="135" spans="1:11" hidden="1" x14ac:dyDescent="0.3">
      <c r="A135" t="s">
        <v>357</v>
      </c>
      <c r="I135">
        <f>SUM(W28:W134)</f>
        <v>0</v>
      </c>
      <c r="J135">
        <f>SUM(X28:X134)</f>
        <v>0</v>
      </c>
    </row>
    <row r="136" spans="1:11" hidden="1" x14ac:dyDescent="0.3">
      <c r="A136" t="s">
        <v>358</v>
      </c>
      <c r="I136">
        <f>SUM(Y28:Y135)</f>
        <v>0</v>
      </c>
      <c r="J136">
        <f>SUM(Z28:Z135)</f>
        <v>0</v>
      </c>
    </row>
    <row r="139" spans="1:11" ht="14.15" x14ac:dyDescent="0.35">
      <c r="A139" s="60" t="s">
        <v>371</v>
      </c>
      <c r="B139" s="60"/>
      <c r="C139" s="61" t="str">
        <f>IF(Source!AC12&lt;&gt;"", Source!AC12," ")</f>
        <v xml:space="preserve"> </v>
      </c>
      <c r="D139" s="61"/>
      <c r="E139" s="61"/>
      <c r="F139" s="61"/>
      <c r="G139" s="61"/>
      <c r="H139" s="24" t="str">
        <f>IF(Source!AB12&lt;&gt;"", Source!AB12," ")</f>
        <v>Лукьянова А.Л.</v>
      </c>
      <c r="I139" s="24"/>
      <c r="J139" s="24"/>
      <c r="K139" s="24"/>
    </row>
    <row r="140" spans="1:11" ht="14.15" x14ac:dyDescent="0.35">
      <c r="A140" s="11"/>
      <c r="B140" s="11"/>
      <c r="C140" s="13" t="s">
        <v>372</v>
      </c>
      <c r="D140" s="13"/>
      <c r="E140" s="13"/>
      <c r="F140" s="13"/>
      <c r="G140" s="13"/>
      <c r="H140" s="11"/>
      <c r="I140" s="11"/>
      <c r="J140" s="11"/>
      <c r="K140" s="11"/>
    </row>
    <row r="141" spans="1:11" ht="14.15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 spans="1:11" ht="14.15" x14ac:dyDescent="0.35">
      <c r="A142" s="60" t="s">
        <v>373</v>
      </c>
      <c r="B142" s="60"/>
      <c r="C142" s="61" t="str">
        <f>IF(Source!AE12&lt;&gt;"", Source!AE12," ")</f>
        <v xml:space="preserve"> </v>
      </c>
      <c r="D142" s="61"/>
      <c r="E142" s="61"/>
      <c r="F142" s="61"/>
      <c r="G142" s="61"/>
      <c r="H142" s="24" t="str">
        <f>IF(Source!AD12&lt;&gt;"", Source!AD12," ")</f>
        <v xml:space="preserve"> </v>
      </c>
      <c r="I142" s="24"/>
      <c r="J142" s="24"/>
      <c r="K142" s="24"/>
    </row>
    <row r="143" spans="1:11" ht="14.15" x14ac:dyDescent="0.35">
      <c r="A143" s="11"/>
      <c r="B143" s="11"/>
      <c r="C143" s="13" t="s">
        <v>372</v>
      </c>
      <c r="D143" s="13"/>
      <c r="E143" s="13"/>
      <c r="F143" s="13"/>
      <c r="G143" s="13"/>
      <c r="H143" s="11"/>
      <c r="I143" s="11"/>
      <c r="J143" s="11"/>
      <c r="K143" s="11"/>
    </row>
  </sheetData>
  <mergeCells count="76">
    <mergeCell ref="C140:G140"/>
    <mergeCell ref="A142:B142"/>
    <mergeCell ref="H142:K142"/>
    <mergeCell ref="C143:G143"/>
    <mergeCell ref="A130:G130"/>
    <mergeCell ref="J134:K134"/>
    <mergeCell ref="H134:I134"/>
    <mergeCell ref="A134:G134"/>
    <mergeCell ref="A139:B139"/>
    <mergeCell ref="H139:K139"/>
    <mergeCell ref="H126:I126"/>
    <mergeCell ref="J126:K126"/>
    <mergeCell ref="H127:I127"/>
    <mergeCell ref="J127:K127"/>
    <mergeCell ref="J130:K130"/>
    <mergeCell ref="H130:I130"/>
    <mergeCell ref="H112:I112"/>
    <mergeCell ref="J112:K112"/>
    <mergeCell ref="H113:I113"/>
    <mergeCell ref="J113:K113"/>
    <mergeCell ref="H125:I125"/>
    <mergeCell ref="J125:K125"/>
    <mergeCell ref="H101:I101"/>
    <mergeCell ref="J101:K101"/>
    <mergeCell ref="H102:I102"/>
    <mergeCell ref="J102:K102"/>
    <mergeCell ref="H111:I111"/>
    <mergeCell ref="J111:K111"/>
    <mergeCell ref="H90:I90"/>
    <mergeCell ref="J90:K90"/>
    <mergeCell ref="H91:I91"/>
    <mergeCell ref="J91:K91"/>
    <mergeCell ref="H100:I100"/>
    <mergeCell ref="J100:K100"/>
    <mergeCell ref="H71:I71"/>
    <mergeCell ref="J71:K71"/>
    <mergeCell ref="H72:I72"/>
    <mergeCell ref="J72:K72"/>
    <mergeCell ref="H89:I89"/>
    <mergeCell ref="J89:K89"/>
    <mergeCell ref="J55:K55"/>
    <mergeCell ref="H55:I55"/>
    <mergeCell ref="A55:G55"/>
    <mergeCell ref="A59:K59"/>
    <mergeCell ref="H70:I70"/>
    <mergeCell ref="J70:K70"/>
    <mergeCell ref="H50:I50"/>
    <mergeCell ref="J50:K50"/>
    <mergeCell ref="H51:I51"/>
    <mergeCell ref="J51:K51"/>
    <mergeCell ref="H52:I52"/>
    <mergeCell ref="J52:K52"/>
    <mergeCell ref="H37:I37"/>
    <mergeCell ref="J37:K37"/>
    <mergeCell ref="H38:I38"/>
    <mergeCell ref="J38:K38"/>
    <mergeCell ref="H39:I39"/>
    <mergeCell ref="J39:K39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68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zoomScaleNormal="100" workbookViewId="0"/>
  </sheetViews>
  <sheetFormatPr defaultRowHeight="12.45" x14ac:dyDescent="0.3"/>
  <cols>
    <col min="1" max="2" width="6.69140625" customWidth="1"/>
    <col min="3" max="3" width="75.69140625" customWidth="1"/>
    <col min="4" max="8" width="15.69140625" customWidth="1"/>
    <col min="30" max="32" width="0" hidden="1" customWidth="1"/>
  </cols>
  <sheetData>
    <row r="1" spans="1:8" x14ac:dyDescent="0.3">
      <c r="A1" s="10" t="str">
        <f>Source!B1</f>
        <v>Smeta.RU  (495) 974-1589</v>
      </c>
    </row>
    <row r="2" spans="1:8" ht="14.15" x14ac:dyDescent="0.35">
      <c r="D2" s="11"/>
      <c r="E2" s="11"/>
    </row>
    <row r="3" spans="1:8" ht="14.15" x14ac:dyDescent="0.35">
      <c r="D3" s="11"/>
      <c r="E3" s="56" t="s">
        <v>374</v>
      </c>
    </row>
    <row r="4" spans="1:8" ht="14.15" x14ac:dyDescent="0.35">
      <c r="D4" s="56"/>
      <c r="E4" s="56"/>
    </row>
    <row r="5" spans="1:8" ht="14.15" x14ac:dyDescent="0.35">
      <c r="D5" s="62" t="s">
        <v>375</v>
      </c>
      <c r="E5" s="62"/>
    </row>
    <row r="6" spans="1:8" ht="14.15" x14ac:dyDescent="0.35">
      <c r="D6" s="63"/>
      <c r="E6" s="63"/>
    </row>
    <row r="7" spans="1:8" ht="14.15" x14ac:dyDescent="0.35">
      <c r="D7" s="62" t="s">
        <v>375</v>
      </c>
      <c r="E7" s="62"/>
    </row>
    <row r="8" spans="1:8" ht="14.15" x14ac:dyDescent="0.35">
      <c r="D8" s="63"/>
      <c r="E8" s="63"/>
    </row>
    <row r="9" spans="1:8" ht="14.15" x14ac:dyDescent="0.35">
      <c r="D9" s="56" t="s">
        <v>376</v>
      </c>
      <c r="E9" s="11"/>
    </row>
    <row r="10" spans="1:8" ht="14.15" x14ac:dyDescent="0.35">
      <c r="D10" s="11"/>
      <c r="E10" s="11"/>
    </row>
    <row r="12" spans="1:8" ht="15.45" x14ac:dyDescent="0.3">
      <c r="B12" s="64" t="str">
        <f>CONCATENATE("Ведомость объемов работ ", IF(Source!AN15&lt;&gt;"", Source!AN15," "))</f>
        <v xml:space="preserve">Ведомость объемов работ  </v>
      </c>
      <c r="C12" s="64"/>
      <c r="D12" s="64"/>
      <c r="E12" s="64"/>
    </row>
    <row r="13" spans="1:8" ht="14.15" x14ac:dyDescent="0.3">
      <c r="B13" s="65" t="str">
        <f>CONCATENATE(Source!F12, " ", Source!G12)</f>
        <v>02-01-11 02-01-11 СКТ</v>
      </c>
      <c r="C13" s="65"/>
      <c r="D13" s="65"/>
      <c r="E13" s="65"/>
    </row>
    <row r="14" spans="1:8" hidden="1" x14ac:dyDescent="0.3"/>
    <row r="16" spans="1:8" ht="70.75" x14ac:dyDescent="0.3">
      <c r="A16" s="30" t="s">
        <v>329</v>
      </c>
      <c r="B16" s="30" t="s">
        <v>377</v>
      </c>
      <c r="C16" s="30" t="s">
        <v>331</v>
      </c>
      <c r="D16" s="30" t="s">
        <v>378</v>
      </c>
      <c r="E16" s="30" t="s">
        <v>379</v>
      </c>
      <c r="F16" s="30" t="s">
        <v>380</v>
      </c>
      <c r="G16" s="30" t="s">
        <v>381</v>
      </c>
      <c r="H16" s="30" t="s">
        <v>382</v>
      </c>
    </row>
    <row r="17" spans="1:8" ht="14.15" x14ac:dyDescent="0.3">
      <c r="A17" s="30">
        <v>1</v>
      </c>
      <c r="B17" s="30">
        <v>2</v>
      </c>
      <c r="C17" s="30">
        <v>3</v>
      </c>
      <c r="D17" s="30">
        <v>4</v>
      </c>
      <c r="E17" s="30">
        <v>5</v>
      </c>
      <c r="F17" s="30">
        <v>6</v>
      </c>
      <c r="G17" s="30">
        <v>7</v>
      </c>
      <c r="H17" s="30">
        <v>8</v>
      </c>
    </row>
    <row r="18" spans="1:8" ht="16.3" x14ac:dyDescent="0.4">
      <c r="A18" s="66" t="str">
        <f>CONCATENATE("Локальная смета: ", Source!G20)</f>
        <v>Локальная смета: Система кабельного телевидения</v>
      </c>
      <c r="B18" s="66"/>
      <c r="C18" s="66"/>
      <c r="D18" s="66"/>
      <c r="E18" s="66"/>
      <c r="F18" s="66"/>
      <c r="G18" s="66"/>
      <c r="H18" s="66"/>
    </row>
    <row r="19" spans="1:8" ht="16.3" x14ac:dyDescent="0.4">
      <c r="A19" s="66" t="str">
        <f>CONCATENATE("Раздел: ", Source!G24)</f>
        <v>Раздел: Оборудование</v>
      </c>
      <c r="B19" s="66"/>
      <c r="C19" s="66"/>
      <c r="D19" s="66"/>
      <c r="E19" s="66"/>
      <c r="F19" s="66"/>
      <c r="G19" s="66"/>
      <c r="H19" s="66"/>
    </row>
    <row r="20" spans="1:8" ht="14.15" x14ac:dyDescent="0.3">
      <c r="A20" s="30">
        <v>1</v>
      </c>
      <c r="B20" s="30" t="str">
        <f>Source!E28</f>
        <v>1</v>
      </c>
      <c r="C20" s="69" t="str">
        <f>Source!G28</f>
        <v>Разные устройства, монтаж базового блока головной станции настенного типа</v>
      </c>
      <c r="D20" s="30" t="s">
        <v>22</v>
      </c>
      <c r="E20" s="70">
        <f>Source!I28</f>
        <v>1</v>
      </c>
      <c r="F20" s="30" t="str">
        <f>Source!U24</f>
        <v/>
      </c>
      <c r="G20" s="30">
        <f>Source!I28</f>
        <v>1</v>
      </c>
      <c r="H20" s="69"/>
    </row>
    <row r="21" spans="1:8" ht="28.3" x14ac:dyDescent="0.3">
      <c r="A21" s="30">
        <v>1.1000000000000001</v>
      </c>
      <c r="B21" s="30" t="str">
        <f>Source!E30</f>
        <v>1,1</v>
      </c>
      <c r="C21" s="69" t="str">
        <f>Source!G30</f>
        <v>Головная станция СКТ "Мини-ГС" на базе оборудования VS50 Pro в шкафу с блоком розеток и автоматом</v>
      </c>
      <c r="D21" s="30" t="s">
        <v>32</v>
      </c>
      <c r="E21" s="70">
        <f>Source!I30</f>
        <v>1</v>
      </c>
      <c r="F21" s="30" t="str">
        <f>Source!U24</f>
        <v/>
      </c>
      <c r="G21" s="30"/>
      <c r="H21" s="69"/>
    </row>
    <row r="22" spans="1:8" ht="14.15" x14ac:dyDescent="0.3">
      <c r="A22" s="30">
        <v>2</v>
      </c>
      <c r="B22" s="30" t="str">
        <f>Source!E32</f>
        <v>2</v>
      </c>
      <c r="C22" s="69" t="str">
        <f>Source!G32</f>
        <v>Установка прибора на резьбовых соединениях</v>
      </c>
      <c r="D22" s="30" t="s">
        <v>22</v>
      </c>
      <c r="E22" s="70">
        <f>Source!I32</f>
        <v>3</v>
      </c>
      <c r="F22" s="30" t="str">
        <f>Source!U24</f>
        <v/>
      </c>
      <c r="G22" s="30">
        <f>Source!I32</f>
        <v>3</v>
      </c>
      <c r="H22" s="69"/>
    </row>
    <row r="23" spans="1:8" ht="14.15" x14ac:dyDescent="0.3">
      <c r="A23" s="30">
        <v>2.1</v>
      </c>
      <c r="B23" s="30" t="str">
        <f>Source!E34</f>
        <v>2,1</v>
      </c>
      <c r="C23" s="69" t="str">
        <f>Source!G34</f>
        <v>Ответвитель направленный, абонентский, типа ОАТ 410</v>
      </c>
      <c r="D23" s="30" t="s">
        <v>32</v>
      </c>
      <c r="E23" s="70">
        <f>Source!I34</f>
        <v>1</v>
      </c>
      <c r="F23" s="30" t="str">
        <f>Source!U24</f>
        <v/>
      </c>
      <c r="G23" s="30"/>
      <c r="H23" s="69"/>
    </row>
    <row r="24" spans="1:8" ht="14.15" x14ac:dyDescent="0.3">
      <c r="A24" s="30">
        <v>2.2000000000000002</v>
      </c>
      <c r="B24" s="30" t="str">
        <f>Source!E36</f>
        <v>2,2</v>
      </c>
      <c r="C24" s="69" t="str">
        <f>Source!G36</f>
        <v>Ответвитель направленный, абонентский, типа ОАТ 412</v>
      </c>
      <c r="D24" s="30" t="s">
        <v>32</v>
      </c>
      <c r="E24" s="70">
        <f>Source!I36</f>
        <v>1</v>
      </c>
      <c r="F24" s="30" t="str">
        <f>Source!U24</f>
        <v/>
      </c>
      <c r="G24" s="30"/>
      <c r="H24" s="69"/>
    </row>
    <row r="25" spans="1:8" ht="14.15" x14ac:dyDescent="0.3">
      <c r="A25" s="30">
        <v>2.2999999999999998</v>
      </c>
      <c r="B25" s="30" t="str">
        <f>Source!E38</f>
        <v>2,3</v>
      </c>
      <c r="C25" s="69" t="str">
        <f>Source!G38</f>
        <v>Ответвитель направленный, абонентский, типа ОАТ 416</v>
      </c>
      <c r="D25" s="30" t="s">
        <v>32</v>
      </c>
      <c r="E25" s="70">
        <f>Source!I38</f>
        <v>1</v>
      </c>
      <c r="F25" s="30" t="str">
        <f>Source!U24</f>
        <v/>
      </c>
      <c r="G25" s="30"/>
      <c r="H25" s="69"/>
    </row>
    <row r="26" spans="1:8" ht="16.3" x14ac:dyDescent="0.4">
      <c r="A26" s="66" t="str">
        <f>CONCATENATE("Раздел: ", Source!G71)</f>
        <v>Раздел: Материалы</v>
      </c>
      <c r="B26" s="66"/>
      <c r="C26" s="66"/>
      <c r="D26" s="66"/>
      <c r="E26" s="66"/>
      <c r="F26" s="66"/>
      <c r="G26" s="66"/>
      <c r="H26" s="66"/>
    </row>
    <row r="27" spans="1:8" ht="14.15" x14ac:dyDescent="0.3">
      <c r="A27" s="30">
        <v>3</v>
      </c>
      <c r="B27" s="30" t="str">
        <f>Source!E75</f>
        <v>3</v>
      </c>
      <c r="C27" s="69" t="str">
        <f>Source!G75</f>
        <v>Монтаж розетки штепсельной трехполюсной</v>
      </c>
      <c r="D27" s="30" t="s">
        <v>114</v>
      </c>
      <c r="E27" s="70">
        <f>Source!I75</f>
        <v>0.05</v>
      </c>
      <c r="F27" s="30" t="str">
        <f>Source!U71</f>
        <v/>
      </c>
      <c r="G27" s="30" t="str">
        <f>"=5/"&amp;"100"</f>
        <v>=5/100</v>
      </c>
      <c r="H27" s="69"/>
    </row>
    <row r="28" spans="1:8" ht="99" x14ac:dyDescent="0.3">
      <c r="A28" s="30">
        <v>3.1</v>
      </c>
      <c r="B28" s="30" t="str">
        <f>Source!E77</f>
        <v>3,1</v>
      </c>
      <c r="C28" s="69" t="str">
        <f>Source!G77</f>
        <v>Розетка телевизионная, скрытой установки, раздельная, двухместная, "штырь" и "гнездо", конечная, затухание 4 дБ, возвратные потери от 12 до 18 дБ, диапазон частот от 5 до 2400 МГц, степень защиты IP20, с безвинтовыми зажимами для радиочастотного коаксиального кабеля с диаметром внутреннего проводника от 0,58 до 1,15 мм и диаметром по изоляции от 3,7 до 5,8 мм, механизм с литой цинковой крепежной рамой, без декоративной крышки, размер не более 71х71х22 мм</v>
      </c>
      <c r="D28" s="30" t="s">
        <v>32</v>
      </c>
      <c r="E28" s="70">
        <f>Source!I77</f>
        <v>5</v>
      </c>
      <c r="F28" s="30" t="str">
        <f>Source!U71</f>
        <v/>
      </c>
      <c r="G28" s="30"/>
      <c r="H28" s="69"/>
    </row>
    <row r="29" spans="1:8" ht="42.45" x14ac:dyDescent="0.3">
      <c r="A29" s="30">
        <v>4</v>
      </c>
      <c r="B29" s="30" t="str">
        <f>Source!E79</f>
        <v>4</v>
      </c>
      <c r="C29" s="69" t="str">
        <f>Source!G79</f>
        <v>Прокладка кабеля связи симметричного для цифровых систем передачи в трубах гофрированных: по бетонным и кирпичным поверхностям стен и потолка</v>
      </c>
      <c r="D29" s="30" t="s">
        <v>124</v>
      </c>
      <c r="E29" s="70">
        <f>Source!I79</f>
        <v>2</v>
      </c>
      <c r="F29" s="30" t="str">
        <f>Source!U71</f>
        <v/>
      </c>
      <c r="G29" s="30" t="str">
        <f>"=200/"&amp;"100"</f>
        <v>=200/100</v>
      </c>
      <c r="H29" s="69"/>
    </row>
    <row r="30" spans="1:8" ht="28.3" x14ac:dyDescent="0.3">
      <c r="A30" s="30">
        <v>4.0999999999999996</v>
      </c>
      <c r="B30" s="30" t="str">
        <f>Source!E81</f>
        <v>4,1</v>
      </c>
      <c r="C30" s="69" t="str">
        <f>Source!G81</f>
        <v>Трубы электротехнические, гофрированные, из ПВХ, негорючие, с зондом, наружный диаметр 20 мм</v>
      </c>
      <c r="D30" s="30" t="s">
        <v>131</v>
      </c>
      <c r="E30" s="70">
        <f>Source!I81</f>
        <v>204</v>
      </c>
      <c r="F30" s="30" t="str">
        <f>Source!U71</f>
        <v/>
      </c>
      <c r="G30" s="30"/>
      <c r="H30" s="69"/>
    </row>
    <row r="31" spans="1:8" ht="28.3" x14ac:dyDescent="0.3">
      <c r="A31" s="30">
        <v>4.2</v>
      </c>
      <c r="B31" s="30" t="str">
        <f>Source!E83</f>
        <v>4,2</v>
      </c>
      <c r="C31" s="69" t="str">
        <f>Source!G83</f>
        <v>Коробка установочная, для скрытой проводки, из полистирола, диаметр 65 мм, высота 40 мм, без саморезов</v>
      </c>
      <c r="D31" s="30" t="s">
        <v>32</v>
      </c>
      <c r="E31" s="70">
        <f>Source!I83</f>
        <v>5</v>
      </c>
      <c r="F31" s="30" t="str">
        <f>Source!U71</f>
        <v/>
      </c>
      <c r="G31" s="30"/>
      <c r="H31" s="69"/>
    </row>
    <row r="32" spans="1:8" ht="28.3" x14ac:dyDescent="0.3">
      <c r="A32" s="30">
        <v>4.3</v>
      </c>
      <c r="B32" s="30" t="str">
        <f>Source!E85</f>
        <v>4,3</v>
      </c>
      <c r="C32" s="69" t="str">
        <f>Source!G85</f>
        <v>Держатель пластиковый с защелкой для крепления труб, рукавов и гибких вводов диаметром 20 мм</v>
      </c>
      <c r="D32" s="30" t="s">
        <v>114</v>
      </c>
      <c r="E32" s="70">
        <f>Source!I85</f>
        <v>6</v>
      </c>
      <c r="F32" s="30" t="str">
        <f>Source!U71</f>
        <v/>
      </c>
      <c r="G32" s="30"/>
      <c r="H32" s="69"/>
    </row>
    <row r="33" spans="1:8" ht="14.15" x14ac:dyDescent="0.3">
      <c r="A33" s="30">
        <v>4.4000000000000004</v>
      </c>
      <c r="B33" s="30" t="str">
        <f>Source!E87</f>
        <v>4,4</v>
      </c>
      <c r="C33" s="69" t="str">
        <f>Source!G87</f>
        <v>Кабель коаксиальный РК 75-4,8-319нг(А)-LSLTx</v>
      </c>
      <c r="D33" s="30" t="s">
        <v>144</v>
      </c>
      <c r="E33" s="70">
        <f>Source!I87</f>
        <v>0.255</v>
      </c>
      <c r="F33" s="30" t="str">
        <f>Source!U71</f>
        <v/>
      </c>
      <c r="G33" s="30"/>
      <c r="H33" s="69"/>
    </row>
    <row r="34" spans="1:8" ht="14.15" x14ac:dyDescent="0.3">
      <c r="A34" s="30">
        <v>4.5</v>
      </c>
      <c r="B34" s="30" t="str">
        <f>Source!E89</f>
        <v>4,5</v>
      </c>
      <c r="C34" s="69" t="str">
        <f>Source!G89</f>
        <v>Кабель коаксиальный РК 75-7-327нг(А)-LSLTx</v>
      </c>
      <c r="D34" s="30" t="s">
        <v>144</v>
      </c>
      <c r="E34" s="70">
        <f>Source!I89</f>
        <v>0.13769999999999999</v>
      </c>
      <c r="F34" s="30" t="str">
        <f>Source!U71</f>
        <v/>
      </c>
      <c r="G34" s="30"/>
      <c r="H34" s="69"/>
    </row>
    <row r="35" spans="1:8" ht="14.15" x14ac:dyDescent="0.3">
      <c r="A35" s="30">
        <v>4.5999999999999996</v>
      </c>
      <c r="B35" s="30" t="str">
        <f>Source!E91</f>
        <v>4,6</v>
      </c>
      <c r="C35" s="69" t="str">
        <f>Source!G91</f>
        <v>Разъем телевизионный F для коаксиального кабеля стандарта RG11</v>
      </c>
      <c r="D35" s="30" t="s">
        <v>32</v>
      </c>
      <c r="E35" s="70">
        <f>Source!I91</f>
        <v>20</v>
      </c>
      <c r="F35" s="30" t="str">
        <f>Source!U71</f>
        <v/>
      </c>
      <c r="G35" s="30"/>
      <c r="H35" s="69"/>
    </row>
    <row r="36" spans="1:8" ht="14.15" x14ac:dyDescent="0.3">
      <c r="A36" s="30">
        <v>4.7</v>
      </c>
      <c r="B36" s="30" t="str">
        <f>Source!E93</f>
        <v>4,7</v>
      </c>
      <c r="C36" s="69" t="str">
        <f>Source!G93</f>
        <v>Разъем телевизионный F для коаксиального кабеля стандарта RG6</v>
      </c>
      <c r="D36" s="30" t="s">
        <v>32</v>
      </c>
      <c r="E36" s="70">
        <f>Source!I93</f>
        <v>15</v>
      </c>
      <c r="F36" s="30" t="str">
        <f>Source!U71</f>
        <v/>
      </c>
      <c r="G36" s="30"/>
      <c r="H36" s="69"/>
    </row>
    <row r="37" spans="1:8" ht="42.45" x14ac:dyDescent="0.3">
      <c r="A37" s="30">
        <v>5</v>
      </c>
      <c r="B37" s="30" t="str">
        <f>Source!E109</f>
        <v>5</v>
      </c>
      <c r="C37" s="69" t="str">
        <f>Source!G109</f>
        <v>Антенные устройства, монтаж антенны коллективной для приема ТВ на антенной опоре высотой до 6 м без оттяжек на кровле с ранее оборудованными трубостойками</v>
      </c>
      <c r="D37" s="30" t="s">
        <v>168</v>
      </c>
      <c r="E37" s="70">
        <f>Source!I109</f>
        <v>1</v>
      </c>
      <c r="F37" s="30" t="str">
        <f>Source!U71</f>
        <v/>
      </c>
      <c r="G37" s="30">
        <f>Source!I109</f>
        <v>1</v>
      </c>
      <c r="H37" s="69"/>
    </row>
    <row r="38" spans="1:8" ht="14.15" x14ac:dyDescent="0.3">
      <c r="A38" s="30">
        <v>5.0999999999999996</v>
      </c>
      <c r="B38" s="30" t="str">
        <f>Source!E111</f>
        <v>5,1</v>
      </c>
      <c r="C38" s="69" t="str">
        <f>Source!G111</f>
        <v>Антенна ДМВ диапазона EB45LTE</v>
      </c>
      <c r="D38" s="30" t="s">
        <v>32</v>
      </c>
      <c r="E38" s="70">
        <f>Source!I111</f>
        <v>1</v>
      </c>
      <c r="F38" s="30" t="str">
        <f>Source!U71</f>
        <v/>
      </c>
      <c r="G38" s="30"/>
      <c r="H38" s="69"/>
    </row>
    <row r="39" spans="1:8" ht="28.3" x14ac:dyDescent="0.3">
      <c r="A39" s="30">
        <v>6</v>
      </c>
      <c r="B39" s="30" t="str">
        <f>Source!E113</f>
        <v>6</v>
      </c>
      <c r="C39" s="69" t="str">
        <f>Source!G113</f>
        <v>Разные устройства, монтаж коробки телевизионной (ответвители, разветвители магистральные, домовые, абонентские), УСС, БФТК</v>
      </c>
      <c r="D39" s="30" t="s">
        <v>22</v>
      </c>
      <c r="E39" s="70">
        <f>Source!I113</f>
        <v>1</v>
      </c>
      <c r="F39" s="30" t="str">
        <f>Source!U71</f>
        <v/>
      </c>
      <c r="G39" s="30">
        <f>Source!I113</f>
        <v>1</v>
      </c>
      <c r="H39" s="69"/>
    </row>
    <row r="40" spans="1:8" ht="14.15" x14ac:dyDescent="0.3">
      <c r="A40" s="30">
        <v>6.1</v>
      </c>
      <c r="B40" s="30" t="str">
        <f>Source!E115</f>
        <v>6,1</v>
      </c>
      <c r="C40" s="69" t="str">
        <f>Source!G115</f>
        <v>Грозозащита 75 Ом ОВР</v>
      </c>
      <c r="D40" s="30" t="s">
        <v>32</v>
      </c>
      <c r="E40" s="70">
        <f>Source!I115</f>
        <v>1</v>
      </c>
      <c r="F40" s="30" t="str">
        <f>Source!U71</f>
        <v/>
      </c>
      <c r="G40" s="30"/>
      <c r="H40" s="69"/>
    </row>
    <row r="41" spans="1:8" ht="14.15" x14ac:dyDescent="0.3">
      <c r="A41" s="30">
        <v>7</v>
      </c>
      <c r="B41" s="30" t="str">
        <f>Source!E117</f>
        <v>7</v>
      </c>
      <c r="C41" s="69" t="str">
        <f>Source!G117</f>
        <v>Прокладка металлического рукава, наружный диаметр до 48 мм</v>
      </c>
      <c r="D41" s="30" t="s">
        <v>124</v>
      </c>
      <c r="E41" s="70">
        <f>Source!I117</f>
        <v>0.1</v>
      </c>
      <c r="F41" s="30" t="str">
        <f>Source!U71</f>
        <v/>
      </c>
      <c r="G41" s="30" t="str">
        <f>"=10/"&amp;"100"</f>
        <v>=10/100</v>
      </c>
      <c r="H41" s="69"/>
    </row>
    <row r="42" spans="1:8" ht="42.45" x14ac:dyDescent="0.3">
      <c r="A42" s="29">
        <v>7.1</v>
      </c>
      <c r="B42" s="29" t="str">
        <f>Source!E119</f>
        <v>7,1</v>
      </c>
      <c r="C42" s="67" t="str">
        <f>Source!G119</f>
        <v>Рукав металлический из алюминиевой ленты, негерметичный, уплотненный хлопчатобумажной нитью, для защиты кабеля от механических повреждений, номинальный диаметр 22 мм</v>
      </c>
      <c r="D42" s="29" t="s">
        <v>131</v>
      </c>
      <c r="E42" s="68">
        <f>Source!I119</f>
        <v>10.3</v>
      </c>
      <c r="F42" s="29" t="str">
        <f>Source!U71</f>
        <v/>
      </c>
      <c r="G42" s="29"/>
      <c r="H42" s="67"/>
    </row>
    <row r="45" spans="1:8" ht="14.15" x14ac:dyDescent="0.35">
      <c r="C45" s="71" t="s">
        <v>383</v>
      </c>
      <c r="D45" s="71" t="str">
        <f>IF(Source!X12&lt;&gt;"", Source!X12," ")</f>
        <v xml:space="preserve"> </v>
      </c>
      <c r="E45" s="72"/>
    </row>
    <row r="46" spans="1:8" ht="14.15" x14ac:dyDescent="0.35">
      <c r="C46" s="11"/>
      <c r="D46" s="72"/>
      <c r="E46" s="72"/>
    </row>
    <row r="47" spans="1:8" ht="14.15" x14ac:dyDescent="0.35">
      <c r="C47" s="73" t="s">
        <v>384</v>
      </c>
      <c r="D47" s="73" t="str">
        <f>IF(Source!AB12&lt;&gt;"", Source!AB12," ")</f>
        <v>Лукьянова А.Л.</v>
      </c>
      <c r="E47" s="72"/>
    </row>
  </sheetData>
  <mergeCells count="7">
    <mergeCell ref="A26:H26"/>
    <mergeCell ref="D5:E5"/>
    <mergeCell ref="D7:E7"/>
    <mergeCell ref="B12:E12"/>
    <mergeCell ref="B13:E13"/>
    <mergeCell ref="A18:H18"/>
    <mergeCell ref="A19:H19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237"/>
  <sheetViews>
    <sheetView workbookViewId="0">
      <selection activeCell="A233" sqref="A233:AX233"/>
    </sheetView>
  </sheetViews>
  <sheetFormatPr defaultColWidth="9.15234375" defaultRowHeight="12.45" x14ac:dyDescent="0.3"/>
  <cols>
    <col min="1" max="256" width="9.15234375" customWidth="1"/>
  </cols>
  <sheetData>
    <row r="1" spans="1:133" x14ac:dyDescent="0.3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3">
      <c r="A12" s="1">
        <v>1</v>
      </c>
      <c r="B12" s="1">
        <v>229</v>
      </c>
      <c r="C12" s="1">
        <v>0</v>
      </c>
      <c r="D12" s="1">
        <f>ROW(A190)</f>
        <v>190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1</v>
      </c>
      <c r="BU12" s="1">
        <v>0</v>
      </c>
      <c r="BV12" s="1">
        <v>1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3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3">
      <c r="A18" s="3">
        <v>52</v>
      </c>
      <c r="B18" s="3">
        <f t="shared" ref="B18:G18" si="0">B190</f>
        <v>229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02-01-11</v>
      </c>
      <c r="G18" s="3" t="str">
        <f t="shared" si="0"/>
        <v>02-01-11 СКТ</v>
      </c>
      <c r="H18" s="3"/>
      <c r="I18" s="3"/>
      <c r="J18" s="3"/>
      <c r="K18" s="3"/>
      <c r="L18" s="3"/>
      <c r="M18" s="3"/>
      <c r="N18" s="3"/>
      <c r="O18" s="3">
        <f t="shared" ref="O18:AT18" si="1">O190</f>
        <v>20912.05</v>
      </c>
      <c r="P18" s="3">
        <f t="shared" si="1"/>
        <v>20094.21</v>
      </c>
      <c r="Q18" s="3">
        <f t="shared" si="1"/>
        <v>19.37</v>
      </c>
      <c r="R18" s="3">
        <f t="shared" si="1"/>
        <v>0.37</v>
      </c>
      <c r="S18" s="3">
        <f t="shared" si="1"/>
        <v>798.47</v>
      </c>
      <c r="T18" s="3">
        <f t="shared" si="1"/>
        <v>0</v>
      </c>
      <c r="U18" s="3">
        <f t="shared" si="1"/>
        <v>63.539123450000005</v>
      </c>
      <c r="V18" s="3">
        <f t="shared" si="1"/>
        <v>0</v>
      </c>
      <c r="W18" s="3">
        <f t="shared" si="1"/>
        <v>0</v>
      </c>
      <c r="X18" s="3">
        <f t="shared" si="1"/>
        <v>737.37</v>
      </c>
      <c r="Y18" s="3">
        <f t="shared" si="1"/>
        <v>388.79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8788.39</v>
      </c>
      <c r="AQ18" s="3">
        <f t="shared" si="1"/>
        <v>0</v>
      </c>
      <c r="AR18" s="3">
        <f t="shared" si="1"/>
        <v>22038.21</v>
      </c>
      <c r="AS18" s="3">
        <f t="shared" si="1"/>
        <v>0</v>
      </c>
      <c r="AT18" s="3">
        <f t="shared" si="1"/>
        <v>13249.82</v>
      </c>
      <c r="AU18" s="3">
        <f t="shared" ref="AU18:BZ18" si="2">AU190</f>
        <v>0</v>
      </c>
      <c r="AV18" s="3">
        <f t="shared" si="2"/>
        <v>20094.21</v>
      </c>
      <c r="AW18" s="3">
        <f t="shared" si="2"/>
        <v>11305.82</v>
      </c>
      <c r="AX18" s="3">
        <f t="shared" si="2"/>
        <v>0</v>
      </c>
      <c r="AY18" s="3">
        <f t="shared" si="2"/>
        <v>11305.82</v>
      </c>
      <c r="AZ18" s="3">
        <f t="shared" si="2"/>
        <v>8788.39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CA190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DG190</f>
        <v>205596.36</v>
      </c>
      <c r="DH18" s="4">
        <f t="shared" si="4"/>
        <v>161465.66</v>
      </c>
      <c r="DI18" s="4">
        <f t="shared" si="4"/>
        <v>222.82</v>
      </c>
      <c r="DJ18" s="4">
        <f t="shared" si="4"/>
        <v>20.350000000000001</v>
      </c>
      <c r="DK18" s="4">
        <f t="shared" si="4"/>
        <v>43907.88</v>
      </c>
      <c r="DL18" s="4">
        <f t="shared" si="4"/>
        <v>0</v>
      </c>
      <c r="DM18" s="4">
        <f t="shared" si="4"/>
        <v>63.539123450000005</v>
      </c>
      <c r="DN18" s="4">
        <f t="shared" si="4"/>
        <v>0</v>
      </c>
      <c r="DO18" s="4">
        <f t="shared" si="4"/>
        <v>0</v>
      </c>
      <c r="DP18" s="4">
        <f t="shared" si="4"/>
        <v>40547.870000000003</v>
      </c>
      <c r="DQ18" s="4">
        <f t="shared" si="4"/>
        <v>21378.46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67319.070000000007</v>
      </c>
      <c r="EI18" s="4">
        <f t="shared" si="4"/>
        <v>0</v>
      </c>
      <c r="EJ18" s="4">
        <f t="shared" si="4"/>
        <v>267522.69</v>
      </c>
      <c r="EK18" s="4">
        <f t="shared" si="4"/>
        <v>0</v>
      </c>
      <c r="EL18" s="4">
        <f t="shared" si="4"/>
        <v>200203.62</v>
      </c>
      <c r="EM18" s="4">
        <f t="shared" ref="EM18:FR18" si="5">EM190</f>
        <v>0</v>
      </c>
      <c r="EN18" s="4">
        <f t="shared" si="5"/>
        <v>161465.66</v>
      </c>
      <c r="EO18" s="4">
        <f t="shared" si="5"/>
        <v>94146.59</v>
      </c>
      <c r="EP18" s="4">
        <f t="shared" si="5"/>
        <v>0</v>
      </c>
      <c r="EQ18" s="4">
        <f t="shared" si="5"/>
        <v>94146.59</v>
      </c>
      <c r="ER18" s="4">
        <f t="shared" si="5"/>
        <v>67319.070000000007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FS190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3">
      <c r="A20" s="1">
        <v>3</v>
      </c>
      <c r="B20" s="1">
        <v>1</v>
      </c>
      <c r="C20" s="1"/>
      <c r="D20" s="1">
        <f>ROW(A160)</f>
        <v>160</v>
      </c>
      <c r="E20" s="1"/>
      <c r="F20" s="1" t="s">
        <v>5</v>
      </c>
      <c r="G20" s="1" t="s">
        <v>17</v>
      </c>
      <c r="H20" s="1" t="s">
        <v>3</v>
      </c>
      <c r="I20" s="1">
        <v>0</v>
      </c>
      <c r="J20" s="1" t="s">
        <v>7</v>
      </c>
      <c r="K20" s="1">
        <v>-1</v>
      </c>
      <c r="L20" s="1" t="s">
        <v>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8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3">
      <c r="A22" s="3">
        <v>52</v>
      </c>
      <c r="B22" s="3">
        <f t="shared" ref="B22:G22" si="7">B160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02-01-11</v>
      </c>
      <c r="G22" s="3" t="str">
        <f t="shared" si="7"/>
        <v>Система кабельного телевидения</v>
      </c>
      <c r="H22" s="3"/>
      <c r="I22" s="3"/>
      <c r="J22" s="3"/>
      <c r="K22" s="3"/>
      <c r="L22" s="3"/>
      <c r="M22" s="3"/>
      <c r="N22" s="3"/>
      <c r="O22" s="3">
        <f t="shared" ref="O22:AT22" si="8">O160</f>
        <v>20912.05</v>
      </c>
      <c r="P22" s="3">
        <f t="shared" si="8"/>
        <v>20094.21</v>
      </c>
      <c r="Q22" s="3">
        <f t="shared" si="8"/>
        <v>19.37</v>
      </c>
      <c r="R22" s="3">
        <f t="shared" si="8"/>
        <v>0.37</v>
      </c>
      <c r="S22" s="3">
        <f t="shared" si="8"/>
        <v>798.47</v>
      </c>
      <c r="T22" s="3">
        <f t="shared" si="8"/>
        <v>0</v>
      </c>
      <c r="U22" s="3">
        <f t="shared" si="8"/>
        <v>63.539123450000005</v>
      </c>
      <c r="V22" s="3">
        <f t="shared" si="8"/>
        <v>0</v>
      </c>
      <c r="W22" s="3">
        <f t="shared" si="8"/>
        <v>0</v>
      </c>
      <c r="X22" s="3">
        <f t="shared" si="8"/>
        <v>737.37</v>
      </c>
      <c r="Y22" s="3">
        <f t="shared" si="8"/>
        <v>388.79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8788.39</v>
      </c>
      <c r="AQ22" s="3">
        <f t="shared" si="8"/>
        <v>0</v>
      </c>
      <c r="AR22" s="3">
        <f t="shared" si="8"/>
        <v>22038.21</v>
      </c>
      <c r="AS22" s="3">
        <f t="shared" si="8"/>
        <v>0</v>
      </c>
      <c r="AT22" s="3">
        <f t="shared" si="8"/>
        <v>13249.82</v>
      </c>
      <c r="AU22" s="3">
        <f t="shared" ref="AU22:BZ22" si="9">AU160</f>
        <v>0</v>
      </c>
      <c r="AV22" s="3">
        <f t="shared" si="9"/>
        <v>20094.21</v>
      </c>
      <c r="AW22" s="3">
        <f t="shared" si="9"/>
        <v>11305.82</v>
      </c>
      <c r="AX22" s="3">
        <f t="shared" si="9"/>
        <v>0</v>
      </c>
      <c r="AY22" s="3">
        <f t="shared" si="9"/>
        <v>11305.82</v>
      </c>
      <c r="AZ22" s="3">
        <f t="shared" si="9"/>
        <v>8788.39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CA160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DG160</f>
        <v>205596.36</v>
      </c>
      <c r="DH22" s="4">
        <f t="shared" si="11"/>
        <v>161465.66</v>
      </c>
      <c r="DI22" s="4">
        <f t="shared" si="11"/>
        <v>222.82</v>
      </c>
      <c r="DJ22" s="4">
        <f t="shared" si="11"/>
        <v>20.350000000000001</v>
      </c>
      <c r="DK22" s="4">
        <f t="shared" si="11"/>
        <v>43907.88</v>
      </c>
      <c r="DL22" s="4">
        <f t="shared" si="11"/>
        <v>0</v>
      </c>
      <c r="DM22" s="4">
        <f t="shared" si="11"/>
        <v>63.539123450000005</v>
      </c>
      <c r="DN22" s="4">
        <f t="shared" si="11"/>
        <v>0</v>
      </c>
      <c r="DO22" s="4">
        <f t="shared" si="11"/>
        <v>0</v>
      </c>
      <c r="DP22" s="4">
        <f t="shared" si="11"/>
        <v>40547.870000000003</v>
      </c>
      <c r="DQ22" s="4">
        <f t="shared" si="11"/>
        <v>21378.46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67319.070000000007</v>
      </c>
      <c r="EI22" s="4">
        <f t="shared" si="11"/>
        <v>0</v>
      </c>
      <c r="EJ22" s="4">
        <f t="shared" si="11"/>
        <v>267522.69</v>
      </c>
      <c r="EK22" s="4">
        <f t="shared" si="11"/>
        <v>0</v>
      </c>
      <c r="EL22" s="4">
        <f t="shared" si="11"/>
        <v>200203.62</v>
      </c>
      <c r="EM22" s="4">
        <f t="shared" ref="EM22:FR22" si="12">EM160</f>
        <v>0</v>
      </c>
      <c r="EN22" s="4">
        <f t="shared" si="12"/>
        <v>161465.66</v>
      </c>
      <c r="EO22" s="4">
        <f t="shared" si="12"/>
        <v>94146.59</v>
      </c>
      <c r="EP22" s="4">
        <f t="shared" si="12"/>
        <v>0</v>
      </c>
      <c r="EQ22" s="4">
        <f t="shared" si="12"/>
        <v>94146.59</v>
      </c>
      <c r="ER22" s="4">
        <f t="shared" si="12"/>
        <v>67319.070000000007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FS160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3">
      <c r="A24" s="1">
        <v>4</v>
      </c>
      <c r="B24" s="1">
        <v>1</v>
      </c>
      <c r="C24" s="1"/>
      <c r="D24" s="1">
        <f>ROW(A41)</f>
        <v>41</v>
      </c>
      <c r="E24" s="1"/>
      <c r="F24" s="1" t="s">
        <v>3</v>
      </c>
      <c r="G24" s="1" t="s">
        <v>18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3">
      <c r="A26" s="3">
        <v>52</v>
      </c>
      <c r="B26" s="3">
        <f t="shared" ref="B26:G26" si="14">B41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Оборудование</v>
      </c>
      <c r="H26" s="3"/>
      <c r="I26" s="3"/>
      <c r="J26" s="3"/>
      <c r="K26" s="3"/>
      <c r="L26" s="3"/>
      <c r="M26" s="3"/>
      <c r="N26" s="3"/>
      <c r="O26" s="3">
        <f t="shared" ref="O26:AT26" si="15">O41</f>
        <v>9058.2099999999991</v>
      </c>
      <c r="P26" s="3">
        <f t="shared" si="15"/>
        <v>8911.2000000000007</v>
      </c>
      <c r="Q26" s="3">
        <f t="shared" si="15"/>
        <v>0</v>
      </c>
      <c r="R26" s="3">
        <f t="shared" si="15"/>
        <v>0</v>
      </c>
      <c r="S26" s="3">
        <f t="shared" si="15"/>
        <v>147.01</v>
      </c>
      <c r="T26" s="3">
        <f t="shared" si="15"/>
        <v>0</v>
      </c>
      <c r="U26" s="3">
        <f t="shared" si="15"/>
        <v>10.602129999999999</v>
      </c>
      <c r="V26" s="3">
        <f t="shared" si="15"/>
        <v>0</v>
      </c>
      <c r="W26" s="3">
        <f t="shared" si="15"/>
        <v>0</v>
      </c>
      <c r="X26" s="3">
        <f t="shared" si="15"/>
        <v>138.97999999999999</v>
      </c>
      <c r="Y26" s="3">
        <f t="shared" si="15"/>
        <v>76.98</v>
      </c>
      <c r="Z26" s="3">
        <f t="shared" si="15"/>
        <v>0</v>
      </c>
      <c r="AA26" s="3">
        <f t="shared" si="15"/>
        <v>0</v>
      </c>
      <c r="AB26" s="3">
        <f t="shared" si="15"/>
        <v>9058.2099999999991</v>
      </c>
      <c r="AC26" s="3">
        <f t="shared" si="15"/>
        <v>8911.2000000000007</v>
      </c>
      <c r="AD26" s="3">
        <f t="shared" si="15"/>
        <v>0</v>
      </c>
      <c r="AE26" s="3">
        <f t="shared" si="15"/>
        <v>0</v>
      </c>
      <c r="AF26" s="3">
        <f t="shared" si="15"/>
        <v>147.01</v>
      </c>
      <c r="AG26" s="3">
        <f t="shared" si="15"/>
        <v>0</v>
      </c>
      <c r="AH26" s="3">
        <f t="shared" si="15"/>
        <v>10.602129999999999</v>
      </c>
      <c r="AI26" s="3">
        <f t="shared" si="15"/>
        <v>0</v>
      </c>
      <c r="AJ26" s="3">
        <f t="shared" si="15"/>
        <v>0</v>
      </c>
      <c r="AK26" s="3">
        <f t="shared" si="15"/>
        <v>138.97999999999999</v>
      </c>
      <c r="AL26" s="3">
        <f t="shared" si="15"/>
        <v>76.98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8788.39</v>
      </c>
      <c r="AQ26" s="3">
        <f t="shared" si="15"/>
        <v>0</v>
      </c>
      <c r="AR26" s="3">
        <f t="shared" si="15"/>
        <v>9274.17</v>
      </c>
      <c r="AS26" s="3">
        <f t="shared" si="15"/>
        <v>0</v>
      </c>
      <c r="AT26" s="3">
        <f t="shared" si="15"/>
        <v>485.78</v>
      </c>
      <c r="AU26" s="3">
        <f t="shared" ref="AU26:BZ26" si="16">AU41</f>
        <v>0</v>
      </c>
      <c r="AV26" s="3">
        <f t="shared" si="16"/>
        <v>8911.2000000000007</v>
      </c>
      <c r="AW26" s="3">
        <f t="shared" si="16"/>
        <v>122.81</v>
      </c>
      <c r="AX26" s="3">
        <f t="shared" si="16"/>
        <v>0</v>
      </c>
      <c r="AY26" s="3">
        <f t="shared" si="16"/>
        <v>122.81</v>
      </c>
      <c r="AZ26" s="3">
        <f t="shared" si="16"/>
        <v>8788.39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8788.39</v>
      </c>
      <c r="BZ26" s="3">
        <f t="shared" si="16"/>
        <v>0</v>
      </c>
      <c r="CA26" s="3">
        <f t="shared" ref="CA26:DF26" si="17">CA41</f>
        <v>9274.17</v>
      </c>
      <c r="CB26" s="3">
        <f t="shared" si="17"/>
        <v>0</v>
      </c>
      <c r="CC26" s="3">
        <f t="shared" si="17"/>
        <v>485.78</v>
      </c>
      <c r="CD26" s="3">
        <f t="shared" si="17"/>
        <v>0</v>
      </c>
      <c r="CE26" s="3">
        <f t="shared" si="17"/>
        <v>8911.2000000000007</v>
      </c>
      <c r="CF26" s="3">
        <f t="shared" si="17"/>
        <v>122.81000000000131</v>
      </c>
      <c r="CG26" s="3">
        <f t="shared" si="17"/>
        <v>0</v>
      </c>
      <c r="CH26" s="3">
        <f t="shared" si="17"/>
        <v>122.81000000000131</v>
      </c>
      <c r="CI26" s="3">
        <f t="shared" si="17"/>
        <v>8788.39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DG41</f>
        <v>75768.05</v>
      </c>
      <c r="DH26" s="4">
        <f t="shared" si="18"/>
        <v>67683.97</v>
      </c>
      <c r="DI26" s="4">
        <f t="shared" si="18"/>
        <v>0</v>
      </c>
      <c r="DJ26" s="4">
        <f t="shared" si="18"/>
        <v>0</v>
      </c>
      <c r="DK26" s="4">
        <f t="shared" si="18"/>
        <v>8084.08</v>
      </c>
      <c r="DL26" s="4">
        <f t="shared" si="18"/>
        <v>0</v>
      </c>
      <c r="DM26" s="4">
        <f t="shared" si="18"/>
        <v>10.602129999999999</v>
      </c>
      <c r="DN26" s="4">
        <f t="shared" si="18"/>
        <v>0</v>
      </c>
      <c r="DO26" s="4">
        <f t="shared" si="18"/>
        <v>0</v>
      </c>
      <c r="DP26" s="4">
        <f t="shared" si="18"/>
        <v>7642.84</v>
      </c>
      <c r="DQ26" s="4">
        <f t="shared" si="18"/>
        <v>4232.71</v>
      </c>
      <c r="DR26" s="4">
        <f t="shared" si="18"/>
        <v>0</v>
      </c>
      <c r="DS26" s="4">
        <f t="shared" si="18"/>
        <v>0</v>
      </c>
      <c r="DT26" s="4">
        <f t="shared" si="18"/>
        <v>75768.05</v>
      </c>
      <c r="DU26" s="4">
        <f t="shared" si="18"/>
        <v>67683.97</v>
      </c>
      <c r="DV26" s="4">
        <f t="shared" si="18"/>
        <v>0</v>
      </c>
      <c r="DW26" s="4">
        <f t="shared" si="18"/>
        <v>0</v>
      </c>
      <c r="DX26" s="4">
        <f t="shared" si="18"/>
        <v>8084.08</v>
      </c>
      <c r="DY26" s="4">
        <f t="shared" si="18"/>
        <v>0</v>
      </c>
      <c r="DZ26" s="4">
        <f t="shared" si="18"/>
        <v>10.602129999999999</v>
      </c>
      <c r="EA26" s="4">
        <f t="shared" si="18"/>
        <v>0</v>
      </c>
      <c r="EB26" s="4">
        <f t="shared" si="18"/>
        <v>0</v>
      </c>
      <c r="EC26" s="4">
        <f t="shared" si="18"/>
        <v>7642.84</v>
      </c>
      <c r="ED26" s="4">
        <f t="shared" si="18"/>
        <v>4232.71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67319.070000000007</v>
      </c>
      <c r="EI26" s="4">
        <f t="shared" si="18"/>
        <v>0</v>
      </c>
      <c r="EJ26" s="4">
        <f t="shared" si="18"/>
        <v>87643.6</v>
      </c>
      <c r="EK26" s="4">
        <f t="shared" si="18"/>
        <v>0</v>
      </c>
      <c r="EL26" s="4">
        <f t="shared" si="18"/>
        <v>20324.53</v>
      </c>
      <c r="EM26" s="4">
        <f t="shared" ref="EM26:FR26" si="19">EM41</f>
        <v>0</v>
      </c>
      <c r="EN26" s="4">
        <f t="shared" si="19"/>
        <v>67683.97</v>
      </c>
      <c r="EO26" s="4">
        <f t="shared" si="19"/>
        <v>364.9</v>
      </c>
      <c r="EP26" s="4">
        <f t="shared" si="19"/>
        <v>0</v>
      </c>
      <c r="EQ26" s="4">
        <f t="shared" si="19"/>
        <v>364.9</v>
      </c>
      <c r="ER26" s="4">
        <f t="shared" si="19"/>
        <v>67319.070000000007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67319.070000000007</v>
      </c>
      <c r="FR26" s="4">
        <f t="shared" si="19"/>
        <v>0</v>
      </c>
      <c r="FS26" s="4">
        <f t="shared" ref="FS26:GX26" si="20">FS41</f>
        <v>87643.6</v>
      </c>
      <c r="FT26" s="4">
        <f t="shared" si="20"/>
        <v>0</v>
      </c>
      <c r="FU26" s="4">
        <f t="shared" si="20"/>
        <v>20324.53</v>
      </c>
      <c r="FV26" s="4">
        <f t="shared" si="20"/>
        <v>0</v>
      </c>
      <c r="FW26" s="4">
        <f t="shared" si="20"/>
        <v>67683.97</v>
      </c>
      <c r="FX26" s="4">
        <f t="shared" si="20"/>
        <v>364.89999999999418</v>
      </c>
      <c r="FY26" s="4">
        <f t="shared" si="20"/>
        <v>0</v>
      </c>
      <c r="FZ26" s="4">
        <f t="shared" si="20"/>
        <v>364.89999999999418</v>
      </c>
      <c r="GA26" s="4">
        <f t="shared" si="20"/>
        <v>67319.070000000007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3">
      <c r="A28" s="2">
        <v>17</v>
      </c>
      <c r="B28" s="2">
        <v>1</v>
      </c>
      <c r="C28" s="2"/>
      <c r="D28" s="2">
        <f>ROW(EtalonRes!A1)</f>
        <v>1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39" si="21">ROUND(CP28,2)</f>
        <v>133.83000000000001</v>
      </c>
      <c r="P28" s="2">
        <f>ROUND((ROUND((AC28*AW28*I28),2)*BC28),2)</f>
        <v>0.28999999999999998</v>
      </c>
      <c r="Q28" s="2">
        <f>(ROUND((ROUND((((ET28*1.1))*AV28*I28),2)*BB28),2)+ROUND((ROUND(((AE28-((EU28*1.1)))*AV28*I28),2)*BS28),2))</f>
        <v>0</v>
      </c>
      <c r="R28" s="2">
        <f t="shared" ref="R28:R39" si="22">ROUND((ROUND((AE28*AV28*I28),2)*BS28),2)</f>
        <v>0</v>
      </c>
      <c r="S28" s="2">
        <f t="shared" ref="S28:S39" si="23">ROUND((ROUND((AF28*AV28*I28),2)*BA28),2)</f>
        <v>133.54</v>
      </c>
      <c r="T28" s="2">
        <f t="shared" ref="T28:T39" si="24">ROUND(CU28*I28,2)</f>
        <v>0</v>
      </c>
      <c r="U28" s="2">
        <f t="shared" ref="U28:U39" si="25">CV28*I28</f>
        <v>9.5655999999999999</v>
      </c>
      <c r="V28" s="2">
        <f t="shared" ref="V28:V39" si="26">CW28*I28</f>
        <v>0</v>
      </c>
      <c r="W28" s="2">
        <f t="shared" ref="W28:W39" si="27">ROUND(CX28*I28,2)</f>
        <v>0</v>
      </c>
      <c r="X28" s="2">
        <f t="shared" ref="X28:X39" si="28">ROUND(CY28,2)</f>
        <v>126.86</v>
      </c>
      <c r="Y28" s="2">
        <f t="shared" ref="Y28:Y39" si="29">ROUND(CZ28,2)</f>
        <v>70.78</v>
      </c>
      <c r="Z28" s="2"/>
      <c r="AA28" s="2">
        <v>56503348</v>
      </c>
      <c r="AB28" s="2">
        <f t="shared" ref="AB28:AB39" si="30">ROUND((AC28+AD28+AF28),6)</f>
        <v>123.13800000000001</v>
      </c>
      <c r="AC28" s="2">
        <f t="shared" ref="AC28:AC39" si="31">ROUND((ES28),6)</f>
        <v>0.28999999999999998</v>
      </c>
      <c r="AD28" s="2">
        <f>ROUND(((((ET28*1.1))-((EU28*1.1)))+AE28),6)</f>
        <v>0</v>
      </c>
      <c r="AE28" s="2">
        <f>ROUND(((EU28*1.1)),6)</f>
        <v>0</v>
      </c>
      <c r="AF28" s="2">
        <f>ROUND(((EV28*1.1)),6)</f>
        <v>122.848</v>
      </c>
      <c r="AG28" s="2">
        <f t="shared" ref="AG28:AG39" si="32">ROUND((AP28),6)</f>
        <v>0</v>
      </c>
      <c r="AH28" s="2">
        <f>((EW28*1.1))</f>
        <v>8.8000000000000007</v>
      </c>
      <c r="AI28" s="2">
        <f>((EX28*1.1))</f>
        <v>0</v>
      </c>
      <c r="AJ28" s="2">
        <f t="shared" ref="AJ28:AJ39" si="33">(AS28)</f>
        <v>0</v>
      </c>
      <c r="AK28" s="2">
        <v>111.97</v>
      </c>
      <c r="AL28" s="2">
        <v>0.28999999999999998</v>
      </c>
      <c r="AM28" s="2">
        <v>0</v>
      </c>
      <c r="AN28" s="2">
        <v>0</v>
      </c>
      <c r="AO28" s="2">
        <v>111.68</v>
      </c>
      <c r="AP28" s="2">
        <v>0</v>
      </c>
      <c r="AQ28" s="2">
        <v>8</v>
      </c>
      <c r="AR28" s="2">
        <v>0</v>
      </c>
      <c r="AS28" s="2">
        <v>0</v>
      </c>
      <c r="AT28" s="2">
        <v>95</v>
      </c>
      <c r="AU28" s="2">
        <v>53</v>
      </c>
      <c r="AV28" s="2">
        <v>1.087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69</v>
      </c>
      <c r="BN28" s="2">
        <v>0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95</v>
      </c>
      <c r="CA28" s="2">
        <v>53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</v>
      </c>
      <c r="CO28" s="2">
        <v>0</v>
      </c>
      <c r="CP28" s="2">
        <f t="shared" ref="CP28:CP39" si="34">(P28+Q28+S28)</f>
        <v>133.82999999999998</v>
      </c>
      <c r="CQ28" s="2">
        <f>ROUND((ROUND((AC28*AW28*1),2)*BC28),2)</f>
        <v>0.28999999999999998</v>
      </c>
      <c r="CR28" s="2">
        <f>(ROUND((ROUND((((ET28*1.1))*AV28*1),2)*BB28),2)+ROUND((ROUND(((AE28-((EU28*1.1)))*AV28*1),2)*BS28),2))</f>
        <v>0</v>
      </c>
      <c r="CS28" s="2">
        <f t="shared" ref="CS28:CS39" si="35">ROUND((ROUND((AE28*AV28*1),2)*BS28),2)</f>
        <v>0</v>
      </c>
      <c r="CT28" s="2">
        <f t="shared" ref="CT28:CT39" si="36">ROUND((ROUND((AF28*AV28*1),2)*BA28),2)</f>
        <v>133.54</v>
      </c>
      <c r="CU28" s="2">
        <f t="shared" ref="CU28:CU39" si="37">AG28</f>
        <v>0</v>
      </c>
      <c r="CV28" s="2">
        <f t="shared" ref="CV28:CV39" si="38">(AH28*AV28)</f>
        <v>9.5655999999999999</v>
      </c>
      <c r="CW28" s="2">
        <f t="shared" ref="CW28:CW39" si="39">AI28</f>
        <v>0</v>
      </c>
      <c r="CX28" s="2">
        <f t="shared" ref="CX28:CX39" si="40">AJ28</f>
        <v>0</v>
      </c>
      <c r="CY28" s="2">
        <f t="shared" ref="CY28:CY39" si="41">(((S28+R28)*AT28)/100)</f>
        <v>126.863</v>
      </c>
      <c r="CZ28" s="2">
        <f t="shared" ref="CZ28:CZ39" si="42">(((S28+R28)*AU28)/100)</f>
        <v>70.776200000000003</v>
      </c>
      <c r="DA28" s="2"/>
      <c r="DB28" s="2"/>
      <c r="DC28" s="2" t="s">
        <v>3</v>
      </c>
      <c r="DD28" s="2" t="s">
        <v>3</v>
      </c>
      <c r="DE28" s="2" t="s">
        <v>24</v>
      </c>
      <c r="DF28" s="2" t="s">
        <v>24</v>
      </c>
      <c r="DG28" s="2" t="s">
        <v>24</v>
      </c>
      <c r="DH28" s="2" t="s">
        <v>3</v>
      </c>
      <c r="DI28" s="2" t="s">
        <v>24</v>
      </c>
      <c r="DJ28" s="2" t="s">
        <v>24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58162631</v>
      </c>
      <c r="EF28" s="2">
        <v>40</v>
      </c>
      <c r="EG28" s="2" t="s">
        <v>25</v>
      </c>
      <c r="EH28" s="2">
        <v>0</v>
      </c>
      <c r="EI28" s="2" t="s">
        <v>3</v>
      </c>
      <c r="EJ28" s="2">
        <v>2</v>
      </c>
      <c r="EK28" s="2">
        <v>69</v>
      </c>
      <c r="EL28" s="2" t="s">
        <v>26</v>
      </c>
      <c r="EM28" s="2" t="s">
        <v>27</v>
      </c>
      <c r="EN28" s="2"/>
      <c r="EO28" s="2" t="s">
        <v>28</v>
      </c>
      <c r="EP28" s="2"/>
      <c r="EQ28" s="2">
        <v>0</v>
      </c>
      <c r="ER28" s="2">
        <v>111.97</v>
      </c>
      <c r="ES28" s="2">
        <v>0.28999999999999998</v>
      </c>
      <c r="ET28" s="2">
        <v>0</v>
      </c>
      <c r="EU28" s="2">
        <v>0</v>
      </c>
      <c r="EV28" s="2">
        <v>111.68</v>
      </c>
      <c r="EW28" s="2">
        <v>8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95</v>
      </c>
      <c r="FY28" s="2">
        <v>53</v>
      </c>
      <c r="FZ28" s="2"/>
      <c r="GA28" s="2" t="s">
        <v>3</v>
      </c>
      <c r="GB28" s="2"/>
      <c r="GC28" s="2"/>
      <c r="GD28" s="2">
        <v>1</v>
      </c>
      <c r="GE28" s="2"/>
      <c r="GF28" s="2">
        <v>-860106978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39" si="43">ROUND(IF(AND(BH28=3,BI28=3,FS28&lt;&gt;0),P28,0),2)</f>
        <v>0</v>
      </c>
      <c r="GM28" s="2">
        <f t="shared" ref="GM28:GM39" si="44">ROUND(O28+X28+Y28,2)+GX28</f>
        <v>331.47</v>
      </c>
      <c r="GN28" s="2">
        <f t="shared" ref="GN28:GN39" si="45">IF(OR(BI28=0,BI28=1),GM28-GX28,0)</f>
        <v>0</v>
      </c>
      <c r="GO28" s="2">
        <f t="shared" ref="GO28:GO39" si="46">IF(BI28=2,GM28-GX28,0)</f>
        <v>331.47</v>
      </c>
      <c r="GP28" s="2">
        <f t="shared" ref="GP28:GP39" si="47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39" si="48">ROUND((GT28),6)</f>
        <v>0</v>
      </c>
      <c r="GW28" s="2">
        <v>1</v>
      </c>
      <c r="GX28" s="2">
        <f t="shared" ref="GX28:GX39" si="49">ROUND(HC28*I28,2)</f>
        <v>0</v>
      </c>
      <c r="GY28" s="2"/>
      <c r="GZ28" s="2"/>
      <c r="HA28" s="2">
        <v>0</v>
      </c>
      <c r="HB28" s="2">
        <v>0</v>
      </c>
      <c r="HC28" s="2">
        <f t="shared" ref="HC28:HC39" si="50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3">
      <c r="A29">
        <v>17</v>
      </c>
      <c r="B29">
        <v>1</v>
      </c>
      <c r="D29">
        <f>ROW(EtalonRes!A2)</f>
        <v>2</v>
      </c>
      <c r="E29" t="s">
        <v>19</v>
      </c>
      <c r="F29" t="s">
        <v>20</v>
      </c>
      <c r="G29" t="s">
        <v>21</v>
      </c>
      <c r="H29" t="s">
        <v>22</v>
      </c>
      <c r="I29">
        <v>1</v>
      </c>
      <c r="J29">
        <v>0</v>
      </c>
      <c r="K29">
        <v>1</v>
      </c>
      <c r="O29">
        <f t="shared" si="21"/>
        <v>7346.23</v>
      </c>
      <c r="P29">
        <f>ROUND((ROUND((AC29*AW29*I29),2)*BC29),2)</f>
        <v>2.87</v>
      </c>
      <c r="Q29">
        <f>(ROUND((ROUND((((ET29*1.1))*AV29*I29),2)*BB29),2)+ROUND((ROUND(((AE29-((EU29*1.1)))*AV29*I29),2)*BS29),2))</f>
        <v>0</v>
      </c>
      <c r="R29">
        <f t="shared" si="22"/>
        <v>0</v>
      </c>
      <c r="S29">
        <f t="shared" si="23"/>
        <v>7343.36</v>
      </c>
      <c r="T29">
        <f t="shared" si="24"/>
        <v>0</v>
      </c>
      <c r="U29">
        <f t="shared" si="25"/>
        <v>9.5655999999999999</v>
      </c>
      <c r="V29">
        <f t="shared" si="26"/>
        <v>0</v>
      </c>
      <c r="W29">
        <f t="shared" si="27"/>
        <v>0</v>
      </c>
      <c r="X29">
        <f t="shared" si="28"/>
        <v>6976.19</v>
      </c>
      <c r="Y29">
        <f t="shared" si="29"/>
        <v>3891.98</v>
      </c>
      <c r="AA29">
        <v>56503350</v>
      </c>
      <c r="AB29">
        <f t="shared" si="30"/>
        <v>123.13800000000001</v>
      </c>
      <c r="AC29">
        <f t="shared" si="31"/>
        <v>0.28999999999999998</v>
      </c>
      <c r="AD29">
        <f>ROUND(((((ET29*1.1))-((EU29*1.1)))+AE29),6)</f>
        <v>0</v>
      </c>
      <c r="AE29">
        <f>ROUND(((EU29*1.1)),6)</f>
        <v>0</v>
      </c>
      <c r="AF29">
        <f>ROUND(((EV29*1.1)),6)</f>
        <v>122.848</v>
      </c>
      <c r="AG29">
        <f t="shared" si="32"/>
        <v>0</v>
      </c>
      <c r="AH29">
        <f>((EW29*1.1))</f>
        <v>8.8000000000000007</v>
      </c>
      <c r="AI29">
        <f>((EX29*1.1))</f>
        <v>0</v>
      </c>
      <c r="AJ29">
        <f t="shared" si="33"/>
        <v>0</v>
      </c>
      <c r="AK29">
        <v>111.97</v>
      </c>
      <c r="AL29">
        <v>0.28999999999999998</v>
      </c>
      <c r="AM29">
        <v>0</v>
      </c>
      <c r="AN29">
        <v>0</v>
      </c>
      <c r="AO29">
        <v>111.68</v>
      </c>
      <c r="AP29">
        <v>0</v>
      </c>
      <c r="AQ29">
        <v>8</v>
      </c>
      <c r="AR29">
        <v>0</v>
      </c>
      <c r="AS29">
        <v>0</v>
      </c>
      <c r="AT29">
        <v>95</v>
      </c>
      <c r="AU29">
        <v>53</v>
      </c>
      <c r="AV29">
        <v>1.087</v>
      </c>
      <c r="AW29">
        <v>1</v>
      </c>
      <c r="AZ29">
        <v>1</v>
      </c>
      <c r="BA29">
        <v>54.99</v>
      </c>
      <c r="BB29">
        <v>1</v>
      </c>
      <c r="BC29">
        <v>9.9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2</v>
      </c>
      <c r="BJ29" t="s">
        <v>23</v>
      </c>
      <c r="BM29">
        <v>69</v>
      </c>
      <c r="BN29">
        <v>0</v>
      </c>
      <c r="BO29" t="s">
        <v>20</v>
      </c>
      <c r="BP29">
        <v>1</v>
      </c>
      <c r="BQ29">
        <v>40</v>
      </c>
      <c r="BR29">
        <v>0</v>
      </c>
      <c r="BS29">
        <v>54.99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95</v>
      </c>
      <c r="CA29">
        <v>53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3</v>
      </c>
      <c r="CO29">
        <v>0</v>
      </c>
      <c r="CP29">
        <f t="shared" si="34"/>
        <v>7346.23</v>
      </c>
      <c r="CQ29">
        <f>ROUND((ROUND((AC29*AW29*1),2)*BC29),2)</f>
        <v>2.87</v>
      </c>
      <c r="CR29">
        <f>(ROUND((ROUND((((ET29*1.1))*AV29*1),2)*BB29),2)+ROUND((ROUND(((AE29-((EU29*1.1)))*AV29*1),2)*BS29),2))</f>
        <v>0</v>
      </c>
      <c r="CS29">
        <f t="shared" si="35"/>
        <v>0</v>
      </c>
      <c r="CT29">
        <f t="shared" si="36"/>
        <v>7343.36</v>
      </c>
      <c r="CU29">
        <f t="shared" si="37"/>
        <v>0</v>
      </c>
      <c r="CV29">
        <f t="shared" si="38"/>
        <v>9.5655999999999999</v>
      </c>
      <c r="CW29">
        <f t="shared" si="39"/>
        <v>0</v>
      </c>
      <c r="CX29">
        <f t="shared" si="40"/>
        <v>0</v>
      </c>
      <c r="CY29">
        <f t="shared" si="41"/>
        <v>6976.1919999999991</v>
      </c>
      <c r="CZ29">
        <f t="shared" si="42"/>
        <v>3891.9807999999994</v>
      </c>
      <c r="DC29" t="s">
        <v>3</v>
      </c>
      <c r="DD29" t="s">
        <v>3</v>
      </c>
      <c r="DE29" t="s">
        <v>24</v>
      </c>
      <c r="DF29" t="s">
        <v>24</v>
      </c>
      <c r="DG29" t="s">
        <v>24</v>
      </c>
      <c r="DH29" t="s">
        <v>3</v>
      </c>
      <c r="DI29" t="s">
        <v>24</v>
      </c>
      <c r="DJ29" t="s">
        <v>24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1013</v>
      </c>
      <c r="DV29" t="s">
        <v>22</v>
      </c>
      <c r="DW29" t="s">
        <v>22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58162631</v>
      </c>
      <c r="EF29">
        <v>40</v>
      </c>
      <c r="EG29" t="s">
        <v>25</v>
      </c>
      <c r="EH29">
        <v>0</v>
      </c>
      <c r="EI29" t="s">
        <v>3</v>
      </c>
      <c r="EJ29">
        <v>2</v>
      </c>
      <c r="EK29">
        <v>69</v>
      </c>
      <c r="EL29" t="s">
        <v>26</v>
      </c>
      <c r="EM29" t="s">
        <v>27</v>
      </c>
      <c r="EO29" t="s">
        <v>28</v>
      </c>
      <c r="EQ29">
        <v>0</v>
      </c>
      <c r="ER29">
        <v>111.97</v>
      </c>
      <c r="ES29">
        <v>0.28999999999999998</v>
      </c>
      <c r="ET29">
        <v>0</v>
      </c>
      <c r="EU29">
        <v>0</v>
      </c>
      <c r="EV29">
        <v>111.68</v>
      </c>
      <c r="EW29">
        <v>8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95</v>
      </c>
      <c r="FY29">
        <v>53</v>
      </c>
      <c r="GA29" t="s">
        <v>3</v>
      </c>
      <c r="GD29">
        <v>1</v>
      </c>
      <c r="GF29">
        <v>-860106978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43"/>
        <v>0</v>
      </c>
      <c r="GM29">
        <f t="shared" si="44"/>
        <v>18214.400000000001</v>
      </c>
      <c r="GN29">
        <f t="shared" si="45"/>
        <v>0</v>
      </c>
      <c r="GO29">
        <f t="shared" si="46"/>
        <v>18214.400000000001</v>
      </c>
      <c r="GP29">
        <f t="shared" si="47"/>
        <v>0</v>
      </c>
      <c r="GR29">
        <v>0</v>
      </c>
      <c r="GS29">
        <v>3</v>
      </c>
      <c r="GT29">
        <v>0</v>
      </c>
      <c r="GU29" t="s">
        <v>3</v>
      </c>
      <c r="GV29">
        <f t="shared" si="48"/>
        <v>0</v>
      </c>
      <c r="GW29">
        <v>1</v>
      </c>
      <c r="GX29">
        <f t="shared" si="49"/>
        <v>0</v>
      </c>
      <c r="HA29">
        <v>0</v>
      </c>
      <c r="HB29">
        <v>0</v>
      </c>
      <c r="HC29">
        <f t="shared" si="50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3">
      <c r="A30" s="2">
        <v>18</v>
      </c>
      <c r="B30" s="2">
        <v>1</v>
      </c>
      <c r="C30" s="2"/>
      <c r="D30" s="2"/>
      <c r="E30" s="2" t="s">
        <v>29</v>
      </c>
      <c r="F30" s="2" t="s">
        <v>30</v>
      </c>
      <c r="G30" s="2" t="s">
        <v>31</v>
      </c>
      <c r="H30" s="2" t="s">
        <v>32</v>
      </c>
      <c r="I30" s="2">
        <f>I28*J30</f>
        <v>1</v>
      </c>
      <c r="J30" s="2">
        <v>1</v>
      </c>
      <c r="K30" s="2">
        <v>1</v>
      </c>
      <c r="L30" s="2"/>
      <c r="M30" s="2"/>
      <c r="N30" s="2"/>
      <c r="O30" s="2">
        <f t="shared" si="21"/>
        <v>8788.39</v>
      </c>
      <c r="P30" s="2">
        <f>ROUND((ROUND((AC30*I30),2)*BC30),2)</f>
        <v>8788.39</v>
      </c>
      <c r="Q30" s="2">
        <f>(ROUND((ROUND(((ET30)*AV30*I30),2)*BB30),2)+ROUND((ROUND(((AE30-(EU30))*AV30*I30),2)*BS30),2))</f>
        <v>0</v>
      </c>
      <c r="R30" s="2">
        <f t="shared" si="22"/>
        <v>0</v>
      </c>
      <c r="S30" s="2">
        <f t="shared" si="23"/>
        <v>0</v>
      </c>
      <c r="T30" s="2">
        <f t="shared" si="24"/>
        <v>0</v>
      </c>
      <c r="U30" s="2">
        <f t="shared" si="25"/>
        <v>0</v>
      </c>
      <c r="V30" s="2">
        <f t="shared" si="26"/>
        <v>0</v>
      </c>
      <c r="W30" s="2">
        <f t="shared" si="27"/>
        <v>0</v>
      </c>
      <c r="X30" s="2">
        <f t="shared" si="28"/>
        <v>0</v>
      </c>
      <c r="Y30" s="2">
        <f t="shared" si="29"/>
        <v>0</v>
      </c>
      <c r="Z30" s="2"/>
      <c r="AA30" s="2">
        <v>56503348</v>
      </c>
      <c r="AB30" s="2">
        <f t="shared" si="30"/>
        <v>8788.39</v>
      </c>
      <c r="AC30" s="2">
        <f t="shared" si="31"/>
        <v>8788.39</v>
      </c>
      <c r="AD30" s="2">
        <f>ROUND((((ET30)-(EU30))+AE30),6)</f>
        <v>0</v>
      </c>
      <c r="AE30" s="2">
        <f>ROUND((EU30),6)</f>
        <v>0</v>
      </c>
      <c r="AF30" s="2">
        <f>ROUND((EV30),6)</f>
        <v>0</v>
      </c>
      <c r="AG30" s="2">
        <f t="shared" si="32"/>
        <v>0</v>
      </c>
      <c r="AH30" s="2">
        <f>(EW30)</f>
        <v>0</v>
      </c>
      <c r="AI30" s="2">
        <f>(EX30)</f>
        <v>0</v>
      </c>
      <c r="AJ30" s="2">
        <f t="shared" si="33"/>
        <v>0</v>
      </c>
      <c r="AK30" s="2">
        <v>8788.39</v>
      </c>
      <c r="AL30" s="2">
        <v>8788.39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0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95</v>
      </c>
      <c r="CA30" s="2">
        <v>53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4"/>
        <v>8788.39</v>
      </c>
      <c r="CQ30" s="2">
        <f>ROUND((ROUND((AC30*1),2)*BC30),2)</f>
        <v>8788.39</v>
      </c>
      <c r="CR30" s="2">
        <f>(ROUND((ROUND(((ET30)*AV30*1),2)*BB30),2)+ROUND((ROUND(((AE30-(EU30))*AV30*1),2)*BS30),2))</f>
        <v>0</v>
      </c>
      <c r="CS30" s="2">
        <f t="shared" si="35"/>
        <v>0</v>
      </c>
      <c r="CT30" s="2">
        <f t="shared" si="36"/>
        <v>0</v>
      </c>
      <c r="CU30" s="2">
        <f t="shared" si="37"/>
        <v>0</v>
      </c>
      <c r="CV30" s="2">
        <f t="shared" si="38"/>
        <v>0</v>
      </c>
      <c r="CW30" s="2">
        <f t="shared" si="39"/>
        <v>0</v>
      </c>
      <c r="CX30" s="2">
        <f t="shared" si="40"/>
        <v>0</v>
      </c>
      <c r="CY30" s="2">
        <f t="shared" si="41"/>
        <v>0</v>
      </c>
      <c r="CZ30" s="2">
        <f t="shared" si="42"/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32</v>
      </c>
      <c r="DW30" s="2" t="s">
        <v>32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58162750</v>
      </c>
      <c r="EF30" s="2">
        <v>130</v>
      </c>
      <c r="EG30" s="2" t="s">
        <v>33</v>
      </c>
      <c r="EH30" s="2">
        <v>0</v>
      </c>
      <c r="EI30" s="2" t="s">
        <v>3</v>
      </c>
      <c r="EJ30" s="2">
        <v>3</v>
      </c>
      <c r="EK30" s="2">
        <v>746</v>
      </c>
      <c r="EL30" s="2" t="s">
        <v>34</v>
      </c>
      <c r="EM30" s="2" t="s">
        <v>35</v>
      </c>
      <c r="EN30" s="2"/>
      <c r="EO30" s="2" t="s">
        <v>3</v>
      </c>
      <c r="EP30" s="2"/>
      <c r="EQ30" s="2">
        <v>0</v>
      </c>
      <c r="ER30" s="2">
        <v>0</v>
      </c>
      <c r="ES30" s="2">
        <v>8788.39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>P30</f>
        <v>8788.39</v>
      </c>
      <c r="FS30" s="2">
        <v>0</v>
      </c>
      <c r="FT30" s="2"/>
      <c r="FU30" s="2"/>
      <c r="FV30" s="2"/>
      <c r="FW30" s="2"/>
      <c r="FX30" s="2">
        <v>95</v>
      </c>
      <c r="FY30" s="2">
        <v>53</v>
      </c>
      <c r="FZ30" s="2"/>
      <c r="GA30" s="2" t="s">
        <v>36</v>
      </c>
      <c r="GB30" s="2"/>
      <c r="GC30" s="2"/>
      <c r="GD30" s="2">
        <v>1</v>
      </c>
      <c r="GE30" s="2"/>
      <c r="GF30" s="2">
        <v>1252201046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43"/>
        <v>0</v>
      </c>
      <c r="GM30" s="2">
        <f t="shared" si="44"/>
        <v>8788.39</v>
      </c>
      <c r="GN30" s="2">
        <f t="shared" si="45"/>
        <v>0</v>
      </c>
      <c r="GO30" s="2">
        <f t="shared" si="46"/>
        <v>0</v>
      </c>
      <c r="GP30" s="2">
        <f t="shared" si="47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8"/>
        <v>0</v>
      </c>
      <c r="GW30" s="2">
        <v>1</v>
      </c>
      <c r="GX30" s="2">
        <f t="shared" si="49"/>
        <v>0</v>
      </c>
      <c r="GY30" s="2"/>
      <c r="GZ30" s="2"/>
      <c r="HA30" s="2">
        <v>0</v>
      </c>
      <c r="HB30" s="2">
        <v>0</v>
      </c>
      <c r="HC30" s="2">
        <f t="shared" si="50"/>
        <v>0</v>
      </c>
      <c r="HD30" s="2"/>
      <c r="HE30" s="2" t="s">
        <v>37</v>
      </c>
      <c r="HF30" s="2" t="s">
        <v>38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3">
      <c r="A31">
        <v>18</v>
      </c>
      <c r="B31">
        <v>1</v>
      </c>
      <c r="E31" t="s">
        <v>29</v>
      </c>
      <c r="F31" t="s">
        <v>30</v>
      </c>
      <c r="G31" t="s">
        <v>31</v>
      </c>
      <c r="H31" t="s">
        <v>32</v>
      </c>
      <c r="I31">
        <f>I29*J31</f>
        <v>1</v>
      </c>
      <c r="J31">
        <v>1</v>
      </c>
      <c r="K31">
        <v>1</v>
      </c>
      <c r="O31">
        <f t="shared" si="21"/>
        <v>67319.070000000007</v>
      </c>
      <c r="P31">
        <f>ROUND((ROUND((AC31*I31),2)*BC31),2)</f>
        <v>67319.070000000007</v>
      </c>
      <c r="Q31">
        <f>(ROUND((ROUND(((ET31)*AV31*I31),2)*BB31),2)+ROUND((ROUND(((AE31-(EU31))*AV31*I31),2)*BS31),2))</f>
        <v>0</v>
      </c>
      <c r="R31">
        <f t="shared" si="22"/>
        <v>0</v>
      </c>
      <c r="S31">
        <f t="shared" si="23"/>
        <v>0</v>
      </c>
      <c r="T31">
        <f t="shared" si="24"/>
        <v>0</v>
      </c>
      <c r="U31">
        <f t="shared" si="25"/>
        <v>0</v>
      </c>
      <c r="V31">
        <f t="shared" si="26"/>
        <v>0</v>
      </c>
      <c r="W31">
        <f t="shared" si="27"/>
        <v>0</v>
      </c>
      <c r="X31">
        <f t="shared" si="28"/>
        <v>0</v>
      </c>
      <c r="Y31">
        <f t="shared" si="29"/>
        <v>0</v>
      </c>
      <c r="AA31">
        <v>56503350</v>
      </c>
      <c r="AB31">
        <f t="shared" si="30"/>
        <v>8788.39</v>
      </c>
      <c r="AC31">
        <f t="shared" si="31"/>
        <v>8788.39</v>
      </c>
      <c r="AD31">
        <f>ROUND((((ET31)-(EU31))+AE31),6)</f>
        <v>0</v>
      </c>
      <c r="AE31">
        <f>ROUND((EU31),6)</f>
        <v>0</v>
      </c>
      <c r="AF31">
        <f>ROUND((EV31),6)</f>
        <v>0</v>
      </c>
      <c r="AG31">
        <f t="shared" si="32"/>
        <v>0</v>
      </c>
      <c r="AH31">
        <f>(EW31)</f>
        <v>0</v>
      </c>
      <c r="AI31">
        <f>(EX31)</f>
        <v>0</v>
      </c>
      <c r="AJ31">
        <f t="shared" si="33"/>
        <v>0</v>
      </c>
      <c r="AK31">
        <v>8788.39</v>
      </c>
      <c r="AL31">
        <v>8788.39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Z31">
        <v>1</v>
      </c>
      <c r="BA31">
        <v>1</v>
      </c>
      <c r="BB31">
        <v>1</v>
      </c>
      <c r="BC31">
        <v>7.66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3</v>
      </c>
      <c r="BJ31" t="s">
        <v>3</v>
      </c>
      <c r="BM31">
        <v>746</v>
      </c>
      <c r="BN31">
        <v>0</v>
      </c>
      <c r="BO31" t="s">
        <v>3</v>
      </c>
      <c r="BP31">
        <v>0</v>
      </c>
      <c r="BQ31">
        <v>130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95</v>
      </c>
      <c r="CA31">
        <v>53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4"/>
        <v>67319.070000000007</v>
      </c>
      <c r="CQ31">
        <f>ROUND((ROUND((AC31*1),2)*BC31),2)</f>
        <v>67319.070000000007</v>
      </c>
      <c r="CR31">
        <f>(ROUND((ROUND(((ET31)*AV31*1),2)*BB31),2)+ROUND((ROUND(((AE31-(EU31))*AV31*1),2)*BS31),2))</f>
        <v>0</v>
      </c>
      <c r="CS31">
        <f t="shared" si="35"/>
        <v>0</v>
      </c>
      <c r="CT31">
        <f t="shared" si="36"/>
        <v>0</v>
      </c>
      <c r="CU31">
        <f t="shared" si="37"/>
        <v>0</v>
      </c>
      <c r="CV31">
        <f t="shared" si="38"/>
        <v>0</v>
      </c>
      <c r="CW31">
        <f t="shared" si="39"/>
        <v>0</v>
      </c>
      <c r="CX31">
        <f t="shared" si="40"/>
        <v>0</v>
      </c>
      <c r="CY31">
        <f t="shared" si="41"/>
        <v>0</v>
      </c>
      <c r="CZ31">
        <f t="shared" si="42"/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1010</v>
      </c>
      <c r="DV31" t="s">
        <v>32</v>
      </c>
      <c r="DW31" t="s">
        <v>32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58162750</v>
      </c>
      <c r="EF31">
        <v>130</v>
      </c>
      <c r="EG31" t="s">
        <v>33</v>
      </c>
      <c r="EH31">
        <v>0</v>
      </c>
      <c r="EI31" t="s">
        <v>3</v>
      </c>
      <c r="EJ31">
        <v>3</v>
      </c>
      <c r="EK31">
        <v>746</v>
      </c>
      <c r="EL31" t="s">
        <v>34</v>
      </c>
      <c r="EM31" t="s">
        <v>35</v>
      </c>
      <c r="EO31" t="s">
        <v>3</v>
      </c>
      <c r="EQ31">
        <v>0</v>
      </c>
      <c r="ER31">
        <v>8788.39</v>
      </c>
      <c r="ES31">
        <v>8788.39</v>
      </c>
      <c r="ET31">
        <v>0</v>
      </c>
      <c r="EU31">
        <v>0</v>
      </c>
      <c r="EV31">
        <v>0</v>
      </c>
      <c r="EW31">
        <v>0</v>
      </c>
      <c r="EX31">
        <v>0</v>
      </c>
      <c r="EZ31">
        <v>5</v>
      </c>
      <c r="FC31">
        <v>1</v>
      </c>
      <c r="FD31">
        <v>18</v>
      </c>
      <c r="FF31">
        <v>77500</v>
      </c>
      <c r="FQ31">
        <v>0</v>
      </c>
      <c r="FR31">
        <f>P31</f>
        <v>67319.070000000007</v>
      </c>
      <c r="FS31">
        <v>0</v>
      </c>
      <c r="FX31">
        <v>95</v>
      </c>
      <c r="FY31">
        <v>53</v>
      </c>
      <c r="GA31" t="s">
        <v>36</v>
      </c>
      <c r="GD31">
        <v>1</v>
      </c>
      <c r="GF31">
        <v>1252201046</v>
      </c>
      <c r="GG31">
        <v>2</v>
      </c>
      <c r="GH31">
        <v>3</v>
      </c>
      <c r="GI31">
        <v>5</v>
      </c>
      <c r="GJ31">
        <v>0</v>
      </c>
      <c r="GK31">
        <v>0</v>
      </c>
      <c r="GL31">
        <f t="shared" si="43"/>
        <v>0</v>
      </c>
      <c r="GM31">
        <f t="shared" si="44"/>
        <v>67319.070000000007</v>
      </c>
      <c r="GN31">
        <f t="shared" si="45"/>
        <v>0</v>
      </c>
      <c r="GO31">
        <f t="shared" si="46"/>
        <v>0</v>
      </c>
      <c r="GP31">
        <f t="shared" si="47"/>
        <v>0</v>
      </c>
      <c r="GR31">
        <v>1</v>
      </c>
      <c r="GS31">
        <v>1</v>
      </c>
      <c r="GT31">
        <v>0</v>
      </c>
      <c r="GU31" t="s">
        <v>3</v>
      </c>
      <c r="GV31">
        <f t="shared" si="48"/>
        <v>0</v>
      </c>
      <c r="GW31">
        <v>1</v>
      </c>
      <c r="GX31">
        <f t="shared" si="49"/>
        <v>0</v>
      </c>
      <c r="HA31">
        <v>0</v>
      </c>
      <c r="HB31">
        <v>0</v>
      </c>
      <c r="HC31">
        <f t="shared" si="50"/>
        <v>0</v>
      </c>
      <c r="HE31" t="s">
        <v>37</v>
      </c>
      <c r="HF31" t="s">
        <v>38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3">
      <c r="A32" s="2">
        <v>17</v>
      </c>
      <c r="B32" s="2">
        <v>1</v>
      </c>
      <c r="C32" s="2"/>
      <c r="D32" s="2">
        <f>ROW(EtalonRes!A6)</f>
        <v>6</v>
      </c>
      <c r="E32" s="2" t="s">
        <v>39</v>
      </c>
      <c r="F32" s="2" t="s">
        <v>40</v>
      </c>
      <c r="G32" s="2" t="s">
        <v>41</v>
      </c>
      <c r="H32" s="2" t="s">
        <v>22</v>
      </c>
      <c r="I32" s="2">
        <v>3</v>
      </c>
      <c r="J32" s="2">
        <v>0</v>
      </c>
      <c r="K32" s="2">
        <v>3</v>
      </c>
      <c r="L32" s="2"/>
      <c r="M32" s="2"/>
      <c r="N32" s="2"/>
      <c r="O32" s="2">
        <f t="shared" si="21"/>
        <v>15.9</v>
      </c>
      <c r="P32" s="2">
        <f t="shared" ref="P32:P39" si="51">ROUND((ROUND((AC32*AW32*I32),2)*BC32),2)</f>
        <v>2.4300000000000002</v>
      </c>
      <c r="Q32" s="2">
        <f>(ROUND((ROUND((((ET32*1.1))*AV32*I32),2)*BB32),2)+ROUND((ROUND(((AE32-((EU32*1.1)))*AV32*I32),2)*BS32),2))</f>
        <v>0</v>
      </c>
      <c r="R32" s="2">
        <f t="shared" si="22"/>
        <v>0</v>
      </c>
      <c r="S32" s="2">
        <f t="shared" si="23"/>
        <v>13.47</v>
      </c>
      <c r="T32" s="2">
        <f t="shared" si="24"/>
        <v>0</v>
      </c>
      <c r="U32" s="2">
        <f t="shared" si="25"/>
        <v>1.03653</v>
      </c>
      <c r="V32" s="2">
        <f t="shared" si="26"/>
        <v>0</v>
      </c>
      <c r="W32" s="2">
        <f t="shared" si="27"/>
        <v>0</v>
      </c>
      <c r="X32" s="2">
        <f t="shared" si="28"/>
        <v>12.12</v>
      </c>
      <c r="Y32" s="2">
        <f t="shared" si="29"/>
        <v>6.2</v>
      </c>
      <c r="Z32" s="2"/>
      <c r="AA32" s="2">
        <v>56503348</v>
      </c>
      <c r="AB32" s="2">
        <f t="shared" si="30"/>
        <v>5.0999999999999996</v>
      </c>
      <c r="AC32" s="2">
        <f t="shared" si="31"/>
        <v>0.81</v>
      </c>
      <c r="AD32" s="2">
        <f>ROUND(((((ET32*1.1))-((EU32*1.1)))+AE32),6)</f>
        <v>0</v>
      </c>
      <c r="AE32" s="2">
        <f>ROUND(((EU32*1.1)),6)</f>
        <v>0</v>
      </c>
      <c r="AF32" s="2">
        <f>ROUND(((EV32*1.1)),6)</f>
        <v>4.29</v>
      </c>
      <c r="AG32" s="2">
        <f t="shared" si="32"/>
        <v>0</v>
      </c>
      <c r="AH32" s="2">
        <f>((EW32*1.1))</f>
        <v>0.33</v>
      </c>
      <c r="AI32" s="2">
        <f>((EX32*1.1))</f>
        <v>0</v>
      </c>
      <c r="AJ32" s="2">
        <f t="shared" si="33"/>
        <v>0</v>
      </c>
      <c r="AK32" s="2">
        <v>4.71</v>
      </c>
      <c r="AL32" s="2">
        <v>0.81</v>
      </c>
      <c r="AM32" s="2">
        <v>0</v>
      </c>
      <c r="AN32" s="2">
        <v>0</v>
      </c>
      <c r="AO32" s="2">
        <v>3.9</v>
      </c>
      <c r="AP32" s="2">
        <v>0</v>
      </c>
      <c r="AQ32" s="2">
        <v>0.3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42</v>
      </c>
      <c r="BK32" s="2"/>
      <c r="BL32" s="2"/>
      <c r="BM32" s="2">
        <v>72</v>
      </c>
      <c r="BN32" s="2">
        <v>0</v>
      </c>
      <c r="BO32" s="2" t="s">
        <v>40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4"/>
        <v>15.9</v>
      </c>
      <c r="CQ32" s="2">
        <f t="shared" ref="CQ32:CQ39" si="52">ROUND((ROUND((AC32*AW32*1),2)*BC32),2)</f>
        <v>0.81</v>
      </c>
      <c r="CR32" s="2">
        <f>(ROUND((ROUND((((ET32*1.1))*AV32*1),2)*BB32),2)+ROUND((ROUND(((AE32-((EU32*1.1)))*AV32*1),2)*BS32),2))</f>
        <v>0</v>
      </c>
      <c r="CS32" s="2">
        <f t="shared" si="35"/>
        <v>0</v>
      </c>
      <c r="CT32" s="2">
        <f t="shared" si="36"/>
        <v>4.49</v>
      </c>
      <c r="CU32" s="2">
        <f t="shared" si="37"/>
        <v>0</v>
      </c>
      <c r="CV32" s="2">
        <f t="shared" si="38"/>
        <v>0.34550999999999998</v>
      </c>
      <c r="CW32" s="2">
        <f t="shared" si="39"/>
        <v>0</v>
      </c>
      <c r="CX32" s="2">
        <f t="shared" si="40"/>
        <v>0</v>
      </c>
      <c r="CY32" s="2">
        <f t="shared" si="41"/>
        <v>12.122999999999999</v>
      </c>
      <c r="CZ32" s="2">
        <f t="shared" si="42"/>
        <v>6.1962000000000002</v>
      </c>
      <c r="DA32" s="2"/>
      <c r="DB32" s="2"/>
      <c r="DC32" s="2" t="s">
        <v>3</v>
      </c>
      <c r="DD32" s="2" t="s">
        <v>3</v>
      </c>
      <c r="DE32" s="2" t="s">
        <v>24</v>
      </c>
      <c r="DF32" s="2" t="s">
        <v>24</v>
      </c>
      <c r="DG32" s="2" t="s">
        <v>24</v>
      </c>
      <c r="DH32" s="2" t="s">
        <v>3</v>
      </c>
      <c r="DI32" s="2" t="s">
        <v>24</v>
      </c>
      <c r="DJ32" s="2" t="s">
        <v>24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22</v>
      </c>
      <c r="DW32" s="2" t="s">
        <v>22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58162634</v>
      </c>
      <c r="EF32" s="2">
        <v>40</v>
      </c>
      <c r="EG32" s="2" t="s">
        <v>25</v>
      </c>
      <c r="EH32" s="2">
        <v>0</v>
      </c>
      <c r="EI32" s="2" t="s">
        <v>3</v>
      </c>
      <c r="EJ32" s="2">
        <v>2</v>
      </c>
      <c r="EK32" s="2">
        <v>72</v>
      </c>
      <c r="EL32" s="2" t="s">
        <v>43</v>
      </c>
      <c r="EM32" s="2" t="s">
        <v>44</v>
      </c>
      <c r="EN32" s="2"/>
      <c r="EO32" s="2" t="s">
        <v>28</v>
      </c>
      <c r="EP32" s="2"/>
      <c r="EQ32" s="2">
        <v>0</v>
      </c>
      <c r="ER32" s="2">
        <v>4.71</v>
      </c>
      <c r="ES32" s="2">
        <v>0.81</v>
      </c>
      <c r="ET32" s="2">
        <v>0</v>
      </c>
      <c r="EU32" s="2">
        <v>0</v>
      </c>
      <c r="EV32" s="2">
        <v>3.9</v>
      </c>
      <c r="EW32" s="2">
        <v>0.3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-1494899736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43"/>
        <v>0</v>
      </c>
      <c r="GM32" s="2">
        <f t="shared" si="44"/>
        <v>34.22</v>
      </c>
      <c r="GN32" s="2">
        <f t="shared" si="45"/>
        <v>0</v>
      </c>
      <c r="GO32" s="2">
        <f t="shared" si="46"/>
        <v>34.22</v>
      </c>
      <c r="GP32" s="2">
        <f t="shared" si="47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8"/>
        <v>0</v>
      </c>
      <c r="GW32" s="2">
        <v>1</v>
      </c>
      <c r="GX32" s="2">
        <f t="shared" si="49"/>
        <v>0</v>
      </c>
      <c r="GY32" s="2"/>
      <c r="GZ32" s="2"/>
      <c r="HA32" s="2">
        <v>0</v>
      </c>
      <c r="HB32" s="2">
        <v>0</v>
      </c>
      <c r="HC32" s="2">
        <f t="shared" si="50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3">
      <c r="A33">
        <v>17</v>
      </c>
      <c r="B33">
        <v>1</v>
      </c>
      <c r="D33">
        <f>ROW(EtalonRes!A10)</f>
        <v>10</v>
      </c>
      <c r="E33" t="s">
        <v>39</v>
      </c>
      <c r="F33" t="s">
        <v>40</v>
      </c>
      <c r="G33" t="s">
        <v>41</v>
      </c>
      <c r="H33" t="s">
        <v>22</v>
      </c>
      <c r="I33">
        <v>3</v>
      </c>
      <c r="J33">
        <v>0</v>
      </c>
      <c r="K33">
        <v>3</v>
      </c>
      <c r="O33">
        <f t="shared" si="21"/>
        <v>762.1</v>
      </c>
      <c r="P33">
        <f t="shared" si="51"/>
        <v>21.38</v>
      </c>
      <c r="Q33">
        <f>(ROUND((ROUND((((ET33*1.1))*AV33*I33),2)*BB33),2)+ROUND((ROUND(((AE33-((EU33*1.1)))*AV33*I33),2)*BS33),2))</f>
        <v>0</v>
      </c>
      <c r="R33">
        <f t="shared" si="22"/>
        <v>0</v>
      </c>
      <c r="S33">
        <f t="shared" si="23"/>
        <v>740.72</v>
      </c>
      <c r="T33">
        <f t="shared" si="24"/>
        <v>0</v>
      </c>
      <c r="U33">
        <f t="shared" si="25"/>
        <v>1.03653</v>
      </c>
      <c r="V33">
        <f t="shared" si="26"/>
        <v>0</v>
      </c>
      <c r="W33">
        <f t="shared" si="27"/>
        <v>0</v>
      </c>
      <c r="X33">
        <f t="shared" si="28"/>
        <v>666.65</v>
      </c>
      <c r="Y33">
        <f t="shared" si="29"/>
        <v>340.73</v>
      </c>
      <c r="AA33">
        <v>56503350</v>
      </c>
      <c r="AB33">
        <f t="shared" si="30"/>
        <v>5.0999999999999996</v>
      </c>
      <c r="AC33">
        <f t="shared" si="31"/>
        <v>0.81</v>
      </c>
      <c r="AD33">
        <f>ROUND(((((ET33*1.1))-((EU33*1.1)))+AE33),6)</f>
        <v>0</v>
      </c>
      <c r="AE33">
        <f>ROUND(((EU33*1.1)),6)</f>
        <v>0</v>
      </c>
      <c r="AF33">
        <f>ROUND(((EV33*1.1)),6)</f>
        <v>4.29</v>
      </c>
      <c r="AG33">
        <f t="shared" si="32"/>
        <v>0</v>
      </c>
      <c r="AH33">
        <f>((EW33*1.1))</f>
        <v>0.33</v>
      </c>
      <c r="AI33">
        <f>((EX33*1.1))</f>
        <v>0</v>
      </c>
      <c r="AJ33">
        <f t="shared" si="33"/>
        <v>0</v>
      </c>
      <c r="AK33">
        <v>4.71</v>
      </c>
      <c r="AL33">
        <v>0.81</v>
      </c>
      <c r="AM33">
        <v>0</v>
      </c>
      <c r="AN33">
        <v>0</v>
      </c>
      <c r="AO33">
        <v>3.9</v>
      </c>
      <c r="AP33">
        <v>0</v>
      </c>
      <c r="AQ33">
        <v>0.3</v>
      </c>
      <c r="AR33">
        <v>0</v>
      </c>
      <c r="AS33">
        <v>0</v>
      </c>
      <c r="AT33">
        <v>90</v>
      </c>
      <c r="AU33">
        <v>46</v>
      </c>
      <c r="AV33">
        <v>1.0469999999999999</v>
      </c>
      <c r="AW33">
        <v>1</v>
      </c>
      <c r="AZ33">
        <v>1</v>
      </c>
      <c r="BA33">
        <v>54.99</v>
      </c>
      <c r="BB33">
        <v>1</v>
      </c>
      <c r="BC33">
        <v>8.8000000000000007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2</v>
      </c>
      <c r="BJ33" t="s">
        <v>42</v>
      </c>
      <c r="BM33">
        <v>72</v>
      </c>
      <c r="BN33">
        <v>0</v>
      </c>
      <c r="BO33" t="s">
        <v>40</v>
      </c>
      <c r="BP33">
        <v>1</v>
      </c>
      <c r="BQ33">
        <v>40</v>
      </c>
      <c r="BR33">
        <v>0</v>
      </c>
      <c r="BS33">
        <v>54.99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90</v>
      </c>
      <c r="CA33">
        <v>46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 t="shared" si="34"/>
        <v>762.1</v>
      </c>
      <c r="CQ33">
        <f t="shared" si="52"/>
        <v>7.13</v>
      </c>
      <c r="CR33">
        <f>(ROUND((ROUND((((ET33*1.1))*AV33*1),2)*BB33),2)+ROUND((ROUND(((AE33-((EU33*1.1)))*AV33*1),2)*BS33),2))</f>
        <v>0</v>
      </c>
      <c r="CS33">
        <f t="shared" si="35"/>
        <v>0</v>
      </c>
      <c r="CT33">
        <f t="shared" si="36"/>
        <v>246.91</v>
      </c>
      <c r="CU33">
        <f t="shared" si="37"/>
        <v>0</v>
      </c>
      <c r="CV33">
        <f t="shared" si="38"/>
        <v>0.34550999999999998</v>
      </c>
      <c r="CW33">
        <f t="shared" si="39"/>
        <v>0</v>
      </c>
      <c r="CX33">
        <f t="shared" si="40"/>
        <v>0</v>
      </c>
      <c r="CY33">
        <f t="shared" si="41"/>
        <v>666.64800000000002</v>
      </c>
      <c r="CZ33">
        <f t="shared" si="42"/>
        <v>340.7312</v>
      </c>
      <c r="DC33" t="s">
        <v>3</v>
      </c>
      <c r="DD33" t="s">
        <v>3</v>
      </c>
      <c r="DE33" t="s">
        <v>24</v>
      </c>
      <c r="DF33" t="s">
        <v>24</v>
      </c>
      <c r="DG33" t="s">
        <v>24</v>
      </c>
      <c r="DH33" t="s">
        <v>3</v>
      </c>
      <c r="DI33" t="s">
        <v>24</v>
      </c>
      <c r="DJ33" t="s">
        <v>24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1013</v>
      </c>
      <c r="DV33" t="s">
        <v>22</v>
      </c>
      <c r="DW33" t="s">
        <v>22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58162634</v>
      </c>
      <c r="EF33">
        <v>40</v>
      </c>
      <c r="EG33" t="s">
        <v>25</v>
      </c>
      <c r="EH33">
        <v>0</v>
      </c>
      <c r="EI33" t="s">
        <v>3</v>
      </c>
      <c r="EJ33">
        <v>2</v>
      </c>
      <c r="EK33">
        <v>72</v>
      </c>
      <c r="EL33" t="s">
        <v>43</v>
      </c>
      <c r="EM33" t="s">
        <v>44</v>
      </c>
      <c r="EO33" t="s">
        <v>28</v>
      </c>
      <c r="EQ33">
        <v>0</v>
      </c>
      <c r="ER33">
        <v>4.71</v>
      </c>
      <c r="ES33">
        <v>0.81</v>
      </c>
      <c r="ET33">
        <v>0</v>
      </c>
      <c r="EU33">
        <v>0</v>
      </c>
      <c r="EV33">
        <v>3.9</v>
      </c>
      <c r="EW33">
        <v>0.3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90</v>
      </c>
      <c r="FY33">
        <v>46</v>
      </c>
      <c r="GA33" t="s">
        <v>3</v>
      </c>
      <c r="GD33">
        <v>1</v>
      </c>
      <c r="GF33">
        <v>-1494899736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43"/>
        <v>0</v>
      </c>
      <c r="GM33">
        <f t="shared" si="44"/>
        <v>1769.48</v>
      </c>
      <c r="GN33">
        <f t="shared" si="45"/>
        <v>0</v>
      </c>
      <c r="GO33">
        <f t="shared" si="46"/>
        <v>1769.48</v>
      </c>
      <c r="GP33">
        <f t="shared" si="47"/>
        <v>0</v>
      </c>
      <c r="GR33">
        <v>0</v>
      </c>
      <c r="GS33">
        <v>3</v>
      </c>
      <c r="GT33">
        <v>0</v>
      </c>
      <c r="GU33" t="s">
        <v>3</v>
      </c>
      <c r="GV33">
        <f t="shared" si="48"/>
        <v>0</v>
      </c>
      <c r="GW33">
        <v>1</v>
      </c>
      <c r="GX33">
        <f t="shared" si="49"/>
        <v>0</v>
      </c>
      <c r="HA33">
        <v>0</v>
      </c>
      <c r="HB33">
        <v>0</v>
      </c>
      <c r="HC33">
        <f t="shared" si="50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3">
      <c r="A34" s="2">
        <v>18</v>
      </c>
      <c r="B34" s="2">
        <v>1</v>
      </c>
      <c r="C34" s="2"/>
      <c r="D34" s="2"/>
      <c r="E34" s="2" t="s">
        <v>45</v>
      </c>
      <c r="F34" s="2" t="s">
        <v>46</v>
      </c>
      <c r="G34" s="2" t="s">
        <v>47</v>
      </c>
      <c r="H34" s="2" t="s">
        <v>32</v>
      </c>
      <c r="I34" s="2">
        <f>I32*J34</f>
        <v>1</v>
      </c>
      <c r="J34" s="2">
        <v>0.33333333333333331</v>
      </c>
      <c r="K34" s="2">
        <v>0.3333333</v>
      </c>
      <c r="L34" s="2"/>
      <c r="M34" s="2"/>
      <c r="N34" s="2"/>
      <c r="O34" s="2">
        <f t="shared" si="21"/>
        <v>39.869999999999997</v>
      </c>
      <c r="P34" s="2">
        <f t="shared" si="51"/>
        <v>39.869999999999997</v>
      </c>
      <c r="Q34" s="2">
        <f t="shared" ref="Q34:Q39" si="53">(ROUND((ROUND(((ET34)*AV34*I34),2)*BB34),2)+ROUND((ROUND(((AE34-(EU34))*AV34*I34),2)*BS34),2))</f>
        <v>0</v>
      </c>
      <c r="R34" s="2">
        <f t="shared" si="22"/>
        <v>0</v>
      </c>
      <c r="S34" s="2">
        <f t="shared" si="23"/>
        <v>0</v>
      </c>
      <c r="T34" s="2">
        <f t="shared" si="24"/>
        <v>0</v>
      </c>
      <c r="U34" s="2">
        <f t="shared" si="25"/>
        <v>0</v>
      </c>
      <c r="V34" s="2">
        <f t="shared" si="26"/>
        <v>0</v>
      </c>
      <c r="W34" s="2">
        <f t="shared" si="27"/>
        <v>0</v>
      </c>
      <c r="X34" s="2">
        <f t="shared" si="28"/>
        <v>0</v>
      </c>
      <c r="Y34" s="2">
        <f t="shared" si="29"/>
        <v>0</v>
      </c>
      <c r="Z34" s="2"/>
      <c r="AA34" s="2">
        <v>56503348</v>
      </c>
      <c r="AB34" s="2">
        <f t="shared" si="30"/>
        <v>39.869999999999997</v>
      </c>
      <c r="AC34" s="2">
        <f t="shared" si="31"/>
        <v>39.869999999999997</v>
      </c>
      <c r="AD34" s="2">
        <f t="shared" ref="AD34:AD39" si="54">ROUND((((ET34)-(EU34))+AE34),6)</f>
        <v>0</v>
      </c>
      <c r="AE34" s="2">
        <f t="shared" ref="AE34:AF39" si="55">ROUND((EU34),6)</f>
        <v>0</v>
      </c>
      <c r="AF34" s="2">
        <f t="shared" si="55"/>
        <v>0</v>
      </c>
      <c r="AG34" s="2">
        <f t="shared" si="32"/>
        <v>0</v>
      </c>
      <c r="AH34" s="2">
        <f t="shared" ref="AH34:AI39" si="56">(EW34)</f>
        <v>0</v>
      </c>
      <c r="AI34" s="2">
        <f t="shared" si="56"/>
        <v>0</v>
      </c>
      <c r="AJ34" s="2">
        <f t="shared" si="33"/>
        <v>0</v>
      </c>
      <c r="AK34" s="2">
        <v>39.869999999999997</v>
      </c>
      <c r="AL34" s="2">
        <v>39.869999999999997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90</v>
      </c>
      <c r="AU34" s="2">
        <v>46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2</v>
      </c>
      <c r="BJ34" s="2" t="s">
        <v>48</v>
      </c>
      <c r="BK34" s="2"/>
      <c r="BL34" s="2"/>
      <c r="BM34" s="2">
        <v>72</v>
      </c>
      <c r="BN34" s="2">
        <v>0</v>
      </c>
      <c r="BO34" s="2" t="s">
        <v>3</v>
      </c>
      <c r="BP34" s="2">
        <v>0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4"/>
        <v>39.869999999999997</v>
      </c>
      <c r="CQ34" s="2">
        <f t="shared" si="52"/>
        <v>39.869999999999997</v>
      </c>
      <c r="CR34" s="2">
        <f t="shared" ref="CR34:CR39" si="57">(ROUND((ROUND(((ET34)*AV34*1),2)*BB34),2)+ROUND((ROUND(((AE34-(EU34))*AV34*1),2)*BS34),2))</f>
        <v>0</v>
      </c>
      <c r="CS34" s="2">
        <f t="shared" si="35"/>
        <v>0</v>
      </c>
      <c r="CT34" s="2">
        <f t="shared" si="36"/>
        <v>0</v>
      </c>
      <c r="CU34" s="2">
        <f t="shared" si="37"/>
        <v>0</v>
      </c>
      <c r="CV34" s="2">
        <f t="shared" si="38"/>
        <v>0</v>
      </c>
      <c r="CW34" s="2">
        <f t="shared" si="39"/>
        <v>0</v>
      </c>
      <c r="CX34" s="2">
        <f t="shared" si="40"/>
        <v>0</v>
      </c>
      <c r="CY34" s="2">
        <f t="shared" si="41"/>
        <v>0</v>
      </c>
      <c r="CZ34" s="2">
        <f t="shared" si="42"/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32</v>
      </c>
      <c r="DW34" s="2" t="s">
        <v>32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58162634</v>
      </c>
      <c r="EF34" s="2">
        <v>40</v>
      </c>
      <c r="EG34" s="2" t="s">
        <v>25</v>
      </c>
      <c r="EH34" s="2">
        <v>0</v>
      </c>
      <c r="EI34" s="2" t="s">
        <v>3</v>
      </c>
      <c r="EJ34" s="2">
        <v>2</v>
      </c>
      <c r="EK34" s="2">
        <v>72</v>
      </c>
      <c r="EL34" s="2" t="s">
        <v>43</v>
      </c>
      <c r="EM34" s="2" t="s">
        <v>44</v>
      </c>
      <c r="EN34" s="2"/>
      <c r="EO34" s="2" t="s">
        <v>3</v>
      </c>
      <c r="EP34" s="2"/>
      <c r="EQ34" s="2">
        <v>0</v>
      </c>
      <c r="ER34" s="2">
        <v>39.869999999999997</v>
      </c>
      <c r="ES34" s="2">
        <v>39.869999999999997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-1718720141</v>
      </c>
      <c r="GG34" s="2">
        <v>2</v>
      </c>
      <c r="GH34" s="2">
        <v>1</v>
      </c>
      <c r="GI34" s="2">
        <v>-2</v>
      </c>
      <c r="GJ34" s="2">
        <v>0</v>
      </c>
      <c r="GK34" s="2">
        <v>0</v>
      </c>
      <c r="GL34" s="2">
        <f t="shared" si="43"/>
        <v>0</v>
      </c>
      <c r="GM34" s="2">
        <f t="shared" si="44"/>
        <v>39.869999999999997</v>
      </c>
      <c r="GN34" s="2">
        <f t="shared" si="45"/>
        <v>0</v>
      </c>
      <c r="GO34" s="2">
        <f t="shared" si="46"/>
        <v>39.869999999999997</v>
      </c>
      <c r="GP34" s="2">
        <f t="shared" si="47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8"/>
        <v>0</v>
      </c>
      <c r="GW34" s="2">
        <v>1</v>
      </c>
      <c r="GX34" s="2">
        <f t="shared" si="49"/>
        <v>0</v>
      </c>
      <c r="GY34" s="2"/>
      <c r="GZ34" s="2"/>
      <c r="HA34" s="2">
        <v>0</v>
      </c>
      <c r="HB34" s="2">
        <v>0</v>
      </c>
      <c r="HC34" s="2">
        <f t="shared" si="50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3">
      <c r="A35">
        <v>18</v>
      </c>
      <c r="B35">
        <v>1</v>
      </c>
      <c r="E35" t="s">
        <v>45</v>
      </c>
      <c r="F35" t="s">
        <v>46</v>
      </c>
      <c r="G35" t="s">
        <v>47</v>
      </c>
      <c r="H35" t="s">
        <v>32</v>
      </c>
      <c r="I35">
        <f>I33*J35</f>
        <v>1</v>
      </c>
      <c r="J35">
        <v>0.33333333333333331</v>
      </c>
      <c r="K35">
        <v>0.3333333</v>
      </c>
      <c r="O35">
        <f t="shared" si="21"/>
        <v>113.63</v>
      </c>
      <c r="P35">
        <f t="shared" si="51"/>
        <v>113.63</v>
      </c>
      <c r="Q35">
        <f t="shared" si="53"/>
        <v>0</v>
      </c>
      <c r="R35">
        <f t="shared" si="22"/>
        <v>0</v>
      </c>
      <c r="S35">
        <f t="shared" si="23"/>
        <v>0</v>
      </c>
      <c r="T35">
        <f t="shared" si="24"/>
        <v>0</v>
      </c>
      <c r="U35">
        <f t="shared" si="25"/>
        <v>0</v>
      </c>
      <c r="V35">
        <f t="shared" si="26"/>
        <v>0</v>
      </c>
      <c r="W35">
        <f t="shared" si="27"/>
        <v>0</v>
      </c>
      <c r="X35">
        <f t="shared" si="28"/>
        <v>0</v>
      </c>
      <c r="Y35">
        <f t="shared" si="29"/>
        <v>0</v>
      </c>
      <c r="AA35">
        <v>56503350</v>
      </c>
      <c r="AB35">
        <f t="shared" si="30"/>
        <v>39.869999999999997</v>
      </c>
      <c r="AC35">
        <f t="shared" si="31"/>
        <v>39.869999999999997</v>
      </c>
      <c r="AD35">
        <f t="shared" si="54"/>
        <v>0</v>
      </c>
      <c r="AE35">
        <f t="shared" si="55"/>
        <v>0</v>
      </c>
      <c r="AF35">
        <f t="shared" si="55"/>
        <v>0</v>
      </c>
      <c r="AG35">
        <f t="shared" si="32"/>
        <v>0</v>
      </c>
      <c r="AH35">
        <f t="shared" si="56"/>
        <v>0</v>
      </c>
      <c r="AI35">
        <f t="shared" si="56"/>
        <v>0</v>
      </c>
      <c r="AJ35">
        <f t="shared" si="33"/>
        <v>0</v>
      </c>
      <c r="AK35">
        <v>39.869999999999997</v>
      </c>
      <c r="AL35">
        <v>39.869999999999997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90</v>
      </c>
      <c r="AU35">
        <v>46</v>
      </c>
      <c r="AV35">
        <v>1</v>
      </c>
      <c r="AW35">
        <v>1</v>
      </c>
      <c r="AZ35">
        <v>1</v>
      </c>
      <c r="BA35">
        <v>1</v>
      </c>
      <c r="BB35">
        <v>1</v>
      </c>
      <c r="BC35">
        <v>2.85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2</v>
      </c>
      <c r="BJ35" t="s">
        <v>48</v>
      </c>
      <c r="BM35">
        <v>72</v>
      </c>
      <c r="BN35">
        <v>0</v>
      </c>
      <c r="BO35" t="s">
        <v>46</v>
      </c>
      <c r="BP35">
        <v>1</v>
      </c>
      <c r="BQ35">
        <v>40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90</v>
      </c>
      <c r="CA35">
        <v>46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34"/>
        <v>113.63</v>
      </c>
      <c r="CQ35">
        <f t="shared" si="52"/>
        <v>113.63</v>
      </c>
      <c r="CR35">
        <f t="shared" si="57"/>
        <v>0</v>
      </c>
      <c r="CS35">
        <f t="shared" si="35"/>
        <v>0</v>
      </c>
      <c r="CT35">
        <f t="shared" si="36"/>
        <v>0</v>
      </c>
      <c r="CU35">
        <f t="shared" si="37"/>
        <v>0</v>
      </c>
      <c r="CV35">
        <f t="shared" si="38"/>
        <v>0</v>
      </c>
      <c r="CW35">
        <f t="shared" si="39"/>
        <v>0</v>
      </c>
      <c r="CX35">
        <f t="shared" si="40"/>
        <v>0</v>
      </c>
      <c r="CY35">
        <f t="shared" si="41"/>
        <v>0</v>
      </c>
      <c r="CZ35">
        <f t="shared" si="42"/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1010</v>
      </c>
      <c r="DV35" t="s">
        <v>32</v>
      </c>
      <c r="DW35" t="s">
        <v>32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58162634</v>
      </c>
      <c r="EF35">
        <v>40</v>
      </c>
      <c r="EG35" t="s">
        <v>25</v>
      </c>
      <c r="EH35">
        <v>0</v>
      </c>
      <c r="EI35" t="s">
        <v>3</v>
      </c>
      <c r="EJ35">
        <v>2</v>
      </c>
      <c r="EK35">
        <v>72</v>
      </c>
      <c r="EL35" t="s">
        <v>43</v>
      </c>
      <c r="EM35" t="s">
        <v>44</v>
      </c>
      <c r="EO35" t="s">
        <v>3</v>
      </c>
      <c r="EQ35">
        <v>0</v>
      </c>
      <c r="ER35">
        <v>39.869999999999997</v>
      </c>
      <c r="ES35">
        <v>39.869999999999997</v>
      </c>
      <c r="ET35">
        <v>0</v>
      </c>
      <c r="EU35">
        <v>0</v>
      </c>
      <c r="EV35">
        <v>0</v>
      </c>
      <c r="EW35">
        <v>0</v>
      </c>
      <c r="EX35">
        <v>0</v>
      </c>
      <c r="FQ35">
        <v>0</v>
      </c>
      <c r="FR35">
        <v>0</v>
      </c>
      <c r="FS35">
        <v>0</v>
      </c>
      <c r="FX35">
        <v>90</v>
      </c>
      <c r="FY35">
        <v>46</v>
      </c>
      <c r="GA35" t="s">
        <v>3</v>
      </c>
      <c r="GD35">
        <v>1</v>
      </c>
      <c r="GF35">
        <v>-1718720141</v>
      </c>
      <c r="GG35">
        <v>2</v>
      </c>
      <c r="GH35">
        <v>1</v>
      </c>
      <c r="GI35">
        <v>2</v>
      </c>
      <c r="GJ35">
        <v>0</v>
      </c>
      <c r="GK35">
        <v>0</v>
      </c>
      <c r="GL35">
        <f t="shared" si="43"/>
        <v>0</v>
      </c>
      <c r="GM35">
        <f t="shared" si="44"/>
        <v>113.63</v>
      </c>
      <c r="GN35">
        <f t="shared" si="45"/>
        <v>0</v>
      </c>
      <c r="GO35">
        <f t="shared" si="46"/>
        <v>113.63</v>
      </c>
      <c r="GP35">
        <f t="shared" si="47"/>
        <v>0</v>
      </c>
      <c r="GR35">
        <v>0</v>
      </c>
      <c r="GS35">
        <v>3</v>
      </c>
      <c r="GT35">
        <v>0</v>
      </c>
      <c r="GU35" t="s">
        <v>3</v>
      </c>
      <c r="GV35">
        <f t="shared" si="48"/>
        <v>0</v>
      </c>
      <c r="GW35">
        <v>1</v>
      </c>
      <c r="GX35">
        <f t="shared" si="49"/>
        <v>0</v>
      </c>
      <c r="HA35">
        <v>0</v>
      </c>
      <c r="HB35">
        <v>0</v>
      </c>
      <c r="HC35">
        <f t="shared" si="50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3">
      <c r="A36" s="2">
        <v>18</v>
      </c>
      <c r="B36" s="2">
        <v>1</v>
      </c>
      <c r="C36" s="2"/>
      <c r="D36" s="2"/>
      <c r="E36" s="2" t="s">
        <v>49</v>
      </c>
      <c r="F36" s="2" t="s">
        <v>50</v>
      </c>
      <c r="G36" s="2" t="s">
        <v>51</v>
      </c>
      <c r="H36" s="2" t="s">
        <v>32</v>
      </c>
      <c r="I36" s="2">
        <f>I32*J36</f>
        <v>1</v>
      </c>
      <c r="J36" s="2">
        <v>0.33333333333333331</v>
      </c>
      <c r="K36" s="2">
        <v>0.3333333</v>
      </c>
      <c r="L36" s="2"/>
      <c r="M36" s="2"/>
      <c r="N36" s="2"/>
      <c r="O36" s="2">
        <f t="shared" si="21"/>
        <v>40.049999999999997</v>
      </c>
      <c r="P36" s="2">
        <f t="shared" si="51"/>
        <v>40.049999999999997</v>
      </c>
      <c r="Q36" s="2">
        <f t="shared" si="53"/>
        <v>0</v>
      </c>
      <c r="R36" s="2">
        <f t="shared" si="22"/>
        <v>0</v>
      </c>
      <c r="S36" s="2">
        <f t="shared" si="23"/>
        <v>0</v>
      </c>
      <c r="T36" s="2">
        <f t="shared" si="24"/>
        <v>0</v>
      </c>
      <c r="U36" s="2">
        <f t="shared" si="25"/>
        <v>0</v>
      </c>
      <c r="V36" s="2">
        <f t="shared" si="26"/>
        <v>0</v>
      </c>
      <c r="W36" s="2">
        <f t="shared" si="27"/>
        <v>0</v>
      </c>
      <c r="X36" s="2">
        <f t="shared" si="28"/>
        <v>0</v>
      </c>
      <c r="Y36" s="2">
        <f t="shared" si="29"/>
        <v>0</v>
      </c>
      <c r="Z36" s="2"/>
      <c r="AA36" s="2">
        <v>56503348</v>
      </c>
      <c r="AB36" s="2">
        <f t="shared" si="30"/>
        <v>40.049999999999997</v>
      </c>
      <c r="AC36" s="2">
        <f t="shared" si="31"/>
        <v>40.049999999999997</v>
      </c>
      <c r="AD36" s="2">
        <f t="shared" si="54"/>
        <v>0</v>
      </c>
      <c r="AE36" s="2">
        <f t="shared" si="55"/>
        <v>0</v>
      </c>
      <c r="AF36" s="2">
        <f t="shared" si="55"/>
        <v>0</v>
      </c>
      <c r="AG36" s="2">
        <f t="shared" si="32"/>
        <v>0</v>
      </c>
      <c r="AH36" s="2">
        <f t="shared" si="56"/>
        <v>0</v>
      </c>
      <c r="AI36" s="2">
        <f t="shared" si="56"/>
        <v>0</v>
      </c>
      <c r="AJ36" s="2">
        <f t="shared" si="33"/>
        <v>0</v>
      </c>
      <c r="AK36" s="2">
        <v>40.049999999999997</v>
      </c>
      <c r="AL36" s="2">
        <v>40.049999999999997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90</v>
      </c>
      <c r="AU36" s="2">
        <v>46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3</v>
      </c>
      <c r="BI36" s="2">
        <v>2</v>
      </c>
      <c r="BJ36" s="2" t="s">
        <v>52</v>
      </c>
      <c r="BK36" s="2"/>
      <c r="BL36" s="2"/>
      <c r="BM36" s="2">
        <v>72</v>
      </c>
      <c r="BN36" s="2">
        <v>0</v>
      </c>
      <c r="BO36" s="2" t="s">
        <v>3</v>
      </c>
      <c r="BP36" s="2">
        <v>0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4"/>
        <v>40.049999999999997</v>
      </c>
      <c r="CQ36" s="2">
        <f t="shared" si="52"/>
        <v>40.049999999999997</v>
      </c>
      <c r="CR36" s="2">
        <f t="shared" si="57"/>
        <v>0</v>
      </c>
      <c r="CS36" s="2">
        <f t="shared" si="35"/>
        <v>0</v>
      </c>
      <c r="CT36" s="2">
        <f t="shared" si="36"/>
        <v>0</v>
      </c>
      <c r="CU36" s="2">
        <f t="shared" si="37"/>
        <v>0</v>
      </c>
      <c r="CV36" s="2">
        <f t="shared" si="38"/>
        <v>0</v>
      </c>
      <c r="CW36" s="2">
        <f t="shared" si="39"/>
        <v>0</v>
      </c>
      <c r="CX36" s="2">
        <f t="shared" si="40"/>
        <v>0</v>
      </c>
      <c r="CY36" s="2">
        <f t="shared" si="41"/>
        <v>0</v>
      </c>
      <c r="CZ36" s="2">
        <f t="shared" si="42"/>
        <v>0</v>
      </c>
      <c r="DA36" s="2"/>
      <c r="DB36" s="2"/>
      <c r="DC36" s="2" t="s">
        <v>3</v>
      </c>
      <c r="DD36" s="2" t="s">
        <v>3</v>
      </c>
      <c r="DE36" s="2" t="s">
        <v>3</v>
      </c>
      <c r="DF36" s="2" t="s">
        <v>3</v>
      </c>
      <c r="DG36" s="2" t="s">
        <v>3</v>
      </c>
      <c r="DH36" s="2" t="s">
        <v>3</v>
      </c>
      <c r="DI36" s="2" t="s">
        <v>3</v>
      </c>
      <c r="DJ36" s="2" t="s">
        <v>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1010</v>
      </c>
      <c r="DV36" s="2" t="s">
        <v>32</v>
      </c>
      <c r="DW36" s="2" t="s">
        <v>32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58162634</v>
      </c>
      <c r="EF36" s="2">
        <v>40</v>
      </c>
      <c r="EG36" s="2" t="s">
        <v>25</v>
      </c>
      <c r="EH36" s="2">
        <v>0</v>
      </c>
      <c r="EI36" s="2" t="s">
        <v>3</v>
      </c>
      <c r="EJ36" s="2">
        <v>2</v>
      </c>
      <c r="EK36" s="2">
        <v>72</v>
      </c>
      <c r="EL36" s="2" t="s">
        <v>43</v>
      </c>
      <c r="EM36" s="2" t="s">
        <v>44</v>
      </c>
      <c r="EN36" s="2"/>
      <c r="EO36" s="2" t="s">
        <v>3</v>
      </c>
      <c r="EP36" s="2"/>
      <c r="EQ36" s="2">
        <v>0</v>
      </c>
      <c r="ER36" s="2">
        <v>40.049999999999997</v>
      </c>
      <c r="ES36" s="2">
        <v>40.049999999999997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-1000652985</v>
      </c>
      <c r="GG36" s="2">
        <v>2</v>
      </c>
      <c r="GH36" s="2">
        <v>1</v>
      </c>
      <c r="GI36" s="2">
        <v>-2</v>
      </c>
      <c r="GJ36" s="2">
        <v>0</v>
      </c>
      <c r="GK36" s="2">
        <v>0</v>
      </c>
      <c r="GL36" s="2">
        <f t="shared" si="43"/>
        <v>0</v>
      </c>
      <c r="GM36" s="2">
        <f t="shared" si="44"/>
        <v>40.049999999999997</v>
      </c>
      <c r="GN36" s="2">
        <f t="shared" si="45"/>
        <v>0</v>
      </c>
      <c r="GO36" s="2">
        <f t="shared" si="46"/>
        <v>40.049999999999997</v>
      </c>
      <c r="GP36" s="2">
        <f t="shared" si="47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8"/>
        <v>0</v>
      </c>
      <c r="GW36" s="2">
        <v>1</v>
      </c>
      <c r="GX36" s="2">
        <f t="shared" si="49"/>
        <v>0</v>
      </c>
      <c r="GY36" s="2"/>
      <c r="GZ36" s="2"/>
      <c r="HA36" s="2">
        <v>0</v>
      </c>
      <c r="HB36" s="2">
        <v>0</v>
      </c>
      <c r="HC36" s="2">
        <f t="shared" si="50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3">
      <c r="A37">
        <v>18</v>
      </c>
      <c r="B37">
        <v>1</v>
      </c>
      <c r="E37" t="s">
        <v>49</v>
      </c>
      <c r="F37" t="s">
        <v>50</v>
      </c>
      <c r="G37" t="s">
        <v>51</v>
      </c>
      <c r="H37" t="s">
        <v>32</v>
      </c>
      <c r="I37">
        <f>I33*J37</f>
        <v>1</v>
      </c>
      <c r="J37">
        <v>0.33333333333333331</v>
      </c>
      <c r="K37">
        <v>0.3333333</v>
      </c>
      <c r="O37">
        <f t="shared" si="21"/>
        <v>113.34</v>
      </c>
      <c r="P37">
        <f t="shared" si="51"/>
        <v>113.34</v>
      </c>
      <c r="Q37">
        <f t="shared" si="53"/>
        <v>0</v>
      </c>
      <c r="R37">
        <f t="shared" si="22"/>
        <v>0</v>
      </c>
      <c r="S37">
        <f t="shared" si="23"/>
        <v>0</v>
      </c>
      <c r="T37">
        <f t="shared" si="24"/>
        <v>0</v>
      </c>
      <c r="U37">
        <f t="shared" si="25"/>
        <v>0</v>
      </c>
      <c r="V37">
        <f t="shared" si="26"/>
        <v>0</v>
      </c>
      <c r="W37">
        <f t="shared" si="27"/>
        <v>0</v>
      </c>
      <c r="X37">
        <f t="shared" si="28"/>
        <v>0</v>
      </c>
      <c r="Y37">
        <f t="shared" si="29"/>
        <v>0</v>
      </c>
      <c r="AA37">
        <v>56503350</v>
      </c>
      <c r="AB37">
        <f t="shared" si="30"/>
        <v>40.049999999999997</v>
      </c>
      <c r="AC37">
        <f t="shared" si="31"/>
        <v>40.049999999999997</v>
      </c>
      <c r="AD37">
        <f t="shared" si="54"/>
        <v>0</v>
      </c>
      <c r="AE37">
        <f t="shared" si="55"/>
        <v>0</v>
      </c>
      <c r="AF37">
        <f t="shared" si="55"/>
        <v>0</v>
      </c>
      <c r="AG37">
        <f t="shared" si="32"/>
        <v>0</v>
      </c>
      <c r="AH37">
        <f t="shared" si="56"/>
        <v>0</v>
      </c>
      <c r="AI37">
        <f t="shared" si="56"/>
        <v>0</v>
      </c>
      <c r="AJ37">
        <f t="shared" si="33"/>
        <v>0</v>
      </c>
      <c r="AK37">
        <v>40.049999999999997</v>
      </c>
      <c r="AL37">
        <v>40.049999999999997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90</v>
      </c>
      <c r="AU37">
        <v>46</v>
      </c>
      <c r="AV37">
        <v>1</v>
      </c>
      <c r="AW37">
        <v>1</v>
      </c>
      <c r="AZ37">
        <v>1</v>
      </c>
      <c r="BA37">
        <v>1</v>
      </c>
      <c r="BB37">
        <v>1</v>
      </c>
      <c r="BC37">
        <v>2.83</v>
      </c>
      <c r="BD37" t="s">
        <v>3</v>
      </c>
      <c r="BE37" t="s">
        <v>3</v>
      </c>
      <c r="BF37" t="s">
        <v>3</v>
      </c>
      <c r="BG37" t="s">
        <v>3</v>
      </c>
      <c r="BH37">
        <v>3</v>
      </c>
      <c r="BI37">
        <v>2</v>
      </c>
      <c r="BJ37" t="s">
        <v>52</v>
      </c>
      <c r="BM37">
        <v>72</v>
      </c>
      <c r="BN37">
        <v>0</v>
      </c>
      <c r="BO37" t="s">
        <v>50</v>
      </c>
      <c r="BP37">
        <v>1</v>
      </c>
      <c r="BQ37">
        <v>40</v>
      </c>
      <c r="BR37">
        <v>0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90</v>
      </c>
      <c r="CA37">
        <v>46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3</v>
      </c>
      <c r="CO37">
        <v>0</v>
      </c>
      <c r="CP37">
        <f t="shared" si="34"/>
        <v>113.34</v>
      </c>
      <c r="CQ37">
        <f t="shared" si="52"/>
        <v>113.34</v>
      </c>
      <c r="CR37">
        <f t="shared" si="57"/>
        <v>0</v>
      </c>
      <c r="CS37">
        <f t="shared" si="35"/>
        <v>0</v>
      </c>
      <c r="CT37">
        <f t="shared" si="36"/>
        <v>0</v>
      </c>
      <c r="CU37">
        <f t="shared" si="37"/>
        <v>0</v>
      </c>
      <c r="CV37">
        <f t="shared" si="38"/>
        <v>0</v>
      </c>
      <c r="CW37">
        <f t="shared" si="39"/>
        <v>0</v>
      </c>
      <c r="CX37">
        <f t="shared" si="40"/>
        <v>0</v>
      </c>
      <c r="CY37">
        <f t="shared" si="41"/>
        <v>0</v>
      </c>
      <c r="CZ37">
        <f t="shared" si="42"/>
        <v>0</v>
      </c>
      <c r="DC37" t="s">
        <v>3</v>
      </c>
      <c r="DD37" t="s">
        <v>3</v>
      </c>
      <c r="DE37" t="s">
        <v>3</v>
      </c>
      <c r="DF37" t="s">
        <v>3</v>
      </c>
      <c r="DG37" t="s">
        <v>3</v>
      </c>
      <c r="DH37" t="s">
        <v>3</v>
      </c>
      <c r="DI37" t="s">
        <v>3</v>
      </c>
      <c r="DJ37" t="s">
        <v>3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1010</v>
      </c>
      <c r="DV37" t="s">
        <v>32</v>
      </c>
      <c r="DW37" t="s">
        <v>32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58162634</v>
      </c>
      <c r="EF37">
        <v>40</v>
      </c>
      <c r="EG37" t="s">
        <v>25</v>
      </c>
      <c r="EH37">
        <v>0</v>
      </c>
      <c r="EI37" t="s">
        <v>3</v>
      </c>
      <c r="EJ37">
        <v>2</v>
      </c>
      <c r="EK37">
        <v>72</v>
      </c>
      <c r="EL37" t="s">
        <v>43</v>
      </c>
      <c r="EM37" t="s">
        <v>44</v>
      </c>
      <c r="EO37" t="s">
        <v>3</v>
      </c>
      <c r="EQ37">
        <v>0</v>
      </c>
      <c r="ER37">
        <v>40.049999999999997</v>
      </c>
      <c r="ES37">
        <v>40.049999999999997</v>
      </c>
      <c r="ET37">
        <v>0</v>
      </c>
      <c r="EU37">
        <v>0</v>
      </c>
      <c r="EV37">
        <v>0</v>
      </c>
      <c r="EW37">
        <v>0</v>
      </c>
      <c r="EX37">
        <v>0</v>
      </c>
      <c r="FQ37">
        <v>0</v>
      </c>
      <c r="FR37">
        <v>0</v>
      </c>
      <c r="FS37">
        <v>0</v>
      </c>
      <c r="FX37">
        <v>90</v>
      </c>
      <c r="FY37">
        <v>46</v>
      </c>
      <c r="GA37" t="s">
        <v>3</v>
      </c>
      <c r="GD37">
        <v>1</v>
      </c>
      <c r="GF37">
        <v>-1000652985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43"/>
        <v>0</v>
      </c>
      <c r="GM37">
        <f t="shared" si="44"/>
        <v>113.34</v>
      </c>
      <c r="GN37">
        <f t="shared" si="45"/>
        <v>0</v>
      </c>
      <c r="GO37">
        <f t="shared" si="46"/>
        <v>113.34</v>
      </c>
      <c r="GP37">
        <f t="shared" si="47"/>
        <v>0</v>
      </c>
      <c r="GR37">
        <v>0</v>
      </c>
      <c r="GS37">
        <v>3</v>
      </c>
      <c r="GT37">
        <v>0</v>
      </c>
      <c r="GU37" t="s">
        <v>3</v>
      </c>
      <c r="GV37">
        <f t="shared" si="48"/>
        <v>0</v>
      </c>
      <c r="GW37">
        <v>1</v>
      </c>
      <c r="GX37">
        <f t="shared" si="49"/>
        <v>0</v>
      </c>
      <c r="HA37">
        <v>0</v>
      </c>
      <c r="HB37">
        <v>0</v>
      </c>
      <c r="HC37">
        <f t="shared" si="50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3">
      <c r="A38" s="2">
        <v>18</v>
      </c>
      <c r="B38" s="2">
        <v>1</v>
      </c>
      <c r="C38" s="2"/>
      <c r="D38" s="2"/>
      <c r="E38" s="2" t="s">
        <v>53</v>
      </c>
      <c r="F38" s="2" t="s">
        <v>54</v>
      </c>
      <c r="G38" s="2" t="s">
        <v>55</v>
      </c>
      <c r="H38" s="2" t="s">
        <v>32</v>
      </c>
      <c r="I38" s="2">
        <f>I32*J38</f>
        <v>1</v>
      </c>
      <c r="J38" s="2">
        <v>0.33333333333333331</v>
      </c>
      <c r="K38" s="2">
        <v>0.3333333</v>
      </c>
      <c r="L38" s="2"/>
      <c r="M38" s="2"/>
      <c r="N38" s="2"/>
      <c r="O38" s="2">
        <f t="shared" si="21"/>
        <v>40.17</v>
      </c>
      <c r="P38" s="2">
        <f t="shared" si="51"/>
        <v>40.17</v>
      </c>
      <c r="Q38" s="2">
        <f t="shared" si="53"/>
        <v>0</v>
      </c>
      <c r="R38" s="2">
        <f t="shared" si="22"/>
        <v>0</v>
      </c>
      <c r="S38" s="2">
        <f t="shared" si="23"/>
        <v>0</v>
      </c>
      <c r="T38" s="2">
        <f t="shared" si="24"/>
        <v>0</v>
      </c>
      <c r="U38" s="2">
        <f t="shared" si="25"/>
        <v>0</v>
      </c>
      <c r="V38" s="2">
        <f t="shared" si="26"/>
        <v>0</v>
      </c>
      <c r="W38" s="2">
        <f t="shared" si="27"/>
        <v>0</v>
      </c>
      <c r="X38" s="2">
        <f t="shared" si="28"/>
        <v>0</v>
      </c>
      <c r="Y38" s="2">
        <f t="shared" si="29"/>
        <v>0</v>
      </c>
      <c r="Z38" s="2"/>
      <c r="AA38" s="2">
        <v>56503348</v>
      </c>
      <c r="AB38" s="2">
        <f t="shared" si="30"/>
        <v>40.17</v>
      </c>
      <c r="AC38" s="2">
        <f t="shared" si="31"/>
        <v>40.17</v>
      </c>
      <c r="AD38" s="2">
        <f t="shared" si="54"/>
        <v>0</v>
      </c>
      <c r="AE38" s="2">
        <f t="shared" si="55"/>
        <v>0</v>
      </c>
      <c r="AF38" s="2">
        <f t="shared" si="55"/>
        <v>0</v>
      </c>
      <c r="AG38" s="2">
        <f t="shared" si="32"/>
        <v>0</v>
      </c>
      <c r="AH38" s="2">
        <f t="shared" si="56"/>
        <v>0</v>
      </c>
      <c r="AI38" s="2">
        <f t="shared" si="56"/>
        <v>0</v>
      </c>
      <c r="AJ38" s="2">
        <f t="shared" si="33"/>
        <v>0</v>
      </c>
      <c r="AK38" s="2">
        <v>40.17</v>
      </c>
      <c r="AL38" s="2">
        <v>40.17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90</v>
      </c>
      <c r="AU38" s="2">
        <v>46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2</v>
      </c>
      <c r="BJ38" s="2" t="s">
        <v>56</v>
      </c>
      <c r="BK38" s="2"/>
      <c r="BL38" s="2"/>
      <c r="BM38" s="2">
        <v>72</v>
      </c>
      <c r="BN38" s="2">
        <v>0</v>
      </c>
      <c r="BO38" s="2" t="s">
        <v>3</v>
      </c>
      <c r="BP38" s="2">
        <v>0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4"/>
        <v>40.17</v>
      </c>
      <c r="CQ38" s="2">
        <f t="shared" si="52"/>
        <v>40.17</v>
      </c>
      <c r="CR38" s="2">
        <f t="shared" si="57"/>
        <v>0</v>
      </c>
      <c r="CS38" s="2">
        <f t="shared" si="35"/>
        <v>0</v>
      </c>
      <c r="CT38" s="2">
        <f t="shared" si="36"/>
        <v>0</v>
      </c>
      <c r="CU38" s="2">
        <f t="shared" si="37"/>
        <v>0</v>
      </c>
      <c r="CV38" s="2">
        <f t="shared" si="38"/>
        <v>0</v>
      </c>
      <c r="CW38" s="2">
        <f t="shared" si="39"/>
        <v>0</v>
      </c>
      <c r="CX38" s="2">
        <f t="shared" si="40"/>
        <v>0</v>
      </c>
      <c r="CY38" s="2">
        <f t="shared" si="41"/>
        <v>0</v>
      </c>
      <c r="CZ38" s="2">
        <f t="shared" si="42"/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32</v>
      </c>
      <c r="DW38" s="2" t="s">
        <v>32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58162634</v>
      </c>
      <c r="EF38" s="2">
        <v>40</v>
      </c>
      <c r="EG38" s="2" t="s">
        <v>25</v>
      </c>
      <c r="EH38" s="2">
        <v>0</v>
      </c>
      <c r="EI38" s="2" t="s">
        <v>3</v>
      </c>
      <c r="EJ38" s="2">
        <v>2</v>
      </c>
      <c r="EK38" s="2">
        <v>72</v>
      </c>
      <c r="EL38" s="2" t="s">
        <v>43</v>
      </c>
      <c r="EM38" s="2" t="s">
        <v>44</v>
      </c>
      <c r="EN38" s="2"/>
      <c r="EO38" s="2" t="s">
        <v>3</v>
      </c>
      <c r="EP38" s="2"/>
      <c r="EQ38" s="2">
        <v>0</v>
      </c>
      <c r="ER38" s="2">
        <v>40.17</v>
      </c>
      <c r="ES38" s="2">
        <v>40.17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-872873899</v>
      </c>
      <c r="GG38" s="2">
        <v>2</v>
      </c>
      <c r="GH38" s="2">
        <v>1</v>
      </c>
      <c r="GI38" s="2">
        <v>-2</v>
      </c>
      <c r="GJ38" s="2">
        <v>0</v>
      </c>
      <c r="GK38" s="2">
        <v>0</v>
      </c>
      <c r="GL38" s="2">
        <f t="shared" si="43"/>
        <v>0</v>
      </c>
      <c r="GM38" s="2">
        <f t="shared" si="44"/>
        <v>40.17</v>
      </c>
      <c r="GN38" s="2">
        <f t="shared" si="45"/>
        <v>0</v>
      </c>
      <c r="GO38" s="2">
        <f t="shared" si="46"/>
        <v>40.17</v>
      </c>
      <c r="GP38" s="2">
        <f t="shared" si="47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48"/>
        <v>0</v>
      </c>
      <c r="GW38" s="2">
        <v>1</v>
      </c>
      <c r="GX38" s="2">
        <f t="shared" si="49"/>
        <v>0</v>
      </c>
      <c r="GY38" s="2"/>
      <c r="GZ38" s="2"/>
      <c r="HA38" s="2">
        <v>0</v>
      </c>
      <c r="HB38" s="2">
        <v>0</v>
      </c>
      <c r="HC38" s="2">
        <f t="shared" si="50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3">
      <c r="A39">
        <v>18</v>
      </c>
      <c r="B39">
        <v>1</v>
      </c>
      <c r="E39" t="s">
        <v>53</v>
      </c>
      <c r="F39" t="s">
        <v>54</v>
      </c>
      <c r="G39" t="s">
        <v>55</v>
      </c>
      <c r="H39" t="s">
        <v>32</v>
      </c>
      <c r="I39">
        <f>I33*J39</f>
        <v>1</v>
      </c>
      <c r="J39">
        <v>0.33333333333333331</v>
      </c>
      <c r="K39">
        <v>0.3333333</v>
      </c>
      <c r="O39">
        <f t="shared" si="21"/>
        <v>113.68</v>
      </c>
      <c r="P39">
        <f t="shared" si="51"/>
        <v>113.68</v>
      </c>
      <c r="Q39">
        <f t="shared" si="53"/>
        <v>0</v>
      </c>
      <c r="R39">
        <f t="shared" si="22"/>
        <v>0</v>
      </c>
      <c r="S39">
        <f t="shared" si="23"/>
        <v>0</v>
      </c>
      <c r="T39">
        <f t="shared" si="24"/>
        <v>0</v>
      </c>
      <c r="U39">
        <f t="shared" si="25"/>
        <v>0</v>
      </c>
      <c r="V39">
        <f t="shared" si="26"/>
        <v>0</v>
      </c>
      <c r="W39">
        <f t="shared" si="27"/>
        <v>0</v>
      </c>
      <c r="X39">
        <f t="shared" si="28"/>
        <v>0</v>
      </c>
      <c r="Y39">
        <f t="shared" si="29"/>
        <v>0</v>
      </c>
      <c r="AA39">
        <v>56503350</v>
      </c>
      <c r="AB39">
        <f t="shared" si="30"/>
        <v>40.17</v>
      </c>
      <c r="AC39">
        <f t="shared" si="31"/>
        <v>40.17</v>
      </c>
      <c r="AD39">
        <f t="shared" si="54"/>
        <v>0</v>
      </c>
      <c r="AE39">
        <f t="shared" si="55"/>
        <v>0</v>
      </c>
      <c r="AF39">
        <f t="shared" si="55"/>
        <v>0</v>
      </c>
      <c r="AG39">
        <f t="shared" si="32"/>
        <v>0</v>
      </c>
      <c r="AH39">
        <f t="shared" si="56"/>
        <v>0</v>
      </c>
      <c r="AI39">
        <f t="shared" si="56"/>
        <v>0</v>
      </c>
      <c r="AJ39">
        <f t="shared" si="33"/>
        <v>0</v>
      </c>
      <c r="AK39">
        <v>40.17</v>
      </c>
      <c r="AL39">
        <v>40.17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90</v>
      </c>
      <c r="AU39">
        <v>46</v>
      </c>
      <c r="AV39">
        <v>1</v>
      </c>
      <c r="AW39">
        <v>1</v>
      </c>
      <c r="AZ39">
        <v>1</v>
      </c>
      <c r="BA39">
        <v>1</v>
      </c>
      <c r="BB39">
        <v>1</v>
      </c>
      <c r="BC39">
        <v>2.83</v>
      </c>
      <c r="BD39" t="s">
        <v>3</v>
      </c>
      <c r="BE39" t="s">
        <v>3</v>
      </c>
      <c r="BF39" t="s">
        <v>3</v>
      </c>
      <c r="BG39" t="s">
        <v>3</v>
      </c>
      <c r="BH39">
        <v>3</v>
      </c>
      <c r="BI39">
        <v>2</v>
      </c>
      <c r="BJ39" t="s">
        <v>56</v>
      </c>
      <c r="BM39">
        <v>72</v>
      </c>
      <c r="BN39">
        <v>0</v>
      </c>
      <c r="BO39" t="s">
        <v>54</v>
      </c>
      <c r="BP39">
        <v>1</v>
      </c>
      <c r="BQ39">
        <v>40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90</v>
      </c>
      <c r="CA39">
        <v>46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3</v>
      </c>
      <c r="CO39">
        <v>0</v>
      </c>
      <c r="CP39">
        <f t="shared" si="34"/>
        <v>113.68</v>
      </c>
      <c r="CQ39">
        <f t="shared" si="52"/>
        <v>113.68</v>
      </c>
      <c r="CR39">
        <f t="shared" si="57"/>
        <v>0</v>
      </c>
      <c r="CS39">
        <f t="shared" si="35"/>
        <v>0</v>
      </c>
      <c r="CT39">
        <f t="shared" si="36"/>
        <v>0</v>
      </c>
      <c r="CU39">
        <f t="shared" si="37"/>
        <v>0</v>
      </c>
      <c r="CV39">
        <f t="shared" si="38"/>
        <v>0</v>
      </c>
      <c r="CW39">
        <f t="shared" si="39"/>
        <v>0</v>
      </c>
      <c r="CX39">
        <f t="shared" si="40"/>
        <v>0</v>
      </c>
      <c r="CY39">
        <f t="shared" si="41"/>
        <v>0</v>
      </c>
      <c r="CZ39">
        <f t="shared" si="42"/>
        <v>0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1010</v>
      </c>
      <c r="DV39" t="s">
        <v>32</v>
      </c>
      <c r="DW39" t="s">
        <v>32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58162634</v>
      </c>
      <c r="EF39">
        <v>40</v>
      </c>
      <c r="EG39" t="s">
        <v>25</v>
      </c>
      <c r="EH39">
        <v>0</v>
      </c>
      <c r="EI39" t="s">
        <v>3</v>
      </c>
      <c r="EJ39">
        <v>2</v>
      </c>
      <c r="EK39">
        <v>72</v>
      </c>
      <c r="EL39" t="s">
        <v>43</v>
      </c>
      <c r="EM39" t="s">
        <v>44</v>
      </c>
      <c r="EO39" t="s">
        <v>3</v>
      </c>
      <c r="EQ39">
        <v>0</v>
      </c>
      <c r="ER39">
        <v>40.17</v>
      </c>
      <c r="ES39">
        <v>40.17</v>
      </c>
      <c r="ET39">
        <v>0</v>
      </c>
      <c r="EU39">
        <v>0</v>
      </c>
      <c r="EV39">
        <v>0</v>
      </c>
      <c r="EW39">
        <v>0</v>
      </c>
      <c r="EX39">
        <v>0</v>
      </c>
      <c r="FQ39">
        <v>0</v>
      </c>
      <c r="FR39">
        <v>0</v>
      </c>
      <c r="FS39">
        <v>0</v>
      </c>
      <c r="FX39">
        <v>90</v>
      </c>
      <c r="FY39">
        <v>46</v>
      </c>
      <c r="GA39" t="s">
        <v>3</v>
      </c>
      <c r="GD39">
        <v>1</v>
      </c>
      <c r="GF39">
        <v>-872873899</v>
      </c>
      <c r="GG39">
        <v>2</v>
      </c>
      <c r="GH39">
        <v>1</v>
      </c>
      <c r="GI39">
        <v>2</v>
      </c>
      <c r="GJ39">
        <v>0</v>
      </c>
      <c r="GK39">
        <v>0</v>
      </c>
      <c r="GL39">
        <f t="shared" si="43"/>
        <v>0</v>
      </c>
      <c r="GM39">
        <f t="shared" si="44"/>
        <v>113.68</v>
      </c>
      <c r="GN39">
        <f t="shared" si="45"/>
        <v>0</v>
      </c>
      <c r="GO39">
        <f t="shared" si="46"/>
        <v>113.68</v>
      </c>
      <c r="GP39">
        <f t="shared" si="47"/>
        <v>0</v>
      </c>
      <c r="GR39">
        <v>0</v>
      </c>
      <c r="GS39">
        <v>3</v>
      </c>
      <c r="GT39">
        <v>0</v>
      </c>
      <c r="GU39" t="s">
        <v>3</v>
      </c>
      <c r="GV39">
        <f t="shared" si="48"/>
        <v>0</v>
      </c>
      <c r="GW39">
        <v>1</v>
      </c>
      <c r="GX39">
        <f t="shared" si="49"/>
        <v>0</v>
      </c>
      <c r="HA39">
        <v>0</v>
      </c>
      <c r="HB39">
        <v>0</v>
      </c>
      <c r="HC39">
        <f t="shared" si="50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1" spans="1:255" x14ac:dyDescent="0.3">
      <c r="A41" s="3">
        <v>51</v>
      </c>
      <c r="B41" s="3">
        <f>B24</f>
        <v>1</v>
      </c>
      <c r="C41" s="3">
        <f>A24</f>
        <v>4</v>
      </c>
      <c r="D41" s="3">
        <f>ROW(A24)</f>
        <v>24</v>
      </c>
      <c r="E41" s="3"/>
      <c r="F41" s="3" t="str">
        <f>IF(F24&lt;&gt;"",F24,"")</f>
        <v/>
      </c>
      <c r="G41" s="3" t="str">
        <f>IF(G24&lt;&gt;"",G24,"")</f>
        <v>Оборудование</v>
      </c>
      <c r="H41" s="3">
        <v>0</v>
      </c>
      <c r="I41" s="3"/>
      <c r="J41" s="3"/>
      <c r="K41" s="3"/>
      <c r="L41" s="3"/>
      <c r="M41" s="3"/>
      <c r="N41" s="3"/>
      <c r="O41" s="3">
        <f t="shared" ref="O41:T41" si="58">ROUND(AB41,2)</f>
        <v>9058.2099999999991</v>
      </c>
      <c r="P41" s="3">
        <f t="shared" si="58"/>
        <v>8911.2000000000007</v>
      </c>
      <c r="Q41" s="3">
        <f t="shared" si="58"/>
        <v>0</v>
      </c>
      <c r="R41" s="3">
        <f t="shared" si="58"/>
        <v>0</v>
      </c>
      <c r="S41" s="3">
        <f t="shared" si="58"/>
        <v>147.01</v>
      </c>
      <c r="T41" s="3">
        <f t="shared" si="58"/>
        <v>0</v>
      </c>
      <c r="U41" s="3">
        <f>AH41</f>
        <v>10.602129999999999</v>
      </c>
      <c r="V41" s="3">
        <f>AI41</f>
        <v>0</v>
      </c>
      <c r="W41" s="3">
        <f>ROUND(AJ41,2)</f>
        <v>0</v>
      </c>
      <c r="X41" s="3">
        <f>ROUND(AK41,2)</f>
        <v>138.97999999999999</v>
      </c>
      <c r="Y41" s="3">
        <f>ROUND(AL41,2)</f>
        <v>76.98</v>
      </c>
      <c r="Z41" s="3"/>
      <c r="AA41" s="3"/>
      <c r="AB41" s="3">
        <f>ROUND(SUMIF(AA28:AA39,"=56503348",O28:O39),2)</f>
        <v>9058.2099999999991</v>
      </c>
      <c r="AC41" s="3">
        <f>ROUND(SUMIF(AA28:AA39,"=56503348",P28:P39),2)</f>
        <v>8911.2000000000007</v>
      </c>
      <c r="AD41" s="3">
        <f>ROUND(SUMIF(AA28:AA39,"=56503348",Q28:Q39),2)</f>
        <v>0</v>
      </c>
      <c r="AE41" s="3">
        <f>ROUND(SUMIF(AA28:AA39,"=56503348",R28:R39),2)</f>
        <v>0</v>
      </c>
      <c r="AF41" s="3">
        <f>ROUND(SUMIF(AA28:AA39,"=56503348",S28:S39),2)</f>
        <v>147.01</v>
      </c>
      <c r="AG41" s="3">
        <f>ROUND(SUMIF(AA28:AA39,"=56503348",T28:T39),2)</f>
        <v>0</v>
      </c>
      <c r="AH41" s="3">
        <f>SUMIF(AA28:AA39,"=56503348",U28:U39)</f>
        <v>10.602129999999999</v>
      </c>
      <c r="AI41" s="3">
        <f>SUMIF(AA28:AA39,"=56503348",V28:V39)</f>
        <v>0</v>
      </c>
      <c r="AJ41" s="3">
        <f>ROUND(SUMIF(AA28:AA39,"=56503348",W28:W39),2)</f>
        <v>0</v>
      </c>
      <c r="AK41" s="3">
        <f>ROUND(SUMIF(AA28:AA39,"=56503348",X28:X39),2)</f>
        <v>138.97999999999999</v>
      </c>
      <c r="AL41" s="3">
        <f>ROUND(SUMIF(AA28:AA39,"=56503348",Y28:Y39),2)</f>
        <v>76.98</v>
      </c>
      <c r="AM41" s="3"/>
      <c r="AN41" s="3"/>
      <c r="AO41" s="3">
        <f t="shared" ref="AO41:BD41" si="59">ROUND(BX41,2)</f>
        <v>0</v>
      </c>
      <c r="AP41" s="3">
        <f t="shared" si="59"/>
        <v>8788.39</v>
      </c>
      <c r="AQ41" s="3">
        <f t="shared" si="59"/>
        <v>0</v>
      </c>
      <c r="AR41" s="3">
        <f t="shared" si="59"/>
        <v>9274.17</v>
      </c>
      <c r="AS41" s="3">
        <f t="shared" si="59"/>
        <v>0</v>
      </c>
      <c r="AT41" s="3">
        <f t="shared" si="59"/>
        <v>485.78</v>
      </c>
      <c r="AU41" s="3">
        <f t="shared" si="59"/>
        <v>0</v>
      </c>
      <c r="AV41" s="3">
        <f t="shared" si="59"/>
        <v>8911.2000000000007</v>
      </c>
      <c r="AW41" s="3">
        <f t="shared" si="59"/>
        <v>122.81</v>
      </c>
      <c r="AX41" s="3">
        <f t="shared" si="59"/>
        <v>0</v>
      </c>
      <c r="AY41" s="3">
        <f t="shared" si="59"/>
        <v>122.81</v>
      </c>
      <c r="AZ41" s="3">
        <f t="shared" si="59"/>
        <v>8788.39</v>
      </c>
      <c r="BA41" s="3">
        <f t="shared" si="59"/>
        <v>0</v>
      </c>
      <c r="BB41" s="3">
        <f t="shared" si="59"/>
        <v>0</v>
      </c>
      <c r="BC41" s="3">
        <f t="shared" si="59"/>
        <v>0</v>
      </c>
      <c r="BD41" s="3">
        <f t="shared" si="59"/>
        <v>0</v>
      </c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>
        <f>ROUND(SUMIF(AA28:AA39,"=56503348",FQ28:FQ39),2)</f>
        <v>0</v>
      </c>
      <c r="BY41" s="3">
        <f>ROUND(SUMIF(AA28:AA39,"=56503348",FR28:FR39),2)</f>
        <v>8788.39</v>
      </c>
      <c r="BZ41" s="3">
        <f>ROUND(SUMIF(AA28:AA39,"=56503348",GL28:GL39),2)</f>
        <v>0</v>
      </c>
      <c r="CA41" s="3">
        <f>ROUND(SUMIF(AA28:AA39,"=56503348",GM28:GM39),2)</f>
        <v>9274.17</v>
      </c>
      <c r="CB41" s="3">
        <f>ROUND(SUMIF(AA28:AA39,"=56503348",GN28:GN39),2)</f>
        <v>0</v>
      </c>
      <c r="CC41" s="3">
        <f>ROUND(SUMIF(AA28:AA39,"=56503348",GO28:GO39),2)</f>
        <v>485.78</v>
      </c>
      <c r="CD41" s="3">
        <f>ROUND(SUMIF(AA28:AA39,"=56503348",GP28:GP39),2)</f>
        <v>0</v>
      </c>
      <c r="CE41" s="3">
        <f>AC41-BX41</f>
        <v>8911.2000000000007</v>
      </c>
      <c r="CF41" s="3">
        <f>AC41-BY41</f>
        <v>122.81000000000131</v>
      </c>
      <c r="CG41" s="3">
        <f>BX41-BZ41</f>
        <v>0</v>
      </c>
      <c r="CH41" s="3">
        <f>AC41-BX41-BY41+BZ41</f>
        <v>122.81000000000131</v>
      </c>
      <c r="CI41" s="3">
        <f>BY41-BZ41</f>
        <v>8788.39</v>
      </c>
      <c r="CJ41" s="3">
        <f>ROUND(SUMIF(AA28:AA39,"=56503348",GX28:GX39),2)</f>
        <v>0</v>
      </c>
      <c r="CK41" s="3">
        <f>ROUND(SUMIF(AA28:AA39,"=56503348",GY28:GY39),2)</f>
        <v>0</v>
      </c>
      <c r="CL41" s="3">
        <f>ROUND(SUMIF(AA28:AA39,"=56503348",GZ28:GZ39),2)</f>
        <v>0</v>
      </c>
      <c r="CM41" s="3">
        <f>ROUND(SUMIF(AA28:AA39,"=56503348",HD28:HD39),2)</f>
        <v>0</v>
      </c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4">
        <f t="shared" ref="DG41:DL41" si="60">ROUND(DT41,2)</f>
        <v>75768.05</v>
      </c>
      <c r="DH41" s="4">
        <f t="shared" si="60"/>
        <v>67683.97</v>
      </c>
      <c r="DI41" s="4">
        <f t="shared" si="60"/>
        <v>0</v>
      </c>
      <c r="DJ41" s="4">
        <f t="shared" si="60"/>
        <v>0</v>
      </c>
      <c r="DK41" s="4">
        <f t="shared" si="60"/>
        <v>8084.08</v>
      </c>
      <c r="DL41" s="4">
        <f t="shared" si="60"/>
        <v>0</v>
      </c>
      <c r="DM41" s="4">
        <f>DZ41</f>
        <v>10.602129999999999</v>
      </c>
      <c r="DN41" s="4">
        <f>EA41</f>
        <v>0</v>
      </c>
      <c r="DO41" s="4">
        <f>ROUND(EB41,2)</f>
        <v>0</v>
      </c>
      <c r="DP41" s="4">
        <f>ROUND(EC41,2)</f>
        <v>7642.84</v>
      </c>
      <c r="DQ41" s="4">
        <f>ROUND(ED41,2)</f>
        <v>4232.71</v>
      </c>
      <c r="DR41" s="4"/>
      <c r="DS41" s="4"/>
      <c r="DT41" s="4">
        <f>ROUND(SUMIF(AA28:AA39,"=56503350",O28:O39),2)</f>
        <v>75768.05</v>
      </c>
      <c r="DU41" s="4">
        <f>ROUND(SUMIF(AA28:AA39,"=56503350",P28:P39),2)</f>
        <v>67683.97</v>
      </c>
      <c r="DV41" s="4">
        <f>ROUND(SUMIF(AA28:AA39,"=56503350",Q28:Q39),2)</f>
        <v>0</v>
      </c>
      <c r="DW41" s="4">
        <f>ROUND(SUMIF(AA28:AA39,"=56503350",R28:R39),2)</f>
        <v>0</v>
      </c>
      <c r="DX41" s="4">
        <f>ROUND(SUMIF(AA28:AA39,"=56503350",S28:S39),2)</f>
        <v>8084.08</v>
      </c>
      <c r="DY41" s="4">
        <f>ROUND(SUMIF(AA28:AA39,"=56503350",T28:T39),2)</f>
        <v>0</v>
      </c>
      <c r="DZ41" s="4">
        <f>SUMIF(AA28:AA39,"=56503350",U28:U39)</f>
        <v>10.602129999999999</v>
      </c>
      <c r="EA41" s="4">
        <f>SUMIF(AA28:AA39,"=56503350",V28:V39)</f>
        <v>0</v>
      </c>
      <c r="EB41" s="4">
        <f>ROUND(SUMIF(AA28:AA39,"=56503350",W28:W39),2)</f>
        <v>0</v>
      </c>
      <c r="EC41" s="4">
        <f>ROUND(SUMIF(AA28:AA39,"=56503350",X28:X39),2)</f>
        <v>7642.84</v>
      </c>
      <c r="ED41" s="4">
        <f>ROUND(SUMIF(AA28:AA39,"=56503350",Y28:Y39),2)</f>
        <v>4232.71</v>
      </c>
      <c r="EE41" s="4"/>
      <c r="EF41" s="4"/>
      <c r="EG41" s="4">
        <f t="shared" ref="EG41:EV41" si="61">ROUND(FP41,2)</f>
        <v>0</v>
      </c>
      <c r="EH41" s="4">
        <f t="shared" si="61"/>
        <v>67319.070000000007</v>
      </c>
      <c r="EI41" s="4">
        <f t="shared" si="61"/>
        <v>0</v>
      </c>
      <c r="EJ41" s="4">
        <f t="shared" si="61"/>
        <v>87643.6</v>
      </c>
      <c r="EK41" s="4">
        <f t="shared" si="61"/>
        <v>0</v>
      </c>
      <c r="EL41" s="4">
        <f t="shared" si="61"/>
        <v>20324.53</v>
      </c>
      <c r="EM41" s="4">
        <f t="shared" si="61"/>
        <v>0</v>
      </c>
      <c r="EN41" s="4">
        <f t="shared" si="61"/>
        <v>67683.97</v>
      </c>
      <c r="EO41" s="4">
        <f t="shared" si="61"/>
        <v>364.9</v>
      </c>
      <c r="EP41" s="4">
        <f t="shared" si="61"/>
        <v>0</v>
      </c>
      <c r="EQ41" s="4">
        <f t="shared" si="61"/>
        <v>364.9</v>
      </c>
      <c r="ER41" s="4">
        <f t="shared" si="61"/>
        <v>67319.070000000007</v>
      </c>
      <c r="ES41" s="4">
        <f t="shared" si="61"/>
        <v>0</v>
      </c>
      <c r="ET41" s="4">
        <f t="shared" si="61"/>
        <v>0</v>
      </c>
      <c r="EU41" s="4">
        <f t="shared" si="61"/>
        <v>0</v>
      </c>
      <c r="EV41" s="4">
        <f t="shared" si="61"/>
        <v>0</v>
      </c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>
        <f>ROUND(SUMIF(AA28:AA39,"=56503350",FQ28:FQ39),2)</f>
        <v>0</v>
      </c>
      <c r="FQ41" s="4">
        <f>ROUND(SUMIF(AA28:AA39,"=56503350",FR28:FR39),2)</f>
        <v>67319.070000000007</v>
      </c>
      <c r="FR41" s="4">
        <f>ROUND(SUMIF(AA28:AA39,"=56503350",GL28:GL39),2)</f>
        <v>0</v>
      </c>
      <c r="FS41" s="4">
        <f>ROUND(SUMIF(AA28:AA39,"=56503350",GM28:GM39),2)</f>
        <v>87643.6</v>
      </c>
      <c r="FT41" s="4">
        <f>ROUND(SUMIF(AA28:AA39,"=56503350",GN28:GN39),2)</f>
        <v>0</v>
      </c>
      <c r="FU41" s="4">
        <f>ROUND(SUMIF(AA28:AA39,"=56503350",GO28:GO39),2)</f>
        <v>20324.53</v>
      </c>
      <c r="FV41" s="4">
        <f>ROUND(SUMIF(AA28:AA39,"=56503350",GP28:GP39),2)</f>
        <v>0</v>
      </c>
      <c r="FW41" s="4">
        <f>DU41-FP41</f>
        <v>67683.97</v>
      </c>
      <c r="FX41" s="4">
        <f>DU41-FQ41</f>
        <v>364.89999999999418</v>
      </c>
      <c r="FY41" s="4">
        <f>FP41-FR41</f>
        <v>0</v>
      </c>
      <c r="FZ41" s="4">
        <f>DU41-FP41-FQ41+FR41</f>
        <v>364.89999999999418</v>
      </c>
      <c r="GA41" s="4">
        <f>FQ41-FR41</f>
        <v>67319.070000000007</v>
      </c>
      <c r="GB41" s="4">
        <f>ROUND(SUMIF(AA28:AA39,"=56503350",GX28:GX39),2)</f>
        <v>0</v>
      </c>
      <c r="GC41" s="4">
        <f>ROUND(SUMIF(AA28:AA39,"=56503350",GY28:GY39),2)</f>
        <v>0</v>
      </c>
      <c r="GD41" s="4">
        <f>ROUND(SUMIF(AA28:AA39,"=56503350",GZ28:GZ39),2)</f>
        <v>0</v>
      </c>
      <c r="GE41" s="4">
        <f>ROUND(SUMIF(AA28:AA39,"=56503350",HD28:HD39),2)</f>
        <v>0</v>
      </c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>
        <v>0</v>
      </c>
    </row>
    <row r="43" spans="1:255" x14ac:dyDescent="0.3">
      <c r="A43" s="5">
        <v>50</v>
      </c>
      <c r="B43" s="5">
        <v>0</v>
      </c>
      <c r="C43" s="5">
        <v>0</v>
      </c>
      <c r="D43" s="5">
        <v>1</v>
      </c>
      <c r="E43" s="5">
        <v>201</v>
      </c>
      <c r="F43" s="5">
        <f>ROUND(Source!O41,O43)</f>
        <v>9058.2099999999991</v>
      </c>
      <c r="G43" s="5" t="s">
        <v>57</v>
      </c>
      <c r="H43" s="5" t="s">
        <v>58</v>
      </c>
      <c r="I43" s="5"/>
      <c r="J43" s="5"/>
      <c r="K43" s="5">
        <v>201</v>
      </c>
      <c r="L43" s="5">
        <v>1</v>
      </c>
      <c r="M43" s="5">
        <v>3</v>
      </c>
      <c r="N43" s="5" t="s">
        <v>3</v>
      </c>
      <c r="O43" s="5">
        <v>2</v>
      </c>
      <c r="P43" s="5">
        <f>ROUND(Source!DG41,O43)</f>
        <v>75768.05</v>
      </c>
      <c r="Q43" s="5"/>
      <c r="R43" s="5"/>
      <c r="S43" s="5"/>
      <c r="T43" s="5"/>
      <c r="U43" s="5"/>
      <c r="V43" s="5"/>
      <c r="W43" s="5">
        <v>9058.2099999999991</v>
      </c>
      <c r="X43" s="5">
        <v>1</v>
      </c>
      <c r="Y43" s="5">
        <v>9058.2099999999991</v>
      </c>
      <c r="Z43" s="5">
        <v>75768.05</v>
      </c>
      <c r="AA43" s="5">
        <v>1</v>
      </c>
      <c r="AB43" s="5">
        <v>75768.05</v>
      </c>
    </row>
    <row r="44" spans="1:255" x14ac:dyDescent="0.3">
      <c r="A44" s="5">
        <v>50</v>
      </c>
      <c r="B44" s="5">
        <v>0</v>
      </c>
      <c r="C44" s="5">
        <v>0</v>
      </c>
      <c r="D44" s="5">
        <v>1</v>
      </c>
      <c r="E44" s="5">
        <v>202</v>
      </c>
      <c r="F44" s="5">
        <f>ROUND(Source!P41,O44)</f>
        <v>8911.2000000000007</v>
      </c>
      <c r="G44" s="5" t="s">
        <v>59</v>
      </c>
      <c r="H44" s="5" t="s">
        <v>60</v>
      </c>
      <c r="I44" s="5"/>
      <c r="J44" s="5"/>
      <c r="K44" s="5">
        <v>202</v>
      </c>
      <c r="L44" s="5">
        <v>2</v>
      </c>
      <c r="M44" s="5">
        <v>3</v>
      </c>
      <c r="N44" s="5" t="s">
        <v>3</v>
      </c>
      <c r="O44" s="5">
        <v>2</v>
      </c>
      <c r="P44" s="5">
        <f>ROUND(Source!DH41,O44)</f>
        <v>67683.97</v>
      </c>
      <c r="Q44" s="5"/>
      <c r="R44" s="5"/>
      <c r="S44" s="5"/>
      <c r="T44" s="5"/>
      <c r="U44" s="5"/>
      <c r="V44" s="5"/>
      <c r="W44" s="5">
        <v>8911.2000000000007</v>
      </c>
      <c r="X44" s="5">
        <v>1</v>
      </c>
      <c r="Y44" s="5">
        <v>8911.2000000000007</v>
      </c>
      <c r="Z44" s="5">
        <v>67683.97</v>
      </c>
      <c r="AA44" s="5">
        <v>1</v>
      </c>
      <c r="AB44" s="5">
        <v>67683.97</v>
      </c>
    </row>
    <row r="45" spans="1:255" x14ac:dyDescent="0.3">
      <c r="A45" s="5">
        <v>50</v>
      </c>
      <c r="B45" s="5">
        <v>0</v>
      </c>
      <c r="C45" s="5">
        <v>0</v>
      </c>
      <c r="D45" s="5">
        <v>1</v>
      </c>
      <c r="E45" s="5">
        <v>222</v>
      </c>
      <c r="F45" s="5">
        <f>ROUND(Source!AO41,O45)</f>
        <v>0</v>
      </c>
      <c r="G45" s="5" t="s">
        <v>61</v>
      </c>
      <c r="H45" s="5" t="s">
        <v>62</v>
      </c>
      <c r="I45" s="5"/>
      <c r="J45" s="5"/>
      <c r="K45" s="5">
        <v>222</v>
      </c>
      <c r="L45" s="5">
        <v>3</v>
      </c>
      <c r="M45" s="5">
        <v>3</v>
      </c>
      <c r="N45" s="5" t="s">
        <v>3</v>
      </c>
      <c r="O45" s="5">
        <v>2</v>
      </c>
      <c r="P45" s="5">
        <f>ROUND(Source!EG41,O45)</f>
        <v>0</v>
      </c>
      <c r="Q45" s="5"/>
      <c r="R45" s="5"/>
      <c r="S45" s="5"/>
      <c r="T45" s="5"/>
      <c r="U45" s="5"/>
      <c r="V45" s="5"/>
      <c r="W45" s="5">
        <v>0</v>
      </c>
      <c r="X45" s="5">
        <v>1</v>
      </c>
      <c r="Y45" s="5">
        <v>0</v>
      </c>
      <c r="Z45" s="5">
        <v>0</v>
      </c>
      <c r="AA45" s="5">
        <v>1</v>
      </c>
      <c r="AB45" s="5">
        <v>0</v>
      </c>
    </row>
    <row r="46" spans="1:255" x14ac:dyDescent="0.3">
      <c r="A46" s="5">
        <v>50</v>
      </c>
      <c r="B46" s="5">
        <v>0</v>
      </c>
      <c r="C46" s="5">
        <v>0</v>
      </c>
      <c r="D46" s="5">
        <v>1</v>
      </c>
      <c r="E46" s="5">
        <v>225</v>
      </c>
      <c r="F46" s="5">
        <f>ROUND(Source!AV41,O46)</f>
        <v>8911.2000000000007</v>
      </c>
      <c r="G46" s="5" t="s">
        <v>63</v>
      </c>
      <c r="H46" s="5" t="s">
        <v>64</v>
      </c>
      <c r="I46" s="5"/>
      <c r="J46" s="5"/>
      <c r="K46" s="5">
        <v>225</v>
      </c>
      <c r="L46" s="5">
        <v>4</v>
      </c>
      <c r="M46" s="5">
        <v>3</v>
      </c>
      <c r="N46" s="5" t="s">
        <v>3</v>
      </c>
      <c r="O46" s="5">
        <v>2</v>
      </c>
      <c r="P46" s="5">
        <f>ROUND(Source!EN41,O46)</f>
        <v>67683.97</v>
      </c>
      <c r="Q46" s="5"/>
      <c r="R46" s="5"/>
      <c r="S46" s="5"/>
      <c r="T46" s="5"/>
      <c r="U46" s="5"/>
      <c r="V46" s="5"/>
      <c r="W46" s="5">
        <v>8911.2000000000007</v>
      </c>
      <c r="X46" s="5">
        <v>1</v>
      </c>
      <c r="Y46" s="5">
        <v>8911.2000000000007</v>
      </c>
      <c r="Z46" s="5">
        <v>67683.97</v>
      </c>
      <c r="AA46" s="5">
        <v>1</v>
      </c>
      <c r="AB46" s="5">
        <v>67683.97</v>
      </c>
    </row>
    <row r="47" spans="1:255" x14ac:dyDescent="0.3">
      <c r="A47" s="5">
        <v>50</v>
      </c>
      <c r="B47" s="5">
        <v>0</v>
      </c>
      <c r="C47" s="5">
        <v>0</v>
      </c>
      <c r="D47" s="5">
        <v>1</v>
      </c>
      <c r="E47" s="5">
        <v>226</v>
      </c>
      <c r="F47" s="5">
        <f>ROUND(Source!AW41,O47)</f>
        <v>122.81</v>
      </c>
      <c r="G47" s="5" t="s">
        <v>65</v>
      </c>
      <c r="H47" s="5" t="s">
        <v>66</v>
      </c>
      <c r="I47" s="5"/>
      <c r="J47" s="5"/>
      <c r="K47" s="5">
        <v>226</v>
      </c>
      <c r="L47" s="5">
        <v>5</v>
      </c>
      <c r="M47" s="5">
        <v>3</v>
      </c>
      <c r="N47" s="5" t="s">
        <v>3</v>
      </c>
      <c r="O47" s="5">
        <v>2</v>
      </c>
      <c r="P47" s="5">
        <f>ROUND(Source!EO41,O47)</f>
        <v>364.9</v>
      </c>
      <c r="Q47" s="5"/>
      <c r="R47" s="5"/>
      <c r="S47" s="5"/>
      <c r="T47" s="5"/>
      <c r="U47" s="5"/>
      <c r="V47" s="5"/>
      <c r="W47" s="5">
        <v>122.81</v>
      </c>
      <c r="X47" s="5">
        <v>1</v>
      </c>
      <c r="Y47" s="5">
        <v>122.81</v>
      </c>
      <c r="Z47" s="5">
        <v>364.9</v>
      </c>
      <c r="AA47" s="5">
        <v>1</v>
      </c>
      <c r="AB47" s="5">
        <v>364.9</v>
      </c>
    </row>
    <row r="48" spans="1:255" x14ac:dyDescent="0.3">
      <c r="A48" s="5">
        <v>50</v>
      </c>
      <c r="B48" s="5">
        <v>0</v>
      </c>
      <c r="C48" s="5">
        <v>0</v>
      </c>
      <c r="D48" s="5">
        <v>1</v>
      </c>
      <c r="E48" s="5">
        <v>227</v>
      </c>
      <c r="F48" s="5">
        <f>ROUND(Source!AX41,O48)</f>
        <v>0</v>
      </c>
      <c r="G48" s="5" t="s">
        <v>67</v>
      </c>
      <c r="H48" s="5" t="s">
        <v>68</v>
      </c>
      <c r="I48" s="5"/>
      <c r="J48" s="5"/>
      <c r="K48" s="5">
        <v>227</v>
      </c>
      <c r="L48" s="5">
        <v>6</v>
      </c>
      <c r="M48" s="5">
        <v>3</v>
      </c>
      <c r="N48" s="5" t="s">
        <v>3</v>
      </c>
      <c r="O48" s="5">
        <v>2</v>
      </c>
      <c r="P48" s="5">
        <f>ROUND(Source!EP41,O48)</f>
        <v>0</v>
      </c>
      <c r="Q48" s="5"/>
      <c r="R48" s="5"/>
      <c r="S48" s="5"/>
      <c r="T48" s="5"/>
      <c r="U48" s="5"/>
      <c r="V48" s="5"/>
      <c r="W48" s="5">
        <v>0</v>
      </c>
      <c r="X48" s="5">
        <v>1</v>
      </c>
      <c r="Y48" s="5">
        <v>0</v>
      </c>
      <c r="Z48" s="5">
        <v>0</v>
      </c>
      <c r="AA48" s="5">
        <v>1</v>
      </c>
      <c r="AB48" s="5">
        <v>0</v>
      </c>
    </row>
    <row r="49" spans="1:28" x14ac:dyDescent="0.3">
      <c r="A49" s="5">
        <v>50</v>
      </c>
      <c r="B49" s="5">
        <v>0</v>
      </c>
      <c r="C49" s="5">
        <v>0</v>
      </c>
      <c r="D49" s="5">
        <v>1</v>
      </c>
      <c r="E49" s="5">
        <v>228</v>
      </c>
      <c r="F49" s="5">
        <f>ROUND(Source!AY41,O49)</f>
        <v>122.81</v>
      </c>
      <c r="G49" s="5" t="s">
        <v>69</v>
      </c>
      <c r="H49" s="5" t="s">
        <v>70</v>
      </c>
      <c r="I49" s="5"/>
      <c r="J49" s="5"/>
      <c r="K49" s="5">
        <v>228</v>
      </c>
      <c r="L49" s="5">
        <v>7</v>
      </c>
      <c r="M49" s="5">
        <v>3</v>
      </c>
      <c r="N49" s="5" t="s">
        <v>3</v>
      </c>
      <c r="O49" s="5">
        <v>2</v>
      </c>
      <c r="P49" s="5">
        <f>ROUND(Source!EQ41,O49)</f>
        <v>364.9</v>
      </c>
      <c r="Q49" s="5"/>
      <c r="R49" s="5"/>
      <c r="S49" s="5"/>
      <c r="T49" s="5"/>
      <c r="U49" s="5"/>
      <c r="V49" s="5"/>
      <c r="W49" s="5">
        <v>122.81</v>
      </c>
      <c r="X49" s="5">
        <v>1</v>
      </c>
      <c r="Y49" s="5">
        <v>122.81</v>
      </c>
      <c r="Z49" s="5">
        <v>364.9</v>
      </c>
      <c r="AA49" s="5">
        <v>1</v>
      </c>
      <c r="AB49" s="5">
        <v>364.9</v>
      </c>
    </row>
    <row r="50" spans="1:28" x14ac:dyDescent="0.3">
      <c r="A50" s="5">
        <v>50</v>
      </c>
      <c r="B50" s="5">
        <v>0</v>
      </c>
      <c r="C50" s="5">
        <v>0</v>
      </c>
      <c r="D50" s="5">
        <v>1</v>
      </c>
      <c r="E50" s="5">
        <v>216</v>
      </c>
      <c r="F50" s="5">
        <f>ROUND(Source!AP41,O50)</f>
        <v>8788.39</v>
      </c>
      <c r="G50" s="5" t="s">
        <v>71</v>
      </c>
      <c r="H50" s="5" t="s">
        <v>72</v>
      </c>
      <c r="I50" s="5"/>
      <c r="J50" s="5"/>
      <c r="K50" s="5">
        <v>216</v>
      </c>
      <c r="L50" s="5">
        <v>8</v>
      </c>
      <c r="M50" s="5">
        <v>3</v>
      </c>
      <c r="N50" s="5" t="s">
        <v>3</v>
      </c>
      <c r="O50" s="5">
        <v>2</v>
      </c>
      <c r="P50" s="5">
        <f>ROUND(Source!EH41,O50)</f>
        <v>67319.070000000007</v>
      </c>
      <c r="Q50" s="5"/>
      <c r="R50" s="5"/>
      <c r="S50" s="5"/>
      <c r="T50" s="5"/>
      <c r="U50" s="5"/>
      <c r="V50" s="5"/>
      <c r="W50" s="5">
        <v>8788.39</v>
      </c>
      <c r="X50" s="5">
        <v>1</v>
      </c>
      <c r="Y50" s="5">
        <v>8788.39</v>
      </c>
      <c r="Z50" s="5">
        <v>67319.070000000007</v>
      </c>
      <c r="AA50" s="5">
        <v>1</v>
      </c>
      <c r="AB50" s="5">
        <v>67319.070000000007</v>
      </c>
    </row>
    <row r="51" spans="1:28" x14ac:dyDescent="0.3">
      <c r="A51" s="5">
        <v>50</v>
      </c>
      <c r="B51" s="5">
        <v>0</v>
      </c>
      <c r="C51" s="5">
        <v>0</v>
      </c>
      <c r="D51" s="5">
        <v>1</v>
      </c>
      <c r="E51" s="5">
        <v>223</v>
      </c>
      <c r="F51" s="5">
        <f>ROUND(Source!AQ41,O51)</f>
        <v>0</v>
      </c>
      <c r="G51" s="5" t="s">
        <v>73</v>
      </c>
      <c r="H51" s="5" t="s">
        <v>74</v>
      </c>
      <c r="I51" s="5"/>
      <c r="J51" s="5"/>
      <c r="K51" s="5">
        <v>223</v>
      </c>
      <c r="L51" s="5">
        <v>9</v>
      </c>
      <c r="M51" s="5">
        <v>3</v>
      </c>
      <c r="N51" s="5" t="s">
        <v>3</v>
      </c>
      <c r="O51" s="5">
        <v>2</v>
      </c>
      <c r="P51" s="5">
        <f>ROUND(Source!EI41,O51)</f>
        <v>0</v>
      </c>
      <c r="Q51" s="5"/>
      <c r="R51" s="5"/>
      <c r="S51" s="5"/>
      <c r="T51" s="5"/>
      <c r="U51" s="5"/>
      <c r="V51" s="5"/>
      <c r="W51" s="5">
        <v>0</v>
      </c>
      <c r="X51" s="5">
        <v>1</v>
      </c>
      <c r="Y51" s="5">
        <v>0</v>
      </c>
      <c r="Z51" s="5">
        <v>0</v>
      </c>
      <c r="AA51" s="5">
        <v>1</v>
      </c>
      <c r="AB51" s="5">
        <v>0</v>
      </c>
    </row>
    <row r="52" spans="1:28" x14ac:dyDescent="0.3">
      <c r="A52" s="5">
        <v>50</v>
      </c>
      <c r="B52" s="5">
        <v>0</v>
      </c>
      <c r="C52" s="5">
        <v>0</v>
      </c>
      <c r="D52" s="5">
        <v>1</v>
      </c>
      <c r="E52" s="5">
        <v>229</v>
      </c>
      <c r="F52" s="5">
        <f>ROUND(Source!AZ41,O52)</f>
        <v>8788.39</v>
      </c>
      <c r="G52" s="5" t="s">
        <v>75</v>
      </c>
      <c r="H52" s="5" t="s">
        <v>76</v>
      </c>
      <c r="I52" s="5"/>
      <c r="J52" s="5"/>
      <c r="K52" s="5">
        <v>229</v>
      </c>
      <c r="L52" s="5">
        <v>10</v>
      </c>
      <c r="M52" s="5">
        <v>3</v>
      </c>
      <c r="N52" s="5" t="s">
        <v>3</v>
      </c>
      <c r="O52" s="5">
        <v>2</v>
      </c>
      <c r="P52" s="5">
        <f>ROUND(Source!ER41,O52)</f>
        <v>67319.070000000007</v>
      </c>
      <c r="Q52" s="5"/>
      <c r="R52" s="5"/>
      <c r="S52" s="5"/>
      <c r="T52" s="5"/>
      <c r="U52" s="5"/>
      <c r="V52" s="5"/>
      <c r="W52" s="5">
        <v>8788.39</v>
      </c>
      <c r="X52" s="5">
        <v>1</v>
      </c>
      <c r="Y52" s="5">
        <v>8788.39</v>
      </c>
      <c r="Z52" s="5">
        <v>67319.070000000007</v>
      </c>
      <c r="AA52" s="5">
        <v>1</v>
      </c>
      <c r="AB52" s="5">
        <v>67319.070000000007</v>
      </c>
    </row>
    <row r="53" spans="1:28" x14ac:dyDescent="0.3">
      <c r="A53" s="5">
        <v>50</v>
      </c>
      <c r="B53" s="5">
        <v>0</v>
      </c>
      <c r="C53" s="5">
        <v>0</v>
      </c>
      <c r="D53" s="5">
        <v>1</v>
      </c>
      <c r="E53" s="5">
        <v>203</v>
      </c>
      <c r="F53" s="5">
        <f>ROUND(Source!Q41,O53)</f>
        <v>0</v>
      </c>
      <c r="G53" s="5" t="s">
        <v>77</v>
      </c>
      <c r="H53" s="5" t="s">
        <v>78</v>
      </c>
      <c r="I53" s="5"/>
      <c r="J53" s="5"/>
      <c r="K53" s="5">
        <v>203</v>
      </c>
      <c r="L53" s="5">
        <v>11</v>
      </c>
      <c r="M53" s="5">
        <v>3</v>
      </c>
      <c r="N53" s="5" t="s">
        <v>3</v>
      </c>
      <c r="O53" s="5">
        <v>2</v>
      </c>
      <c r="P53" s="5">
        <f>ROUND(Source!DI41,O53)</f>
        <v>0</v>
      </c>
      <c r="Q53" s="5"/>
      <c r="R53" s="5"/>
      <c r="S53" s="5"/>
      <c r="T53" s="5"/>
      <c r="U53" s="5"/>
      <c r="V53" s="5"/>
      <c r="W53" s="5">
        <v>0</v>
      </c>
      <c r="X53" s="5">
        <v>1</v>
      </c>
      <c r="Y53" s="5">
        <v>0</v>
      </c>
      <c r="Z53" s="5">
        <v>0</v>
      </c>
      <c r="AA53" s="5">
        <v>1</v>
      </c>
      <c r="AB53" s="5">
        <v>0</v>
      </c>
    </row>
    <row r="54" spans="1:28" x14ac:dyDescent="0.3">
      <c r="A54" s="5">
        <v>50</v>
      </c>
      <c r="B54" s="5">
        <v>0</v>
      </c>
      <c r="C54" s="5">
        <v>0</v>
      </c>
      <c r="D54" s="5">
        <v>1</v>
      </c>
      <c r="E54" s="5">
        <v>231</v>
      </c>
      <c r="F54" s="5">
        <f>ROUND(Source!BB41,O54)</f>
        <v>0</v>
      </c>
      <c r="G54" s="5" t="s">
        <v>79</v>
      </c>
      <c r="H54" s="5" t="s">
        <v>80</v>
      </c>
      <c r="I54" s="5"/>
      <c r="J54" s="5"/>
      <c r="K54" s="5">
        <v>231</v>
      </c>
      <c r="L54" s="5">
        <v>12</v>
      </c>
      <c r="M54" s="5">
        <v>3</v>
      </c>
      <c r="N54" s="5" t="s">
        <v>3</v>
      </c>
      <c r="O54" s="5">
        <v>2</v>
      </c>
      <c r="P54" s="5">
        <f>ROUND(Source!ET41,O54)</f>
        <v>0</v>
      </c>
      <c r="Q54" s="5"/>
      <c r="R54" s="5"/>
      <c r="S54" s="5"/>
      <c r="T54" s="5"/>
      <c r="U54" s="5"/>
      <c r="V54" s="5"/>
      <c r="W54" s="5">
        <v>0</v>
      </c>
      <c r="X54" s="5">
        <v>1</v>
      </c>
      <c r="Y54" s="5">
        <v>0</v>
      </c>
      <c r="Z54" s="5">
        <v>0</v>
      </c>
      <c r="AA54" s="5">
        <v>1</v>
      </c>
      <c r="AB54" s="5">
        <v>0</v>
      </c>
    </row>
    <row r="55" spans="1:28" x14ac:dyDescent="0.3">
      <c r="A55" s="5">
        <v>50</v>
      </c>
      <c r="B55" s="5">
        <v>0</v>
      </c>
      <c r="C55" s="5">
        <v>0</v>
      </c>
      <c r="D55" s="5">
        <v>1</v>
      </c>
      <c r="E55" s="5">
        <v>204</v>
      </c>
      <c r="F55" s="5">
        <f>ROUND(Source!R41,O55)</f>
        <v>0</v>
      </c>
      <c r="G55" s="5" t="s">
        <v>81</v>
      </c>
      <c r="H55" s="5" t="s">
        <v>82</v>
      </c>
      <c r="I55" s="5"/>
      <c r="J55" s="5"/>
      <c r="K55" s="5">
        <v>204</v>
      </c>
      <c r="L55" s="5">
        <v>13</v>
      </c>
      <c r="M55" s="5">
        <v>3</v>
      </c>
      <c r="N55" s="5" t="s">
        <v>3</v>
      </c>
      <c r="O55" s="5">
        <v>2</v>
      </c>
      <c r="P55" s="5">
        <f>ROUND(Source!DJ41,O55)</f>
        <v>0</v>
      </c>
      <c r="Q55" s="5"/>
      <c r="R55" s="5"/>
      <c r="S55" s="5"/>
      <c r="T55" s="5"/>
      <c r="U55" s="5"/>
      <c r="V55" s="5"/>
      <c r="W55" s="5">
        <v>0</v>
      </c>
      <c r="X55" s="5">
        <v>1</v>
      </c>
      <c r="Y55" s="5">
        <v>0</v>
      </c>
      <c r="Z55" s="5">
        <v>0</v>
      </c>
      <c r="AA55" s="5">
        <v>1</v>
      </c>
      <c r="AB55" s="5">
        <v>0</v>
      </c>
    </row>
    <row r="56" spans="1:28" x14ac:dyDescent="0.3">
      <c r="A56" s="5">
        <v>50</v>
      </c>
      <c r="B56" s="5">
        <v>0</v>
      </c>
      <c r="C56" s="5">
        <v>0</v>
      </c>
      <c r="D56" s="5">
        <v>1</v>
      </c>
      <c r="E56" s="5">
        <v>205</v>
      </c>
      <c r="F56" s="5">
        <f>ROUND(Source!S41,O56)</f>
        <v>147.01</v>
      </c>
      <c r="G56" s="5" t="s">
        <v>83</v>
      </c>
      <c r="H56" s="5" t="s">
        <v>84</v>
      </c>
      <c r="I56" s="5"/>
      <c r="J56" s="5"/>
      <c r="K56" s="5">
        <v>205</v>
      </c>
      <c r="L56" s="5">
        <v>14</v>
      </c>
      <c r="M56" s="5">
        <v>3</v>
      </c>
      <c r="N56" s="5" t="s">
        <v>3</v>
      </c>
      <c r="O56" s="5">
        <v>2</v>
      </c>
      <c r="P56" s="5">
        <f>ROUND(Source!DK41,O56)</f>
        <v>8084.08</v>
      </c>
      <c r="Q56" s="5"/>
      <c r="R56" s="5"/>
      <c r="S56" s="5"/>
      <c r="T56" s="5"/>
      <c r="U56" s="5"/>
      <c r="V56" s="5"/>
      <c r="W56" s="5">
        <v>147.01</v>
      </c>
      <c r="X56" s="5">
        <v>1</v>
      </c>
      <c r="Y56" s="5">
        <v>147.01</v>
      </c>
      <c r="Z56" s="5">
        <v>8084.08</v>
      </c>
      <c r="AA56" s="5">
        <v>1</v>
      </c>
      <c r="AB56" s="5">
        <v>8084.08</v>
      </c>
    </row>
    <row r="57" spans="1:28" x14ac:dyDescent="0.3">
      <c r="A57" s="5">
        <v>50</v>
      </c>
      <c r="B57" s="5">
        <v>0</v>
      </c>
      <c r="C57" s="5">
        <v>0</v>
      </c>
      <c r="D57" s="5">
        <v>1</v>
      </c>
      <c r="E57" s="5">
        <v>232</v>
      </c>
      <c r="F57" s="5">
        <f>ROUND(Source!BC41,O57)</f>
        <v>0</v>
      </c>
      <c r="G57" s="5" t="s">
        <v>85</v>
      </c>
      <c r="H57" s="5" t="s">
        <v>86</v>
      </c>
      <c r="I57" s="5"/>
      <c r="J57" s="5"/>
      <c r="K57" s="5">
        <v>232</v>
      </c>
      <c r="L57" s="5">
        <v>15</v>
      </c>
      <c r="M57" s="5">
        <v>3</v>
      </c>
      <c r="N57" s="5" t="s">
        <v>3</v>
      </c>
      <c r="O57" s="5">
        <v>2</v>
      </c>
      <c r="P57" s="5">
        <f>ROUND(Source!EU41,O57)</f>
        <v>0</v>
      </c>
      <c r="Q57" s="5"/>
      <c r="R57" s="5"/>
      <c r="S57" s="5"/>
      <c r="T57" s="5"/>
      <c r="U57" s="5"/>
      <c r="V57" s="5"/>
      <c r="W57" s="5">
        <v>0</v>
      </c>
      <c r="X57" s="5">
        <v>1</v>
      </c>
      <c r="Y57" s="5">
        <v>0</v>
      </c>
      <c r="Z57" s="5">
        <v>0</v>
      </c>
      <c r="AA57" s="5">
        <v>1</v>
      </c>
      <c r="AB57" s="5">
        <v>0</v>
      </c>
    </row>
    <row r="58" spans="1:28" x14ac:dyDescent="0.3">
      <c r="A58" s="5">
        <v>50</v>
      </c>
      <c r="B58" s="5">
        <v>0</v>
      </c>
      <c r="C58" s="5">
        <v>0</v>
      </c>
      <c r="D58" s="5">
        <v>1</v>
      </c>
      <c r="E58" s="5">
        <v>214</v>
      </c>
      <c r="F58" s="5">
        <f>ROUND(Source!AS41,O58)</f>
        <v>0</v>
      </c>
      <c r="G58" s="5" t="s">
        <v>87</v>
      </c>
      <c r="H58" s="5" t="s">
        <v>88</v>
      </c>
      <c r="I58" s="5"/>
      <c r="J58" s="5"/>
      <c r="K58" s="5">
        <v>214</v>
      </c>
      <c r="L58" s="5">
        <v>16</v>
      </c>
      <c r="M58" s="5">
        <v>3</v>
      </c>
      <c r="N58" s="5" t="s">
        <v>3</v>
      </c>
      <c r="O58" s="5">
        <v>2</v>
      </c>
      <c r="P58" s="5">
        <f>ROUND(Source!EK41,O58)</f>
        <v>0</v>
      </c>
      <c r="Q58" s="5"/>
      <c r="R58" s="5"/>
      <c r="S58" s="5"/>
      <c r="T58" s="5"/>
      <c r="U58" s="5"/>
      <c r="V58" s="5"/>
      <c r="W58" s="5">
        <v>0</v>
      </c>
      <c r="X58" s="5">
        <v>1</v>
      </c>
      <c r="Y58" s="5">
        <v>0</v>
      </c>
      <c r="Z58" s="5">
        <v>0</v>
      </c>
      <c r="AA58" s="5">
        <v>1</v>
      </c>
      <c r="AB58" s="5">
        <v>0</v>
      </c>
    </row>
    <row r="59" spans="1:28" x14ac:dyDescent="0.3">
      <c r="A59" s="5">
        <v>50</v>
      </c>
      <c r="B59" s="5">
        <v>0</v>
      </c>
      <c r="C59" s="5">
        <v>0</v>
      </c>
      <c r="D59" s="5">
        <v>1</v>
      </c>
      <c r="E59" s="5">
        <v>215</v>
      </c>
      <c r="F59" s="5">
        <f>ROUND(Source!AT41,O59)</f>
        <v>485.78</v>
      </c>
      <c r="G59" s="5" t="s">
        <v>89</v>
      </c>
      <c r="H59" s="5" t="s">
        <v>90</v>
      </c>
      <c r="I59" s="5"/>
      <c r="J59" s="5"/>
      <c r="K59" s="5">
        <v>215</v>
      </c>
      <c r="L59" s="5">
        <v>17</v>
      </c>
      <c r="M59" s="5">
        <v>3</v>
      </c>
      <c r="N59" s="5" t="s">
        <v>3</v>
      </c>
      <c r="O59" s="5">
        <v>2</v>
      </c>
      <c r="P59" s="5">
        <f>ROUND(Source!EL41,O59)</f>
        <v>20324.53</v>
      </c>
      <c r="Q59" s="5"/>
      <c r="R59" s="5"/>
      <c r="S59" s="5"/>
      <c r="T59" s="5"/>
      <c r="U59" s="5"/>
      <c r="V59" s="5"/>
      <c r="W59" s="5">
        <v>485.78</v>
      </c>
      <c r="X59" s="5">
        <v>1</v>
      </c>
      <c r="Y59" s="5">
        <v>485.78</v>
      </c>
      <c r="Z59" s="5">
        <v>20324.53</v>
      </c>
      <c r="AA59" s="5">
        <v>1</v>
      </c>
      <c r="AB59" s="5">
        <v>20324.53</v>
      </c>
    </row>
    <row r="60" spans="1:28" x14ac:dyDescent="0.3">
      <c r="A60" s="5">
        <v>50</v>
      </c>
      <c r="B60" s="5">
        <v>0</v>
      </c>
      <c r="C60" s="5">
        <v>0</v>
      </c>
      <c r="D60" s="5">
        <v>1</v>
      </c>
      <c r="E60" s="5">
        <v>217</v>
      </c>
      <c r="F60" s="5">
        <f>ROUND(Source!AU41,O60)</f>
        <v>0</v>
      </c>
      <c r="G60" s="5" t="s">
        <v>91</v>
      </c>
      <c r="H60" s="5" t="s">
        <v>92</v>
      </c>
      <c r="I60" s="5"/>
      <c r="J60" s="5"/>
      <c r="K60" s="5">
        <v>217</v>
      </c>
      <c r="L60" s="5">
        <v>18</v>
      </c>
      <c r="M60" s="5">
        <v>3</v>
      </c>
      <c r="N60" s="5" t="s">
        <v>3</v>
      </c>
      <c r="O60" s="5">
        <v>2</v>
      </c>
      <c r="P60" s="5">
        <f>ROUND(Source!EM41,O60)</f>
        <v>0</v>
      </c>
      <c r="Q60" s="5"/>
      <c r="R60" s="5"/>
      <c r="S60" s="5"/>
      <c r="T60" s="5"/>
      <c r="U60" s="5"/>
      <c r="V60" s="5"/>
      <c r="W60" s="5">
        <v>0</v>
      </c>
      <c r="X60" s="5">
        <v>1</v>
      </c>
      <c r="Y60" s="5">
        <v>0</v>
      </c>
      <c r="Z60" s="5">
        <v>0</v>
      </c>
      <c r="AA60" s="5">
        <v>1</v>
      </c>
      <c r="AB60" s="5">
        <v>0</v>
      </c>
    </row>
    <row r="61" spans="1:28" x14ac:dyDescent="0.3">
      <c r="A61" s="5">
        <v>50</v>
      </c>
      <c r="B61" s="5">
        <v>0</v>
      </c>
      <c r="C61" s="5">
        <v>0</v>
      </c>
      <c r="D61" s="5">
        <v>1</v>
      </c>
      <c r="E61" s="5">
        <v>230</v>
      </c>
      <c r="F61" s="5">
        <f>ROUND(Source!BA41,O61)</f>
        <v>0</v>
      </c>
      <c r="G61" s="5" t="s">
        <v>93</v>
      </c>
      <c r="H61" s="5" t="s">
        <v>94</v>
      </c>
      <c r="I61" s="5"/>
      <c r="J61" s="5"/>
      <c r="K61" s="5">
        <v>230</v>
      </c>
      <c r="L61" s="5">
        <v>19</v>
      </c>
      <c r="M61" s="5">
        <v>3</v>
      </c>
      <c r="N61" s="5" t="s">
        <v>3</v>
      </c>
      <c r="O61" s="5">
        <v>2</v>
      </c>
      <c r="P61" s="5">
        <f>ROUND(Source!ES41,O61)</f>
        <v>0</v>
      </c>
      <c r="Q61" s="5"/>
      <c r="R61" s="5"/>
      <c r="S61" s="5"/>
      <c r="T61" s="5"/>
      <c r="U61" s="5"/>
      <c r="V61" s="5"/>
      <c r="W61" s="5">
        <v>0</v>
      </c>
      <c r="X61" s="5">
        <v>1</v>
      </c>
      <c r="Y61" s="5">
        <v>0</v>
      </c>
      <c r="Z61" s="5">
        <v>0</v>
      </c>
      <c r="AA61" s="5">
        <v>1</v>
      </c>
      <c r="AB61" s="5">
        <v>0</v>
      </c>
    </row>
    <row r="62" spans="1:28" x14ac:dyDescent="0.3">
      <c r="A62" s="5">
        <v>50</v>
      </c>
      <c r="B62" s="5">
        <v>0</v>
      </c>
      <c r="C62" s="5">
        <v>0</v>
      </c>
      <c r="D62" s="5">
        <v>1</v>
      </c>
      <c r="E62" s="5">
        <v>206</v>
      </c>
      <c r="F62" s="5">
        <f>ROUND(Source!T41,O62)</f>
        <v>0</v>
      </c>
      <c r="G62" s="5" t="s">
        <v>95</v>
      </c>
      <c r="H62" s="5" t="s">
        <v>96</v>
      </c>
      <c r="I62" s="5"/>
      <c r="J62" s="5"/>
      <c r="K62" s="5">
        <v>206</v>
      </c>
      <c r="L62" s="5">
        <v>20</v>
      </c>
      <c r="M62" s="5">
        <v>3</v>
      </c>
      <c r="N62" s="5" t="s">
        <v>3</v>
      </c>
      <c r="O62" s="5">
        <v>2</v>
      </c>
      <c r="P62" s="5">
        <f>ROUND(Source!DL41,O62)</f>
        <v>0</v>
      </c>
      <c r="Q62" s="5"/>
      <c r="R62" s="5"/>
      <c r="S62" s="5"/>
      <c r="T62" s="5"/>
      <c r="U62" s="5"/>
      <c r="V62" s="5"/>
      <c r="W62" s="5">
        <v>0</v>
      </c>
      <c r="X62" s="5">
        <v>1</v>
      </c>
      <c r="Y62" s="5">
        <v>0</v>
      </c>
      <c r="Z62" s="5">
        <v>0</v>
      </c>
      <c r="AA62" s="5">
        <v>1</v>
      </c>
      <c r="AB62" s="5">
        <v>0</v>
      </c>
    </row>
    <row r="63" spans="1:28" x14ac:dyDescent="0.3">
      <c r="A63" s="5">
        <v>50</v>
      </c>
      <c r="B63" s="5">
        <v>0</v>
      </c>
      <c r="C63" s="5">
        <v>0</v>
      </c>
      <c r="D63" s="5">
        <v>1</v>
      </c>
      <c r="E63" s="5">
        <v>207</v>
      </c>
      <c r="F63" s="5">
        <f>Source!U41</f>
        <v>10.602129999999999</v>
      </c>
      <c r="G63" s="5" t="s">
        <v>97</v>
      </c>
      <c r="H63" s="5" t="s">
        <v>98</v>
      </c>
      <c r="I63" s="5"/>
      <c r="J63" s="5"/>
      <c r="K63" s="5">
        <v>207</v>
      </c>
      <c r="L63" s="5">
        <v>21</v>
      </c>
      <c r="M63" s="5">
        <v>3</v>
      </c>
      <c r="N63" s="5" t="s">
        <v>3</v>
      </c>
      <c r="O63" s="5">
        <v>-1</v>
      </c>
      <c r="P63" s="5">
        <f>Source!DM41</f>
        <v>10.602129999999999</v>
      </c>
      <c r="Q63" s="5"/>
      <c r="R63" s="5"/>
      <c r="S63" s="5"/>
      <c r="T63" s="5"/>
      <c r="U63" s="5"/>
      <c r="V63" s="5"/>
      <c r="W63" s="5">
        <v>10.602129999999999</v>
      </c>
      <c r="X63" s="5">
        <v>1</v>
      </c>
      <c r="Y63" s="5">
        <v>10.602129999999999</v>
      </c>
      <c r="Z63" s="5">
        <v>10.602129999999999</v>
      </c>
      <c r="AA63" s="5">
        <v>1</v>
      </c>
      <c r="AB63" s="5">
        <v>10.602129999999999</v>
      </c>
    </row>
    <row r="64" spans="1:28" x14ac:dyDescent="0.3">
      <c r="A64" s="5">
        <v>50</v>
      </c>
      <c r="B64" s="5">
        <v>0</v>
      </c>
      <c r="C64" s="5">
        <v>0</v>
      </c>
      <c r="D64" s="5">
        <v>1</v>
      </c>
      <c r="E64" s="5">
        <v>208</v>
      </c>
      <c r="F64" s="5">
        <f>Source!V41</f>
        <v>0</v>
      </c>
      <c r="G64" s="5" t="s">
        <v>99</v>
      </c>
      <c r="H64" s="5" t="s">
        <v>100</v>
      </c>
      <c r="I64" s="5"/>
      <c r="J64" s="5"/>
      <c r="K64" s="5">
        <v>208</v>
      </c>
      <c r="L64" s="5">
        <v>22</v>
      </c>
      <c r="M64" s="5">
        <v>3</v>
      </c>
      <c r="N64" s="5" t="s">
        <v>3</v>
      </c>
      <c r="O64" s="5">
        <v>-1</v>
      </c>
      <c r="P64" s="5">
        <f>Source!DN41</f>
        <v>0</v>
      </c>
      <c r="Q64" s="5"/>
      <c r="R64" s="5"/>
      <c r="S64" s="5"/>
      <c r="T64" s="5"/>
      <c r="U64" s="5"/>
      <c r="V64" s="5"/>
      <c r="W64" s="5">
        <v>0</v>
      </c>
      <c r="X64" s="5">
        <v>1</v>
      </c>
      <c r="Y64" s="5">
        <v>0</v>
      </c>
      <c r="Z64" s="5">
        <v>0</v>
      </c>
      <c r="AA64" s="5">
        <v>1</v>
      </c>
      <c r="AB64" s="5">
        <v>0</v>
      </c>
    </row>
    <row r="65" spans="1:255" x14ac:dyDescent="0.3">
      <c r="A65" s="5">
        <v>50</v>
      </c>
      <c r="B65" s="5">
        <v>0</v>
      </c>
      <c r="C65" s="5">
        <v>0</v>
      </c>
      <c r="D65" s="5">
        <v>1</v>
      </c>
      <c r="E65" s="5">
        <v>209</v>
      </c>
      <c r="F65" s="5">
        <f>ROUND(Source!W41,O65)</f>
        <v>0</v>
      </c>
      <c r="G65" s="5" t="s">
        <v>101</v>
      </c>
      <c r="H65" s="5" t="s">
        <v>102</v>
      </c>
      <c r="I65" s="5"/>
      <c r="J65" s="5"/>
      <c r="K65" s="5">
        <v>209</v>
      </c>
      <c r="L65" s="5">
        <v>23</v>
      </c>
      <c r="M65" s="5">
        <v>3</v>
      </c>
      <c r="N65" s="5" t="s">
        <v>3</v>
      </c>
      <c r="O65" s="5">
        <v>2</v>
      </c>
      <c r="P65" s="5">
        <f>ROUND(Source!DO41,O65)</f>
        <v>0</v>
      </c>
      <c r="Q65" s="5"/>
      <c r="R65" s="5"/>
      <c r="S65" s="5"/>
      <c r="T65" s="5"/>
      <c r="U65" s="5"/>
      <c r="V65" s="5"/>
      <c r="W65" s="5">
        <v>0</v>
      </c>
      <c r="X65" s="5">
        <v>1</v>
      </c>
      <c r="Y65" s="5">
        <v>0</v>
      </c>
      <c r="Z65" s="5">
        <v>0</v>
      </c>
      <c r="AA65" s="5">
        <v>1</v>
      </c>
      <c r="AB65" s="5">
        <v>0</v>
      </c>
    </row>
    <row r="66" spans="1:255" x14ac:dyDescent="0.3">
      <c r="A66" s="5">
        <v>50</v>
      </c>
      <c r="B66" s="5">
        <v>0</v>
      </c>
      <c r="C66" s="5">
        <v>0</v>
      </c>
      <c r="D66" s="5">
        <v>1</v>
      </c>
      <c r="E66" s="5">
        <v>233</v>
      </c>
      <c r="F66" s="5">
        <f>ROUND(Source!BD41,O66)</f>
        <v>0</v>
      </c>
      <c r="G66" s="5" t="s">
        <v>103</v>
      </c>
      <c r="H66" s="5" t="s">
        <v>104</v>
      </c>
      <c r="I66" s="5"/>
      <c r="J66" s="5"/>
      <c r="K66" s="5">
        <v>233</v>
      </c>
      <c r="L66" s="5">
        <v>24</v>
      </c>
      <c r="M66" s="5">
        <v>3</v>
      </c>
      <c r="N66" s="5" t="s">
        <v>3</v>
      </c>
      <c r="O66" s="5">
        <v>2</v>
      </c>
      <c r="P66" s="5">
        <f>ROUND(Source!EV41,O66)</f>
        <v>0</v>
      </c>
      <c r="Q66" s="5"/>
      <c r="R66" s="5"/>
      <c r="S66" s="5"/>
      <c r="T66" s="5"/>
      <c r="U66" s="5"/>
      <c r="V66" s="5"/>
      <c r="W66" s="5">
        <v>0</v>
      </c>
      <c r="X66" s="5">
        <v>1</v>
      </c>
      <c r="Y66" s="5">
        <v>0</v>
      </c>
      <c r="Z66" s="5">
        <v>0</v>
      </c>
      <c r="AA66" s="5">
        <v>1</v>
      </c>
      <c r="AB66" s="5">
        <v>0</v>
      </c>
    </row>
    <row r="67" spans="1:255" x14ac:dyDescent="0.3">
      <c r="A67" s="5">
        <v>50</v>
      </c>
      <c r="B67" s="5">
        <v>0</v>
      </c>
      <c r="C67" s="5">
        <v>0</v>
      </c>
      <c r="D67" s="5">
        <v>1</v>
      </c>
      <c r="E67" s="5">
        <v>210</v>
      </c>
      <c r="F67" s="5">
        <f>ROUND(Source!X41,O67)</f>
        <v>138.97999999999999</v>
      </c>
      <c r="G67" s="5" t="s">
        <v>105</v>
      </c>
      <c r="H67" s="5" t="s">
        <v>106</v>
      </c>
      <c r="I67" s="5"/>
      <c r="J67" s="5"/>
      <c r="K67" s="5">
        <v>210</v>
      </c>
      <c r="L67" s="5">
        <v>25</v>
      </c>
      <c r="M67" s="5">
        <v>3</v>
      </c>
      <c r="N67" s="5" t="s">
        <v>3</v>
      </c>
      <c r="O67" s="5">
        <v>2</v>
      </c>
      <c r="P67" s="5">
        <f>ROUND(Source!DP41,O67)</f>
        <v>7642.84</v>
      </c>
      <c r="Q67" s="5"/>
      <c r="R67" s="5"/>
      <c r="S67" s="5"/>
      <c r="T67" s="5"/>
      <c r="U67" s="5"/>
      <c r="V67" s="5"/>
      <c r="W67" s="5">
        <v>138.97999999999999</v>
      </c>
      <c r="X67" s="5">
        <v>1</v>
      </c>
      <c r="Y67" s="5">
        <v>138.97999999999999</v>
      </c>
      <c r="Z67" s="5">
        <v>7642.84</v>
      </c>
      <c r="AA67" s="5">
        <v>1</v>
      </c>
      <c r="AB67" s="5">
        <v>7642.84</v>
      </c>
    </row>
    <row r="68" spans="1:255" x14ac:dyDescent="0.3">
      <c r="A68" s="5">
        <v>50</v>
      </c>
      <c r="B68" s="5">
        <v>0</v>
      </c>
      <c r="C68" s="5">
        <v>0</v>
      </c>
      <c r="D68" s="5">
        <v>1</v>
      </c>
      <c r="E68" s="5">
        <v>211</v>
      </c>
      <c r="F68" s="5">
        <f>ROUND(Source!Y41,O68)</f>
        <v>76.98</v>
      </c>
      <c r="G68" s="5" t="s">
        <v>107</v>
      </c>
      <c r="H68" s="5" t="s">
        <v>108</v>
      </c>
      <c r="I68" s="5"/>
      <c r="J68" s="5"/>
      <c r="K68" s="5">
        <v>211</v>
      </c>
      <c r="L68" s="5">
        <v>26</v>
      </c>
      <c r="M68" s="5">
        <v>3</v>
      </c>
      <c r="N68" s="5" t="s">
        <v>3</v>
      </c>
      <c r="O68" s="5">
        <v>2</v>
      </c>
      <c r="P68" s="5">
        <f>ROUND(Source!DQ41,O68)</f>
        <v>4232.71</v>
      </c>
      <c r="Q68" s="5"/>
      <c r="R68" s="5"/>
      <c r="S68" s="5"/>
      <c r="T68" s="5"/>
      <c r="U68" s="5"/>
      <c r="V68" s="5"/>
      <c r="W68" s="5">
        <v>76.98</v>
      </c>
      <c r="X68" s="5">
        <v>1</v>
      </c>
      <c r="Y68" s="5">
        <v>76.98</v>
      </c>
      <c r="Z68" s="5">
        <v>4232.71</v>
      </c>
      <c r="AA68" s="5">
        <v>1</v>
      </c>
      <c r="AB68" s="5">
        <v>4232.71</v>
      </c>
    </row>
    <row r="69" spans="1:255" x14ac:dyDescent="0.3">
      <c r="A69" s="5">
        <v>50</v>
      </c>
      <c r="B69" s="5">
        <v>0</v>
      </c>
      <c r="C69" s="5">
        <v>0</v>
      </c>
      <c r="D69" s="5">
        <v>1</v>
      </c>
      <c r="E69" s="5">
        <v>224</v>
      </c>
      <c r="F69" s="5">
        <f>ROUND(Source!AR41,O69)</f>
        <v>9274.17</v>
      </c>
      <c r="G69" s="5" t="s">
        <v>109</v>
      </c>
      <c r="H69" s="5" t="s">
        <v>110</v>
      </c>
      <c r="I69" s="5"/>
      <c r="J69" s="5"/>
      <c r="K69" s="5">
        <v>224</v>
      </c>
      <c r="L69" s="5">
        <v>27</v>
      </c>
      <c r="M69" s="5">
        <v>3</v>
      </c>
      <c r="N69" s="5" t="s">
        <v>3</v>
      </c>
      <c r="O69" s="5">
        <v>2</v>
      </c>
      <c r="P69" s="5">
        <f>ROUND(Source!EJ41,O69)</f>
        <v>87643.6</v>
      </c>
      <c r="Q69" s="5"/>
      <c r="R69" s="5"/>
      <c r="S69" s="5"/>
      <c r="T69" s="5"/>
      <c r="U69" s="5"/>
      <c r="V69" s="5"/>
      <c r="W69" s="5">
        <v>9274.17</v>
      </c>
      <c r="X69" s="5">
        <v>1</v>
      </c>
      <c r="Y69" s="5">
        <v>9274.17</v>
      </c>
      <c r="Z69" s="5">
        <v>87643.6</v>
      </c>
      <c r="AA69" s="5">
        <v>1</v>
      </c>
      <c r="AB69" s="5">
        <v>87643.6</v>
      </c>
    </row>
    <row r="71" spans="1:255" x14ac:dyDescent="0.3">
      <c r="A71" s="1">
        <v>4</v>
      </c>
      <c r="B71" s="1">
        <v>1</v>
      </c>
      <c r="C71" s="1"/>
      <c r="D71" s="1">
        <f>ROW(A130)</f>
        <v>130</v>
      </c>
      <c r="E71" s="1"/>
      <c r="F71" s="1" t="s">
        <v>3</v>
      </c>
      <c r="G71" s="1" t="s">
        <v>111</v>
      </c>
      <c r="H71" s="1" t="s">
        <v>3</v>
      </c>
      <c r="I71" s="1">
        <v>0</v>
      </c>
      <c r="J71" s="1"/>
      <c r="K71" s="1">
        <v>-1</v>
      </c>
      <c r="L71" s="1"/>
      <c r="M71" s="1" t="s">
        <v>3</v>
      </c>
      <c r="N71" s="1"/>
      <c r="O71" s="1"/>
      <c r="P71" s="1"/>
      <c r="Q71" s="1"/>
      <c r="R71" s="1"/>
      <c r="S71" s="1">
        <v>0</v>
      </c>
      <c r="T71" s="1">
        <v>0</v>
      </c>
      <c r="U71" s="1" t="s">
        <v>3</v>
      </c>
      <c r="V71" s="1">
        <v>0</v>
      </c>
      <c r="W71" s="1"/>
      <c r="X71" s="1"/>
      <c r="Y71" s="1"/>
      <c r="Z71" s="1"/>
      <c r="AA71" s="1"/>
      <c r="AB71" s="1" t="s">
        <v>3</v>
      </c>
      <c r="AC71" s="1" t="s">
        <v>3</v>
      </c>
      <c r="AD71" s="1" t="s">
        <v>3</v>
      </c>
      <c r="AE71" s="1" t="s">
        <v>3</v>
      </c>
      <c r="AF71" s="1" t="s">
        <v>3</v>
      </c>
      <c r="AG71" s="1" t="s">
        <v>3</v>
      </c>
      <c r="AH71" s="1"/>
      <c r="AI71" s="1"/>
      <c r="AJ71" s="1"/>
      <c r="AK71" s="1"/>
      <c r="AL71" s="1"/>
      <c r="AM71" s="1"/>
      <c r="AN71" s="1"/>
      <c r="AO71" s="1"/>
      <c r="AP71" s="1" t="s">
        <v>3</v>
      </c>
      <c r="AQ71" s="1" t="s">
        <v>3</v>
      </c>
      <c r="AR71" s="1" t="s">
        <v>3</v>
      </c>
      <c r="AS71" s="1"/>
      <c r="AT71" s="1"/>
      <c r="AU71" s="1"/>
      <c r="AV71" s="1"/>
      <c r="AW71" s="1"/>
      <c r="AX71" s="1"/>
      <c r="AY71" s="1"/>
      <c r="AZ71" s="1" t="s">
        <v>3</v>
      </c>
      <c r="BA71" s="1"/>
      <c r="BB71" s="1" t="s">
        <v>3</v>
      </c>
      <c r="BC71" s="1" t="s">
        <v>3</v>
      </c>
      <c r="BD71" s="1" t="s">
        <v>3</v>
      </c>
      <c r="BE71" s="1" t="s">
        <v>3</v>
      </c>
      <c r="BF71" s="1" t="s">
        <v>3</v>
      </c>
      <c r="BG71" s="1" t="s">
        <v>3</v>
      </c>
      <c r="BH71" s="1" t="s">
        <v>3</v>
      </c>
      <c r="BI71" s="1" t="s">
        <v>3</v>
      </c>
      <c r="BJ71" s="1" t="s">
        <v>3</v>
      </c>
      <c r="BK71" s="1" t="s">
        <v>3</v>
      </c>
      <c r="BL71" s="1" t="s">
        <v>3</v>
      </c>
      <c r="BM71" s="1" t="s">
        <v>3</v>
      </c>
      <c r="BN71" s="1" t="s">
        <v>3</v>
      </c>
      <c r="BO71" s="1" t="s">
        <v>3</v>
      </c>
      <c r="BP71" s="1" t="s">
        <v>3</v>
      </c>
      <c r="BQ71" s="1"/>
      <c r="BR71" s="1"/>
      <c r="BS71" s="1"/>
      <c r="BT71" s="1"/>
      <c r="BU71" s="1"/>
      <c r="BV71" s="1"/>
      <c r="BW71" s="1"/>
      <c r="BX71" s="1">
        <v>0</v>
      </c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>
        <v>0</v>
      </c>
    </row>
    <row r="73" spans="1:255" x14ac:dyDescent="0.3">
      <c r="A73" s="3">
        <v>52</v>
      </c>
      <c r="B73" s="3">
        <f t="shared" ref="B73:G73" si="62">B130</f>
        <v>1</v>
      </c>
      <c r="C73" s="3">
        <f t="shared" si="62"/>
        <v>4</v>
      </c>
      <c r="D73" s="3">
        <f t="shared" si="62"/>
        <v>71</v>
      </c>
      <c r="E73" s="3">
        <f t="shared" si="62"/>
        <v>0</v>
      </c>
      <c r="F73" s="3" t="str">
        <f t="shared" si="62"/>
        <v/>
      </c>
      <c r="G73" s="3" t="str">
        <f t="shared" si="62"/>
        <v>Материалы</v>
      </c>
      <c r="H73" s="3"/>
      <c r="I73" s="3"/>
      <c r="J73" s="3"/>
      <c r="K73" s="3"/>
      <c r="L73" s="3"/>
      <c r="M73" s="3"/>
      <c r="N73" s="3"/>
      <c r="O73" s="3">
        <f t="shared" ref="O73:AT73" si="63">O130</f>
        <v>11853.84</v>
      </c>
      <c r="P73" s="3">
        <f t="shared" si="63"/>
        <v>11183.01</v>
      </c>
      <c r="Q73" s="3">
        <f t="shared" si="63"/>
        <v>19.37</v>
      </c>
      <c r="R73" s="3">
        <f t="shared" si="63"/>
        <v>0.37</v>
      </c>
      <c r="S73" s="3">
        <f t="shared" si="63"/>
        <v>651.46</v>
      </c>
      <c r="T73" s="3">
        <f t="shared" si="63"/>
        <v>0</v>
      </c>
      <c r="U73" s="3">
        <f t="shared" si="63"/>
        <v>52.936993450000003</v>
      </c>
      <c r="V73" s="3">
        <f t="shared" si="63"/>
        <v>0</v>
      </c>
      <c r="W73" s="3">
        <f t="shared" si="63"/>
        <v>0</v>
      </c>
      <c r="X73" s="3">
        <f t="shared" si="63"/>
        <v>598.39</v>
      </c>
      <c r="Y73" s="3">
        <f t="shared" si="63"/>
        <v>311.81</v>
      </c>
      <c r="Z73" s="3">
        <f t="shared" si="63"/>
        <v>0</v>
      </c>
      <c r="AA73" s="3">
        <f t="shared" si="63"/>
        <v>0</v>
      </c>
      <c r="AB73" s="3">
        <f t="shared" si="63"/>
        <v>11853.84</v>
      </c>
      <c r="AC73" s="3">
        <f t="shared" si="63"/>
        <v>11183.01</v>
      </c>
      <c r="AD73" s="3">
        <f t="shared" si="63"/>
        <v>19.37</v>
      </c>
      <c r="AE73" s="3">
        <f t="shared" si="63"/>
        <v>0.37</v>
      </c>
      <c r="AF73" s="3">
        <f t="shared" si="63"/>
        <v>651.46</v>
      </c>
      <c r="AG73" s="3">
        <f t="shared" si="63"/>
        <v>0</v>
      </c>
      <c r="AH73" s="3">
        <f t="shared" si="63"/>
        <v>52.936993450000003</v>
      </c>
      <c r="AI73" s="3">
        <f t="shared" si="63"/>
        <v>0</v>
      </c>
      <c r="AJ73" s="3">
        <f t="shared" si="63"/>
        <v>0</v>
      </c>
      <c r="AK73" s="3">
        <f t="shared" si="63"/>
        <v>598.39</v>
      </c>
      <c r="AL73" s="3">
        <f t="shared" si="63"/>
        <v>311.81</v>
      </c>
      <c r="AM73" s="3">
        <f t="shared" si="63"/>
        <v>0</v>
      </c>
      <c r="AN73" s="3">
        <f t="shared" si="63"/>
        <v>0</v>
      </c>
      <c r="AO73" s="3">
        <f t="shared" si="63"/>
        <v>0</v>
      </c>
      <c r="AP73" s="3">
        <f t="shared" si="63"/>
        <v>0</v>
      </c>
      <c r="AQ73" s="3">
        <f t="shared" si="63"/>
        <v>0</v>
      </c>
      <c r="AR73" s="3">
        <f t="shared" si="63"/>
        <v>12764.04</v>
      </c>
      <c r="AS73" s="3">
        <f t="shared" si="63"/>
        <v>0</v>
      </c>
      <c r="AT73" s="3">
        <f t="shared" si="63"/>
        <v>12764.04</v>
      </c>
      <c r="AU73" s="3">
        <f t="shared" ref="AU73:BZ73" si="64">AU130</f>
        <v>0</v>
      </c>
      <c r="AV73" s="3">
        <f t="shared" si="64"/>
        <v>11183.01</v>
      </c>
      <c r="AW73" s="3">
        <f t="shared" si="64"/>
        <v>11183.01</v>
      </c>
      <c r="AX73" s="3">
        <f t="shared" si="64"/>
        <v>0</v>
      </c>
      <c r="AY73" s="3">
        <f t="shared" si="64"/>
        <v>11183.01</v>
      </c>
      <c r="AZ73" s="3">
        <f t="shared" si="64"/>
        <v>0</v>
      </c>
      <c r="BA73" s="3">
        <f t="shared" si="64"/>
        <v>0</v>
      </c>
      <c r="BB73" s="3">
        <f t="shared" si="64"/>
        <v>0</v>
      </c>
      <c r="BC73" s="3">
        <f t="shared" si="64"/>
        <v>0</v>
      </c>
      <c r="BD73" s="3">
        <f t="shared" si="64"/>
        <v>0</v>
      </c>
      <c r="BE73" s="3">
        <f t="shared" si="64"/>
        <v>0</v>
      </c>
      <c r="BF73" s="3">
        <f t="shared" si="64"/>
        <v>0</v>
      </c>
      <c r="BG73" s="3">
        <f t="shared" si="64"/>
        <v>0</v>
      </c>
      <c r="BH73" s="3">
        <f t="shared" si="64"/>
        <v>0</v>
      </c>
      <c r="BI73" s="3">
        <f t="shared" si="64"/>
        <v>0</v>
      </c>
      <c r="BJ73" s="3">
        <f t="shared" si="64"/>
        <v>0</v>
      </c>
      <c r="BK73" s="3">
        <f t="shared" si="64"/>
        <v>0</v>
      </c>
      <c r="BL73" s="3">
        <f t="shared" si="64"/>
        <v>0</v>
      </c>
      <c r="BM73" s="3">
        <f t="shared" si="64"/>
        <v>0</v>
      </c>
      <c r="BN73" s="3">
        <f t="shared" si="64"/>
        <v>0</v>
      </c>
      <c r="BO73" s="3">
        <f t="shared" si="64"/>
        <v>0</v>
      </c>
      <c r="BP73" s="3">
        <f t="shared" si="64"/>
        <v>0</v>
      </c>
      <c r="BQ73" s="3">
        <f t="shared" si="64"/>
        <v>0</v>
      </c>
      <c r="BR73" s="3">
        <f t="shared" si="64"/>
        <v>0</v>
      </c>
      <c r="BS73" s="3">
        <f t="shared" si="64"/>
        <v>0</v>
      </c>
      <c r="BT73" s="3">
        <f t="shared" si="64"/>
        <v>0</v>
      </c>
      <c r="BU73" s="3">
        <f t="shared" si="64"/>
        <v>0</v>
      </c>
      <c r="BV73" s="3">
        <f t="shared" si="64"/>
        <v>0</v>
      </c>
      <c r="BW73" s="3">
        <f t="shared" si="64"/>
        <v>0</v>
      </c>
      <c r="BX73" s="3">
        <f t="shared" si="64"/>
        <v>0</v>
      </c>
      <c r="BY73" s="3">
        <f t="shared" si="64"/>
        <v>0</v>
      </c>
      <c r="BZ73" s="3">
        <f t="shared" si="64"/>
        <v>0</v>
      </c>
      <c r="CA73" s="3">
        <f t="shared" ref="CA73:DF73" si="65">CA130</f>
        <v>12764.04</v>
      </c>
      <c r="CB73" s="3">
        <f t="shared" si="65"/>
        <v>0</v>
      </c>
      <c r="CC73" s="3">
        <f t="shared" si="65"/>
        <v>12764.04</v>
      </c>
      <c r="CD73" s="3">
        <f t="shared" si="65"/>
        <v>0</v>
      </c>
      <c r="CE73" s="3">
        <f t="shared" si="65"/>
        <v>11183.01</v>
      </c>
      <c r="CF73" s="3">
        <f t="shared" si="65"/>
        <v>11183.01</v>
      </c>
      <c r="CG73" s="3">
        <f t="shared" si="65"/>
        <v>0</v>
      </c>
      <c r="CH73" s="3">
        <f t="shared" si="65"/>
        <v>11183.01</v>
      </c>
      <c r="CI73" s="3">
        <f t="shared" si="65"/>
        <v>0</v>
      </c>
      <c r="CJ73" s="3">
        <f t="shared" si="65"/>
        <v>0</v>
      </c>
      <c r="CK73" s="3">
        <f t="shared" si="65"/>
        <v>0</v>
      </c>
      <c r="CL73" s="3">
        <f t="shared" si="65"/>
        <v>0</v>
      </c>
      <c r="CM73" s="3">
        <f t="shared" si="65"/>
        <v>0</v>
      </c>
      <c r="CN73" s="3">
        <f t="shared" si="65"/>
        <v>0</v>
      </c>
      <c r="CO73" s="3">
        <f t="shared" si="65"/>
        <v>0</v>
      </c>
      <c r="CP73" s="3">
        <f t="shared" si="65"/>
        <v>0</v>
      </c>
      <c r="CQ73" s="3">
        <f t="shared" si="65"/>
        <v>0</v>
      </c>
      <c r="CR73" s="3">
        <f t="shared" si="65"/>
        <v>0</v>
      </c>
      <c r="CS73" s="3">
        <f t="shared" si="65"/>
        <v>0</v>
      </c>
      <c r="CT73" s="3">
        <f t="shared" si="65"/>
        <v>0</v>
      </c>
      <c r="CU73" s="3">
        <f t="shared" si="65"/>
        <v>0</v>
      </c>
      <c r="CV73" s="3">
        <f t="shared" si="65"/>
        <v>0</v>
      </c>
      <c r="CW73" s="3">
        <f t="shared" si="65"/>
        <v>0</v>
      </c>
      <c r="CX73" s="3">
        <f t="shared" si="65"/>
        <v>0</v>
      </c>
      <c r="CY73" s="3">
        <f t="shared" si="65"/>
        <v>0</v>
      </c>
      <c r="CZ73" s="3">
        <f t="shared" si="65"/>
        <v>0</v>
      </c>
      <c r="DA73" s="3">
        <f t="shared" si="65"/>
        <v>0</v>
      </c>
      <c r="DB73" s="3">
        <f t="shared" si="65"/>
        <v>0</v>
      </c>
      <c r="DC73" s="3">
        <f t="shared" si="65"/>
        <v>0</v>
      </c>
      <c r="DD73" s="3">
        <f t="shared" si="65"/>
        <v>0</v>
      </c>
      <c r="DE73" s="3">
        <f t="shared" si="65"/>
        <v>0</v>
      </c>
      <c r="DF73" s="3">
        <f t="shared" si="65"/>
        <v>0</v>
      </c>
      <c r="DG73" s="4">
        <f t="shared" ref="DG73:EL73" si="66">DG130</f>
        <v>129828.31</v>
      </c>
      <c r="DH73" s="4">
        <f t="shared" si="66"/>
        <v>93781.69</v>
      </c>
      <c r="DI73" s="4">
        <f t="shared" si="66"/>
        <v>222.82</v>
      </c>
      <c r="DJ73" s="4">
        <f t="shared" si="66"/>
        <v>20.350000000000001</v>
      </c>
      <c r="DK73" s="4">
        <f t="shared" si="66"/>
        <v>35823.800000000003</v>
      </c>
      <c r="DL73" s="4">
        <f t="shared" si="66"/>
        <v>0</v>
      </c>
      <c r="DM73" s="4">
        <f t="shared" si="66"/>
        <v>52.936993450000003</v>
      </c>
      <c r="DN73" s="4">
        <f t="shared" si="66"/>
        <v>0</v>
      </c>
      <c r="DO73" s="4">
        <f t="shared" si="66"/>
        <v>0</v>
      </c>
      <c r="DP73" s="4">
        <f t="shared" si="66"/>
        <v>32905.03</v>
      </c>
      <c r="DQ73" s="4">
        <f t="shared" si="66"/>
        <v>17145.75</v>
      </c>
      <c r="DR73" s="4">
        <f t="shared" si="66"/>
        <v>0</v>
      </c>
      <c r="DS73" s="4">
        <f t="shared" si="66"/>
        <v>0</v>
      </c>
      <c r="DT73" s="4">
        <f t="shared" si="66"/>
        <v>129828.31</v>
      </c>
      <c r="DU73" s="4">
        <f t="shared" si="66"/>
        <v>93781.69</v>
      </c>
      <c r="DV73" s="4">
        <f t="shared" si="66"/>
        <v>222.82</v>
      </c>
      <c r="DW73" s="4">
        <f t="shared" si="66"/>
        <v>20.350000000000001</v>
      </c>
      <c r="DX73" s="4">
        <f t="shared" si="66"/>
        <v>35823.800000000003</v>
      </c>
      <c r="DY73" s="4">
        <f t="shared" si="66"/>
        <v>0</v>
      </c>
      <c r="DZ73" s="4">
        <f t="shared" si="66"/>
        <v>52.936993450000003</v>
      </c>
      <c r="EA73" s="4">
        <f t="shared" si="66"/>
        <v>0</v>
      </c>
      <c r="EB73" s="4">
        <f t="shared" si="66"/>
        <v>0</v>
      </c>
      <c r="EC73" s="4">
        <f t="shared" si="66"/>
        <v>32905.03</v>
      </c>
      <c r="ED73" s="4">
        <f t="shared" si="66"/>
        <v>17145.75</v>
      </c>
      <c r="EE73" s="4">
        <f t="shared" si="66"/>
        <v>0</v>
      </c>
      <c r="EF73" s="4">
        <f t="shared" si="66"/>
        <v>0</v>
      </c>
      <c r="EG73" s="4">
        <f t="shared" si="66"/>
        <v>0</v>
      </c>
      <c r="EH73" s="4">
        <f t="shared" si="66"/>
        <v>0</v>
      </c>
      <c r="EI73" s="4">
        <f t="shared" si="66"/>
        <v>0</v>
      </c>
      <c r="EJ73" s="4">
        <f t="shared" si="66"/>
        <v>179879.09</v>
      </c>
      <c r="EK73" s="4">
        <f t="shared" si="66"/>
        <v>0</v>
      </c>
      <c r="EL73" s="4">
        <f t="shared" si="66"/>
        <v>179879.09</v>
      </c>
      <c r="EM73" s="4">
        <f t="shared" ref="EM73:FR73" si="67">EM130</f>
        <v>0</v>
      </c>
      <c r="EN73" s="4">
        <f t="shared" si="67"/>
        <v>93781.69</v>
      </c>
      <c r="EO73" s="4">
        <f t="shared" si="67"/>
        <v>93781.69</v>
      </c>
      <c r="EP73" s="4">
        <f t="shared" si="67"/>
        <v>0</v>
      </c>
      <c r="EQ73" s="4">
        <f t="shared" si="67"/>
        <v>93781.69</v>
      </c>
      <c r="ER73" s="4">
        <f t="shared" si="67"/>
        <v>0</v>
      </c>
      <c r="ES73" s="4">
        <f t="shared" si="67"/>
        <v>0</v>
      </c>
      <c r="ET73" s="4">
        <f t="shared" si="67"/>
        <v>0</v>
      </c>
      <c r="EU73" s="4">
        <f t="shared" si="67"/>
        <v>0</v>
      </c>
      <c r="EV73" s="4">
        <f t="shared" si="67"/>
        <v>0</v>
      </c>
      <c r="EW73" s="4">
        <f t="shared" si="67"/>
        <v>0</v>
      </c>
      <c r="EX73" s="4">
        <f t="shared" si="67"/>
        <v>0</v>
      </c>
      <c r="EY73" s="4">
        <f t="shared" si="67"/>
        <v>0</v>
      </c>
      <c r="EZ73" s="4">
        <f t="shared" si="67"/>
        <v>0</v>
      </c>
      <c r="FA73" s="4">
        <f t="shared" si="67"/>
        <v>0</v>
      </c>
      <c r="FB73" s="4">
        <f t="shared" si="67"/>
        <v>0</v>
      </c>
      <c r="FC73" s="4">
        <f t="shared" si="67"/>
        <v>0</v>
      </c>
      <c r="FD73" s="4">
        <f t="shared" si="67"/>
        <v>0</v>
      </c>
      <c r="FE73" s="4">
        <f t="shared" si="67"/>
        <v>0</v>
      </c>
      <c r="FF73" s="4">
        <f t="shared" si="67"/>
        <v>0</v>
      </c>
      <c r="FG73" s="4">
        <f t="shared" si="67"/>
        <v>0</v>
      </c>
      <c r="FH73" s="4">
        <f t="shared" si="67"/>
        <v>0</v>
      </c>
      <c r="FI73" s="4">
        <f t="shared" si="67"/>
        <v>0</v>
      </c>
      <c r="FJ73" s="4">
        <f t="shared" si="67"/>
        <v>0</v>
      </c>
      <c r="FK73" s="4">
        <f t="shared" si="67"/>
        <v>0</v>
      </c>
      <c r="FL73" s="4">
        <f t="shared" si="67"/>
        <v>0</v>
      </c>
      <c r="FM73" s="4">
        <f t="shared" si="67"/>
        <v>0</v>
      </c>
      <c r="FN73" s="4">
        <f t="shared" si="67"/>
        <v>0</v>
      </c>
      <c r="FO73" s="4">
        <f t="shared" si="67"/>
        <v>0</v>
      </c>
      <c r="FP73" s="4">
        <f t="shared" si="67"/>
        <v>0</v>
      </c>
      <c r="FQ73" s="4">
        <f t="shared" si="67"/>
        <v>0</v>
      </c>
      <c r="FR73" s="4">
        <f t="shared" si="67"/>
        <v>0</v>
      </c>
      <c r="FS73" s="4">
        <f t="shared" ref="FS73:GX73" si="68">FS130</f>
        <v>179879.09</v>
      </c>
      <c r="FT73" s="4">
        <f t="shared" si="68"/>
        <v>0</v>
      </c>
      <c r="FU73" s="4">
        <f t="shared" si="68"/>
        <v>179879.09</v>
      </c>
      <c r="FV73" s="4">
        <f t="shared" si="68"/>
        <v>0</v>
      </c>
      <c r="FW73" s="4">
        <f t="shared" si="68"/>
        <v>93781.69</v>
      </c>
      <c r="FX73" s="4">
        <f t="shared" si="68"/>
        <v>93781.69</v>
      </c>
      <c r="FY73" s="4">
        <f t="shared" si="68"/>
        <v>0</v>
      </c>
      <c r="FZ73" s="4">
        <f t="shared" si="68"/>
        <v>93781.69</v>
      </c>
      <c r="GA73" s="4">
        <f t="shared" si="68"/>
        <v>0</v>
      </c>
      <c r="GB73" s="4">
        <f t="shared" si="68"/>
        <v>0</v>
      </c>
      <c r="GC73" s="4">
        <f t="shared" si="68"/>
        <v>0</v>
      </c>
      <c r="GD73" s="4">
        <f t="shared" si="68"/>
        <v>0</v>
      </c>
      <c r="GE73" s="4">
        <f t="shared" si="68"/>
        <v>0</v>
      </c>
      <c r="GF73" s="4">
        <f t="shared" si="68"/>
        <v>0</v>
      </c>
      <c r="GG73" s="4">
        <f t="shared" si="68"/>
        <v>0</v>
      </c>
      <c r="GH73" s="4">
        <f t="shared" si="68"/>
        <v>0</v>
      </c>
      <c r="GI73" s="4">
        <f t="shared" si="68"/>
        <v>0</v>
      </c>
      <c r="GJ73" s="4">
        <f t="shared" si="68"/>
        <v>0</v>
      </c>
      <c r="GK73" s="4">
        <f t="shared" si="68"/>
        <v>0</v>
      </c>
      <c r="GL73" s="4">
        <f t="shared" si="68"/>
        <v>0</v>
      </c>
      <c r="GM73" s="4">
        <f t="shared" si="68"/>
        <v>0</v>
      </c>
      <c r="GN73" s="4">
        <f t="shared" si="68"/>
        <v>0</v>
      </c>
      <c r="GO73" s="4">
        <f t="shared" si="68"/>
        <v>0</v>
      </c>
      <c r="GP73" s="4">
        <f t="shared" si="68"/>
        <v>0</v>
      </c>
      <c r="GQ73" s="4">
        <f t="shared" si="68"/>
        <v>0</v>
      </c>
      <c r="GR73" s="4">
        <f t="shared" si="68"/>
        <v>0</v>
      </c>
      <c r="GS73" s="4">
        <f t="shared" si="68"/>
        <v>0</v>
      </c>
      <c r="GT73" s="4">
        <f t="shared" si="68"/>
        <v>0</v>
      </c>
      <c r="GU73" s="4">
        <f t="shared" si="68"/>
        <v>0</v>
      </c>
      <c r="GV73" s="4">
        <f t="shared" si="68"/>
        <v>0</v>
      </c>
      <c r="GW73" s="4">
        <f t="shared" si="68"/>
        <v>0</v>
      </c>
      <c r="GX73" s="4">
        <f t="shared" si="68"/>
        <v>0</v>
      </c>
    </row>
    <row r="75" spans="1:255" x14ac:dyDescent="0.3">
      <c r="A75" s="2">
        <v>17</v>
      </c>
      <c r="B75" s="2">
        <v>1</v>
      </c>
      <c r="C75" s="2">
        <f>ROW(SmtRes!A5)</f>
        <v>5</v>
      </c>
      <c r="D75" s="2">
        <f>ROW(EtalonRes!A15)</f>
        <v>15</v>
      </c>
      <c r="E75" s="2" t="s">
        <v>37</v>
      </c>
      <c r="F75" s="2" t="s">
        <v>112</v>
      </c>
      <c r="G75" s="2" t="s">
        <v>113</v>
      </c>
      <c r="H75" s="2" t="s">
        <v>114</v>
      </c>
      <c r="I75" s="2">
        <f>ROUND(5/100,9)</f>
        <v>0.05</v>
      </c>
      <c r="J75" s="2">
        <v>0</v>
      </c>
      <c r="K75" s="2">
        <f>ROUND(5/100,9)</f>
        <v>0.05</v>
      </c>
      <c r="L75" s="2"/>
      <c r="M75" s="2"/>
      <c r="N75" s="2"/>
      <c r="O75" s="2">
        <f t="shared" ref="O75:O106" si="69">ROUND(CP75,2)</f>
        <v>93.77</v>
      </c>
      <c r="P75" s="2">
        <f t="shared" ref="P75:P106" si="70">ROUND((ROUND((AC75*AW75*I75),2)*BC75),2)</f>
        <v>42.85</v>
      </c>
      <c r="Q75" s="2">
        <f>(ROUND((ROUND((((ET75*1.1))*AV75*I75),2)*BB75),2)+ROUND((ROUND(((AE75-((EU75*1.1)))*AV75*I75),2)*BS75),2))</f>
        <v>0.53</v>
      </c>
      <c r="R75" s="2">
        <f t="shared" ref="R75:R106" si="71">ROUND((ROUND((AE75*AV75*I75),2)*BS75),2)</f>
        <v>0.08</v>
      </c>
      <c r="S75" s="2">
        <f t="shared" ref="S75:S106" si="72">ROUND((ROUND((AF75*AV75*I75),2)*BA75),2)</f>
        <v>50.39</v>
      </c>
      <c r="T75" s="2">
        <f t="shared" ref="T75:T106" si="73">ROUND(CU75*I75,2)</f>
        <v>0</v>
      </c>
      <c r="U75" s="2">
        <f t="shared" ref="U75:U106" si="74">CV75*I75</f>
        <v>3.8795014500000011</v>
      </c>
      <c r="V75" s="2">
        <f t="shared" ref="V75:V106" si="75">CW75*I75</f>
        <v>0</v>
      </c>
      <c r="W75" s="2">
        <f t="shared" ref="W75:W106" si="76">ROUND(CX75*I75,2)</f>
        <v>0</v>
      </c>
      <c r="X75" s="2">
        <f t="shared" ref="X75:X106" si="77">ROUND(CY75,2)</f>
        <v>48.96</v>
      </c>
      <c r="Y75" s="2">
        <f t="shared" ref="Y75:Y106" si="78">ROUND(CZ75,2)</f>
        <v>25.74</v>
      </c>
      <c r="Z75" s="2"/>
      <c r="AA75" s="2">
        <v>56503348</v>
      </c>
      <c r="AB75" s="2">
        <f t="shared" ref="AB75:AB106" si="79">ROUND((AC75+AD75+AF75),6)</f>
        <v>1829.7080000000001</v>
      </c>
      <c r="AC75" s="2">
        <f t="shared" ref="AC75:AC106" si="80">ROUND((ES75),6)</f>
        <v>857</v>
      </c>
      <c r="AD75" s="2">
        <f>ROUND(((((ET75*1.1))-((EU75*1.1)))+AE75),6)</f>
        <v>10.054</v>
      </c>
      <c r="AE75" s="2">
        <f>ROUND(((EU75*1.1)),6)</f>
        <v>1.5289999999999999</v>
      </c>
      <c r="AF75" s="2">
        <f>ROUND(((EV75*1.1)),6)</f>
        <v>962.654</v>
      </c>
      <c r="AG75" s="2">
        <f t="shared" ref="AG75:AG106" si="81">ROUND((AP75),6)</f>
        <v>0</v>
      </c>
      <c r="AH75" s="2">
        <f>((EW75*1.1))</f>
        <v>74.107000000000014</v>
      </c>
      <c r="AI75" s="2">
        <f>((EX75*1.1))</f>
        <v>0</v>
      </c>
      <c r="AJ75" s="2">
        <f t="shared" ref="AJ75:AJ106" si="82">(AS75)</f>
        <v>0</v>
      </c>
      <c r="AK75" s="2">
        <v>1741.28</v>
      </c>
      <c r="AL75" s="2">
        <v>857</v>
      </c>
      <c r="AM75" s="2">
        <v>9.14</v>
      </c>
      <c r="AN75" s="2">
        <v>1.39</v>
      </c>
      <c r="AO75" s="2">
        <v>875.14</v>
      </c>
      <c r="AP75" s="2">
        <v>0</v>
      </c>
      <c r="AQ75" s="2">
        <v>67.37</v>
      </c>
      <c r="AR75" s="2">
        <v>0</v>
      </c>
      <c r="AS75" s="2">
        <v>0</v>
      </c>
      <c r="AT75" s="2">
        <v>97</v>
      </c>
      <c r="AU75" s="2">
        <v>51</v>
      </c>
      <c r="AV75" s="2">
        <v>1.0469999999999999</v>
      </c>
      <c r="AW75" s="2">
        <v>1</v>
      </c>
      <c r="AX75" s="2"/>
      <c r="AY75" s="2"/>
      <c r="AZ75" s="2">
        <v>1</v>
      </c>
      <c r="BA75" s="2">
        <v>1</v>
      </c>
      <c r="BB75" s="2">
        <v>1</v>
      </c>
      <c r="BC75" s="2">
        <v>1</v>
      </c>
      <c r="BD75" s="2" t="s">
        <v>3</v>
      </c>
      <c r="BE75" s="2" t="s">
        <v>3</v>
      </c>
      <c r="BF75" s="2" t="s">
        <v>3</v>
      </c>
      <c r="BG75" s="2" t="s">
        <v>3</v>
      </c>
      <c r="BH75" s="2">
        <v>0</v>
      </c>
      <c r="BI75" s="2">
        <v>2</v>
      </c>
      <c r="BJ75" s="2" t="s">
        <v>115</v>
      </c>
      <c r="BK75" s="2"/>
      <c r="BL75" s="2"/>
      <c r="BM75" s="2">
        <v>67</v>
      </c>
      <c r="BN75" s="2">
        <v>0</v>
      </c>
      <c r="BO75" s="2" t="s">
        <v>112</v>
      </c>
      <c r="BP75" s="2">
        <v>1</v>
      </c>
      <c r="BQ75" s="2">
        <v>40</v>
      </c>
      <c r="BR75" s="2">
        <v>0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 t="s">
        <v>3</v>
      </c>
      <c r="BZ75" s="2">
        <v>97</v>
      </c>
      <c r="CA75" s="2">
        <v>51</v>
      </c>
      <c r="CB75" s="2" t="s">
        <v>3</v>
      </c>
      <c r="CC75" s="2"/>
      <c r="CD75" s="2"/>
      <c r="CE75" s="2">
        <v>30</v>
      </c>
      <c r="CF75" s="2">
        <v>0</v>
      </c>
      <c r="CG75" s="2">
        <v>0</v>
      </c>
      <c r="CH75" s="2"/>
      <c r="CI75" s="2"/>
      <c r="CJ75" s="2"/>
      <c r="CK75" s="2"/>
      <c r="CL75" s="2"/>
      <c r="CM75" s="2">
        <v>0</v>
      </c>
      <c r="CN75" s="2" t="s">
        <v>3</v>
      </c>
      <c r="CO75" s="2">
        <v>0</v>
      </c>
      <c r="CP75" s="2">
        <f t="shared" ref="CP75:CP106" si="83">(P75+Q75+S75)</f>
        <v>93.77000000000001</v>
      </c>
      <c r="CQ75" s="2">
        <f t="shared" ref="CQ75:CQ106" si="84">ROUND((ROUND((AC75*AW75*1),2)*BC75),2)</f>
        <v>857</v>
      </c>
      <c r="CR75" s="2">
        <f>(ROUND((ROUND((((ET75*1.1))*AV75*1),2)*BB75),2)+ROUND((ROUND(((AE75-((EU75*1.1)))*AV75*1),2)*BS75),2))</f>
        <v>10.53</v>
      </c>
      <c r="CS75" s="2">
        <f t="shared" ref="CS75:CS106" si="85">ROUND((ROUND((AE75*AV75*1),2)*BS75),2)</f>
        <v>1.6</v>
      </c>
      <c r="CT75" s="2">
        <f t="shared" ref="CT75:CT106" si="86">ROUND((ROUND((AF75*AV75*1),2)*BA75),2)</f>
        <v>1007.9</v>
      </c>
      <c r="CU75" s="2">
        <f t="shared" ref="CU75:CU106" si="87">AG75</f>
        <v>0</v>
      </c>
      <c r="CV75" s="2">
        <f t="shared" ref="CV75:CV106" si="88">(AH75*AV75)</f>
        <v>77.590029000000015</v>
      </c>
      <c r="CW75" s="2">
        <f t="shared" ref="CW75:CW106" si="89">AI75</f>
        <v>0</v>
      </c>
      <c r="CX75" s="2">
        <f t="shared" ref="CX75:CX106" si="90">AJ75</f>
        <v>0</v>
      </c>
      <c r="CY75" s="2">
        <f t="shared" ref="CY75:CY106" si="91">(((S75+R75)*AT75)/100)</f>
        <v>48.9559</v>
      </c>
      <c r="CZ75" s="2">
        <f t="shared" ref="CZ75:CZ106" si="92">(((S75+R75)*AU75)/100)</f>
        <v>25.739699999999999</v>
      </c>
      <c r="DA75" s="2"/>
      <c r="DB75" s="2"/>
      <c r="DC75" s="2" t="s">
        <v>3</v>
      </c>
      <c r="DD75" s="2" t="s">
        <v>3</v>
      </c>
      <c r="DE75" s="2" t="s">
        <v>24</v>
      </c>
      <c r="DF75" s="2" t="s">
        <v>24</v>
      </c>
      <c r="DG75" s="2" t="s">
        <v>24</v>
      </c>
      <c r="DH75" s="2" t="s">
        <v>3</v>
      </c>
      <c r="DI75" s="2" t="s">
        <v>24</v>
      </c>
      <c r="DJ75" s="2" t="s">
        <v>24</v>
      </c>
      <c r="DK75" s="2" t="s">
        <v>3</v>
      </c>
      <c r="DL75" s="2" t="s">
        <v>3</v>
      </c>
      <c r="DM75" s="2" t="s">
        <v>3</v>
      </c>
      <c r="DN75" s="2">
        <v>0</v>
      </c>
      <c r="DO75" s="2">
        <v>0</v>
      </c>
      <c r="DP75" s="2">
        <v>1</v>
      </c>
      <c r="DQ75" s="2">
        <v>1</v>
      </c>
      <c r="DR75" s="2"/>
      <c r="DS75" s="2"/>
      <c r="DT75" s="2"/>
      <c r="DU75" s="2">
        <v>1010</v>
      </c>
      <c r="DV75" s="2" t="s">
        <v>114</v>
      </c>
      <c r="DW75" s="2" t="s">
        <v>114</v>
      </c>
      <c r="DX75" s="2">
        <v>100</v>
      </c>
      <c r="DY75" s="2"/>
      <c r="DZ75" s="2" t="s">
        <v>3</v>
      </c>
      <c r="EA75" s="2" t="s">
        <v>3</v>
      </c>
      <c r="EB75" s="2" t="s">
        <v>3</v>
      </c>
      <c r="EC75" s="2" t="s">
        <v>3</v>
      </c>
      <c r="ED75" s="2"/>
      <c r="EE75" s="2">
        <v>58162629</v>
      </c>
      <c r="EF75" s="2">
        <v>40</v>
      </c>
      <c r="EG75" s="2" t="s">
        <v>25</v>
      </c>
      <c r="EH75" s="2">
        <v>0</v>
      </c>
      <c r="EI75" s="2" t="s">
        <v>3</v>
      </c>
      <c r="EJ75" s="2">
        <v>2</v>
      </c>
      <c r="EK75" s="2">
        <v>67</v>
      </c>
      <c r="EL75" s="2" t="s">
        <v>116</v>
      </c>
      <c r="EM75" s="2" t="s">
        <v>117</v>
      </c>
      <c r="EN75" s="2"/>
      <c r="EO75" s="2" t="s">
        <v>28</v>
      </c>
      <c r="EP75" s="2"/>
      <c r="EQ75" s="2">
        <v>0</v>
      </c>
      <c r="ER75" s="2">
        <v>1741.28</v>
      </c>
      <c r="ES75" s="2">
        <v>857</v>
      </c>
      <c r="ET75" s="2">
        <v>9.14</v>
      </c>
      <c r="EU75" s="2">
        <v>1.39</v>
      </c>
      <c r="EV75" s="2">
        <v>875.14</v>
      </c>
      <c r="EW75" s="2">
        <v>67.37</v>
      </c>
      <c r="EX75" s="2">
        <v>0</v>
      </c>
      <c r="EY75" s="2">
        <v>0</v>
      </c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>
        <v>0</v>
      </c>
      <c r="FR75" s="2">
        <v>0</v>
      </c>
      <c r="FS75" s="2">
        <v>0</v>
      </c>
      <c r="FT75" s="2"/>
      <c r="FU75" s="2"/>
      <c r="FV75" s="2"/>
      <c r="FW75" s="2"/>
      <c r="FX75" s="2">
        <v>97</v>
      </c>
      <c r="FY75" s="2">
        <v>51</v>
      </c>
      <c r="FZ75" s="2"/>
      <c r="GA75" s="2" t="s">
        <v>3</v>
      </c>
      <c r="GB75" s="2"/>
      <c r="GC75" s="2"/>
      <c r="GD75" s="2">
        <v>1</v>
      </c>
      <c r="GE75" s="2"/>
      <c r="GF75" s="2">
        <v>693897660</v>
      </c>
      <c r="GG75" s="2">
        <v>2</v>
      </c>
      <c r="GH75" s="2">
        <v>1</v>
      </c>
      <c r="GI75" s="2">
        <v>2</v>
      </c>
      <c r="GJ75" s="2">
        <v>0</v>
      </c>
      <c r="GK75" s="2">
        <v>0</v>
      </c>
      <c r="GL75" s="2">
        <f t="shared" ref="GL75:GL106" si="93">ROUND(IF(AND(BH75=3,BI75=3,FS75&lt;&gt;0),P75,0),2)</f>
        <v>0</v>
      </c>
      <c r="GM75" s="2">
        <f t="shared" ref="GM75:GM106" si="94">ROUND(O75+X75+Y75,2)+GX75</f>
        <v>168.47</v>
      </c>
      <c r="GN75" s="2">
        <f t="shared" ref="GN75:GN106" si="95">IF(OR(BI75=0,BI75=1),GM75-GX75,0)</f>
        <v>0</v>
      </c>
      <c r="GO75" s="2">
        <f t="shared" ref="GO75:GO106" si="96">IF(BI75=2,GM75-GX75,0)</f>
        <v>168.47</v>
      </c>
      <c r="GP75" s="2">
        <f t="shared" ref="GP75:GP106" si="97">IF(BI75=4,GM75-GX75,0)</f>
        <v>0</v>
      </c>
      <c r="GQ75" s="2"/>
      <c r="GR75" s="2">
        <v>0</v>
      </c>
      <c r="GS75" s="2">
        <v>3</v>
      </c>
      <c r="GT75" s="2">
        <v>0</v>
      </c>
      <c r="GU75" s="2" t="s">
        <v>3</v>
      </c>
      <c r="GV75" s="2">
        <f t="shared" ref="GV75:GV106" si="98">ROUND((GT75),6)</f>
        <v>0</v>
      </c>
      <c r="GW75" s="2">
        <v>1</v>
      </c>
      <c r="GX75" s="2">
        <f t="shared" ref="GX75:GX106" si="99">ROUND(HC75*I75,2)</f>
        <v>0</v>
      </c>
      <c r="GY75" s="2"/>
      <c r="GZ75" s="2"/>
      <c r="HA75" s="2">
        <v>0</v>
      </c>
      <c r="HB75" s="2">
        <v>0</v>
      </c>
      <c r="HC75" s="2">
        <f t="shared" ref="HC75:HC106" si="100">GV75*GW75</f>
        <v>0</v>
      </c>
      <c r="HD75" s="2"/>
      <c r="HE75" s="2" t="s">
        <v>3</v>
      </c>
      <c r="HF75" s="2" t="s">
        <v>3</v>
      </c>
      <c r="HG75" s="2"/>
      <c r="HH75" s="2"/>
      <c r="HI75" s="2"/>
      <c r="HJ75" s="2"/>
      <c r="HK75" s="2"/>
      <c r="HL75" s="2"/>
      <c r="HM75" s="2" t="s">
        <v>3</v>
      </c>
      <c r="HN75" s="2" t="s">
        <v>3</v>
      </c>
      <c r="HO75" s="2" t="s">
        <v>3</v>
      </c>
      <c r="HP75" s="2" t="s">
        <v>3</v>
      </c>
      <c r="HQ75" s="2" t="s">
        <v>3</v>
      </c>
      <c r="HR75" s="2"/>
      <c r="HS75" s="2">
        <v>0</v>
      </c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>
        <v>0</v>
      </c>
      <c r="IL75" s="2"/>
      <c r="IM75" s="2"/>
      <c r="IN75" s="2"/>
      <c r="IO75" s="2"/>
      <c r="IP75" s="2"/>
      <c r="IQ75" s="2"/>
      <c r="IR75" s="2"/>
      <c r="IS75" s="2"/>
      <c r="IT75" s="2"/>
      <c r="IU75" s="2"/>
    </row>
    <row r="76" spans="1:255" x14ac:dyDescent="0.3">
      <c r="A76">
        <v>17</v>
      </c>
      <c r="B76">
        <v>1</v>
      </c>
      <c r="C76">
        <f>ROW(SmtRes!A10)</f>
        <v>10</v>
      </c>
      <c r="D76">
        <f>ROW(EtalonRes!A20)</f>
        <v>20</v>
      </c>
      <c r="E76" t="s">
        <v>37</v>
      </c>
      <c r="F76" t="s">
        <v>112</v>
      </c>
      <c r="G76" t="s">
        <v>113</v>
      </c>
      <c r="H76" t="s">
        <v>114</v>
      </c>
      <c r="I76">
        <f>ROUND(5/100,9)</f>
        <v>0.05</v>
      </c>
      <c r="J76">
        <v>0</v>
      </c>
      <c r="K76">
        <f>ROUND(5/100,9)</f>
        <v>0.05</v>
      </c>
      <c r="O76">
        <f t="shared" si="69"/>
        <v>2906</v>
      </c>
      <c r="P76">
        <f t="shared" si="70"/>
        <v>126.41</v>
      </c>
      <c r="Q76">
        <f>(ROUND((ROUND((((ET76*1.1))*AV76*I76),2)*BB76),2)+ROUND((ROUND(((AE76-((EU76*1.1)))*AV76*I76),2)*BS76),2))</f>
        <v>8.64</v>
      </c>
      <c r="R76">
        <f t="shared" si="71"/>
        <v>4.4000000000000004</v>
      </c>
      <c r="S76">
        <f t="shared" si="72"/>
        <v>2770.95</v>
      </c>
      <c r="T76">
        <f t="shared" si="73"/>
        <v>0</v>
      </c>
      <c r="U76">
        <f t="shared" si="74"/>
        <v>3.8795014500000011</v>
      </c>
      <c r="V76">
        <f t="shared" si="75"/>
        <v>0</v>
      </c>
      <c r="W76">
        <f t="shared" si="76"/>
        <v>0</v>
      </c>
      <c r="X76">
        <f t="shared" si="77"/>
        <v>2692.09</v>
      </c>
      <c r="Y76">
        <f t="shared" si="78"/>
        <v>1415.43</v>
      </c>
      <c r="AA76">
        <v>56503350</v>
      </c>
      <c r="AB76">
        <f t="shared" si="79"/>
        <v>1829.7080000000001</v>
      </c>
      <c r="AC76">
        <f t="shared" si="80"/>
        <v>857</v>
      </c>
      <c r="AD76">
        <f>ROUND(((((ET76*1.1))-((EU76*1.1)))+AE76),6)</f>
        <v>10.054</v>
      </c>
      <c r="AE76">
        <f>ROUND(((EU76*1.1)),6)</f>
        <v>1.5289999999999999</v>
      </c>
      <c r="AF76">
        <f>ROUND(((EV76*1.1)),6)</f>
        <v>962.654</v>
      </c>
      <c r="AG76">
        <f t="shared" si="81"/>
        <v>0</v>
      </c>
      <c r="AH76">
        <f>((EW76*1.1))</f>
        <v>74.107000000000014</v>
      </c>
      <c r="AI76">
        <f>((EX76*1.1))</f>
        <v>0</v>
      </c>
      <c r="AJ76">
        <f t="shared" si="82"/>
        <v>0</v>
      </c>
      <c r="AK76">
        <v>1741.28</v>
      </c>
      <c r="AL76">
        <v>857</v>
      </c>
      <c r="AM76">
        <v>9.14</v>
      </c>
      <c r="AN76">
        <v>1.39</v>
      </c>
      <c r="AO76">
        <v>875.14</v>
      </c>
      <c r="AP76">
        <v>0</v>
      </c>
      <c r="AQ76">
        <v>67.37</v>
      </c>
      <c r="AR76">
        <v>0</v>
      </c>
      <c r="AS76">
        <v>0</v>
      </c>
      <c r="AT76">
        <v>97</v>
      </c>
      <c r="AU76">
        <v>51</v>
      </c>
      <c r="AV76">
        <v>1.0469999999999999</v>
      </c>
      <c r="AW76">
        <v>1</v>
      </c>
      <c r="AZ76">
        <v>1</v>
      </c>
      <c r="BA76">
        <v>54.99</v>
      </c>
      <c r="BB76">
        <v>16.3</v>
      </c>
      <c r="BC76">
        <v>2.95</v>
      </c>
      <c r="BD76" t="s">
        <v>3</v>
      </c>
      <c r="BE76" t="s">
        <v>3</v>
      </c>
      <c r="BF76" t="s">
        <v>3</v>
      </c>
      <c r="BG76" t="s">
        <v>3</v>
      </c>
      <c r="BH76">
        <v>0</v>
      </c>
      <c r="BI76">
        <v>2</v>
      </c>
      <c r="BJ76" t="s">
        <v>115</v>
      </c>
      <c r="BM76">
        <v>67</v>
      </c>
      <c r="BN76">
        <v>0</v>
      </c>
      <c r="BO76" t="s">
        <v>112</v>
      </c>
      <c r="BP76">
        <v>1</v>
      </c>
      <c r="BQ76">
        <v>40</v>
      </c>
      <c r="BR76">
        <v>0</v>
      </c>
      <c r="BS76">
        <v>54.99</v>
      </c>
      <c r="BT76">
        <v>1</v>
      </c>
      <c r="BU76">
        <v>1</v>
      </c>
      <c r="BV76">
        <v>1</v>
      </c>
      <c r="BW76">
        <v>1</v>
      </c>
      <c r="BX76">
        <v>1</v>
      </c>
      <c r="BY76" t="s">
        <v>3</v>
      </c>
      <c r="BZ76">
        <v>97</v>
      </c>
      <c r="CA76">
        <v>51</v>
      </c>
      <c r="CB76" t="s">
        <v>3</v>
      </c>
      <c r="CE76">
        <v>30</v>
      </c>
      <c r="CF76">
        <v>0</v>
      </c>
      <c r="CG76">
        <v>0</v>
      </c>
      <c r="CM76">
        <v>0</v>
      </c>
      <c r="CN76" t="s">
        <v>3</v>
      </c>
      <c r="CO76">
        <v>0</v>
      </c>
      <c r="CP76">
        <f t="shared" si="83"/>
        <v>2906</v>
      </c>
      <c r="CQ76">
        <f t="shared" si="84"/>
        <v>2528.15</v>
      </c>
      <c r="CR76">
        <f>(ROUND((ROUND((((ET76*1.1))*AV76*1),2)*BB76),2)+ROUND((ROUND(((AE76-((EU76*1.1)))*AV76*1),2)*BS76),2))</f>
        <v>171.64</v>
      </c>
      <c r="CS76">
        <f t="shared" si="85"/>
        <v>87.98</v>
      </c>
      <c r="CT76">
        <f t="shared" si="86"/>
        <v>55424.42</v>
      </c>
      <c r="CU76">
        <f t="shared" si="87"/>
        <v>0</v>
      </c>
      <c r="CV76">
        <f t="shared" si="88"/>
        <v>77.590029000000015</v>
      </c>
      <c r="CW76">
        <f t="shared" si="89"/>
        <v>0</v>
      </c>
      <c r="CX76">
        <f t="shared" si="90"/>
        <v>0</v>
      </c>
      <c r="CY76">
        <f t="shared" si="91"/>
        <v>2692.0895</v>
      </c>
      <c r="CZ76">
        <f t="shared" si="92"/>
        <v>1415.4285</v>
      </c>
      <c r="DC76" t="s">
        <v>3</v>
      </c>
      <c r="DD76" t="s">
        <v>3</v>
      </c>
      <c r="DE76" t="s">
        <v>24</v>
      </c>
      <c r="DF76" t="s">
        <v>24</v>
      </c>
      <c r="DG76" t="s">
        <v>24</v>
      </c>
      <c r="DH76" t="s">
        <v>3</v>
      </c>
      <c r="DI76" t="s">
        <v>24</v>
      </c>
      <c r="DJ76" t="s">
        <v>24</v>
      </c>
      <c r="DK76" t="s">
        <v>3</v>
      </c>
      <c r="DL76" t="s">
        <v>3</v>
      </c>
      <c r="DM76" t="s">
        <v>3</v>
      </c>
      <c r="DN76">
        <v>0</v>
      </c>
      <c r="DO76">
        <v>0</v>
      </c>
      <c r="DP76">
        <v>1</v>
      </c>
      <c r="DQ76">
        <v>1</v>
      </c>
      <c r="DU76">
        <v>1010</v>
      </c>
      <c r="DV76" t="s">
        <v>114</v>
      </c>
      <c r="DW76" t="s">
        <v>114</v>
      </c>
      <c r="DX76">
        <v>100</v>
      </c>
      <c r="DZ76" t="s">
        <v>3</v>
      </c>
      <c r="EA76" t="s">
        <v>3</v>
      </c>
      <c r="EB76" t="s">
        <v>3</v>
      </c>
      <c r="EC76" t="s">
        <v>3</v>
      </c>
      <c r="EE76">
        <v>58162629</v>
      </c>
      <c r="EF76">
        <v>40</v>
      </c>
      <c r="EG76" t="s">
        <v>25</v>
      </c>
      <c r="EH76">
        <v>0</v>
      </c>
      <c r="EI76" t="s">
        <v>3</v>
      </c>
      <c r="EJ76">
        <v>2</v>
      </c>
      <c r="EK76">
        <v>67</v>
      </c>
      <c r="EL76" t="s">
        <v>116</v>
      </c>
      <c r="EM76" t="s">
        <v>117</v>
      </c>
      <c r="EO76" t="s">
        <v>28</v>
      </c>
      <c r="EQ76">
        <v>0</v>
      </c>
      <c r="ER76">
        <v>1741.28</v>
      </c>
      <c r="ES76">
        <v>857</v>
      </c>
      <c r="ET76">
        <v>9.14</v>
      </c>
      <c r="EU76">
        <v>1.39</v>
      </c>
      <c r="EV76">
        <v>875.14</v>
      </c>
      <c r="EW76">
        <v>67.37</v>
      </c>
      <c r="EX76">
        <v>0</v>
      </c>
      <c r="EY76">
        <v>0</v>
      </c>
      <c r="FQ76">
        <v>0</v>
      </c>
      <c r="FR76">
        <v>0</v>
      </c>
      <c r="FS76">
        <v>0</v>
      </c>
      <c r="FX76">
        <v>97</v>
      </c>
      <c r="FY76">
        <v>51</v>
      </c>
      <c r="GA76" t="s">
        <v>3</v>
      </c>
      <c r="GD76">
        <v>1</v>
      </c>
      <c r="GF76">
        <v>693897660</v>
      </c>
      <c r="GG76">
        <v>2</v>
      </c>
      <c r="GH76">
        <v>1</v>
      </c>
      <c r="GI76">
        <v>2</v>
      </c>
      <c r="GJ76">
        <v>0</v>
      </c>
      <c r="GK76">
        <v>0</v>
      </c>
      <c r="GL76">
        <f t="shared" si="93"/>
        <v>0</v>
      </c>
      <c r="GM76">
        <f t="shared" si="94"/>
        <v>7013.52</v>
      </c>
      <c r="GN76">
        <f t="shared" si="95"/>
        <v>0</v>
      </c>
      <c r="GO76">
        <f t="shared" si="96"/>
        <v>7013.52</v>
      </c>
      <c r="GP76">
        <f t="shared" si="97"/>
        <v>0</v>
      </c>
      <c r="GR76">
        <v>0</v>
      </c>
      <c r="GS76">
        <v>3</v>
      </c>
      <c r="GT76">
        <v>0</v>
      </c>
      <c r="GU76" t="s">
        <v>3</v>
      </c>
      <c r="GV76">
        <f t="shared" si="98"/>
        <v>0</v>
      </c>
      <c r="GW76">
        <v>1</v>
      </c>
      <c r="GX76">
        <f t="shared" si="99"/>
        <v>0</v>
      </c>
      <c r="HA76">
        <v>0</v>
      </c>
      <c r="HB76">
        <v>0</v>
      </c>
      <c r="HC76">
        <f t="shared" si="100"/>
        <v>0</v>
      </c>
      <c r="HE76" t="s">
        <v>3</v>
      </c>
      <c r="HF76" t="s">
        <v>3</v>
      </c>
      <c r="HM76" t="s">
        <v>3</v>
      </c>
      <c r="HN76" t="s">
        <v>3</v>
      </c>
      <c r="HO76" t="s">
        <v>3</v>
      </c>
      <c r="HP76" t="s">
        <v>3</v>
      </c>
      <c r="HQ76" t="s">
        <v>3</v>
      </c>
      <c r="HS76">
        <v>0</v>
      </c>
      <c r="IK76">
        <v>0</v>
      </c>
    </row>
    <row r="77" spans="1:255" x14ac:dyDescent="0.3">
      <c r="A77" s="2">
        <v>18</v>
      </c>
      <c r="B77" s="2">
        <v>1</v>
      </c>
      <c r="C77" s="2">
        <v>5</v>
      </c>
      <c r="D77" s="2"/>
      <c r="E77" s="2" t="s">
        <v>118</v>
      </c>
      <c r="F77" s="2" t="s">
        <v>119</v>
      </c>
      <c r="G77" s="2" t="s">
        <v>317</v>
      </c>
      <c r="H77" s="2" t="s">
        <v>32</v>
      </c>
      <c r="I77" s="2">
        <f>I75*J77</f>
        <v>5</v>
      </c>
      <c r="J77" s="2">
        <v>100</v>
      </c>
      <c r="K77" s="2">
        <v>100</v>
      </c>
      <c r="L77" s="2"/>
      <c r="M77" s="2"/>
      <c r="N77" s="2"/>
      <c r="O77" s="2">
        <f t="shared" si="69"/>
        <v>665.25</v>
      </c>
      <c r="P77" s="2">
        <f t="shared" si="70"/>
        <v>665.25</v>
      </c>
      <c r="Q77" s="2">
        <f>(ROUND((ROUND(((ET77)*AV77*I77),2)*BB77),2)+ROUND((ROUND(((AE77-(EU77))*AV77*I77),2)*BS77),2))</f>
        <v>0</v>
      </c>
      <c r="R77" s="2">
        <f t="shared" si="71"/>
        <v>0</v>
      </c>
      <c r="S77" s="2">
        <f t="shared" si="72"/>
        <v>0</v>
      </c>
      <c r="T77" s="2">
        <f t="shared" si="73"/>
        <v>0</v>
      </c>
      <c r="U77" s="2">
        <f t="shared" si="74"/>
        <v>0</v>
      </c>
      <c r="V77" s="2">
        <f t="shared" si="75"/>
        <v>0</v>
      </c>
      <c r="W77" s="2">
        <f t="shared" si="76"/>
        <v>0</v>
      </c>
      <c r="X77" s="2">
        <f t="shared" si="77"/>
        <v>0</v>
      </c>
      <c r="Y77" s="2">
        <f t="shared" si="78"/>
        <v>0</v>
      </c>
      <c r="Z77" s="2"/>
      <c r="AA77" s="2">
        <v>56503348</v>
      </c>
      <c r="AB77" s="2">
        <f t="shared" si="79"/>
        <v>133.05000000000001</v>
      </c>
      <c r="AC77" s="2">
        <f t="shared" si="80"/>
        <v>133.05000000000001</v>
      </c>
      <c r="AD77" s="2">
        <f>ROUND((((ET77)-(EU77))+AE77),6)</f>
        <v>0</v>
      </c>
      <c r="AE77" s="2">
        <f>ROUND((EU77),6)</f>
        <v>0</v>
      </c>
      <c r="AF77" s="2">
        <f>ROUND((EV77),6)</f>
        <v>0</v>
      </c>
      <c r="AG77" s="2">
        <f t="shared" si="81"/>
        <v>0</v>
      </c>
      <c r="AH77" s="2">
        <f>(EW77)</f>
        <v>0</v>
      </c>
      <c r="AI77" s="2">
        <f>(EX77)</f>
        <v>0</v>
      </c>
      <c r="AJ77" s="2">
        <f t="shared" si="82"/>
        <v>0</v>
      </c>
      <c r="AK77" s="2">
        <v>133.05000000000001</v>
      </c>
      <c r="AL77" s="2">
        <v>133.05000000000001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97</v>
      </c>
      <c r="AU77" s="2">
        <v>51</v>
      </c>
      <c r="AV77" s="2">
        <v>1</v>
      </c>
      <c r="AW77" s="2">
        <v>1</v>
      </c>
      <c r="AX77" s="2"/>
      <c r="AY77" s="2"/>
      <c r="AZ77" s="2">
        <v>1</v>
      </c>
      <c r="BA77" s="2">
        <v>1</v>
      </c>
      <c r="BB77" s="2">
        <v>1</v>
      </c>
      <c r="BC77" s="2">
        <v>1</v>
      </c>
      <c r="BD77" s="2" t="s">
        <v>3</v>
      </c>
      <c r="BE77" s="2" t="s">
        <v>3</v>
      </c>
      <c r="BF77" s="2" t="s">
        <v>3</v>
      </c>
      <c r="BG77" s="2" t="s">
        <v>3</v>
      </c>
      <c r="BH77" s="2">
        <v>3</v>
      </c>
      <c r="BI77" s="2">
        <v>2</v>
      </c>
      <c r="BJ77" s="2" t="s">
        <v>120</v>
      </c>
      <c r="BK77" s="2"/>
      <c r="BL77" s="2"/>
      <c r="BM77" s="2">
        <v>67</v>
      </c>
      <c r="BN77" s="2">
        <v>0</v>
      </c>
      <c r="BO77" s="2" t="s">
        <v>3</v>
      </c>
      <c r="BP77" s="2">
        <v>0</v>
      </c>
      <c r="BQ77" s="2">
        <v>40</v>
      </c>
      <c r="BR77" s="2">
        <v>0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 t="s">
        <v>3</v>
      </c>
      <c r="BZ77" s="2">
        <v>97</v>
      </c>
      <c r="CA77" s="2">
        <v>51</v>
      </c>
      <c r="CB77" s="2" t="s">
        <v>3</v>
      </c>
      <c r="CC77" s="2"/>
      <c r="CD77" s="2"/>
      <c r="CE77" s="2">
        <v>30</v>
      </c>
      <c r="CF77" s="2">
        <v>0</v>
      </c>
      <c r="CG77" s="2">
        <v>0</v>
      </c>
      <c r="CH77" s="2"/>
      <c r="CI77" s="2"/>
      <c r="CJ77" s="2"/>
      <c r="CK77" s="2"/>
      <c r="CL77" s="2"/>
      <c r="CM77" s="2">
        <v>0</v>
      </c>
      <c r="CN77" s="2" t="s">
        <v>3</v>
      </c>
      <c r="CO77" s="2">
        <v>0</v>
      </c>
      <c r="CP77" s="2">
        <f t="shared" si="83"/>
        <v>665.25</v>
      </c>
      <c r="CQ77" s="2">
        <f t="shared" si="84"/>
        <v>133.05000000000001</v>
      </c>
      <c r="CR77" s="2">
        <f>(ROUND((ROUND(((ET77)*AV77*1),2)*BB77),2)+ROUND((ROUND(((AE77-(EU77))*AV77*1),2)*BS77),2))</f>
        <v>0</v>
      </c>
      <c r="CS77" s="2">
        <f t="shared" si="85"/>
        <v>0</v>
      </c>
      <c r="CT77" s="2">
        <f t="shared" si="86"/>
        <v>0</v>
      </c>
      <c r="CU77" s="2">
        <f t="shared" si="87"/>
        <v>0</v>
      </c>
      <c r="CV77" s="2">
        <f t="shared" si="88"/>
        <v>0</v>
      </c>
      <c r="CW77" s="2">
        <f t="shared" si="89"/>
        <v>0</v>
      </c>
      <c r="CX77" s="2">
        <f t="shared" si="90"/>
        <v>0</v>
      </c>
      <c r="CY77" s="2">
        <f t="shared" si="91"/>
        <v>0</v>
      </c>
      <c r="CZ77" s="2">
        <f t="shared" si="92"/>
        <v>0</v>
      </c>
      <c r="DA77" s="2"/>
      <c r="DB77" s="2"/>
      <c r="DC77" s="2" t="s">
        <v>3</v>
      </c>
      <c r="DD77" s="2" t="s">
        <v>3</v>
      </c>
      <c r="DE77" s="2" t="s">
        <v>3</v>
      </c>
      <c r="DF77" s="2" t="s">
        <v>3</v>
      </c>
      <c r="DG77" s="2" t="s">
        <v>3</v>
      </c>
      <c r="DH77" s="2" t="s">
        <v>3</v>
      </c>
      <c r="DI77" s="2" t="s">
        <v>3</v>
      </c>
      <c r="DJ77" s="2" t="s">
        <v>3</v>
      </c>
      <c r="DK77" s="2" t="s">
        <v>3</v>
      </c>
      <c r="DL77" s="2" t="s">
        <v>3</v>
      </c>
      <c r="DM77" s="2" t="s">
        <v>3</v>
      </c>
      <c r="DN77" s="2">
        <v>0</v>
      </c>
      <c r="DO77" s="2">
        <v>0</v>
      </c>
      <c r="DP77" s="2">
        <v>1</v>
      </c>
      <c r="DQ77" s="2">
        <v>1</v>
      </c>
      <c r="DR77" s="2"/>
      <c r="DS77" s="2"/>
      <c r="DT77" s="2"/>
      <c r="DU77" s="2">
        <v>1010</v>
      </c>
      <c r="DV77" s="2" t="s">
        <v>32</v>
      </c>
      <c r="DW77" s="2" t="s">
        <v>32</v>
      </c>
      <c r="DX77" s="2">
        <v>1</v>
      </c>
      <c r="DY77" s="2"/>
      <c r="DZ77" s="2" t="s">
        <v>3</v>
      </c>
      <c r="EA77" s="2" t="s">
        <v>3</v>
      </c>
      <c r="EB77" s="2" t="s">
        <v>3</v>
      </c>
      <c r="EC77" s="2" t="s">
        <v>3</v>
      </c>
      <c r="ED77" s="2"/>
      <c r="EE77" s="2">
        <v>58162629</v>
      </c>
      <c r="EF77" s="2">
        <v>40</v>
      </c>
      <c r="EG77" s="2" t="s">
        <v>25</v>
      </c>
      <c r="EH77" s="2">
        <v>0</v>
      </c>
      <c r="EI77" s="2" t="s">
        <v>3</v>
      </c>
      <c r="EJ77" s="2">
        <v>2</v>
      </c>
      <c r="EK77" s="2">
        <v>67</v>
      </c>
      <c r="EL77" s="2" t="s">
        <v>116</v>
      </c>
      <c r="EM77" s="2" t="s">
        <v>117</v>
      </c>
      <c r="EN77" s="2"/>
      <c r="EO77" s="2" t="s">
        <v>3</v>
      </c>
      <c r="EP77" s="2"/>
      <c r="EQ77" s="2">
        <v>0</v>
      </c>
      <c r="ER77" s="2">
        <v>133.05000000000001</v>
      </c>
      <c r="ES77" s="2">
        <v>133.05000000000001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>
        <v>0</v>
      </c>
      <c r="FR77" s="2">
        <v>0</v>
      </c>
      <c r="FS77" s="2">
        <v>0</v>
      </c>
      <c r="FT77" s="2"/>
      <c r="FU77" s="2"/>
      <c r="FV77" s="2"/>
      <c r="FW77" s="2"/>
      <c r="FX77" s="2">
        <v>97</v>
      </c>
      <c r="FY77" s="2">
        <v>51</v>
      </c>
      <c r="FZ77" s="2"/>
      <c r="GA77" s="2" t="s">
        <v>3</v>
      </c>
      <c r="GB77" s="2"/>
      <c r="GC77" s="2"/>
      <c r="GD77" s="2">
        <v>1</v>
      </c>
      <c r="GE77" s="2"/>
      <c r="GF77" s="2">
        <v>-971037413</v>
      </c>
      <c r="GG77" s="2">
        <v>2</v>
      </c>
      <c r="GH77" s="2">
        <v>1</v>
      </c>
      <c r="GI77" s="2">
        <v>-2</v>
      </c>
      <c r="GJ77" s="2">
        <v>0</v>
      </c>
      <c r="GK77" s="2">
        <v>0</v>
      </c>
      <c r="GL77" s="2">
        <f t="shared" si="93"/>
        <v>0</v>
      </c>
      <c r="GM77" s="2">
        <f t="shared" si="94"/>
        <v>665.25</v>
      </c>
      <c r="GN77" s="2">
        <f t="shared" si="95"/>
        <v>0</v>
      </c>
      <c r="GO77" s="2">
        <f t="shared" si="96"/>
        <v>665.25</v>
      </c>
      <c r="GP77" s="2">
        <f t="shared" si="97"/>
        <v>0</v>
      </c>
      <c r="GQ77" s="2"/>
      <c r="GR77" s="2">
        <v>0</v>
      </c>
      <c r="GS77" s="2">
        <v>3</v>
      </c>
      <c r="GT77" s="2">
        <v>0</v>
      </c>
      <c r="GU77" s="2" t="s">
        <v>3</v>
      </c>
      <c r="GV77" s="2">
        <f t="shared" si="98"/>
        <v>0</v>
      </c>
      <c r="GW77" s="2">
        <v>1</v>
      </c>
      <c r="GX77" s="2">
        <f t="shared" si="99"/>
        <v>0</v>
      </c>
      <c r="GY77" s="2"/>
      <c r="GZ77" s="2"/>
      <c r="HA77" s="2">
        <v>0</v>
      </c>
      <c r="HB77" s="2">
        <v>0</v>
      </c>
      <c r="HC77" s="2">
        <f t="shared" si="100"/>
        <v>0</v>
      </c>
      <c r="HD77" s="2"/>
      <c r="HE77" s="2" t="s">
        <v>3</v>
      </c>
      <c r="HF77" s="2" t="s">
        <v>3</v>
      </c>
      <c r="HG77" s="2"/>
      <c r="HH77" s="2"/>
      <c r="HI77" s="2"/>
      <c r="HJ77" s="2"/>
      <c r="HK77" s="2"/>
      <c r="HL77" s="2"/>
      <c r="HM77" s="2" t="s">
        <v>3</v>
      </c>
      <c r="HN77" s="2" t="s">
        <v>3</v>
      </c>
      <c r="HO77" s="2" t="s">
        <v>3</v>
      </c>
      <c r="HP77" s="2" t="s">
        <v>3</v>
      </c>
      <c r="HQ77" s="2" t="s">
        <v>3</v>
      </c>
      <c r="HR77" s="2"/>
      <c r="HS77" s="2">
        <v>0</v>
      </c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>
        <v>0</v>
      </c>
      <c r="IL77" s="2"/>
      <c r="IM77" s="2"/>
      <c r="IN77" s="2"/>
      <c r="IO77" s="2"/>
      <c r="IP77" s="2"/>
      <c r="IQ77" s="2"/>
      <c r="IR77" s="2"/>
      <c r="IS77" s="2"/>
      <c r="IT77" s="2"/>
      <c r="IU77" s="2"/>
    </row>
    <row r="78" spans="1:255" x14ac:dyDescent="0.3">
      <c r="A78">
        <v>18</v>
      </c>
      <c r="B78">
        <v>1</v>
      </c>
      <c r="C78">
        <v>10</v>
      </c>
      <c r="E78" t="s">
        <v>118</v>
      </c>
      <c r="F78" t="s">
        <v>119</v>
      </c>
      <c r="G78" t="s">
        <v>317</v>
      </c>
      <c r="H78" t="s">
        <v>32</v>
      </c>
      <c r="I78">
        <f>I76*J78</f>
        <v>5</v>
      </c>
      <c r="J78">
        <v>100</v>
      </c>
      <c r="K78">
        <v>100</v>
      </c>
      <c r="O78">
        <f t="shared" si="69"/>
        <v>6213.44</v>
      </c>
      <c r="P78">
        <f t="shared" si="70"/>
        <v>6213.44</v>
      </c>
      <c r="Q78">
        <f>(ROUND((ROUND(((ET78)*AV78*I78),2)*BB78),2)+ROUND((ROUND(((AE78-(EU78))*AV78*I78),2)*BS78),2))</f>
        <v>0</v>
      </c>
      <c r="R78">
        <f t="shared" si="71"/>
        <v>0</v>
      </c>
      <c r="S78">
        <f t="shared" si="72"/>
        <v>0</v>
      </c>
      <c r="T78">
        <f t="shared" si="73"/>
        <v>0</v>
      </c>
      <c r="U78">
        <f t="shared" si="74"/>
        <v>0</v>
      </c>
      <c r="V78">
        <f t="shared" si="75"/>
        <v>0</v>
      </c>
      <c r="W78">
        <f t="shared" si="76"/>
        <v>0</v>
      </c>
      <c r="X78">
        <f t="shared" si="77"/>
        <v>0</v>
      </c>
      <c r="Y78">
        <f t="shared" si="78"/>
        <v>0</v>
      </c>
      <c r="AA78">
        <v>56503350</v>
      </c>
      <c r="AB78">
        <f t="shared" si="79"/>
        <v>133.05000000000001</v>
      </c>
      <c r="AC78">
        <f t="shared" si="80"/>
        <v>133.05000000000001</v>
      </c>
      <c r="AD78">
        <f>ROUND((((ET78)-(EU78))+AE78),6)</f>
        <v>0</v>
      </c>
      <c r="AE78">
        <f>ROUND((EU78),6)</f>
        <v>0</v>
      </c>
      <c r="AF78">
        <f>ROUND((EV78),6)</f>
        <v>0</v>
      </c>
      <c r="AG78">
        <f t="shared" si="81"/>
        <v>0</v>
      </c>
      <c r="AH78">
        <f>(EW78)</f>
        <v>0</v>
      </c>
      <c r="AI78">
        <f>(EX78)</f>
        <v>0</v>
      </c>
      <c r="AJ78">
        <f t="shared" si="82"/>
        <v>0</v>
      </c>
      <c r="AK78">
        <v>133.05000000000001</v>
      </c>
      <c r="AL78">
        <v>133.05000000000001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97</v>
      </c>
      <c r="AU78">
        <v>51</v>
      </c>
      <c r="AV78">
        <v>1</v>
      </c>
      <c r="AW78">
        <v>1</v>
      </c>
      <c r="AZ78">
        <v>1</v>
      </c>
      <c r="BA78">
        <v>1</v>
      </c>
      <c r="BB78">
        <v>1</v>
      </c>
      <c r="BC78">
        <v>9.34</v>
      </c>
      <c r="BD78" t="s">
        <v>3</v>
      </c>
      <c r="BE78" t="s">
        <v>3</v>
      </c>
      <c r="BF78" t="s">
        <v>3</v>
      </c>
      <c r="BG78" t="s">
        <v>3</v>
      </c>
      <c r="BH78">
        <v>3</v>
      </c>
      <c r="BI78">
        <v>2</v>
      </c>
      <c r="BJ78" t="s">
        <v>120</v>
      </c>
      <c r="BM78">
        <v>67</v>
      </c>
      <c r="BN78">
        <v>0</v>
      </c>
      <c r="BO78" t="s">
        <v>119</v>
      </c>
      <c r="BP78">
        <v>1</v>
      </c>
      <c r="BQ78">
        <v>40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 t="s">
        <v>3</v>
      </c>
      <c r="BZ78">
        <v>97</v>
      </c>
      <c r="CA78">
        <v>51</v>
      </c>
      <c r="CB78" t="s">
        <v>3</v>
      </c>
      <c r="CE78">
        <v>30</v>
      </c>
      <c r="CF78">
        <v>0</v>
      </c>
      <c r="CG78">
        <v>0</v>
      </c>
      <c r="CM78">
        <v>0</v>
      </c>
      <c r="CN78" t="s">
        <v>3</v>
      </c>
      <c r="CO78">
        <v>0</v>
      </c>
      <c r="CP78">
        <f t="shared" si="83"/>
        <v>6213.44</v>
      </c>
      <c r="CQ78">
        <f t="shared" si="84"/>
        <v>1242.69</v>
      </c>
      <c r="CR78">
        <f>(ROUND((ROUND(((ET78)*AV78*1),2)*BB78),2)+ROUND((ROUND(((AE78-(EU78))*AV78*1),2)*BS78),2))</f>
        <v>0</v>
      </c>
      <c r="CS78">
        <f t="shared" si="85"/>
        <v>0</v>
      </c>
      <c r="CT78">
        <f t="shared" si="86"/>
        <v>0</v>
      </c>
      <c r="CU78">
        <f t="shared" si="87"/>
        <v>0</v>
      </c>
      <c r="CV78">
        <f t="shared" si="88"/>
        <v>0</v>
      </c>
      <c r="CW78">
        <f t="shared" si="89"/>
        <v>0</v>
      </c>
      <c r="CX78">
        <f t="shared" si="90"/>
        <v>0</v>
      </c>
      <c r="CY78">
        <f t="shared" si="91"/>
        <v>0</v>
      </c>
      <c r="CZ78">
        <f t="shared" si="92"/>
        <v>0</v>
      </c>
      <c r="DC78" t="s">
        <v>3</v>
      </c>
      <c r="DD78" t="s">
        <v>3</v>
      </c>
      <c r="DE78" t="s">
        <v>3</v>
      </c>
      <c r="DF78" t="s">
        <v>3</v>
      </c>
      <c r="DG78" t="s">
        <v>3</v>
      </c>
      <c r="DH78" t="s">
        <v>3</v>
      </c>
      <c r="DI78" t="s">
        <v>3</v>
      </c>
      <c r="DJ78" t="s">
        <v>3</v>
      </c>
      <c r="DK78" t="s">
        <v>3</v>
      </c>
      <c r="DL78" t="s">
        <v>3</v>
      </c>
      <c r="DM78" t="s">
        <v>3</v>
      </c>
      <c r="DN78">
        <v>0</v>
      </c>
      <c r="DO78">
        <v>0</v>
      </c>
      <c r="DP78">
        <v>1</v>
      </c>
      <c r="DQ78">
        <v>1</v>
      </c>
      <c r="DU78">
        <v>1010</v>
      </c>
      <c r="DV78" t="s">
        <v>32</v>
      </c>
      <c r="DW78" t="s">
        <v>32</v>
      </c>
      <c r="DX78">
        <v>1</v>
      </c>
      <c r="DZ78" t="s">
        <v>3</v>
      </c>
      <c r="EA78" t="s">
        <v>3</v>
      </c>
      <c r="EB78" t="s">
        <v>3</v>
      </c>
      <c r="EC78" t="s">
        <v>3</v>
      </c>
      <c r="EE78">
        <v>58162629</v>
      </c>
      <c r="EF78">
        <v>40</v>
      </c>
      <c r="EG78" t="s">
        <v>25</v>
      </c>
      <c r="EH78">
        <v>0</v>
      </c>
      <c r="EI78" t="s">
        <v>3</v>
      </c>
      <c r="EJ78">
        <v>2</v>
      </c>
      <c r="EK78">
        <v>67</v>
      </c>
      <c r="EL78" t="s">
        <v>116</v>
      </c>
      <c r="EM78" t="s">
        <v>117</v>
      </c>
      <c r="EO78" t="s">
        <v>3</v>
      </c>
      <c r="EQ78">
        <v>0</v>
      </c>
      <c r="ER78">
        <v>133.05000000000001</v>
      </c>
      <c r="ES78">
        <v>133.05000000000001</v>
      </c>
      <c r="ET78">
        <v>0</v>
      </c>
      <c r="EU78">
        <v>0</v>
      </c>
      <c r="EV78">
        <v>0</v>
      </c>
      <c r="EW78">
        <v>0</v>
      </c>
      <c r="EX78">
        <v>0</v>
      </c>
      <c r="FQ78">
        <v>0</v>
      </c>
      <c r="FR78">
        <v>0</v>
      </c>
      <c r="FS78">
        <v>0</v>
      </c>
      <c r="FX78">
        <v>97</v>
      </c>
      <c r="FY78">
        <v>51</v>
      </c>
      <c r="GA78" t="s">
        <v>3</v>
      </c>
      <c r="GD78">
        <v>1</v>
      </c>
      <c r="GF78">
        <v>-971037413</v>
      </c>
      <c r="GG78">
        <v>2</v>
      </c>
      <c r="GH78">
        <v>1</v>
      </c>
      <c r="GI78">
        <v>2</v>
      </c>
      <c r="GJ78">
        <v>0</v>
      </c>
      <c r="GK78">
        <v>0</v>
      </c>
      <c r="GL78">
        <f t="shared" si="93"/>
        <v>0</v>
      </c>
      <c r="GM78">
        <f t="shared" si="94"/>
        <v>6213.44</v>
      </c>
      <c r="GN78">
        <f t="shared" si="95"/>
        <v>0</v>
      </c>
      <c r="GO78">
        <f t="shared" si="96"/>
        <v>6213.44</v>
      </c>
      <c r="GP78">
        <f t="shared" si="97"/>
        <v>0</v>
      </c>
      <c r="GR78">
        <v>0</v>
      </c>
      <c r="GS78">
        <v>3</v>
      </c>
      <c r="GT78">
        <v>0</v>
      </c>
      <c r="GU78" t="s">
        <v>3</v>
      </c>
      <c r="GV78">
        <f t="shared" si="98"/>
        <v>0</v>
      </c>
      <c r="GW78">
        <v>1</v>
      </c>
      <c r="GX78">
        <f t="shared" si="99"/>
        <v>0</v>
      </c>
      <c r="HA78">
        <v>0</v>
      </c>
      <c r="HB78">
        <v>0</v>
      </c>
      <c r="HC78">
        <f t="shared" si="100"/>
        <v>0</v>
      </c>
      <c r="HE78" t="s">
        <v>3</v>
      </c>
      <c r="HF78" t="s">
        <v>3</v>
      </c>
      <c r="HM78" t="s">
        <v>3</v>
      </c>
      <c r="HN78" t="s">
        <v>3</v>
      </c>
      <c r="HO78" t="s">
        <v>3</v>
      </c>
      <c r="HP78" t="s">
        <v>3</v>
      </c>
      <c r="HQ78" t="s">
        <v>3</v>
      </c>
      <c r="HS78">
        <v>0</v>
      </c>
      <c r="IK78">
        <v>0</v>
      </c>
    </row>
    <row r="79" spans="1:255" x14ac:dyDescent="0.3">
      <c r="A79" s="2">
        <v>17</v>
      </c>
      <c r="B79" s="2">
        <v>1</v>
      </c>
      <c r="C79" s="2"/>
      <c r="D79" s="2">
        <f>ROW(EtalonRes!A31)</f>
        <v>31</v>
      </c>
      <c r="E79" s="2" t="s">
        <v>121</v>
      </c>
      <c r="F79" s="2" t="s">
        <v>122</v>
      </c>
      <c r="G79" s="2" t="s">
        <v>123</v>
      </c>
      <c r="H79" s="2" t="s">
        <v>124</v>
      </c>
      <c r="I79" s="2">
        <f>ROUND(200/100,9)</f>
        <v>2</v>
      </c>
      <c r="J79" s="2">
        <v>0</v>
      </c>
      <c r="K79" s="2">
        <f>ROUND(200/100,9)</f>
        <v>2</v>
      </c>
      <c r="L79" s="2"/>
      <c r="M79" s="2"/>
      <c r="N79" s="2"/>
      <c r="O79" s="2">
        <f t="shared" si="69"/>
        <v>642.21</v>
      </c>
      <c r="P79" s="2">
        <f t="shared" si="70"/>
        <v>183.82</v>
      </c>
      <c r="Q79" s="2">
        <f>(ROUND((ROUND((((ET79*1.1))*AV79*I79),2)*BB79),2)+ROUND((ROUND(((AE79-((EU79*1.1)))*AV79*I79),2)*BS79),2))</f>
        <v>3.98</v>
      </c>
      <c r="R79" s="2">
        <f t="shared" si="71"/>
        <v>0</v>
      </c>
      <c r="S79" s="2">
        <f t="shared" si="72"/>
        <v>454.41</v>
      </c>
      <c r="T79" s="2">
        <f t="shared" si="73"/>
        <v>0</v>
      </c>
      <c r="U79" s="2">
        <f t="shared" si="74"/>
        <v>38.236440000000002</v>
      </c>
      <c r="V79" s="2">
        <f t="shared" si="75"/>
        <v>0</v>
      </c>
      <c r="W79" s="2">
        <f t="shared" si="76"/>
        <v>0</v>
      </c>
      <c r="X79" s="2">
        <f t="shared" si="77"/>
        <v>408.97</v>
      </c>
      <c r="Y79" s="2">
        <f t="shared" si="78"/>
        <v>209.03</v>
      </c>
      <c r="Z79" s="2"/>
      <c r="AA79" s="2">
        <v>56503348</v>
      </c>
      <c r="AB79" s="2">
        <f t="shared" si="79"/>
        <v>310.82100000000003</v>
      </c>
      <c r="AC79" s="2">
        <f t="shared" si="80"/>
        <v>91.91</v>
      </c>
      <c r="AD79" s="2">
        <f>ROUND(((((ET79*1.1))-((EU79*1.1)))+AE79),6)</f>
        <v>1.903</v>
      </c>
      <c r="AE79" s="2">
        <f>ROUND(((EU79*1.1)),6)</f>
        <v>0</v>
      </c>
      <c r="AF79" s="2">
        <f>ROUND(((EV79*1.1)),6)</f>
        <v>217.00800000000001</v>
      </c>
      <c r="AG79" s="2">
        <f t="shared" si="81"/>
        <v>0</v>
      </c>
      <c r="AH79" s="2">
        <f>((EW79*1.1))</f>
        <v>18.260000000000002</v>
      </c>
      <c r="AI79" s="2">
        <f>((EX79*1.1))</f>
        <v>0</v>
      </c>
      <c r="AJ79" s="2">
        <f t="shared" si="82"/>
        <v>0</v>
      </c>
      <c r="AK79" s="2">
        <v>290.92</v>
      </c>
      <c r="AL79" s="2">
        <v>91.91</v>
      </c>
      <c r="AM79" s="2">
        <v>1.73</v>
      </c>
      <c r="AN79" s="2">
        <v>0</v>
      </c>
      <c r="AO79" s="2">
        <v>197.28</v>
      </c>
      <c r="AP79" s="2">
        <v>0</v>
      </c>
      <c r="AQ79" s="2">
        <v>16.600000000000001</v>
      </c>
      <c r="AR79" s="2">
        <v>0</v>
      </c>
      <c r="AS79" s="2">
        <v>0</v>
      </c>
      <c r="AT79" s="2">
        <v>90</v>
      </c>
      <c r="AU79" s="2">
        <v>46</v>
      </c>
      <c r="AV79" s="2">
        <v>1.0469999999999999</v>
      </c>
      <c r="AW79" s="2">
        <v>1</v>
      </c>
      <c r="AX79" s="2"/>
      <c r="AY79" s="2"/>
      <c r="AZ79" s="2">
        <v>1</v>
      </c>
      <c r="BA79" s="2">
        <v>1</v>
      </c>
      <c r="BB79" s="2">
        <v>1</v>
      </c>
      <c r="BC79" s="2">
        <v>1</v>
      </c>
      <c r="BD79" s="2" t="s">
        <v>3</v>
      </c>
      <c r="BE79" s="2" t="s">
        <v>3</v>
      </c>
      <c r="BF79" s="2" t="s">
        <v>3</v>
      </c>
      <c r="BG79" s="2" t="s">
        <v>3</v>
      </c>
      <c r="BH79" s="2">
        <v>0</v>
      </c>
      <c r="BI79" s="2">
        <v>2</v>
      </c>
      <c r="BJ79" s="2" t="s">
        <v>125</v>
      </c>
      <c r="BK79" s="2"/>
      <c r="BL79" s="2"/>
      <c r="BM79" s="2">
        <v>68</v>
      </c>
      <c r="BN79" s="2">
        <v>0</v>
      </c>
      <c r="BO79" s="2" t="s">
        <v>122</v>
      </c>
      <c r="BP79" s="2">
        <v>1</v>
      </c>
      <c r="BQ79" s="2">
        <v>40</v>
      </c>
      <c r="BR79" s="2">
        <v>0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 t="s">
        <v>3</v>
      </c>
      <c r="BZ79" s="2">
        <v>90</v>
      </c>
      <c r="CA79" s="2">
        <v>46</v>
      </c>
      <c r="CB79" s="2" t="s">
        <v>3</v>
      </c>
      <c r="CC79" s="2"/>
      <c r="CD79" s="2"/>
      <c r="CE79" s="2">
        <v>30</v>
      </c>
      <c r="CF79" s="2">
        <v>0</v>
      </c>
      <c r="CG79" s="2">
        <v>0</v>
      </c>
      <c r="CH79" s="2"/>
      <c r="CI79" s="2"/>
      <c r="CJ79" s="2"/>
      <c r="CK79" s="2"/>
      <c r="CL79" s="2"/>
      <c r="CM79" s="2">
        <v>0</v>
      </c>
      <c r="CN79" s="2" t="s">
        <v>3</v>
      </c>
      <c r="CO79" s="2">
        <v>0</v>
      </c>
      <c r="CP79" s="2">
        <f t="shared" si="83"/>
        <v>642.21</v>
      </c>
      <c r="CQ79" s="2">
        <f t="shared" si="84"/>
        <v>91.91</v>
      </c>
      <c r="CR79" s="2">
        <f>(ROUND((ROUND((((ET79*1.1))*AV79*1),2)*BB79),2)+ROUND((ROUND(((AE79-((EU79*1.1)))*AV79*1),2)*BS79),2))</f>
        <v>1.99</v>
      </c>
      <c r="CS79" s="2">
        <f t="shared" si="85"/>
        <v>0</v>
      </c>
      <c r="CT79" s="2">
        <f t="shared" si="86"/>
        <v>227.21</v>
      </c>
      <c r="CU79" s="2">
        <f t="shared" si="87"/>
        <v>0</v>
      </c>
      <c r="CV79" s="2">
        <f t="shared" si="88"/>
        <v>19.118220000000001</v>
      </c>
      <c r="CW79" s="2">
        <f t="shared" si="89"/>
        <v>0</v>
      </c>
      <c r="CX79" s="2">
        <f t="shared" si="90"/>
        <v>0</v>
      </c>
      <c r="CY79" s="2">
        <f t="shared" si="91"/>
        <v>408.96899999999999</v>
      </c>
      <c r="CZ79" s="2">
        <f t="shared" si="92"/>
        <v>209.02860000000001</v>
      </c>
      <c r="DA79" s="2"/>
      <c r="DB79" s="2"/>
      <c r="DC79" s="2" t="s">
        <v>3</v>
      </c>
      <c r="DD79" s="2" t="s">
        <v>3</v>
      </c>
      <c r="DE79" s="2" t="s">
        <v>24</v>
      </c>
      <c r="DF79" s="2" t="s">
        <v>24</v>
      </c>
      <c r="DG79" s="2" t="s">
        <v>24</v>
      </c>
      <c r="DH79" s="2" t="s">
        <v>3</v>
      </c>
      <c r="DI79" s="2" t="s">
        <v>24</v>
      </c>
      <c r="DJ79" s="2" t="s">
        <v>24</v>
      </c>
      <c r="DK79" s="2" t="s">
        <v>3</v>
      </c>
      <c r="DL79" s="2" t="s">
        <v>3</v>
      </c>
      <c r="DM79" s="2" t="s">
        <v>3</v>
      </c>
      <c r="DN79" s="2">
        <v>0</v>
      </c>
      <c r="DO79" s="2">
        <v>0</v>
      </c>
      <c r="DP79" s="2">
        <v>1</v>
      </c>
      <c r="DQ79" s="2">
        <v>1</v>
      </c>
      <c r="DR79" s="2"/>
      <c r="DS79" s="2"/>
      <c r="DT79" s="2"/>
      <c r="DU79" s="2">
        <v>1003</v>
      </c>
      <c r="DV79" s="2" t="s">
        <v>124</v>
      </c>
      <c r="DW79" s="2" t="s">
        <v>124</v>
      </c>
      <c r="DX79" s="2">
        <v>100</v>
      </c>
      <c r="DY79" s="2"/>
      <c r="DZ79" s="2" t="s">
        <v>3</v>
      </c>
      <c r="EA79" s="2" t="s">
        <v>3</v>
      </c>
      <c r="EB79" s="2" t="s">
        <v>3</v>
      </c>
      <c r="EC79" s="2" t="s">
        <v>3</v>
      </c>
      <c r="ED79" s="2"/>
      <c r="EE79" s="2">
        <v>58162630</v>
      </c>
      <c r="EF79" s="2">
        <v>40</v>
      </c>
      <c r="EG79" s="2" t="s">
        <v>25</v>
      </c>
      <c r="EH79" s="2">
        <v>0</v>
      </c>
      <c r="EI79" s="2" t="s">
        <v>3</v>
      </c>
      <c r="EJ79" s="2">
        <v>2</v>
      </c>
      <c r="EK79" s="2">
        <v>68</v>
      </c>
      <c r="EL79" s="2" t="s">
        <v>126</v>
      </c>
      <c r="EM79" s="2" t="s">
        <v>127</v>
      </c>
      <c r="EN79" s="2"/>
      <c r="EO79" s="2" t="s">
        <v>28</v>
      </c>
      <c r="EP79" s="2"/>
      <c r="EQ79" s="2">
        <v>0</v>
      </c>
      <c r="ER79" s="2">
        <v>290.92</v>
      </c>
      <c r="ES79" s="2">
        <v>91.91</v>
      </c>
      <c r="ET79" s="2">
        <v>1.73</v>
      </c>
      <c r="EU79" s="2">
        <v>0</v>
      </c>
      <c r="EV79" s="2">
        <v>197.28</v>
      </c>
      <c r="EW79" s="2">
        <v>16.600000000000001</v>
      </c>
      <c r="EX79" s="2">
        <v>0</v>
      </c>
      <c r="EY79" s="2">
        <v>0</v>
      </c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>
        <v>0</v>
      </c>
      <c r="FR79" s="2">
        <v>0</v>
      </c>
      <c r="FS79" s="2">
        <v>0</v>
      </c>
      <c r="FT79" s="2"/>
      <c r="FU79" s="2"/>
      <c r="FV79" s="2"/>
      <c r="FW79" s="2"/>
      <c r="FX79" s="2">
        <v>90</v>
      </c>
      <c r="FY79" s="2">
        <v>46</v>
      </c>
      <c r="FZ79" s="2"/>
      <c r="GA79" s="2" t="s">
        <v>3</v>
      </c>
      <c r="GB79" s="2"/>
      <c r="GC79" s="2"/>
      <c r="GD79" s="2">
        <v>1</v>
      </c>
      <c r="GE79" s="2"/>
      <c r="GF79" s="2">
        <v>-250176620</v>
      </c>
      <c r="GG79" s="2">
        <v>2</v>
      </c>
      <c r="GH79" s="2">
        <v>1</v>
      </c>
      <c r="GI79" s="2">
        <v>2</v>
      </c>
      <c r="GJ79" s="2">
        <v>0</v>
      </c>
      <c r="GK79" s="2">
        <v>0</v>
      </c>
      <c r="GL79" s="2">
        <f t="shared" si="93"/>
        <v>0</v>
      </c>
      <c r="GM79" s="2">
        <f t="shared" si="94"/>
        <v>1260.21</v>
      </c>
      <c r="GN79" s="2">
        <f t="shared" si="95"/>
        <v>0</v>
      </c>
      <c r="GO79" s="2">
        <f t="shared" si="96"/>
        <v>1260.21</v>
      </c>
      <c r="GP79" s="2">
        <f t="shared" si="97"/>
        <v>0</v>
      </c>
      <c r="GQ79" s="2"/>
      <c r="GR79" s="2">
        <v>0</v>
      </c>
      <c r="GS79" s="2">
        <v>3</v>
      </c>
      <c r="GT79" s="2">
        <v>0</v>
      </c>
      <c r="GU79" s="2" t="s">
        <v>3</v>
      </c>
      <c r="GV79" s="2">
        <f t="shared" si="98"/>
        <v>0</v>
      </c>
      <c r="GW79" s="2">
        <v>1</v>
      </c>
      <c r="GX79" s="2">
        <f t="shared" si="99"/>
        <v>0</v>
      </c>
      <c r="GY79" s="2"/>
      <c r="GZ79" s="2"/>
      <c r="HA79" s="2">
        <v>0</v>
      </c>
      <c r="HB79" s="2">
        <v>0</v>
      </c>
      <c r="HC79" s="2">
        <f t="shared" si="100"/>
        <v>0</v>
      </c>
      <c r="HD79" s="2"/>
      <c r="HE79" s="2" t="s">
        <v>3</v>
      </c>
      <c r="HF79" s="2" t="s">
        <v>3</v>
      </c>
      <c r="HG79" s="2"/>
      <c r="HH79" s="2"/>
      <c r="HI79" s="2"/>
      <c r="HJ79" s="2"/>
      <c r="HK79" s="2"/>
      <c r="HL79" s="2"/>
      <c r="HM79" s="2" t="s">
        <v>3</v>
      </c>
      <c r="HN79" s="2" t="s">
        <v>3</v>
      </c>
      <c r="HO79" s="2" t="s">
        <v>3</v>
      </c>
      <c r="HP79" s="2" t="s">
        <v>3</v>
      </c>
      <c r="HQ79" s="2" t="s">
        <v>3</v>
      </c>
      <c r="HR79" s="2"/>
      <c r="HS79" s="2">
        <v>0</v>
      </c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>
        <v>0</v>
      </c>
      <c r="IL79" s="2"/>
      <c r="IM79" s="2"/>
      <c r="IN79" s="2"/>
      <c r="IO79" s="2"/>
      <c r="IP79" s="2"/>
      <c r="IQ79" s="2"/>
      <c r="IR79" s="2"/>
      <c r="IS79" s="2"/>
      <c r="IT79" s="2"/>
      <c r="IU79" s="2"/>
    </row>
    <row r="80" spans="1:255" x14ac:dyDescent="0.3">
      <c r="A80">
        <v>17</v>
      </c>
      <c r="B80">
        <v>1</v>
      </c>
      <c r="D80">
        <f>ROW(EtalonRes!A42)</f>
        <v>42</v>
      </c>
      <c r="E80" t="s">
        <v>121</v>
      </c>
      <c r="F80" t="s">
        <v>122</v>
      </c>
      <c r="G80" t="s">
        <v>123</v>
      </c>
      <c r="H80" t="s">
        <v>124</v>
      </c>
      <c r="I80">
        <f>ROUND(200/100,9)</f>
        <v>2</v>
      </c>
      <c r="J80">
        <v>0</v>
      </c>
      <c r="K80">
        <f>ROUND(200/100,9)</f>
        <v>2</v>
      </c>
      <c r="O80">
        <f t="shared" si="69"/>
        <v>25530.02</v>
      </c>
      <c r="P80">
        <f t="shared" si="70"/>
        <v>507.34</v>
      </c>
      <c r="Q80">
        <f>(ROUND((ROUND((((ET80*1.1))*AV80*I80),2)*BB80),2)+ROUND((ROUND(((AE80-((EU80*1.1)))*AV80*I80),2)*BS80),2))</f>
        <v>34.67</v>
      </c>
      <c r="R80">
        <f t="shared" si="71"/>
        <v>0</v>
      </c>
      <c r="S80">
        <f t="shared" si="72"/>
        <v>24988.01</v>
      </c>
      <c r="T80">
        <f t="shared" si="73"/>
        <v>0</v>
      </c>
      <c r="U80">
        <f t="shared" si="74"/>
        <v>38.236440000000002</v>
      </c>
      <c r="V80">
        <f t="shared" si="75"/>
        <v>0</v>
      </c>
      <c r="W80">
        <f t="shared" si="76"/>
        <v>0</v>
      </c>
      <c r="X80">
        <f t="shared" si="77"/>
        <v>22489.21</v>
      </c>
      <c r="Y80">
        <f t="shared" si="78"/>
        <v>11494.48</v>
      </c>
      <c r="AA80">
        <v>56503350</v>
      </c>
      <c r="AB80">
        <f t="shared" si="79"/>
        <v>310.82100000000003</v>
      </c>
      <c r="AC80">
        <f t="shared" si="80"/>
        <v>91.91</v>
      </c>
      <c r="AD80">
        <f>ROUND(((((ET80*1.1))-((EU80*1.1)))+AE80),6)</f>
        <v>1.903</v>
      </c>
      <c r="AE80">
        <f>ROUND(((EU80*1.1)),6)</f>
        <v>0</v>
      </c>
      <c r="AF80">
        <f>ROUND(((EV80*1.1)),6)</f>
        <v>217.00800000000001</v>
      </c>
      <c r="AG80">
        <f t="shared" si="81"/>
        <v>0</v>
      </c>
      <c r="AH80">
        <f>((EW80*1.1))</f>
        <v>18.260000000000002</v>
      </c>
      <c r="AI80">
        <f>((EX80*1.1))</f>
        <v>0</v>
      </c>
      <c r="AJ80">
        <f t="shared" si="82"/>
        <v>0</v>
      </c>
      <c r="AK80">
        <v>290.92</v>
      </c>
      <c r="AL80">
        <v>91.91</v>
      </c>
      <c r="AM80">
        <v>1.73</v>
      </c>
      <c r="AN80">
        <v>0</v>
      </c>
      <c r="AO80">
        <v>197.28</v>
      </c>
      <c r="AP80">
        <v>0</v>
      </c>
      <c r="AQ80">
        <v>16.600000000000001</v>
      </c>
      <c r="AR80">
        <v>0</v>
      </c>
      <c r="AS80">
        <v>0</v>
      </c>
      <c r="AT80">
        <v>90</v>
      </c>
      <c r="AU80">
        <v>46</v>
      </c>
      <c r="AV80">
        <v>1.0469999999999999</v>
      </c>
      <c r="AW80">
        <v>1</v>
      </c>
      <c r="AZ80">
        <v>1</v>
      </c>
      <c r="BA80">
        <v>54.99</v>
      </c>
      <c r="BB80">
        <v>8.7100000000000009</v>
      </c>
      <c r="BC80">
        <v>2.76</v>
      </c>
      <c r="BD80" t="s">
        <v>3</v>
      </c>
      <c r="BE80" t="s">
        <v>3</v>
      </c>
      <c r="BF80" t="s">
        <v>3</v>
      </c>
      <c r="BG80" t="s">
        <v>3</v>
      </c>
      <c r="BH80">
        <v>0</v>
      </c>
      <c r="BI80">
        <v>2</v>
      </c>
      <c r="BJ80" t="s">
        <v>125</v>
      </c>
      <c r="BM80">
        <v>68</v>
      </c>
      <c r="BN80">
        <v>0</v>
      </c>
      <c r="BO80" t="s">
        <v>122</v>
      </c>
      <c r="BP80">
        <v>1</v>
      </c>
      <c r="BQ80">
        <v>40</v>
      </c>
      <c r="BR80">
        <v>0</v>
      </c>
      <c r="BS80">
        <v>54.99</v>
      </c>
      <c r="BT80">
        <v>1</v>
      </c>
      <c r="BU80">
        <v>1</v>
      </c>
      <c r="BV80">
        <v>1</v>
      </c>
      <c r="BW80">
        <v>1</v>
      </c>
      <c r="BX80">
        <v>1</v>
      </c>
      <c r="BY80" t="s">
        <v>3</v>
      </c>
      <c r="BZ80">
        <v>90</v>
      </c>
      <c r="CA80">
        <v>46</v>
      </c>
      <c r="CB80" t="s">
        <v>3</v>
      </c>
      <c r="CE80">
        <v>30</v>
      </c>
      <c r="CF80">
        <v>0</v>
      </c>
      <c r="CG80">
        <v>0</v>
      </c>
      <c r="CM80">
        <v>0</v>
      </c>
      <c r="CN80" t="s">
        <v>3</v>
      </c>
      <c r="CO80">
        <v>0</v>
      </c>
      <c r="CP80">
        <f t="shared" si="83"/>
        <v>25530.019999999997</v>
      </c>
      <c r="CQ80">
        <f t="shared" si="84"/>
        <v>253.67</v>
      </c>
      <c r="CR80">
        <f>(ROUND((ROUND((((ET80*1.1))*AV80*1),2)*BB80),2)+ROUND((ROUND(((AE80-((EU80*1.1)))*AV80*1),2)*BS80),2))</f>
        <v>17.329999999999998</v>
      </c>
      <c r="CS80">
        <f t="shared" si="85"/>
        <v>0</v>
      </c>
      <c r="CT80">
        <f t="shared" si="86"/>
        <v>12494.28</v>
      </c>
      <c r="CU80">
        <f t="shared" si="87"/>
        <v>0</v>
      </c>
      <c r="CV80">
        <f t="shared" si="88"/>
        <v>19.118220000000001</v>
      </c>
      <c r="CW80">
        <f t="shared" si="89"/>
        <v>0</v>
      </c>
      <c r="CX80">
        <f t="shared" si="90"/>
        <v>0</v>
      </c>
      <c r="CY80">
        <f t="shared" si="91"/>
        <v>22489.208999999999</v>
      </c>
      <c r="CZ80">
        <f t="shared" si="92"/>
        <v>11494.4846</v>
      </c>
      <c r="DC80" t="s">
        <v>3</v>
      </c>
      <c r="DD80" t="s">
        <v>3</v>
      </c>
      <c r="DE80" t="s">
        <v>24</v>
      </c>
      <c r="DF80" t="s">
        <v>24</v>
      </c>
      <c r="DG80" t="s">
        <v>24</v>
      </c>
      <c r="DH80" t="s">
        <v>3</v>
      </c>
      <c r="DI80" t="s">
        <v>24</v>
      </c>
      <c r="DJ80" t="s">
        <v>24</v>
      </c>
      <c r="DK80" t="s">
        <v>3</v>
      </c>
      <c r="DL80" t="s">
        <v>3</v>
      </c>
      <c r="DM80" t="s">
        <v>3</v>
      </c>
      <c r="DN80">
        <v>0</v>
      </c>
      <c r="DO80">
        <v>0</v>
      </c>
      <c r="DP80">
        <v>1</v>
      </c>
      <c r="DQ80">
        <v>1</v>
      </c>
      <c r="DU80">
        <v>1003</v>
      </c>
      <c r="DV80" t="s">
        <v>124</v>
      </c>
      <c r="DW80" t="s">
        <v>124</v>
      </c>
      <c r="DX80">
        <v>100</v>
      </c>
      <c r="DZ80" t="s">
        <v>3</v>
      </c>
      <c r="EA80" t="s">
        <v>3</v>
      </c>
      <c r="EB80" t="s">
        <v>3</v>
      </c>
      <c r="EC80" t="s">
        <v>3</v>
      </c>
      <c r="EE80">
        <v>58162630</v>
      </c>
      <c r="EF80">
        <v>40</v>
      </c>
      <c r="EG80" t="s">
        <v>25</v>
      </c>
      <c r="EH80">
        <v>0</v>
      </c>
      <c r="EI80" t="s">
        <v>3</v>
      </c>
      <c r="EJ80">
        <v>2</v>
      </c>
      <c r="EK80">
        <v>68</v>
      </c>
      <c r="EL80" t="s">
        <v>126</v>
      </c>
      <c r="EM80" t="s">
        <v>127</v>
      </c>
      <c r="EO80" t="s">
        <v>28</v>
      </c>
      <c r="EQ80">
        <v>0</v>
      </c>
      <c r="ER80">
        <v>290.92</v>
      </c>
      <c r="ES80">
        <v>91.91</v>
      </c>
      <c r="ET80">
        <v>1.73</v>
      </c>
      <c r="EU80">
        <v>0</v>
      </c>
      <c r="EV80">
        <v>197.28</v>
      </c>
      <c r="EW80">
        <v>16.600000000000001</v>
      </c>
      <c r="EX80">
        <v>0</v>
      </c>
      <c r="EY80">
        <v>0</v>
      </c>
      <c r="FQ80">
        <v>0</v>
      </c>
      <c r="FR80">
        <v>0</v>
      </c>
      <c r="FS80">
        <v>0</v>
      </c>
      <c r="FX80">
        <v>90</v>
      </c>
      <c r="FY80">
        <v>46</v>
      </c>
      <c r="GA80" t="s">
        <v>3</v>
      </c>
      <c r="GD80">
        <v>1</v>
      </c>
      <c r="GF80">
        <v>-250176620</v>
      </c>
      <c r="GG80">
        <v>2</v>
      </c>
      <c r="GH80">
        <v>1</v>
      </c>
      <c r="GI80">
        <v>2</v>
      </c>
      <c r="GJ80">
        <v>0</v>
      </c>
      <c r="GK80">
        <v>0</v>
      </c>
      <c r="GL80">
        <f t="shared" si="93"/>
        <v>0</v>
      </c>
      <c r="GM80">
        <f t="shared" si="94"/>
        <v>59513.71</v>
      </c>
      <c r="GN80">
        <f t="shared" si="95"/>
        <v>0</v>
      </c>
      <c r="GO80">
        <f t="shared" si="96"/>
        <v>59513.71</v>
      </c>
      <c r="GP80">
        <f t="shared" si="97"/>
        <v>0</v>
      </c>
      <c r="GR80">
        <v>0</v>
      </c>
      <c r="GS80">
        <v>3</v>
      </c>
      <c r="GT80">
        <v>0</v>
      </c>
      <c r="GU80" t="s">
        <v>3</v>
      </c>
      <c r="GV80">
        <f t="shared" si="98"/>
        <v>0</v>
      </c>
      <c r="GW80">
        <v>1</v>
      </c>
      <c r="GX80">
        <f t="shared" si="99"/>
        <v>0</v>
      </c>
      <c r="HA80">
        <v>0</v>
      </c>
      <c r="HB80">
        <v>0</v>
      </c>
      <c r="HC80">
        <f t="shared" si="100"/>
        <v>0</v>
      </c>
      <c r="HE80" t="s">
        <v>3</v>
      </c>
      <c r="HF80" t="s">
        <v>3</v>
      </c>
      <c r="HM80" t="s">
        <v>3</v>
      </c>
      <c r="HN80" t="s">
        <v>3</v>
      </c>
      <c r="HO80" t="s">
        <v>3</v>
      </c>
      <c r="HP80" t="s">
        <v>3</v>
      </c>
      <c r="HQ80" t="s">
        <v>3</v>
      </c>
      <c r="HS80">
        <v>0</v>
      </c>
      <c r="IK80">
        <v>0</v>
      </c>
    </row>
    <row r="81" spans="1:255" x14ac:dyDescent="0.3">
      <c r="A81" s="2">
        <v>18</v>
      </c>
      <c r="B81" s="2">
        <v>1</v>
      </c>
      <c r="C81" s="2"/>
      <c r="D81" s="2"/>
      <c r="E81" s="2" t="s">
        <v>128</v>
      </c>
      <c r="F81" s="2" t="s">
        <v>129</v>
      </c>
      <c r="G81" s="2" t="s">
        <v>130</v>
      </c>
      <c r="H81" s="2" t="s">
        <v>131</v>
      </c>
      <c r="I81" s="2">
        <f>I79*J81</f>
        <v>204</v>
      </c>
      <c r="J81" s="2">
        <v>102</v>
      </c>
      <c r="K81" s="2">
        <v>102</v>
      </c>
      <c r="L81" s="2"/>
      <c r="M81" s="2"/>
      <c r="N81" s="2"/>
      <c r="O81" s="2">
        <f t="shared" si="69"/>
        <v>703.8</v>
      </c>
      <c r="P81" s="2">
        <f t="shared" si="70"/>
        <v>703.8</v>
      </c>
      <c r="Q81" s="2">
        <f t="shared" ref="Q81:Q94" si="101">(ROUND((ROUND(((ET81)*AV81*I81),2)*BB81),2)+ROUND((ROUND(((AE81-(EU81))*AV81*I81),2)*BS81),2))</f>
        <v>0</v>
      </c>
      <c r="R81" s="2">
        <f t="shared" si="71"/>
        <v>0</v>
      </c>
      <c r="S81" s="2">
        <f t="shared" si="72"/>
        <v>0</v>
      </c>
      <c r="T81" s="2">
        <f t="shared" si="73"/>
        <v>0</v>
      </c>
      <c r="U81" s="2">
        <f t="shared" si="74"/>
        <v>0</v>
      </c>
      <c r="V81" s="2">
        <f t="shared" si="75"/>
        <v>0</v>
      </c>
      <c r="W81" s="2">
        <f t="shared" si="76"/>
        <v>0</v>
      </c>
      <c r="X81" s="2">
        <f t="shared" si="77"/>
        <v>0</v>
      </c>
      <c r="Y81" s="2">
        <f t="shared" si="78"/>
        <v>0</v>
      </c>
      <c r="Z81" s="2"/>
      <c r="AA81" s="2">
        <v>56503348</v>
      </c>
      <c r="AB81" s="2">
        <f t="shared" si="79"/>
        <v>3.45</v>
      </c>
      <c r="AC81" s="2">
        <f t="shared" si="80"/>
        <v>3.45</v>
      </c>
      <c r="AD81" s="2">
        <f t="shared" ref="AD81:AD94" si="102">ROUND((((ET81)-(EU81))+AE81),6)</f>
        <v>0</v>
      </c>
      <c r="AE81" s="2">
        <f t="shared" ref="AE81:AE94" si="103">ROUND((EU81),6)</f>
        <v>0</v>
      </c>
      <c r="AF81" s="2">
        <f t="shared" ref="AF81:AF94" si="104">ROUND((EV81),6)</f>
        <v>0</v>
      </c>
      <c r="AG81" s="2">
        <f t="shared" si="81"/>
        <v>0</v>
      </c>
      <c r="AH81" s="2">
        <f t="shared" ref="AH81:AH94" si="105">(EW81)</f>
        <v>0</v>
      </c>
      <c r="AI81" s="2">
        <f t="shared" ref="AI81:AI94" si="106">(EX81)</f>
        <v>0</v>
      </c>
      <c r="AJ81" s="2">
        <f t="shared" si="82"/>
        <v>0</v>
      </c>
      <c r="AK81" s="2">
        <v>3.45</v>
      </c>
      <c r="AL81" s="2">
        <v>3.45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90</v>
      </c>
      <c r="AU81" s="2">
        <v>46</v>
      </c>
      <c r="AV81" s="2">
        <v>1</v>
      </c>
      <c r="AW81" s="2">
        <v>1</v>
      </c>
      <c r="AX81" s="2"/>
      <c r="AY81" s="2"/>
      <c r="AZ81" s="2">
        <v>1</v>
      </c>
      <c r="BA81" s="2">
        <v>1</v>
      </c>
      <c r="BB81" s="2">
        <v>1</v>
      </c>
      <c r="BC81" s="2">
        <v>1</v>
      </c>
      <c r="BD81" s="2" t="s">
        <v>3</v>
      </c>
      <c r="BE81" s="2" t="s">
        <v>3</v>
      </c>
      <c r="BF81" s="2" t="s">
        <v>3</v>
      </c>
      <c r="BG81" s="2" t="s">
        <v>3</v>
      </c>
      <c r="BH81" s="2">
        <v>3</v>
      </c>
      <c r="BI81" s="2">
        <v>2</v>
      </c>
      <c r="BJ81" s="2" t="s">
        <v>132</v>
      </c>
      <c r="BK81" s="2"/>
      <c r="BL81" s="2"/>
      <c r="BM81" s="2">
        <v>68</v>
      </c>
      <c r="BN81" s="2">
        <v>0</v>
      </c>
      <c r="BO81" s="2" t="s">
        <v>3</v>
      </c>
      <c r="BP81" s="2">
        <v>0</v>
      </c>
      <c r="BQ81" s="2">
        <v>40</v>
      </c>
      <c r="BR81" s="2">
        <v>0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 t="s">
        <v>3</v>
      </c>
      <c r="BZ81" s="2">
        <v>90</v>
      </c>
      <c r="CA81" s="2">
        <v>46</v>
      </c>
      <c r="CB81" s="2" t="s">
        <v>3</v>
      </c>
      <c r="CC81" s="2"/>
      <c r="CD81" s="2"/>
      <c r="CE81" s="2">
        <v>30</v>
      </c>
      <c r="CF81" s="2">
        <v>0</v>
      </c>
      <c r="CG81" s="2">
        <v>0</v>
      </c>
      <c r="CH81" s="2"/>
      <c r="CI81" s="2"/>
      <c r="CJ81" s="2"/>
      <c r="CK81" s="2"/>
      <c r="CL81" s="2"/>
      <c r="CM81" s="2">
        <v>0</v>
      </c>
      <c r="CN81" s="2" t="s">
        <v>3</v>
      </c>
      <c r="CO81" s="2">
        <v>0</v>
      </c>
      <c r="CP81" s="2">
        <f t="shared" si="83"/>
        <v>703.8</v>
      </c>
      <c r="CQ81" s="2">
        <f t="shared" si="84"/>
        <v>3.45</v>
      </c>
      <c r="CR81" s="2">
        <f t="shared" ref="CR81:CR94" si="107">(ROUND((ROUND(((ET81)*AV81*1),2)*BB81),2)+ROUND((ROUND(((AE81-(EU81))*AV81*1),2)*BS81),2))</f>
        <v>0</v>
      </c>
      <c r="CS81" s="2">
        <f t="shared" si="85"/>
        <v>0</v>
      </c>
      <c r="CT81" s="2">
        <f t="shared" si="86"/>
        <v>0</v>
      </c>
      <c r="CU81" s="2">
        <f t="shared" si="87"/>
        <v>0</v>
      </c>
      <c r="CV81" s="2">
        <f t="shared" si="88"/>
        <v>0</v>
      </c>
      <c r="CW81" s="2">
        <f t="shared" si="89"/>
        <v>0</v>
      </c>
      <c r="CX81" s="2">
        <f t="shared" si="90"/>
        <v>0</v>
      </c>
      <c r="CY81" s="2">
        <f t="shared" si="91"/>
        <v>0</v>
      </c>
      <c r="CZ81" s="2">
        <f t="shared" si="92"/>
        <v>0</v>
      </c>
      <c r="DA81" s="2"/>
      <c r="DB81" s="2"/>
      <c r="DC81" s="2" t="s">
        <v>3</v>
      </c>
      <c r="DD81" s="2" t="s">
        <v>3</v>
      </c>
      <c r="DE81" s="2" t="s">
        <v>3</v>
      </c>
      <c r="DF81" s="2" t="s">
        <v>3</v>
      </c>
      <c r="DG81" s="2" t="s">
        <v>3</v>
      </c>
      <c r="DH81" s="2" t="s">
        <v>3</v>
      </c>
      <c r="DI81" s="2" t="s">
        <v>3</v>
      </c>
      <c r="DJ81" s="2" t="s">
        <v>3</v>
      </c>
      <c r="DK81" s="2" t="s">
        <v>3</v>
      </c>
      <c r="DL81" s="2" t="s">
        <v>3</v>
      </c>
      <c r="DM81" s="2" t="s">
        <v>3</v>
      </c>
      <c r="DN81" s="2">
        <v>0</v>
      </c>
      <c r="DO81" s="2">
        <v>0</v>
      </c>
      <c r="DP81" s="2">
        <v>1</v>
      </c>
      <c r="DQ81" s="2">
        <v>1</v>
      </c>
      <c r="DR81" s="2"/>
      <c r="DS81" s="2"/>
      <c r="DT81" s="2"/>
      <c r="DU81" s="2">
        <v>1003</v>
      </c>
      <c r="DV81" s="2" t="s">
        <v>131</v>
      </c>
      <c r="DW81" s="2" t="s">
        <v>131</v>
      </c>
      <c r="DX81" s="2">
        <v>1</v>
      </c>
      <c r="DY81" s="2"/>
      <c r="DZ81" s="2" t="s">
        <v>3</v>
      </c>
      <c r="EA81" s="2" t="s">
        <v>3</v>
      </c>
      <c r="EB81" s="2" t="s">
        <v>3</v>
      </c>
      <c r="EC81" s="2" t="s">
        <v>3</v>
      </c>
      <c r="ED81" s="2"/>
      <c r="EE81" s="2">
        <v>58162630</v>
      </c>
      <c r="EF81" s="2">
        <v>40</v>
      </c>
      <c r="EG81" s="2" t="s">
        <v>25</v>
      </c>
      <c r="EH81" s="2">
        <v>0</v>
      </c>
      <c r="EI81" s="2" t="s">
        <v>3</v>
      </c>
      <c r="EJ81" s="2">
        <v>2</v>
      </c>
      <c r="EK81" s="2">
        <v>68</v>
      </c>
      <c r="EL81" s="2" t="s">
        <v>126</v>
      </c>
      <c r="EM81" s="2" t="s">
        <v>127</v>
      </c>
      <c r="EN81" s="2"/>
      <c r="EO81" s="2" t="s">
        <v>3</v>
      </c>
      <c r="EP81" s="2"/>
      <c r="EQ81" s="2">
        <v>0</v>
      </c>
      <c r="ER81" s="2">
        <v>3.45</v>
      </c>
      <c r="ES81" s="2">
        <v>3.45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>
        <v>0</v>
      </c>
      <c r="FR81" s="2">
        <v>0</v>
      </c>
      <c r="FS81" s="2">
        <v>0</v>
      </c>
      <c r="FT81" s="2"/>
      <c r="FU81" s="2"/>
      <c r="FV81" s="2"/>
      <c r="FW81" s="2"/>
      <c r="FX81" s="2">
        <v>90</v>
      </c>
      <c r="FY81" s="2">
        <v>46</v>
      </c>
      <c r="FZ81" s="2"/>
      <c r="GA81" s="2" t="s">
        <v>3</v>
      </c>
      <c r="GB81" s="2"/>
      <c r="GC81" s="2"/>
      <c r="GD81" s="2">
        <v>1</v>
      </c>
      <c r="GE81" s="2"/>
      <c r="GF81" s="2">
        <v>-1305428159</v>
      </c>
      <c r="GG81" s="2">
        <v>2</v>
      </c>
      <c r="GH81" s="2">
        <v>1</v>
      </c>
      <c r="GI81" s="2">
        <v>-2</v>
      </c>
      <c r="GJ81" s="2">
        <v>0</v>
      </c>
      <c r="GK81" s="2">
        <v>0</v>
      </c>
      <c r="GL81" s="2">
        <f t="shared" si="93"/>
        <v>0</v>
      </c>
      <c r="GM81" s="2">
        <f t="shared" si="94"/>
        <v>703.8</v>
      </c>
      <c r="GN81" s="2">
        <f t="shared" si="95"/>
        <v>0</v>
      </c>
      <c r="GO81" s="2">
        <f t="shared" si="96"/>
        <v>703.8</v>
      </c>
      <c r="GP81" s="2">
        <f t="shared" si="97"/>
        <v>0</v>
      </c>
      <c r="GQ81" s="2"/>
      <c r="GR81" s="2">
        <v>0</v>
      </c>
      <c r="GS81" s="2">
        <v>3</v>
      </c>
      <c r="GT81" s="2">
        <v>0</v>
      </c>
      <c r="GU81" s="2" t="s">
        <v>3</v>
      </c>
      <c r="GV81" s="2">
        <f t="shared" si="98"/>
        <v>0</v>
      </c>
      <c r="GW81" s="2">
        <v>1</v>
      </c>
      <c r="GX81" s="2">
        <f t="shared" si="99"/>
        <v>0</v>
      </c>
      <c r="GY81" s="2"/>
      <c r="GZ81" s="2"/>
      <c r="HA81" s="2">
        <v>0</v>
      </c>
      <c r="HB81" s="2">
        <v>0</v>
      </c>
      <c r="HC81" s="2">
        <f t="shared" si="100"/>
        <v>0</v>
      </c>
      <c r="HD81" s="2"/>
      <c r="HE81" s="2" t="s">
        <v>3</v>
      </c>
      <c r="HF81" s="2" t="s">
        <v>3</v>
      </c>
      <c r="HG81" s="2"/>
      <c r="HH81" s="2"/>
      <c r="HI81" s="2"/>
      <c r="HJ81" s="2"/>
      <c r="HK81" s="2"/>
      <c r="HL81" s="2"/>
      <c r="HM81" s="2" t="s">
        <v>3</v>
      </c>
      <c r="HN81" s="2" t="s">
        <v>3</v>
      </c>
      <c r="HO81" s="2" t="s">
        <v>3</v>
      </c>
      <c r="HP81" s="2" t="s">
        <v>3</v>
      </c>
      <c r="HQ81" s="2" t="s">
        <v>3</v>
      </c>
      <c r="HR81" s="2"/>
      <c r="HS81" s="2">
        <v>0</v>
      </c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>
        <v>0</v>
      </c>
      <c r="IL81" s="2"/>
      <c r="IM81" s="2"/>
      <c r="IN81" s="2"/>
      <c r="IO81" s="2"/>
      <c r="IP81" s="2"/>
      <c r="IQ81" s="2"/>
      <c r="IR81" s="2"/>
      <c r="IS81" s="2"/>
      <c r="IT81" s="2"/>
      <c r="IU81" s="2"/>
    </row>
    <row r="82" spans="1:255" x14ac:dyDescent="0.3">
      <c r="A82">
        <v>18</v>
      </c>
      <c r="B82">
        <v>1</v>
      </c>
      <c r="E82" t="s">
        <v>128</v>
      </c>
      <c r="F82" t="s">
        <v>129</v>
      </c>
      <c r="G82" t="s">
        <v>130</v>
      </c>
      <c r="H82" t="s">
        <v>131</v>
      </c>
      <c r="I82">
        <f>I80*J82</f>
        <v>204</v>
      </c>
      <c r="J82">
        <v>102</v>
      </c>
      <c r="K82">
        <v>102</v>
      </c>
      <c r="O82">
        <f t="shared" si="69"/>
        <v>2765.93</v>
      </c>
      <c r="P82">
        <f t="shared" si="70"/>
        <v>2765.93</v>
      </c>
      <c r="Q82">
        <f t="shared" si="101"/>
        <v>0</v>
      </c>
      <c r="R82">
        <f t="shared" si="71"/>
        <v>0</v>
      </c>
      <c r="S82">
        <f t="shared" si="72"/>
        <v>0</v>
      </c>
      <c r="T82">
        <f t="shared" si="73"/>
        <v>0</v>
      </c>
      <c r="U82">
        <f t="shared" si="74"/>
        <v>0</v>
      </c>
      <c r="V82">
        <f t="shared" si="75"/>
        <v>0</v>
      </c>
      <c r="W82">
        <f t="shared" si="76"/>
        <v>0</v>
      </c>
      <c r="X82">
        <f t="shared" si="77"/>
        <v>0</v>
      </c>
      <c r="Y82">
        <f t="shared" si="78"/>
        <v>0</v>
      </c>
      <c r="AA82">
        <v>56503350</v>
      </c>
      <c r="AB82">
        <f t="shared" si="79"/>
        <v>3.45</v>
      </c>
      <c r="AC82">
        <f t="shared" si="80"/>
        <v>3.45</v>
      </c>
      <c r="AD82">
        <f t="shared" si="102"/>
        <v>0</v>
      </c>
      <c r="AE82">
        <f t="shared" si="103"/>
        <v>0</v>
      </c>
      <c r="AF82">
        <f t="shared" si="104"/>
        <v>0</v>
      </c>
      <c r="AG82">
        <f t="shared" si="81"/>
        <v>0</v>
      </c>
      <c r="AH82">
        <f t="shared" si="105"/>
        <v>0</v>
      </c>
      <c r="AI82">
        <f t="shared" si="106"/>
        <v>0</v>
      </c>
      <c r="AJ82">
        <f t="shared" si="82"/>
        <v>0</v>
      </c>
      <c r="AK82">
        <v>3.45</v>
      </c>
      <c r="AL82">
        <v>3.45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90</v>
      </c>
      <c r="AU82">
        <v>46</v>
      </c>
      <c r="AV82">
        <v>1</v>
      </c>
      <c r="AW82">
        <v>1</v>
      </c>
      <c r="AZ82">
        <v>1</v>
      </c>
      <c r="BA82">
        <v>1</v>
      </c>
      <c r="BB82">
        <v>1</v>
      </c>
      <c r="BC82">
        <v>3.93</v>
      </c>
      <c r="BD82" t="s">
        <v>3</v>
      </c>
      <c r="BE82" t="s">
        <v>3</v>
      </c>
      <c r="BF82" t="s">
        <v>3</v>
      </c>
      <c r="BG82" t="s">
        <v>3</v>
      </c>
      <c r="BH82">
        <v>3</v>
      </c>
      <c r="BI82">
        <v>2</v>
      </c>
      <c r="BJ82" t="s">
        <v>132</v>
      </c>
      <c r="BM82">
        <v>68</v>
      </c>
      <c r="BN82">
        <v>0</v>
      </c>
      <c r="BO82" t="s">
        <v>129</v>
      </c>
      <c r="BP82">
        <v>1</v>
      </c>
      <c r="BQ82">
        <v>40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 t="s">
        <v>3</v>
      </c>
      <c r="BZ82">
        <v>90</v>
      </c>
      <c r="CA82">
        <v>46</v>
      </c>
      <c r="CB82" t="s">
        <v>3</v>
      </c>
      <c r="CE82">
        <v>30</v>
      </c>
      <c r="CF82">
        <v>0</v>
      </c>
      <c r="CG82">
        <v>0</v>
      </c>
      <c r="CM82">
        <v>0</v>
      </c>
      <c r="CN82" t="s">
        <v>3</v>
      </c>
      <c r="CO82">
        <v>0</v>
      </c>
      <c r="CP82">
        <f t="shared" si="83"/>
        <v>2765.93</v>
      </c>
      <c r="CQ82">
        <f t="shared" si="84"/>
        <v>13.56</v>
      </c>
      <c r="CR82">
        <f t="shared" si="107"/>
        <v>0</v>
      </c>
      <c r="CS82">
        <f t="shared" si="85"/>
        <v>0</v>
      </c>
      <c r="CT82">
        <f t="shared" si="86"/>
        <v>0</v>
      </c>
      <c r="CU82">
        <f t="shared" si="87"/>
        <v>0</v>
      </c>
      <c r="CV82">
        <f t="shared" si="88"/>
        <v>0</v>
      </c>
      <c r="CW82">
        <f t="shared" si="89"/>
        <v>0</v>
      </c>
      <c r="CX82">
        <f t="shared" si="90"/>
        <v>0</v>
      </c>
      <c r="CY82">
        <f t="shared" si="91"/>
        <v>0</v>
      </c>
      <c r="CZ82">
        <f t="shared" si="92"/>
        <v>0</v>
      </c>
      <c r="DC82" t="s">
        <v>3</v>
      </c>
      <c r="DD82" t="s">
        <v>3</v>
      </c>
      <c r="DE82" t="s">
        <v>3</v>
      </c>
      <c r="DF82" t="s">
        <v>3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>
        <v>0</v>
      </c>
      <c r="DO82">
        <v>0</v>
      </c>
      <c r="DP82">
        <v>1</v>
      </c>
      <c r="DQ82">
        <v>1</v>
      </c>
      <c r="DU82">
        <v>1003</v>
      </c>
      <c r="DV82" t="s">
        <v>131</v>
      </c>
      <c r="DW82" t="s">
        <v>131</v>
      </c>
      <c r="DX82">
        <v>1</v>
      </c>
      <c r="DZ82" t="s">
        <v>3</v>
      </c>
      <c r="EA82" t="s">
        <v>3</v>
      </c>
      <c r="EB82" t="s">
        <v>3</v>
      </c>
      <c r="EC82" t="s">
        <v>3</v>
      </c>
      <c r="EE82">
        <v>58162630</v>
      </c>
      <c r="EF82">
        <v>40</v>
      </c>
      <c r="EG82" t="s">
        <v>25</v>
      </c>
      <c r="EH82">
        <v>0</v>
      </c>
      <c r="EI82" t="s">
        <v>3</v>
      </c>
      <c r="EJ82">
        <v>2</v>
      </c>
      <c r="EK82">
        <v>68</v>
      </c>
      <c r="EL82" t="s">
        <v>126</v>
      </c>
      <c r="EM82" t="s">
        <v>127</v>
      </c>
      <c r="EO82" t="s">
        <v>3</v>
      </c>
      <c r="EQ82">
        <v>0</v>
      </c>
      <c r="ER82">
        <v>3.45</v>
      </c>
      <c r="ES82">
        <v>3.45</v>
      </c>
      <c r="ET82">
        <v>0</v>
      </c>
      <c r="EU82">
        <v>0</v>
      </c>
      <c r="EV82">
        <v>0</v>
      </c>
      <c r="EW82">
        <v>0</v>
      </c>
      <c r="EX82">
        <v>0</v>
      </c>
      <c r="FQ82">
        <v>0</v>
      </c>
      <c r="FR82">
        <v>0</v>
      </c>
      <c r="FS82">
        <v>0</v>
      </c>
      <c r="FX82">
        <v>90</v>
      </c>
      <c r="FY82">
        <v>46</v>
      </c>
      <c r="GA82" t="s">
        <v>3</v>
      </c>
      <c r="GD82">
        <v>1</v>
      </c>
      <c r="GF82">
        <v>-1305428159</v>
      </c>
      <c r="GG82">
        <v>2</v>
      </c>
      <c r="GH82">
        <v>1</v>
      </c>
      <c r="GI82">
        <v>2</v>
      </c>
      <c r="GJ82">
        <v>0</v>
      </c>
      <c r="GK82">
        <v>0</v>
      </c>
      <c r="GL82">
        <f t="shared" si="93"/>
        <v>0</v>
      </c>
      <c r="GM82">
        <f t="shared" si="94"/>
        <v>2765.93</v>
      </c>
      <c r="GN82">
        <f t="shared" si="95"/>
        <v>0</v>
      </c>
      <c r="GO82">
        <f t="shared" si="96"/>
        <v>2765.93</v>
      </c>
      <c r="GP82">
        <f t="shared" si="97"/>
        <v>0</v>
      </c>
      <c r="GR82">
        <v>0</v>
      </c>
      <c r="GS82">
        <v>3</v>
      </c>
      <c r="GT82">
        <v>0</v>
      </c>
      <c r="GU82" t="s">
        <v>3</v>
      </c>
      <c r="GV82">
        <f t="shared" si="98"/>
        <v>0</v>
      </c>
      <c r="GW82">
        <v>1</v>
      </c>
      <c r="GX82">
        <f t="shared" si="99"/>
        <v>0</v>
      </c>
      <c r="HA82">
        <v>0</v>
      </c>
      <c r="HB82">
        <v>0</v>
      </c>
      <c r="HC82">
        <f t="shared" si="100"/>
        <v>0</v>
      </c>
      <c r="HE82" t="s">
        <v>3</v>
      </c>
      <c r="HF82" t="s">
        <v>3</v>
      </c>
      <c r="HM82" t="s">
        <v>3</v>
      </c>
      <c r="HN82" t="s">
        <v>3</v>
      </c>
      <c r="HO82" t="s">
        <v>3</v>
      </c>
      <c r="HP82" t="s">
        <v>3</v>
      </c>
      <c r="HQ82" t="s">
        <v>3</v>
      </c>
      <c r="HS82">
        <v>0</v>
      </c>
      <c r="IK82">
        <v>0</v>
      </c>
    </row>
    <row r="83" spans="1:255" x14ac:dyDescent="0.3">
      <c r="A83" s="2">
        <v>18</v>
      </c>
      <c r="B83" s="2">
        <v>1</v>
      </c>
      <c r="C83" s="2"/>
      <c r="D83" s="2"/>
      <c r="E83" s="2" t="s">
        <v>133</v>
      </c>
      <c r="F83" s="2" t="s">
        <v>134</v>
      </c>
      <c r="G83" s="2" t="s">
        <v>135</v>
      </c>
      <c r="H83" s="2" t="s">
        <v>32</v>
      </c>
      <c r="I83" s="2">
        <f>I79*J83</f>
        <v>5</v>
      </c>
      <c r="J83" s="2">
        <v>2.5</v>
      </c>
      <c r="K83" s="2">
        <v>2.5</v>
      </c>
      <c r="L83" s="2"/>
      <c r="M83" s="2"/>
      <c r="N83" s="2"/>
      <c r="O83" s="2">
        <f t="shared" si="69"/>
        <v>5.3</v>
      </c>
      <c r="P83" s="2">
        <f t="shared" si="70"/>
        <v>5.3</v>
      </c>
      <c r="Q83" s="2">
        <f t="shared" si="101"/>
        <v>0</v>
      </c>
      <c r="R83" s="2">
        <f t="shared" si="71"/>
        <v>0</v>
      </c>
      <c r="S83" s="2">
        <f t="shared" si="72"/>
        <v>0</v>
      </c>
      <c r="T83" s="2">
        <f t="shared" si="73"/>
        <v>0</v>
      </c>
      <c r="U83" s="2">
        <f t="shared" si="74"/>
        <v>0</v>
      </c>
      <c r="V83" s="2">
        <f t="shared" si="75"/>
        <v>0</v>
      </c>
      <c r="W83" s="2">
        <f t="shared" si="76"/>
        <v>0</v>
      </c>
      <c r="X83" s="2">
        <f t="shared" si="77"/>
        <v>0</v>
      </c>
      <c r="Y83" s="2">
        <f t="shared" si="78"/>
        <v>0</v>
      </c>
      <c r="Z83" s="2"/>
      <c r="AA83" s="2">
        <v>56503348</v>
      </c>
      <c r="AB83" s="2">
        <f t="shared" si="79"/>
        <v>1.06</v>
      </c>
      <c r="AC83" s="2">
        <f t="shared" si="80"/>
        <v>1.06</v>
      </c>
      <c r="AD83" s="2">
        <f t="shared" si="102"/>
        <v>0</v>
      </c>
      <c r="AE83" s="2">
        <f t="shared" si="103"/>
        <v>0</v>
      </c>
      <c r="AF83" s="2">
        <f t="shared" si="104"/>
        <v>0</v>
      </c>
      <c r="AG83" s="2">
        <f t="shared" si="81"/>
        <v>0</v>
      </c>
      <c r="AH83" s="2">
        <f t="shared" si="105"/>
        <v>0</v>
      </c>
      <c r="AI83" s="2">
        <f t="shared" si="106"/>
        <v>0</v>
      </c>
      <c r="AJ83" s="2">
        <f t="shared" si="82"/>
        <v>0</v>
      </c>
      <c r="AK83" s="2">
        <v>1.06</v>
      </c>
      <c r="AL83" s="2">
        <v>1.06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90</v>
      </c>
      <c r="AU83" s="2">
        <v>46</v>
      </c>
      <c r="AV83" s="2">
        <v>1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3</v>
      </c>
      <c r="BI83" s="2">
        <v>2</v>
      </c>
      <c r="BJ83" s="2" t="s">
        <v>136</v>
      </c>
      <c r="BK83" s="2"/>
      <c r="BL83" s="2"/>
      <c r="BM83" s="2">
        <v>68</v>
      </c>
      <c r="BN83" s="2">
        <v>0</v>
      </c>
      <c r="BO83" s="2" t="s">
        <v>3</v>
      </c>
      <c r="BP83" s="2">
        <v>0</v>
      </c>
      <c r="BQ83" s="2">
        <v>40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90</v>
      </c>
      <c r="CA83" s="2">
        <v>46</v>
      </c>
      <c r="CB83" s="2" t="s">
        <v>3</v>
      </c>
      <c r="CC83" s="2"/>
      <c r="CD83" s="2"/>
      <c r="CE83" s="2">
        <v>30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3</v>
      </c>
      <c r="CO83" s="2">
        <v>0</v>
      </c>
      <c r="CP83" s="2">
        <f t="shared" si="83"/>
        <v>5.3</v>
      </c>
      <c r="CQ83" s="2">
        <f t="shared" si="84"/>
        <v>1.06</v>
      </c>
      <c r="CR83" s="2">
        <f t="shared" si="107"/>
        <v>0</v>
      </c>
      <c r="CS83" s="2">
        <f t="shared" si="85"/>
        <v>0</v>
      </c>
      <c r="CT83" s="2">
        <f t="shared" si="86"/>
        <v>0</v>
      </c>
      <c r="CU83" s="2">
        <f t="shared" si="87"/>
        <v>0</v>
      </c>
      <c r="CV83" s="2">
        <f t="shared" si="88"/>
        <v>0</v>
      </c>
      <c r="CW83" s="2">
        <f t="shared" si="89"/>
        <v>0</v>
      </c>
      <c r="CX83" s="2">
        <f t="shared" si="90"/>
        <v>0</v>
      </c>
      <c r="CY83" s="2">
        <f t="shared" si="91"/>
        <v>0</v>
      </c>
      <c r="CZ83" s="2">
        <f t="shared" si="92"/>
        <v>0</v>
      </c>
      <c r="DA83" s="2"/>
      <c r="DB83" s="2"/>
      <c r="DC83" s="2" t="s">
        <v>3</v>
      </c>
      <c r="DD83" s="2" t="s">
        <v>3</v>
      </c>
      <c r="DE83" s="2" t="s">
        <v>3</v>
      </c>
      <c r="DF83" s="2" t="s">
        <v>3</v>
      </c>
      <c r="DG83" s="2" t="s">
        <v>3</v>
      </c>
      <c r="DH83" s="2" t="s">
        <v>3</v>
      </c>
      <c r="DI83" s="2" t="s">
        <v>3</v>
      </c>
      <c r="DJ83" s="2" t="s">
        <v>3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1010</v>
      </c>
      <c r="DV83" s="2" t="s">
        <v>32</v>
      </c>
      <c r="DW83" s="2" t="s">
        <v>32</v>
      </c>
      <c r="DX83" s="2">
        <v>1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58162630</v>
      </c>
      <c r="EF83" s="2">
        <v>40</v>
      </c>
      <c r="EG83" s="2" t="s">
        <v>25</v>
      </c>
      <c r="EH83" s="2">
        <v>0</v>
      </c>
      <c r="EI83" s="2" t="s">
        <v>3</v>
      </c>
      <c r="EJ83" s="2">
        <v>2</v>
      </c>
      <c r="EK83" s="2">
        <v>68</v>
      </c>
      <c r="EL83" s="2" t="s">
        <v>126</v>
      </c>
      <c r="EM83" s="2" t="s">
        <v>127</v>
      </c>
      <c r="EN83" s="2"/>
      <c r="EO83" s="2" t="s">
        <v>3</v>
      </c>
      <c r="EP83" s="2"/>
      <c r="EQ83" s="2">
        <v>0</v>
      </c>
      <c r="ER83" s="2">
        <v>1.06</v>
      </c>
      <c r="ES83" s="2">
        <v>1.06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90</v>
      </c>
      <c r="FY83" s="2">
        <v>46</v>
      </c>
      <c r="FZ83" s="2"/>
      <c r="GA83" s="2" t="s">
        <v>3</v>
      </c>
      <c r="GB83" s="2"/>
      <c r="GC83" s="2"/>
      <c r="GD83" s="2">
        <v>1</v>
      </c>
      <c r="GE83" s="2"/>
      <c r="GF83" s="2">
        <v>-2026322809</v>
      </c>
      <c r="GG83" s="2">
        <v>2</v>
      </c>
      <c r="GH83" s="2">
        <v>1</v>
      </c>
      <c r="GI83" s="2">
        <v>-2</v>
      </c>
      <c r="GJ83" s="2">
        <v>0</v>
      </c>
      <c r="GK83" s="2">
        <v>0</v>
      </c>
      <c r="GL83" s="2">
        <f t="shared" si="93"/>
        <v>0</v>
      </c>
      <c r="GM83" s="2">
        <f t="shared" si="94"/>
        <v>5.3</v>
      </c>
      <c r="GN83" s="2">
        <f t="shared" si="95"/>
        <v>0</v>
      </c>
      <c r="GO83" s="2">
        <f t="shared" si="96"/>
        <v>5.3</v>
      </c>
      <c r="GP83" s="2">
        <f t="shared" si="97"/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si="98"/>
        <v>0</v>
      </c>
      <c r="GW83" s="2">
        <v>1</v>
      </c>
      <c r="GX83" s="2">
        <f t="shared" si="99"/>
        <v>0</v>
      </c>
      <c r="GY83" s="2"/>
      <c r="GZ83" s="2"/>
      <c r="HA83" s="2">
        <v>0</v>
      </c>
      <c r="HB83" s="2">
        <v>0</v>
      </c>
      <c r="HC83" s="2">
        <f t="shared" si="100"/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3">
      <c r="A84">
        <v>18</v>
      </c>
      <c r="B84">
        <v>1</v>
      </c>
      <c r="E84" t="s">
        <v>133</v>
      </c>
      <c r="F84" t="s">
        <v>134</v>
      </c>
      <c r="G84" t="s">
        <v>135</v>
      </c>
      <c r="H84" t="s">
        <v>32</v>
      </c>
      <c r="I84">
        <f>I80*J84</f>
        <v>5</v>
      </c>
      <c r="J84">
        <v>2.5</v>
      </c>
      <c r="K84">
        <v>2.5</v>
      </c>
      <c r="O84">
        <f t="shared" si="69"/>
        <v>31.43</v>
      </c>
      <c r="P84">
        <f t="shared" si="70"/>
        <v>31.43</v>
      </c>
      <c r="Q84">
        <f t="shared" si="101"/>
        <v>0</v>
      </c>
      <c r="R84">
        <f t="shared" si="71"/>
        <v>0</v>
      </c>
      <c r="S84">
        <f t="shared" si="72"/>
        <v>0</v>
      </c>
      <c r="T84">
        <f t="shared" si="73"/>
        <v>0</v>
      </c>
      <c r="U84">
        <f t="shared" si="74"/>
        <v>0</v>
      </c>
      <c r="V84">
        <f t="shared" si="75"/>
        <v>0</v>
      </c>
      <c r="W84">
        <f t="shared" si="76"/>
        <v>0</v>
      </c>
      <c r="X84">
        <f t="shared" si="77"/>
        <v>0</v>
      </c>
      <c r="Y84">
        <f t="shared" si="78"/>
        <v>0</v>
      </c>
      <c r="AA84">
        <v>56503350</v>
      </c>
      <c r="AB84">
        <f t="shared" si="79"/>
        <v>1.06</v>
      </c>
      <c r="AC84">
        <f t="shared" si="80"/>
        <v>1.06</v>
      </c>
      <c r="AD84">
        <f t="shared" si="102"/>
        <v>0</v>
      </c>
      <c r="AE84">
        <f t="shared" si="103"/>
        <v>0</v>
      </c>
      <c r="AF84">
        <f t="shared" si="104"/>
        <v>0</v>
      </c>
      <c r="AG84">
        <f t="shared" si="81"/>
        <v>0</v>
      </c>
      <c r="AH84">
        <f t="shared" si="105"/>
        <v>0</v>
      </c>
      <c r="AI84">
        <f t="shared" si="106"/>
        <v>0</v>
      </c>
      <c r="AJ84">
        <f t="shared" si="82"/>
        <v>0</v>
      </c>
      <c r="AK84">
        <v>1.06</v>
      </c>
      <c r="AL84">
        <v>1.06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90</v>
      </c>
      <c r="AU84">
        <v>46</v>
      </c>
      <c r="AV84">
        <v>1</v>
      </c>
      <c r="AW84">
        <v>1</v>
      </c>
      <c r="AZ84">
        <v>1</v>
      </c>
      <c r="BA84">
        <v>1</v>
      </c>
      <c r="BB84">
        <v>1</v>
      </c>
      <c r="BC84">
        <v>5.93</v>
      </c>
      <c r="BD84" t="s">
        <v>3</v>
      </c>
      <c r="BE84" t="s">
        <v>3</v>
      </c>
      <c r="BF84" t="s">
        <v>3</v>
      </c>
      <c r="BG84" t="s">
        <v>3</v>
      </c>
      <c r="BH84">
        <v>3</v>
      </c>
      <c r="BI84">
        <v>2</v>
      </c>
      <c r="BJ84" t="s">
        <v>136</v>
      </c>
      <c r="BM84">
        <v>68</v>
      </c>
      <c r="BN84">
        <v>0</v>
      </c>
      <c r="BO84" t="s">
        <v>134</v>
      </c>
      <c r="BP84">
        <v>1</v>
      </c>
      <c r="BQ84">
        <v>40</v>
      </c>
      <c r="BR84">
        <v>0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 t="s">
        <v>3</v>
      </c>
      <c r="BZ84">
        <v>90</v>
      </c>
      <c r="CA84">
        <v>46</v>
      </c>
      <c r="CB84" t="s">
        <v>3</v>
      </c>
      <c r="CE84">
        <v>30</v>
      </c>
      <c r="CF84">
        <v>0</v>
      </c>
      <c r="CG84">
        <v>0</v>
      </c>
      <c r="CM84">
        <v>0</v>
      </c>
      <c r="CN84" t="s">
        <v>3</v>
      </c>
      <c r="CO84">
        <v>0</v>
      </c>
      <c r="CP84">
        <f t="shared" si="83"/>
        <v>31.43</v>
      </c>
      <c r="CQ84">
        <f t="shared" si="84"/>
        <v>6.29</v>
      </c>
      <c r="CR84">
        <f t="shared" si="107"/>
        <v>0</v>
      </c>
      <c r="CS84">
        <f t="shared" si="85"/>
        <v>0</v>
      </c>
      <c r="CT84">
        <f t="shared" si="86"/>
        <v>0</v>
      </c>
      <c r="CU84">
        <f t="shared" si="87"/>
        <v>0</v>
      </c>
      <c r="CV84">
        <f t="shared" si="88"/>
        <v>0</v>
      </c>
      <c r="CW84">
        <f t="shared" si="89"/>
        <v>0</v>
      </c>
      <c r="CX84">
        <f t="shared" si="90"/>
        <v>0</v>
      </c>
      <c r="CY84">
        <f t="shared" si="91"/>
        <v>0</v>
      </c>
      <c r="CZ84">
        <f t="shared" si="92"/>
        <v>0</v>
      </c>
      <c r="DC84" t="s">
        <v>3</v>
      </c>
      <c r="DD84" t="s">
        <v>3</v>
      </c>
      <c r="DE84" t="s">
        <v>3</v>
      </c>
      <c r="DF84" t="s">
        <v>3</v>
      </c>
      <c r="DG84" t="s">
        <v>3</v>
      </c>
      <c r="DH84" t="s">
        <v>3</v>
      </c>
      <c r="DI84" t="s">
        <v>3</v>
      </c>
      <c r="DJ84" t="s">
        <v>3</v>
      </c>
      <c r="DK84" t="s">
        <v>3</v>
      </c>
      <c r="DL84" t="s">
        <v>3</v>
      </c>
      <c r="DM84" t="s">
        <v>3</v>
      </c>
      <c r="DN84">
        <v>0</v>
      </c>
      <c r="DO84">
        <v>0</v>
      </c>
      <c r="DP84">
        <v>1</v>
      </c>
      <c r="DQ84">
        <v>1</v>
      </c>
      <c r="DU84">
        <v>1010</v>
      </c>
      <c r="DV84" t="s">
        <v>32</v>
      </c>
      <c r="DW84" t="s">
        <v>32</v>
      </c>
      <c r="DX84">
        <v>1</v>
      </c>
      <c r="DZ84" t="s">
        <v>3</v>
      </c>
      <c r="EA84" t="s">
        <v>3</v>
      </c>
      <c r="EB84" t="s">
        <v>3</v>
      </c>
      <c r="EC84" t="s">
        <v>3</v>
      </c>
      <c r="EE84">
        <v>58162630</v>
      </c>
      <c r="EF84">
        <v>40</v>
      </c>
      <c r="EG84" t="s">
        <v>25</v>
      </c>
      <c r="EH84">
        <v>0</v>
      </c>
      <c r="EI84" t="s">
        <v>3</v>
      </c>
      <c r="EJ84">
        <v>2</v>
      </c>
      <c r="EK84">
        <v>68</v>
      </c>
      <c r="EL84" t="s">
        <v>126</v>
      </c>
      <c r="EM84" t="s">
        <v>127</v>
      </c>
      <c r="EO84" t="s">
        <v>3</v>
      </c>
      <c r="EQ84">
        <v>0</v>
      </c>
      <c r="ER84">
        <v>1.06</v>
      </c>
      <c r="ES84">
        <v>1.06</v>
      </c>
      <c r="ET84">
        <v>0</v>
      </c>
      <c r="EU84">
        <v>0</v>
      </c>
      <c r="EV84">
        <v>0</v>
      </c>
      <c r="EW84">
        <v>0</v>
      </c>
      <c r="EX84">
        <v>0</v>
      </c>
      <c r="FQ84">
        <v>0</v>
      </c>
      <c r="FR84">
        <v>0</v>
      </c>
      <c r="FS84">
        <v>0</v>
      </c>
      <c r="FX84">
        <v>90</v>
      </c>
      <c r="FY84">
        <v>46</v>
      </c>
      <c r="GA84" t="s">
        <v>3</v>
      </c>
      <c r="GD84">
        <v>1</v>
      </c>
      <c r="GF84">
        <v>-2026322809</v>
      </c>
      <c r="GG84">
        <v>2</v>
      </c>
      <c r="GH84">
        <v>1</v>
      </c>
      <c r="GI84">
        <v>2</v>
      </c>
      <c r="GJ84">
        <v>0</v>
      </c>
      <c r="GK84">
        <v>0</v>
      </c>
      <c r="GL84">
        <f t="shared" si="93"/>
        <v>0</v>
      </c>
      <c r="GM84">
        <f t="shared" si="94"/>
        <v>31.43</v>
      </c>
      <c r="GN84">
        <f t="shared" si="95"/>
        <v>0</v>
      </c>
      <c r="GO84">
        <f t="shared" si="96"/>
        <v>31.43</v>
      </c>
      <c r="GP84">
        <f t="shared" si="97"/>
        <v>0</v>
      </c>
      <c r="GR84">
        <v>0</v>
      </c>
      <c r="GS84">
        <v>3</v>
      </c>
      <c r="GT84">
        <v>0</v>
      </c>
      <c r="GU84" t="s">
        <v>3</v>
      </c>
      <c r="GV84">
        <f t="shared" si="98"/>
        <v>0</v>
      </c>
      <c r="GW84">
        <v>1</v>
      </c>
      <c r="GX84">
        <f t="shared" si="99"/>
        <v>0</v>
      </c>
      <c r="HA84">
        <v>0</v>
      </c>
      <c r="HB84">
        <v>0</v>
      </c>
      <c r="HC84">
        <f t="shared" si="100"/>
        <v>0</v>
      </c>
      <c r="HE84" t="s">
        <v>3</v>
      </c>
      <c r="HF84" t="s">
        <v>3</v>
      </c>
      <c r="HM84" t="s">
        <v>3</v>
      </c>
      <c r="HN84" t="s">
        <v>3</v>
      </c>
      <c r="HO84" t="s">
        <v>3</v>
      </c>
      <c r="HP84" t="s">
        <v>3</v>
      </c>
      <c r="HQ84" t="s">
        <v>3</v>
      </c>
      <c r="HS84">
        <v>0</v>
      </c>
      <c r="IK84">
        <v>0</v>
      </c>
    </row>
    <row r="85" spans="1:255" x14ac:dyDescent="0.3">
      <c r="A85" s="2">
        <v>18</v>
      </c>
      <c r="B85" s="2">
        <v>1</v>
      </c>
      <c r="C85" s="2"/>
      <c r="D85" s="2"/>
      <c r="E85" s="2" t="s">
        <v>137</v>
      </c>
      <c r="F85" s="2" t="s">
        <v>138</v>
      </c>
      <c r="G85" s="2" t="s">
        <v>139</v>
      </c>
      <c r="H85" s="2" t="s">
        <v>114</v>
      </c>
      <c r="I85" s="2">
        <f>I79*J85</f>
        <v>6</v>
      </c>
      <c r="J85" s="2">
        <v>3</v>
      </c>
      <c r="K85" s="2">
        <v>3</v>
      </c>
      <c r="L85" s="2"/>
      <c r="M85" s="2"/>
      <c r="N85" s="2"/>
      <c r="O85" s="2">
        <f t="shared" si="69"/>
        <v>881.34</v>
      </c>
      <c r="P85" s="2">
        <f t="shared" si="70"/>
        <v>881.34</v>
      </c>
      <c r="Q85" s="2">
        <f t="shared" si="101"/>
        <v>0</v>
      </c>
      <c r="R85" s="2">
        <f t="shared" si="71"/>
        <v>0</v>
      </c>
      <c r="S85" s="2">
        <f t="shared" si="72"/>
        <v>0</v>
      </c>
      <c r="T85" s="2">
        <f t="shared" si="73"/>
        <v>0</v>
      </c>
      <c r="U85" s="2">
        <f t="shared" si="74"/>
        <v>0</v>
      </c>
      <c r="V85" s="2">
        <f t="shared" si="75"/>
        <v>0</v>
      </c>
      <c r="W85" s="2">
        <f t="shared" si="76"/>
        <v>0</v>
      </c>
      <c r="X85" s="2">
        <f t="shared" si="77"/>
        <v>0</v>
      </c>
      <c r="Y85" s="2">
        <f t="shared" si="78"/>
        <v>0</v>
      </c>
      <c r="Z85" s="2"/>
      <c r="AA85" s="2">
        <v>56503348</v>
      </c>
      <c r="AB85" s="2">
        <f t="shared" si="79"/>
        <v>146.88999999999999</v>
      </c>
      <c r="AC85" s="2">
        <f t="shared" si="80"/>
        <v>146.88999999999999</v>
      </c>
      <c r="AD85" s="2">
        <f t="shared" si="102"/>
        <v>0</v>
      </c>
      <c r="AE85" s="2">
        <f t="shared" si="103"/>
        <v>0</v>
      </c>
      <c r="AF85" s="2">
        <f t="shared" si="104"/>
        <v>0</v>
      </c>
      <c r="AG85" s="2">
        <f t="shared" si="81"/>
        <v>0</v>
      </c>
      <c r="AH85" s="2">
        <f t="shared" si="105"/>
        <v>0</v>
      </c>
      <c r="AI85" s="2">
        <f t="shared" si="106"/>
        <v>0</v>
      </c>
      <c r="AJ85" s="2">
        <f t="shared" si="82"/>
        <v>0</v>
      </c>
      <c r="AK85" s="2">
        <v>146.88999999999999</v>
      </c>
      <c r="AL85" s="2">
        <v>146.88999999999999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90</v>
      </c>
      <c r="AU85" s="2">
        <v>46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2</v>
      </c>
      <c r="BJ85" s="2" t="s">
        <v>140</v>
      </c>
      <c r="BK85" s="2"/>
      <c r="BL85" s="2"/>
      <c r="BM85" s="2">
        <v>68</v>
      </c>
      <c r="BN85" s="2">
        <v>0</v>
      </c>
      <c r="BO85" s="2" t="s">
        <v>3</v>
      </c>
      <c r="BP85" s="2">
        <v>0</v>
      </c>
      <c r="BQ85" s="2">
        <v>40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90</v>
      </c>
      <c r="CA85" s="2">
        <v>46</v>
      </c>
      <c r="CB85" s="2" t="s">
        <v>3</v>
      </c>
      <c r="CC85" s="2"/>
      <c r="CD85" s="2"/>
      <c r="CE85" s="2">
        <v>30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3</v>
      </c>
      <c r="CO85" s="2">
        <v>0</v>
      </c>
      <c r="CP85" s="2">
        <f t="shared" si="83"/>
        <v>881.34</v>
      </c>
      <c r="CQ85" s="2">
        <f t="shared" si="84"/>
        <v>146.88999999999999</v>
      </c>
      <c r="CR85" s="2">
        <f t="shared" si="107"/>
        <v>0</v>
      </c>
      <c r="CS85" s="2">
        <f t="shared" si="85"/>
        <v>0</v>
      </c>
      <c r="CT85" s="2">
        <f t="shared" si="86"/>
        <v>0</v>
      </c>
      <c r="CU85" s="2">
        <f t="shared" si="87"/>
        <v>0</v>
      </c>
      <c r="CV85" s="2">
        <f t="shared" si="88"/>
        <v>0</v>
      </c>
      <c r="CW85" s="2">
        <f t="shared" si="89"/>
        <v>0</v>
      </c>
      <c r="CX85" s="2">
        <f t="shared" si="90"/>
        <v>0</v>
      </c>
      <c r="CY85" s="2">
        <f t="shared" si="91"/>
        <v>0</v>
      </c>
      <c r="CZ85" s="2">
        <f t="shared" si="92"/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1010</v>
      </c>
      <c r="DV85" s="2" t="s">
        <v>114</v>
      </c>
      <c r="DW85" s="2" t="s">
        <v>114</v>
      </c>
      <c r="DX85" s="2">
        <v>100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58162630</v>
      </c>
      <c r="EF85" s="2">
        <v>40</v>
      </c>
      <c r="EG85" s="2" t="s">
        <v>25</v>
      </c>
      <c r="EH85" s="2">
        <v>0</v>
      </c>
      <c r="EI85" s="2" t="s">
        <v>3</v>
      </c>
      <c r="EJ85" s="2">
        <v>2</v>
      </c>
      <c r="EK85" s="2">
        <v>68</v>
      </c>
      <c r="EL85" s="2" t="s">
        <v>126</v>
      </c>
      <c r="EM85" s="2" t="s">
        <v>127</v>
      </c>
      <c r="EN85" s="2"/>
      <c r="EO85" s="2" t="s">
        <v>3</v>
      </c>
      <c r="EP85" s="2"/>
      <c r="EQ85" s="2">
        <v>0</v>
      </c>
      <c r="ER85" s="2">
        <v>146.88999999999999</v>
      </c>
      <c r="ES85" s="2">
        <v>146.88999999999999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v>0</v>
      </c>
      <c r="FS85" s="2">
        <v>0</v>
      </c>
      <c r="FT85" s="2"/>
      <c r="FU85" s="2"/>
      <c r="FV85" s="2"/>
      <c r="FW85" s="2"/>
      <c r="FX85" s="2">
        <v>90</v>
      </c>
      <c r="FY85" s="2">
        <v>46</v>
      </c>
      <c r="FZ85" s="2"/>
      <c r="GA85" s="2" t="s">
        <v>3</v>
      </c>
      <c r="GB85" s="2"/>
      <c r="GC85" s="2"/>
      <c r="GD85" s="2">
        <v>1</v>
      </c>
      <c r="GE85" s="2"/>
      <c r="GF85" s="2">
        <v>-1171050213</v>
      </c>
      <c r="GG85" s="2">
        <v>2</v>
      </c>
      <c r="GH85" s="2">
        <v>1</v>
      </c>
      <c r="GI85" s="2">
        <v>-2</v>
      </c>
      <c r="GJ85" s="2">
        <v>0</v>
      </c>
      <c r="GK85" s="2">
        <v>0</v>
      </c>
      <c r="GL85" s="2">
        <f t="shared" si="93"/>
        <v>0</v>
      </c>
      <c r="GM85" s="2">
        <f t="shared" si="94"/>
        <v>881.34</v>
      </c>
      <c r="GN85" s="2">
        <f t="shared" si="95"/>
        <v>0</v>
      </c>
      <c r="GO85" s="2">
        <f t="shared" si="96"/>
        <v>881.34</v>
      </c>
      <c r="GP85" s="2">
        <f t="shared" si="97"/>
        <v>0</v>
      </c>
      <c r="GQ85" s="2"/>
      <c r="GR85" s="2">
        <v>0</v>
      </c>
      <c r="GS85" s="2">
        <v>3</v>
      </c>
      <c r="GT85" s="2">
        <v>0</v>
      </c>
      <c r="GU85" s="2" t="s">
        <v>3</v>
      </c>
      <c r="GV85" s="2">
        <f t="shared" si="98"/>
        <v>0</v>
      </c>
      <c r="GW85" s="2">
        <v>1</v>
      </c>
      <c r="GX85" s="2">
        <f t="shared" si="99"/>
        <v>0</v>
      </c>
      <c r="GY85" s="2"/>
      <c r="GZ85" s="2"/>
      <c r="HA85" s="2">
        <v>0</v>
      </c>
      <c r="HB85" s="2">
        <v>0</v>
      </c>
      <c r="HC85" s="2">
        <f t="shared" si="100"/>
        <v>0</v>
      </c>
      <c r="HD85" s="2"/>
      <c r="HE85" s="2" t="s">
        <v>3</v>
      </c>
      <c r="HF85" s="2" t="s">
        <v>3</v>
      </c>
      <c r="HG85" s="2"/>
      <c r="HH85" s="2"/>
      <c r="HI85" s="2"/>
      <c r="HJ85" s="2"/>
      <c r="HK85" s="2"/>
      <c r="HL85" s="2"/>
      <c r="HM85" s="2" t="s">
        <v>3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3">
      <c r="A86">
        <v>18</v>
      </c>
      <c r="B86">
        <v>1</v>
      </c>
      <c r="E86" t="s">
        <v>137</v>
      </c>
      <c r="F86" t="s">
        <v>138</v>
      </c>
      <c r="G86" t="s">
        <v>139</v>
      </c>
      <c r="H86" t="s">
        <v>114</v>
      </c>
      <c r="I86">
        <f>I80*J86</f>
        <v>6</v>
      </c>
      <c r="J86">
        <v>3</v>
      </c>
      <c r="K86">
        <v>3</v>
      </c>
      <c r="O86">
        <f t="shared" si="69"/>
        <v>1789.12</v>
      </c>
      <c r="P86">
        <f t="shared" si="70"/>
        <v>1789.12</v>
      </c>
      <c r="Q86">
        <f t="shared" si="101"/>
        <v>0</v>
      </c>
      <c r="R86">
        <f t="shared" si="71"/>
        <v>0</v>
      </c>
      <c r="S86">
        <f t="shared" si="72"/>
        <v>0</v>
      </c>
      <c r="T86">
        <f t="shared" si="73"/>
        <v>0</v>
      </c>
      <c r="U86">
        <f t="shared" si="74"/>
        <v>0</v>
      </c>
      <c r="V86">
        <f t="shared" si="75"/>
        <v>0</v>
      </c>
      <c r="W86">
        <f t="shared" si="76"/>
        <v>0</v>
      </c>
      <c r="X86">
        <f t="shared" si="77"/>
        <v>0</v>
      </c>
      <c r="Y86">
        <f t="shared" si="78"/>
        <v>0</v>
      </c>
      <c r="AA86">
        <v>56503350</v>
      </c>
      <c r="AB86">
        <f t="shared" si="79"/>
        <v>146.88999999999999</v>
      </c>
      <c r="AC86">
        <f t="shared" si="80"/>
        <v>146.88999999999999</v>
      </c>
      <c r="AD86">
        <f t="shared" si="102"/>
        <v>0</v>
      </c>
      <c r="AE86">
        <f t="shared" si="103"/>
        <v>0</v>
      </c>
      <c r="AF86">
        <f t="shared" si="104"/>
        <v>0</v>
      </c>
      <c r="AG86">
        <f t="shared" si="81"/>
        <v>0</v>
      </c>
      <c r="AH86">
        <f t="shared" si="105"/>
        <v>0</v>
      </c>
      <c r="AI86">
        <f t="shared" si="106"/>
        <v>0</v>
      </c>
      <c r="AJ86">
        <f t="shared" si="82"/>
        <v>0</v>
      </c>
      <c r="AK86">
        <v>146.88999999999999</v>
      </c>
      <c r="AL86">
        <v>146.88999999999999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90</v>
      </c>
      <c r="AU86">
        <v>46</v>
      </c>
      <c r="AV86">
        <v>1</v>
      </c>
      <c r="AW86">
        <v>1</v>
      </c>
      <c r="AZ86">
        <v>1</v>
      </c>
      <c r="BA86">
        <v>1</v>
      </c>
      <c r="BB86">
        <v>1</v>
      </c>
      <c r="BC86">
        <v>2.0299999999999998</v>
      </c>
      <c r="BD86" t="s">
        <v>3</v>
      </c>
      <c r="BE86" t="s">
        <v>3</v>
      </c>
      <c r="BF86" t="s">
        <v>3</v>
      </c>
      <c r="BG86" t="s">
        <v>3</v>
      </c>
      <c r="BH86">
        <v>3</v>
      </c>
      <c r="BI86">
        <v>2</v>
      </c>
      <c r="BJ86" t="s">
        <v>140</v>
      </c>
      <c r="BM86">
        <v>68</v>
      </c>
      <c r="BN86">
        <v>0</v>
      </c>
      <c r="BO86" t="s">
        <v>138</v>
      </c>
      <c r="BP86">
        <v>1</v>
      </c>
      <c r="BQ86">
        <v>40</v>
      </c>
      <c r="BR86">
        <v>0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 t="s">
        <v>3</v>
      </c>
      <c r="BZ86">
        <v>90</v>
      </c>
      <c r="CA86">
        <v>46</v>
      </c>
      <c r="CB86" t="s">
        <v>3</v>
      </c>
      <c r="CE86">
        <v>30</v>
      </c>
      <c r="CF86">
        <v>0</v>
      </c>
      <c r="CG86">
        <v>0</v>
      </c>
      <c r="CM86">
        <v>0</v>
      </c>
      <c r="CN86" t="s">
        <v>3</v>
      </c>
      <c r="CO86">
        <v>0</v>
      </c>
      <c r="CP86">
        <f t="shared" si="83"/>
        <v>1789.12</v>
      </c>
      <c r="CQ86">
        <f t="shared" si="84"/>
        <v>298.19</v>
      </c>
      <c r="CR86">
        <f t="shared" si="107"/>
        <v>0</v>
      </c>
      <c r="CS86">
        <f t="shared" si="85"/>
        <v>0</v>
      </c>
      <c r="CT86">
        <f t="shared" si="86"/>
        <v>0</v>
      </c>
      <c r="CU86">
        <f t="shared" si="87"/>
        <v>0</v>
      </c>
      <c r="CV86">
        <f t="shared" si="88"/>
        <v>0</v>
      </c>
      <c r="CW86">
        <f t="shared" si="89"/>
        <v>0</v>
      </c>
      <c r="CX86">
        <f t="shared" si="90"/>
        <v>0</v>
      </c>
      <c r="CY86">
        <f t="shared" si="91"/>
        <v>0</v>
      </c>
      <c r="CZ86">
        <f t="shared" si="92"/>
        <v>0</v>
      </c>
      <c r="DC86" t="s">
        <v>3</v>
      </c>
      <c r="DD86" t="s">
        <v>3</v>
      </c>
      <c r="DE86" t="s">
        <v>3</v>
      </c>
      <c r="DF86" t="s">
        <v>3</v>
      </c>
      <c r="DG86" t="s">
        <v>3</v>
      </c>
      <c r="DH86" t="s">
        <v>3</v>
      </c>
      <c r="DI86" t="s">
        <v>3</v>
      </c>
      <c r="DJ86" t="s">
        <v>3</v>
      </c>
      <c r="DK86" t="s">
        <v>3</v>
      </c>
      <c r="DL86" t="s">
        <v>3</v>
      </c>
      <c r="DM86" t="s">
        <v>3</v>
      </c>
      <c r="DN86">
        <v>0</v>
      </c>
      <c r="DO86">
        <v>0</v>
      </c>
      <c r="DP86">
        <v>1</v>
      </c>
      <c r="DQ86">
        <v>1</v>
      </c>
      <c r="DU86">
        <v>1010</v>
      </c>
      <c r="DV86" t="s">
        <v>114</v>
      </c>
      <c r="DW86" t="s">
        <v>114</v>
      </c>
      <c r="DX86">
        <v>100</v>
      </c>
      <c r="DZ86" t="s">
        <v>3</v>
      </c>
      <c r="EA86" t="s">
        <v>3</v>
      </c>
      <c r="EB86" t="s">
        <v>3</v>
      </c>
      <c r="EC86" t="s">
        <v>3</v>
      </c>
      <c r="EE86">
        <v>58162630</v>
      </c>
      <c r="EF86">
        <v>40</v>
      </c>
      <c r="EG86" t="s">
        <v>25</v>
      </c>
      <c r="EH86">
        <v>0</v>
      </c>
      <c r="EI86" t="s">
        <v>3</v>
      </c>
      <c r="EJ86">
        <v>2</v>
      </c>
      <c r="EK86">
        <v>68</v>
      </c>
      <c r="EL86" t="s">
        <v>126</v>
      </c>
      <c r="EM86" t="s">
        <v>127</v>
      </c>
      <c r="EO86" t="s">
        <v>3</v>
      </c>
      <c r="EQ86">
        <v>0</v>
      </c>
      <c r="ER86">
        <v>146.88999999999999</v>
      </c>
      <c r="ES86">
        <v>146.88999999999999</v>
      </c>
      <c r="ET86">
        <v>0</v>
      </c>
      <c r="EU86">
        <v>0</v>
      </c>
      <c r="EV86">
        <v>0</v>
      </c>
      <c r="EW86">
        <v>0</v>
      </c>
      <c r="EX86">
        <v>0</v>
      </c>
      <c r="FQ86">
        <v>0</v>
      </c>
      <c r="FR86">
        <v>0</v>
      </c>
      <c r="FS86">
        <v>0</v>
      </c>
      <c r="FX86">
        <v>90</v>
      </c>
      <c r="FY86">
        <v>46</v>
      </c>
      <c r="GA86" t="s">
        <v>3</v>
      </c>
      <c r="GD86">
        <v>1</v>
      </c>
      <c r="GF86">
        <v>-1171050213</v>
      </c>
      <c r="GG86">
        <v>2</v>
      </c>
      <c r="GH86">
        <v>1</v>
      </c>
      <c r="GI86">
        <v>2</v>
      </c>
      <c r="GJ86">
        <v>0</v>
      </c>
      <c r="GK86">
        <v>0</v>
      </c>
      <c r="GL86">
        <f t="shared" si="93"/>
        <v>0</v>
      </c>
      <c r="GM86">
        <f t="shared" si="94"/>
        <v>1789.12</v>
      </c>
      <c r="GN86">
        <f t="shared" si="95"/>
        <v>0</v>
      </c>
      <c r="GO86">
        <f t="shared" si="96"/>
        <v>1789.12</v>
      </c>
      <c r="GP86">
        <f t="shared" si="97"/>
        <v>0</v>
      </c>
      <c r="GR86">
        <v>0</v>
      </c>
      <c r="GS86">
        <v>3</v>
      </c>
      <c r="GT86">
        <v>0</v>
      </c>
      <c r="GU86" t="s">
        <v>3</v>
      </c>
      <c r="GV86">
        <f t="shared" si="98"/>
        <v>0</v>
      </c>
      <c r="GW86">
        <v>1</v>
      </c>
      <c r="GX86">
        <f t="shared" si="99"/>
        <v>0</v>
      </c>
      <c r="HA86">
        <v>0</v>
      </c>
      <c r="HB86">
        <v>0</v>
      </c>
      <c r="HC86">
        <f t="shared" si="100"/>
        <v>0</v>
      </c>
      <c r="HE86" t="s">
        <v>3</v>
      </c>
      <c r="HF86" t="s">
        <v>3</v>
      </c>
      <c r="HM86" t="s">
        <v>3</v>
      </c>
      <c r="HN86" t="s">
        <v>3</v>
      </c>
      <c r="HO86" t="s">
        <v>3</v>
      </c>
      <c r="HP86" t="s">
        <v>3</v>
      </c>
      <c r="HQ86" t="s">
        <v>3</v>
      </c>
      <c r="HS86">
        <v>0</v>
      </c>
      <c r="IK86">
        <v>0</v>
      </c>
    </row>
    <row r="87" spans="1:255" x14ac:dyDescent="0.3">
      <c r="A87" s="2">
        <v>18</v>
      </c>
      <c r="B87" s="2">
        <v>1</v>
      </c>
      <c r="C87" s="2"/>
      <c r="D87" s="2"/>
      <c r="E87" s="2" t="s">
        <v>141</v>
      </c>
      <c r="F87" s="2" t="s">
        <v>142</v>
      </c>
      <c r="G87" s="2" t="s">
        <v>143</v>
      </c>
      <c r="H87" s="2" t="s">
        <v>144</v>
      </c>
      <c r="I87" s="2">
        <f>I79*J87</f>
        <v>0.255</v>
      </c>
      <c r="J87" s="2">
        <v>0.1275</v>
      </c>
      <c r="K87" s="2">
        <v>0.1275</v>
      </c>
      <c r="L87" s="2"/>
      <c r="M87" s="2"/>
      <c r="N87" s="2"/>
      <c r="O87" s="2">
        <f t="shared" si="69"/>
        <v>3522.41</v>
      </c>
      <c r="P87" s="2">
        <f t="shared" si="70"/>
        <v>3522.41</v>
      </c>
      <c r="Q87" s="2">
        <f t="shared" si="101"/>
        <v>0</v>
      </c>
      <c r="R87" s="2">
        <f t="shared" si="71"/>
        <v>0</v>
      </c>
      <c r="S87" s="2">
        <f t="shared" si="72"/>
        <v>0</v>
      </c>
      <c r="T87" s="2">
        <f t="shared" si="73"/>
        <v>0</v>
      </c>
      <c r="U87" s="2">
        <f t="shared" si="74"/>
        <v>0</v>
      </c>
      <c r="V87" s="2">
        <f t="shared" si="75"/>
        <v>0</v>
      </c>
      <c r="W87" s="2">
        <f t="shared" si="76"/>
        <v>0</v>
      </c>
      <c r="X87" s="2">
        <f t="shared" si="77"/>
        <v>0</v>
      </c>
      <c r="Y87" s="2">
        <f t="shared" si="78"/>
        <v>0</v>
      </c>
      <c r="Z87" s="2"/>
      <c r="AA87" s="2">
        <v>56503348</v>
      </c>
      <c r="AB87" s="2">
        <f t="shared" si="79"/>
        <v>13813.36</v>
      </c>
      <c r="AC87" s="2">
        <f t="shared" si="80"/>
        <v>13813.36</v>
      </c>
      <c r="AD87" s="2">
        <f t="shared" si="102"/>
        <v>0</v>
      </c>
      <c r="AE87" s="2">
        <f t="shared" si="103"/>
        <v>0</v>
      </c>
      <c r="AF87" s="2">
        <f t="shared" si="104"/>
        <v>0</v>
      </c>
      <c r="AG87" s="2">
        <f t="shared" si="81"/>
        <v>0</v>
      </c>
      <c r="AH87" s="2">
        <f t="shared" si="105"/>
        <v>0</v>
      </c>
      <c r="AI87" s="2">
        <f t="shared" si="106"/>
        <v>0</v>
      </c>
      <c r="AJ87" s="2">
        <f t="shared" si="82"/>
        <v>0</v>
      </c>
      <c r="AK87" s="2">
        <v>13813.36</v>
      </c>
      <c r="AL87" s="2">
        <v>13813.36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90</v>
      </c>
      <c r="AU87" s="2">
        <v>46</v>
      </c>
      <c r="AV87" s="2">
        <v>1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3</v>
      </c>
      <c r="BI87" s="2">
        <v>2</v>
      </c>
      <c r="BJ87" s="2" t="s">
        <v>3</v>
      </c>
      <c r="BK87" s="2"/>
      <c r="BL87" s="2"/>
      <c r="BM87" s="2">
        <v>68</v>
      </c>
      <c r="BN87" s="2">
        <v>0</v>
      </c>
      <c r="BO87" s="2" t="s">
        <v>3</v>
      </c>
      <c r="BP87" s="2">
        <v>0</v>
      </c>
      <c r="BQ87" s="2">
        <v>40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90</v>
      </c>
      <c r="CA87" s="2">
        <v>46</v>
      </c>
      <c r="CB87" s="2" t="s">
        <v>3</v>
      </c>
      <c r="CC87" s="2"/>
      <c r="CD87" s="2"/>
      <c r="CE87" s="2">
        <v>30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3</v>
      </c>
      <c r="CO87" s="2">
        <v>0</v>
      </c>
      <c r="CP87" s="2">
        <f t="shared" si="83"/>
        <v>3522.41</v>
      </c>
      <c r="CQ87" s="2">
        <f t="shared" si="84"/>
        <v>13813.36</v>
      </c>
      <c r="CR87" s="2">
        <f t="shared" si="107"/>
        <v>0</v>
      </c>
      <c r="CS87" s="2">
        <f t="shared" si="85"/>
        <v>0</v>
      </c>
      <c r="CT87" s="2">
        <f t="shared" si="86"/>
        <v>0</v>
      </c>
      <c r="CU87" s="2">
        <f t="shared" si="87"/>
        <v>0</v>
      </c>
      <c r="CV87" s="2">
        <f t="shared" si="88"/>
        <v>0</v>
      </c>
      <c r="CW87" s="2">
        <f t="shared" si="89"/>
        <v>0</v>
      </c>
      <c r="CX87" s="2">
        <f t="shared" si="90"/>
        <v>0</v>
      </c>
      <c r="CY87" s="2">
        <f t="shared" si="91"/>
        <v>0</v>
      </c>
      <c r="CZ87" s="2">
        <f t="shared" si="92"/>
        <v>0</v>
      </c>
      <c r="DA87" s="2"/>
      <c r="DB87" s="2"/>
      <c r="DC87" s="2" t="s">
        <v>3</v>
      </c>
      <c r="DD87" s="2" t="s">
        <v>3</v>
      </c>
      <c r="DE87" s="2" t="s">
        <v>3</v>
      </c>
      <c r="DF87" s="2" t="s">
        <v>3</v>
      </c>
      <c r="DG87" s="2" t="s">
        <v>3</v>
      </c>
      <c r="DH87" s="2" t="s">
        <v>3</v>
      </c>
      <c r="DI87" s="2" t="s">
        <v>3</v>
      </c>
      <c r="DJ87" s="2" t="s">
        <v>3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1003</v>
      </c>
      <c r="DV87" s="2" t="s">
        <v>144</v>
      </c>
      <c r="DW87" s="2" t="s">
        <v>144</v>
      </c>
      <c r="DX87" s="2">
        <v>1000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58162630</v>
      </c>
      <c r="EF87" s="2">
        <v>40</v>
      </c>
      <c r="EG87" s="2" t="s">
        <v>25</v>
      </c>
      <c r="EH87" s="2">
        <v>0</v>
      </c>
      <c r="EI87" s="2" t="s">
        <v>3</v>
      </c>
      <c r="EJ87" s="2">
        <v>2</v>
      </c>
      <c r="EK87" s="2">
        <v>68</v>
      </c>
      <c r="EL87" s="2" t="s">
        <v>126</v>
      </c>
      <c r="EM87" s="2" t="s">
        <v>127</v>
      </c>
      <c r="EN87" s="2"/>
      <c r="EO87" s="2" t="s">
        <v>3</v>
      </c>
      <c r="EP87" s="2"/>
      <c r="EQ87" s="2">
        <v>0</v>
      </c>
      <c r="ER87" s="2">
        <v>0</v>
      </c>
      <c r="ES87" s="2">
        <v>13813.36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90</v>
      </c>
      <c r="FY87" s="2">
        <v>46</v>
      </c>
      <c r="FZ87" s="2"/>
      <c r="GA87" s="2" t="s">
        <v>145</v>
      </c>
      <c r="GB87" s="2"/>
      <c r="GC87" s="2"/>
      <c r="GD87" s="2">
        <v>1</v>
      </c>
      <c r="GE87" s="2"/>
      <c r="GF87" s="2">
        <v>-1070144849</v>
      </c>
      <c r="GG87" s="2">
        <v>2</v>
      </c>
      <c r="GH87" s="2">
        <v>4</v>
      </c>
      <c r="GI87" s="2">
        <v>-2</v>
      </c>
      <c r="GJ87" s="2">
        <v>0</v>
      </c>
      <c r="GK87" s="2">
        <v>0</v>
      </c>
      <c r="GL87" s="2">
        <f t="shared" si="93"/>
        <v>0</v>
      </c>
      <c r="GM87" s="2">
        <f t="shared" si="94"/>
        <v>3522.41</v>
      </c>
      <c r="GN87" s="2">
        <f t="shared" si="95"/>
        <v>0</v>
      </c>
      <c r="GO87" s="2">
        <f t="shared" si="96"/>
        <v>3522.41</v>
      </c>
      <c r="GP87" s="2">
        <f t="shared" si="97"/>
        <v>0</v>
      </c>
      <c r="GQ87" s="2"/>
      <c r="GR87" s="2">
        <v>0</v>
      </c>
      <c r="GS87" s="2">
        <v>2</v>
      </c>
      <c r="GT87" s="2">
        <v>0</v>
      </c>
      <c r="GU87" s="2" t="s">
        <v>3</v>
      </c>
      <c r="GV87" s="2">
        <f t="shared" si="98"/>
        <v>0</v>
      </c>
      <c r="GW87" s="2">
        <v>1</v>
      </c>
      <c r="GX87" s="2">
        <f t="shared" si="99"/>
        <v>0</v>
      </c>
      <c r="GY87" s="2"/>
      <c r="GZ87" s="2"/>
      <c r="HA87" s="2">
        <v>0</v>
      </c>
      <c r="HB87" s="2">
        <v>0</v>
      </c>
      <c r="HC87" s="2">
        <f t="shared" si="100"/>
        <v>0</v>
      </c>
      <c r="HD87" s="2"/>
      <c r="HE87" s="2" t="s">
        <v>146</v>
      </c>
      <c r="HF87" s="2" t="s">
        <v>39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3">
      <c r="A88">
        <v>18</v>
      </c>
      <c r="B88">
        <v>1</v>
      </c>
      <c r="E88" t="s">
        <v>141</v>
      </c>
      <c r="F88" t="s">
        <v>142</v>
      </c>
      <c r="G88" t="s">
        <v>143</v>
      </c>
      <c r="H88" t="s">
        <v>144</v>
      </c>
      <c r="I88">
        <f>I80*J88</f>
        <v>0.255</v>
      </c>
      <c r="J88">
        <v>0.1275</v>
      </c>
      <c r="K88">
        <v>0.1275</v>
      </c>
      <c r="O88">
        <f t="shared" si="69"/>
        <v>34801.410000000003</v>
      </c>
      <c r="P88">
        <f t="shared" si="70"/>
        <v>34801.410000000003</v>
      </c>
      <c r="Q88">
        <f t="shared" si="101"/>
        <v>0</v>
      </c>
      <c r="R88">
        <f t="shared" si="71"/>
        <v>0</v>
      </c>
      <c r="S88">
        <f t="shared" si="72"/>
        <v>0</v>
      </c>
      <c r="T88">
        <f t="shared" si="73"/>
        <v>0</v>
      </c>
      <c r="U88">
        <f t="shared" si="74"/>
        <v>0</v>
      </c>
      <c r="V88">
        <f t="shared" si="75"/>
        <v>0</v>
      </c>
      <c r="W88">
        <f t="shared" si="76"/>
        <v>0</v>
      </c>
      <c r="X88">
        <f t="shared" si="77"/>
        <v>0</v>
      </c>
      <c r="Y88">
        <f t="shared" si="78"/>
        <v>0</v>
      </c>
      <c r="AA88">
        <v>56503350</v>
      </c>
      <c r="AB88">
        <f t="shared" si="79"/>
        <v>13813.36</v>
      </c>
      <c r="AC88">
        <f t="shared" si="80"/>
        <v>13813.36</v>
      </c>
      <c r="AD88">
        <f t="shared" si="102"/>
        <v>0</v>
      </c>
      <c r="AE88">
        <f t="shared" si="103"/>
        <v>0</v>
      </c>
      <c r="AF88">
        <f t="shared" si="104"/>
        <v>0</v>
      </c>
      <c r="AG88">
        <f t="shared" si="81"/>
        <v>0</v>
      </c>
      <c r="AH88">
        <f t="shared" si="105"/>
        <v>0</v>
      </c>
      <c r="AI88">
        <f t="shared" si="106"/>
        <v>0</v>
      </c>
      <c r="AJ88">
        <f t="shared" si="82"/>
        <v>0</v>
      </c>
      <c r="AK88">
        <v>13813.36</v>
      </c>
      <c r="AL88">
        <v>13813.36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90</v>
      </c>
      <c r="AU88">
        <v>46</v>
      </c>
      <c r="AV88">
        <v>1</v>
      </c>
      <c r="AW88">
        <v>1</v>
      </c>
      <c r="AZ88">
        <v>1</v>
      </c>
      <c r="BA88">
        <v>1</v>
      </c>
      <c r="BB88">
        <v>1</v>
      </c>
      <c r="BC88">
        <v>9.8800000000000008</v>
      </c>
      <c r="BD88" t="s">
        <v>3</v>
      </c>
      <c r="BE88" t="s">
        <v>3</v>
      </c>
      <c r="BF88" t="s">
        <v>3</v>
      </c>
      <c r="BG88" t="s">
        <v>3</v>
      </c>
      <c r="BH88">
        <v>3</v>
      </c>
      <c r="BI88">
        <v>2</v>
      </c>
      <c r="BJ88" t="s">
        <v>3</v>
      </c>
      <c r="BM88">
        <v>68</v>
      </c>
      <c r="BN88">
        <v>0</v>
      </c>
      <c r="BO88" t="s">
        <v>3</v>
      </c>
      <c r="BP88">
        <v>0</v>
      </c>
      <c r="BQ88">
        <v>40</v>
      </c>
      <c r="BR88">
        <v>0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 t="s">
        <v>3</v>
      </c>
      <c r="BZ88">
        <v>90</v>
      </c>
      <c r="CA88">
        <v>46</v>
      </c>
      <c r="CB88" t="s">
        <v>3</v>
      </c>
      <c r="CE88">
        <v>30</v>
      </c>
      <c r="CF88">
        <v>0</v>
      </c>
      <c r="CG88">
        <v>0</v>
      </c>
      <c r="CM88">
        <v>0</v>
      </c>
      <c r="CN88" t="s">
        <v>3</v>
      </c>
      <c r="CO88">
        <v>0</v>
      </c>
      <c r="CP88">
        <f t="shared" si="83"/>
        <v>34801.410000000003</v>
      </c>
      <c r="CQ88">
        <f t="shared" si="84"/>
        <v>136476</v>
      </c>
      <c r="CR88">
        <f t="shared" si="107"/>
        <v>0</v>
      </c>
      <c r="CS88">
        <f t="shared" si="85"/>
        <v>0</v>
      </c>
      <c r="CT88">
        <f t="shared" si="86"/>
        <v>0</v>
      </c>
      <c r="CU88">
        <f t="shared" si="87"/>
        <v>0</v>
      </c>
      <c r="CV88">
        <f t="shared" si="88"/>
        <v>0</v>
      </c>
      <c r="CW88">
        <f t="shared" si="89"/>
        <v>0</v>
      </c>
      <c r="CX88">
        <f t="shared" si="90"/>
        <v>0</v>
      </c>
      <c r="CY88">
        <f t="shared" si="91"/>
        <v>0</v>
      </c>
      <c r="CZ88">
        <f t="shared" si="92"/>
        <v>0</v>
      </c>
      <c r="DC88" t="s">
        <v>3</v>
      </c>
      <c r="DD88" t="s">
        <v>3</v>
      </c>
      <c r="DE88" t="s">
        <v>3</v>
      </c>
      <c r="DF88" t="s">
        <v>3</v>
      </c>
      <c r="DG88" t="s">
        <v>3</v>
      </c>
      <c r="DH88" t="s">
        <v>3</v>
      </c>
      <c r="DI88" t="s">
        <v>3</v>
      </c>
      <c r="DJ88" t="s">
        <v>3</v>
      </c>
      <c r="DK88" t="s">
        <v>3</v>
      </c>
      <c r="DL88" t="s">
        <v>3</v>
      </c>
      <c r="DM88" t="s">
        <v>3</v>
      </c>
      <c r="DN88">
        <v>0</v>
      </c>
      <c r="DO88">
        <v>0</v>
      </c>
      <c r="DP88">
        <v>1</v>
      </c>
      <c r="DQ88">
        <v>1</v>
      </c>
      <c r="DU88">
        <v>1003</v>
      </c>
      <c r="DV88" t="s">
        <v>144</v>
      </c>
      <c r="DW88" t="s">
        <v>144</v>
      </c>
      <c r="DX88">
        <v>1000</v>
      </c>
      <c r="DZ88" t="s">
        <v>3</v>
      </c>
      <c r="EA88" t="s">
        <v>3</v>
      </c>
      <c r="EB88" t="s">
        <v>3</v>
      </c>
      <c r="EC88" t="s">
        <v>3</v>
      </c>
      <c r="EE88">
        <v>58162630</v>
      </c>
      <c r="EF88">
        <v>40</v>
      </c>
      <c r="EG88" t="s">
        <v>25</v>
      </c>
      <c r="EH88">
        <v>0</v>
      </c>
      <c r="EI88" t="s">
        <v>3</v>
      </c>
      <c r="EJ88">
        <v>2</v>
      </c>
      <c r="EK88">
        <v>68</v>
      </c>
      <c r="EL88" t="s">
        <v>126</v>
      </c>
      <c r="EM88" t="s">
        <v>127</v>
      </c>
      <c r="EO88" t="s">
        <v>3</v>
      </c>
      <c r="EQ88">
        <v>0</v>
      </c>
      <c r="ER88">
        <v>13813.36</v>
      </c>
      <c r="ES88">
        <v>13813.36</v>
      </c>
      <c r="ET88">
        <v>0</v>
      </c>
      <c r="EU88">
        <v>0</v>
      </c>
      <c r="EV88">
        <v>0</v>
      </c>
      <c r="EW88">
        <v>0</v>
      </c>
      <c r="EX88">
        <v>0</v>
      </c>
      <c r="EZ88">
        <v>5</v>
      </c>
      <c r="FC88">
        <v>1</v>
      </c>
      <c r="FD88">
        <v>18</v>
      </c>
      <c r="FF88">
        <v>160560</v>
      </c>
      <c r="FQ88">
        <v>0</v>
      </c>
      <c r="FR88">
        <v>0</v>
      </c>
      <c r="FS88">
        <v>0</v>
      </c>
      <c r="FX88">
        <v>90</v>
      </c>
      <c r="FY88">
        <v>46</v>
      </c>
      <c r="GA88" t="s">
        <v>145</v>
      </c>
      <c r="GD88">
        <v>1</v>
      </c>
      <c r="GF88">
        <v>-1070144849</v>
      </c>
      <c r="GG88">
        <v>2</v>
      </c>
      <c r="GH88">
        <v>3</v>
      </c>
      <c r="GI88">
        <v>5</v>
      </c>
      <c r="GJ88">
        <v>0</v>
      </c>
      <c r="GK88">
        <v>0</v>
      </c>
      <c r="GL88">
        <f t="shared" si="93"/>
        <v>0</v>
      </c>
      <c r="GM88">
        <f t="shared" si="94"/>
        <v>34801.410000000003</v>
      </c>
      <c r="GN88">
        <f t="shared" si="95"/>
        <v>0</v>
      </c>
      <c r="GO88">
        <f t="shared" si="96"/>
        <v>34801.410000000003</v>
      </c>
      <c r="GP88">
        <f t="shared" si="97"/>
        <v>0</v>
      </c>
      <c r="GR88">
        <v>1</v>
      </c>
      <c r="GS88">
        <v>1</v>
      </c>
      <c r="GT88">
        <v>0</v>
      </c>
      <c r="GU88" t="s">
        <v>3</v>
      </c>
      <c r="GV88">
        <f t="shared" si="98"/>
        <v>0</v>
      </c>
      <c r="GW88">
        <v>1</v>
      </c>
      <c r="GX88">
        <f t="shared" si="99"/>
        <v>0</v>
      </c>
      <c r="HA88">
        <v>0</v>
      </c>
      <c r="HB88">
        <v>0</v>
      </c>
      <c r="HC88">
        <f t="shared" si="100"/>
        <v>0</v>
      </c>
      <c r="HE88" t="s">
        <v>146</v>
      </c>
      <c r="HF88" t="s">
        <v>39</v>
      </c>
      <c r="HM88" t="s">
        <v>3</v>
      </c>
      <c r="HN88" t="s">
        <v>3</v>
      </c>
      <c r="HO88" t="s">
        <v>3</v>
      </c>
      <c r="HP88" t="s">
        <v>3</v>
      </c>
      <c r="HQ88" t="s">
        <v>3</v>
      </c>
      <c r="HS88">
        <v>0</v>
      </c>
      <c r="IK88">
        <v>0</v>
      </c>
    </row>
    <row r="89" spans="1:255" x14ac:dyDescent="0.3">
      <c r="A89" s="2">
        <v>18</v>
      </c>
      <c r="B89" s="2">
        <v>1</v>
      </c>
      <c r="C89" s="2"/>
      <c r="D89" s="2"/>
      <c r="E89" s="2" t="s">
        <v>147</v>
      </c>
      <c r="F89" s="2" t="s">
        <v>148</v>
      </c>
      <c r="G89" s="2" t="s">
        <v>149</v>
      </c>
      <c r="H89" s="2" t="s">
        <v>144</v>
      </c>
      <c r="I89" s="2">
        <f>I79*J89</f>
        <v>0.13769999999999999</v>
      </c>
      <c r="J89" s="2">
        <v>6.8849999999999995E-2</v>
      </c>
      <c r="K89" s="2">
        <v>6.8849999999999995E-2</v>
      </c>
      <c r="L89" s="2"/>
      <c r="M89" s="2"/>
      <c r="N89" s="2"/>
      <c r="O89" s="2">
        <f t="shared" si="69"/>
        <v>3068.05</v>
      </c>
      <c r="P89" s="2">
        <f t="shared" si="70"/>
        <v>3068.05</v>
      </c>
      <c r="Q89" s="2">
        <f t="shared" si="101"/>
        <v>0</v>
      </c>
      <c r="R89" s="2">
        <f t="shared" si="71"/>
        <v>0</v>
      </c>
      <c r="S89" s="2">
        <f t="shared" si="72"/>
        <v>0</v>
      </c>
      <c r="T89" s="2">
        <f t="shared" si="73"/>
        <v>0</v>
      </c>
      <c r="U89" s="2">
        <f t="shared" si="74"/>
        <v>0</v>
      </c>
      <c r="V89" s="2">
        <f t="shared" si="75"/>
        <v>0</v>
      </c>
      <c r="W89" s="2">
        <f t="shared" si="76"/>
        <v>0</v>
      </c>
      <c r="X89" s="2">
        <f t="shared" si="77"/>
        <v>0</v>
      </c>
      <c r="Y89" s="2">
        <f t="shared" si="78"/>
        <v>0</v>
      </c>
      <c r="Z89" s="2"/>
      <c r="AA89" s="2">
        <v>56503348</v>
      </c>
      <c r="AB89" s="2">
        <f t="shared" si="79"/>
        <v>22280.67</v>
      </c>
      <c r="AC89" s="2">
        <f t="shared" si="80"/>
        <v>22280.67</v>
      </c>
      <c r="AD89" s="2">
        <f t="shared" si="102"/>
        <v>0</v>
      </c>
      <c r="AE89" s="2">
        <f t="shared" si="103"/>
        <v>0</v>
      </c>
      <c r="AF89" s="2">
        <f t="shared" si="104"/>
        <v>0</v>
      </c>
      <c r="AG89" s="2">
        <f t="shared" si="81"/>
        <v>0</v>
      </c>
      <c r="AH89" s="2">
        <f t="shared" si="105"/>
        <v>0</v>
      </c>
      <c r="AI89" s="2">
        <f t="shared" si="106"/>
        <v>0</v>
      </c>
      <c r="AJ89" s="2">
        <f t="shared" si="82"/>
        <v>0</v>
      </c>
      <c r="AK89" s="2">
        <v>22280.670000000002</v>
      </c>
      <c r="AL89" s="2">
        <v>22280.670000000002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90</v>
      </c>
      <c r="AU89" s="2">
        <v>46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2</v>
      </c>
      <c r="BJ89" s="2" t="s">
        <v>3</v>
      </c>
      <c r="BK89" s="2"/>
      <c r="BL89" s="2"/>
      <c r="BM89" s="2">
        <v>68</v>
      </c>
      <c r="BN89" s="2">
        <v>0</v>
      </c>
      <c r="BO89" s="2" t="s">
        <v>3</v>
      </c>
      <c r="BP89" s="2">
        <v>0</v>
      </c>
      <c r="BQ89" s="2">
        <v>40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90</v>
      </c>
      <c r="CA89" s="2">
        <v>46</v>
      </c>
      <c r="CB89" s="2" t="s">
        <v>3</v>
      </c>
      <c r="CC89" s="2"/>
      <c r="CD89" s="2"/>
      <c r="CE89" s="2">
        <v>30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3</v>
      </c>
      <c r="CO89" s="2">
        <v>0</v>
      </c>
      <c r="CP89" s="2">
        <f t="shared" si="83"/>
        <v>3068.05</v>
      </c>
      <c r="CQ89" s="2">
        <f t="shared" si="84"/>
        <v>22280.67</v>
      </c>
      <c r="CR89" s="2">
        <f t="shared" si="107"/>
        <v>0</v>
      </c>
      <c r="CS89" s="2">
        <f t="shared" si="85"/>
        <v>0</v>
      </c>
      <c r="CT89" s="2">
        <f t="shared" si="86"/>
        <v>0</v>
      </c>
      <c r="CU89" s="2">
        <f t="shared" si="87"/>
        <v>0</v>
      </c>
      <c r="CV89" s="2">
        <f t="shared" si="88"/>
        <v>0</v>
      </c>
      <c r="CW89" s="2">
        <f t="shared" si="89"/>
        <v>0</v>
      </c>
      <c r="CX89" s="2">
        <f t="shared" si="90"/>
        <v>0</v>
      </c>
      <c r="CY89" s="2">
        <f t="shared" si="91"/>
        <v>0</v>
      </c>
      <c r="CZ89" s="2">
        <f t="shared" si="92"/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1003</v>
      </c>
      <c r="DV89" s="2" t="s">
        <v>144</v>
      </c>
      <c r="DW89" s="2" t="s">
        <v>144</v>
      </c>
      <c r="DX89" s="2">
        <v>1000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58162630</v>
      </c>
      <c r="EF89" s="2">
        <v>40</v>
      </c>
      <c r="EG89" s="2" t="s">
        <v>25</v>
      </c>
      <c r="EH89" s="2">
        <v>0</v>
      </c>
      <c r="EI89" s="2" t="s">
        <v>3</v>
      </c>
      <c r="EJ89" s="2">
        <v>2</v>
      </c>
      <c r="EK89" s="2">
        <v>68</v>
      </c>
      <c r="EL89" s="2" t="s">
        <v>126</v>
      </c>
      <c r="EM89" s="2" t="s">
        <v>127</v>
      </c>
      <c r="EN89" s="2"/>
      <c r="EO89" s="2" t="s">
        <v>3</v>
      </c>
      <c r="EP89" s="2"/>
      <c r="EQ89" s="2">
        <v>0</v>
      </c>
      <c r="ER89" s="2">
        <v>0</v>
      </c>
      <c r="ES89" s="2">
        <v>22280.670000000002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90</v>
      </c>
      <c r="FY89" s="2">
        <v>46</v>
      </c>
      <c r="FZ89" s="2"/>
      <c r="GA89" s="2" t="s">
        <v>150</v>
      </c>
      <c r="GB89" s="2"/>
      <c r="GC89" s="2"/>
      <c r="GD89" s="2">
        <v>1</v>
      </c>
      <c r="GE89" s="2"/>
      <c r="GF89" s="2">
        <v>585815009</v>
      </c>
      <c r="GG89" s="2">
        <v>2</v>
      </c>
      <c r="GH89" s="2">
        <v>4</v>
      </c>
      <c r="GI89" s="2">
        <v>-2</v>
      </c>
      <c r="GJ89" s="2">
        <v>0</v>
      </c>
      <c r="GK89" s="2">
        <v>0</v>
      </c>
      <c r="GL89" s="2">
        <f t="shared" si="93"/>
        <v>0</v>
      </c>
      <c r="GM89" s="2">
        <f t="shared" si="94"/>
        <v>3068.05</v>
      </c>
      <c r="GN89" s="2">
        <f t="shared" si="95"/>
        <v>0</v>
      </c>
      <c r="GO89" s="2">
        <f t="shared" si="96"/>
        <v>3068.05</v>
      </c>
      <c r="GP89" s="2">
        <f t="shared" si="97"/>
        <v>0</v>
      </c>
      <c r="GQ89" s="2"/>
      <c r="GR89" s="2">
        <v>0</v>
      </c>
      <c r="GS89" s="2">
        <v>2</v>
      </c>
      <c r="GT89" s="2">
        <v>0</v>
      </c>
      <c r="GU89" s="2" t="s">
        <v>3</v>
      </c>
      <c r="GV89" s="2">
        <f t="shared" si="98"/>
        <v>0</v>
      </c>
      <c r="GW89" s="2">
        <v>1</v>
      </c>
      <c r="GX89" s="2">
        <f t="shared" si="99"/>
        <v>0</v>
      </c>
      <c r="GY89" s="2"/>
      <c r="GZ89" s="2"/>
      <c r="HA89" s="2">
        <v>0</v>
      </c>
      <c r="HB89" s="2">
        <v>0</v>
      </c>
      <c r="HC89" s="2">
        <f t="shared" si="100"/>
        <v>0</v>
      </c>
      <c r="HD89" s="2"/>
      <c r="HE89" s="2" t="s">
        <v>146</v>
      </c>
      <c r="HF89" s="2" t="s">
        <v>39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3">
      <c r="A90">
        <v>18</v>
      </c>
      <c r="B90">
        <v>1</v>
      </c>
      <c r="E90" t="s">
        <v>147</v>
      </c>
      <c r="F90" t="s">
        <v>148</v>
      </c>
      <c r="G90" t="s">
        <v>149</v>
      </c>
      <c r="H90" t="s">
        <v>144</v>
      </c>
      <c r="I90">
        <f>I80*J90</f>
        <v>0.13769999999999999</v>
      </c>
      <c r="J90">
        <v>6.8849999999999995E-2</v>
      </c>
      <c r="K90">
        <v>6.8849999999999995E-2</v>
      </c>
      <c r="O90">
        <f t="shared" si="69"/>
        <v>30312.33</v>
      </c>
      <c r="P90">
        <f t="shared" si="70"/>
        <v>30312.33</v>
      </c>
      <c r="Q90">
        <f t="shared" si="101"/>
        <v>0</v>
      </c>
      <c r="R90">
        <f t="shared" si="71"/>
        <v>0</v>
      </c>
      <c r="S90">
        <f t="shared" si="72"/>
        <v>0</v>
      </c>
      <c r="T90">
        <f t="shared" si="73"/>
        <v>0</v>
      </c>
      <c r="U90">
        <f t="shared" si="74"/>
        <v>0</v>
      </c>
      <c r="V90">
        <f t="shared" si="75"/>
        <v>0</v>
      </c>
      <c r="W90">
        <f t="shared" si="76"/>
        <v>0</v>
      </c>
      <c r="X90">
        <f t="shared" si="77"/>
        <v>0</v>
      </c>
      <c r="Y90">
        <f t="shared" si="78"/>
        <v>0</v>
      </c>
      <c r="AA90">
        <v>56503350</v>
      </c>
      <c r="AB90">
        <f t="shared" si="79"/>
        <v>22280.67</v>
      </c>
      <c r="AC90">
        <f t="shared" si="80"/>
        <v>22280.67</v>
      </c>
      <c r="AD90">
        <f t="shared" si="102"/>
        <v>0</v>
      </c>
      <c r="AE90">
        <f t="shared" si="103"/>
        <v>0</v>
      </c>
      <c r="AF90">
        <f t="shared" si="104"/>
        <v>0</v>
      </c>
      <c r="AG90">
        <f t="shared" si="81"/>
        <v>0</v>
      </c>
      <c r="AH90">
        <f t="shared" si="105"/>
        <v>0</v>
      </c>
      <c r="AI90">
        <f t="shared" si="106"/>
        <v>0</v>
      </c>
      <c r="AJ90">
        <f t="shared" si="82"/>
        <v>0</v>
      </c>
      <c r="AK90">
        <v>22280.670000000002</v>
      </c>
      <c r="AL90">
        <v>22280.670000000002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90</v>
      </c>
      <c r="AU90">
        <v>46</v>
      </c>
      <c r="AV90">
        <v>1</v>
      </c>
      <c r="AW90">
        <v>1</v>
      </c>
      <c r="AZ90">
        <v>1</v>
      </c>
      <c r="BA90">
        <v>1</v>
      </c>
      <c r="BB90">
        <v>1</v>
      </c>
      <c r="BC90">
        <v>9.8800000000000008</v>
      </c>
      <c r="BD90" t="s">
        <v>3</v>
      </c>
      <c r="BE90" t="s">
        <v>3</v>
      </c>
      <c r="BF90" t="s">
        <v>3</v>
      </c>
      <c r="BG90" t="s">
        <v>3</v>
      </c>
      <c r="BH90">
        <v>3</v>
      </c>
      <c r="BI90">
        <v>2</v>
      </c>
      <c r="BJ90" t="s">
        <v>3</v>
      </c>
      <c r="BM90">
        <v>68</v>
      </c>
      <c r="BN90">
        <v>0</v>
      </c>
      <c r="BO90" t="s">
        <v>3</v>
      </c>
      <c r="BP90">
        <v>0</v>
      </c>
      <c r="BQ90">
        <v>40</v>
      </c>
      <c r="BR90">
        <v>0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 t="s">
        <v>3</v>
      </c>
      <c r="BZ90">
        <v>90</v>
      </c>
      <c r="CA90">
        <v>46</v>
      </c>
      <c r="CB90" t="s">
        <v>3</v>
      </c>
      <c r="CE90">
        <v>30</v>
      </c>
      <c r="CF90">
        <v>0</v>
      </c>
      <c r="CG90">
        <v>0</v>
      </c>
      <c r="CM90">
        <v>0</v>
      </c>
      <c r="CN90" t="s">
        <v>3</v>
      </c>
      <c r="CO90">
        <v>0</v>
      </c>
      <c r="CP90">
        <f t="shared" si="83"/>
        <v>30312.33</v>
      </c>
      <c r="CQ90">
        <f t="shared" si="84"/>
        <v>220133.02</v>
      </c>
      <c r="CR90">
        <f t="shared" si="107"/>
        <v>0</v>
      </c>
      <c r="CS90">
        <f t="shared" si="85"/>
        <v>0</v>
      </c>
      <c r="CT90">
        <f t="shared" si="86"/>
        <v>0</v>
      </c>
      <c r="CU90">
        <f t="shared" si="87"/>
        <v>0</v>
      </c>
      <c r="CV90">
        <f t="shared" si="88"/>
        <v>0</v>
      </c>
      <c r="CW90">
        <f t="shared" si="89"/>
        <v>0</v>
      </c>
      <c r="CX90">
        <f t="shared" si="90"/>
        <v>0</v>
      </c>
      <c r="CY90">
        <f t="shared" si="91"/>
        <v>0</v>
      </c>
      <c r="CZ90">
        <f t="shared" si="92"/>
        <v>0</v>
      </c>
      <c r="DC90" t="s">
        <v>3</v>
      </c>
      <c r="DD90" t="s">
        <v>3</v>
      </c>
      <c r="DE90" t="s">
        <v>3</v>
      </c>
      <c r="DF90" t="s">
        <v>3</v>
      </c>
      <c r="DG90" t="s">
        <v>3</v>
      </c>
      <c r="DH90" t="s">
        <v>3</v>
      </c>
      <c r="DI90" t="s">
        <v>3</v>
      </c>
      <c r="DJ90" t="s">
        <v>3</v>
      </c>
      <c r="DK90" t="s">
        <v>3</v>
      </c>
      <c r="DL90" t="s">
        <v>3</v>
      </c>
      <c r="DM90" t="s">
        <v>3</v>
      </c>
      <c r="DN90">
        <v>0</v>
      </c>
      <c r="DO90">
        <v>0</v>
      </c>
      <c r="DP90">
        <v>1</v>
      </c>
      <c r="DQ90">
        <v>1</v>
      </c>
      <c r="DU90">
        <v>1003</v>
      </c>
      <c r="DV90" t="s">
        <v>144</v>
      </c>
      <c r="DW90" t="s">
        <v>144</v>
      </c>
      <c r="DX90">
        <v>1000</v>
      </c>
      <c r="DZ90" t="s">
        <v>3</v>
      </c>
      <c r="EA90" t="s">
        <v>3</v>
      </c>
      <c r="EB90" t="s">
        <v>3</v>
      </c>
      <c r="EC90" t="s">
        <v>3</v>
      </c>
      <c r="EE90">
        <v>58162630</v>
      </c>
      <c r="EF90">
        <v>40</v>
      </c>
      <c r="EG90" t="s">
        <v>25</v>
      </c>
      <c r="EH90">
        <v>0</v>
      </c>
      <c r="EI90" t="s">
        <v>3</v>
      </c>
      <c r="EJ90">
        <v>2</v>
      </c>
      <c r="EK90">
        <v>68</v>
      </c>
      <c r="EL90" t="s">
        <v>126</v>
      </c>
      <c r="EM90" t="s">
        <v>127</v>
      </c>
      <c r="EO90" t="s">
        <v>3</v>
      </c>
      <c r="EQ90">
        <v>0</v>
      </c>
      <c r="ER90">
        <v>22280.670000000002</v>
      </c>
      <c r="ES90">
        <v>22280.670000000002</v>
      </c>
      <c r="ET90">
        <v>0</v>
      </c>
      <c r="EU90">
        <v>0</v>
      </c>
      <c r="EV90">
        <v>0</v>
      </c>
      <c r="EW90">
        <v>0</v>
      </c>
      <c r="EX90">
        <v>0</v>
      </c>
      <c r="EZ90">
        <v>5</v>
      </c>
      <c r="FC90">
        <v>1</v>
      </c>
      <c r="FD90">
        <v>18</v>
      </c>
      <c r="FF90">
        <v>258980</v>
      </c>
      <c r="FQ90">
        <v>0</v>
      </c>
      <c r="FR90">
        <v>0</v>
      </c>
      <c r="FS90">
        <v>0</v>
      </c>
      <c r="FX90">
        <v>90</v>
      </c>
      <c r="FY90">
        <v>46</v>
      </c>
      <c r="GA90" t="s">
        <v>150</v>
      </c>
      <c r="GD90">
        <v>1</v>
      </c>
      <c r="GF90">
        <v>585815009</v>
      </c>
      <c r="GG90">
        <v>2</v>
      </c>
      <c r="GH90">
        <v>3</v>
      </c>
      <c r="GI90">
        <v>5</v>
      </c>
      <c r="GJ90">
        <v>0</v>
      </c>
      <c r="GK90">
        <v>0</v>
      </c>
      <c r="GL90">
        <f t="shared" si="93"/>
        <v>0</v>
      </c>
      <c r="GM90">
        <f t="shared" si="94"/>
        <v>30312.33</v>
      </c>
      <c r="GN90">
        <f t="shared" si="95"/>
        <v>0</v>
      </c>
      <c r="GO90">
        <f t="shared" si="96"/>
        <v>30312.33</v>
      </c>
      <c r="GP90">
        <f t="shared" si="97"/>
        <v>0</v>
      </c>
      <c r="GR90">
        <v>1</v>
      </c>
      <c r="GS90">
        <v>1</v>
      </c>
      <c r="GT90">
        <v>0</v>
      </c>
      <c r="GU90" t="s">
        <v>3</v>
      </c>
      <c r="GV90">
        <f t="shared" si="98"/>
        <v>0</v>
      </c>
      <c r="GW90">
        <v>1</v>
      </c>
      <c r="GX90">
        <f t="shared" si="99"/>
        <v>0</v>
      </c>
      <c r="HA90">
        <v>0</v>
      </c>
      <c r="HB90">
        <v>0</v>
      </c>
      <c r="HC90">
        <f t="shared" si="100"/>
        <v>0</v>
      </c>
      <c r="HE90" t="s">
        <v>146</v>
      </c>
      <c r="HF90" t="s">
        <v>39</v>
      </c>
      <c r="HM90" t="s">
        <v>3</v>
      </c>
      <c r="HN90" t="s">
        <v>3</v>
      </c>
      <c r="HO90" t="s">
        <v>3</v>
      </c>
      <c r="HP90" t="s">
        <v>3</v>
      </c>
      <c r="HQ90" t="s">
        <v>3</v>
      </c>
      <c r="HS90">
        <v>0</v>
      </c>
      <c r="IK90">
        <v>0</v>
      </c>
    </row>
    <row r="91" spans="1:255" x14ac:dyDescent="0.3">
      <c r="A91" s="2">
        <v>18</v>
      </c>
      <c r="B91" s="2">
        <v>1</v>
      </c>
      <c r="C91" s="2"/>
      <c r="D91" s="2"/>
      <c r="E91" s="2" t="s">
        <v>151</v>
      </c>
      <c r="F91" s="2" t="s">
        <v>152</v>
      </c>
      <c r="G91" s="2" t="s">
        <v>153</v>
      </c>
      <c r="H91" s="2" t="s">
        <v>32</v>
      </c>
      <c r="I91" s="2">
        <f>I79*J91</f>
        <v>20</v>
      </c>
      <c r="J91" s="2">
        <v>10</v>
      </c>
      <c r="K91" s="2">
        <v>10</v>
      </c>
      <c r="L91" s="2"/>
      <c r="M91" s="2"/>
      <c r="N91" s="2"/>
      <c r="O91" s="2">
        <f t="shared" si="69"/>
        <v>613.79999999999995</v>
      </c>
      <c r="P91" s="2">
        <f t="shared" si="70"/>
        <v>613.79999999999995</v>
      </c>
      <c r="Q91" s="2">
        <f t="shared" si="101"/>
        <v>0</v>
      </c>
      <c r="R91" s="2">
        <f t="shared" si="71"/>
        <v>0</v>
      </c>
      <c r="S91" s="2">
        <f t="shared" si="72"/>
        <v>0</v>
      </c>
      <c r="T91" s="2">
        <f t="shared" si="73"/>
        <v>0</v>
      </c>
      <c r="U91" s="2">
        <f t="shared" si="74"/>
        <v>0</v>
      </c>
      <c r="V91" s="2">
        <f t="shared" si="75"/>
        <v>0</v>
      </c>
      <c r="W91" s="2">
        <f t="shared" si="76"/>
        <v>0</v>
      </c>
      <c r="X91" s="2">
        <f t="shared" si="77"/>
        <v>0</v>
      </c>
      <c r="Y91" s="2">
        <f t="shared" si="78"/>
        <v>0</v>
      </c>
      <c r="Z91" s="2"/>
      <c r="AA91" s="2">
        <v>56503348</v>
      </c>
      <c r="AB91" s="2">
        <f t="shared" si="79"/>
        <v>30.69</v>
      </c>
      <c r="AC91" s="2">
        <f t="shared" si="80"/>
        <v>30.69</v>
      </c>
      <c r="AD91" s="2">
        <f t="shared" si="102"/>
        <v>0</v>
      </c>
      <c r="AE91" s="2">
        <f t="shared" si="103"/>
        <v>0</v>
      </c>
      <c r="AF91" s="2">
        <f t="shared" si="104"/>
        <v>0</v>
      </c>
      <c r="AG91" s="2">
        <f t="shared" si="81"/>
        <v>0</v>
      </c>
      <c r="AH91" s="2">
        <f t="shared" si="105"/>
        <v>0</v>
      </c>
      <c r="AI91" s="2">
        <f t="shared" si="106"/>
        <v>0</v>
      </c>
      <c r="AJ91" s="2">
        <f t="shared" si="82"/>
        <v>0</v>
      </c>
      <c r="AK91" s="2">
        <v>30.69</v>
      </c>
      <c r="AL91" s="2">
        <v>30.69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90</v>
      </c>
      <c r="AU91" s="2">
        <v>46</v>
      </c>
      <c r="AV91" s="2">
        <v>1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3</v>
      </c>
      <c r="BI91" s="2">
        <v>2</v>
      </c>
      <c r="BJ91" s="2" t="s">
        <v>154</v>
      </c>
      <c r="BK91" s="2"/>
      <c r="BL91" s="2"/>
      <c r="BM91" s="2">
        <v>68</v>
      </c>
      <c r="BN91" s="2">
        <v>0</v>
      </c>
      <c r="BO91" s="2" t="s">
        <v>3</v>
      </c>
      <c r="BP91" s="2">
        <v>0</v>
      </c>
      <c r="BQ91" s="2">
        <v>40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90</v>
      </c>
      <c r="CA91" s="2">
        <v>46</v>
      </c>
      <c r="CB91" s="2" t="s">
        <v>3</v>
      </c>
      <c r="CC91" s="2"/>
      <c r="CD91" s="2"/>
      <c r="CE91" s="2">
        <v>30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3</v>
      </c>
      <c r="CO91" s="2">
        <v>0</v>
      </c>
      <c r="CP91" s="2">
        <f t="shared" si="83"/>
        <v>613.79999999999995</v>
      </c>
      <c r="CQ91" s="2">
        <f t="shared" si="84"/>
        <v>30.69</v>
      </c>
      <c r="CR91" s="2">
        <f t="shared" si="107"/>
        <v>0</v>
      </c>
      <c r="CS91" s="2">
        <f t="shared" si="85"/>
        <v>0</v>
      </c>
      <c r="CT91" s="2">
        <f t="shared" si="86"/>
        <v>0</v>
      </c>
      <c r="CU91" s="2">
        <f t="shared" si="87"/>
        <v>0</v>
      </c>
      <c r="CV91" s="2">
        <f t="shared" si="88"/>
        <v>0</v>
      </c>
      <c r="CW91" s="2">
        <f t="shared" si="89"/>
        <v>0</v>
      </c>
      <c r="CX91" s="2">
        <f t="shared" si="90"/>
        <v>0</v>
      </c>
      <c r="CY91" s="2">
        <f t="shared" si="91"/>
        <v>0</v>
      </c>
      <c r="CZ91" s="2">
        <f t="shared" si="92"/>
        <v>0</v>
      </c>
      <c r="DA91" s="2"/>
      <c r="DB91" s="2"/>
      <c r="DC91" s="2" t="s">
        <v>3</v>
      </c>
      <c r="DD91" s="2" t="s">
        <v>3</v>
      </c>
      <c r="DE91" s="2" t="s">
        <v>3</v>
      </c>
      <c r="DF91" s="2" t="s">
        <v>3</v>
      </c>
      <c r="DG91" s="2" t="s">
        <v>3</v>
      </c>
      <c r="DH91" s="2" t="s">
        <v>3</v>
      </c>
      <c r="DI91" s="2" t="s">
        <v>3</v>
      </c>
      <c r="DJ91" s="2" t="s">
        <v>3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1010</v>
      </c>
      <c r="DV91" s="2" t="s">
        <v>32</v>
      </c>
      <c r="DW91" s="2" t="s">
        <v>32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58162630</v>
      </c>
      <c r="EF91" s="2">
        <v>40</v>
      </c>
      <c r="EG91" s="2" t="s">
        <v>25</v>
      </c>
      <c r="EH91" s="2">
        <v>0</v>
      </c>
      <c r="EI91" s="2" t="s">
        <v>3</v>
      </c>
      <c r="EJ91" s="2">
        <v>2</v>
      </c>
      <c r="EK91" s="2">
        <v>68</v>
      </c>
      <c r="EL91" s="2" t="s">
        <v>126</v>
      </c>
      <c r="EM91" s="2" t="s">
        <v>127</v>
      </c>
      <c r="EN91" s="2"/>
      <c r="EO91" s="2" t="s">
        <v>3</v>
      </c>
      <c r="EP91" s="2"/>
      <c r="EQ91" s="2">
        <v>0</v>
      </c>
      <c r="ER91" s="2">
        <v>30.69</v>
      </c>
      <c r="ES91" s="2">
        <v>30.69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90</v>
      </c>
      <c r="FY91" s="2">
        <v>46</v>
      </c>
      <c r="FZ91" s="2"/>
      <c r="GA91" s="2" t="s">
        <v>3</v>
      </c>
      <c r="GB91" s="2"/>
      <c r="GC91" s="2"/>
      <c r="GD91" s="2">
        <v>1</v>
      </c>
      <c r="GE91" s="2"/>
      <c r="GF91" s="2">
        <v>-688640225</v>
      </c>
      <c r="GG91" s="2">
        <v>2</v>
      </c>
      <c r="GH91" s="2">
        <v>1</v>
      </c>
      <c r="GI91" s="2">
        <v>-2</v>
      </c>
      <c r="GJ91" s="2">
        <v>0</v>
      </c>
      <c r="GK91" s="2">
        <v>0</v>
      </c>
      <c r="GL91" s="2">
        <f t="shared" si="93"/>
        <v>0</v>
      </c>
      <c r="GM91" s="2">
        <f t="shared" si="94"/>
        <v>613.79999999999995</v>
      </c>
      <c r="GN91" s="2">
        <f t="shared" si="95"/>
        <v>0</v>
      </c>
      <c r="GO91" s="2">
        <f t="shared" si="96"/>
        <v>613.79999999999995</v>
      </c>
      <c r="GP91" s="2">
        <f t="shared" si="97"/>
        <v>0</v>
      </c>
      <c r="GQ91" s="2"/>
      <c r="GR91" s="2">
        <v>0</v>
      </c>
      <c r="GS91" s="2">
        <v>3</v>
      </c>
      <c r="GT91" s="2">
        <v>0</v>
      </c>
      <c r="GU91" s="2" t="s">
        <v>3</v>
      </c>
      <c r="GV91" s="2">
        <f t="shared" si="98"/>
        <v>0</v>
      </c>
      <c r="GW91" s="2">
        <v>1</v>
      </c>
      <c r="GX91" s="2">
        <f t="shared" si="99"/>
        <v>0</v>
      </c>
      <c r="GY91" s="2"/>
      <c r="GZ91" s="2"/>
      <c r="HA91" s="2">
        <v>0</v>
      </c>
      <c r="HB91" s="2">
        <v>0</v>
      </c>
      <c r="HC91" s="2">
        <f t="shared" si="100"/>
        <v>0</v>
      </c>
      <c r="HD91" s="2"/>
      <c r="HE91" s="2" t="s">
        <v>3</v>
      </c>
      <c r="HF91" s="2" t="s">
        <v>3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3">
      <c r="A92">
        <v>18</v>
      </c>
      <c r="B92">
        <v>1</v>
      </c>
      <c r="E92" t="s">
        <v>151</v>
      </c>
      <c r="F92" t="s">
        <v>152</v>
      </c>
      <c r="G92" t="s">
        <v>153</v>
      </c>
      <c r="H92" t="s">
        <v>32</v>
      </c>
      <c r="I92">
        <f>I80*J92</f>
        <v>20</v>
      </c>
      <c r="J92">
        <v>10</v>
      </c>
      <c r="K92">
        <v>10</v>
      </c>
      <c r="O92">
        <f t="shared" si="69"/>
        <v>3535.49</v>
      </c>
      <c r="P92">
        <f t="shared" si="70"/>
        <v>3535.49</v>
      </c>
      <c r="Q92">
        <f t="shared" si="101"/>
        <v>0</v>
      </c>
      <c r="R92">
        <f t="shared" si="71"/>
        <v>0</v>
      </c>
      <c r="S92">
        <f t="shared" si="72"/>
        <v>0</v>
      </c>
      <c r="T92">
        <f t="shared" si="73"/>
        <v>0</v>
      </c>
      <c r="U92">
        <f t="shared" si="74"/>
        <v>0</v>
      </c>
      <c r="V92">
        <f t="shared" si="75"/>
        <v>0</v>
      </c>
      <c r="W92">
        <f t="shared" si="76"/>
        <v>0</v>
      </c>
      <c r="X92">
        <f t="shared" si="77"/>
        <v>0</v>
      </c>
      <c r="Y92">
        <f t="shared" si="78"/>
        <v>0</v>
      </c>
      <c r="AA92">
        <v>56503350</v>
      </c>
      <c r="AB92">
        <f t="shared" si="79"/>
        <v>30.69</v>
      </c>
      <c r="AC92">
        <f t="shared" si="80"/>
        <v>30.69</v>
      </c>
      <c r="AD92">
        <f t="shared" si="102"/>
        <v>0</v>
      </c>
      <c r="AE92">
        <f t="shared" si="103"/>
        <v>0</v>
      </c>
      <c r="AF92">
        <f t="shared" si="104"/>
        <v>0</v>
      </c>
      <c r="AG92">
        <f t="shared" si="81"/>
        <v>0</v>
      </c>
      <c r="AH92">
        <f t="shared" si="105"/>
        <v>0</v>
      </c>
      <c r="AI92">
        <f t="shared" si="106"/>
        <v>0</v>
      </c>
      <c r="AJ92">
        <f t="shared" si="82"/>
        <v>0</v>
      </c>
      <c r="AK92">
        <v>30.69</v>
      </c>
      <c r="AL92">
        <v>30.69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90</v>
      </c>
      <c r="AU92">
        <v>46</v>
      </c>
      <c r="AV92">
        <v>1</v>
      </c>
      <c r="AW92">
        <v>1</v>
      </c>
      <c r="AZ92">
        <v>1</v>
      </c>
      <c r="BA92">
        <v>1</v>
      </c>
      <c r="BB92">
        <v>1</v>
      </c>
      <c r="BC92">
        <v>5.76</v>
      </c>
      <c r="BD92" t="s">
        <v>3</v>
      </c>
      <c r="BE92" t="s">
        <v>3</v>
      </c>
      <c r="BF92" t="s">
        <v>3</v>
      </c>
      <c r="BG92" t="s">
        <v>3</v>
      </c>
      <c r="BH92">
        <v>3</v>
      </c>
      <c r="BI92">
        <v>2</v>
      </c>
      <c r="BJ92" t="s">
        <v>154</v>
      </c>
      <c r="BM92">
        <v>68</v>
      </c>
      <c r="BN92">
        <v>0</v>
      </c>
      <c r="BO92" t="s">
        <v>152</v>
      </c>
      <c r="BP92">
        <v>1</v>
      </c>
      <c r="BQ92">
        <v>40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 t="s">
        <v>3</v>
      </c>
      <c r="BZ92">
        <v>90</v>
      </c>
      <c r="CA92">
        <v>46</v>
      </c>
      <c r="CB92" t="s">
        <v>3</v>
      </c>
      <c r="CE92">
        <v>30</v>
      </c>
      <c r="CF92">
        <v>0</v>
      </c>
      <c r="CG92">
        <v>0</v>
      </c>
      <c r="CM92">
        <v>0</v>
      </c>
      <c r="CN92" t="s">
        <v>3</v>
      </c>
      <c r="CO92">
        <v>0</v>
      </c>
      <c r="CP92">
        <f t="shared" si="83"/>
        <v>3535.49</v>
      </c>
      <c r="CQ92">
        <f t="shared" si="84"/>
        <v>176.77</v>
      </c>
      <c r="CR92">
        <f t="shared" si="107"/>
        <v>0</v>
      </c>
      <c r="CS92">
        <f t="shared" si="85"/>
        <v>0</v>
      </c>
      <c r="CT92">
        <f t="shared" si="86"/>
        <v>0</v>
      </c>
      <c r="CU92">
        <f t="shared" si="87"/>
        <v>0</v>
      </c>
      <c r="CV92">
        <f t="shared" si="88"/>
        <v>0</v>
      </c>
      <c r="CW92">
        <f t="shared" si="89"/>
        <v>0</v>
      </c>
      <c r="CX92">
        <f t="shared" si="90"/>
        <v>0</v>
      </c>
      <c r="CY92">
        <f t="shared" si="91"/>
        <v>0</v>
      </c>
      <c r="CZ92">
        <f t="shared" si="92"/>
        <v>0</v>
      </c>
      <c r="DC92" t="s">
        <v>3</v>
      </c>
      <c r="DD92" t="s">
        <v>3</v>
      </c>
      <c r="DE92" t="s">
        <v>3</v>
      </c>
      <c r="DF92" t="s">
        <v>3</v>
      </c>
      <c r="DG92" t="s">
        <v>3</v>
      </c>
      <c r="DH92" t="s">
        <v>3</v>
      </c>
      <c r="DI92" t="s">
        <v>3</v>
      </c>
      <c r="DJ92" t="s">
        <v>3</v>
      </c>
      <c r="DK92" t="s">
        <v>3</v>
      </c>
      <c r="DL92" t="s">
        <v>3</v>
      </c>
      <c r="DM92" t="s">
        <v>3</v>
      </c>
      <c r="DN92">
        <v>0</v>
      </c>
      <c r="DO92">
        <v>0</v>
      </c>
      <c r="DP92">
        <v>1</v>
      </c>
      <c r="DQ92">
        <v>1</v>
      </c>
      <c r="DU92">
        <v>1010</v>
      </c>
      <c r="DV92" t="s">
        <v>32</v>
      </c>
      <c r="DW92" t="s">
        <v>32</v>
      </c>
      <c r="DX92">
        <v>1</v>
      </c>
      <c r="DZ92" t="s">
        <v>3</v>
      </c>
      <c r="EA92" t="s">
        <v>3</v>
      </c>
      <c r="EB92" t="s">
        <v>3</v>
      </c>
      <c r="EC92" t="s">
        <v>3</v>
      </c>
      <c r="EE92">
        <v>58162630</v>
      </c>
      <c r="EF92">
        <v>40</v>
      </c>
      <c r="EG92" t="s">
        <v>25</v>
      </c>
      <c r="EH92">
        <v>0</v>
      </c>
      <c r="EI92" t="s">
        <v>3</v>
      </c>
      <c r="EJ92">
        <v>2</v>
      </c>
      <c r="EK92">
        <v>68</v>
      </c>
      <c r="EL92" t="s">
        <v>126</v>
      </c>
      <c r="EM92" t="s">
        <v>127</v>
      </c>
      <c r="EO92" t="s">
        <v>3</v>
      </c>
      <c r="EQ92">
        <v>0</v>
      </c>
      <c r="ER92">
        <v>30.69</v>
      </c>
      <c r="ES92">
        <v>30.69</v>
      </c>
      <c r="ET92">
        <v>0</v>
      </c>
      <c r="EU92">
        <v>0</v>
      </c>
      <c r="EV92">
        <v>0</v>
      </c>
      <c r="EW92">
        <v>0</v>
      </c>
      <c r="EX92">
        <v>0</v>
      </c>
      <c r="FQ92">
        <v>0</v>
      </c>
      <c r="FR92">
        <v>0</v>
      </c>
      <c r="FS92">
        <v>0</v>
      </c>
      <c r="FX92">
        <v>90</v>
      </c>
      <c r="FY92">
        <v>46</v>
      </c>
      <c r="GA92" t="s">
        <v>3</v>
      </c>
      <c r="GD92">
        <v>1</v>
      </c>
      <c r="GF92">
        <v>-688640225</v>
      </c>
      <c r="GG92">
        <v>2</v>
      </c>
      <c r="GH92">
        <v>1</v>
      </c>
      <c r="GI92">
        <v>2</v>
      </c>
      <c r="GJ92">
        <v>0</v>
      </c>
      <c r="GK92">
        <v>0</v>
      </c>
      <c r="GL92">
        <f t="shared" si="93"/>
        <v>0</v>
      </c>
      <c r="GM92">
        <f t="shared" si="94"/>
        <v>3535.49</v>
      </c>
      <c r="GN92">
        <f t="shared" si="95"/>
        <v>0</v>
      </c>
      <c r="GO92">
        <f t="shared" si="96"/>
        <v>3535.49</v>
      </c>
      <c r="GP92">
        <f t="shared" si="97"/>
        <v>0</v>
      </c>
      <c r="GR92">
        <v>0</v>
      </c>
      <c r="GS92">
        <v>3</v>
      </c>
      <c r="GT92">
        <v>0</v>
      </c>
      <c r="GU92" t="s">
        <v>3</v>
      </c>
      <c r="GV92">
        <f t="shared" si="98"/>
        <v>0</v>
      </c>
      <c r="GW92">
        <v>1</v>
      </c>
      <c r="GX92">
        <f t="shared" si="99"/>
        <v>0</v>
      </c>
      <c r="HA92">
        <v>0</v>
      </c>
      <c r="HB92">
        <v>0</v>
      </c>
      <c r="HC92">
        <f t="shared" si="100"/>
        <v>0</v>
      </c>
      <c r="HE92" t="s">
        <v>3</v>
      </c>
      <c r="HF92" t="s">
        <v>3</v>
      </c>
      <c r="HM92" t="s">
        <v>3</v>
      </c>
      <c r="HN92" t="s">
        <v>3</v>
      </c>
      <c r="HO92" t="s">
        <v>3</v>
      </c>
      <c r="HP92" t="s">
        <v>3</v>
      </c>
      <c r="HQ92" t="s">
        <v>3</v>
      </c>
      <c r="HS92">
        <v>0</v>
      </c>
      <c r="IK92">
        <v>0</v>
      </c>
    </row>
    <row r="93" spans="1:255" x14ac:dyDescent="0.3">
      <c r="A93" s="2">
        <v>18</v>
      </c>
      <c r="B93" s="2">
        <v>1</v>
      </c>
      <c r="C93" s="2"/>
      <c r="D93" s="2"/>
      <c r="E93" s="2" t="s">
        <v>155</v>
      </c>
      <c r="F93" s="2" t="s">
        <v>156</v>
      </c>
      <c r="G93" s="2" t="s">
        <v>157</v>
      </c>
      <c r="H93" s="2" t="s">
        <v>32</v>
      </c>
      <c r="I93" s="2">
        <f>I79*J93</f>
        <v>15</v>
      </c>
      <c r="J93" s="2">
        <v>7.5</v>
      </c>
      <c r="K93" s="2">
        <v>7.5</v>
      </c>
      <c r="L93" s="2"/>
      <c r="M93" s="2"/>
      <c r="N93" s="2"/>
      <c r="O93" s="2">
        <f t="shared" si="69"/>
        <v>136.80000000000001</v>
      </c>
      <c r="P93" s="2">
        <f t="shared" si="70"/>
        <v>136.80000000000001</v>
      </c>
      <c r="Q93" s="2">
        <f t="shared" si="101"/>
        <v>0</v>
      </c>
      <c r="R93" s="2">
        <f t="shared" si="71"/>
        <v>0</v>
      </c>
      <c r="S93" s="2">
        <f t="shared" si="72"/>
        <v>0</v>
      </c>
      <c r="T93" s="2">
        <f t="shared" si="73"/>
        <v>0</v>
      </c>
      <c r="U93" s="2">
        <f t="shared" si="74"/>
        <v>0</v>
      </c>
      <c r="V93" s="2">
        <f t="shared" si="75"/>
        <v>0</v>
      </c>
      <c r="W93" s="2">
        <f t="shared" si="76"/>
        <v>0</v>
      </c>
      <c r="X93" s="2">
        <f t="shared" si="77"/>
        <v>0</v>
      </c>
      <c r="Y93" s="2">
        <f t="shared" si="78"/>
        <v>0</v>
      </c>
      <c r="Z93" s="2"/>
      <c r="AA93" s="2">
        <v>56503348</v>
      </c>
      <c r="AB93" s="2">
        <f t="shared" si="79"/>
        <v>9.1199999999999992</v>
      </c>
      <c r="AC93" s="2">
        <f t="shared" si="80"/>
        <v>9.1199999999999992</v>
      </c>
      <c r="AD93" s="2">
        <f t="shared" si="102"/>
        <v>0</v>
      </c>
      <c r="AE93" s="2">
        <f t="shared" si="103"/>
        <v>0</v>
      </c>
      <c r="AF93" s="2">
        <f t="shared" si="104"/>
        <v>0</v>
      </c>
      <c r="AG93" s="2">
        <f t="shared" si="81"/>
        <v>0</v>
      </c>
      <c r="AH93" s="2">
        <f t="shared" si="105"/>
        <v>0</v>
      </c>
      <c r="AI93" s="2">
        <f t="shared" si="106"/>
        <v>0</v>
      </c>
      <c r="AJ93" s="2">
        <f t="shared" si="82"/>
        <v>0</v>
      </c>
      <c r="AK93" s="2">
        <v>9.1199999999999992</v>
      </c>
      <c r="AL93" s="2">
        <v>9.1199999999999992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90</v>
      </c>
      <c r="AU93" s="2">
        <v>46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2</v>
      </c>
      <c r="BJ93" s="2" t="s">
        <v>158</v>
      </c>
      <c r="BK93" s="2"/>
      <c r="BL93" s="2"/>
      <c r="BM93" s="2">
        <v>68</v>
      </c>
      <c r="BN93" s="2">
        <v>0</v>
      </c>
      <c r="BO93" s="2" t="s">
        <v>3</v>
      </c>
      <c r="BP93" s="2">
        <v>0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90</v>
      </c>
      <c r="CA93" s="2">
        <v>46</v>
      </c>
      <c r="CB93" s="2" t="s">
        <v>3</v>
      </c>
      <c r="CC93" s="2"/>
      <c r="CD93" s="2"/>
      <c r="CE93" s="2">
        <v>30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3</v>
      </c>
      <c r="CO93" s="2">
        <v>0</v>
      </c>
      <c r="CP93" s="2">
        <f t="shared" si="83"/>
        <v>136.80000000000001</v>
      </c>
      <c r="CQ93" s="2">
        <f t="shared" si="84"/>
        <v>9.1199999999999992</v>
      </c>
      <c r="CR93" s="2">
        <f t="shared" si="107"/>
        <v>0</v>
      </c>
      <c r="CS93" s="2">
        <f t="shared" si="85"/>
        <v>0</v>
      </c>
      <c r="CT93" s="2">
        <f t="shared" si="86"/>
        <v>0</v>
      </c>
      <c r="CU93" s="2">
        <f t="shared" si="87"/>
        <v>0</v>
      </c>
      <c r="CV93" s="2">
        <f t="shared" si="88"/>
        <v>0</v>
      </c>
      <c r="CW93" s="2">
        <f t="shared" si="89"/>
        <v>0</v>
      </c>
      <c r="CX93" s="2">
        <f t="shared" si="90"/>
        <v>0</v>
      </c>
      <c r="CY93" s="2">
        <f t="shared" si="91"/>
        <v>0</v>
      </c>
      <c r="CZ93" s="2">
        <f t="shared" si="92"/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1010</v>
      </c>
      <c r="DV93" s="2" t="s">
        <v>32</v>
      </c>
      <c r="DW93" s="2" t="s">
        <v>32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58162630</v>
      </c>
      <c r="EF93" s="2">
        <v>40</v>
      </c>
      <c r="EG93" s="2" t="s">
        <v>25</v>
      </c>
      <c r="EH93" s="2">
        <v>0</v>
      </c>
      <c r="EI93" s="2" t="s">
        <v>3</v>
      </c>
      <c r="EJ93" s="2">
        <v>2</v>
      </c>
      <c r="EK93" s="2">
        <v>68</v>
      </c>
      <c r="EL93" s="2" t="s">
        <v>126</v>
      </c>
      <c r="EM93" s="2" t="s">
        <v>127</v>
      </c>
      <c r="EN93" s="2"/>
      <c r="EO93" s="2" t="s">
        <v>3</v>
      </c>
      <c r="EP93" s="2"/>
      <c r="EQ93" s="2">
        <v>0</v>
      </c>
      <c r="ER93" s="2">
        <v>9.1199999999999992</v>
      </c>
      <c r="ES93" s="2">
        <v>9.1199999999999992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90</v>
      </c>
      <c r="FY93" s="2">
        <v>46</v>
      </c>
      <c r="FZ93" s="2"/>
      <c r="GA93" s="2" t="s">
        <v>3</v>
      </c>
      <c r="GB93" s="2"/>
      <c r="GC93" s="2"/>
      <c r="GD93" s="2">
        <v>1</v>
      </c>
      <c r="GE93" s="2"/>
      <c r="GF93" s="2">
        <v>-664968350</v>
      </c>
      <c r="GG93" s="2">
        <v>2</v>
      </c>
      <c r="GH93" s="2">
        <v>1</v>
      </c>
      <c r="GI93" s="2">
        <v>-2</v>
      </c>
      <c r="GJ93" s="2">
        <v>0</v>
      </c>
      <c r="GK93" s="2">
        <v>0</v>
      </c>
      <c r="GL93" s="2">
        <f t="shared" si="93"/>
        <v>0</v>
      </c>
      <c r="GM93" s="2">
        <f t="shared" si="94"/>
        <v>136.80000000000001</v>
      </c>
      <c r="GN93" s="2">
        <f t="shared" si="95"/>
        <v>0</v>
      </c>
      <c r="GO93" s="2">
        <f t="shared" si="96"/>
        <v>136.80000000000001</v>
      </c>
      <c r="GP93" s="2">
        <f t="shared" si="97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98"/>
        <v>0</v>
      </c>
      <c r="GW93" s="2">
        <v>1</v>
      </c>
      <c r="GX93" s="2">
        <f t="shared" si="99"/>
        <v>0</v>
      </c>
      <c r="GY93" s="2"/>
      <c r="GZ93" s="2"/>
      <c r="HA93" s="2">
        <v>0</v>
      </c>
      <c r="HB93" s="2">
        <v>0</v>
      </c>
      <c r="HC93" s="2">
        <f t="shared" si="100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3">
      <c r="A94">
        <v>18</v>
      </c>
      <c r="B94">
        <v>1</v>
      </c>
      <c r="E94" t="s">
        <v>155</v>
      </c>
      <c r="F94" t="s">
        <v>156</v>
      </c>
      <c r="G94" t="s">
        <v>157</v>
      </c>
      <c r="H94" t="s">
        <v>32</v>
      </c>
      <c r="I94">
        <f>I80*J94</f>
        <v>15</v>
      </c>
      <c r="J94">
        <v>7.5</v>
      </c>
      <c r="K94">
        <v>7.5</v>
      </c>
      <c r="O94">
        <f t="shared" si="69"/>
        <v>366.62</v>
      </c>
      <c r="P94">
        <f t="shared" si="70"/>
        <v>366.62</v>
      </c>
      <c r="Q94">
        <f t="shared" si="101"/>
        <v>0</v>
      </c>
      <c r="R94">
        <f t="shared" si="71"/>
        <v>0</v>
      </c>
      <c r="S94">
        <f t="shared" si="72"/>
        <v>0</v>
      </c>
      <c r="T94">
        <f t="shared" si="73"/>
        <v>0</v>
      </c>
      <c r="U94">
        <f t="shared" si="74"/>
        <v>0</v>
      </c>
      <c r="V94">
        <f t="shared" si="75"/>
        <v>0</v>
      </c>
      <c r="W94">
        <f t="shared" si="76"/>
        <v>0</v>
      </c>
      <c r="X94">
        <f t="shared" si="77"/>
        <v>0</v>
      </c>
      <c r="Y94">
        <f t="shared" si="78"/>
        <v>0</v>
      </c>
      <c r="AA94">
        <v>56503350</v>
      </c>
      <c r="AB94">
        <f t="shared" si="79"/>
        <v>9.1199999999999992</v>
      </c>
      <c r="AC94">
        <f t="shared" si="80"/>
        <v>9.1199999999999992</v>
      </c>
      <c r="AD94">
        <f t="shared" si="102"/>
        <v>0</v>
      </c>
      <c r="AE94">
        <f t="shared" si="103"/>
        <v>0</v>
      </c>
      <c r="AF94">
        <f t="shared" si="104"/>
        <v>0</v>
      </c>
      <c r="AG94">
        <f t="shared" si="81"/>
        <v>0</v>
      </c>
      <c r="AH94">
        <f t="shared" si="105"/>
        <v>0</v>
      </c>
      <c r="AI94">
        <f t="shared" si="106"/>
        <v>0</v>
      </c>
      <c r="AJ94">
        <f t="shared" si="82"/>
        <v>0</v>
      </c>
      <c r="AK94">
        <v>9.1199999999999992</v>
      </c>
      <c r="AL94">
        <v>9.1199999999999992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90</v>
      </c>
      <c r="AU94">
        <v>46</v>
      </c>
      <c r="AV94">
        <v>1</v>
      </c>
      <c r="AW94">
        <v>1</v>
      </c>
      <c r="AZ94">
        <v>1</v>
      </c>
      <c r="BA94">
        <v>1</v>
      </c>
      <c r="BB94">
        <v>1</v>
      </c>
      <c r="BC94">
        <v>2.68</v>
      </c>
      <c r="BD94" t="s">
        <v>3</v>
      </c>
      <c r="BE94" t="s">
        <v>3</v>
      </c>
      <c r="BF94" t="s">
        <v>3</v>
      </c>
      <c r="BG94" t="s">
        <v>3</v>
      </c>
      <c r="BH94">
        <v>3</v>
      </c>
      <c r="BI94">
        <v>2</v>
      </c>
      <c r="BJ94" t="s">
        <v>158</v>
      </c>
      <c r="BM94">
        <v>68</v>
      </c>
      <c r="BN94">
        <v>0</v>
      </c>
      <c r="BO94" t="s">
        <v>156</v>
      </c>
      <c r="BP94">
        <v>1</v>
      </c>
      <c r="BQ94">
        <v>40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 t="s">
        <v>3</v>
      </c>
      <c r="BZ94">
        <v>90</v>
      </c>
      <c r="CA94">
        <v>46</v>
      </c>
      <c r="CB94" t="s">
        <v>3</v>
      </c>
      <c r="CE94">
        <v>30</v>
      </c>
      <c r="CF94">
        <v>0</v>
      </c>
      <c r="CG94">
        <v>0</v>
      </c>
      <c r="CM94">
        <v>0</v>
      </c>
      <c r="CN94" t="s">
        <v>3</v>
      </c>
      <c r="CO94">
        <v>0</v>
      </c>
      <c r="CP94">
        <f t="shared" si="83"/>
        <v>366.62</v>
      </c>
      <c r="CQ94">
        <f t="shared" si="84"/>
        <v>24.44</v>
      </c>
      <c r="CR94">
        <f t="shared" si="107"/>
        <v>0</v>
      </c>
      <c r="CS94">
        <f t="shared" si="85"/>
        <v>0</v>
      </c>
      <c r="CT94">
        <f t="shared" si="86"/>
        <v>0</v>
      </c>
      <c r="CU94">
        <f t="shared" si="87"/>
        <v>0</v>
      </c>
      <c r="CV94">
        <f t="shared" si="88"/>
        <v>0</v>
      </c>
      <c r="CW94">
        <f t="shared" si="89"/>
        <v>0</v>
      </c>
      <c r="CX94">
        <f t="shared" si="90"/>
        <v>0</v>
      </c>
      <c r="CY94">
        <f t="shared" si="91"/>
        <v>0</v>
      </c>
      <c r="CZ94">
        <f t="shared" si="92"/>
        <v>0</v>
      </c>
      <c r="DC94" t="s">
        <v>3</v>
      </c>
      <c r="DD94" t="s">
        <v>3</v>
      </c>
      <c r="DE94" t="s">
        <v>3</v>
      </c>
      <c r="DF94" t="s">
        <v>3</v>
      </c>
      <c r="DG94" t="s">
        <v>3</v>
      </c>
      <c r="DH94" t="s">
        <v>3</v>
      </c>
      <c r="DI94" t="s">
        <v>3</v>
      </c>
      <c r="DJ94" t="s">
        <v>3</v>
      </c>
      <c r="DK94" t="s">
        <v>3</v>
      </c>
      <c r="DL94" t="s">
        <v>3</v>
      </c>
      <c r="DM94" t="s">
        <v>3</v>
      </c>
      <c r="DN94">
        <v>0</v>
      </c>
      <c r="DO94">
        <v>0</v>
      </c>
      <c r="DP94">
        <v>1</v>
      </c>
      <c r="DQ94">
        <v>1</v>
      </c>
      <c r="DU94">
        <v>1010</v>
      </c>
      <c r="DV94" t="s">
        <v>32</v>
      </c>
      <c r="DW94" t="s">
        <v>32</v>
      </c>
      <c r="DX94">
        <v>1</v>
      </c>
      <c r="DZ94" t="s">
        <v>3</v>
      </c>
      <c r="EA94" t="s">
        <v>3</v>
      </c>
      <c r="EB94" t="s">
        <v>3</v>
      </c>
      <c r="EC94" t="s">
        <v>3</v>
      </c>
      <c r="EE94">
        <v>58162630</v>
      </c>
      <c r="EF94">
        <v>40</v>
      </c>
      <c r="EG94" t="s">
        <v>25</v>
      </c>
      <c r="EH94">
        <v>0</v>
      </c>
      <c r="EI94" t="s">
        <v>3</v>
      </c>
      <c r="EJ94">
        <v>2</v>
      </c>
      <c r="EK94">
        <v>68</v>
      </c>
      <c r="EL94" t="s">
        <v>126</v>
      </c>
      <c r="EM94" t="s">
        <v>127</v>
      </c>
      <c r="EO94" t="s">
        <v>3</v>
      </c>
      <c r="EQ94">
        <v>0</v>
      </c>
      <c r="ER94">
        <v>9.1199999999999992</v>
      </c>
      <c r="ES94">
        <v>9.1199999999999992</v>
      </c>
      <c r="ET94">
        <v>0</v>
      </c>
      <c r="EU94">
        <v>0</v>
      </c>
      <c r="EV94">
        <v>0</v>
      </c>
      <c r="EW94">
        <v>0</v>
      </c>
      <c r="EX94">
        <v>0</v>
      </c>
      <c r="FQ94">
        <v>0</v>
      </c>
      <c r="FR94">
        <v>0</v>
      </c>
      <c r="FS94">
        <v>0</v>
      </c>
      <c r="FX94">
        <v>90</v>
      </c>
      <c r="FY94">
        <v>46</v>
      </c>
      <c r="GA94" t="s">
        <v>3</v>
      </c>
      <c r="GD94">
        <v>1</v>
      </c>
      <c r="GF94">
        <v>-664968350</v>
      </c>
      <c r="GG94">
        <v>2</v>
      </c>
      <c r="GH94">
        <v>1</v>
      </c>
      <c r="GI94">
        <v>2</v>
      </c>
      <c r="GJ94">
        <v>0</v>
      </c>
      <c r="GK94">
        <v>0</v>
      </c>
      <c r="GL94">
        <f t="shared" si="93"/>
        <v>0</v>
      </c>
      <c r="GM94">
        <f t="shared" si="94"/>
        <v>366.62</v>
      </c>
      <c r="GN94">
        <f t="shared" si="95"/>
        <v>0</v>
      </c>
      <c r="GO94">
        <f t="shared" si="96"/>
        <v>366.62</v>
      </c>
      <c r="GP94">
        <f t="shared" si="97"/>
        <v>0</v>
      </c>
      <c r="GR94">
        <v>0</v>
      </c>
      <c r="GS94">
        <v>3</v>
      </c>
      <c r="GT94">
        <v>0</v>
      </c>
      <c r="GU94" t="s">
        <v>3</v>
      </c>
      <c r="GV94">
        <f t="shared" si="98"/>
        <v>0</v>
      </c>
      <c r="GW94">
        <v>1</v>
      </c>
      <c r="GX94">
        <f t="shared" si="99"/>
        <v>0</v>
      </c>
      <c r="HA94">
        <v>0</v>
      </c>
      <c r="HB94">
        <v>0</v>
      </c>
      <c r="HC94">
        <f t="shared" si="100"/>
        <v>0</v>
      </c>
      <c r="HE94" t="s">
        <v>3</v>
      </c>
      <c r="HF94" t="s">
        <v>3</v>
      </c>
      <c r="HM94" t="s">
        <v>3</v>
      </c>
      <c r="HN94" t="s">
        <v>3</v>
      </c>
      <c r="HO94" t="s">
        <v>3</v>
      </c>
      <c r="HP94" t="s">
        <v>3</v>
      </c>
      <c r="HQ94" t="s">
        <v>3</v>
      </c>
      <c r="HS94">
        <v>0</v>
      </c>
      <c r="IK94">
        <v>0</v>
      </c>
    </row>
    <row r="95" spans="1:255" x14ac:dyDescent="0.3">
      <c r="A95" s="2">
        <v>17</v>
      </c>
      <c r="B95" s="2">
        <v>1</v>
      </c>
      <c r="C95" s="2"/>
      <c r="D95" s="2">
        <f>ROW(EtalonRes!A52)</f>
        <v>52</v>
      </c>
      <c r="E95" s="2" t="s">
        <v>3</v>
      </c>
      <c r="F95" s="2" t="s">
        <v>159</v>
      </c>
      <c r="G95" s="2" t="s">
        <v>160</v>
      </c>
      <c r="H95" s="2" t="s">
        <v>124</v>
      </c>
      <c r="I95" s="2">
        <f>ROUND(200/100,9)</f>
        <v>2</v>
      </c>
      <c r="J95" s="2">
        <v>0</v>
      </c>
      <c r="K95" s="2">
        <f>ROUND(200/100,9)</f>
        <v>2</v>
      </c>
      <c r="L95" s="2"/>
      <c r="M95" s="2"/>
      <c r="N95" s="2"/>
      <c r="O95" s="2">
        <f t="shared" si="69"/>
        <v>288.77</v>
      </c>
      <c r="P95" s="2">
        <f t="shared" si="70"/>
        <v>123.96</v>
      </c>
      <c r="Q95" s="2">
        <f>(ROUND((ROUND((((ET95*1.1))*AV95*I95),2)*BB95),2)+ROUND((ROUND(((AE95-((EU95*1.1)))*AV95*I95),2)*BS95),2))</f>
        <v>12.09</v>
      </c>
      <c r="R95" s="2">
        <f t="shared" si="71"/>
        <v>1.36</v>
      </c>
      <c r="S95" s="2">
        <f t="shared" si="72"/>
        <v>152.72</v>
      </c>
      <c r="T95" s="2">
        <f t="shared" si="73"/>
        <v>0</v>
      </c>
      <c r="U95" s="2">
        <f t="shared" si="74"/>
        <v>12.415326</v>
      </c>
      <c r="V95" s="2">
        <f t="shared" si="75"/>
        <v>0</v>
      </c>
      <c r="W95" s="2">
        <f t="shared" si="76"/>
        <v>0</v>
      </c>
      <c r="X95" s="2">
        <f t="shared" si="77"/>
        <v>149.46</v>
      </c>
      <c r="Y95" s="2">
        <f t="shared" si="78"/>
        <v>78.58</v>
      </c>
      <c r="Z95" s="2"/>
      <c r="AA95" s="2">
        <v>-1</v>
      </c>
      <c r="AB95" s="2">
        <f t="shared" si="79"/>
        <v>140.685</v>
      </c>
      <c r="AC95" s="2">
        <f t="shared" si="80"/>
        <v>61.98</v>
      </c>
      <c r="AD95" s="2">
        <f>ROUND(((((ET95*1.1))-((EU95*1.1)))+AE95),6)</f>
        <v>5.7750000000000004</v>
      </c>
      <c r="AE95" s="2">
        <f>ROUND(((EU95*1.1)),6)</f>
        <v>0.64900000000000002</v>
      </c>
      <c r="AF95" s="2">
        <f>ROUND(((EV95*1.1)),6)</f>
        <v>72.930000000000007</v>
      </c>
      <c r="AG95" s="2">
        <f t="shared" si="81"/>
        <v>0</v>
      </c>
      <c r="AH95" s="2">
        <f>((EW95*1.1))</f>
        <v>5.9290000000000003</v>
      </c>
      <c r="AI95" s="2">
        <f>((EX95*1.1))</f>
        <v>0</v>
      </c>
      <c r="AJ95" s="2">
        <f t="shared" si="82"/>
        <v>0</v>
      </c>
      <c r="AK95" s="2">
        <v>133.53</v>
      </c>
      <c r="AL95" s="2">
        <v>61.98</v>
      </c>
      <c r="AM95" s="2">
        <v>5.25</v>
      </c>
      <c r="AN95" s="2">
        <v>0.59</v>
      </c>
      <c r="AO95" s="2">
        <v>66.3</v>
      </c>
      <c r="AP95" s="2">
        <v>0</v>
      </c>
      <c r="AQ95" s="2">
        <v>5.39</v>
      </c>
      <c r="AR95" s="2">
        <v>0</v>
      </c>
      <c r="AS95" s="2">
        <v>0</v>
      </c>
      <c r="AT95" s="2">
        <v>97</v>
      </c>
      <c r="AU95" s="2">
        <v>51</v>
      </c>
      <c r="AV95" s="2">
        <v>1.0469999999999999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0</v>
      </c>
      <c r="BI95" s="2">
        <v>2</v>
      </c>
      <c r="BJ95" s="2" t="s">
        <v>161</v>
      </c>
      <c r="BK95" s="2"/>
      <c r="BL95" s="2"/>
      <c r="BM95" s="2">
        <v>67</v>
      </c>
      <c r="BN95" s="2">
        <v>0</v>
      </c>
      <c r="BO95" s="2" t="s">
        <v>159</v>
      </c>
      <c r="BP95" s="2">
        <v>1</v>
      </c>
      <c r="BQ95" s="2">
        <v>40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97</v>
      </c>
      <c r="CA95" s="2">
        <v>51</v>
      </c>
      <c r="CB95" s="2" t="s">
        <v>3</v>
      </c>
      <c r="CC95" s="2"/>
      <c r="CD95" s="2"/>
      <c r="CE95" s="2">
        <v>30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3</v>
      </c>
      <c r="CO95" s="2">
        <v>0</v>
      </c>
      <c r="CP95" s="2">
        <f t="shared" si="83"/>
        <v>288.77</v>
      </c>
      <c r="CQ95" s="2">
        <f t="shared" si="84"/>
        <v>61.98</v>
      </c>
      <c r="CR95" s="2">
        <f>(ROUND((ROUND((((ET95*1.1))*AV95*1),2)*BB95),2)+ROUND((ROUND(((AE95-((EU95*1.1)))*AV95*1),2)*BS95),2))</f>
        <v>6.05</v>
      </c>
      <c r="CS95" s="2">
        <f t="shared" si="85"/>
        <v>0.68</v>
      </c>
      <c r="CT95" s="2">
        <f t="shared" si="86"/>
        <v>76.36</v>
      </c>
      <c r="CU95" s="2">
        <f t="shared" si="87"/>
        <v>0</v>
      </c>
      <c r="CV95" s="2">
        <f t="shared" si="88"/>
        <v>6.2076630000000002</v>
      </c>
      <c r="CW95" s="2">
        <f t="shared" si="89"/>
        <v>0</v>
      </c>
      <c r="CX95" s="2">
        <f t="shared" si="90"/>
        <v>0</v>
      </c>
      <c r="CY95" s="2">
        <f t="shared" si="91"/>
        <v>149.45760000000001</v>
      </c>
      <c r="CZ95" s="2">
        <f t="shared" si="92"/>
        <v>78.580800000000011</v>
      </c>
      <c r="DA95" s="2"/>
      <c r="DB95" s="2"/>
      <c r="DC95" s="2" t="s">
        <v>3</v>
      </c>
      <c r="DD95" s="2" t="s">
        <v>3</v>
      </c>
      <c r="DE95" s="2" t="s">
        <v>24</v>
      </c>
      <c r="DF95" s="2" t="s">
        <v>24</v>
      </c>
      <c r="DG95" s="2" t="s">
        <v>24</v>
      </c>
      <c r="DH95" s="2" t="s">
        <v>3</v>
      </c>
      <c r="DI95" s="2" t="s">
        <v>24</v>
      </c>
      <c r="DJ95" s="2" t="s">
        <v>24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1003</v>
      </c>
      <c r="DV95" s="2" t="s">
        <v>124</v>
      </c>
      <c r="DW95" s="2" t="s">
        <v>124</v>
      </c>
      <c r="DX95" s="2">
        <v>100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58162629</v>
      </c>
      <c r="EF95" s="2">
        <v>40</v>
      </c>
      <c r="EG95" s="2" t="s">
        <v>25</v>
      </c>
      <c r="EH95" s="2">
        <v>0</v>
      </c>
      <c r="EI95" s="2" t="s">
        <v>3</v>
      </c>
      <c r="EJ95" s="2">
        <v>2</v>
      </c>
      <c r="EK95" s="2">
        <v>67</v>
      </c>
      <c r="EL95" s="2" t="s">
        <v>116</v>
      </c>
      <c r="EM95" s="2" t="s">
        <v>117</v>
      </c>
      <c r="EN95" s="2"/>
      <c r="EO95" s="2" t="s">
        <v>28</v>
      </c>
      <c r="EP95" s="2"/>
      <c r="EQ95" s="2">
        <v>1024</v>
      </c>
      <c r="ER95" s="2">
        <v>133.53</v>
      </c>
      <c r="ES95" s="2">
        <v>61.98</v>
      </c>
      <c r="ET95" s="2">
        <v>5.25</v>
      </c>
      <c r="EU95" s="2">
        <v>0.59</v>
      </c>
      <c r="EV95" s="2">
        <v>66.3</v>
      </c>
      <c r="EW95" s="2">
        <v>5.39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97</v>
      </c>
      <c r="FY95" s="2">
        <v>51</v>
      </c>
      <c r="FZ95" s="2"/>
      <c r="GA95" s="2" t="s">
        <v>3</v>
      </c>
      <c r="GB95" s="2"/>
      <c r="GC95" s="2"/>
      <c r="GD95" s="2">
        <v>1</v>
      </c>
      <c r="GE95" s="2"/>
      <c r="GF95" s="2">
        <v>-1822715932</v>
      </c>
      <c r="GG95" s="2">
        <v>2</v>
      </c>
      <c r="GH95" s="2">
        <v>1</v>
      </c>
      <c r="GI95" s="2">
        <v>2</v>
      </c>
      <c r="GJ95" s="2">
        <v>0</v>
      </c>
      <c r="GK95" s="2">
        <v>0</v>
      </c>
      <c r="GL95" s="2">
        <f t="shared" si="93"/>
        <v>0</v>
      </c>
      <c r="GM95" s="2">
        <f t="shared" si="94"/>
        <v>516.80999999999995</v>
      </c>
      <c r="GN95" s="2">
        <f t="shared" si="95"/>
        <v>0</v>
      </c>
      <c r="GO95" s="2">
        <f t="shared" si="96"/>
        <v>516.80999999999995</v>
      </c>
      <c r="GP95" s="2">
        <f t="shared" si="97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98"/>
        <v>0</v>
      </c>
      <c r="GW95" s="2">
        <v>1</v>
      </c>
      <c r="GX95" s="2">
        <f t="shared" si="99"/>
        <v>0</v>
      </c>
      <c r="GY95" s="2"/>
      <c r="GZ95" s="2"/>
      <c r="HA95" s="2">
        <v>0</v>
      </c>
      <c r="HB95" s="2">
        <v>0</v>
      </c>
      <c r="HC95" s="2">
        <f t="shared" si="100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3">
      <c r="A96">
        <v>17</v>
      </c>
      <c r="B96">
        <v>1</v>
      </c>
      <c r="D96">
        <f>ROW(EtalonRes!A62)</f>
        <v>62</v>
      </c>
      <c r="E96" t="s">
        <v>3</v>
      </c>
      <c r="F96" t="s">
        <v>159</v>
      </c>
      <c r="G96" t="s">
        <v>160</v>
      </c>
      <c r="H96" t="s">
        <v>124</v>
      </c>
      <c r="I96">
        <f>ROUND(200/100,9)</f>
        <v>2</v>
      </c>
      <c r="J96">
        <v>0</v>
      </c>
      <c r="K96">
        <f>ROUND(200/100,9)</f>
        <v>2</v>
      </c>
      <c r="O96">
        <f t="shared" si="69"/>
        <v>9135.4</v>
      </c>
      <c r="P96">
        <f t="shared" si="70"/>
        <v>561.54</v>
      </c>
      <c r="Q96">
        <f>(ROUND((ROUND((((ET96*1.1))*AV96*I96),2)*BB96),2)+ROUND((ROUND(((AE96-((EU96*1.1)))*AV96*I96),2)*BS96),2))</f>
        <v>175.79</v>
      </c>
      <c r="R96">
        <f t="shared" si="71"/>
        <v>74.790000000000006</v>
      </c>
      <c r="S96">
        <f t="shared" si="72"/>
        <v>8398.07</v>
      </c>
      <c r="T96">
        <f t="shared" si="73"/>
        <v>0</v>
      </c>
      <c r="U96">
        <f t="shared" si="74"/>
        <v>12.415326</v>
      </c>
      <c r="V96">
        <f t="shared" si="75"/>
        <v>0</v>
      </c>
      <c r="W96">
        <f t="shared" si="76"/>
        <v>0</v>
      </c>
      <c r="X96">
        <f t="shared" si="77"/>
        <v>8218.67</v>
      </c>
      <c r="Y96">
        <f t="shared" si="78"/>
        <v>4321.16</v>
      </c>
      <c r="AA96">
        <v>-1</v>
      </c>
      <c r="AB96">
        <f t="shared" si="79"/>
        <v>140.685</v>
      </c>
      <c r="AC96">
        <f t="shared" si="80"/>
        <v>61.98</v>
      </c>
      <c r="AD96">
        <f>ROUND(((((ET96*1.1))-((EU96*1.1)))+AE96),6)</f>
        <v>5.7750000000000004</v>
      </c>
      <c r="AE96">
        <f>ROUND(((EU96*1.1)),6)</f>
        <v>0.64900000000000002</v>
      </c>
      <c r="AF96">
        <f>ROUND(((EV96*1.1)),6)</f>
        <v>72.930000000000007</v>
      </c>
      <c r="AG96">
        <f t="shared" si="81"/>
        <v>0</v>
      </c>
      <c r="AH96">
        <f>((EW96*1.1))</f>
        <v>5.9290000000000003</v>
      </c>
      <c r="AI96">
        <f>((EX96*1.1))</f>
        <v>0</v>
      </c>
      <c r="AJ96">
        <f t="shared" si="82"/>
        <v>0</v>
      </c>
      <c r="AK96">
        <v>133.53</v>
      </c>
      <c r="AL96">
        <v>61.98</v>
      </c>
      <c r="AM96">
        <v>5.25</v>
      </c>
      <c r="AN96">
        <v>0.59</v>
      </c>
      <c r="AO96">
        <v>66.3</v>
      </c>
      <c r="AP96">
        <v>0</v>
      </c>
      <c r="AQ96">
        <v>5.39</v>
      </c>
      <c r="AR96">
        <v>0</v>
      </c>
      <c r="AS96">
        <v>0</v>
      </c>
      <c r="AT96">
        <v>97</v>
      </c>
      <c r="AU96">
        <v>51</v>
      </c>
      <c r="AV96">
        <v>1.0469999999999999</v>
      </c>
      <c r="AW96">
        <v>1</v>
      </c>
      <c r="AZ96">
        <v>1</v>
      </c>
      <c r="BA96">
        <v>54.99</v>
      </c>
      <c r="BB96">
        <v>14.54</v>
      </c>
      <c r="BC96">
        <v>4.53</v>
      </c>
      <c r="BD96" t="s">
        <v>3</v>
      </c>
      <c r="BE96" t="s">
        <v>3</v>
      </c>
      <c r="BF96" t="s">
        <v>3</v>
      </c>
      <c r="BG96" t="s">
        <v>3</v>
      </c>
      <c r="BH96">
        <v>0</v>
      </c>
      <c r="BI96">
        <v>2</v>
      </c>
      <c r="BJ96" t="s">
        <v>161</v>
      </c>
      <c r="BM96">
        <v>67</v>
      </c>
      <c r="BN96">
        <v>0</v>
      </c>
      <c r="BO96" t="s">
        <v>159</v>
      </c>
      <c r="BP96">
        <v>1</v>
      </c>
      <c r="BQ96">
        <v>40</v>
      </c>
      <c r="BR96">
        <v>0</v>
      </c>
      <c r="BS96">
        <v>54.99</v>
      </c>
      <c r="BT96">
        <v>1</v>
      </c>
      <c r="BU96">
        <v>1</v>
      </c>
      <c r="BV96">
        <v>1</v>
      </c>
      <c r="BW96">
        <v>1</v>
      </c>
      <c r="BX96">
        <v>1</v>
      </c>
      <c r="BY96" t="s">
        <v>3</v>
      </c>
      <c r="BZ96">
        <v>97</v>
      </c>
      <c r="CA96">
        <v>51</v>
      </c>
      <c r="CB96" t="s">
        <v>3</v>
      </c>
      <c r="CE96">
        <v>30</v>
      </c>
      <c r="CF96">
        <v>0</v>
      </c>
      <c r="CG96">
        <v>0</v>
      </c>
      <c r="CM96">
        <v>0</v>
      </c>
      <c r="CN96" t="s">
        <v>3</v>
      </c>
      <c r="CO96">
        <v>0</v>
      </c>
      <c r="CP96">
        <f t="shared" si="83"/>
        <v>9135.4</v>
      </c>
      <c r="CQ96">
        <f t="shared" si="84"/>
        <v>280.77</v>
      </c>
      <c r="CR96">
        <f>(ROUND((ROUND((((ET96*1.1))*AV96*1),2)*BB96),2)+ROUND((ROUND(((AE96-((EU96*1.1)))*AV96*1),2)*BS96),2))</f>
        <v>87.97</v>
      </c>
      <c r="CS96">
        <f t="shared" si="85"/>
        <v>37.39</v>
      </c>
      <c r="CT96">
        <f t="shared" si="86"/>
        <v>4199.04</v>
      </c>
      <c r="CU96">
        <f t="shared" si="87"/>
        <v>0</v>
      </c>
      <c r="CV96">
        <f t="shared" si="88"/>
        <v>6.2076630000000002</v>
      </c>
      <c r="CW96">
        <f t="shared" si="89"/>
        <v>0</v>
      </c>
      <c r="CX96">
        <f t="shared" si="90"/>
        <v>0</v>
      </c>
      <c r="CY96">
        <f t="shared" si="91"/>
        <v>8218.6742000000013</v>
      </c>
      <c r="CZ96">
        <f t="shared" si="92"/>
        <v>4321.1586000000007</v>
      </c>
      <c r="DC96" t="s">
        <v>3</v>
      </c>
      <c r="DD96" t="s">
        <v>3</v>
      </c>
      <c r="DE96" t="s">
        <v>24</v>
      </c>
      <c r="DF96" t="s">
        <v>24</v>
      </c>
      <c r="DG96" t="s">
        <v>24</v>
      </c>
      <c r="DH96" t="s">
        <v>3</v>
      </c>
      <c r="DI96" t="s">
        <v>24</v>
      </c>
      <c r="DJ96" t="s">
        <v>24</v>
      </c>
      <c r="DK96" t="s">
        <v>3</v>
      </c>
      <c r="DL96" t="s">
        <v>3</v>
      </c>
      <c r="DM96" t="s">
        <v>3</v>
      </c>
      <c r="DN96">
        <v>0</v>
      </c>
      <c r="DO96">
        <v>0</v>
      </c>
      <c r="DP96">
        <v>1</v>
      </c>
      <c r="DQ96">
        <v>1</v>
      </c>
      <c r="DU96">
        <v>1003</v>
      </c>
      <c r="DV96" t="s">
        <v>124</v>
      </c>
      <c r="DW96" t="s">
        <v>124</v>
      </c>
      <c r="DX96">
        <v>100</v>
      </c>
      <c r="DZ96" t="s">
        <v>3</v>
      </c>
      <c r="EA96" t="s">
        <v>3</v>
      </c>
      <c r="EB96" t="s">
        <v>3</v>
      </c>
      <c r="EC96" t="s">
        <v>3</v>
      </c>
      <c r="EE96">
        <v>58162629</v>
      </c>
      <c r="EF96">
        <v>40</v>
      </c>
      <c r="EG96" t="s">
        <v>25</v>
      </c>
      <c r="EH96">
        <v>0</v>
      </c>
      <c r="EI96" t="s">
        <v>3</v>
      </c>
      <c r="EJ96">
        <v>2</v>
      </c>
      <c r="EK96">
        <v>67</v>
      </c>
      <c r="EL96" t="s">
        <v>116</v>
      </c>
      <c r="EM96" t="s">
        <v>117</v>
      </c>
      <c r="EO96" t="s">
        <v>28</v>
      </c>
      <c r="EQ96">
        <v>1024</v>
      </c>
      <c r="ER96">
        <v>133.53</v>
      </c>
      <c r="ES96">
        <v>61.98</v>
      </c>
      <c r="ET96">
        <v>5.25</v>
      </c>
      <c r="EU96">
        <v>0.59</v>
      </c>
      <c r="EV96">
        <v>66.3</v>
      </c>
      <c r="EW96">
        <v>5.39</v>
      </c>
      <c r="EX96">
        <v>0</v>
      </c>
      <c r="EY96">
        <v>0</v>
      </c>
      <c r="FQ96">
        <v>0</v>
      </c>
      <c r="FR96">
        <v>0</v>
      </c>
      <c r="FS96">
        <v>0</v>
      </c>
      <c r="FX96">
        <v>97</v>
      </c>
      <c r="FY96">
        <v>51</v>
      </c>
      <c r="GA96" t="s">
        <v>3</v>
      </c>
      <c r="GD96">
        <v>1</v>
      </c>
      <c r="GF96">
        <v>-1822715932</v>
      </c>
      <c r="GG96">
        <v>2</v>
      </c>
      <c r="GH96">
        <v>1</v>
      </c>
      <c r="GI96">
        <v>2</v>
      </c>
      <c r="GJ96">
        <v>0</v>
      </c>
      <c r="GK96">
        <v>0</v>
      </c>
      <c r="GL96">
        <f t="shared" si="93"/>
        <v>0</v>
      </c>
      <c r="GM96">
        <f t="shared" si="94"/>
        <v>21675.23</v>
      </c>
      <c r="GN96">
        <f t="shared" si="95"/>
        <v>0</v>
      </c>
      <c r="GO96">
        <f t="shared" si="96"/>
        <v>21675.23</v>
      </c>
      <c r="GP96">
        <f t="shared" si="97"/>
        <v>0</v>
      </c>
      <c r="GR96">
        <v>0</v>
      </c>
      <c r="GS96">
        <v>3</v>
      </c>
      <c r="GT96">
        <v>0</v>
      </c>
      <c r="GU96" t="s">
        <v>3</v>
      </c>
      <c r="GV96">
        <f t="shared" si="98"/>
        <v>0</v>
      </c>
      <c r="GW96">
        <v>1</v>
      </c>
      <c r="GX96">
        <f t="shared" si="99"/>
        <v>0</v>
      </c>
      <c r="HA96">
        <v>0</v>
      </c>
      <c r="HB96">
        <v>0</v>
      </c>
      <c r="HC96">
        <f t="shared" si="100"/>
        <v>0</v>
      </c>
      <c r="HE96" t="s">
        <v>3</v>
      </c>
      <c r="HF96" t="s">
        <v>3</v>
      </c>
      <c r="HM96" t="s">
        <v>3</v>
      </c>
      <c r="HN96" t="s">
        <v>3</v>
      </c>
      <c r="HO96" t="s">
        <v>3</v>
      </c>
      <c r="HP96" t="s">
        <v>3</v>
      </c>
      <c r="HQ96" t="s">
        <v>3</v>
      </c>
      <c r="HS96">
        <v>0</v>
      </c>
      <c r="IK96">
        <v>0</v>
      </c>
    </row>
    <row r="97" spans="1:255" x14ac:dyDescent="0.3">
      <c r="A97" s="2">
        <v>18</v>
      </c>
      <c r="B97" s="2">
        <v>1</v>
      </c>
      <c r="C97" s="2"/>
      <c r="D97" s="2"/>
      <c r="E97" s="2" t="s">
        <v>3</v>
      </c>
      <c r="F97" s="2" t="s">
        <v>142</v>
      </c>
      <c r="G97" s="2" t="s">
        <v>143</v>
      </c>
      <c r="H97" s="2" t="s">
        <v>144</v>
      </c>
      <c r="I97" s="2">
        <f>I95*J97</f>
        <v>0.20399999999999999</v>
      </c>
      <c r="J97" s="2">
        <v>0.10199999999999999</v>
      </c>
      <c r="K97" s="2">
        <v>0.10199999999999999</v>
      </c>
      <c r="L97" s="2"/>
      <c r="M97" s="2"/>
      <c r="N97" s="2"/>
      <c r="O97" s="2">
        <f t="shared" si="69"/>
        <v>2817.93</v>
      </c>
      <c r="P97" s="2">
        <f t="shared" si="70"/>
        <v>2817.93</v>
      </c>
      <c r="Q97" s="2">
        <f t="shared" ref="Q97:Q102" si="108">(ROUND((ROUND(((ET97)*AV97*I97),2)*BB97),2)+ROUND((ROUND(((AE97-(EU97))*AV97*I97),2)*BS97),2))</f>
        <v>0</v>
      </c>
      <c r="R97" s="2">
        <f t="shared" si="71"/>
        <v>0</v>
      </c>
      <c r="S97" s="2">
        <f t="shared" si="72"/>
        <v>0</v>
      </c>
      <c r="T97" s="2">
        <f t="shared" si="73"/>
        <v>0</v>
      </c>
      <c r="U97" s="2">
        <f t="shared" si="74"/>
        <v>0</v>
      </c>
      <c r="V97" s="2">
        <f t="shared" si="75"/>
        <v>0</v>
      </c>
      <c r="W97" s="2">
        <f t="shared" si="76"/>
        <v>0</v>
      </c>
      <c r="X97" s="2">
        <f t="shared" si="77"/>
        <v>0</v>
      </c>
      <c r="Y97" s="2">
        <f t="shared" si="78"/>
        <v>0</v>
      </c>
      <c r="Z97" s="2"/>
      <c r="AA97" s="2">
        <v>-1</v>
      </c>
      <c r="AB97" s="2">
        <f t="shared" si="79"/>
        <v>13813.36</v>
      </c>
      <c r="AC97" s="2">
        <f t="shared" si="80"/>
        <v>13813.36</v>
      </c>
      <c r="AD97" s="2">
        <f t="shared" ref="AD97:AD102" si="109">ROUND((((ET97)-(EU97))+AE97),6)</f>
        <v>0</v>
      </c>
      <c r="AE97" s="2">
        <f t="shared" ref="AE97:AF102" si="110">ROUND((EU97),6)</f>
        <v>0</v>
      </c>
      <c r="AF97" s="2">
        <f t="shared" si="110"/>
        <v>0</v>
      </c>
      <c r="AG97" s="2">
        <f t="shared" si="81"/>
        <v>0</v>
      </c>
      <c r="AH97" s="2">
        <f t="shared" ref="AH97:AI102" si="111">(EW97)</f>
        <v>0</v>
      </c>
      <c r="AI97" s="2">
        <f t="shared" si="111"/>
        <v>0</v>
      </c>
      <c r="AJ97" s="2">
        <f t="shared" si="82"/>
        <v>0</v>
      </c>
      <c r="AK97" s="2">
        <v>13813.36</v>
      </c>
      <c r="AL97" s="2">
        <v>13813.36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97</v>
      </c>
      <c r="AU97" s="2">
        <v>51</v>
      </c>
      <c r="AV97" s="2">
        <v>1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3</v>
      </c>
      <c r="BI97" s="2">
        <v>2</v>
      </c>
      <c r="BJ97" s="2" t="s">
        <v>3</v>
      </c>
      <c r="BK97" s="2"/>
      <c r="BL97" s="2"/>
      <c r="BM97" s="2">
        <v>67</v>
      </c>
      <c r="BN97" s="2">
        <v>0</v>
      </c>
      <c r="BO97" s="2" t="s">
        <v>3</v>
      </c>
      <c r="BP97" s="2">
        <v>0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97</v>
      </c>
      <c r="CA97" s="2">
        <v>51</v>
      </c>
      <c r="CB97" s="2" t="s">
        <v>3</v>
      </c>
      <c r="CC97" s="2"/>
      <c r="CD97" s="2"/>
      <c r="CE97" s="2">
        <v>30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3</v>
      </c>
      <c r="CO97" s="2">
        <v>0</v>
      </c>
      <c r="CP97" s="2">
        <f t="shared" si="83"/>
        <v>2817.93</v>
      </c>
      <c r="CQ97" s="2">
        <f t="shared" si="84"/>
        <v>13813.36</v>
      </c>
      <c r="CR97" s="2">
        <f t="shared" ref="CR97:CR102" si="112">(ROUND((ROUND(((ET97)*AV97*1),2)*BB97),2)+ROUND((ROUND(((AE97-(EU97))*AV97*1),2)*BS97),2))</f>
        <v>0</v>
      </c>
      <c r="CS97" s="2">
        <f t="shared" si="85"/>
        <v>0</v>
      </c>
      <c r="CT97" s="2">
        <f t="shared" si="86"/>
        <v>0</v>
      </c>
      <c r="CU97" s="2">
        <f t="shared" si="87"/>
        <v>0</v>
      </c>
      <c r="CV97" s="2">
        <f t="shared" si="88"/>
        <v>0</v>
      </c>
      <c r="CW97" s="2">
        <f t="shared" si="89"/>
        <v>0</v>
      </c>
      <c r="CX97" s="2">
        <f t="shared" si="90"/>
        <v>0</v>
      </c>
      <c r="CY97" s="2">
        <f t="shared" si="91"/>
        <v>0</v>
      </c>
      <c r="CZ97" s="2">
        <f t="shared" si="92"/>
        <v>0</v>
      </c>
      <c r="DA97" s="2"/>
      <c r="DB97" s="2"/>
      <c r="DC97" s="2" t="s">
        <v>3</v>
      </c>
      <c r="DD97" s="2" t="s">
        <v>3</v>
      </c>
      <c r="DE97" s="2" t="s">
        <v>3</v>
      </c>
      <c r="DF97" s="2" t="s">
        <v>3</v>
      </c>
      <c r="DG97" s="2" t="s">
        <v>3</v>
      </c>
      <c r="DH97" s="2" t="s">
        <v>3</v>
      </c>
      <c r="DI97" s="2" t="s">
        <v>3</v>
      </c>
      <c r="DJ97" s="2" t="s">
        <v>3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1003</v>
      </c>
      <c r="DV97" s="2" t="s">
        <v>144</v>
      </c>
      <c r="DW97" s="2" t="s">
        <v>144</v>
      </c>
      <c r="DX97" s="2">
        <v>1000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58162629</v>
      </c>
      <c r="EF97" s="2">
        <v>40</v>
      </c>
      <c r="EG97" s="2" t="s">
        <v>25</v>
      </c>
      <c r="EH97" s="2">
        <v>0</v>
      </c>
      <c r="EI97" s="2" t="s">
        <v>3</v>
      </c>
      <c r="EJ97" s="2">
        <v>2</v>
      </c>
      <c r="EK97" s="2">
        <v>67</v>
      </c>
      <c r="EL97" s="2" t="s">
        <v>116</v>
      </c>
      <c r="EM97" s="2" t="s">
        <v>117</v>
      </c>
      <c r="EN97" s="2"/>
      <c r="EO97" s="2" t="s">
        <v>3</v>
      </c>
      <c r="EP97" s="2"/>
      <c r="EQ97" s="2">
        <v>1024</v>
      </c>
      <c r="ER97" s="2">
        <v>0</v>
      </c>
      <c r="ES97" s="2">
        <v>13813.36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97</v>
      </c>
      <c r="FY97" s="2">
        <v>51</v>
      </c>
      <c r="FZ97" s="2"/>
      <c r="GA97" s="2" t="s">
        <v>145</v>
      </c>
      <c r="GB97" s="2"/>
      <c r="GC97" s="2"/>
      <c r="GD97" s="2">
        <v>1</v>
      </c>
      <c r="GE97" s="2"/>
      <c r="GF97" s="2">
        <v>-1070144849</v>
      </c>
      <c r="GG97" s="2">
        <v>2</v>
      </c>
      <c r="GH97" s="2">
        <v>4</v>
      </c>
      <c r="GI97" s="2">
        <v>-2</v>
      </c>
      <c r="GJ97" s="2">
        <v>0</v>
      </c>
      <c r="GK97" s="2">
        <v>0</v>
      </c>
      <c r="GL97" s="2">
        <f t="shared" si="93"/>
        <v>0</v>
      </c>
      <c r="GM97" s="2">
        <f t="shared" si="94"/>
        <v>2817.93</v>
      </c>
      <c r="GN97" s="2">
        <f t="shared" si="95"/>
        <v>0</v>
      </c>
      <c r="GO97" s="2">
        <f t="shared" si="96"/>
        <v>2817.93</v>
      </c>
      <c r="GP97" s="2">
        <f t="shared" si="97"/>
        <v>0</v>
      </c>
      <c r="GQ97" s="2"/>
      <c r="GR97" s="2">
        <v>0</v>
      </c>
      <c r="GS97" s="2">
        <v>2</v>
      </c>
      <c r="GT97" s="2">
        <v>0</v>
      </c>
      <c r="GU97" s="2" t="s">
        <v>3</v>
      </c>
      <c r="GV97" s="2">
        <f t="shared" si="98"/>
        <v>0</v>
      </c>
      <c r="GW97" s="2">
        <v>1</v>
      </c>
      <c r="GX97" s="2">
        <f t="shared" si="99"/>
        <v>0</v>
      </c>
      <c r="GY97" s="2"/>
      <c r="GZ97" s="2"/>
      <c r="HA97" s="2">
        <v>0</v>
      </c>
      <c r="HB97" s="2">
        <v>0</v>
      </c>
      <c r="HC97" s="2">
        <f t="shared" si="100"/>
        <v>0</v>
      </c>
      <c r="HD97" s="2"/>
      <c r="HE97" s="2" t="s">
        <v>146</v>
      </c>
      <c r="HF97" s="2" t="s">
        <v>39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3">
      <c r="A98">
        <v>18</v>
      </c>
      <c r="B98">
        <v>1</v>
      </c>
      <c r="E98" t="s">
        <v>3</v>
      </c>
      <c r="F98" t="s">
        <v>142</v>
      </c>
      <c r="G98" t="s">
        <v>143</v>
      </c>
      <c r="H98" t="s">
        <v>144</v>
      </c>
      <c r="I98">
        <f>I96*J98</f>
        <v>0.20399999999999999</v>
      </c>
      <c r="J98">
        <v>0.10199999999999999</v>
      </c>
      <c r="K98">
        <v>0.10199999999999999</v>
      </c>
      <c r="O98">
        <f t="shared" si="69"/>
        <v>27841.15</v>
      </c>
      <c r="P98">
        <f t="shared" si="70"/>
        <v>27841.15</v>
      </c>
      <c r="Q98">
        <f t="shared" si="108"/>
        <v>0</v>
      </c>
      <c r="R98">
        <f t="shared" si="71"/>
        <v>0</v>
      </c>
      <c r="S98">
        <f t="shared" si="72"/>
        <v>0</v>
      </c>
      <c r="T98">
        <f t="shared" si="73"/>
        <v>0</v>
      </c>
      <c r="U98">
        <f t="shared" si="74"/>
        <v>0</v>
      </c>
      <c r="V98">
        <f t="shared" si="75"/>
        <v>0</v>
      </c>
      <c r="W98">
        <f t="shared" si="76"/>
        <v>0</v>
      </c>
      <c r="X98">
        <f t="shared" si="77"/>
        <v>0</v>
      </c>
      <c r="Y98">
        <f t="shared" si="78"/>
        <v>0</v>
      </c>
      <c r="AA98">
        <v>-1</v>
      </c>
      <c r="AB98">
        <f t="shared" si="79"/>
        <v>13813.36</v>
      </c>
      <c r="AC98">
        <f t="shared" si="80"/>
        <v>13813.36</v>
      </c>
      <c r="AD98">
        <f t="shared" si="109"/>
        <v>0</v>
      </c>
      <c r="AE98">
        <f t="shared" si="110"/>
        <v>0</v>
      </c>
      <c r="AF98">
        <f t="shared" si="110"/>
        <v>0</v>
      </c>
      <c r="AG98">
        <f t="shared" si="81"/>
        <v>0</v>
      </c>
      <c r="AH98">
        <f t="shared" si="111"/>
        <v>0</v>
      </c>
      <c r="AI98">
        <f t="shared" si="111"/>
        <v>0</v>
      </c>
      <c r="AJ98">
        <f t="shared" si="82"/>
        <v>0</v>
      </c>
      <c r="AK98">
        <v>13813.36</v>
      </c>
      <c r="AL98">
        <v>13813.36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97</v>
      </c>
      <c r="AU98">
        <v>51</v>
      </c>
      <c r="AV98">
        <v>1</v>
      </c>
      <c r="AW98">
        <v>1</v>
      </c>
      <c r="AZ98">
        <v>1</v>
      </c>
      <c r="BA98">
        <v>1</v>
      </c>
      <c r="BB98">
        <v>1</v>
      </c>
      <c r="BC98">
        <v>9.8800000000000008</v>
      </c>
      <c r="BD98" t="s">
        <v>3</v>
      </c>
      <c r="BE98" t="s">
        <v>3</v>
      </c>
      <c r="BF98" t="s">
        <v>3</v>
      </c>
      <c r="BG98" t="s">
        <v>3</v>
      </c>
      <c r="BH98">
        <v>3</v>
      </c>
      <c r="BI98">
        <v>2</v>
      </c>
      <c r="BJ98" t="s">
        <v>3</v>
      </c>
      <c r="BM98">
        <v>67</v>
      </c>
      <c r="BN98">
        <v>0</v>
      </c>
      <c r="BO98" t="s">
        <v>3</v>
      </c>
      <c r="BP98">
        <v>0</v>
      </c>
      <c r="BQ98">
        <v>40</v>
      </c>
      <c r="BR98">
        <v>0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 t="s">
        <v>3</v>
      </c>
      <c r="BZ98">
        <v>97</v>
      </c>
      <c r="CA98">
        <v>51</v>
      </c>
      <c r="CB98" t="s">
        <v>3</v>
      </c>
      <c r="CE98">
        <v>30</v>
      </c>
      <c r="CF98">
        <v>0</v>
      </c>
      <c r="CG98">
        <v>0</v>
      </c>
      <c r="CM98">
        <v>0</v>
      </c>
      <c r="CN98" t="s">
        <v>3</v>
      </c>
      <c r="CO98">
        <v>0</v>
      </c>
      <c r="CP98">
        <f t="shared" si="83"/>
        <v>27841.15</v>
      </c>
      <c r="CQ98">
        <f t="shared" si="84"/>
        <v>136476</v>
      </c>
      <c r="CR98">
        <f t="shared" si="112"/>
        <v>0</v>
      </c>
      <c r="CS98">
        <f t="shared" si="85"/>
        <v>0</v>
      </c>
      <c r="CT98">
        <f t="shared" si="86"/>
        <v>0</v>
      </c>
      <c r="CU98">
        <f t="shared" si="87"/>
        <v>0</v>
      </c>
      <c r="CV98">
        <f t="shared" si="88"/>
        <v>0</v>
      </c>
      <c r="CW98">
        <f t="shared" si="89"/>
        <v>0</v>
      </c>
      <c r="CX98">
        <f t="shared" si="90"/>
        <v>0</v>
      </c>
      <c r="CY98">
        <f t="shared" si="91"/>
        <v>0</v>
      </c>
      <c r="CZ98">
        <f t="shared" si="92"/>
        <v>0</v>
      </c>
      <c r="DC98" t="s">
        <v>3</v>
      </c>
      <c r="DD98" t="s">
        <v>3</v>
      </c>
      <c r="DE98" t="s">
        <v>3</v>
      </c>
      <c r="DF98" t="s">
        <v>3</v>
      </c>
      <c r="DG98" t="s">
        <v>3</v>
      </c>
      <c r="DH98" t="s">
        <v>3</v>
      </c>
      <c r="DI98" t="s">
        <v>3</v>
      </c>
      <c r="DJ98" t="s">
        <v>3</v>
      </c>
      <c r="DK98" t="s">
        <v>3</v>
      </c>
      <c r="DL98" t="s">
        <v>3</v>
      </c>
      <c r="DM98" t="s">
        <v>3</v>
      </c>
      <c r="DN98">
        <v>0</v>
      </c>
      <c r="DO98">
        <v>0</v>
      </c>
      <c r="DP98">
        <v>1</v>
      </c>
      <c r="DQ98">
        <v>1</v>
      </c>
      <c r="DU98">
        <v>1003</v>
      </c>
      <c r="DV98" t="s">
        <v>144</v>
      </c>
      <c r="DW98" t="s">
        <v>144</v>
      </c>
      <c r="DX98">
        <v>1000</v>
      </c>
      <c r="DZ98" t="s">
        <v>3</v>
      </c>
      <c r="EA98" t="s">
        <v>3</v>
      </c>
      <c r="EB98" t="s">
        <v>3</v>
      </c>
      <c r="EC98" t="s">
        <v>3</v>
      </c>
      <c r="EE98">
        <v>58162629</v>
      </c>
      <c r="EF98">
        <v>40</v>
      </c>
      <c r="EG98" t="s">
        <v>25</v>
      </c>
      <c r="EH98">
        <v>0</v>
      </c>
      <c r="EI98" t="s">
        <v>3</v>
      </c>
      <c r="EJ98">
        <v>2</v>
      </c>
      <c r="EK98">
        <v>67</v>
      </c>
      <c r="EL98" t="s">
        <v>116</v>
      </c>
      <c r="EM98" t="s">
        <v>117</v>
      </c>
      <c r="EO98" t="s">
        <v>3</v>
      </c>
      <c r="EQ98">
        <v>1024</v>
      </c>
      <c r="ER98">
        <v>13813.36</v>
      </c>
      <c r="ES98">
        <v>13813.36</v>
      </c>
      <c r="ET98">
        <v>0</v>
      </c>
      <c r="EU98">
        <v>0</v>
      </c>
      <c r="EV98">
        <v>0</v>
      </c>
      <c r="EW98">
        <v>0</v>
      </c>
      <c r="EX98">
        <v>0</v>
      </c>
      <c r="EZ98">
        <v>5</v>
      </c>
      <c r="FC98">
        <v>1</v>
      </c>
      <c r="FD98">
        <v>18</v>
      </c>
      <c r="FF98">
        <v>160560</v>
      </c>
      <c r="FQ98">
        <v>0</v>
      </c>
      <c r="FR98">
        <v>0</v>
      </c>
      <c r="FS98">
        <v>0</v>
      </c>
      <c r="FX98">
        <v>97</v>
      </c>
      <c r="FY98">
        <v>51</v>
      </c>
      <c r="GA98" t="s">
        <v>145</v>
      </c>
      <c r="GD98">
        <v>1</v>
      </c>
      <c r="GF98">
        <v>-1070144849</v>
      </c>
      <c r="GG98">
        <v>2</v>
      </c>
      <c r="GH98">
        <v>3</v>
      </c>
      <c r="GI98">
        <v>5</v>
      </c>
      <c r="GJ98">
        <v>0</v>
      </c>
      <c r="GK98">
        <v>0</v>
      </c>
      <c r="GL98">
        <f t="shared" si="93"/>
        <v>0</v>
      </c>
      <c r="GM98">
        <f t="shared" si="94"/>
        <v>27841.15</v>
      </c>
      <c r="GN98">
        <f t="shared" si="95"/>
        <v>0</v>
      </c>
      <c r="GO98">
        <f t="shared" si="96"/>
        <v>27841.15</v>
      </c>
      <c r="GP98">
        <f t="shared" si="97"/>
        <v>0</v>
      </c>
      <c r="GR98">
        <v>1</v>
      </c>
      <c r="GS98">
        <v>1</v>
      </c>
      <c r="GT98">
        <v>0</v>
      </c>
      <c r="GU98" t="s">
        <v>3</v>
      </c>
      <c r="GV98">
        <f t="shared" si="98"/>
        <v>0</v>
      </c>
      <c r="GW98">
        <v>1</v>
      </c>
      <c r="GX98">
        <f t="shared" si="99"/>
        <v>0</v>
      </c>
      <c r="HA98">
        <v>0</v>
      </c>
      <c r="HB98">
        <v>0</v>
      </c>
      <c r="HC98">
        <f t="shared" si="100"/>
        <v>0</v>
      </c>
      <c r="HE98" t="s">
        <v>146</v>
      </c>
      <c r="HF98" t="s">
        <v>39</v>
      </c>
      <c r="HM98" t="s">
        <v>3</v>
      </c>
      <c r="HN98" t="s">
        <v>3</v>
      </c>
      <c r="HO98" t="s">
        <v>3</v>
      </c>
      <c r="HP98" t="s">
        <v>3</v>
      </c>
      <c r="HQ98" t="s">
        <v>3</v>
      </c>
      <c r="HS98">
        <v>0</v>
      </c>
      <c r="IK98">
        <v>0</v>
      </c>
    </row>
    <row r="99" spans="1:255" x14ac:dyDescent="0.3">
      <c r="A99" s="2">
        <v>18</v>
      </c>
      <c r="B99" s="2">
        <v>1</v>
      </c>
      <c r="C99" s="2"/>
      <c r="D99" s="2"/>
      <c r="E99" s="2" t="s">
        <v>3</v>
      </c>
      <c r="F99" s="2" t="s">
        <v>152</v>
      </c>
      <c r="G99" s="2" t="s">
        <v>153</v>
      </c>
      <c r="H99" s="2" t="s">
        <v>32</v>
      </c>
      <c r="I99" s="2">
        <f>I95*J99</f>
        <v>20</v>
      </c>
      <c r="J99" s="2">
        <v>10</v>
      </c>
      <c r="K99" s="2">
        <v>10</v>
      </c>
      <c r="L99" s="2"/>
      <c r="M99" s="2"/>
      <c r="N99" s="2"/>
      <c r="O99" s="2">
        <f t="shared" si="69"/>
        <v>613.79999999999995</v>
      </c>
      <c r="P99" s="2">
        <f t="shared" si="70"/>
        <v>613.79999999999995</v>
      </c>
      <c r="Q99" s="2">
        <f t="shared" si="108"/>
        <v>0</v>
      </c>
      <c r="R99" s="2">
        <f t="shared" si="71"/>
        <v>0</v>
      </c>
      <c r="S99" s="2">
        <f t="shared" si="72"/>
        <v>0</v>
      </c>
      <c r="T99" s="2">
        <f t="shared" si="73"/>
        <v>0</v>
      </c>
      <c r="U99" s="2">
        <f t="shared" si="74"/>
        <v>0</v>
      </c>
      <c r="V99" s="2">
        <f t="shared" si="75"/>
        <v>0</v>
      </c>
      <c r="W99" s="2">
        <f t="shared" si="76"/>
        <v>0</v>
      </c>
      <c r="X99" s="2">
        <f t="shared" si="77"/>
        <v>0</v>
      </c>
      <c r="Y99" s="2">
        <f t="shared" si="78"/>
        <v>0</v>
      </c>
      <c r="Z99" s="2"/>
      <c r="AA99" s="2">
        <v>-1</v>
      </c>
      <c r="AB99" s="2">
        <f t="shared" si="79"/>
        <v>30.69</v>
      </c>
      <c r="AC99" s="2">
        <f t="shared" si="80"/>
        <v>30.69</v>
      </c>
      <c r="AD99" s="2">
        <f t="shared" si="109"/>
        <v>0</v>
      </c>
      <c r="AE99" s="2">
        <f t="shared" si="110"/>
        <v>0</v>
      </c>
      <c r="AF99" s="2">
        <f t="shared" si="110"/>
        <v>0</v>
      </c>
      <c r="AG99" s="2">
        <f t="shared" si="81"/>
        <v>0</v>
      </c>
      <c r="AH99" s="2">
        <f t="shared" si="111"/>
        <v>0</v>
      </c>
      <c r="AI99" s="2">
        <f t="shared" si="111"/>
        <v>0</v>
      </c>
      <c r="AJ99" s="2">
        <f t="shared" si="82"/>
        <v>0</v>
      </c>
      <c r="AK99" s="2">
        <v>30.69</v>
      </c>
      <c r="AL99" s="2">
        <v>30.69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97</v>
      </c>
      <c r="AU99" s="2">
        <v>51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2</v>
      </c>
      <c r="BJ99" s="2" t="s">
        <v>154</v>
      </c>
      <c r="BK99" s="2"/>
      <c r="BL99" s="2"/>
      <c r="BM99" s="2">
        <v>67</v>
      </c>
      <c r="BN99" s="2">
        <v>0</v>
      </c>
      <c r="BO99" s="2" t="s">
        <v>3</v>
      </c>
      <c r="BP99" s="2">
        <v>0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97</v>
      </c>
      <c r="CA99" s="2">
        <v>51</v>
      </c>
      <c r="CB99" s="2" t="s">
        <v>3</v>
      </c>
      <c r="CC99" s="2"/>
      <c r="CD99" s="2"/>
      <c r="CE99" s="2">
        <v>30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83"/>
        <v>613.79999999999995</v>
      </c>
      <c r="CQ99" s="2">
        <f t="shared" si="84"/>
        <v>30.69</v>
      </c>
      <c r="CR99" s="2">
        <f t="shared" si="112"/>
        <v>0</v>
      </c>
      <c r="CS99" s="2">
        <f t="shared" si="85"/>
        <v>0</v>
      </c>
      <c r="CT99" s="2">
        <f t="shared" si="86"/>
        <v>0</v>
      </c>
      <c r="CU99" s="2">
        <f t="shared" si="87"/>
        <v>0</v>
      </c>
      <c r="CV99" s="2">
        <f t="shared" si="88"/>
        <v>0</v>
      </c>
      <c r="CW99" s="2">
        <f t="shared" si="89"/>
        <v>0</v>
      </c>
      <c r="CX99" s="2">
        <f t="shared" si="90"/>
        <v>0</v>
      </c>
      <c r="CY99" s="2">
        <f t="shared" si="91"/>
        <v>0</v>
      </c>
      <c r="CZ99" s="2">
        <f t="shared" si="92"/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1010</v>
      </c>
      <c r="DV99" s="2" t="s">
        <v>32</v>
      </c>
      <c r="DW99" s="2" t="s">
        <v>32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58162629</v>
      </c>
      <c r="EF99" s="2">
        <v>40</v>
      </c>
      <c r="EG99" s="2" t="s">
        <v>25</v>
      </c>
      <c r="EH99" s="2">
        <v>0</v>
      </c>
      <c r="EI99" s="2" t="s">
        <v>3</v>
      </c>
      <c r="EJ99" s="2">
        <v>2</v>
      </c>
      <c r="EK99" s="2">
        <v>67</v>
      </c>
      <c r="EL99" s="2" t="s">
        <v>116</v>
      </c>
      <c r="EM99" s="2" t="s">
        <v>117</v>
      </c>
      <c r="EN99" s="2"/>
      <c r="EO99" s="2" t="s">
        <v>3</v>
      </c>
      <c r="EP99" s="2"/>
      <c r="EQ99" s="2">
        <v>1024</v>
      </c>
      <c r="ER99" s="2">
        <v>30.69</v>
      </c>
      <c r="ES99" s="2">
        <v>30.69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97</v>
      </c>
      <c r="FY99" s="2">
        <v>51</v>
      </c>
      <c r="FZ99" s="2"/>
      <c r="GA99" s="2" t="s">
        <v>3</v>
      </c>
      <c r="GB99" s="2"/>
      <c r="GC99" s="2"/>
      <c r="GD99" s="2">
        <v>1</v>
      </c>
      <c r="GE99" s="2"/>
      <c r="GF99" s="2">
        <v>-688640225</v>
      </c>
      <c r="GG99" s="2">
        <v>2</v>
      </c>
      <c r="GH99" s="2">
        <v>1</v>
      </c>
      <c r="GI99" s="2">
        <v>-2</v>
      </c>
      <c r="GJ99" s="2">
        <v>0</v>
      </c>
      <c r="GK99" s="2">
        <v>0</v>
      </c>
      <c r="GL99" s="2">
        <f t="shared" si="93"/>
        <v>0</v>
      </c>
      <c r="GM99" s="2">
        <f t="shared" si="94"/>
        <v>613.79999999999995</v>
      </c>
      <c r="GN99" s="2">
        <f t="shared" si="95"/>
        <v>0</v>
      </c>
      <c r="GO99" s="2">
        <f t="shared" si="96"/>
        <v>613.79999999999995</v>
      </c>
      <c r="GP99" s="2">
        <f t="shared" si="97"/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si="98"/>
        <v>0</v>
      </c>
      <c r="GW99" s="2">
        <v>1</v>
      </c>
      <c r="GX99" s="2">
        <f t="shared" si="99"/>
        <v>0</v>
      </c>
      <c r="GY99" s="2"/>
      <c r="GZ99" s="2"/>
      <c r="HA99" s="2">
        <v>0</v>
      </c>
      <c r="HB99" s="2">
        <v>0</v>
      </c>
      <c r="HC99" s="2">
        <f t="shared" si="100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3">
      <c r="A100">
        <v>18</v>
      </c>
      <c r="B100">
        <v>1</v>
      </c>
      <c r="E100" t="s">
        <v>3</v>
      </c>
      <c r="F100" t="s">
        <v>152</v>
      </c>
      <c r="G100" t="s">
        <v>153</v>
      </c>
      <c r="H100" t="s">
        <v>32</v>
      </c>
      <c r="I100">
        <f>I96*J100</f>
        <v>20</v>
      </c>
      <c r="J100">
        <v>10</v>
      </c>
      <c r="K100">
        <v>10</v>
      </c>
      <c r="O100">
        <f t="shared" si="69"/>
        <v>3535.49</v>
      </c>
      <c r="P100">
        <f t="shared" si="70"/>
        <v>3535.49</v>
      </c>
      <c r="Q100">
        <f t="shared" si="108"/>
        <v>0</v>
      </c>
      <c r="R100">
        <f t="shared" si="71"/>
        <v>0</v>
      </c>
      <c r="S100">
        <f t="shared" si="72"/>
        <v>0</v>
      </c>
      <c r="T100">
        <f t="shared" si="73"/>
        <v>0</v>
      </c>
      <c r="U100">
        <f t="shared" si="74"/>
        <v>0</v>
      </c>
      <c r="V100">
        <f t="shared" si="75"/>
        <v>0</v>
      </c>
      <c r="W100">
        <f t="shared" si="76"/>
        <v>0</v>
      </c>
      <c r="X100">
        <f t="shared" si="77"/>
        <v>0</v>
      </c>
      <c r="Y100">
        <f t="shared" si="78"/>
        <v>0</v>
      </c>
      <c r="AA100">
        <v>-1</v>
      </c>
      <c r="AB100">
        <f t="shared" si="79"/>
        <v>30.69</v>
      </c>
      <c r="AC100">
        <f t="shared" si="80"/>
        <v>30.69</v>
      </c>
      <c r="AD100">
        <f t="shared" si="109"/>
        <v>0</v>
      </c>
      <c r="AE100">
        <f t="shared" si="110"/>
        <v>0</v>
      </c>
      <c r="AF100">
        <f t="shared" si="110"/>
        <v>0</v>
      </c>
      <c r="AG100">
        <f t="shared" si="81"/>
        <v>0</v>
      </c>
      <c r="AH100">
        <f t="shared" si="111"/>
        <v>0</v>
      </c>
      <c r="AI100">
        <f t="shared" si="111"/>
        <v>0</v>
      </c>
      <c r="AJ100">
        <f t="shared" si="82"/>
        <v>0</v>
      </c>
      <c r="AK100">
        <v>30.69</v>
      </c>
      <c r="AL100">
        <v>30.69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97</v>
      </c>
      <c r="AU100">
        <v>51</v>
      </c>
      <c r="AV100">
        <v>1</v>
      </c>
      <c r="AW100">
        <v>1</v>
      </c>
      <c r="AZ100">
        <v>1</v>
      </c>
      <c r="BA100">
        <v>1</v>
      </c>
      <c r="BB100">
        <v>1</v>
      </c>
      <c r="BC100">
        <v>5.76</v>
      </c>
      <c r="BD100" t="s">
        <v>3</v>
      </c>
      <c r="BE100" t="s">
        <v>3</v>
      </c>
      <c r="BF100" t="s">
        <v>3</v>
      </c>
      <c r="BG100" t="s">
        <v>3</v>
      </c>
      <c r="BH100">
        <v>3</v>
      </c>
      <c r="BI100">
        <v>2</v>
      </c>
      <c r="BJ100" t="s">
        <v>154</v>
      </c>
      <c r="BM100">
        <v>67</v>
      </c>
      <c r="BN100">
        <v>0</v>
      </c>
      <c r="BO100" t="s">
        <v>152</v>
      </c>
      <c r="BP100">
        <v>1</v>
      </c>
      <c r="BQ100">
        <v>40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 t="s">
        <v>3</v>
      </c>
      <c r="BZ100">
        <v>97</v>
      </c>
      <c r="CA100">
        <v>51</v>
      </c>
      <c r="CB100" t="s">
        <v>3</v>
      </c>
      <c r="CE100">
        <v>30</v>
      </c>
      <c r="CF100">
        <v>0</v>
      </c>
      <c r="CG100">
        <v>0</v>
      </c>
      <c r="CM100">
        <v>0</v>
      </c>
      <c r="CN100" t="s">
        <v>3</v>
      </c>
      <c r="CO100">
        <v>0</v>
      </c>
      <c r="CP100">
        <f t="shared" si="83"/>
        <v>3535.49</v>
      </c>
      <c r="CQ100">
        <f t="shared" si="84"/>
        <v>176.77</v>
      </c>
      <c r="CR100">
        <f t="shared" si="112"/>
        <v>0</v>
      </c>
      <c r="CS100">
        <f t="shared" si="85"/>
        <v>0</v>
      </c>
      <c r="CT100">
        <f t="shared" si="86"/>
        <v>0</v>
      </c>
      <c r="CU100">
        <f t="shared" si="87"/>
        <v>0</v>
      </c>
      <c r="CV100">
        <f t="shared" si="88"/>
        <v>0</v>
      </c>
      <c r="CW100">
        <f t="shared" si="89"/>
        <v>0</v>
      </c>
      <c r="CX100">
        <f t="shared" si="90"/>
        <v>0</v>
      </c>
      <c r="CY100">
        <f t="shared" si="91"/>
        <v>0</v>
      </c>
      <c r="CZ100">
        <f t="shared" si="92"/>
        <v>0</v>
      </c>
      <c r="DC100" t="s">
        <v>3</v>
      </c>
      <c r="DD100" t="s">
        <v>3</v>
      </c>
      <c r="DE100" t="s">
        <v>3</v>
      </c>
      <c r="DF100" t="s">
        <v>3</v>
      </c>
      <c r="DG100" t="s">
        <v>3</v>
      </c>
      <c r="DH100" t="s">
        <v>3</v>
      </c>
      <c r="DI100" t="s">
        <v>3</v>
      </c>
      <c r="DJ100" t="s">
        <v>3</v>
      </c>
      <c r="DK100" t="s">
        <v>3</v>
      </c>
      <c r="DL100" t="s">
        <v>3</v>
      </c>
      <c r="DM100" t="s">
        <v>3</v>
      </c>
      <c r="DN100">
        <v>0</v>
      </c>
      <c r="DO100">
        <v>0</v>
      </c>
      <c r="DP100">
        <v>1</v>
      </c>
      <c r="DQ100">
        <v>1</v>
      </c>
      <c r="DU100">
        <v>1010</v>
      </c>
      <c r="DV100" t="s">
        <v>32</v>
      </c>
      <c r="DW100" t="s">
        <v>32</v>
      </c>
      <c r="DX100">
        <v>1</v>
      </c>
      <c r="DZ100" t="s">
        <v>3</v>
      </c>
      <c r="EA100" t="s">
        <v>3</v>
      </c>
      <c r="EB100" t="s">
        <v>3</v>
      </c>
      <c r="EC100" t="s">
        <v>3</v>
      </c>
      <c r="EE100">
        <v>58162629</v>
      </c>
      <c r="EF100">
        <v>40</v>
      </c>
      <c r="EG100" t="s">
        <v>25</v>
      </c>
      <c r="EH100">
        <v>0</v>
      </c>
      <c r="EI100" t="s">
        <v>3</v>
      </c>
      <c r="EJ100">
        <v>2</v>
      </c>
      <c r="EK100">
        <v>67</v>
      </c>
      <c r="EL100" t="s">
        <v>116</v>
      </c>
      <c r="EM100" t="s">
        <v>117</v>
      </c>
      <c r="EO100" t="s">
        <v>3</v>
      </c>
      <c r="EQ100">
        <v>1024</v>
      </c>
      <c r="ER100">
        <v>30.69</v>
      </c>
      <c r="ES100">
        <v>30.69</v>
      </c>
      <c r="ET100">
        <v>0</v>
      </c>
      <c r="EU100">
        <v>0</v>
      </c>
      <c r="EV100">
        <v>0</v>
      </c>
      <c r="EW100">
        <v>0</v>
      </c>
      <c r="EX100">
        <v>0</v>
      </c>
      <c r="FQ100">
        <v>0</v>
      </c>
      <c r="FR100">
        <v>0</v>
      </c>
      <c r="FS100">
        <v>0</v>
      </c>
      <c r="FX100">
        <v>97</v>
      </c>
      <c r="FY100">
        <v>51</v>
      </c>
      <c r="GA100" t="s">
        <v>3</v>
      </c>
      <c r="GD100">
        <v>1</v>
      </c>
      <c r="GF100">
        <v>-688640225</v>
      </c>
      <c r="GG100">
        <v>2</v>
      </c>
      <c r="GH100">
        <v>1</v>
      </c>
      <c r="GI100">
        <v>2</v>
      </c>
      <c r="GJ100">
        <v>0</v>
      </c>
      <c r="GK100">
        <v>0</v>
      </c>
      <c r="GL100">
        <f t="shared" si="93"/>
        <v>0</v>
      </c>
      <c r="GM100">
        <f t="shared" si="94"/>
        <v>3535.49</v>
      </c>
      <c r="GN100">
        <f t="shared" si="95"/>
        <v>0</v>
      </c>
      <c r="GO100">
        <f t="shared" si="96"/>
        <v>3535.49</v>
      </c>
      <c r="GP100">
        <f t="shared" si="97"/>
        <v>0</v>
      </c>
      <c r="GR100">
        <v>0</v>
      </c>
      <c r="GS100">
        <v>3</v>
      </c>
      <c r="GT100">
        <v>0</v>
      </c>
      <c r="GU100" t="s">
        <v>3</v>
      </c>
      <c r="GV100">
        <f t="shared" si="98"/>
        <v>0</v>
      </c>
      <c r="GW100">
        <v>1</v>
      </c>
      <c r="GX100">
        <f t="shared" si="99"/>
        <v>0</v>
      </c>
      <c r="HA100">
        <v>0</v>
      </c>
      <c r="HB100">
        <v>0</v>
      </c>
      <c r="HC100">
        <f t="shared" si="100"/>
        <v>0</v>
      </c>
      <c r="HE100" t="s">
        <v>3</v>
      </c>
      <c r="HF100" t="s">
        <v>3</v>
      </c>
      <c r="HM100" t="s">
        <v>3</v>
      </c>
      <c r="HN100" t="s">
        <v>3</v>
      </c>
      <c r="HO100" t="s">
        <v>3</v>
      </c>
      <c r="HP100" t="s">
        <v>3</v>
      </c>
      <c r="HQ100" t="s">
        <v>3</v>
      </c>
      <c r="HS100">
        <v>0</v>
      </c>
      <c r="IK100">
        <v>0</v>
      </c>
    </row>
    <row r="101" spans="1:255" x14ac:dyDescent="0.3">
      <c r="A101" s="2">
        <v>18</v>
      </c>
      <c r="B101" s="2">
        <v>1</v>
      </c>
      <c r="C101" s="2"/>
      <c r="D101" s="2"/>
      <c r="E101" s="2" t="s">
        <v>3</v>
      </c>
      <c r="F101" s="2" t="s">
        <v>156</v>
      </c>
      <c r="G101" s="2" t="s">
        <v>157</v>
      </c>
      <c r="H101" s="2" t="s">
        <v>32</v>
      </c>
      <c r="I101" s="2">
        <f>I95*J101</f>
        <v>15</v>
      </c>
      <c r="J101" s="2">
        <v>7.5</v>
      </c>
      <c r="K101" s="2">
        <v>7.5</v>
      </c>
      <c r="L101" s="2"/>
      <c r="M101" s="2"/>
      <c r="N101" s="2"/>
      <c r="O101" s="2">
        <f t="shared" si="69"/>
        <v>136.80000000000001</v>
      </c>
      <c r="P101" s="2">
        <f t="shared" si="70"/>
        <v>136.80000000000001</v>
      </c>
      <c r="Q101" s="2">
        <f t="shared" si="108"/>
        <v>0</v>
      </c>
      <c r="R101" s="2">
        <f t="shared" si="71"/>
        <v>0</v>
      </c>
      <c r="S101" s="2">
        <f t="shared" si="72"/>
        <v>0</v>
      </c>
      <c r="T101" s="2">
        <f t="shared" si="73"/>
        <v>0</v>
      </c>
      <c r="U101" s="2">
        <f t="shared" si="74"/>
        <v>0</v>
      </c>
      <c r="V101" s="2">
        <f t="shared" si="75"/>
        <v>0</v>
      </c>
      <c r="W101" s="2">
        <f t="shared" si="76"/>
        <v>0</v>
      </c>
      <c r="X101" s="2">
        <f t="shared" si="77"/>
        <v>0</v>
      </c>
      <c r="Y101" s="2">
        <f t="shared" si="78"/>
        <v>0</v>
      </c>
      <c r="Z101" s="2"/>
      <c r="AA101" s="2">
        <v>-1</v>
      </c>
      <c r="AB101" s="2">
        <f t="shared" si="79"/>
        <v>9.1199999999999992</v>
      </c>
      <c r="AC101" s="2">
        <f t="shared" si="80"/>
        <v>9.1199999999999992</v>
      </c>
      <c r="AD101" s="2">
        <f t="shared" si="109"/>
        <v>0</v>
      </c>
      <c r="AE101" s="2">
        <f t="shared" si="110"/>
        <v>0</v>
      </c>
      <c r="AF101" s="2">
        <f t="shared" si="110"/>
        <v>0</v>
      </c>
      <c r="AG101" s="2">
        <f t="shared" si="81"/>
        <v>0</v>
      </c>
      <c r="AH101" s="2">
        <f t="shared" si="111"/>
        <v>0</v>
      </c>
      <c r="AI101" s="2">
        <f t="shared" si="111"/>
        <v>0</v>
      </c>
      <c r="AJ101" s="2">
        <f t="shared" si="82"/>
        <v>0</v>
      </c>
      <c r="AK101" s="2">
        <v>9.1199999999999992</v>
      </c>
      <c r="AL101" s="2">
        <v>9.1199999999999992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97</v>
      </c>
      <c r="AU101" s="2">
        <v>51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2</v>
      </c>
      <c r="BJ101" s="2" t="s">
        <v>158</v>
      </c>
      <c r="BK101" s="2"/>
      <c r="BL101" s="2"/>
      <c r="BM101" s="2">
        <v>67</v>
      </c>
      <c r="BN101" s="2">
        <v>0</v>
      </c>
      <c r="BO101" s="2" t="s">
        <v>3</v>
      </c>
      <c r="BP101" s="2">
        <v>0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97</v>
      </c>
      <c r="CA101" s="2">
        <v>51</v>
      </c>
      <c r="CB101" s="2" t="s">
        <v>3</v>
      </c>
      <c r="CC101" s="2"/>
      <c r="CD101" s="2"/>
      <c r="CE101" s="2">
        <v>30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3</v>
      </c>
      <c r="CO101" s="2">
        <v>0</v>
      </c>
      <c r="CP101" s="2">
        <f t="shared" si="83"/>
        <v>136.80000000000001</v>
      </c>
      <c r="CQ101" s="2">
        <f t="shared" si="84"/>
        <v>9.1199999999999992</v>
      </c>
      <c r="CR101" s="2">
        <f t="shared" si="112"/>
        <v>0</v>
      </c>
      <c r="CS101" s="2">
        <f t="shared" si="85"/>
        <v>0</v>
      </c>
      <c r="CT101" s="2">
        <f t="shared" si="86"/>
        <v>0</v>
      </c>
      <c r="CU101" s="2">
        <f t="shared" si="87"/>
        <v>0</v>
      </c>
      <c r="CV101" s="2">
        <f t="shared" si="88"/>
        <v>0</v>
      </c>
      <c r="CW101" s="2">
        <f t="shared" si="89"/>
        <v>0</v>
      </c>
      <c r="CX101" s="2">
        <f t="shared" si="90"/>
        <v>0</v>
      </c>
      <c r="CY101" s="2">
        <f t="shared" si="91"/>
        <v>0</v>
      </c>
      <c r="CZ101" s="2">
        <f t="shared" si="92"/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1010</v>
      </c>
      <c r="DV101" s="2" t="s">
        <v>32</v>
      </c>
      <c r="DW101" s="2" t="s">
        <v>32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58162629</v>
      </c>
      <c r="EF101" s="2">
        <v>40</v>
      </c>
      <c r="EG101" s="2" t="s">
        <v>25</v>
      </c>
      <c r="EH101" s="2">
        <v>0</v>
      </c>
      <c r="EI101" s="2" t="s">
        <v>3</v>
      </c>
      <c r="EJ101" s="2">
        <v>2</v>
      </c>
      <c r="EK101" s="2">
        <v>67</v>
      </c>
      <c r="EL101" s="2" t="s">
        <v>116</v>
      </c>
      <c r="EM101" s="2" t="s">
        <v>117</v>
      </c>
      <c r="EN101" s="2"/>
      <c r="EO101" s="2" t="s">
        <v>3</v>
      </c>
      <c r="EP101" s="2"/>
      <c r="EQ101" s="2">
        <v>1024</v>
      </c>
      <c r="ER101" s="2">
        <v>9.1199999999999992</v>
      </c>
      <c r="ES101" s="2">
        <v>9.1199999999999992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97</v>
      </c>
      <c r="FY101" s="2">
        <v>51</v>
      </c>
      <c r="FZ101" s="2"/>
      <c r="GA101" s="2" t="s">
        <v>3</v>
      </c>
      <c r="GB101" s="2"/>
      <c r="GC101" s="2"/>
      <c r="GD101" s="2">
        <v>1</v>
      </c>
      <c r="GE101" s="2"/>
      <c r="GF101" s="2">
        <v>-664968350</v>
      </c>
      <c r="GG101" s="2">
        <v>2</v>
      </c>
      <c r="GH101" s="2">
        <v>1</v>
      </c>
      <c r="GI101" s="2">
        <v>-2</v>
      </c>
      <c r="GJ101" s="2">
        <v>0</v>
      </c>
      <c r="GK101" s="2">
        <v>0</v>
      </c>
      <c r="GL101" s="2">
        <f t="shared" si="93"/>
        <v>0</v>
      </c>
      <c r="GM101" s="2">
        <f t="shared" si="94"/>
        <v>136.80000000000001</v>
      </c>
      <c r="GN101" s="2">
        <f t="shared" si="95"/>
        <v>0</v>
      </c>
      <c r="GO101" s="2">
        <f t="shared" si="96"/>
        <v>136.80000000000001</v>
      </c>
      <c r="GP101" s="2">
        <f t="shared" si="97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98"/>
        <v>0</v>
      </c>
      <c r="GW101" s="2">
        <v>1</v>
      </c>
      <c r="GX101" s="2">
        <f t="shared" si="99"/>
        <v>0</v>
      </c>
      <c r="GY101" s="2"/>
      <c r="GZ101" s="2"/>
      <c r="HA101" s="2">
        <v>0</v>
      </c>
      <c r="HB101" s="2">
        <v>0</v>
      </c>
      <c r="HC101" s="2">
        <f t="shared" si="100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3">
      <c r="A102">
        <v>18</v>
      </c>
      <c r="B102">
        <v>1</v>
      </c>
      <c r="E102" t="s">
        <v>3</v>
      </c>
      <c r="F102" t="s">
        <v>156</v>
      </c>
      <c r="G102" t="s">
        <v>157</v>
      </c>
      <c r="H102" t="s">
        <v>32</v>
      </c>
      <c r="I102">
        <f>I96*J102</f>
        <v>15</v>
      </c>
      <c r="J102">
        <v>7.5</v>
      </c>
      <c r="K102">
        <v>7.5</v>
      </c>
      <c r="O102">
        <f t="shared" si="69"/>
        <v>366.62</v>
      </c>
      <c r="P102">
        <f t="shared" si="70"/>
        <v>366.62</v>
      </c>
      <c r="Q102">
        <f t="shared" si="108"/>
        <v>0</v>
      </c>
      <c r="R102">
        <f t="shared" si="71"/>
        <v>0</v>
      </c>
      <c r="S102">
        <f t="shared" si="72"/>
        <v>0</v>
      </c>
      <c r="T102">
        <f t="shared" si="73"/>
        <v>0</v>
      </c>
      <c r="U102">
        <f t="shared" si="74"/>
        <v>0</v>
      </c>
      <c r="V102">
        <f t="shared" si="75"/>
        <v>0</v>
      </c>
      <c r="W102">
        <f t="shared" si="76"/>
        <v>0</v>
      </c>
      <c r="X102">
        <f t="shared" si="77"/>
        <v>0</v>
      </c>
      <c r="Y102">
        <f t="shared" si="78"/>
        <v>0</v>
      </c>
      <c r="AA102">
        <v>-1</v>
      </c>
      <c r="AB102">
        <f t="shared" si="79"/>
        <v>9.1199999999999992</v>
      </c>
      <c r="AC102">
        <f t="shared" si="80"/>
        <v>9.1199999999999992</v>
      </c>
      <c r="AD102">
        <f t="shared" si="109"/>
        <v>0</v>
      </c>
      <c r="AE102">
        <f t="shared" si="110"/>
        <v>0</v>
      </c>
      <c r="AF102">
        <f t="shared" si="110"/>
        <v>0</v>
      </c>
      <c r="AG102">
        <f t="shared" si="81"/>
        <v>0</v>
      </c>
      <c r="AH102">
        <f t="shared" si="111"/>
        <v>0</v>
      </c>
      <c r="AI102">
        <f t="shared" si="111"/>
        <v>0</v>
      </c>
      <c r="AJ102">
        <f t="shared" si="82"/>
        <v>0</v>
      </c>
      <c r="AK102">
        <v>9.1199999999999992</v>
      </c>
      <c r="AL102">
        <v>9.1199999999999992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97</v>
      </c>
      <c r="AU102">
        <v>51</v>
      </c>
      <c r="AV102">
        <v>1</v>
      </c>
      <c r="AW102">
        <v>1</v>
      </c>
      <c r="AZ102">
        <v>1</v>
      </c>
      <c r="BA102">
        <v>1</v>
      </c>
      <c r="BB102">
        <v>1</v>
      </c>
      <c r="BC102">
        <v>2.68</v>
      </c>
      <c r="BD102" t="s">
        <v>3</v>
      </c>
      <c r="BE102" t="s">
        <v>3</v>
      </c>
      <c r="BF102" t="s">
        <v>3</v>
      </c>
      <c r="BG102" t="s">
        <v>3</v>
      </c>
      <c r="BH102">
        <v>3</v>
      </c>
      <c r="BI102">
        <v>2</v>
      </c>
      <c r="BJ102" t="s">
        <v>158</v>
      </c>
      <c r="BM102">
        <v>67</v>
      </c>
      <c r="BN102">
        <v>0</v>
      </c>
      <c r="BO102" t="s">
        <v>156</v>
      </c>
      <c r="BP102">
        <v>1</v>
      </c>
      <c r="BQ102">
        <v>40</v>
      </c>
      <c r="BR102">
        <v>0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 t="s">
        <v>3</v>
      </c>
      <c r="BZ102">
        <v>97</v>
      </c>
      <c r="CA102">
        <v>51</v>
      </c>
      <c r="CB102" t="s">
        <v>3</v>
      </c>
      <c r="CE102">
        <v>30</v>
      </c>
      <c r="CF102">
        <v>0</v>
      </c>
      <c r="CG102">
        <v>0</v>
      </c>
      <c r="CM102">
        <v>0</v>
      </c>
      <c r="CN102" t="s">
        <v>3</v>
      </c>
      <c r="CO102">
        <v>0</v>
      </c>
      <c r="CP102">
        <f t="shared" si="83"/>
        <v>366.62</v>
      </c>
      <c r="CQ102">
        <f t="shared" si="84"/>
        <v>24.44</v>
      </c>
      <c r="CR102">
        <f t="shared" si="112"/>
        <v>0</v>
      </c>
      <c r="CS102">
        <f t="shared" si="85"/>
        <v>0</v>
      </c>
      <c r="CT102">
        <f t="shared" si="86"/>
        <v>0</v>
      </c>
      <c r="CU102">
        <f t="shared" si="87"/>
        <v>0</v>
      </c>
      <c r="CV102">
        <f t="shared" si="88"/>
        <v>0</v>
      </c>
      <c r="CW102">
        <f t="shared" si="89"/>
        <v>0</v>
      </c>
      <c r="CX102">
        <f t="shared" si="90"/>
        <v>0</v>
      </c>
      <c r="CY102">
        <f t="shared" si="91"/>
        <v>0</v>
      </c>
      <c r="CZ102">
        <f t="shared" si="92"/>
        <v>0</v>
      </c>
      <c r="DC102" t="s">
        <v>3</v>
      </c>
      <c r="DD102" t="s">
        <v>3</v>
      </c>
      <c r="DE102" t="s">
        <v>3</v>
      </c>
      <c r="DF102" t="s">
        <v>3</v>
      </c>
      <c r="DG102" t="s">
        <v>3</v>
      </c>
      <c r="DH102" t="s">
        <v>3</v>
      </c>
      <c r="DI102" t="s">
        <v>3</v>
      </c>
      <c r="DJ102" t="s">
        <v>3</v>
      </c>
      <c r="DK102" t="s">
        <v>3</v>
      </c>
      <c r="DL102" t="s">
        <v>3</v>
      </c>
      <c r="DM102" t="s">
        <v>3</v>
      </c>
      <c r="DN102">
        <v>0</v>
      </c>
      <c r="DO102">
        <v>0</v>
      </c>
      <c r="DP102">
        <v>1</v>
      </c>
      <c r="DQ102">
        <v>1</v>
      </c>
      <c r="DU102">
        <v>1010</v>
      </c>
      <c r="DV102" t="s">
        <v>32</v>
      </c>
      <c r="DW102" t="s">
        <v>32</v>
      </c>
      <c r="DX102">
        <v>1</v>
      </c>
      <c r="DZ102" t="s">
        <v>3</v>
      </c>
      <c r="EA102" t="s">
        <v>3</v>
      </c>
      <c r="EB102" t="s">
        <v>3</v>
      </c>
      <c r="EC102" t="s">
        <v>3</v>
      </c>
      <c r="EE102">
        <v>58162629</v>
      </c>
      <c r="EF102">
        <v>40</v>
      </c>
      <c r="EG102" t="s">
        <v>25</v>
      </c>
      <c r="EH102">
        <v>0</v>
      </c>
      <c r="EI102" t="s">
        <v>3</v>
      </c>
      <c r="EJ102">
        <v>2</v>
      </c>
      <c r="EK102">
        <v>67</v>
      </c>
      <c r="EL102" t="s">
        <v>116</v>
      </c>
      <c r="EM102" t="s">
        <v>117</v>
      </c>
      <c r="EO102" t="s">
        <v>3</v>
      </c>
      <c r="EQ102">
        <v>1024</v>
      </c>
      <c r="ER102">
        <v>9.1199999999999992</v>
      </c>
      <c r="ES102">
        <v>9.1199999999999992</v>
      </c>
      <c r="ET102">
        <v>0</v>
      </c>
      <c r="EU102">
        <v>0</v>
      </c>
      <c r="EV102">
        <v>0</v>
      </c>
      <c r="EW102">
        <v>0</v>
      </c>
      <c r="EX102">
        <v>0</v>
      </c>
      <c r="FQ102">
        <v>0</v>
      </c>
      <c r="FR102">
        <v>0</v>
      </c>
      <c r="FS102">
        <v>0</v>
      </c>
      <c r="FX102">
        <v>97</v>
      </c>
      <c r="FY102">
        <v>51</v>
      </c>
      <c r="GA102" t="s">
        <v>3</v>
      </c>
      <c r="GD102">
        <v>1</v>
      </c>
      <c r="GF102">
        <v>-664968350</v>
      </c>
      <c r="GG102">
        <v>2</v>
      </c>
      <c r="GH102">
        <v>1</v>
      </c>
      <c r="GI102">
        <v>2</v>
      </c>
      <c r="GJ102">
        <v>0</v>
      </c>
      <c r="GK102">
        <v>0</v>
      </c>
      <c r="GL102">
        <f t="shared" si="93"/>
        <v>0</v>
      </c>
      <c r="GM102">
        <f t="shared" si="94"/>
        <v>366.62</v>
      </c>
      <c r="GN102">
        <f t="shared" si="95"/>
        <v>0</v>
      </c>
      <c r="GO102">
        <f t="shared" si="96"/>
        <v>366.62</v>
      </c>
      <c r="GP102">
        <f t="shared" si="97"/>
        <v>0</v>
      </c>
      <c r="GR102">
        <v>0</v>
      </c>
      <c r="GS102">
        <v>3</v>
      </c>
      <c r="GT102">
        <v>0</v>
      </c>
      <c r="GU102" t="s">
        <v>3</v>
      </c>
      <c r="GV102">
        <f t="shared" si="98"/>
        <v>0</v>
      </c>
      <c r="GW102">
        <v>1</v>
      </c>
      <c r="GX102">
        <f t="shared" si="99"/>
        <v>0</v>
      </c>
      <c r="HA102">
        <v>0</v>
      </c>
      <c r="HB102">
        <v>0</v>
      </c>
      <c r="HC102">
        <f t="shared" si="100"/>
        <v>0</v>
      </c>
      <c r="HE102" t="s">
        <v>3</v>
      </c>
      <c r="HF102" t="s">
        <v>3</v>
      </c>
      <c r="HM102" t="s">
        <v>3</v>
      </c>
      <c r="HN102" t="s">
        <v>3</v>
      </c>
      <c r="HO102" t="s">
        <v>3</v>
      </c>
      <c r="HP102" t="s">
        <v>3</v>
      </c>
      <c r="HQ102" t="s">
        <v>3</v>
      </c>
      <c r="HS102">
        <v>0</v>
      </c>
      <c r="IK102">
        <v>0</v>
      </c>
    </row>
    <row r="103" spans="1:255" x14ac:dyDescent="0.3">
      <c r="A103" s="2">
        <v>17</v>
      </c>
      <c r="B103" s="2">
        <v>1</v>
      </c>
      <c r="C103" s="2"/>
      <c r="D103" s="2">
        <f>ROW(EtalonRes!A71)</f>
        <v>71</v>
      </c>
      <c r="E103" s="2" t="s">
        <v>3</v>
      </c>
      <c r="F103" s="2" t="s">
        <v>162</v>
      </c>
      <c r="G103" s="2" t="s">
        <v>163</v>
      </c>
      <c r="H103" s="2" t="s">
        <v>124</v>
      </c>
      <c r="I103" s="2">
        <f>ROUND((135+250-200)/100,9)</f>
        <v>1.85</v>
      </c>
      <c r="J103" s="2">
        <v>0</v>
      </c>
      <c r="K103" s="2">
        <f>ROUND((135+250-200)/100,9)</f>
        <v>1.85</v>
      </c>
      <c r="L103" s="2"/>
      <c r="M103" s="2"/>
      <c r="N103" s="2"/>
      <c r="O103" s="2">
        <f t="shared" si="69"/>
        <v>156.16</v>
      </c>
      <c r="P103" s="2">
        <f t="shared" si="70"/>
        <v>102.62</v>
      </c>
      <c r="Q103" s="2">
        <f>(ROUND((ROUND((((ET103*1.1))*AV103*I103),2)*BB103),2)+ROUND((ROUND(((AE103-((EU103*1.1)))*AV103*I103),2)*BS103),2))</f>
        <v>5.58</v>
      </c>
      <c r="R103" s="2">
        <f t="shared" si="71"/>
        <v>0.64</v>
      </c>
      <c r="S103" s="2">
        <f t="shared" si="72"/>
        <v>47.96</v>
      </c>
      <c r="T103" s="2">
        <f t="shared" si="73"/>
        <v>0</v>
      </c>
      <c r="U103" s="2">
        <f t="shared" si="74"/>
        <v>3.8990803500000006</v>
      </c>
      <c r="V103" s="2">
        <f t="shared" si="75"/>
        <v>0</v>
      </c>
      <c r="W103" s="2">
        <f t="shared" si="76"/>
        <v>0</v>
      </c>
      <c r="X103" s="2">
        <f t="shared" si="77"/>
        <v>47.14</v>
      </c>
      <c r="Y103" s="2">
        <f t="shared" si="78"/>
        <v>24.79</v>
      </c>
      <c r="Z103" s="2"/>
      <c r="AA103" s="2">
        <v>-1</v>
      </c>
      <c r="AB103" s="2">
        <f t="shared" si="79"/>
        <v>83.113</v>
      </c>
      <c r="AC103" s="2">
        <f t="shared" si="80"/>
        <v>55.47</v>
      </c>
      <c r="AD103" s="2">
        <f>ROUND(((((ET103*1.1))-((EU103*1.1)))+AE103),6)</f>
        <v>2.8820000000000001</v>
      </c>
      <c r="AE103" s="2">
        <f>ROUND(((EU103*1.1)),6)</f>
        <v>0.33</v>
      </c>
      <c r="AF103" s="2">
        <f>ROUND(((EV103*1.1)),6)</f>
        <v>24.760999999999999</v>
      </c>
      <c r="AG103" s="2">
        <f t="shared" si="81"/>
        <v>0</v>
      </c>
      <c r="AH103" s="2">
        <f>((EW103*1.1))</f>
        <v>2.0130000000000003</v>
      </c>
      <c r="AI103" s="2">
        <f>((EX103*1.1))</f>
        <v>0</v>
      </c>
      <c r="AJ103" s="2">
        <f t="shared" si="82"/>
        <v>0</v>
      </c>
      <c r="AK103" s="2">
        <v>80.599999999999994</v>
      </c>
      <c r="AL103" s="2">
        <v>55.47</v>
      </c>
      <c r="AM103" s="2">
        <v>2.62</v>
      </c>
      <c r="AN103" s="2">
        <v>0.3</v>
      </c>
      <c r="AO103" s="2">
        <v>22.51</v>
      </c>
      <c r="AP103" s="2">
        <v>0</v>
      </c>
      <c r="AQ103" s="2">
        <v>1.83</v>
      </c>
      <c r="AR103" s="2">
        <v>0</v>
      </c>
      <c r="AS103" s="2">
        <v>0</v>
      </c>
      <c r="AT103" s="2">
        <v>97</v>
      </c>
      <c r="AU103" s="2">
        <v>51</v>
      </c>
      <c r="AV103" s="2">
        <v>1.0469999999999999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0</v>
      </c>
      <c r="BI103" s="2">
        <v>2</v>
      </c>
      <c r="BJ103" s="2" t="s">
        <v>164</v>
      </c>
      <c r="BK103" s="2"/>
      <c r="BL103" s="2"/>
      <c r="BM103" s="2">
        <v>67</v>
      </c>
      <c r="BN103" s="2">
        <v>0</v>
      </c>
      <c r="BO103" s="2" t="s">
        <v>162</v>
      </c>
      <c r="BP103" s="2">
        <v>1</v>
      </c>
      <c r="BQ103" s="2">
        <v>40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97</v>
      </c>
      <c r="CA103" s="2">
        <v>51</v>
      </c>
      <c r="CB103" s="2" t="s">
        <v>3</v>
      </c>
      <c r="CC103" s="2"/>
      <c r="CD103" s="2"/>
      <c r="CE103" s="2">
        <v>30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83"/>
        <v>156.16</v>
      </c>
      <c r="CQ103" s="2">
        <f t="shared" si="84"/>
        <v>55.47</v>
      </c>
      <c r="CR103" s="2">
        <f>(ROUND((ROUND((((ET103*1.1))*AV103*1),2)*BB103),2)+ROUND((ROUND(((AE103-((EU103*1.1)))*AV103*1),2)*BS103),2))</f>
        <v>3.02</v>
      </c>
      <c r="CS103" s="2">
        <f t="shared" si="85"/>
        <v>0.35</v>
      </c>
      <c r="CT103" s="2">
        <f t="shared" si="86"/>
        <v>25.92</v>
      </c>
      <c r="CU103" s="2">
        <f t="shared" si="87"/>
        <v>0</v>
      </c>
      <c r="CV103" s="2">
        <f t="shared" si="88"/>
        <v>2.1076110000000003</v>
      </c>
      <c r="CW103" s="2">
        <f t="shared" si="89"/>
        <v>0</v>
      </c>
      <c r="CX103" s="2">
        <f t="shared" si="90"/>
        <v>0</v>
      </c>
      <c r="CY103" s="2">
        <f t="shared" si="91"/>
        <v>47.141999999999996</v>
      </c>
      <c r="CZ103" s="2">
        <f t="shared" si="92"/>
        <v>24.785999999999998</v>
      </c>
      <c r="DA103" s="2"/>
      <c r="DB103" s="2"/>
      <c r="DC103" s="2" t="s">
        <v>3</v>
      </c>
      <c r="DD103" s="2" t="s">
        <v>3</v>
      </c>
      <c r="DE103" s="2" t="s">
        <v>24</v>
      </c>
      <c r="DF103" s="2" t="s">
        <v>24</v>
      </c>
      <c r="DG103" s="2" t="s">
        <v>24</v>
      </c>
      <c r="DH103" s="2" t="s">
        <v>3</v>
      </c>
      <c r="DI103" s="2" t="s">
        <v>24</v>
      </c>
      <c r="DJ103" s="2" t="s">
        <v>24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1003</v>
      </c>
      <c r="DV103" s="2" t="s">
        <v>124</v>
      </c>
      <c r="DW103" s="2" t="s">
        <v>124</v>
      </c>
      <c r="DX103" s="2">
        <v>100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58162629</v>
      </c>
      <c r="EF103" s="2">
        <v>40</v>
      </c>
      <c r="EG103" s="2" t="s">
        <v>25</v>
      </c>
      <c r="EH103" s="2">
        <v>0</v>
      </c>
      <c r="EI103" s="2" t="s">
        <v>3</v>
      </c>
      <c r="EJ103" s="2">
        <v>2</v>
      </c>
      <c r="EK103" s="2">
        <v>67</v>
      </c>
      <c r="EL103" s="2" t="s">
        <v>116</v>
      </c>
      <c r="EM103" s="2" t="s">
        <v>117</v>
      </c>
      <c r="EN103" s="2"/>
      <c r="EO103" s="2" t="s">
        <v>28</v>
      </c>
      <c r="EP103" s="2"/>
      <c r="EQ103" s="2">
        <v>1024</v>
      </c>
      <c r="ER103" s="2">
        <v>80.599999999999994</v>
      </c>
      <c r="ES103" s="2">
        <v>55.47</v>
      </c>
      <c r="ET103" s="2">
        <v>2.62</v>
      </c>
      <c r="EU103" s="2">
        <v>0.3</v>
      </c>
      <c r="EV103" s="2">
        <v>22.51</v>
      </c>
      <c r="EW103" s="2">
        <v>1.83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97</v>
      </c>
      <c r="FY103" s="2">
        <v>51</v>
      </c>
      <c r="FZ103" s="2"/>
      <c r="GA103" s="2" t="s">
        <v>3</v>
      </c>
      <c r="GB103" s="2"/>
      <c r="GC103" s="2"/>
      <c r="GD103" s="2">
        <v>1</v>
      </c>
      <c r="GE103" s="2"/>
      <c r="GF103" s="2">
        <v>-938160609</v>
      </c>
      <c r="GG103" s="2">
        <v>2</v>
      </c>
      <c r="GH103" s="2">
        <v>1</v>
      </c>
      <c r="GI103" s="2">
        <v>2</v>
      </c>
      <c r="GJ103" s="2">
        <v>0</v>
      </c>
      <c r="GK103" s="2">
        <v>0</v>
      </c>
      <c r="GL103" s="2">
        <f t="shared" si="93"/>
        <v>0</v>
      </c>
      <c r="GM103" s="2">
        <f t="shared" si="94"/>
        <v>228.09</v>
      </c>
      <c r="GN103" s="2">
        <f t="shared" si="95"/>
        <v>0</v>
      </c>
      <c r="GO103" s="2">
        <f t="shared" si="96"/>
        <v>228.09</v>
      </c>
      <c r="GP103" s="2">
        <f t="shared" si="97"/>
        <v>0</v>
      </c>
      <c r="GQ103" s="2"/>
      <c r="GR103" s="2">
        <v>0</v>
      </c>
      <c r="GS103" s="2">
        <v>3</v>
      </c>
      <c r="GT103" s="2">
        <v>0</v>
      </c>
      <c r="GU103" s="2" t="s">
        <v>3</v>
      </c>
      <c r="GV103" s="2">
        <f t="shared" si="98"/>
        <v>0</v>
      </c>
      <c r="GW103" s="2">
        <v>1</v>
      </c>
      <c r="GX103" s="2">
        <f t="shared" si="99"/>
        <v>0</v>
      </c>
      <c r="GY103" s="2"/>
      <c r="GZ103" s="2"/>
      <c r="HA103" s="2">
        <v>0</v>
      </c>
      <c r="HB103" s="2">
        <v>0</v>
      </c>
      <c r="HC103" s="2">
        <f t="shared" si="100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3">
      <c r="A104">
        <v>17</v>
      </c>
      <c r="B104">
        <v>1</v>
      </c>
      <c r="D104">
        <f>ROW(EtalonRes!A80)</f>
        <v>80</v>
      </c>
      <c r="E104" t="s">
        <v>3</v>
      </c>
      <c r="F104" t="s">
        <v>162</v>
      </c>
      <c r="G104" t="s">
        <v>163</v>
      </c>
      <c r="H104" t="s">
        <v>124</v>
      </c>
      <c r="I104">
        <f>ROUND((135+250-200)/100,9)</f>
        <v>1.85</v>
      </c>
      <c r="J104">
        <v>0</v>
      </c>
      <c r="K104">
        <f>ROUND((135+250-200)/100,9)</f>
        <v>1.85</v>
      </c>
      <c r="O104">
        <f t="shared" si="69"/>
        <v>3035.72</v>
      </c>
      <c r="P104">
        <f t="shared" si="70"/>
        <v>317.10000000000002</v>
      </c>
      <c r="Q104">
        <f>(ROUND((ROUND((((ET104*1.1))*AV104*I104),2)*BB104),2)+ROUND((ROUND(((AE104-((EU104*1.1)))*AV104*I104),2)*BS104),2))</f>
        <v>81.3</v>
      </c>
      <c r="R104">
        <f t="shared" si="71"/>
        <v>35.19</v>
      </c>
      <c r="S104">
        <f t="shared" si="72"/>
        <v>2637.32</v>
      </c>
      <c r="T104">
        <f t="shared" si="73"/>
        <v>0</v>
      </c>
      <c r="U104">
        <f t="shared" si="74"/>
        <v>3.8990803500000006</v>
      </c>
      <c r="V104">
        <f t="shared" si="75"/>
        <v>0</v>
      </c>
      <c r="W104">
        <f t="shared" si="76"/>
        <v>0</v>
      </c>
      <c r="X104">
        <f t="shared" si="77"/>
        <v>2592.33</v>
      </c>
      <c r="Y104">
        <f t="shared" si="78"/>
        <v>1362.98</v>
      </c>
      <c r="AA104">
        <v>-1</v>
      </c>
      <c r="AB104">
        <f t="shared" si="79"/>
        <v>83.113</v>
      </c>
      <c r="AC104">
        <f t="shared" si="80"/>
        <v>55.47</v>
      </c>
      <c r="AD104">
        <f>ROUND(((((ET104*1.1))-((EU104*1.1)))+AE104),6)</f>
        <v>2.8820000000000001</v>
      </c>
      <c r="AE104">
        <f>ROUND(((EU104*1.1)),6)</f>
        <v>0.33</v>
      </c>
      <c r="AF104">
        <f>ROUND(((EV104*1.1)),6)</f>
        <v>24.760999999999999</v>
      </c>
      <c r="AG104">
        <f t="shared" si="81"/>
        <v>0</v>
      </c>
      <c r="AH104">
        <f>((EW104*1.1))</f>
        <v>2.0130000000000003</v>
      </c>
      <c r="AI104">
        <f>((EX104*1.1))</f>
        <v>0</v>
      </c>
      <c r="AJ104">
        <f t="shared" si="82"/>
        <v>0</v>
      </c>
      <c r="AK104">
        <v>80.599999999999994</v>
      </c>
      <c r="AL104">
        <v>55.47</v>
      </c>
      <c r="AM104">
        <v>2.62</v>
      </c>
      <c r="AN104">
        <v>0.3</v>
      </c>
      <c r="AO104">
        <v>22.51</v>
      </c>
      <c r="AP104">
        <v>0</v>
      </c>
      <c r="AQ104">
        <v>1.83</v>
      </c>
      <c r="AR104">
        <v>0</v>
      </c>
      <c r="AS104">
        <v>0</v>
      </c>
      <c r="AT104">
        <v>97</v>
      </c>
      <c r="AU104">
        <v>51</v>
      </c>
      <c r="AV104">
        <v>1.0469999999999999</v>
      </c>
      <c r="AW104">
        <v>1</v>
      </c>
      <c r="AZ104">
        <v>1</v>
      </c>
      <c r="BA104">
        <v>54.99</v>
      </c>
      <c r="BB104">
        <v>14.57</v>
      </c>
      <c r="BC104">
        <v>3.09</v>
      </c>
      <c r="BD104" t="s">
        <v>3</v>
      </c>
      <c r="BE104" t="s">
        <v>3</v>
      </c>
      <c r="BF104" t="s">
        <v>3</v>
      </c>
      <c r="BG104" t="s">
        <v>3</v>
      </c>
      <c r="BH104">
        <v>0</v>
      </c>
      <c r="BI104">
        <v>2</v>
      </c>
      <c r="BJ104" t="s">
        <v>164</v>
      </c>
      <c r="BM104">
        <v>67</v>
      </c>
      <c r="BN104">
        <v>0</v>
      </c>
      <c r="BO104" t="s">
        <v>162</v>
      </c>
      <c r="BP104">
        <v>1</v>
      </c>
      <c r="BQ104">
        <v>40</v>
      </c>
      <c r="BR104">
        <v>0</v>
      </c>
      <c r="BS104">
        <v>54.99</v>
      </c>
      <c r="BT104">
        <v>1</v>
      </c>
      <c r="BU104">
        <v>1</v>
      </c>
      <c r="BV104">
        <v>1</v>
      </c>
      <c r="BW104">
        <v>1</v>
      </c>
      <c r="BX104">
        <v>1</v>
      </c>
      <c r="BY104" t="s">
        <v>3</v>
      </c>
      <c r="BZ104">
        <v>97</v>
      </c>
      <c r="CA104">
        <v>51</v>
      </c>
      <c r="CB104" t="s">
        <v>3</v>
      </c>
      <c r="CE104">
        <v>30</v>
      </c>
      <c r="CF104">
        <v>0</v>
      </c>
      <c r="CG104">
        <v>0</v>
      </c>
      <c r="CM104">
        <v>0</v>
      </c>
      <c r="CN104" t="s">
        <v>3</v>
      </c>
      <c r="CO104">
        <v>0</v>
      </c>
      <c r="CP104">
        <f t="shared" si="83"/>
        <v>3035.7200000000003</v>
      </c>
      <c r="CQ104">
        <f t="shared" si="84"/>
        <v>171.4</v>
      </c>
      <c r="CR104">
        <f>(ROUND((ROUND((((ET104*1.1))*AV104*1),2)*BB104),2)+ROUND((ROUND(((AE104-((EU104*1.1)))*AV104*1),2)*BS104),2))</f>
        <v>44</v>
      </c>
      <c r="CS104">
        <f t="shared" si="85"/>
        <v>19.25</v>
      </c>
      <c r="CT104">
        <f t="shared" si="86"/>
        <v>1425.34</v>
      </c>
      <c r="CU104">
        <f t="shared" si="87"/>
        <v>0</v>
      </c>
      <c r="CV104">
        <f t="shared" si="88"/>
        <v>2.1076110000000003</v>
      </c>
      <c r="CW104">
        <f t="shared" si="89"/>
        <v>0</v>
      </c>
      <c r="CX104">
        <f t="shared" si="90"/>
        <v>0</v>
      </c>
      <c r="CY104">
        <f t="shared" si="91"/>
        <v>2592.3347000000003</v>
      </c>
      <c r="CZ104">
        <f t="shared" si="92"/>
        <v>1362.9801</v>
      </c>
      <c r="DC104" t="s">
        <v>3</v>
      </c>
      <c r="DD104" t="s">
        <v>3</v>
      </c>
      <c r="DE104" t="s">
        <v>24</v>
      </c>
      <c r="DF104" t="s">
        <v>24</v>
      </c>
      <c r="DG104" t="s">
        <v>24</v>
      </c>
      <c r="DH104" t="s">
        <v>3</v>
      </c>
      <c r="DI104" t="s">
        <v>24</v>
      </c>
      <c r="DJ104" t="s">
        <v>24</v>
      </c>
      <c r="DK104" t="s">
        <v>3</v>
      </c>
      <c r="DL104" t="s">
        <v>3</v>
      </c>
      <c r="DM104" t="s">
        <v>3</v>
      </c>
      <c r="DN104">
        <v>0</v>
      </c>
      <c r="DO104">
        <v>0</v>
      </c>
      <c r="DP104">
        <v>1</v>
      </c>
      <c r="DQ104">
        <v>1</v>
      </c>
      <c r="DU104">
        <v>1003</v>
      </c>
      <c r="DV104" t="s">
        <v>124</v>
      </c>
      <c r="DW104" t="s">
        <v>124</v>
      </c>
      <c r="DX104">
        <v>100</v>
      </c>
      <c r="DZ104" t="s">
        <v>3</v>
      </c>
      <c r="EA104" t="s">
        <v>3</v>
      </c>
      <c r="EB104" t="s">
        <v>3</v>
      </c>
      <c r="EC104" t="s">
        <v>3</v>
      </c>
      <c r="EE104">
        <v>58162629</v>
      </c>
      <c r="EF104">
        <v>40</v>
      </c>
      <c r="EG104" t="s">
        <v>25</v>
      </c>
      <c r="EH104">
        <v>0</v>
      </c>
      <c r="EI104" t="s">
        <v>3</v>
      </c>
      <c r="EJ104">
        <v>2</v>
      </c>
      <c r="EK104">
        <v>67</v>
      </c>
      <c r="EL104" t="s">
        <v>116</v>
      </c>
      <c r="EM104" t="s">
        <v>117</v>
      </c>
      <c r="EO104" t="s">
        <v>28</v>
      </c>
      <c r="EQ104">
        <v>1024</v>
      </c>
      <c r="ER104">
        <v>80.599999999999994</v>
      </c>
      <c r="ES104">
        <v>55.47</v>
      </c>
      <c r="ET104">
        <v>2.62</v>
      </c>
      <c r="EU104">
        <v>0.3</v>
      </c>
      <c r="EV104">
        <v>22.51</v>
      </c>
      <c r="EW104">
        <v>1.83</v>
      </c>
      <c r="EX104">
        <v>0</v>
      </c>
      <c r="EY104">
        <v>0</v>
      </c>
      <c r="FQ104">
        <v>0</v>
      </c>
      <c r="FR104">
        <v>0</v>
      </c>
      <c r="FS104">
        <v>0</v>
      </c>
      <c r="FX104">
        <v>97</v>
      </c>
      <c r="FY104">
        <v>51</v>
      </c>
      <c r="GA104" t="s">
        <v>3</v>
      </c>
      <c r="GD104">
        <v>1</v>
      </c>
      <c r="GF104">
        <v>-938160609</v>
      </c>
      <c r="GG104">
        <v>2</v>
      </c>
      <c r="GH104">
        <v>1</v>
      </c>
      <c r="GI104">
        <v>2</v>
      </c>
      <c r="GJ104">
        <v>0</v>
      </c>
      <c r="GK104">
        <v>0</v>
      </c>
      <c r="GL104">
        <f t="shared" si="93"/>
        <v>0</v>
      </c>
      <c r="GM104">
        <f t="shared" si="94"/>
        <v>6991.03</v>
      </c>
      <c r="GN104">
        <f t="shared" si="95"/>
        <v>0</v>
      </c>
      <c r="GO104">
        <f t="shared" si="96"/>
        <v>6991.03</v>
      </c>
      <c r="GP104">
        <f t="shared" si="97"/>
        <v>0</v>
      </c>
      <c r="GR104">
        <v>0</v>
      </c>
      <c r="GS104">
        <v>3</v>
      </c>
      <c r="GT104">
        <v>0</v>
      </c>
      <c r="GU104" t="s">
        <v>3</v>
      </c>
      <c r="GV104">
        <f t="shared" si="98"/>
        <v>0</v>
      </c>
      <c r="GW104">
        <v>1</v>
      </c>
      <c r="GX104">
        <f t="shared" si="99"/>
        <v>0</v>
      </c>
      <c r="HA104">
        <v>0</v>
      </c>
      <c r="HB104">
        <v>0</v>
      </c>
      <c r="HC104">
        <f t="shared" si="100"/>
        <v>0</v>
      </c>
      <c r="HE104" t="s">
        <v>3</v>
      </c>
      <c r="HF104" t="s">
        <v>3</v>
      </c>
      <c r="HM104" t="s">
        <v>3</v>
      </c>
      <c r="HN104" t="s">
        <v>3</v>
      </c>
      <c r="HO104" t="s">
        <v>3</v>
      </c>
      <c r="HP104" t="s">
        <v>3</v>
      </c>
      <c r="HQ104" t="s">
        <v>3</v>
      </c>
      <c r="HS104">
        <v>0</v>
      </c>
      <c r="IK104">
        <v>0</v>
      </c>
    </row>
    <row r="105" spans="1:255" x14ac:dyDescent="0.3">
      <c r="A105" s="2">
        <v>18</v>
      </c>
      <c r="B105" s="2">
        <v>1</v>
      </c>
      <c r="C105" s="2"/>
      <c r="D105" s="2"/>
      <c r="E105" s="2" t="s">
        <v>3</v>
      </c>
      <c r="F105" s="2" t="s">
        <v>142</v>
      </c>
      <c r="G105" s="2" t="s">
        <v>143</v>
      </c>
      <c r="H105" s="2" t="s">
        <v>144</v>
      </c>
      <c r="I105" s="2">
        <f>I103*J105</f>
        <v>5.0999999999999997E-2</v>
      </c>
      <c r="J105" s="2">
        <v>2.7567567567567564E-2</v>
      </c>
      <c r="K105" s="2">
        <v>2.7567600000000001E-2</v>
      </c>
      <c r="L105" s="2"/>
      <c r="M105" s="2"/>
      <c r="N105" s="2"/>
      <c r="O105" s="2">
        <f t="shared" si="69"/>
        <v>704.48</v>
      </c>
      <c r="P105" s="2">
        <f t="shared" si="70"/>
        <v>704.48</v>
      </c>
      <c r="Q105" s="2">
        <f>(ROUND((ROUND(((ET105)*AV105*I105),2)*BB105),2)+ROUND((ROUND(((AE105-(EU105))*AV105*I105),2)*BS105),2))</f>
        <v>0</v>
      </c>
      <c r="R105" s="2">
        <f t="shared" si="71"/>
        <v>0</v>
      </c>
      <c r="S105" s="2">
        <f t="shared" si="72"/>
        <v>0</v>
      </c>
      <c r="T105" s="2">
        <f t="shared" si="73"/>
        <v>0</v>
      </c>
      <c r="U105" s="2">
        <f t="shared" si="74"/>
        <v>0</v>
      </c>
      <c r="V105" s="2">
        <f t="shared" si="75"/>
        <v>0</v>
      </c>
      <c r="W105" s="2">
        <f t="shared" si="76"/>
        <v>0</v>
      </c>
      <c r="X105" s="2">
        <f t="shared" si="77"/>
        <v>0</v>
      </c>
      <c r="Y105" s="2">
        <f t="shared" si="78"/>
        <v>0</v>
      </c>
      <c r="Z105" s="2"/>
      <c r="AA105" s="2">
        <v>-1</v>
      </c>
      <c r="AB105" s="2">
        <f t="shared" si="79"/>
        <v>13813.36</v>
      </c>
      <c r="AC105" s="2">
        <f t="shared" si="80"/>
        <v>13813.36</v>
      </c>
      <c r="AD105" s="2">
        <f>ROUND((((ET105)-(EU105))+AE105),6)</f>
        <v>0</v>
      </c>
      <c r="AE105" s="2">
        <f t="shared" ref="AE105:AF108" si="113">ROUND((EU105),6)</f>
        <v>0</v>
      </c>
      <c r="AF105" s="2">
        <f t="shared" si="113"/>
        <v>0</v>
      </c>
      <c r="AG105" s="2">
        <f t="shared" si="81"/>
        <v>0</v>
      </c>
      <c r="AH105" s="2">
        <f t="shared" ref="AH105:AI108" si="114">(EW105)</f>
        <v>0</v>
      </c>
      <c r="AI105" s="2">
        <f t="shared" si="114"/>
        <v>0</v>
      </c>
      <c r="AJ105" s="2">
        <f t="shared" si="82"/>
        <v>0</v>
      </c>
      <c r="AK105" s="2">
        <v>13813.36</v>
      </c>
      <c r="AL105" s="2">
        <v>13813.36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97</v>
      </c>
      <c r="AU105" s="2">
        <v>51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2</v>
      </c>
      <c r="BJ105" s="2" t="s">
        <v>3</v>
      </c>
      <c r="BK105" s="2"/>
      <c r="BL105" s="2"/>
      <c r="BM105" s="2">
        <v>67</v>
      </c>
      <c r="BN105" s="2">
        <v>0</v>
      </c>
      <c r="BO105" s="2" t="s">
        <v>3</v>
      </c>
      <c r="BP105" s="2">
        <v>0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97</v>
      </c>
      <c r="CA105" s="2">
        <v>51</v>
      </c>
      <c r="CB105" s="2" t="s">
        <v>3</v>
      </c>
      <c r="CC105" s="2"/>
      <c r="CD105" s="2"/>
      <c r="CE105" s="2">
        <v>30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3</v>
      </c>
      <c r="CO105" s="2">
        <v>0</v>
      </c>
      <c r="CP105" s="2">
        <f t="shared" si="83"/>
        <v>704.48</v>
      </c>
      <c r="CQ105" s="2">
        <f t="shared" si="84"/>
        <v>13813.36</v>
      </c>
      <c r="CR105" s="2">
        <f>(ROUND((ROUND(((ET105)*AV105*1),2)*BB105),2)+ROUND((ROUND(((AE105-(EU105))*AV105*1),2)*BS105),2))</f>
        <v>0</v>
      </c>
      <c r="CS105" s="2">
        <f t="shared" si="85"/>
        <v>0</v>
      </c>
      <c r="CT105" s="2">
        <f t="shared" si="86"/>
        <v>0</v>
      </c>
      <c r="CU105" s="2">
        <f t="shared" si="87"/>
        <v>0</v>
      </c>
      <c r="CV105" s="2">
        <f t="shared" si="88"/>
        <v>0</v>
      </c>
      <c r="CW105" s="2">
        <f t="shared" si="89"/>
        <v>0</v>
      </c>
      <c r="CX105" s="2">
        <f t="shared" si="90"/>
        <v>0</v>
      </c>
      <c r="CY105" s="2">
        <f t="shared" si="91"/>
        <v>0</v>
      </c>
      <c r="CZ105" s="2">
        <f t="shared" si="92"/>
        <v>0</v>
      </c>
      <c r="DA105" s="2"/>
      <c r="DB105" s="2"/>
      <c r="DC105" s="2" t="s">
        <v>3</v>
      </c>
      <c r="DD105" s="2" t="s">
        <v>3</v>
      </c>
      <c r="DE105" s="2" t="s">
        <v>3</v>
      </c>
      <c r="DF105" s="2" t="s">
        <v>3</v>
      </c>
      <c r="DG105" s="2" t="s">
        <v>3</v>
      </c>
      <c r="DH105" s="2" t="s">
        <v>3</v>
      </c>
      <c r="DI105" s="2" t="s">
        <v>3</v>
      </c>
      <c r="DJ105" s="2" t="s">
        <v>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1003</v>
      </c>
      <c r="DV105" s="2" t="s">
        <v>144</v>
      </c>
      <c r="DW105" s="2" t="s">
        <v>144</v>
      </c>
      <c r="DX105" s="2">
        <v>1000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58162629</v>
      </c>
      <c r="EF105" s="2">
        <v>40</v>
      </c>
      <c r="EG105" s="2" t="s">
        <v>25</v>
      </c>
      <c r="EH105" s="2">
        <v>0</v>
      </c>
      <c r="EI105" s="2" t="s">
        <v>3</v>
      </c>
      <c r="EJ105" s="2">
        <v>2</v>
      </c>
      <c r="EK105" s="2">
        <v>67</v>
      </c>
      <c r="EL105" s="2" t="s">
        <v>116</v>
      </c>
      <c r="EM105" s="2" t="s">
        <v>117</v>
      </c>
      <c r="EN105" s="2"/>
      <c r="EO105" s="2" t="s">
        <v>3</v>
      </c>
      <c r="EP105" s="2"/>
      <c r="EQ105" s="2">
        <v>1024</v>
      </c>
      <c r="ER105" s="2">
        <v>0</v>
      </c>
      <c r="ES105" s="2">
        <v>13813.36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97</v>
      </c>
      <c r="FY105" s="2">
        <v>51</v>
      </c>
      <c r="FZ105" s="2"/>
      <c r="GA105" s="2" t="s">
        <v>145</v>
      </c>
      <c r="GB105" s="2"/>
      <c r="GC105" s="2"/>
      <c r="GD105" s="2">
        <v>1</v>
      </c>
      <c r="GE105" s="2"/>
      <c r="GF105" s="2">
        <v>-1070144849</v>
      </c>
      <c r="GG105" s="2">
        <v>2</v>
      </c>
      <c r="GH105" s="2">
        <v>4</v>
      </c>
      <c r="GI105" s="2">
        <v>-2</v>
      </c>
      <c r="GJ105" s="2">
        <v>0</v>
      </c>
      <c r="GK105" s="2">
        <v>0</v>
      </c>
      <c r="GL105" s="2">
        <f t="shared" si="93"/>
        <v>0</v>
      </c>
      <c r="GM105" s="2">
        <f t="shared" si="94"/>
        <v>704.48</v>
      </c>
      <c r="GN105" s="2">
        <f t="shared" si="95"/>
        <v>0</v>
      </c>
      <c r="GO105" s="2">
        <f t="shared" si="96"/>
        <v>704.48</v>
      </c>
      <c r="GP105" s="2">
        <f t="shared" si="97"/>
        <v>0</v>
      </c>
      <c r="GQ105" s="2"/>
      <c r="GR105" s="2">
        <v>0</v>
      </c>
      <c r="GS105" s="2">
        <v>2</v>
      </c>
      <c r="GT105" s="2">
        <v>0</v>
      </c>
      <c r="GU105" s="2" t="s">
        <v>3</v>
      </c>
      <c r="GV105" s="2">
        <f t="shared" si="98"/>
        <v>0</v>
      </c>
      <c r="GW105" s="2">
        <v>1</v>
      </c>
      <c r="GX105" s="2">
        <f t="shared" si="99"/>
        <v>0</v>
      </c>
      <c r="GY105" s="2"/>
      <c r="GZ105" s="2"/>
      <c r="HA105" s="2">
        <v>0</v>
      </c>
      <c r="HB105" s="2">
        <v>0</v>
      </c>
      <c r="HC105" s="2">
        <f t="shared" si="100"/>
        <v>0</v>
      </c>
      <c r="HD105" s="2"/>
      <c r="HE105" s="2" t="s">
        <v>146</v>
      </c>
      <c r="HF105" s="2" t="s">
        <v>39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3">
      <c r="A106">
        <v>18</v>
      </c>
      <c r="B106">
        <v>1</v>
      </c>
      <c r="E106" t="s">
        <v>3</v>
      </c>
      <c r="F106" t="s">
        <v>142</v>
      </c>
      <c r="G106" t="s">
        <v>143</v>
      </c>
      <c r="H106" t="s">
        <v>144</v>
      </c>
      <c r="I106">
        <f>I104*J106</f>
        <v>5.0999999999999997E-2</v>
      </c>
      <c r="J106">
        <v>2.7567567567567564E-2</v>
      </c>
      <c r="K106">
        <v>2.7567600000000001E-2</v>
      </c>
      <c r="O106">
        <f t="shared" si="69"/>
        <v>6960.26</v>
      </c>
      <c r="P106">
        <f t="shared" si="70"/>
        <v>6960.26</v>
      </c>
      <c r="Q106">
        <f>(ROUND((ROUND(((ET106)*AV106*I106),2)*BB106),2)+ROUND((ROUND(((AE106-(EU106))*AV106*I106),2)*BS106),2))</f>
        <v>0</v>
      </c>
      <c r="R106">
        <f t="shared" si="71"/>
        <v>0</v>
      </c>
      <c r="S106">
        <f t="shared" si="72"/>
        <v>0</v>
      </c>
      <c r="T106">
        <f t="shared" si="73"/>
        <v>0</v>
      </c>
      <c r="U106">
        <f t="shared" si="74"/>
        <v>0</v>
      </c>
      <c r="V106">
        <f t="shared" si="75"/>
        <v>0</v>
      </c>
      <c r="W106">
        <f t="shared" si="76"/>
        <v>0</v>
      </c>
      <c r="X106">
        <f t="shared" si="77"/>
        <v>0</v>
      </c>
      <c r="Y106">
        <f t="shared" si="78"/>
        <v>0</v>
      </c>
      <c r="AA106">
        <v>-1</v>
      </c>
      <c r="AB106">
        <f t="shared" si="79"/>
        <v>13813.36</v>
      </c>
      <c r="AC106">
        <f t="shared" si="80"/>
        <v>13813.36</v>
      </c>
      <c r="AD106">
        <f>ROUND((((ET106)-(EU106))+AE106),6)</f>
        <v>0</v>
      </c>
      <c r="AE106">
        <f t="shared" si="113"/>
        <v>0</v>
      </c>
      <c r="AF106">
        <f t="shared" si="113"/>
        <v>0</v>
      </c>
      <c r="AG106">
        <f t="shared" si="81"/>
        <v>0</v>
      </c>
      <c r="AH106">
        <f t="shared" si="114"/>
        <v>0</v>
      </c>
      <c r="AI106">
        <f t="shared" si="114"/>
        <v>0</v>
      </c>
      <c r="AJ106">
        <f t="shared" si="82"/>
        <v>0</v>
      </c>
      <c r="AK106">
        <v>13813.36</v>
      </c>
      <c r="AL106">
        <v>13813.36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97</v>
      </c>
      <c r="AU106">
        <v>51</v>
      </c>
      <c r="AV106">
        <v>1</v>
      </c>
      <c r="AW106">
        <v>1</v>
      </c>
      <c r="AZ106">
        <v>1</v>
      </c>
      <c r="BA106">
        <v>1</v>
      </c>
      <c r="BB106">
        <v>1</v>
      </c>
      <c r="BC106">
        <v>9.8800000000000008</v>
      </c>
      <c r="BD106" t="s">
        <v>3</v>
      </c>
      <c r="BE106" t="s">
        <v>3</v>
      </c>
      <c r="BF106" t="s">
        <v>3</v>
      </c>
      <c r="BG106" t="s">
        <v>3</v>
      </c>
      <c r="BH106">
        <v>3</v>
      </c>
      <c r="BI106">
        <v>2</v>
      </c>
      <c r="BJ106" t="s">
        <v>3</v>
      </c>
      <c r="BM106">
        <v>67</v>
      </c>
      <c r="BN106">
        <v>0</v>
      </c>
      <c r="BO106" t="s">
        <v>3</v>
      </c>
      <c r="BP106">
        <v>0</v>
      </c>
      <c r="BQ106">
        <v>40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 t="s">
        <v>3</v>
      </c>
      <c r="BZ106">
        <v>97</v>
      </c>
      <c r="CA106">
        <v>51</v>
      </c>
      <c r="CB106" t="s">
        <v>3</v>
      </c>
      <c r="CE106">
        <v>30</v>
      </c>
      <c r="CF106">
        <v>0</v>
      </c>
      <c r="CG106">
        <v>0</v>
      </c>
      <c r="CM106">
        <v>0</v>
      </c>
      <c r="CN106" t="s">
        <v>3</v>
      </c>
      <c r="CO106">
        <v>0</v>
      </c>
      <c r="CP106">
        <f t="shared" si="83"/>
        <v>6960.26</v>
      </c>
      <c r="CQ106">
        <f t="shared" si="84"/>
        <v>136476</v>
      </c>
      <c r="CR106">
        <f>(ROUND((ROUND(((ET106)*AV106*1),2)*BB106),2)+ROUND((ROUND(((AE106-(EU106))*AV106*1),2)*BS106),2))</f>
        <v>0</v>
      </c>
      <c r="CS106">
        <f t="shared" si="85"/>
        <v>0</v>
      </c>
      <c r="CT106">
        <f t="shared" si="86"/>
        <v>0</v>
      </c>
      <c r="CU106">
        <f t="shared" si="87"/>
        <v>0</v>
      </c>
      <c r="CV106">
        <f t="shared" si="88"/>
        <v>0</v>
      </c>
      <c r="CW106">
        <f t="shared" si="89"/>
        <v>0</v>
      </c>
      <c r="CX106">
        <f t="shared" si="90"/>
        <v>0</v>
      </c>
      <c r="CY106">
        <f t="shared" si="91"/>
        <v>0</v>
      </c>
      <c r="CZ106">
        <f t="shared" si="92"/>
        <v>0</v>
      </c>
      <c r="DC106" t="s">
        <v>3</v>
      </c>
      <c r="DD106" t="s">
        <v>3</v>
      </c>
      <c r="DE106" t="s">
        <v>3</v>
      </c>
      <c r="DF106" t="s">
        <v>3</v>
      </c>
      <c r="DG106" t="s">
        <v>3</v>
      </c>
      <c r="DH106" t="s">
        <v>3</v>
      </c>
      <c r="DI106" t="s">
        <v>3</v>
      </c>
      <c r="DJ106" t="s">
        <v>3</v>
      </c>
      <c r="DK106" t="s">
        <v>3</v>
      </c>
      <c r="DL106" t="s">
        <v>3</v>
      </c>
      <c r="DM106" t="s">
        <v>3</v>
      </c>
      <c r="DN106">
        <v>0</v>
      </c>
      <c r="DO106">
        <v>0</v>
      </c>
      <c r="DP106">
        <v>1</v>
      </c>
      <c r="DQ106">
        <v>1</v>
      </c>
      <c r="DU106">
        <v>1003</v>
      </c>
      <c r="DV106" t="s">
        <v>144</v>
      </c>
      <c r="DW106" t="s">
        <v>144</v>
      </c>
      <c r="DX106">
        <v>1000</v>
      </c>
      <c r="DZ106" t="s">
        <v>3</v>
      </c>
      <c r="EA106" t="s">
        <v>3</v>
      </c>
      <c r="EB106" t="s">
        <v>3</v>
      </c>
      <c r="EC106" t="s">
        <v>3</v>
      </c>
      <c r="EE106">
        <v>58162629</v>
      </c>
      <c r="EF106">
        <v>40</v>
      </c>
      <c r="EG106" t="s">
        <v>25</v>
      </c>
      <c r="EH106">
        <v>0</v>
      </c>
      <c r="EI106" t="s">
        <v>3</v>
      </c>
      <c r="EJ106">
        <v>2</v>
      </c>
      <c r="EK106">
        <v>67</v>
      </c>
      <c r="EL106" t="s">
        <v>116</v>
      </c>
      <c r="EM106" t="s">
        <v>117</v>
      </c>
      <c r="EO106" t="s">
        <v>3</v>
      </c>
      <c r="EQ106">
        <v>1024</v>
      </c>
      <c r="ER106">
        <v>13813.36</v>
      </c>
      <c r="ES106">
        <v>13813.36</v>
      </c>
      <c r="ET106">
        <v>0</v>
      </c>
      <c r="EU106">
        <v>0</v>
      </c>
      <c r="EV106">
        <v>0</v>
      </c>
      <c r="EW106">
        <v>0</v>
      </c>
      <c r="EX106">
        <v>0</v>
      </c>
      <c r="EZ106">
        <v>5</v>
      </c>
      <c r="FC106">
        <v>1</v>
      </c>
      <c r="FD106">
        <v>18</v>
      </c>
      <c r="FF106">
        <v>160560</v>
      </c>
      <c r="FQ106">
        <v>0</v>
      </c>
      <c r="FR106">
        <v>0</v>
      </c>
      <c r="FS106">
        <v>0</v>
      </c>
      <c r="FX106">
        <v>97</v>
      </c>
      <c r="FY106">
        <v>51</v>
      </c>
      <c r="GA106" t="s">
        <v>145</v>
      </c>
      <c r="GD106">
        <v>1</v>
      </c>
      <c r="GF106">
        <v>-1070144849</v>
      </c>
      <c r="GG106">
        <v>2</v>
      </c>
      <c r="GH106">
        <v>3</v>
      </c>
      <c r="GI106">
        <v>5</v>
      </c>
      <c r="GJ106">
        <v>0</v>
      </c>
      <c r="GK106">
        <v>0</v>
      </c>
      <c r="GL106">
        <f t="shared" si="93"/>
        <v>0</v>
      </c>
      <c r="GM106">
        <f t="shared" si="94"/>
        <v>6960.26</v>
      </c>
      <c r="GN106">
        <f t="shared" si="95"/>
        <v>0</v>
      </c>
      <c r="GO106">
        <f t="shared" si="96"/>
        <v>6960.26</v>
      </c>
      <c r="GP106">
        <f t="shared" si="97"/>
        <v>0</v>
      </c>
      <c r="GR106">
        <v>1</v>
      </c>
      <c r="GS106">
        <v>1</v>
      </c>
      <c r="GT106">
        <v>0</v>
      </c>
      <c r="GU106" t="s">
        <v>3</v>
      </c>
      <c r="GV106">
        <f t="shared" si="98"/>
        <v>0</v>
      </c>
      <c r="GW106">
        <v>1</v>
      </c>
      <c r="GX106">
        <f t="shared" si="99"/>
        <v>0</v>
      </c>
      <c r="HA106">
        <v>0</v>
      </c>
      <c r="HB106">
        <v>0</v>
      </c>
      <c r="HC106">
        <f t="shared" si="100"/>
        <v>0</v>
      </c>
      <c r="HE106" t="s">
        <v>146</v>
      </c>
      <c r="HF106" t="s">
        <v>39</v>
      </c>
      <c r="HM106" t="s">
        <v>3</v>
      </c>
      <c r="HN106" t="s">
        <v>3</v>
      </c>
      <c r="HO106" t="s">
        <v>3</v>
      </c>
      <c r="HP106" t="s">
        <v>3</v>
      </c>
      <c r="HQ106" t="s">
        <v>3</v>
      </c>
      <c r="HS106">
        <v>0</v>
      </c>
      <c r="IK106">
        <v>0</v>
      </c>
    </row>
    <row r="107" spans="1:255" x14ac:dyDescent="0.3">
      <c r="A107" s="2">
        <v>18</v>
      </c>
      <c r="B107" s="2">
        <v>1</v>
      </c>
      <c r="C107" s="2"/>
      <c r="D107" s="2"/>
      <c r="E107" s="2" t="s">
        <v>3</v>
      </c>
      <c r="F107" s="2" t="s">
        <v>148</v>
      </c>
      <c r="G107" s="2" t="s">
        <v>149</v>
      </c>
      <c r="H107" s="2" t="s">
        <v>144</v>
      </c>
      <c r="I107" s="2">
        <f>I103*J107</f>
        <v>0.13769999999999999</v>
      </c>
      <c r="J107" s="2">
        <v>7.4432432432432416E-2</v>
      </c>
      <c r="K107" s="2">
        <v>7.4432399999999996E-2</v>
      </c>
      <c r="L107" s="2"/>
      <c r="M107" s="2"/>
      <c r="N107" s="2"/>
      <c r="O107" s="2">
        <f t="shared" ref="O107:O128" si="115">ROUND(CP107,2)</f>
        <v>3068.05</v>
      </c>
      <c r="P107" s="2">
        <f t="shared" ref="P107:P128" si="116">ROUND((ROUND((AC107*AW107*I107),2)*BC107),2)</f>
        <v>3068.05</v>
      </c>
      <c r="Q107" s="2">
        <f>(ROUND((ROUND(((ET107)*AV107*I107),2)*BB107),2)+ROUND((ROUND(((AE107-(EU107))*AV107*I107),2)*BS107),2))</f>
        <v>0</v>
      </c>
      <c r="R107" s="2">
        <f t="shared" ref="R107:R128" si="117">ROUND((ROUND((AE107*AV107*I107),2)*BS107),2)</f>
        <v>0</v>
      </c>
      <c r="S107" s="2">
        <f t="shared" ref="S107:S128" si="118">ROUND((ROUND((AF107*AV107*I107),2)*BA107),2)</f>
        <v>0</v>
      </c>
      <c r="T107" s="2">
        <f t="shared" ref="T107:T128" si="119">ROUND(CU107*I107,2)</f>
        <v>0</v>
      </c>
      <c r="U107" s="2">
        <f t="shared" ref="U107:U128" si="120">CV107*I107</f>
        <v>0</v>
      </c>
      <c r="V107" s="2">
        <f t="shared" ref="V107:V128" si="121">CW107*I107</f>
        <v>0</v>
      </c>
      <c r="W107" s="2">
        <f t="shared" ref="W107:W128" si="122">ROUND(CX107*I107,2)</f>
        <v>0</v>
      </c>
      <c r="X107" s="2">
        <f t="shared" ref="X107:X128" si="123">ROUND(CY107,2)</f>
        <v>0</v>
      </c>
      <c r="Y107" s="2">
        <f t="shared" ref="Y107:Y128" si="124">ROUND(CZ107,2)</f>
        <v>0</v>
      </c>
      <c r="Z107" s="2"/>
      <c r="AA107" s="2">
        <v>-1</v>
      </c>
      <c r="AB107" s="2">
        <f t="shared" ref="AB107:AB128" si="125">ROUND((AC107+AD107+AF107),6)</f>
        <v>22280.67</v>
      </c>
      <c r="AC107" s="2">
        <f t="shared" ref="AC107:AC128" si="126">ROUND((ES107),6)</f>
        <v>22280.67</v>
      </c>
      <c r="AD107" s="2">
        <f>ROUND((((ET107)-(EU107))+AE107),6)</f>
        <v>0</v>
      </c>
      <c r="AE107" s="2">
        <f t="shared" si="113"/>
        <v>0</v>
      </c>
      <c r="AF107" s="2">
        <f t="shared" si="113"/>
        <v>0</v>
      </c>
      <c r="AG107" s="2">
        <f t="shared" ref="AG107:AG128" si="127">ROUND((AP107),6)</f>
        <v>0</v>
      </c>
      <c r="AH107" s="2">
        <f t="shared" si="114"/>
        <v>0</v>
      </c>
      <c r="AI107" s="2">
        <f t="shared" si="114"/>
        <v>0</v>
      </c>
      <c r="AJ107" s="2">
        <f t="shared" ref="AJ107:AJ128" si="128">(AS107)</f>
        <v>0</v>
      </c>
      <c r="AK107" s="2">
        <v>22280.670000000002</v>
      </c>
      <c r="AL107" s="2">
        <v>22280.670000000002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97</v>
      </c>
      <c r="AU107" s="2">
        <v>51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2</v>
      </c>
      <c r="BJ107" s="2" t="s">
        <v>3</v>
      </c>
      <c r="BK107" s="2"/>
      <c r="BL107" s="2"/>
      <c r="BM107" s="2">
        <v>67</v>
      </c>
      <c r="BN107" s="2">
        <v>0</v>
      </c>
      <c r="BO107" s="2" t="s">
        <v>3</v>
      </c>
      <c r="BP107" s="2">
        <v>0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97</v>
      </c>
      <c r="CA107" s="2">
        <v>51</v>
      </c>
      <c r="CB107" s="2" t="s">
        <v>3</v>
      </c>
      <c r="CC107" s="2"/>
      <c r="CD107" s="2"/>
      <c r="CE107" s="2">
        <v>30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ref="CP107:CP128" si="129">(P107+Q107+S107)</f>
        <v>3068.05</v>
      </c>
      <c r="CQ107" s="2">
        <f t="shared" ref="CQ107:CQ128" si="130">ROUND((ROUND((AC107*AW107*1),2)*BC107),2)</f>
        <v>22280.67</v>
      </c>
      <c r="CR107" s="2">
        <f>(ROUND((ROUND(((ET107)*AV107*1),2)*BB107),2)+ROUND((ROUND(((AE107-(EU107))*AV107*1),2)*BS107),2))</f>
        <v>0</v>
      </c>
      <c r="CS107" s="2">
        <f t="shared" ref="CS107:CS128" si="131">ROUND((ROUND((AE107*AV107*1),2)*BS107),2)</f>
        <v>0</v>
      </c>
      <c r="CT107" s="2">
        <f t="shared" ref="CT107:CT128" si="132">ROUND((ROUND((AF107*AV107*1),2)*BA107),2)</f>
        <v>0</v>
      </c>
      <c r="CU107" s="2">
        <f t="shared" ref="CU107:CU128" si="133">AG107</f>
        <v>0</v>
      </c>
      <c r="CV107" s="2">
        <f t="shared" ref="CV107:CV128" si="134">(AH107*AV107)</f>
        <v>0</v>
      </c>
      <c r="CW107" s="2">
        <f t="shared" ref="CW107:CW128" si="135">AI107</f>
        <v>0</v>
      </c>
      <c r="CX107" s="2">
        <f t="shared" ref="CX107:CX128" si="136">AJ107</f>
        <v>0</v>
      </c>
      <c r="CY107" s="2">
        <f t="shared" ref="CY107:CY128" si="137">(((S107+R107)*AT107)/100)</f>
        <v>0</v>
      </c>
      <c r="CZ107" s="2">
        <f t="shared" ref="CZ107:CZ128" si="138">(((S107+R107)*AU107)/100)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1003</v>
      </c>
      <c r="DV107" s="2" t="s">
        <v>144</v>
      </c>
      <c r="DW107" s="2" t="s">
        <v>144</v>
      </c>
      <c r="DX107" s="2">
        <v>1000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58162629</v>
      </c>
      <c r="EF107" s="2">
        <v>40</v>
      </c>
      <c r="EG107" s="2" t="s">
        <v>25</v>
      </c>
      <c r="EH107" s="2">
        <v>0</v>
      </c>
      <c r="EI107" s="2" t="s">
        <v>3</v>
      </c>
      <c r="EJ107" s="2">
        <v>2</v>
      </c>
      <c r="EK107" s="2">
        <v>67</v>
      </c>
      <c r="EL107" s="2" t="s">
        <v>116</v>
      </c>
      <c r="EM107" s="2" t="s">
        <v>117</v>
      </c>
      <c r="EN107" s="2"/>
      <c r="EO107" s="2" t="s">
        <v>3</v>
      </c>
      <c r="EP107" s="2"/>
      <c r="EQ107" s="2">
        <v>1024</v>
      </c>
      <c r="ER107" s="2">
        <v>0</v>
      </c>
      <c r="ES107" s="2">
        <v>22280.670000000002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97</v>
      </c>
      <c r="FY107" s="2">
        <v>51</v>
      </c>
      <c r="FZ107" s="2"/>
      <c r="GA107" s="2" t="s">
        <v>150</v>
      </c>
      <c r="GB107" s="2"/>
      <c r="GC107" s="2"/>
      <c r="GD107" s="2">
        <v>1</v>
      </c>
      <c r="GE107" s="2"/>
      <c r="GF107" s="2">
        <v>585815009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ref="GL107:GL128" si="139">ROUND(IF(AND(BH107=3,BI107=3,FS107&lt;&gt;0),P107,0),2)</f>
        <v>0</v>
      </c>
      <c r="GM107" s="2">
        <f t="shared" ref="GM107:GM128" si="140">ROUND(O107+X107+Y107,2)+GX107</f>
        <v>3068.05</v>
      </c>
      <c r="GN107" s="2">
        <f t="shared" ref="GN107:GN128" si="141">IF(OR(BI107=0,BI107=1),GM107-GX107,0)</f>
        <v>0</v>
      </c>
      <c r="GO107" s="2">
        <f t="shared" ref="GO107:GO128" si="142">IF(BI107=2,GM107-GX107,0)</f>
        <v>3068.05</v>
      </c>
      <c r="GP107" s="2">
        <f t="shared" ref="GP107:GP128" si="143">IF(BI107=4,GM107-GX107,0)</f>
        <v>0</v>
      </c>
      <c r="GQ107" s="2"/>
      <c r="GR107" s="2">
        <v>0</v>
      </c>
      <c r="GS107" s="2">
        <v>2</v>
      </c>
      <c r="GT107" s="2">
        <v>0</v>
      </c>
      <c r="GU107" s="2" t="s">
        <v>3</v>
      </c>
      <c r="GV107" s="2">
        <f t="shared" ref="GV107:GV128" si="144">ROUND((GT107),6)</f>
        <v>0</v>
      </c>
      <c r="GW107" s="2">
        <v>1</v>
      </c>
      <c r="GX107" s="2">
        <f t="shared" ref="GX107:GX128" si="145">ROUND(HC107*I107,2)</f>
        <v>0</v>
      </c>
      <c r="GY107" s="2"/>
      <c r="GZ107" s="2"/>
      <c r="HA107" s="2">
        <v>0</v>
      </c>
      <c r="HB107" s="2">
        <v>0</v>
      </c>
      <c r="HC107" s="2">
        <f t="shared" ref="HC107:HC128" si="146">GV107*GW107</f>
        <v>0</v>
      </c>
      <c r="HD107" s="2"/>
      <c r="HE107" s="2" t="s">
        <v>146</v>
      </c>
      <c r="HF107" s="2" t="s">
        <v>39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3">
      <c r="A108">
        <v>18</v>
      </c>
      <c r="B108">
        <v>1</v>
      </c>
      <c r="E108" t="s">
        <v>3</v>
      </c>
      <c r="F108" t="s">
        <v>148</v>
      </c>
      <c r="G108" t="s">
        <v>149</v>
      </c>
      <c r="H108" t="s">
        <v>144</v>
      </c>
      <c r="I108">
        <f>I104*J108</f>
        <v>0.13769999999999999</v>
      </c>
      <c r="J108">
        <v>7.4432432432432416E-2</v>
      </c>
      <c r="K108">
        <v>7.4432399999999996E-2</v>
      </c>
      <c r="O108">
        <f t="shared" si="115"/>
        <v>30312.33</v>
      </c>
      <c r="P108">
        <f t="shared" si="116"/>
        <v>30312.33</v>
      </c>
      <c r="Q108">
        <f>(ROUND((ROUND(((ET108)*AV108*I108),2)*BB108),2)+ROUND((ROUND(((AE108-(EU108))*AV108*I108),2)*BS108),2))</f>
        <v>0</v>
      </c>
      <c r="R108">
        <f t="shared" si="117"/>
        <v>0</v>
      </c>
      <c r="S108">
        <f t="shared" si="118"/>
        <v>0</v>
      </c>
      <c r="T108">
        <f t="shared" si="119"/>
        <v>0</v>
      </c>
      <c r="U108">
        <f t="shared" si="120"/>
        <v>0</v>
      </c>
      <c r="V108">
        <f t="shared" si="121"/>
        <v>0</v>
      </c>
      <c r="W108">
        <f t="shared" si="122"/>
        <v>0</v>
      </c>
      <c r="X108">
        <f t="shared" si="123"/>
        <v>0</v>
      </c>
      <c r="Y108">
        <f t="shared" si="124"/>
        <v>0</v>
      </c>
      <c r="AA108">
        <v>-1</v>
      </c>
      <c r="AB108">
        <f t="shared" si="125"/>
        <v>22280.67</v>
      </c>
      <c r="AC108">
        <f t="shared" si="126"/>
        <v>22280.67</v>
      </c>
      <c r="AD108">
        <f>ROUND((((ET108)-(EU108))+AE108),6)</f>
        <v>0</v>
      </c>
      <c r="AE108">
        <f t="shared" si="113"/>
        <v>0</v>
      </c>
      <c r="AF108">
        <f t="shared" si="113"/>
        <v>0</v>
      </c>
      <c r="AG108">
        <f t="shared" si="127"/>
        <v>0</v>
      </c>
      <c r="AH108">
        <f t="shared" si="114"/>
        <v>0</v>
      </c>
      <c r="AI108">
        <f t="shared" si="114"/>
        <v>0</v>
      </c>
      <c r="AJ108">
        <f t="shared" si="128"/>
        <v>0</v>
      </c>
      <c r="AK108">
        <v>22280.670000000002</v>
      </c>
      <c r="AL108">
        <v>22280.670000000002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97</v>
      </c>
      <c r="AU108">
        <v>51</v>
      </c>
      <c r="AV108">
        <v>1</v>
      </c>
      <c r="AW108">
        <v>1</v>
      </c>
      <c r="AZ108">
        <v>1</v>
      </c>
      <c r="BA108">
        <v>1</v>
      </c>
      <c r="BB108">
        <v>1</v>
      </c>
      <c r="BC108">
        <v>9.8800000000000008</v>
      </c>
      <c r="BD108" t="s">
        <v>3</v>
      </c>
      <c r="BE108" t="s">
        <v>3</v>
      </c>
      <c r="BF108" t="s">
        <v>3</v>
      </c>
      <c r="BG108" t="s">
        <v>3</v>
      </c>
      <c r="BH108">
        <v>3</v>
      </c>
      <c r="BI108">
        <v>2</v>
      </c>
      <c r="BJ108" t="s">
        <v>3</v>
      </c>
      <c r="BM108">
        <v>67</v>
      </c>
      <c r="BN108">
        <v>0</v>
      </c>
      <c r="BO108" t="s">
        <v>3</v>
      </c>
      <c r="BP108">
        <v>0</v>
      </c>
      <c r="BQ108">
        <v>40</v>
      </c>
      <c r="BR108">
        <v>0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 t="s">
        <v>3</v>
      </c>
      <c r="BZ108">
        <v>97</v>
      </c>
      <c r="CA108">
        <v>51</v>
      </c>
      <c r="CB108" t="s">
        <v>3</v>
      </c>
      <c r="CE108">
        <v>30</v>
      </c>
      <c r="CF108">
        <v>0</v>
      </c>
      <c r="CG108">
        <v>0</v>
      </c>
      <c r="CM108">
        <v>0</v>
      </c>
      <c r="CN108" t="s">
        <v>3</v>
      </c>
      <c r="CO108">
        <v>0</v>
      </c>
      <c r="CP108">
        <f t="shared" si="129"/>
        <v>30312.33</v>
      </c>
      <c r="CQ108">
        <f t="shared" si="130"/>
        <v>220133.02</v>
      </c>
      <c r="CR108">
        <f>(ROUND((ROUND(((ET108)*AV108*1),2)*BB108),2)+ROUND((ROUND(((AE108-(EU108))*AV108*1),2)*BS108),2))</f>
        <v>0</v>
      </c>
      <c r="CS108">
        <f t="shared" si="131"/>
        <v>0</v>
      </c>
      <c r="CT108">
        <f t="shared" si="132"/>
        <v>0</v>
      </c>
      <c r="CU108">
        <f t="shared" si="133"/>
        <v>0</v>
      </c>
      <c r="CV108">
        <f t="shared" si="134"/>
        <v>0</v>
      </c>
      <c r="CW108">
        <f t="shared" si="135"/>
        <v>0</v>
      </c>
      <c r="CX108">
        <f t="shared" si="136"/>
        <v>0</v>
      </c>
      <c r="CY108">
        <f t="shared" si="137"/>
        <v>0</v>
      </c>
      <c r="CZ108">
        <f t="shared" si="138"/>
        <v>0</v>
      </c>
      <c r="DC108" t="s">
        <v>3</v>
      </c>
      <c r="DD108" t="s">
        <v>3</v>
      </c>
      <c r="DE108" t="s">
        <v>3</v>
      </c>
      <c r="DF108" t="s">
        <v>3</v>
      </c>
      <c r="DG108" t="s">
        <v>3</v>
      </c>
      <c r="DH108" t="s">
        <v>3</v>
      </c>
      <c r="DI108" t="s">
        <v>3</v>
      </c>
      <c r="DJ108" t="s">
        <v>3</v>
      </c>
      <c r="DK108" t="s">
        <v>3</v>
      </c>
      <c r="DL108" t="s">
        <v>3</v>
      </c>
      <c r="DM108" t="s">
        <v>3</v>
      </c>
      <c r="DN108">
        <v>0</v>
      </c>
      <c r="DO108">
        <v>0</v>
      </c>
      <c r="DP108">
        <v>1</v>
      </c>
      <c r="DQ108">
        <v>1</v>
      </c>
      <c r="DU108">
        <v>1003</v>
      </c>
      <c r="DV108" t="s">
        <v>144</v>
      </c>
      <c r="DW108" t="s">
        <v>144</v>
      </c>
      <c r="DX108">
        <v>1000</v>
      </c>
      <c r="DZ108" t="s">
        <v>3</v>
      </c>
      <c r="EA108" t="s">
        <v>3</v>
      </c>
      <c r="EB108" t="s">
        <v>3</v>
      </c>
      <c r="EC108" t="s">
        <v>3</v>
      </c>
      <c r="EE108">
        <v>58162629</v>
      </c>
      <c r="EF108">
        <v>40</v>
      </c>
      <c r="EG108" t="s">
        <v>25</v>
      </c>
      <c r="EH108">
        <v>0</v>
      </c>
      <c r="EI108" t="s">
        <v>3</v>
      </c>
      <c r="EJ108">
        <v>2</v>
      </c>
      <c r="EK108">
        <v>67</v>
      </c>
      <c r="EL108" t="s">
        <v>116</v>
      </c>
      <c r="EM108" t="s">
        <v>117</v>
      </c>
      <c r="EO108" t="s">
        <v>3</v>
      </c>
      <c r="EQ108">
        <v>1024</v>
      </c>
      <c r="ER108">
        <v>22280.670000000002</v>
      </c>
      <c r="ES108">
        <v>22280.670000000002</v>
      </c>
      <c r="ET108">
        <v>0</v>
      </c>
      <c r="EU108">
        <v>0</v>
      </c>
      <c r="EV108">
        <v>0</v>
      </c>
      <c r="EW108">
        <v>0</v>
      </c>
      <c r="EX108">
        <v>0</v>
      </c>
      <c r="EZ108">
        <v>5</v>
      </c>
      <c r="FC108">
        <v>1</v>
      </c>
      <c r="FD108">
        <v>18</v>
      </c>
      <c r="FF108">
        <v>258980</v>
      </c>
      <c r="FQ108">
        <v>0</v>
      </c>
      <c r="FR108">
        <v>0</v>
      </c>
      <c r="FS108">
        <v>0</v>
      </c>
      <c r="FX108">
        <v>97</v>
      </c>
      <c r="FY108">
        <v>51</v>
      </c>
      <c r="GA108" t="s">
        <v>150</v>
      </c>
      <c r="GD108">
        <v>1</v>
      </c>
      <c r="GF108">
        <v>585815009</v>
      </c>
      <c r="GG108">
        <v>2</v>
      </c>
      <c r="GH108">
        <v>3</v>
      </c>
      <c r="GI108">
        <v>5</v>
      </c>
      <c r="GJ108">
        <v>0</v>
      </c>
      <c r="GK108">
        <v>0</v>
      </c>
      <c r="GL108">
        <f t="shared" si="139"/>
        <v>0</v>
      </c>
      <c r="GM108">
        <f t="shared" si="140"/>
        <v>30312.33</v>
      </c>
      <c r="GN108">
        <f t="shared" si="141"/>
        <v>0</v>
      </c>
      <c r="GO108">
        <f t="shared" si="142"/>
        <v>30312.33</v>
      </c>
      <c r="GP108">
        <f t="shared" si="143"/>
        <v>0</v>
      </c>
      <c r="GR108">
        <v>1</v>
      </c>
      <c r="GS108">
        <v>1</v>
      </c>
      <c r="GT108">
        <v>0</v>
      </c>
      <c r="GU108" t="s">
        <v>3</v>
      </c>
      <c r="GV108">
        <f t="shared" si="144"/>
        <v>0</v>
      </c>
      <c r="GW108">
        <v>1</v>
      </c>
      <c r="GX108">
        <f t="shared" si="145"/>
        <v>0</v>
      </c>
      <c r="HA108">
        <v>0</v>
      </c>
      <c r="HB108">
        <v>0</v>
      </c>
      <c r="HC108">
        <f t="shared" si="146"/>
        <v>0</v>
      </c>
      <c r="HE108" t="s">
        <v>146</v>
      </c>
      <c r="HF108" t="s">
        <v>39</v>
      </c>
      <c r="HM108" t="s">
        <v>3</v>
      </c>
      <c r="HN108" t="s">
        <v>3</v>
      </c>
      <c r="HO108" t="s">
        <v>3</v>
      </c>
      <c r="HP108" t="s">
        <v>3</v>
      </c>
      <c r="HQ108" t="s">
        <v>3</v>
      </c>
      <c r="HS108">
        <v>0</v>
      </c>
      <c r="IK108">
        <v>0</v>
      </c>
    </row>
    <row r="109" spans="1:255" x14ac:dyDescent="0.3">
      <c r="A109" s="2">
        <v>17</v>
      </c>
      <c r="B109" s="2">
        <v>1</v>
      </c>
      <c r="C109" s="2"/>
      <c r="D109" s="2">
        <f>ROW(EtalonRes!A81)</f>
        <v>81</v>
      </c>
      <c r="E109" s="2" t="s">
        <v>165</v>
      </c>
      <c r="F109" s="2" t="s">
        <v>166</v>
      </c>
      <c r="G109" s="2" t="s">
        <v>167</v>
      </c>
      <c r="H109" s="2" t="s">
        <v>168</v>
      </c>
      <c r="I109" s="2">
        <f>ROUND(ROUND(1,4),9)</f>
        <v>1</v>
      </c>
      <c r="J109" s="2">
        <v>0</v>
      </c>
      <c r="K109" s="2">
        <f>ROUND(ROUND(1,4),9)</f>
        <v>1</v>
      </c>
      <c r="L109" s="2"/>
      <c r="M109" s="2"/>
      <c r="N109" s="2"/>
      <c r="O109" s="2">
        <f t="shared" si="115"/>
        <v>91.42</v>
      </c>
      <c r="P109" s="2">
        <f t="shared" si="116"/>
        <v>0.37</v>
      </c>
      <c r="Q109" s="2">
        <f>(ROUND((ROUND((((ET109*1.1))*AV109*I109),2)*BB109),2)+ROUND((ROUND(((AE109-((EU109*1.1)))*AV109*I109),2)*BS109),2))</f>
        <v>0</v>
      </c>
      <c r="R109" s="2">
        <f t="shared" si="117"/>
        <v>0</v>
      </c>
      <c r="S109" s="2">
        <f t="shared" si="118"/>
        <v>91.05</v>
      </c>
      <c r="T109" s="2">
        <f t="shared" si="119"/>
        <v>0</v>
      </c>
      <c r="U109" s="2">
        <f t="shared" si="120"/>
        <v>6.4209090000000009</v>
      </c>
      <c r="V109" s="2">
        <f t="shared" si="121"/>
        <v>0</v>
      </c>
      <c r="W109" s="2">
        <f t="shared" si="122"/>
        <v>0</v>
      </c>
      <c r="X109" s="2">
        <f t="shared" si="123"/>
        <v>86.5</v>
      </c>
      <c r="Y109" s="2">
        <f t="shared" si="124"/>
        <v>48.26</v>
      </c>
      <c r="Z109" s="2"/>
      <c r="AA109" s="2">
        <v>56503348</v>
      </c>
      <c r="AB109" s="2">
        <f t="shared" si="125"/>
        <v>84.135000000000005</v>
      </c>
      <c r="AC109" s="2">
        <f t="shared" si="126"/>
        <v>0.37</v>
      </c>
      <c r="AD109" s="2">
        <f>ROUND(((((ET109*1.1))-((EU109*1.1)))+AE109),6)</f>
        <v>0</v>
      </c>
      <c r="AE109" s="2">
        <f>ROUND(((EU109*1.1)),6)</f>
        <v>0</v>
      </c>
      <c r="AF109" s="2">
        <f>ROUND(((EV109*1.1)),6)</f>
        <v>83.765000000000001</v>
      </c>
      <c r="AG109" s="2">
        <f t="shared" si="127"/>
        <v>0</v>
      </c>
      <c r="AH109" s="2">
        <f>((EW109*1.1))</f>
        <v>5.9070000000000009</v>
      </c>
      <c r="AI109" s="2">
        <f>((EX109*1.1))</f>
        <v>0</v>
      </c>
      <c r="AJ109" s="2">
        <f t="shared" si="128"/>
        <v>0</v>
      </c>
      <c r="AK109" s="2">
        <v>76.52</v>
      </c>
      <c r="AL109" s="2">
        <v>0.37</v>
      </c>
      <c r="AM109" s="2">
        <v>0</v>
      </c>
      <c r="AN109" s="2">
        <v>0</v>
      </c>
      <c r="AO109" s="2">
        <v>76.150000000000006</v>
      </c>
      <c r="AP109" s="2">
        <v>0</v>
      </c>
      <c r="AQ109" s="2">
        <v>5.37</v>
      </c>
      <c r="AR109" s="2">
        <v>0</v>
      </c>
      <c r="AS109" s="2">
        <v>0</v>
      </c>
      <c r="AT109" s="2">
        <v>95</v>
      </c>
      <c r="AU109" s="2">
        <v>53</v>
      </c>
      <c r="AV109" s="2">
        <v>1.087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169</v>
      </c>
      <c r="BK109" s="2"/>
      <c r="BL109" s="2"/>
      <c r="BM109" s="2">
        <v>69</v>
      </c>
      <c r="BN109" s="2">
        <v>0</v>
      </c>
      <c r="BO109" s="2" t="s">
        <v>166</v>
      </c>
      <c r="BP109" s="2">
        <v>1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95</v>
      </c>
      <c r="CA109" s="2">
        <v>53</v>
      </c>
      <c r="CB109" s="2" t="s">
        <v>3</v>
      </c>
      <c r="CC109" s="2"/>
      <c r="CD109" s="2"/>
      <c r="CE109" s="2">
        <v>30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3</v>
      </c>
      <c r="CO109" s="2">
        <v>0</v>
      </c>
      <c r="CP109" s="2">
        <f t="shared" si="129"/>
        <v>91.42</v>
      </c>
      <c r="CQ109" s="2">
        <f t="shared" si="130"/>
        <v>0.37</v>
      </c>
      <c r="CR109" s="2">
        <f>(ROUND((ROUND((((ET109*1.1))*AV109*1),2)*BB109),2)+ROUND((ROUND(((AE109-((EU109*1.1)))*AV109*1),2)*BS109),2))</f>
        <v>0</v>
      </c>
      <c r="CS109" s="2">
        <f t="shared" si="131"/>
        <v>0</v>
      </c>
      <c r="CT109" s="2">
        <f t="shared" si="132"/>
        <v>91.05</v>
      </c>
      <c r="CU109" s="2">
        <f t="shared" si="133"/>
        <v>0</v>
      </c>
      <c r="CV109" s="2">
        <f t="shared" si="134"/>
        <v>6.4209090000000009</v>
      </c>
      <c r="CW109" s="2">
        <f t="shared" si="135"/>
        <v>0</v>
      </c>
      <c r="CX109" s="2">
        <f t="shared" si="136"/>
        <v>0</v>
      </c>
      <c r="CY109" s="2">
        <f t="shared" si="137"/>
        <v>86.497500000000002</v>
      </c>
      <c r="CZ109" s="2">
        <f t="shared" si="138"/>
        <v>48.256499999999996</v>
      </c>
      <c r="DA109" s="2"/>
      <c r="DB109" s="2"/>
      <c r="DC109" s="2" t="s">
        <v>3</v>
      </c>
      <c r="DD109" s="2" t="s">
        <v>3</v>
      </c>
      <c r="DE109" s="2" t="s">
        <v>24</v>
      </c>
      <c r="DF109" s="2" t="s">
        <v>24</v>
      </c>
      <c r="DG109" s="2" t="s">
        <v>24</v>
      </c>
      <c r="DH109" s="2" t="s">
        <v>3</v>
      </c>
      <c r="DI109" s="2" t="s">
        <v>24</v>
      </c>
      <c r="DJ109" s="2" t="s">
        <v>24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168</v>
      </c>
      <c r="DW109" s="2" t="s">
        <v>168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58162631</v>
      </c>
      <c r="EF109" s="2">
        <v>40</v>
      </c>
      <c r="EG109" s="2" t="s">
        <v>25</v>
      </c>
      <c r="EH109" s="2">
        <v>0</v>
      </c>
      <c r="EI109" s="2" t="s">
        <v>3</v>
      </c>
      <c r="EJ109" s="2">
        <v>2</v>
      </c>
      <c r="EK109" s="2">
        <v>69</v>
      </c>
      <c r="EL109" s="2" t="s">
        <v>26</v>
      </c>
      <c r="EM109" s="2" t="s">
        <v>27</v>
      </c>
      <c r="EN109" s="2"/>
      <c r="EO109" s="2" t="s">
        <v>28</v>
      </c>
      <c r="EP109" s="2"/>
      <c r="EQ109" s="2">
        <v>0</v>
      </c>
      <c r="ER109" s="2">
        <v>76.52</v>
      </c>
      <c r="ES109" s="2">
        <v>0.37</v>
      </c>
      <c r="ET109" s="2">
        <v>0</v>
      </c>
      <c r="EU109" s="2">
        <v>0</v>
      </c>
      <c r="EV109" s="2">
        <v>76.150000000000006</v>
      </c>
      <c r="EW109" s="2">
        <v>5.37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95</v>
      </c>
      <c r="FY109" s="2">
        <v>53</v>
      </c>
      <c r="FZ109" s="2"/>
      <c r="GA109" s="2" t="s">
        <v>3</v>
      </c>
      <c r="GB109" s="2"/>
      <c r="GC109" s="2"/>
      <c r="GD109" s="2">
        <v>1</v>
      </c>
      <c r="GE109" s="2"/>
      <c r="GF109" s="2">
        <v>951999700</v>
      </c>
      <c r="GG109" s="2">
        <v>2</v>
      </c>
      <c r="GH109" s="2">
        <v>1</v>
      </c>
      <c r="GI109" s="2">
        <v>2</v>
      </c>
      <c r="GJ109" s="2">
        <v>0</v>
      </c>
      <c r="GK109" s="2">
        <v>0</v>
      </c>
      <c r="GL109" s="2">
        <f t="shared" si="139"/>
        <v>0</v>
      </c>
      <c r="GM109" s="2">
        <f t="shared" si="140"/>
        <v>226.18</v>
      </c>
      <c r="GN109" s="2">
        <f t="shared" si="141"/>
        <v>0</v>
      </c>
      <c r="GO109" s="2">
        <f t="shared" si="142"/>
        <v>226.18</v>
      </c>
      <c r="GP109" s="2">
        <f t="shared" si="143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144"/>
        <v>0</v>
      </c>
      <c r="GW109" s="2">
        <v>1</v>
      </c>
      <c r="GX109" s="2">
        <f t="shared" si="145"/>
        <v>0</v>
      </c>
      <c r="GY109" s="2"/>
      <c r="GZ109" s="2"/>
      <c r="HA109" s="2">
        <v>0</v>
      </c>
      <c r="HB109" s="2">
        <v>0</v>
      </c>
      <c r="HC109" s="2">
        <f t="shared" si="146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3">
      <c r="A110">
        <v>17</v>
      </c>
      <c r="B110">
        <v>1</v>
      </c>
      <c r="D110">
        <f>ROW(EtalonRes!A82)</f>
        <v>82</v>
      </c>
      <c r="E110" t="s">
        <v>165</v>
      </c>
      <c r="F110" t="s">
        <v>166</v>
      </c>
      <c r="G110" t="s">
        <v>167</v>
      </c>
      <c r="H110" t="s">
        <v>168</v>
      </c>
      <c r="I110">
        <f>ROUND(ROUND(1,4),9)</f>
        <v>1</v>
      </c>
      <c r="J110">
        <v>0</v>
      </c>
      <c r="K110">
        <f>ROUND(ROUND(1,4),9)</f>
        <v>1</v>
      </c>
      <c r="O110">
        <f t="shared" si="115"/>
        <v>5010.5</v>
      </c>
      <c r="P110">
        <f t="shared" si="116"/>
        <v>3.66</v>
      </c>
      <c r="Q110">
        <f>(ROUND((ROUND((((ET110*1.1))*AV110*I110),2)*BB110),2)+ROUND((ROUND(((AE110-((EU110*1.1)))*AV110*I110),2)*BS110),2))</f>
        <v>0</v>
      </c>
      <c r="R110">
        <f t="shared" si="117"/>
        <v>0</v>
      </c>
      <c r="S110">
        <f t="shared" si="118"/>
        <v>5006.84</v>
      </c>
      <c r="T110">
        <f t="shared" si="119"/>
        <v>0</v>
      </c>
      <c r="U110">
        <f t="shared" si="120"/>
        <v>6.4209090000000009</v>
      </c>
      <c r="V110">
        <f t="shared" si="121"/>
        <v>0</v>
      </c>
      <c r="W110">
        <f t="shared" si="122"/>
        <v>0</v>
      </c>
      <c r="X110">
        <f t="shared" si="123"/>
        <v>4756.5</v>
      </c>
      <c r="Y110">
        <f t="shared" si="124"/>
        <v>2653.63</v>
      </c>
      <c r="AA110">
        <v>56503350</v>
      </c>
      <c r="AB110">
        <f t="shared" si="125"/>
        <v>84.135000000000005</v>
      </c>
      <c r="AC110">
        <f t="shared" si="126"/>
        <v>0.37</v>
      </c>
      <c r="AD110">
        <f>ROUND(((((ET110*1.1))-((EU110*1.1)))+AE110),6)</f>
        <v>0</v>
      </c>
      <c r="AE110">
        <f>ROUND(((EU110*1.1)),6)</f>
        <v>0</v>
      </c>
      <c r="AF110">
        <f>ROUND(((EV110*1.1)),6)</f>
        <v>83.765000000000001</v>
      </c>
      <c r="AG110">
        <f t="shared" si="127"/>
        <v>0</v>
      </c>
      <c r="AH110">
        <f>((EW110*1.1))</f>
        <v>5.9070000000000009</v>
      </c>
      <c r="AI110">
        <f>((EX110*1.1))</f>
        <v>0</v>
      </c>
      <c r="AJ110">
        <f t="shared" si="128"/>
        <v>0</v>
      </c>
      <c r="AK110">
        <v>76.52</v>
      </c>
      <c r="AL110">
        <v>0.37</v>
      </c>
      <c r="AM110">
        <v>0</v>
      </c>
      <c r="AN110">
        <v>0</v>
      </c>
      <c r="AO110">
        <v>76.150000000000006</v>
      </c>
      <c r="AP110">
        <v>0</v>
      </c>
      <c r="AQ110">
        <v>5.37</v>
      </c>
      <c r="AR110">
        <v>0</v>
      </c>
      <c r="AS110">
        <v>0</v>
      </c>
      <c r="AT110">
        <v>95</v>
      </c>
      <c r="AU110">
        <v>53</v>
      </c>
      <c r="AV110">
        <v>1.087</v>
      </c>
      <c r="AW110">
        <v>1</v>
      </c>
      <c r="AZ110">
        <v>1</v>
      </c>
      <c r="BA110">
        <v>54.99</v>
      </c>
      <c r="BB110">
        <v>1</v>
      </c>
      <c r="BC110">
        <v>9.89</v>
      </c>
      <c r="BD110" t="s">
        <v>3</v>
      </c>
      <c r="BE110" t="s">
        <v>3</v>
      </c>
      <c r="BF110" t="s">
        <v>3</v>
      </c>
      <c r="BG110" t="s">
        <v>3</v>
      </c>
      <c r="BH110">
        <v>0</v>
      </c>
      <c r="BI110">
        <v>2</v>
      </c>
      <c r="BJ110" t="s">
        <v>169</v>
      </c>
      <c r="BM110">
        <v>69</v>
      </c>
      <c r="BN110">
        <v>0</v>
      </c>
      <c r="BO110" t="s">
        <v>166</v>
      </c>
      <c r="BP110">
        <v>1</v>
      </c>
      <c r="BQ110">
        <v>40</v>
      </c>
      <c r="BR110">
        <v>0</v>
      </c>
      <c r="BS110">
        <v>54.99</v>
      </c>
      <c r="BT110">
        <v>1</v>
      </c>
      <c r="BU110">
        <v>1</v>
      </c>
      <c r="BV110">
        <v>1</v>
      </c>
      <c r="BW110">
        <v>1</v>
      </c>
      <c r="BX110">
        <v>1</v>
      </c>
      <c r="BY110" t="s">
        <v>3</v>
      </c>
      <c r="BZ110">
        <v>95</v>
      </c>
      <c r="CA110">
        <v>53</v>
      </c>
      <c r="CB110" t="s">
        <v>3</v>
      </c>
      <c r="CE110">
        <v>30</v>
      </c>
      <c r="CF110">
        <v>0</v>
      </c>
      <c r="CG110">
        <v>0</v>
      </c>
      <c r="CM110">
        <v>0</v>
      </c>
      <c r="CN110" t="s">
        <v>3</v>
      </c>
      <c r="CO110">
        <v>0</v>
      </c>
      <c r="CP110">
        <f t="shared" si="129"/>
        <v>5010.5</v>
      </c>
      <c r="CQ110">
        <f t="shared" si="130"/>
        <v>3.66</v>
      </c>
      <c r="CR110">
        <f>(ROUND((ROUND((((ET110*1.1))*AV110*1),2)*BB110),2)+ROUND((ROUND(((AE110-((EU110*1.1)))*AV110*1),2)*BS110),2))</f>
        <v>0</v>
      </c>
      <c r="CS110">
        <f t="shared" si="131"/>
        <v>0</v>
      </c>
      <c r="CT110">
        <f t="shared" si="132"/>
        <v>5006.84</v>
      </c>
      <c r="CU110">
        <f t="shared" si="133"/>
        <v>0</v>
      </c>
      <c r="CV110">
        <f t="shared" si="134"/>
        <v>6.4209090000000009</v>
      </c>
      <c r="CW110">
        <f t="shared" si="135"/>
        <v>0</v>
      </c>
      <c r="CX110">
        <f t="shared" si="136"/>
        <v>0</v>
      </c>
      <c r="CY110">
        <f t="shared" si="137"/>
        <v>4756.4979999999996</v>
      </c>
      <c r="CZ110">
        <f t="shared" si="138"/>
        <v>2653.6252000000004</v>
      </c>
      <c r="DC110" t="s">
        <v>3</v>
      </c>
      <c r="DD110" t="s">
        <v>3</v>
      </c>
      <c r="DE110" t="s">
        <v>24</v>
      </c>
      <c r="DF110" t="s">
        <v>24</v>
      </c>
      <c r="DG110" t="s">
        <v>24</v>
      </c>
      <c r="DH110" t="s">
        <v>3</v>
      </c>
      <c r="DI110" t="s">
        <v>24</v>
      </c>
      <c r="DJ110" t="s">
        <v>24</v>
      </c>
      <c r="DK110" t="s">
        <v>3</v>
      </c>
      <c r="DL110" t="s">
        <v>3</v>
      </c>
      <c r="DM110" t="s">
        <v>3</v>
      </c>
      <c r="DN110">
        <v>0</v>
      </c>
      <c r="DO110">
        <v>0</v>
      </c>
      <c r="DP110">
        <v>1</v>
      </c>
      <c r="DQ110">
        <v>1</v>
      </c>
      <c r="DU110">
        <v>1013</v>
      </c>
      <c r="DV110" t="s">
        <v>168</v>
      </c>
      <c r="DW110" t="s">
        <v>168</v>
      </c>
      <c r="DX110">
        <v>1</v>
      </c>
      <c r="DZ110" t="s">
        <v>3</v>
      </c>
      <c r="EA110" t="s">
        <v>3</v>
      </c>
      <c r="EB110" t="s">
        <v>3</v>
      </c>
      <c r="EC110" t="s">
        <v>3</v>
      </c>
      <c r="EE110">
        <v>58162631</v>
      </c>
      <c r="EF110">
        <v>40</v>
      </c>
      <c r="EG110" t="s">
        <v>25</v>
      </c>
      <c r="EH110">
        <v>0</v>
      </c>
      <c r="EI110" t="s">
        <v>3</v>
      </c>
      <c r="EJ110">
        <v>2</v>
      </c>
      <c r="EK110">
        <v>69</v>
      </c>
      <c r="EL110" t="s">
        <v>26</v>
      </c>
      <c r="EM110" t="s">
        <v>27</v>
      </c>
      <c r="EO110" t="s">
        <v>28</v>
      </c>
      <c r="EQ110">
        <v>0</v>
      </c>
      <c r="ER110">
        <v>76.52</v>
      </c>
      <c r="ES110">
        <v>0.37</v>
      </c>
      <c r="ET110">
        <v>0</v>
      </c>
      <c r="EU110">
        <v>0</v>
      </c>
      <c r="EV110">
        <v>76.150000000000006</v>
      </c>
      <c r="EW110">
        <v>5.37</v>
      </c>
      <c r="EX110">
        <v>0</v>
      </c>
      <c r="EY110">
        <v>0</v>
      </c>
      <c r="FQ110">
        <v>0</v>
      </c>
      <c r="FR110">
        <v>0</v>
      </c>
      <c r="FS110">
        <v>0</v>
      </c>
      <c r="FX110">
        <v>95</v>
      </c>
      <c r="FY110">
        <v>53</v>
      </c>
      <c r="GA110" t="s">
        <v>3</v>
      </c>
      <c r="GD110">
        <v>1</v>
      </c>
      <c r="GF110">
        <v>951999700</v>
      </c>
      <c r="GG110">
        <v>2</v>
      </c>
      <c r="GH110">
        <v>1</v>
      </c>
      <c r="GI110">
        <v>2</v>
      </c>
      <c r="GJ110">
        <v>0</v>
      </c>
      <c r="GK110">
        <v>0</v>
      </c>
      <c r="GL110">
        <f t="shared" si="139"/>
        <v>0</v>
      </c>
      <c r="GM110">
        <f t="shared" si="140"/>
        <v>12420.63</v>
      </c>
      <c r="GN110">
        <f t="shared" si="141"/>
        <v>0</v>
      </c>
      <c r="GO110">
        <f t="shared" si="142"/>
        <v>12420.63</v>
      </c>
      <c r="GP110">
        <f t="shared" si="143"/>
        <v>0</v>
      </c>
      <c r="GR110">
        <v>0</v>
      </c>
      <c r="GS110">
        <v>3</v>
      </c>
      <c r="GT110">
        <v>0</v>
      </c>
      <c r="GU110" t="s">
        <v>3</v>
      </c>
      <c r="GV110">
        <f t="shared" si="144"/>
        <v>0</v>
      </c>
      <c r="GW110">
        <v>1</v>
      </c>
      <c r="GX110">
        <f t="shared" si="145"/>
        <v>0</v>
      </c>
      <c r="HA110">
        <v>0</v>
      </c>
      <c r="HB110">
        <v>0</v>
      </c>
      <c r="HC110">
        <f t="shared" si="146"/>
        <v>0</v>
      </c>
      <c r="HE110" t="s">
        <v>3</v>
      </c>
      <c r="HF110" t="s">
        <v>3</v>
      </c>
      <c r="HM110" t="s">
        <v>3</v>
      </c>
      <c r="HN110" t="s">
        <v>3</v>
      </c>
      <c r="HO110" t="s">
        <v>3</v>
      </c>
      <c r="HP110" t="s">
        <v>3</v>
      </c>
      <c r="HQ110" t="s">
        <v>3</v>
      </c>
      <c r="HS110">
        <v>0</v>
      </c>
      <c r="IK110">
        <v>0</v>
      </c>
    </row>
    <row r="111" spans="1:255" x14ac:dyDescent="0.3">
      <c r="A111" s="2">
        <v>18</v>
      </c>
      <c r="B111" s="2">
        <v>1</v>
      </c>
      <c r="C111" s="2"/>
      <c r="D111" s="2"/>
      <c r="E111" s="2" t="s">
        <v>170</v>
      </c>
      <c r="F111" s="2" t="s">
        <v>171</v>
      </c>
      <c r="G111" s="2" t="s">
        <v>172</v>
      </c>
      <c r="H111" s="2" t="s">
        <v>32</v>
      </c>
      <c r="I111" s="2">
        <f>I109*J111</f>
        <v>1</v>
      </c>
      <c r="J111" s="2">
        <v>1</v>
      </c>
      <c r="K111" s="2">
        <v>1</v>
      </c>
      <c r="L111" s="2"/>
      <c r="M111" s="2"/>
      <c r="N111" s="2"/>
      <c r="O111" s="2">
        <f t="shared" si="115"/>
        <v>473.18</v>
      </c>
      <c r="P111" s="2">
        <f t="shared" si="116"/>
        <v>473.18</v>
      </c>
      <c r="Q111" s="2">
        <f>(ROUND((ROUND(((ET111)*AV111*I111),2)*BB111),2)+ROUND((ROUND(((AE111-(EU111))*AV111*I111),2)*BS111),2))</f>
        <v>0</v>
      </c>
      <c r="R111" s="2">
        <f t="shared" si="117"/>
        <v>0</v>
      </c>
      <c r="S111" s="2">
        <f t="shared" si="118"/>
        <v>0</v>
      </c>
      <c r="T111" s="2">
        <f t="shared" si="119"/>
        <v>0</v>
      </c>
      <c r="U111" s="2">
        <f t="shared" si="120"/>
        <v>0</v>
      </c>
      <c r="V111" s="2">
        <f t="shared" si="121"/>
        <v>0</v>
      </c>
      <c r="W111" s="2">
        <f t="shared" si="122"/>
        <v>0</v>
      </c>
      <c r="X111" s="2">
        <f t="shared" si="123"/>
        <v>0</v>
      </c>
      <c r="Y111" s="2">
        <f t="shared" si="124"/>
        <v>0</v>
      </c>
      <c r="Z111" s="2"/>
      <c r="AA111" s="2">
        <v>56503348</v>
      </c>
      <c r="AB111" s="2">
        <f t="shared" si="125"/>
        <v>473.18</v>
      </c>
      <c r="AC111" s="2">
        <f t="shared" si="126"/>
        <v>473.18</v>
      </c>
      <c r="AD111" s="2">
        <f>ROUND((((ET111)-(EU111))+AE111),6)</f>
        <v>0</v>
      </c>
      <c r="AE111" s="2">
        <f>ROUND((EU111),6)</f>
        <v>0</v>
      </c>
      <c r="AF111" s="2">
        <f>ROUND((EV111),6)</f>
        <v>0</v>
      </c>
      <c r="AG111" s="2">
        <f t="shared" si="127"/>
        <v>0</v>
      </c>
      <c r="AH111" s="2">
        <f>(EW111)</f>
        <v>0</v>
      </c>
      <c r="AI111" s="2">
        <f>(EX111)</f>
        <v>0</v>
      </c>
      <c r="AJ111" s="2">
        <f t="shared" si="128"/>
        <v>0</v>
      </c>
      <c r="AK111" s="2">
        <v>473.17999999999995</v>
      </c>
      <c r="AL111" s="2">
        <v>473.17999999999995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95</v>
      </c>
      <c r="AU111" s="2">
        <v>53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2</v>
      </c>
      <c r="BJ111" s="2" t="s">
        <v>3</v>
      </c>
      <c r="BK111" s="2"/>
      <c r="BL111" s="2"/>
      <c r="BM111" s="2">
        <v>69</v>
      </c>
      <c r="BN111" s="2">
        <v>0</v>
      </c>
      <c r="BO111" s="2" t="s">
        <v>3</v>
      </c>
      <c r="BP111" s="2">
        <v>0</v>
      </c>
      <c r="BQ111" s="2">
        <v>40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95</v>
      </c>
      <c r="CA111" s="2">
        <v>53</v>
      </c>
      <c r="CB111" s="2" t="s">
        <v>3</v>
      </c>
      <c r="CC111" s="2"/>
      <c r="CD111" s="2"/>
      <c r="CE111" s="2">
        <v>30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 t="shared" si="129"/>
        <v>473.18</v>
      </c>
      <c r="CQ111" s="2">
        <f t="shared" si="130"/>
        <v>473.18</v>
      </c>
      <c r="CR111" s="2">
        <f>(ROUND((ROUND(((ET111)*AV111*1),2)*BB111),2)+ROUND((ROUND(((AE111-(EU111))*AV111*1),2)*BS111),2))</f>
        <v>0</v>
      </c>
      <c r="CS111" s="2">
        <f t="shared" si="131"/>
        <v>0</v>
      </c>
      <c r="CT111" s="2">
        <f t="shared" si="132"/>
        <v>0</v>
      </c>
      <c r="CU111" s="2">
        <f t="shared" si="133"/>
        <v>0</v>
      </c>
      <c r="CV111" s="2">
        <f t="shared" si="134"/>
        <v>0</v>
      </c>
      <c r="CW111" s="2">
        <f t="shared" si="135"/>
        <v>0</v>
      </c>
      <c r="CX111" s="2">
        <f t="shared" si="136"/>
        <v>0</v>
      </c>
      <c r="CY111" s="2">
        <f t="shared" si="137"/>
        <v>0</v>
      </c>
      <c r="CZ111" s="2">
        <f t="shared" si="138"/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1010</v>
      </c>
      <c r="DV111" s="2" t="s">
        <v>32</v>
      </c>
      <c r="DW111" s="2" t="s">
        <v>32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58162631</v>
      </c>
      <c r="EF111" s="2">
        <v>40</v>
      </c>
      <c r="EG111" s="2" t="s">
        <v>25</v>
      </c>
      <c r="EH111" s="2">
        <v>0</v>
      </c>
      <c r="EI111" s="2" t="s">
        <v>3</v>
      </c>
      <c r="EJ111" s="2">
        <v>2</v>
      </c>
      <c r="EK111" s="2">
        <v>69</v>
      </c>
      <c r="EL111" s="2" t="s">
        <v>26</v>
      </c>
      <c r="EM111" s="2" t="s">
        <v>27</v>
      </c>
      <c r="EN111" s="2"/>
      <c r="EO111" s="2" t="s">
        <v>3</v>
      </c>
      <c r="EP111" s="2"/>
      <c r="EQ111" s="2">
        <v>0</v>
      </c>
      <c r="ER111" s="2">
        <v>0</v>
      </c>
      <c r="ES111" s="2">
        <v>473.17999999999995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95</v>
      </c>
      <c r="FY111" s="2">
        <v>53</v>
      </c>
      <c r="FZ111" s="2"/>
      <c r="GA111" s="2" t="s">
        <v>173</v>
      </c>
      <c r="GB111" s="2"/>
      <c r="GC111" s="2"/>
      <c r="GD111" s="2">
        <v>1</v>
      </c>
      <c r="GE111" s="2"/>
      <c r="GF111" s="2">
        <v>-900683088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139"/>
        <v>0</v>
      </c>
      <c r="GM111" s="2">
        <f t="shared" si="140"/>
        <v>473.18</v>
      </c>
      <c r="GN111" s="2">
        <f t="shared" si="141"/>
        <v>0</v>
      </c>
      <c r="GO111" s="2">
        <f t="shared" si="142"/>
        <v>473.18</v>
      </c>
      <c r="GP111" s="2">
        <f t="shared" si="143"/>
        <v>0</v>
      </c>
      <c r="GQ111" s="2"/>
      <c r="GR111" s="2">
        <v>0</v>
      </c>
      <c r="GS111" s="2">
        <v>2</v>
      </c>
      <c r="GT111" s="2">
        <v>0</v>
      </c>
      <c r="GU111" s="2" t="s">
        <v>3</v>
      </c>
      <c r="GV111" s="2">
        <f t="shared" si="144"/>
        <v>0</v>
      </c>
      <c r="GW111" s="2">
        <v>1</v>
      </c>
      <c r="GX111" s="2">
        <f t="shared" si="145"/>
        <v>0</v>
      </c>
      <c r="GY111" s="2"/>
      <c r="GZ111" s="2"/>
      <c r="HA111" s="2">
        <v>0</v>
      </c>
      <c r="HB111" s="2">
        <v>0</v>
      </c>
      <c r="HC111" s="2">
        <f t="shared" si="146"/>
        <v>0</v>
      </c>
      <c r="HD111" s="2"/>
      <c r="HE111" s="2" t="s">
        <v>146</v>
      </c>
      <c r="HF111" s="2" t="s">
        <v>39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3">
      <c r="A112">
        <v>18</v>
      </c>
      <c r="B112">
        <v>1</v>
      </c>
      <c r="E112" t="s">
        <v>170</v>
      </c>
      <c r="F112" t="s">
        <v>171</v>
      </c>
      <c r="G112" t="s">
        <v>172</v>
      </c>
      <c r="H112" t="s">
        <v>32</v>
      </c>
      <c r="I112">
        <f>I110*J112</f>
        <v>1</v>
      </c>
      <c r="J112">
        <v>1</v>
      </c>
      <c r="K112">
        <v>1</v>
      </c>
      <c r="O112">
        <f t="shared" si="115"/>
        <v>4675.0200000000004</v>
      </c>
      <c r="P112">
        <f t="shared" si="116"/>
        <v>4675.0200000000004</v>
      </c>
      <c r="Q112">
        <f>(ROUND((ROUND(((ET112)*AV112*I112),2)*BB112),2)+ROUND((ROUND(((AE112-(EU112))*AV112*I112),2)*BS112),2))</f>
        <v>0</v>
      </c>
      <c r="R112">
        <f t="shared" si="117"/>
        <v>0</v>
      </c>
      <c r="S112">
        <f t="shared" si="118"/>
        <v>0</v>
      </c>
      <c r="T112">
        <f t="shared" si="119"/>
        <v>0</v>
      </c>
      <c r="U112">
        <f t="shared" si="120"/>
        <v>0</v>
      </c>
      <c r="V112">
        <f t="shared" si="121"/>
        <v>0</v>
      </c>
      <c r="W112">
        <f t="shared" si="122"/>
        <v>0</v>
      </c>
      <c r="X112">
        <f t="shared" si="123"/>
        <v>0</v>
      </c>
      <c r="Y112">
        <f t="shared" si="124"/>
        <v>0</v>
      </c>
      <c r="AA112">
        <v>56503350</v>
      </c>
      <c r="AB112">
        <f t="shared" si="125"/>
        <v>473.18</v>
      </c>
      <c r="AC112">
        <f t="shared" si="126"/>
        <v>473.18</v>
      </c>
      <c r="AD112">
        <f>ROUND((((ET112)-(EU112))+AE112),6)</f>
        <v>0</v>
      </c>
      <c r="AE112">
        <f>ROUND((EU112),6)</f>
        <v>0</v>
      </c>
      <c r="AF112">
        <f>ROUND((EV112),6)</f>
        <v>0</v>
      </c>
      <c r="AG112">
        <f t="shared" si="127"/>
        <v>0</v>
      </c>
      <c r="AH112">
        <f>(EW112)</f>
        <v>0</v>
      </c>
      <c r="AI112">
        <f>(EX112)</f>
        <v>0</v>
      </c>
      <c r="AJ112">
        <f t="shared" si="128"/>
        <v>0</v>
      </c>
      <c r="AK112">
        <v>473.17999999999995</v>
      </c>
      <c r="AL112">
        <v>473.17999999999995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95</v>
      </c>
      <c r="AU112">
        <v>53</v>
      </c>
      <c r="AV112">
        <v>1</v>
      </c>
      <c r="AW112">
        <v>1</v>
      </c>
      <c r="AZ112">
        <v>1</v>
      </c>
      <c r="BA112">
        <v>1</v>
      </c>
      <c r="BB112">
        <v>1</v>
      </c>
      <c r="BC112">
        <v>9.8800000000000008</v>
      </c>
      <c r="BD112" t="s">
        <v>3</v>
      </c>
      <c r="BE112" t="s">
        <v>3</v>
      </c>
      <c r="BF112" t="s">
        <v>3</v>
      </c>
      <c r="BG112" t="s">
        <v>3</v>
      </c>
      <c r="BH112">
        <v>3</v>
      </c>
      <c r="BI112">
        <v>2</v>
      </c>
      <c r="BJ112" t="s">
        <v>3</v>
      </c>
      <c r="BM112">
        <v>69</v>
      </c>
      <c r="BN112">
        <v>0</v>
      </c>
      <c r="BO112" t="s">
        <v>3</v>
      </c>
      <c r="BP112">
        <v>0</v>
      </c>
      <c r="BQ112">
        <v>40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 t="s">
        <v>3</v>
      </c>
      <c r="BZ112">
        <v>95</v>
      </c>
      <c r="CA112">
        <v>53</v>
      </c>
      <c r="CB112" t="s">
        <v>3</v>
      </c>
      <c r="CE112">
        <v>30</v>
      </c>
      <c r="CF112">
        <v>0</v>
      </c>
      <c r="CG112">
        <v>0</v>
      </c>
      <c r="CM112">
        <v>0</v>
      </c>
      <c r="CN112" t="s">
        <v>3</v>
      </c>
      <c r="CO112">
        <v>0</v>
      </c>
      <c r="CP112">
        <f t="shared" si="129"/>
        <v>4675.0200000000004</v>
      </c>
      <c r="CQ112">
        <f t="shared" si="130"/>
        <v>4675.0200000000004</v>
      </c>
      <c r="CR112">
        <f>(ROUND((ROUND(((ET112)*AV112*1),2)*BB112),2)+ROUND((ROUND(((AE112-(EU112))*AV112*1),2)*BS112),2))</f>
        <v>0</v>
      </c>
      <c r="CS112">
        <f t="shared" si="131"/>
        <v>0</v>
      </c>
      <c r="CT112">
        <f t="shared" si="132"/>
        <v>0</v>
      </c>
      <c r="CU112">
        <f t="shared" si="133"/>
        <v>0</v>
      </c>
      <c r="CV112">
        <f t="shared" si="134"/>
        <v>0</v>
      </c>
      <c r="CW112">
        <f t="shared" si="135"/>
        <v>0</v>
      </c>
      <c r="CX112">
        <f t="shared" si="136"/>
        <v>0</v>
      </c>
      <c r="CY112">
        <f t="shared" si="137"/>
        <v>0</v>
      </c>
      <c r="CZ112">
        <f t="shared" si="138"/>
        <v>0</v>
      </c>
      <c r="DC112" t="s">
        <v>3</v>
      </c>
      <c r="DD112" t="s">
        <v>3</v>
      </c>
      <c r="DE112" t="s">
        <v>3</v>
      </c>
      <c r="DF112" t="s">
        <v>3</v>
      </c>
      <c r="DG112" t="s">
        <v>3</v>
      </c>
      <c r="DH112" t="s">
        <v>3</v>
      </c>
      <c r="DI112" t="s">
        <v>3</v>
      </c>
      <c r="DJ112" t="s">
        <v>3</v>
      </c>
      <c r="DK112" t="s">
        <v>3</v>
      </c>
      <c r="DL112" t="s">
        <v>3</v>
      </c>
      <c r="DM112" t="s">
        <v>3</v>
      </c>
      <c r="DN112">
        <v>0</v>
      </c>
      <c r="DO112">
        <v>0</v>
      </c>
      <c r="DP112">
        <v>1</v>
      </c>
      <c r="DQ112">
        <v>1</v>
      </c>
      <c r="DU112">
        <v>1010</v>
      </c>
      <c r="DV112" t="s">
        <v>32</v>
      </c>
      <c r="DW112" t="s">
        <v>32</v>
      </c>
      <c r="DX112">
        <v>1</v>
      </c>
      <c r="DZ112" t="s">
        <v>3</v>
      </c>
      <c r="EA112" t="s">
        <v>3</v>
      </c>
      <c r="EB112" t="s">
        <v>3</v>
      </c>
      <c r="EC112" t="s">
        <v>3</v>
      </c>
      <c r="EE112">
        <v>58162631</v>
      </c>
      <c r="EF112">
        <v>40</v>
      </c>
      <c r="EG112" t="s">
        <v>25</v>
      </c>
      <c r="EH112">
        <v>0</v>
      </c>
      <c r="EI112" t="s">
        <v>3</v>
      </c>
      <c r="EJ112">
        <v>2</v>
      </c>
      <c r="EK112">
        <v>69</v>
      </c>
      <c r="EL112" t="s">
        <v>26</v>
      </c>
      <c r="EM112" t="s">
        <v>27</v>
      </c>
      <c r="EO112" t="s">
        <v>3</v>
      </c>
      <c r="EQ112">
        <v>0</v>
      </c>
      <c r="ER112">
        <v>473.17999999999995</v>
      </c>
      <c r="ES112">
        <v>473.17999999999995</v>
      </c>
      <c r="ET112">
        <v>0</v>
      </c>
      <c r="EU112">
        <v>0</v>
      </c>
      <c r="EV112">
        <v>0</v>
      </c>
      <c r="EW112">
        <v>0</v>
      </c>
      <c r="EX112">
        <v>0</v>
      </c>
      <c r="EZ112">
        <v>5</v>
      </c>
      <c r="FC112">
        <v>1</v>
      </c>
      <c r="FD112">
        <v>18</v>
      </c>
      <c r="FF112">
        <v>5500</v>
      </c>
      <c r="FQ112">
        <v>0</v>
      </c>
      <c r="FR112">
        <v>0</v>
      </c>
      <c r="FS112">
        <v>0</v>
      </c>
      <c r="FX112">
        <v>95</v>
      </c>
      <c r="FY112">
        <v>53</v>
      </c>
      <c r="GA112" t="s">
        <v>173</v>
      </c>
      <c r="GD112">
        <v>1</v>
      </c>
      <c r="GF112">
        <v>-900683088</v>
      </c>
      <c r="GG112">
        <v>2</v>
      </c>
      <c r="GH112">
        <v>3</v>
      </c>
      <c r="GI112">
        <v>5</v>
      </c>
      <c r="GJ112">
        <v>0</v>
      </c>
      <c r="GK112">
        <v>0</v>
      </c>
      <c r="GL112">
        <f t="shared" si="139"/>
        <v>0</v>
      </c>
      <c r="GM112">
        <f t="shared" si="140"/>
        <v>4675.0200000000004</v>
      </c>
      <c r="GN112">
        <f t="shared" si="141"/>
        <v>0</v>
      </c>
      <c r="GO112">
        <f t="shared" si="142"/>
        <v>4675.0200000000004</v>
      </c>
      <c r="GP112">
        <f t="shared" si="143"/>
        <v>0</v>
      </c>
      <c r="GR112">
        <v>1</v>
      </c>
      <c r="GS112">
        <v>1</v>
      </c>
      <c r="GT112">
        <v>0</v>
      </c>
      <c r="GU112" t="s">
        <v>3</v>
      </c>
      <c r="GV112">
        <f t="shared" si="144"/>
        <v>0</v>
      </c>
      <c r="GW112">
        <v>1</v>
      </c>
      <c r="GX112">
        <f t="shared" si="145"/>
        <v>0</v>
      </c>
      <c r="HA112">
        <v>0</v>
      </c>
      <c r="HB112">
        <v>0</v>
      </c>
      <c r="HC112">
        <f t="shared" si="146"/>
        <v>0</v>
      </c>
      <c r="HE112" t="s">
        <v>146</v>
      </c>
      <c r="HF112" t="s">
        <v>39</v>
      </c>
      <c r="HM112" t="s">
        <v>3</v>
      </c>
      <c r="HN112" t="s">
        <v>3</v>
      </c>
      <c r="HO112" t="s">
        <v>3</v>
      </c>
      <c r="HP112" t="s">
        <v>3</v>
      </c>
      <c r="HQ112" t="s">
        <v>3</v>
      </c>
      <c r="HS112">
        <v>0</v>
      </c>
      <c r="IK112">
        <v>0</v>
      </c>
    </row>
    <row r="113" spans="1:255" x14ac:dyDescent="0.3">
      <c r="A113" s="2">
        <v>17</v>
      </c>
      <c r="B113" s="2">
        <v>1</v>
      </c>
      <c r="C113" s="2"/>
      <c r="D113" s="2">
        <f>ROW(EtalonRes!A83)</f>
        <v>83</v>
      </c>
      <c r="E113" s="2" t="s">
        <v>174</v>
      </c>
      <c r="F113" s="2" t="s">
        <v>175</v>
      </c>
      <c r="G113" s="2" t="s">
        <v>176</v>
      </c>
      <c r="H113" s="2" t="s">
        <v>22</v>
      </c>
      <c r="I113" s="2">
        <v>1</v>
      </c>
      <c r="J113" s="2">
        <v>0</v>
      </c>
      <c r="K113" s="2">
        <v>1</v>
      </c>
      <c r="L113" s="2"/>
      <c r="M113" s="2"/>
      <c r="N113" s="2"/>
      <c r="O113" s="2">
        <f t="shared" si="115"/>
        <v>13.47</v>
      </c>
      <c r="P113" s="2">
        <f t="shared" si="116"/>
        <v>0.28999999999999998</v>
      </c>
      <c r="Q113" s="2">
        <f>(ROUND((ROUND((((ET113*1.1))*AV113*I113),2)*BB113),2)+ROUND((ROUND(((AE113-((EU113*1.1)))*AV113*I113),2)*BS113),2))</f>
        <v>0</v>
      </c>
      <c r="R113" s="2">
        <f t="shared" si="117"/>
        <v>0</v>
      </c>
      <c r="S113" s="2">
        <f t="shared" si="118"/>
        <v>13.18</v>
      </c>
      <c r="T113" s="2">
        <f t="shared" si="119"/>
        <v>0</v>
      </c>
      <c r="U113" s="2">
        <f t="shared" si="120"/>
        <v>0.95656000000000008</v>
      </c>
      <c r="V113" s="2">
        <f t="shared" si="121"/>
        <v>0</v>
      </c>
      <c r="W113" s="2">
        <f t="shared" si="122"/>
        <v>0</v>
      </c>
      <c r="X113" s="2">
        <f t="shared" si="123"/>
        <v>12.52</v>
      </c>
      <c r="Y113" s="2">
        <f t="shared" si="124"/>
        <v>6.99</v>
      </c>
      <c r="Z113" s="2"/>
      <c r="AA113" s="2">
        <v>56503348</v>
      </c>
      <c r="AB113" s="2">
        <f t="shared" si="125"/>
        <v>12.412000000000001</v>
      </c>
      <c r="AC113" s="2">
        <f t="shared" si="126"/>
        <v>0.28999999999999998</v>
      </c>
      <c r="AD113" s="2">
        <f>ROUND(((((ET113*1.1))-((EU113*1.1)))+AE113),6)</f>
        <v>0</v>
      </c>
      <c r="AE113" s="2">
        <f>ROUND(((EU113*1.1)),6)</f>
        <v>0</v>
      </c>
      <c r="AF113" s="2">
        <f>ROUND(((EV113*1.1)),6)</f>
        <v>12.122</v>
      </c>
      <c r="AG113" s="2">
        <f t="shared" si="127"/>
        <v>0</v>
      </c>
      <c r="AH113" s="2">
        <f>((EW113*1.1))</f>
        <v>0.88000000000000012</v>
      </c>
      <c r="AI113" s="2">
        <f>((EX113*1.1))</f>
        <v>0</v>
      </c>
      <c r="AJ113" s="2">
        <f t="shared" si="128"/>
        <v>0</v>
      </c>
      <c r="AK113" s="2">
        <v>11.31</v>
      </c>
      <c r="AL113" s="2">
        <v>0.28999999999999998</v>
      </c>
      <c r="AM113" s="2">
        <v>0</v>
      </c>
      <c r="AN113" s="2">
        <v>0</v>
      </c>
      <c r="AO113" s="2">
        <v>11.02</v>
      </c>
      <c r="AP113" s="2">
        <v>0</v>
      </c>
      <c r="AQ113" s="2">
        <v>0.8</v>
      </c>
      <c r="AR113" s="2">
        <v>0</v>
      </c>
      <c r="AS113" s="2">
        <v>0</v>
      </c>
      <c r="AT113" s="2">
        <v>95</v>
      </c>
      <c r="AU113" s="2">
        <v>53</v>
      </c>
      <c r="AV113" s="2">
        <v>1.087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0</v>
      </c>
      <c r="BI113" s="2">
        <v>2</v>
      </c>
      <c r="BJ113" s="2" t="s">
        <v>177</v>
      </c>
      <c r="BK113" s="2"/>
      <c r="BL113" s="2"/>
      <c r="BM113" s="2">
        <v>69</v>
      </c>
      <c r="BN113" s="2">
        <v>0</v>
      </c>
      <c r="BO113" s="2" t="s">
        <v>175</v>
      </c>
      <c r="BP113" s="2">
        <v>1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95</v>
      </c>
      <c r="CA113" s="2">
        <v>53</v>
      </c>
      <c r="CB113" s="2" t="s">
        <v>3</v>
      </c>
      <c r="CC113" s="2"/>
      <c r="CD113" s="2"/>
      <c r="CE113" s="2">
        <v>30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129"/>
        <v>13.469999999999999</v>
      </c>
      <c r="CQ113" s="2">
        <f t="shared" si="130"/>
        <v>0.28999999999999998</v>
      </c>
      <c r="CR113" s="2">
        <f>(ROUND((ROUND((((ET113*1.1))*AV113*1),2)*BB113),2)+ROUND((ROUND(((AE113-((EU113*1.1)))*AV113*1),2)*BS113),2))</f>
        <v>0</v>
      </c>
      <c r="CS113" s="2">
        <f t="shared" si="131"/>
        <v>0</v>
      </c>
      <c r="CT113" s="2">
        <f t="shared" si="132"/>
        <v>13.18</v>
      </c>
      <c r="CU113" s="2">
        <f t="shared" si="133"/>
        <v>0</v>
      </c>
      <c r="CV113" s="2">
        <f t="shared" si="134"/>
        <v>0.95656000000000008</v>
      </c>
      <c r="CW113" s="2">
        <f t="shared" si="135"/>
        <v>0</v>
      </c>
      <c r="CX113" s="2">
        <f t="shared" si="136"/>
        <v>0</v>
      </c>
      <c r="CY113" s="2">
        <f t="shared" si="137"/>
        <v>12.520999999999999</v>
      </c>
      <c r="CZ113" s="2">
        <f t="shared" si="138"/>
        <v>6.9853999999999994</v>
      </c>
      <c r="DA113" s="2"/>
      <c r="DB113" s="2"/>
      <c r="DC113" s="2" t="s">
        <v>3</v>
      </c>
      <c r="DD113" s="2" t="s">
        <v>3</v>
      </c>
      <c r="DE113" s="2" t="s">
        <v>24</v>
      </c>
      <c r="DF113" s="2" t="s">
        <v>24</v>
      </c>
      <c r="DG113" s="2" t="s">
        <v>24</v>
      </c>
      <c r="DH113" s="2" t="s">
        <v>3</v>
      </c>
      <c r="DI113" s="2" t="s">
        <v>24</v>
      </c>
      <c r="DJ113" s="2" t="s">
        <v>24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22</v>
      </c>
      <c r="DW113" s="2" t="s">
        <v>22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58162631</v>
      </c>
      <c r="EF113" s="2">
        <v>40</v>
      </c>
      <c r="EG113" s="2" t="s">
        <v>25</v>
      </c>
      <c r="EH113" s="2">
        <v>0</v>
      </c>
      <c r="EI113" s="2" t="s">
        <v>3</v>
      </c>
      <c r="EJ113" s="2">
        <v>2</v>
      </c>
      <c r="EK113" s="2">
        <v>69</v>
      </c>
      <c r="EL113" s="2" t="s">
        <v>26</v>
      </c>
      <c r="EM113" s="2" t="s">
        <v>27</v>
      </c>
      <c r="EN113" s="2"/>
      <c r="EO113" s="2" t="s">
        <v>28</v>
      </c>
      <c r="EP113" s="2"/>
      <c r="EQ113" s="2">
        <v>0</v>
      </c>
      <c r="ER113" s="2">
        <v>11.31</v>
      </c>
      <c r="ES113" s="2">
        <v>0.28999999999999998</v>
      </c>
      <c r="ET113" s="2">
        <v>0</v>
      </c>
      <c r="EU113" s="2">
        <v>0</v>
      </c>
      <c r="EV113" s="2">
        <v>11.02</v>
      </c>
      <c r="EW113" s="2">
        <v>0.8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95</v>
      </c>
      <c r="FY113" s="2">
        <v>53</v>
      </c>
      <c r="FZ113" s="2"/>
      <c r="GA113" s="2" t="s">
        <v>3</v>
      </c>
      <c r="GB113" s="2"/>
      <c r="GC113" s="2"/>
      <c r="GD113" s="2">
        <v>1</v>
      </c>
      <c r="GE113" s="2"/>
      <c r="GF113" s="2">
        <v>105814318</v>
      </c>
      <c r="GG113" s="2">
        <v>2</v>
      </c>
      <c r="GH113" s="2">
        <v>1</v>
      </c>
      <c r="GI113" s="2">
        <v>2</v>
      </c>
      <c r="GJ113" s="2">
        <v>0</v>
      </c>
      <c r="GK113" s="2">
        <v>0</v>
      </c>
      <c r="GL113" s="2">
        <f t="shared" si="139"/>
        <v>0</v>
      </c>
      <c r="GM113" s="2">
        <f t="shared" si="140"/>
        <v>32.979999999999997</v>
      </c>
      <c r="GN113" s="2">
        <f t="shared" si="141"/>
        <v>0</v>
      </c>
      <c r="GO113" s="2">
        <f t="shared" si="142"/>
        <v>32.979999999999997</v>
      </c>
      <c r="GP113" s="2">
        <f t="shared" si="143"/>
        <v>0</v>
      </c>
      <c r="GQ113" s="2"/>
      <c r="GR113" s="2">
        <v>0</v>
      </c>
      <c r="GS113" s="2">
        <v>3</v>
      </c>
      <c r="GT113" s="2">
        <v>0</v>
      </c>
      <c r="GU113" s="2" t="s">
        <v>3</v>
      </c>
      <c r="GV113" s="2">
        <f t="shared" si="144"/>
        <v>0</v>
      </c>
      <c r="GW113" s="2">
        <v>1</v>
      </c>
      <c r="GX113" s="2">
        <f t="shared" si="145"/>
        <v>0</v>
      </c>
      <c r="GY113" s="2"/>
      <c r="GZ113" s="2"/>
      <c r="HA113" s="2">
        <v>0</v>
      </c>
      <c r="HB113" s="2">
        <v>0</v>
      </c>
      <c r="HC113" s="2">
        <f t="shared" si="146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3">
      <c r="A114">
        <v>17</v>
      </c>
      <c r="B114">
        <v>1</v>
      </c>
      <c r="D114">
        <f>ROW(EtalonRes!A84)</f>
        <v>84</v>
      </c>
      <c r="E114" t="s">
        <v>174</v>
      </c>
      <c r="F114" t="s">
        <v>175</v>
      </c>
      <c r="G114" t="s">
        <v>176</v>
      </c>
      <c r="H114" t="s">
        <v>22</v>
      </c>
      <c r="I114">
        <v>1</v>
      </c>
      <c r="J114">
        <v>0</v>
      </c>
      <c r="K114">
        <v>1</v>
      </c>
      <c r="O114">
        <f t="shared" si="115"/>
        <v>727.64</v>
      </c>
      <c r="P114">
        <f t="shared" si="116"/>
        <v>2.87</v>
      </c>
      <c r="Q114">
        <f>(ROUND((ROUND((((ET114*1.1))*AV114*I114),2)*BB114),2)+ROUND((ROUND(((AE114-((EU114*1.1)))*AV114*I114),2)*BS114),2))</f>
        <v>0</v>
      </c>
      <c r="R114">
        <f t="shared" si="117"/>
        <v>0</v>
      </c>
      <c r="S114">
        <f t="shared" si="118"/>
        <v>724.77</v>
      </c>
      <c r="T114">
        <f t="shared" si="119"/>
        <v>0</v>
      </c>
      <c r="U114">
        <f t="shared" si="120"/>
        <v>0.95656000000000008</v>
      </c>
      <c r="V114">
        <f t="shared" si="121"/>
        <v>0</v>
      </c>
      <c r="W114">
        <f t="shared" si="122"/>
        <v>0</v>
      </c>
      <c r="X114">
        <f t="shared" si="123"/>
        <v>688.53</v>
      </c>
      <c r="Y114">
        <f t="shared" si="124"/>
        <v>384.13</v>
      </c>
      <c r="AA114">
        <v>56503350</v>
      </c>
      <c r="AB114">
        <f t="shared" si="125"/>
        <v>12.412000000000001</v>
      </c>
      <c r="AC114">
        <f t="shared" si="126"/>
        <v>0.28999999999999998</v>
      </c>
      <c r="AD114">
        <f>ROUND(((((ET114*1.1))-((EU114*1.1)))+AE114),6)</f>
        <v>0</v>
      </c>
      <c r="AE114">
        <f>ROUND(((EU114*1.1)),6)</f>
        <v>0</v>
      </c>
      <c r="AF114">
        <f>ROUND(((EV114*1.1)),6)</f>
        <v>12.122</v>
      </c>
      <c r="AG114">
        <f t="shared" si="127"/>
        <v>0</v>
      </c>
      <c r="AH114">
        <f>((EW114*1.1))</f>
        <v>0.88000000000000012</v>
      </c>
      <c r="AI114">
        <f>((EX114*1.1))</f>
        <v>0</v>
      </c>
      <c r="AJ114">
        <f t="shared" si="128"/>
        <v>0</v>
      </c>
      <c r="AK114">
        <v>11.31</v>
      </c>
      <c r="AL114">
        <v>0.28999999999999998</v>
      </c>
      <c r="AM114">
        <v>0</v>
      </c>
      <c r="AN114">
        <v>0</v>
      </c>
      <c r="AO114">
        <v>11.02</v>
      </c>
      <c r="AP114">
        <v>0</v>
      </c>
      <c r="AQ114">
        <v>0.8</v>
      </c>
      <c r="AR114">
        <v>0</v>
      </c>
      <c r="AS114">
        <v>0</v>
      </c>
      <c r="AT114">
        <v>95</v>
      </c>
      <c r="AU114">
        <v>53</v>
      </c>
      <c r="AV114">
        <v>1.087</v>
      </c>
      <c r="AW114">
        <v>1</v>
      </c>
      <c r="AZ114">
        <v>1</v>
      </c>
      <c r="BA114">
        <v>54.99</v>
      </c>
      <c r="BB114">
        <v>1</v>
      </c>
      <c r="BC114">
        <v>9.9</v>
      </c>
      <c r="BD114" t="s">
        <v>3</v>
      </c>
      <c r="BE114" t="s">
        <v>3</v>
      </c>
      <c r="BF114" t="s">
        <v>3</v>
      </c>
      <c r="BG114" t="s">
        <v>3</v>
      </c>
      <c r="BH114">
        <v>0</v>
      </c>
      <c r="BI114">
        <v>2</v>
      </c>
      <c r="BJ114" t="s">
        <v>177</v>
      </c>
      <c r="BM114">
        <v>69</v>
      </c>
      <c r="BN114">
        <v>0</v>
      </c>
      <c r="BO114" t="s">
        <v>175</v>
      </c>
      <c r="BP114">
        <v>1</v>
      </c>
      <c r="BQ114">
        <v>40</v>
      </c>
      <c r="BR114">
        <v>0</v>
      </c>
      <c r="BS114">
        <v>54.99</v>
      </c>
      <c r="BT114">
        <v>1</v>
      </c>
      <c r="BU114">
        <v>1</v>
      </c>
      <c r="BV114">
        <v>1</v>
      </c>
      <c r="BW114">
        <v>1</v>
      </c>
      <c r="BX114">
        <v>1</v>
      </c>
      <c r="BY114" t="s">
        <v>3</v>
      </c>
      <c r="BZ114">
        <v>95</v>
      </c>
      <c r="CA114">
        <v>53</v>
      </c>
      <c r="CB114" t="s">
        <v>3</v>
      </c>
      <c r="CE114">
        <v>30</v>
      </c>
      <c r="CF114">
        <v>0</v>
      </c>
      <c r="CG114">
        <v>0</v>
      </c>
      <c r="CM114">
        <v>0</v>
      </c>
      <c r="CN114" t="s">
        <v>3</v>
      </c>
      <c r="CO114">
        <v>0</v>
      </c>
      <c r="CP114">
        <f t="shared" si="129"/>
        <v>727.64</v>
      </c>
      <c r="CQ114">
        <f t="shared" si="130"/>
        <v>2.87</v>
      </c>
      <c r="CR114">
        <f>(ROUND((ROUND((((ET114*1.1))*AV114*1),2)*BB114),2)+ROUND((ROUND(((AE114-((EU114*1.1)))*AV114*1),2)*BS114),2))</f>
        <v>0</v>
      </c>
      <c r="CS114">
        <f t="shared" si="131"/>
        <v>0</v>
      </c>
      <c r="CT114">
        <f t="shared" si="132"/>
        <v>724.77</v>
      </c>
      <c r="CU114">
        <f t="shared" si="133"/>
        <v>0</v>
      </c>
      <c r="CV114">
        <f t="shared" si="134"/>
        <v>0.95656000000000008</v>
      </c>
      <c r="CW114">
        <f t="shared" si="135"/>
        <v>0</v>
      </c>
      <c r="CX114">
        <f t="shared" si="136"/>
        <v>0</v>
      </c>
      <c r="CY114">
        <f t="shared" si="137"/>
        <v>688.53149999999994</v>
      </c>
      <c r="CZ114">
        <f t="shared" si="138"/>
        <v>384.12809999999996</v>
      </c>
      <c r="DC114" t="s">
        <v>3</v>
      </c>
      <c r="DD114" t="s">
        <v>3</v>
      </c>
      <c r="DE114" t="s">
        <v>24</v>
      </c>
      <c r="DF114" t="s">
        <v>24</v>
      </c>
      <c r="DG114" t="s">
        <v>24</v>
      </c>
      <c r="DH114" t="s">
        <v>3</v>
      </c>
      <c r="DI114" t="s">
        <v>24</v>
      </c>
      <c r="DJ114" t="s">
        <v>24</v>
      </c>
      <c r="DK114" t="s">
        <v>3</v>
      </c>
      <c r="DL114" t="s">
        <v>3</v>
      </c>
      <c r="DM114" t="s">
        <v>3</v>
      </c>
      <c r="DN114">
        <v>0</v>
      </c>
      <c r="DO114">
        <v>0</v>
      </c>
      <c r="DP114">
        <v>1</v>
      </c>
      <c r="DQ114">
        <v>1</v>
      </c>
      <c r="DU114">
        <v>1013</v>
      </c>
      <c r="DV114" t="s">
        <v>22</v>
      </c>
      <c r="DW114" t="s">
        <v>22</v>
      </c>
      <c r="DX114">
        <v>1</v>
      </c>
      <c r="DZ114" t="s">
        <v>3</v>
      </c>
      <c r="EA114" t="s">
        <v>3</v>
      </c>
      <c r="EB114" t="s">
        <v>3</v>
      </c>
      <c r="EC114" t="s">
        <v>3</v>
      </c>
      <c r="EE114">
        <v>58162631</v>
      </c>
      <c r="EF114">
        <v>40</v>
      </c>
      <c r="EG114" t="s">
        <v>25</v>
      </c>
      <c r="EH114">
        <v>0</v>
      </c>
      <c r="EI114" t="s">
        <v>3</v>
      </c>
      <c r="EJ114">
        <v>2</v>
      </c>
      <c r="EK114">
        <v>69</v>
      </c>
      <c r="EL114" t="s">
        <v>26</v>
      </c>
      <c r="EM114" t="s">
        <v>27</v>
      </c>
      <c r="EO114" t="s">
        <v>28</v>
      </c>
      <c r="EQ114">
        <v>0</v>
      </c>
      <c r="ER114">
        <v>11.31</v>
      </c>
      <c r="ES114">
        <v>0.28999999999999998</v>
      </c>
      <c r="ET114">
        <v>0</v>
      </c>
      <c r="EU114">
        <v>0</v>
      </c>
      <c r="EV114">
        <v>11.02</v>
      </c>
      <c r="EW114">
        <v>0.8</v>
      </c>
      <c r="EX114">
        <v>0</v>
      </c>
      <c r="EY114">
        <v>0</v>
      </c>
      <c r="FQ114">
        <v>0</v>
      </c>
      <c r="FR114">
        <v>0</v>
      </c>
      <c r="FS114">
        <v>0</v>
      </c>
      <c r="FX114">
        <v>95</v>
      </c>
      <c r="FY114">
        <v>53</v>
      </c>
      <c r="GA114" t="s">
        <v>3</v>
      </c>
      <c r="GD114">
        <v>1</v>
      </c>
      <c r="GF114">
        <v>105814318</v>
      </c>
      <c r="GG114">
        <v>2</v>
      </c>
      <c r="GH114">
        <v>1</v>
      </c>
      <c r="GI114">
        <v>2</v>
      </c>
      <c r="GJ114">
        <v>0</v>
      </c>
      <c r="GK114">
        <v>0</v>
      </c>
      <c r="GL114">
        <f t="shared" si="139"/>
        <v>0</v>
      </c>
      <c r="GM114">
        <f t="shared" si="140"/>
        <v>1800.3</v>
      </c>
      <c r="GN114">
        <f t="shared" si="141"/>
        <v>0</v>
      </c>
      <c r="GO114">
        <f t="shared" si="142"/>
        <v>1800.3</v>
      </c>
      <c r="GP114">
        <f t="shared" si="143"/>
        <v>0</v>
      </c>
      <c r="GR114">
        <v>0</v>
      </c>
      <c r="GS114">
        <v>3</v>
      </c>
      <c r="GT114">
        <v>0</v>
      </c>
      <c r="GU114" t="s">
        <v>3</v>
      </c>
      <c r="GV114">
        <f t="shared" si="144"/>
        <v>0</v>
      </c>
      <c r="GW114">
        <v>1</v>
      </c>
      <c r="GX114">
        <f t="shared" si="145"/>
        <v>0</v>
      </c>
      <c r="HA114">
        <v>0</v>
      </c>
      <c r="HB114">
        <v>0</v>
      </c>
      <c r="HC114">
        <f t="shared" si="146"/>
        <v>0</v>
      </c>
      <c r="HE114" t="s">
        <v>3</v>
      </c>
      <c r="HF114" t="s">
        <v>3</v>
      </c>
      <c r="HM114" t="s">
        <v>3</v>
      </c>
      <c r="HN114" t="s">
        <v>3</v>
      </c>
      <c r="HO114" t="s">
        <v>3</v>
      </c>
      <c r="HP114" t="s">
        <v>3</v>
      </c>
      <c r="HQ114" t="s">
        <v>3</v>
      </c>
      <c r="HS114">
        <v>0</v>
      </c>
      <c r="IK114">
        <v>0</v>
      </c>
    </row>
    <row r="115" spans="1:255" x14ac:dyDescent="0.3">
      <c r="A115" s="2">
        <v>18</v>
      </c>
      <c r="B115" s="2">
        <v>1</v>
      </c>
      <c r="C115" s="2"/>
      <c r="D115" s="2"/>
      <c r="E115" s="2" t="s">
        <v>178</v>
      </c>
      <c r="F115" s="2" t="s">
        <v>179</v>
      </c>
      <c r="G115" s="2" t="s">
        <v>180</v>
      </c>
      <c r="H115" s="2" t="s">
        <v>32</v>
      </c>
      <c r="I115" s="2">
        <f>I113*J115</f>
        <v>1</v>
      </c>
      <c r="J115" s="2">
        <v>1</v>
      </c>
      <c r="K115" s="2">
        <v>1</v>
      </c>
      <c r="L115" s="2"/>
      <c r="M115" s="2"/>
      <c r="N115" s="2"/>
      <c r="O115" s="2">
        <f t="shared" si="115"/>
        <v>523.16</v>
      </c>
      <c r="P115" s="2">
        <f t="shared" si="116"/>
        <v>523.16</v>
      </c>
      <c r="Q115" s="2">
        <f>(ROUND((ROUND(((ET115)*AV115*I115),2)*BB115),2)+ROUND((ROUND(((AE115-(EU115))*AV115*I115),2)*BS115),2))</f>
        <v>0</v>
      </c>
      <c r="R115" s="2">
        <f t="shared" si="117"/>
        <v>0</v>
      </c>
      <c r="S115" s="2">
        <f t="shared" si="118"/>
        <v>0</v>
      </c>
      <c r="T115" s="2">
        <f t="shared" si="119"/>
        <v>0</v>
      </c>
      <c r="U115" s="2">
        <f t="shared" si="120"/>
        <v>0</v>
      </c>
      <c r="V115" s="2">
        <f t="shared" si="121"/>
        <v>0</v>
      </c>
      <c r="W115" s="2">
        <f t="shared" si="122"/>
        <v>0</v>
      </c>
      <c r="X115" s="2">
        <f t="shared" si="123"/>
        <v>0</v>
      </c>
      <c r="Y115" s="2">
        <f t="shared" si="124"/>
        <v>0</v>
      </c>
      <c r="Z115" s="2"/>
      <c r="AA115" s="2">
        <v>56503348</v>
      </c>
      <c r="AB115" s="2">
        <f t="shared" si="125"/>
        <v>523.16</v>
      </c>
      <c r="AC115" s="2">
        <f t="shared" si="126"/>
        <v>523.16</v>
      </c>
      <c r="AD115" s="2">
        <f>ROUND((((ET115)-(EU115))+AE115),6)</f>
        <v>0</v>
      </c>
      <c r="AE115" s="2">
        <f>ROUND((EU115),6)</f>
        <v>0</v>
      </c>
      <c r="AF115" s="2">
        <f>ROUND((EV115),6)</f>
        <v>0</v>
      </c>
      <c r="AG115" s="2">
        <f t="shared" si="127"/>
        <v>0</v>
      </c>
      <c r="AH115" s="2">
        <f>(EW115)</f>
        <v>0</v>
      </c>
      <c r="AI115" s="2">
        <f>(EX115)</f>
        <v>0</v>
      </c>
      <c r="AJ115" s="2">
        <f t="shared" si="128"/>
        <v>0</v>
      </c>
      <c r="AK115" s="2">
        <v>523.16</v>
      </c>
      <c r="AL115" s="2">
        <v>523.16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95</v>
      </c>
      <c r="AU115" s="2">
        <v>53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2</v>
      </c>
      <c r="BJ115" s="2" t="s">
        <v>3</v>
      </c>
      <c r="BK115" s="2"/>
      <c r="BL115" s="2"/>
      <c r="BM115" s="2">
        <v>69</v>
      </c>
      <c r="BN115" s="2">
        <v>0</v>
      </c>
      <c r="BO115" s="2" t="s">
        <v>3</v>
      </c>
      <c r="BP115" s="2">
        <v>0</v>
      </c>
      <c r="BQ115" s="2">
        <v>40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95</v>
      </c>
      <c r="CA115" s="2">
        <v>53</v>
      </c>
      <c r="CB115" s="2" t="s">
        <v>3</v>
      </c>
      <c r="CC115" s="2"/>
      <c r="CD115" s="2"/>
      <c r="CE115" s="2">
        <v>30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129"/>
        <v>523.16</v>
      </c>
      <c r="CQ115" s="2">
        <f t="shared" si="130"/>
        <v>523.16</v>
      </c>
      <c r="CR115" s="2">
        <f>(ROUND((ROUND(((ET115)*AV115*1),2)*BB115),2)+ROUND((ROUND(((AE115-(EU115))*AV115*1),2)*BS115),2))</f>
        <v>0</v>
      </c>
      <c r="CS115" s="2">
        <f t="shared" si="131"/>
        <v>0</v>
      </c>
      <c r="CT115" s="2">
        <f t="shared" si="132"/>
        <v>0</v>
      </c>
      <c r="CU115" s="2">
        <f t="shared" si="133"/>
        <v>0</v>
      </c>
      <c r="CV115" s="2">
        <f t="shared" si="134"/>
        <v>0</v>
      </c>
      <c r="CW115" s="2">
        <f t="shared" si="135"/>
        <v>0</v>
      </c>
      <c r="CX115" s="2">
        <f t="shared" si="136"/>
        <v>0</v>
      </c>
      <c r="CY115" s="2">
        <f t="shared" si="137"/>
        <v>0</v>
      </c>
      <c r="CZ115" s="2">
        <f t="shared" si="138"/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1010</v>
      </c>
      <c r="DV115" s="2" t="s">
        <v>32</v>
      </c>
      <c r="DW115" s="2" t="s">
        <v>32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58162631</v>
      </c>
      <c r="EF115" s="2">
        <v>40</v>
      </c>
      <c r="EG115" s="2" t="s">
        <v>25</v>
      </c>
      <c r="EH115" s="2">
        <v>0</v>
      </c>
      <c r="EI115" s="2" t="s">
        <v>3</v>
      </c>
      <c r="EJ115" s="2">
        <v>2</v>
      </c>
      <c r="EK115" s="2">
        <v>69</v>
      </c>
      <c r="EL115" s="2" t="s">
        <v>26</v>
      </c>
      <c r="EM115" s="2" t="s">
        <v>27</v>
      </c>
      <c r="EN115" s="2"/>
      <c r="EO115" s="2" t="s">
        <v>3</v>
      </c>
      <c r="EP115" s="2"/>
      <c r="EQ115" s="2">
        <v>0</v>
      </c>
      <c r="ER115" s="2">
        <v>0</v>
      </c>
      <c r="ES115" s="2">
        <v>523.16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95</v>
      </c>
      <c r="FY115" s="2">
        <v>53</v>
      </c>
      <c r="FZ115" s="2"/>
      <c r="GA115" s="2" t="s">
        <v>181</v>
      </c>
      <c r="GB115" s="2"/>
      <c r="GC115" s="2"/>
      <c r="GD115" s="2">
        <v>1</v>
      </c>
      <c r="GE115" s="2"/>
      <c r="GF115" s="2">
        <v>-1074681524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139"/>
        <v>0</v>
      </c>
      <c r="GM115" s="2">
        <f t="shared" si="140"/>
        <v>523.16</v>
      </c>
      <c r="GN115" s="2">
        <f t="shared" si="141"/>
        <v>0</v>
      </c>
      <c r="GO115" s="2">
        <f t="shared" si="142"/>
        <v>523.16</v>
      </c>
      <c r="GP115" s="2">
        <f t="shared" si="143"/>
        <v>0</v>
      </c>
      <c r="GQ115" s="2"/>
      <c r="GR115" s="2">
        <v>0</v>
      </c>
      <c r="GS115" s="2">
        <v>2</v>
      </c>
      <c r="GT115" s="2">
        <v>0</v>
      </c>
      <c r="GU115" s="2" t="s">
        <v>3</v>
      </c>
      <c r="GV115" s="2">
        <f t="shared" si="144"/>
        <v>0</v>
      </c>
      <c r="GW115" s="2">
        <v>1</v>
      </c>
      <c r="GX115" s="2">
        <f t="shared" si="145"/>
        <v>0</v>
      </c>
      <c r="GY115" s="2"/>
      <c r="GZ115" s="2"/>
      <c r="HA115" s="2">
        <v>0</v>
      </c>
      <c r="HB115" s="2">
        <v>0</v>
      </c>
      <c r="HC115" s="2">
        <f t="shared" si="146"/>
        <v>0</v>
      </c>
      <c r="HD115" s="2"/>
      <c r="HE115" s="2" t="s">
        <v>146</v>
      </c>
      <c r="HF115" s="2" t="s">
        <v>39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3">
      <c r="A116">
        <v>18</v>
      </c>
      <c r="B116">
        <v>1</v>
      </c>
      <c r="E116" t="s">
        <v>178</v>
      </c>
      <c r="F116" t="s">
        <v>179</v>
      </c>
      <c r="G116" t="s">
        <v>180</v>
      </c>
      <c r="H116" t="s">
        <v>32</v>
      </c>
      <c r="I116">
        <f>I114*J116</f>
        <v>1</v>
      </c>
      <c r="J116">
        <v>1</v>
      </c>
      <c r="K116">
        <v>1</v>
      </c>
      <c r="O116">
        <f t="shared" si="115"/>
        <v>5168.82</v>
      </c>
      <c r="P116">
        <f t="shared" si="116"/>
        <v>5168.82</v>
      </c>
      <c r="Q116">
        <f>(ROUND((ROUND(((ET116)*AV116*I116),2)*BB116),2)+ROUND((ROUND(((AE116-(EU116))*AV116*I116),2)*BS116),2))</f>
        <v>0</v>
      </c>
      <c r="R116">
        <f t="shared" si="117"/>
        <v>0</v>
      </c>
      <c r="S116">
        <f t="shared" si="118"/>
        <v>0</v>
      </c>
      <c r="T116">
        <f t="shared" si="119"/>
        <v>0</v>
      </c>
      <c r="U116">
        <f t="shared" si="120"/>
        <v>0</v>
      </c>
      <c r="V116">
        <f t="shared" si="121"/>
        <v>0</v>
      </c>
      <c r="W116">
        <f t="shared" si="122"/>
        <v>0</v>
      </c>
      <c r="X116">
        <f t="shared" si="123"/>
        <v>0</v>
      </c>
      <c r="Y116">
        <f t="shared" si="124"/>
        <v>0</v>
      </c>
      <c r="AA116">
        <v>56503350</v>
      </c>
      <c r="AB116">
        <f t="shared" si="125"/>
        <v>523.16</v>
      </c>
      <c r="AC116">
        <f t="shared" si="126"/>
        <v>523.16</v>
      </c>
      <c r="AD116">
        <f>ROUND((((ET116)-(EU116))+AE116),6)</f>
        <v>0</v>
      </c>
      <c r="AE116">
        <f>ROUND((EU116),6)</f>
        <v>0</v>
      </c>
      <c r="AF116">
        <f>ROUND((EV116),6)</f>
        <v>0</v>
      </c>
      <c r="AG116">
        <f t="shared" si="127"/>
        <v>0</v>
      </c>
      <c r="AH116">
        <f>(EW116)</f>
        <v>0</v>
      </c>
      <c r="AI116">
        <f>(EX116)</f>
        <v>0</v>
      </c>
      <c r="AJ116">
        <f t="shared" si="128"/>
        <v>0</v>
      </c>
      <c r="AK116">
        <v>523.16</v>
      </c>
      <c r="AL116">
        <v>523.16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95</v>
      </c>
      <c r="AU116">
        <v>53</v>
      </c>
      <c r="AV116">
        <v>1</v>
      </c>
      <c r="AW116">
        <v>1</v>
      </c>
      <c r="AZ116">
        <v>1</v>
      </c>
      <c r="BA116">
        <v>1</v>
      </c>
      <c r="BB116">
        <v>1</v>
      </c>
      <c r="BC116">
        <v>9.8800000000000008</v>
      </c>
      <c r="BD116" t="s">
        <v>3</v>
      </c>
      <c r="BE116" t="s">
        <v>3</v>
      </c>
      <c r="BF116" t="s">
        <v>3</v>
      </c>
      <c r="BG116" t="s">
        <v>3</v>
      </c>
      <c r="BH116">
        <v>3</v>
      </c>
      <c r="BI116">
        <v>2</v>
      </c>
      <c r="BJ116" t="s">
        <v>3</v>
      </c>
      <c r="BM116">
        <v>69</v>
      </c>
      <c r="BN116">
        <v>0</v>
      </c>
      <c r="BO116" t="s">
        <v>3</v>
      </c>
      <c r="BP116">
        <v>0</v>
      </c>
      <c r="BQ116">
        <v>40</v>
      </c>
      <c r="BR116">
        <v>0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 t="s">
        <v>3</v>
      </c>
      <c r="BZ116">
        <v>95</v>
      </c>
      <c r="CA116">
        <v>53</v>
      </c>
      <c r="CB116" t="s">
        <v>3</v>
      </c>
      <c r="CE116">
        <v>30</v>
      </c>
      <c r="CF116">
        <v>0</v>
      </c>
      <c r="CG116">
        <v>0</v>
      </c>
      <c r="CM116">
        <v>0</v>
      </c>
      <c r="CN116" t="s">
        <v>3</v>
      </c>
      <c r="CO116">
        <v>0</v>
      </c>
      <c r="CP116">
        <f t="shared" si="129"/>
        <v>5168.82</v>
      </c>
      <c r="CQ116">
        <f t="shared" si="130"/>
        <v>5168.82</v>
      </c>
      <c r="CR116">
        <f>(ROUND((ROUND(((ET116)*AV116*1),2)*BB116),2)+ROUND((ROUND(((AE116-(EU116))*AV116*1),2)*BS116),2))</f>
        <v>0</v>
      </c>
      <c r="CS116">
        <f t="shared" si="131"/>
        <v>0</v>
      </c>
      <c r="CT116">
        <f t="shared" si="132"/>
        <v>0</v>
      </c>
      <c r="CU116">
        <f t="shared" si="133"/>
        <v>0</v>
      </c>
      <c r="CV116">
        <f t="shared" si="134"/>
        <v>0</v>
      </c>
      <c r="CW116">
        <f t="shared" si="135"/>
        <v>0</v>
      </c>
      <c r="CX116">
        <f t="shared" si="136"/>
        <v>0</v>
      </c>
      <c r="CY116">
        <f t="shared" si="137"/>
        <v>0</v>
      </c>
      <c r="CZ116">
        <f t="shared" si="138"/>
        <v>0</v>
      </c>
      <c r="DC116" t="s">
        <v>3</v>
      </c>
      <c r="DD116" t="s">
        <v>3</v>
      </c>
      <c r="DE116" t="s">
        <v>3</v>
      </c>
      <c r="DF116" t="s">
        <v>3</v>
      </c>
      <c r="DG116" t="s">
        <v>3</v>
      </c>
      <c r="DH116" t="s">
        <v>3</v>
      </c>
      <c r="DI116" t="s">
        <v>3</v>
      </c>
      <c r="DJ116" t="s">
        <v>3</v>
      </c>
      <c r="DK116" t="s">
        <v>3</v>
      </c>
      <c r="DL116" t="s">
        <v>3</v>
      </c>
      <c r="DM116" t="s">
        <v>3</v>
      </c>
      <c r="DN116">
        <v>0</v>
      </c>
      <c r="DO116">
        <v>0</v>
      </c>
      <c r="DP116">
        <v>1</v>
      </c>
      <c r="DQ116">
        <v>1</v>
      </c>
      <c r="DU116">
        <v>1010</v>
      </c>
      <c r="DV116" t="s">
        <v>32</v>
      </c>
      <c r="DW116" t="s">
        <v>32</v>
      </c>
      <c r="DX116">
        <v>1</v>
      </c>
      <c r="DZ116" t="s">
        <v>3</v>
      </c>
      <c r="EA116" t="s">
        <v>3</v>
      </c>
      <c r="EB116" t="s">
        <v>3</v>
      </c>
      <c r="EC116" t="s">
        <v>3</v>
      </c>
      <c r="EE116">
        <v>58162631</v>
      </c>
      <c r="EF116">
        <v>40</v>
      </c>
      <c r="EG116" t="s">
        <v>25</v>
      </c>
      <c r="EH116">
        <v>0</v>
      </c>
      <c r="EI116" t="s">
        <v>3</v>
      </c>
      <c r="EJ116">
        <v>2</v>
      </c>
      <c r="EK116">
        <v>69</v>
      </c>
      <c r="EL116" t="s">
        <v>26</v>
      </c>
      <c r="EM116" t="s">
        <v>27</v>
      </c>
      <c r="EO116" t="s">
        <v>3</v>
      </c>
      <c r="EQ116">
        <v>0</v>
      </c>
      <c r="ER116">
        <v>523.16</v>
      </c>
      <c r="ES116">
        <v>523.16</v>
      </c>
      <c r="ET116">
        <v>0</v>
      </c>
      <c r="EU116">
        <v>0</v>
      </c>
      <c r="EV116">
        <v>0</v>
      </c>
      <c r="EW116">
        <v>0</v>
      </c>
      <c r="EX116">
        <v>0</v>
      </c>
      <c r="EZ116">
        <v>5</v>
      </c>
      <c r="FC116">
        <v>1</v>
      </c>
      <c r="FD116">
        <v>18</v>
      </c>
      <c r="FF116">
        <v>6081</v>
      </c>
      <c r="FQ116">
        <v>0</v>
      </c>
      <c r="FR116">
        <v>0</v>
      </c>
      <c r="FS116">
        <v>0</v>
      </c>
      <c r="FX116">
        <v>95</v>
      </c>
      <c r="FY116">
        <v>53</v>
      </c>
      <c r="GA116" t="s">
        <v>181</v>
      </c>
      <c r="GD116">
        <v>1</v>
      </c>
      <c r="GF116">
        <v>-1074681524</v>
      </c>
      <c r="GG116">
        <v>2</v>
      </c>
      <c r="GH116">
        <v>3</v>
      </c>
      <c r="GI116">
        <v>5</v>
      </c>
      <c r="GJ116">
        <v>0</v>
      </c>
      <c r="GK116">
        <v>0</v>
      </c>
      <c r="GL116">
        <f t="shared" si="139"/>
        <v>0</v>
      </c>
      <c r="GM116">
        <f t="shared" si="140"/>
        <v>5168.82</v>
      </c>
      <c r="GN116">
        <f t="shared" si="141"/>
        <v>0</v>
      </c>
      <c r="GO116">
        <f t="shared" si="142"/>
        <v>5168.82</v>
      </c>
      <c r="GP116">
        <f t="shared" si="143"/>
        <v>0</v>
      </c>
      <c r="GR116">
        <v>1</v>
      </c>
      <c r="GS116">
        <v>1</v>
      </c>
      <c r="GT116">
        <v>0</v>
      </c>
      <c r="GU116" t="s">
        <v>3</v>
      </c>
      <c r="GV116">
        <f t="shared" si="144"/>
        <v>0</v>
      </c>
      <c r="GW116">
        <v>1</v>
      </c>
      <c r="GX116">
        <f t="shared" si="145"/>
        <v>0</v>
      </c>
      <c r="HA116">
        <v>0</v>
      </c>
      <c r="HB116">
        <v>0</v>
      </c>
      <c r="HC116">
        <f t="shared" si="146"/>
        <v>0</v>
      </c>
      <c r="HE116" t="s">
        <v>146</v>
      </c>
      <c r="HF116" t="s">
        <v>39</v>
      </c>
      <c r="HM116" t="s">
        <v>3</v>
      </c>
      <c r="HN116" t="s">
        <v>3</v>
      </c>
      <c r="HO116" t="s">
        <v>3</v>
      </c>
      <c r="HP116" t="s">
        <v>3</v>
      </c>
      <c r="HQ116" t="s">
        <v>3</v>
      </c>
      <c r="HS116">
        <v>0</v>
      </c>
      <c r="IK116">
        <v>0</v>
      </c>
    </row>
    <row r="117" spans="1:255" x14ac:dyDescent="0.3">
      <c r="A117" s="2">
        <v>17</v>
      </c>
      <c r="B117" s="2">
        <v>1</v>
      </c>
      <c r="C117" s="2"/>
      <c r="D117" s="2">
        <f>ROW(EtalonRes!A100)</f>
        <v>100</v>
      </c>
      <c r="E117" s="2" t="s">
        <v>182</v>
      </c>
      <c r="F117" s="2" t="s">
        <v>183</v>
      </c>
      <c r="G117" s="2" t="s">
        <v>184</v>
      </c>
      <c r="H117" s="2" t="s">
        <v>124</v>
      </c>
      <c r="I117" s="2">
        <f>ROUND(10/100,9)</f>
        <v>0.1</v>
      </c>
      <c r="J117" s="2">
        <v>0</v>
      </c>
      <c r="K117" s="2">
        <f>ROUND(10/100,9)</f>
        <v>0.1</v>
      </c>
      <c r="L117" s="2"/>
      <c r="M117" s="2"/>
      <c r="N117" s="2"/>
      <c r="O117" s="2">
        <f t="shared" si="115"/>
        <v>233.66</v>
      </c>
      <c r="P117" s="2">
        <f t="shared" si="116"/>
        <v>176.37</v>
      </c>
      <c r="Q117" s="2">
        <f>(ROUND((ROUND((((ET117*1.1))*AV117*I117),2)*BB117),2)+ROUND((ROUND(((AE117-((EU117*1.1)))*AV117*I117),2)*BS117),2))</f>
        <v>14.86</v>
      </c>
      <c r="R117" s="2">
        <f t="shared" si="117"/>
        <v>0.28999999999999998</v>
      </c>
      <c r="S117" s="2">
        <f t="shared" si="118"/>
        <v>42.43</v>
      </c>
      <c r="T117" s="2">
        <f t="shared" si="119"/>
        <v>0</v>
      </c>
      <c r="U117" s="2">
        <f t="shared" si="120"/>
        <v>3.4435829999999998</v>
      </c>
      <c r="V117" s="2">
        <f t="shared" si="121"/>
        <v>0</v>
      </c>
      <c r="W117" s="2">
        <f t="shared" si="122"/>
        <v>0</v>
      </c>
      <c r="X117" s="2">
        <f t="shared" si="123"/>
        <v>41.44</v>
      </c>
      <c r="Y117" s="2">
        <f t="shared" si="124"/>
        <v>21.79</v>
      </c>
      <c r="Z117" s="2"/>
      <c r="AA117" s="2">
        <v>56503348</v>
      </c>
      <c r="AB117" s="2">
        <f t="shared" si="125"/>
        <v>2310.913</v>
      </c>
      <c r="AC117" s="2">
        <f t="shared" si="126"/>
        <v>1763.74</v>
      </c>
      <c r="AD117" s="2">
        <f>ROUND(((((ET117*1.1))-((EU117*1.1)))+AE117),6)</f>
        <v>141.96600000000001</v>
      </c>
      <c r="AE117" s="2">
        <f>ROUND(((EU117*1.1)),6)</f>
        <v>2.7719999999999998</v>
      </c>
      <c r="AF117" s="2">
        <f>ROUND(((EV117*1.1)),6)</f>
        <v>405.20699999999999</v>
      </c>
      <c r="AG117" s="2">
        <f t="shared" si="127"/>
        <v>0</v>
      </c>
      <c r="AH117" s="2">
        <f>((EW117*1.1))</f>
        <v>32.89</v>
      </c>
      <c r="AI117" s="2">
        <f>((EX117*1.1))</f>
        <v>0</v>
      </c>
      <c r="AJ117" s="2">
        <f t="shared" si="128"/>
        <v>0</v>
      </c>
      <c r="AK117" s="2">
        <v>2261.17</v>
      </c>
      <c r="AL117" s="2">
        <v>1763.74</v>
      </c>
      <c r="AM117" s="2">
        <v>129.06</v>
      </c>
      <c r="AN117" s="2">
        <v>2.52</v>
      </c>
      <c r="AO117" s="2">
        <v>368.37</v>
      </c>
      <c r="AP117" s="2">
        <v>0</v>
      </c>
      <c r="AQ117" s="2">
        <v>29.9</v>
      </c>
      <c r="AR117" s="2">
        <v>0</v>
      </c>
      <c r="AS117" s="2">
        <v>0</v>
      </c>
      <c r="AT117" s="2">
        <v>97</v>
      </c>
      <c r="AU117" s="2">
        <v>51</v>
      </c>
      <c r="AV117" s="2">
        <v>1.0469999999999999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0</v>
      </c>
      <c r="BI117" s="2">
        <v>2</v>
      </c>
      <c r="BJ117" s="2" t="s">
        <v>185</v>
      </c>
      <c r="BK117" s="2"/>
      <c r="BL117" s="2"/>
      <c r="BM117" s="2">
        <v>67</v>
      </c>
      <c r="BN117" s="2">
        <v>0</v>
      </c>
      <c r="BO117" s="2" t="s">
        <v>183</v>
      </c>
      <c r="BP117" s="2">
        <v>1</v>
      </c>
      <c r="BQ117" s="2">
        <v>40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97</v>
      </c>
      <c r="CA117" s="2">
        <v>51</v>
      </c>
      <c r="CB117" s="2" t="s">
        <v>3</v>
      </c>
      <c r="CC117" s="2"/>
      <c r="CD117" s="2"/>
      <c r="CE117" s="2">
        <v>30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129"/>
        <v>233.66000000000003</v>
      </c>
      <c r="CQ117" s="2">
        <f t="shared" si="130"/>
        <v>1763.74</v>
      </c>
      <c r="CR117" s="2">
        <f>(ROUND((ROUND((((ET117*1.1))*AV117*1),2)*BB117),2)+ROUND((ROUND(((AE117-((EU117*1.1)))*AV117*1),2)*BS117),2))</f>
        <v>148.63999999999999</v>
      </c>
      <c r="CS117" s="2">
        <f t="shared" si="131"/>
        <v>2.9</v>
      </c>
      <c r="CT117" s="2">
        <f t="shared" si="132"/>
        <v>424.25</v>
      </c>
      <c r="CU117" s="2">
        <f t="shared" si="133"/>
        <v>0</v>
      </c>
      <c r="CV117" s="2">
        <f t="shared" si="134"/>
        <v>34.435829999999996</v>
      </c>
      <c r="CW117" s="2">
        <f t="shared" si="135"/>
        <v>0</v>
      </c>
      <c r="CX117" s="2">
        <f t="shared" si="136"/>
        <v>0</v>
      </c>
      <c r="CY117" s="2">
        <f t="shared" si="137"/>
        <v>41.438400000000001</v>
      </c>
      <c r="CZ117" s="2">
        <f t="shared" si="138"/>
        <v>21.787199999999999</v>
      </c>
      <c r="DA117" s="2"/>
      <c r="DB117" s="2"/>
      <c r="DC117" s="2" t="s">
        <v>3</v>
      </c>
      <c r="DD117" s="2" t="s">
        <v>3</v>
      </c>
      <c r="DE117" s="2" t="s">
        <v>24</v>
      </c>
      <c r="DF117" s="2" t="s">
        <v>24</v>
      </c>
      <c r="DG117" s="2" t="s">
        <v>24</v>
      </c>
      <c r="DH117" s="2" t="s">
        <v>3</v>
      </c>
      <c r="DI117" s="2" t="s">
        <v>24</v>
      </c>
      <c r="DJ117" s="2" t="s">
        <v>24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1003</v>
      </c>
      <c r="DV117" s="2" t="s">
        <v>124</v>
      </c>
      <c r="DW117" s="2" t="s">
        <v>124</v>
      </c>
      <c r="DX117" s="2">
        <v>100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58162629</v>
      </c>
      <c r="EF117" s="2">
        <v>40</v>
      </c>
      <c r="EG117" s="2" t="s">
        <v>25</v>
      </c>
      <c r="EH117" s="2">
        <v>0</v>
      </c>
      <c r="EI117" s="2" t="s">
        <v>3</v>
      </c>
      <c r="EJ117" s="2">
        <v>2</v>
      </c>
      <c r="EK117" s="2">
        <v>67</v>
      </c>
      <c r="EL117" s="2" t="s">
        <v>116</v>
      </c>
      <c r="EM117" s="2" t="s">
        <v>117</v>
      </c>
      <c r="EN117" s="2"/>
      <c r="EO117" s="2" t="s">
        <v>28</v>
      </c>
      <c r="EP117" s="2"/>
      <c r="EQ117" s="2">
        <v>0</v>
      </c>
      <c r="ER117" s="2">
        <v>2261.17</v>
      </c>
      <c r="ES117" s="2">
        <v>1763.74</v>
      </c>
      <c r="ET117" s="2">
        <v>129.06</v>
      </c>
      <c r="EU117" s="2">
        <v>2.52</v>
      </c>
      <c r="EV117" s="2">
        <v>368.37</v>
      </c>
      <c r="EW117" s="2">
        <v>29.9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97</v>
      </c>
      <c r="FY117" s="2">
        <v>51</v>
      </c>
      <c r="FZ117" s="2"/>
      <c r="GA117" s="2" t="s">
        <v>3</v>
      </c>
      <c r="GB117" s="2"/>
      <c r="GC117" s="2"/>
      <c r="GD117" s="2">
        <v>1</v>
      </c>
      <c r="GE117" s="2"/>
      <c r="GF117" s="2">
        <v>1516590241</v>
      </c>
      <c r="GG117" s="2">
        <v>2</v>
      </c>
      <c r="GH117" s="2">
        <v>1</v>
      </c>
      <c r="GI117" s="2">
        <v>2</v>
      </c>
      <c r="GJ117" s="2">
        <v>0</v>
      </c>
      <c r="GK117" s="2">
        <v>0</v>
      </c>
      <c r="GL117" s="2">
        <f t="shared" si="139"/>
        <v>0</v>
      </c>
      <c r="GM117" s="2">
        <f t="shared" si="140"/>
        <v>296.89</v>
      </c>
      <c r="GN117" s="2">
        <f t="shared" si="141"/>
        <v>0</v>
      </c>
      <c r="GO117" s="2">
        <f t="shared" si="142"/>
        <v>296.89</v>
      </c>
      <c r="GP117" s="2">
        <f t="shared" si="143"/>
        <v>0</v>
      </c>
      <c r="GQ117" s="2"/>
      <c r="GR117" s="2">
        <v>0</v>
      </c>
      <c r="GS117" s="2">
        <v>3</v>
      </c>
      <c r="GT117" s="2">
        <v>0</v>
      </c>
      <c r="GU117" s="2" t="s">
        <v>3</v>
      </c>
      <c r="GV117" s="2">
        <f t="shared" si="144"/>
        <v>0</v>
      </c>
      <c r="GW117" s="2">
        <v>1</v>
      </c>
      <c r="GX117" s="2">
        <f t="shared" si="145"/>
        <v>0</v>
      </c>
      <c r="GY117" s="2"/>
      <c r="GZ117" s="2"/>
      <c r="HA117" s="2">
        <v>0</v>
      </c>
      <c r="HB117" s="2">
        <v>0</v>
      </c>
      <c r="HC117" s="2">
        <f t="shared" si="146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3">
      <c r="A118">
        <v>17</v>
      </c>
      <c r="B118">
        <v>1</v>
      </c>
      <c r="D118">
        <f>ROW(EtalonRes!A116)</f>
        <v>116</v>
      </c>
      <c r="E118" t="s">
        <v>182</v>
      </c>
      <c r="F118" t="s">
        <v>183</v>
      </c>
      <c r="G118" t="s">
        <v>184</v>
      </c>
      <c r="H118" t="s">
        <v>124</v>
      </c>
      <c r="I118">
        <f>ROUND(10/100,9)</f>
        <v>0.1</v>
      </c>
      <c r="J118">
        <v>0</v>
      </c>
      <c r="K118">
        <f>ROUND(10/100,9)</f>
        <v>0.1</v>
      </c>
      <c r="O118">
        <f t="shared" si="115"/>
        <v>3322.28</v>
      </c>
      <c r="P118">
        <f t="shared" si="116"/>
        <v>809.54</v>
      </c>
      <c r="Q118">
        <f>(ROUND((ROUND((((ET118*1.1))*AV118*I118),2)*BB118),2)+ROUND((ROUND(((AE118-((EU118*1.1)))*AV118*I118),2)*BS118),2))</f>
        <v>179.51</v>
      </c>
      <c r="R118">
        <f t="shared" si="117"/>
        <v>15.95</v>
      </c>
      <c r="S118">
        <f t="shared" si="118"/>
        <v>2333.23</v>
      </c>
      <c r="T118">
        <f t="shared" si="119"/>
        <v>0</v>
      </c>
      <c r="U118">
        <f t="shared" si="120"/>
        <v>3.4435829999999998</v>
      </c>
      <c r="V118">
        <f t="shared" si="121"/>
        <v>0</v>
      </c>
      <c r="W118">
        <f t="shared" si="122"/>
        <v>0</v>
      </c>
      <c r="X118">
        <f t="shared" si="123"/>
        <v>2278.6999999999998</v>
      </c>
      <c r="Y118">
        <f t="shared" si="124"/>
        <v>1198.08</v>
      </c>
      <c r="AA118">
        <v>56503350</v>
      </c>
      <c r="AB118">
        <f t="shared" si="125"/>
        <v>2310.913</v>
      </c>
      <c r="AC118">
        <f t="shared" si="126"/>
        <v>1763.74</v>
      </c>
      <c r="AD118">
        <f>ROUND(((((ET118*1.1))-((EU118*1.1)))+AE118),6)</f>
        <v>141.96600000000001</v>
      </c>
      <c r="AE118">
        <f>ROUND(((EU118*1.1)),6)</f>
        <v>2.7719999999999998</v>
      </c>
      <c r="AF118">
        <f>ROUND(((EV118*1.1)),6)</f>
        <v>405.20699999999999</v>
      </c>
      <c r="AG118">
        <f t="shared" si="127"/>
        <v>0</v>
      </c>
      <c r="AH118">
        <f>((EW118*1.1))</f>
        <v>32.89</v>
      </c>
      <c r="AI118">
        <f>((EX118*1.1))</f>
        <v>0</v>
      </c>
      <c r="AJ118">
        <f t="shared" si="128"/>
        <v>0</v>
      </c>
      <c r="AK118">
        <v>2261.17</v>
      </c>
      <c r="AL118">
        <v>1763.74</v>
      </c>
      <c r="AM118">
        <v>129.06</v>
      </c>
      <c r="AN118">
        <v>2.52</v>
      </c>
      <c r="AO118">
        <v>368.37</v>
      </c>
      <c r="AP118">
        <v>0</v>
      </c>
      <c r="AQ118">
        <v>29.9</v>
      </c>
      <c r="AR118">
        <v>0</v>
      </c>
      <c r="AS118">
        <v>0</v>
      </c>
      <c r="AT118">
        <v>97</v>
      </c>
      <c r="AU118">
        <v>51</v>
      </c>
      <c r="AV118">
        <v>1.0469999999999999</v>
      </c>
      <c r="AW118">
        <v>1</v>
      </c>
      <c r="AZ118">
        <v>1</v>
      </c>
      <c r="BA118">
        <v>54.99</v>
      </c>
      <c r="BB118">
        <v>12.08</v>
      </c>
      <c r="BC118">
        <v>4.59</v>
      </c>
      <c r="BD118" t="s">
        <v>3</v>
      </c>
      <c r="BE118" t="s">
        <v>3</v>
      </c>
      <c r="BF118" t="s">
        <v>3</v>
      </c>
      <c r="BG118" t="s">
        <v>3</v>
      </c>
      <c r="BH118">
        <v>0</v>
      </c>
      <c r="BI118">
        <v>2</v>
      </c>
      <c r="BJ118" t="s">
        <v>185</v>
      </c>
      <c r="BM118">
        <v>67</v>
      </c>
      <c r="BN118">
        <v>0</v>
      </c>
      <c r="BO118" t="s">
        <v>183</v>
      </c>
      <c r="BP118">
        <v>1</v>
      </c>
      <c r="BQ118">
        <v>40</v>
      </c>
      <c r="BR118">
        <v>0</v>
      </c>
      <c r="BS118">
        <v>54.99</v>
      </c>
      <c r="BT118">
        <v>1</v>
      </c>
      <c r="BU118">
        <v>1</v>
      </c>
      <c r="BV118">
        <v>1</v>
      </c>
      <c r="BW118">
        <v>1</v>
      </c>
      <c r="BX118">
        <v>1</v>
      </c>
      <c r="BY118" t="s">
        <v>3</v>
      </c>
      <c r="BZ118">
        <v>97</v>
      </c>
      <c r="CA118">
        <v>51</v>
      </c>
      <c r="CB118" t="s">
        <v>3</v>
      </c>
      <c r="CE118">
        <v>30</v>
      </c>
      <c r="CF118">
        <v>0</v>
      </c>
      <c r="CG118">
        <v>0</v>
      </c>
      <c r="CM118">
        <v>0</v>
      </c>
      <c r="CN118" t="s">
        <v>3</v>
      </c>
      <c r="CO118">
        <v>0</v>
      </c>
      <c r="CP118">
        <f t="shared" si="129"/>
        <v>3322.2799999999997</v>
      </c>
      <c r="CQ118">
        <f t="shared" si="130"/>
        <v>8095.57</v>
      </c>
      <c r="CR118">
        <f>(ROUND((ROUND((((ET118*1.1))*AV118*1),2)*BB118),2)+ROUND((ROUND(((AE118-((EU118*1.1)))*AV118*1),2)*BS118),2))</f>
        <v>1795.57</v>
      </c>
      <c r="CS118">
        <f t="shared" si="131"/>
        <v>159.47</v>
      </c>
      <c r="CT118">
        <f t="shared" si="132"/>
        <v>23329.51</v>
      </c>
      <c r="CU118">
        <f t="shared" si="133"/>
        <v>0</v>
      </c>
      <c r="CV118">
        <f t="shared" si="134"/>
        <v>34.435829999999996</v>
      </c>
      <c r="CW118">
        <f t="shared" si="135"/>
        <v>0</v>
      </c>
      <c r="CX118">
        <f t="shared" si="136"/>
        <v>0</v>
      </c>
      <c r="CY118">
        <f t="shared" si="137"/>
        <v>2278.7046</v>
      </c>
      <c r="CZ118">
        <f t="shared" si="138"/>
        <v>1198.0817999999999</v>
      </c>
      <c r="DC118" t="s">
        <v>3</v>
      </c>
      <c r="DD118" t="s">
        <v>3</v>
      </c>
      <c r="DE118" t="s">
        <v>24</v>
      </c>
      <c r="DF118" t="s">
        <v>24</v>
      </c>
      <c r="DG118" t="s">
        <v>24</v>
      </c>
      <c r="DH118" t="s">
        <v>3</v>
      </c>
      <c r="DI118" t="s">
        <v>24</v>
      </c>
      <c r="DJ118" t="s">
        <v>24</v>
      </c>
      <c r="DK118" t="s">
        <v>3</v>
      </c>
      <c r="DL118" t="s">
        <v>3</v>
      </c>
      <c r="DM118" t="s">
        <v>3</v>
      </c>
      <c r="DN118">
        <v>0</v>
      </c>
      <c r="DO118">
        <v>0</v>
      </c>
      <c r="DP118">
        <v>1</v>
      </c>
      <c r="DQ118">
        <v>1</v>
      </c>
      <c r="DU118">
        <v>1003</v>
      </c>
      <c r="DV118" t="s">
        <v>124</v>
      </c>
      <c r="DW118" t="s">
        <v>124</v>
      </c>
      <c r="DX118">
        <v>100</v>
      </c>
      <c r="DZ118" t="s">
        <v>3</v>
      </c>
      <c r="EA118" t="s">
        <v>3</v>
      </c>
      <c r="EB118" t="s">
        <v>3</v>
      </c>
      <c r="EC118" t="s">
        <v>3</v>
      </c>
      <c r="EE118">
        <v>58162629</v>
      </c>
      <c r="EF118">
        <v>40</v>
      </c>
      <c r="EG118" t="s">
        <v>25</v>
      </c>
      <c r="EH118">
        <v>0</v>
      </c>
      <c r="EI118" t="s">
        <v>3</v>
      </c>
      <c r="EJ118">
        <v>2</v>
      </c>
      <c r="EK118">
        <v>67</v>
      </c>
      <c r="EL118" t="s">
        <v>116</v>
      </c>
      <c r="EM118" t="s">
        <v>117</v>
      </c>
      <c r="EO118" t="s">
        <v>28</v>
      </c>
      <c r="EQ118">
        <v>0</v>
      </c>
      <c r="ER118">
        <v>2261.17</v>
      </c>
      <c r="ES118">
        <v>1763.74</v>
      </c>
      <c r="ET118">
        <v>129.06</v>
      </c>
      <c r="EU118">
        <v>2.52</v>
      </c>
      <c r="EV118">
        <v>368.37</v>
      </c>
      <c r="EW118">
        <v>29.9</v>
      </c>
      <c r="EX118">
        <v>0</v>
      </c>
      <c r="EY118">
        <v>0</v>
      </c>
      <c r="FQ118">
        <v>0</v>
      </c>
      <c r="FR118">
        <v>0</v>
      </c>
      <c r="FS118">
        <v>0</v>
      </c>
      <c r="FX118">
        <v>97</v>
      </c>
      <c r="FY118">
        <v>51</v>
      </c>
      <c r="GA118" t="s">
        <v>3</v>
      </c>
      <c r="GD118">
        <v>1</v>
      </c>
      <c r="GF118">
        <v>1516590241</v>
      </c>
      <c r="GG118">
        <v>2</v>
      </c>
      <c r="GH118">
        <v>1</v>
      </c>
      <c r="GI118">
        <v>2</v>
      </c>
      <c r="GJ118">
        <v>0</v>
      </c>
      <c r="GK118">
        <v>0</v>
      </c>
      <c r="GL118">
        <f t="shared" si="139"/>
        <v>0</v>
      </c>
      <c r="GM118">
        <f t="shared" si="140"/>
        <v>6799.06</v>
      </c>
      <c r="GN118">
        <f t="shared" si="141"/>
        <v>0</v>
      </c>
      <c r="GO118">
        <f t="shared" si="142"/>
        <v>6799.06</v>
      </c>
      <c r="GP118">
        <f t="shared" si="143"/>
        <v>0</v>
      </c>
      <c r="GR118">
        <v>0</v>
      </c>
      <c r="GS118">
        <v>3</v>
      </c>
      <c r="GT118">
        <v>0</v>
      </c>
      <c r="GU118" t="s">
        <v>3</v>
      </c>
      <c r="GV118">
        <f t="shared" si="144"/>
        <v>0</v>
      </c>
      <c r="GW118">
        <v>1</v>
      </c>
      <c r="GX118">
        <f t="shared" si="145"/>
        <v>0</v>
      </c>
      <c r="HA118">
        <v>0</v>
      </c>
      <c r="HB118">
        <v>0</v>
      </c>
      <c r="HC118">
        <f t="shared" si="146"/>
        <v>0</v>
      </c>
      <c r="HE118" t="s">
        <v>3</v>
      </c>
      <c r="HF118" t="s">
        <v>3</v>
      </c>
      <c r="HM118" t="s">
        <v>3</v>
      </c>
      <c r="HN118" t="s">
        <v>3</v>
      </c>
      <c r="HO118" t="s">
        <v>3</v>
      </c>
      <c r="HP118" t="s">
        <v>3</v>
      </c>
      <c r="HQ118" t="s">
        <v>3</v>
      </c>
      <c r="HS118">
        <v>0</v>
      </c>
      <c r="IK118">
        <v>0</v>
      </c>
    </row>
    <row r="119" spans="1:255" x14ac:dyDescent="0.3">
      <c r="A119" s="2">
        <v>18</v>
      </c>
      <c r="B119" s="2">
        <v>1</v>
      </c>
      <c r="C119" s="2"/>
      <c r="D119" s="2"/>
      <c r="E119" s="2" t="s">
        <v>186</v>
      </c>
      <c r="F119" s="2" t="s">
        <v>187</v>
      </c>
      <c r="G119" s="2" t="s">
        <v>188</v>
      </c>
      <c r="H119" s="2" t="s">
        <v>131</v>
      </c>
      <c r="I119" s="2">
        <f>I117*J119</f>
        <v>10.3</v>
      </c>
      <c r="J119" s="2">
        <v>103</v>
      </c>
      <c r="K119" s="2">
        <v>103</v>
      </c>
      <c r="L119" s="2"/>
      <c r="M119" s="2"/>
      <c r="N119" s="2"/>
      <c r="O119" s="2">
        <f t="shared" si="115"/>
        <v>186.22</v>
      </c>
      <c r="P119" s="2">
        <f t="shared" si="116"/>
        <v>186.22</v>
      </c>
      <c r="Q119" s="2">
        <f>(ROUND((ROUND(((ET119)*AV119*I119),2)*BB119),2)+ROUND((ROUND(((AE119-(EU119))*AV119*I119),2)*BS119),2))</f>
        <v>0</v>
      </c>
      <c r="R119" s="2">
        <f t="shared" si="117"/>
        <v>0</v>
      </c>
      <c r="S119" s="2">
        <f t="shared" si="118"/>
        <v>0</v>
      </c>
      <c r="T119" s="2">
        <f t="shared" si="119"/>
        <v>0</v>
      </c>
      <c r="U119" s="2">
        <f t="shared" si="120"/>
        <v>0</v>
      </c>
      <c r="V119" s="2">
        <f t="shared" si="121"/>
        <v>0</v>
      </c>
      <c r="W119" s="2">
        <f t="shared" si="122"/>
        <v>0</v>
      </c>
      <c r="X119" s="2">
        <f t="shared" si="123"/>
        <v>0</v>
      </c>
      <c r="Y119" s="2">
        <f t="shared" si="124"/>
        <v>0</v>
      </c>
      <c r="Z119" s="2"/>
      <c r="AA119" s="2">
        <v>56503348</v>
      </c>
      <c r="AB119" s="2">
        <f t="shared" si="125"/>
        <v>18.079999999999998</v>
      </c>
      <c r="AC119" s="2">
        <f t="shared" si="126"/>
        <v>18.079999999999998</v>
      </c>
      <c r="AD119" s="2">
        <f>ROUND((((ET119)-(EU119))+AE119),6)</f>
        <v>0</v>
      </c>
      <c r="AE119" s="2">
        <f>ROUND((EU119),6)</f>
        <v>0</v>
      </c>
      <c r="AF119" s="2">
        <f>ROUND((EV119),6)</f>
        <v>0</v>
      </c>
      <c r="AG119" s="2">
        <f t="shared" si="127"/>
        <v>0</v>
      </c>
      <c r="AH119" s="2">
        <f>(EW119)</f>
        <v>0</v>
      </c>
      <c r="AI119" s="2">
        <f>(EX119)</f>
        <v>0</v>
      </c>
      <c r="AJ119" s="2">
        <f t="shared" si="128"/>
        <v>0</v>
      </c>
      <c r="AK119" s="2">
        <v>18.079999999999998</v>
      </c>
      <c r="AL119" s="2">
        <v>18.079999999999998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97</v>
      </c>
      <c r="AU119" s="2">
        <v>51</v>
      </c>
      <c r="AV119" s="2">
        <v>1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3</v>
      </c>
      <c r="BI119" s="2">
        <v>2</v>
      </c>
      <c r="BJ119" s="2" t="s">
        <v>189</v>
      </c>
      <c r="BK119" s="2"/>
      <c r="BL119" s="2"/>
      <c r="BM119" s="2">
        <v>67</v>
      </c>
      <c r="BN119" s="2">
        <v>0</v>
      </c>
      <c r="BO119" s="2" t="s">
        <v>3</v>
      </c>
      <c r="BP119" s="2">
        <v>0</v>
      </c>
      <c r="BQ119" s="2">
        <v>40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97</v>
      </c>
      <c r="CA119" s="2">
        <v>51</v>
      </c>
      <c r="CB119" s="2" t="s">
        <v>3</v>
      </c>
      <c r="CC119" s="2"/>
      <c r="CD119" s="2"/>
      <c r="CE119" s="2">
        <v>30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3</v>
      </c>
      <c r="CO119" s="2">
        <v>0</v>
      </c>
      <c r="CP119" s="2">
        <f t="shared" si="129"/>
        <v>186.22</v>
      </c>
      <c r="CQ119" s="2">
        <f t="shared" si="130"/>
        <v>18.079999999999998</v>
      </c>
      <c r="CR119" s="2">
        <f>(ROUND((ROUND(((ET119)*AV119*1),2)*BB119),2)+ROUND((ROUND(((AE119-(EU119))*AV119*1),2)*BS119),2))</f>
        <v>0</v>
      </c>
      <c r="CS119" s="2">
        <f t="shared" si="131"/>
        <v>0</v>
      </c>
      <c r="CT119" s="2">
        <f t="shared" si="132"/>
        <v>0</v>
      </c>
      <c r="CU119" s="2">
        <f t="shared" si="133"/>
        <v>0</v>
      </c>
      <c r="CV119" s="2">
        <f t="shared" si="134"/>
        <v>0</v>
      </c>
      <c r="CW119" s="2">
        <f t="shared" si="135"/>
        <v>0</v>
      </c>
      <c r="CX119" s="2">
        <f t="shared" si="136"/>
        <v>0</v>
      </c>
      <c r="CY119" s="2">
        <f t="shared" si="137"/>
        <v>0</v>
      </c>
      <c r="CZ119" s="2">
        <f t="shared" si="138"/>
        <v>0</v>
      </c>
      <c r="DA119" s="2"/>
      <c r="DB119" s="2"/>
      <c r="DC119" s="2" t="s">
        <v>3</v>
      </c>
      <c r="DD119" s="2" t="s">
        <v>3</v>
      </c>
      <c r="DE119" s="2" t="s">
        <v>3</v>
      </c>
      <c r="DF119" s="2" t="s">
        <v>3</v>
      </c>
      <c r="DG119" s="2" t="s">
        <v>3</v>
      </c>
      <c r="DH119" s="2" t="s">
        <v>3</v>
      </c>
      <c r="DI119" s="2" t="s">
        <v>3</v>
      </c>
      <c r="DJ119" s="2" t="s">
        <v>3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1003</v>
      </c>
      <c r="DV119" s="2" t="s">
        <v>131</v>
      </c>
      <c r="DW119" s="2" t="s">
        <v>131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58162629</v>
      </c>
      <c r="EF119" s="2">
        <v>40</v>
      </c>
      <c r="EG119" s="2" t="s">
        <v>25</v>
      </c>
      <c r="EH119" s="2">
        <v>0</v>
      </c>
      <c r="EI119" s="2" t="s">
        <v>3</v>
      </c>
      <c r="EJ119" s="2">
        <v>2</v>
      </c>
      <c r="EK119" s="2">
        <v>67</v>
      </c>
      <c r="EL119" s="2" t="s">
        <v>116</v>
      </c>
      <c r="EM119" s="2" t="s">
        <v>117</v>
      </c>
      <c r="EN119" s="2"/>
      <c r="EO119" s="2" t="s">
        <v>3</v>
      </c>
      <c r="EP119" s="2"/>
      <c r="EQ119" s="2">
        <v>0</v>
      </c>
      <c r="ER119" s="2">
        <v>18.079999999999998</v>
      </c>
      <c r="ES119" s="2">
        <v>18.079999999999998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97</v>
      </c>
      <c r="FY119" s="2">
        <v>51</v>
      </c>
      <c r="FZ119" s="2"/>
      <c r="GA119" s="2" t="s">
        <v>3</v>
      </c>
      <c r="GB119" s="2"/>
      <c r="GC119" s="2"/>
      <c r="GD119" s="2">
        <v>1</v>
      </c>
      <c r="GE119" s="2"/>
      <c r="GF119" s="2">
        <v>-2060947684</v>
      </c>
      <c r="GG119" s="2">
        <v>2</v>
      </c>
      <c r="GH119" s="2">
        <v>1</v>
      </c>
      <c r="GI119" s="2">
        <v>-2</v>
      </c>
      <c r="GJ119" s="2">
        <v>0</v>
      </c>
      <c r="GK119" s="2">
        <v>0</v>
      </c>
      <c r="GL119" s="2">
        <f t="shared" si="139"/>
        <v>0</v>
      </c>
      <c r="GM119" s="2">
        <f t="shared" si="140"/>
        <v>186.22</v>
      </c>
      <c r="GN119" s="2">
        <f t="shared" si="141"/>
        <v>0</v>
      </c>
      <c r="GO119" s="2">
        <f t="shared" si="142"/>
        <v>186.22</v>
      </c>
      <c r="GP119" s="2">
        <f t="shared" si="143"/>
        <v>0</v>
      </c>
      <c r="GQ119" s="2"/>
      <c r="GR119" s="2">
        <v>0</v>
      </c>
      <c r="GS119" s="2">
        <v>3</v>
      </c>
      <c r="GT119" s="2">
        <v>0</v>
      </c>
      <c r="GU119" s="2" t="s">
        <v>3</v>
      </c>
      <c r="GV119" s="2">
        <f t="shared" si="144"/>
        <v>0</v>
      </c>
      <c r="GW119" s="2">
        <v>1</v>
      </c>
      <c r="GX119" s="2">
        <f t="shared" si="145"/>
        <v>0</v>
      </c>
      <c r="GY119" s="2"/>
      <c r="GZ119" s="2"/>
      <c r="HA119" s="2">
        <v>0</v>
      </c>
      <c r="HB119" s="2">
        <v>0</v>
      </c>
      <c r="HC119" s="2">
        <f t="shared" si="146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3">
      <c r="A120">
        <v>18</v>
      </c>
      <c r="B120">
        <v>1</v>
      </c>
      <c r="E120" t="s">
        <v>186</v>
      </c>
      <c r="F120" t="s">
        <v>187</v>
      </c>
      <c r="G120" t="s">
        <v>188</v>
      </c>
      <c r="H120" t="s">
        <v>131</v>
      </c>
      <c r="I120">
        <f>I118*J120</f>
        <v>10.3</v>
      </c>
      <c r="J120">
        <v>103</v>
      </c>
      <c r="K120">
        <v>103</v>
      </c>
      <c r="O120">
        <f t="shared" si="115"/>
        <v>2672.26</v>
      </c>
      <c r="P120">
        <f t="shared" si="116"/>
        <v>2672.26</v>
      </c>
      <c r="Q120">
        <f>(ROUND((ROUND(((ET120)*AV120*I120),2)*BB120),2)+ROUND((ROUND(((AE120-(EU120))*AV120*I120),2)*BS120),2))</f>
        <v>0</v>
      </c>
      <c r="R120">
        <f t="shared" si="117"/>
        <v>0</v>
      </c>
      <c r="S120">
        <f t="shared" si="118"/>
        <v>0</v>
      </c>
      <c r="T120">
        <f t="shared" si="119"/>
        <v>0</v>
      </c>
      <c r="U120">
        <f t="shared" si="120"/>
        <v>0</v>
      </c>
      <c r="V120">
        <f t="shared" si="121"/>
        <v>0</v>
      </c>
      <c r="W120">
        <f t="shared" si="122"/>
        <v>0</v>
      </c>
      <c r="X120">
        <f t="shared" si="123"/>
        <v>0</v>
      </c>
      <c r="Y120">
        <f t="shared" si="124"/>
        <v>0</v>
      </c>
      <c r="AA120">
        <v>56503350</v>
      </c>
      <c r="AB120">
        <f t="shared" si="125"/>
        <v>18.079999999999998</v>
      </c>
      <c r="AC120">
        <f t="shared" si="126"/>
        <v>18.079999999999998</v>
      </c>
      <c r="AD120">
        <f>ROUND((((ET120)-(EU120))+AE120),6)</f>
        <v>0</v>
      </c>
      <c r="AE120">
        <f>ROUND((EU120),6)</f>
        <v>0</v>
      </c>
      <c r="AF120">
        <f>ROUND((EV120),6)</f>
        <v>0</v>
      </c>
      <c r="AG120">
        <f t="shared" si="127"/>
        <v>0</v>
      </c>
      <c r="AH120">
        <f>(EW120)</f>
        <v>0</v>
      </c>
      <c r="AI120">
        <f>(EX120)</f>
        <v>0</v>
      </c>
      <c r="AJ120">
        <f t="shared" si="128"/>
        <v>0</v>
      </c>
      <c r="AK120">
        <v>18.079999999999998</v>
      </c>
      <c r="AL120">
        <v>18.079999999999998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97</v>
      </c>
      <c r="AU120">
        <v>51</v>
      </c>
      <c r="AV120">
        <v>1</v>
      </c>
      <c r="AW120">
        <v>1</v>
      </c>
      <c r="AZ120">
        <v>1</v>
      </c>
      <c r="BA120">
        <v>1</v>
      </c>
      <c r="BB120">
        <v>1</v>
      </c>
      <c r="BC120">
        <v>14.35</v>
      </c>
      <c r="BD120" t="s">
        <v>3</v>
      </c>
      <c r="BE120" t="s">
        <v>3</v>
      </c>
      <c r="BF120" t="s">
        <v>3</v>
      </c>
      <c r="BG120" t="s">
        <v>3</v>
      </c>
      <c r="BH120">
        <v>3</v>
      </c>
      <c r="BI120">
        <v>2</v>
      </c>
      <c r="BJ120" t="s">
        <v>189</v>
      </c>
      <c r="BM120">
        <v>67</v>
      </c>
      <c r="BN120">
        <v>0</v>
      </c>
      <c r="BO120" t="s">
        <v>187</v>
      </c>
      <c r="BP120">
        <v>1</v>
      </c>
      <c r="BQ120">
        <v>40</v>
      </c>
      <c r="BR120">
        <v>0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 t="s">
        <v>3</v>
      </c>
      <c r="BZ120">
        <v>97</v>
      </c>
      <c r="CA120">
        <v>51</v>
      </c>
      <c r="CB120" t="s">
        <v>3</v>
      </c>
      <c r="CE120">
        <v>30</v>
      </c>
      <c r="CF120">
        <v>0</v>
      </c>
      <c r="CG120">
        <v>0</v>
      </c>
      <c r="CM120">
        <v>0</v>
      </c>
      <c r="CN120" t="s">
        <v>3</v>
      </c>
      <c r="CO120">
        <v>0</v>
      </c>
      <c r="CP120">
        <f t="shared" si="129"/>
        <v>2672.26</v>
      </c>
      <c r="CQ120">
        <f t="shared" si="130"/>
        <v>259.45</v>
      </c>
      <c r="CR120">
        <f>(ROUND((ROUND(((ET120)*AV120*1),2)*BB120),2)+ROUND((ROUND(((AE120-(EU120))*AV120*1),2)*BS120),2))</f>
        <v>0</v>
      </c>
      <c r="CS120">
        <f t="shared" si="131"/>
        <v>0</v>
      </c>
      <c r="CT120">
        <f t="shared" si="132"/>
        <v>0</v>
      </c>
      <c r="CU120">
        <f t="shared" si="133"/>
        <v>0</v>
      </c>
      <c r="CV120">
        <f t="shared" si="134"/>
        <v>0</v>
      </c>
      <c r="CW120">
        <f t="shared" si="135"/>
        <v>0</v>
      </c>
      <c r="CX120">
        <f t="shared" si="136"/>
        <v>0</v>
      </c>
      <c r="CY120">
        <f t="shared" si="137"/>
        <v>0</v>
      </c>
      <c r="CZ120">
        <f t="shared" si="138"/>
        <v>0</v>
      </c>
      <c r="DC120" t="s">
        <v>3</v>
      </c>
      <c r="DD120" t="s">
        <v>3</v>
      </c>
      <c r="DE120" t="s">
        <v>3</v>
      </c>
      <c r="DF120" t="s">
        <v>3</v>
      </c>
      <c r="DG120" t="s">
        <v>3</v>
      </c>
      <c r="DH120" t="s">
        <v>3</v>
      </c>
      <c r="DI120" t="s">
        <v>3</v>
      </c>
      <c r="DJ120" t="s">
        <v>3</v>
      </c>
      <c r="DK120" t="s">
        <v>3</v>
      </c>
      <c r="DL120" t="s">
        <v>3</v>
      </c>
      <c r="DM120" t="s">
        <v>3</v>
      </c>
      <c r="DN120">
        <v>0</v>
      </c>
      <c r="DO120">
        <v>0</v>
      </c>
      <c r="DP120">
        <v>1</v>
      </c>
      <c r="DQ120">
        <v>1</v>
      </c>
      <c r="DU120">
        <v>1003</v>
      </c>
      <c r="DV120" t="s">
        <v>131</v>
      </c>
      <c r="DW120" t="s">
        <v>131</v>
      </c>
      <c r="DX120">
        <v>1</v>
      </c>
      <c r="DZ120" t="s">
        <v>3</v>
      </c>
      <c r="EA120" t="s">
        <v>3</v>
      </c>
      <c r="EB120" t="s">
        <v>3</v>
      </c>
      <c r="EC120" t="s">
        <v>3</v>
      </c>
      <c r="EE120">
        <v>58162629</v>
      </c>
      <c r="EF120">
        <v>40</v>
      </c>
      <c r="EG120" t="s">
        <v>25</v>
      </c>
      <c r="EH120">
        <v>0</v>
      </c>
      <c r="EI120" t="s">
        <v>3</v>
      </c>
      <c r="EJ120">
        <v>2</v>
      </c>
      <c r="EK120">
        <v>67</v>
      </c>
      <c r="EL120" t="s">
        <v>116</v>
      </c>
      <c r="EM120" t="s">
        <v>117</v>
      </c>
      <c r="EO120" t="s">
        <v>3</v>
      </c>
      <c r="EQ120">
        <v>0</v>
      </c>
      <c r="ER120">
        <v>18.079999999999998</v>
      </c>
      <c r="ES120">
        <v>18.079999999999998</v>
      </c>
      <c r="ET120">
        <v>0</v>
      </c>
      <c r="EU120">
        <v>0</v>
      </c>
      <c r="EV120">
        <v>0</v>
      </c>
      <c r="EW120">
        <v>0</v>
      </c>
      <c r="EX120">
        <v>0</v>
      </c>
      <c r="FQ120">
        <v>0</v>
      </c>
      <c r="FR120">
        <v>0</v>
      </c>
      <c r="FS120">
        <v>0</v>
      </c>
      <c r="FX120">
        <v>97</v>
      </c>
      <c r="FY120">
        <v>51</v>
      </c>
      <c r="GA120" t="s">
        <v>3</v>
      </c>
      <c r="GD120">
        <v>1</v>
      </c>
      <c r="GF120">
        <v>-2060947684</v>
      </c>
      <c r="GG120">
        <v>2</v>
      </c>
      <c r="GH120">
        <v>1</v>
      </c>
      <c r="GI120">
        <v>2</v>
      </c>
      <c r="GJ120">
        <v>0</v>
      </c>
      <c r="GK120">
        <v>0</v>
      </c>
      <c r="GL120">
        <f t="shared" si="139"/>
        <v>0</v>
      </c>
      <c r="GM120">
        <f t="shared" si="140"/>
        <v>2672.26</v>
      </c>
      <c r="GN120">
        <f t="shared" si="141"/>
        <v>0</v>
      </c>
      <c r="GO120">
        <f t="shared" si="142"/>
        <v>2672.26</v>
      </c>
      <c r="GP120">
        <f t="shared" si="143"/>
        <v>0</v>
      </c>
      <c r="GR120">
        <v>0</v>
      </c>
      <c r="GS120">
        <v>3</v>
      </c>
      <c r="GT120">
        <v>0</v>
      </c>
      <c r="GU120" t="s">
        <v>3</v>
      </c>
      <c r="GV120">
        <f t="shared" si="144"/>
        <v>0</v>
      </c>
      <c r="GW120">
        <v>1</v>
      </c>
      <c r="GX120">
        <f t="shared" si="145"/>
        <v>0</v>
      </c>
      <c r="HA120">
        <v>0</v>
      </c>
      <c r="HB120">
        <v>0</v>
      </c>
      <c r="HC120">
        <f t="shared" si="146"/>
        <v>0</v>
      </c>
      <c r="HE120" t="s">
        <v>3</v>
      </c>
      <c r="HF120" t="s">
        <v>3</v>
      </c>
      <c r="HM120" t="s">
        <v>3</v>
      </c>
      <c r="HN120" t="s">
        <v>3</v>
      </c>
      <c r="HO120" t="s">
        <v>3</v>
      </c>
      <c r="HP120" t="s">
        <v>3</v>
      </c>
      <c r="HQ120" t="s">
        <v>3</v>
      </c>
      <c r="HS120">
        <v>0</v>
      </c>
      <c r="IK120">
        <v>0</v>
      </c>
    </row>
    <row r="121" spans="1:255" x14ac:dyDescent="0.3">
      <c r="A121" s="2">
        <v>17</v>
      </c>
      <c r="B121" s="2">
        <v>1</v>
      </c>
      <c r="C121" s="2"/>
      <c r="D121" s="2">
        <f>ROW(EtalonRes!A120)</f>
        <v>120</v>
      </c>
      <c r="E121" s="2" t="s">
        <v>3</v>
      </c>
      <c r="F121" s="2" t="s">
        <v>190</v>
      </c>
      <c r="G121" s="2" t="s">
        <v>191</v>
      </c>
      <c r="H121" s="2" t="s">
        <v>124</v>
      </c>
      <c r="I121" s="2">
        <f>ROUND(200/100,9)</f>
        <v>2</v>
      </c>
      <c r="J121" s="2">
        <v>0</v>
      </c>
      <c r="K121" s="2">
        <f>ROUND(200/100,9)</f>
        <v>2</v>
      </c>
      <c r="L121" s="2"/>
      <c r="M121" s="2"/>
      <c r="N121" s="2"/>
      <c r="O121" s="2">
        <f t="shared" si="115"/>
        <v>1148.58</v>
      </c>
      <c r="P121" s="2">
        <f t="shared" si="116"/>
        <v>581.29999999999995</v>
      </c>
      <c r="Q121" s="2">
        <f>(ROUND((ROUND((((ET121*1.1))*AV121*I121),2)*BB121),2)+ROUND((ROUND(((AE121-((EU121*1.1)))*AV121*I121),2)*BS121),2))</f>
        <v>99.48</v>
      </c>
      <c r="R121" s="2">
        <f t="shared" si="117"/>
        <v>19.07</v>
      </c>
      <c r="S121" s="2">
        <f t="shared" si="118"/>
        <v>467.8</v>
      </c>
      <c r="T121" s="2">
        <f t="shared" si="119"/>
        <v>0</v>
      </c>
      <c r="U121" s="2">
        <f t="shared" si="120"/>
        <v>36.693161999999994</v>
      </c>
      <c r="V121" s="2">
        <f t="shared" si="121"/>
        <v>0</v>
      </c>
      <c r="W121" s="2">
        <f t="shared" si="122"/>
        <v>0</v>
      </c>
      <c r="X121" s="2">
        <f t="shared" si="123"/>
        <v>472.26</v>
      </c>
      <c r="Y121" s="2">
        <f t="shared" si="124"/>
        <v>248.3</v>
      </c>
      <c r="Z121" s="2"/>
      <c r="AA121" s="2">
        <v>-1</v>
      </c>
      <c r="AB121" s="2">
        <f t="shared" si="125"/>
        <v>561.55799999999999</v>
      </c>
      <c r="AC121" s="2">
        <f t="shared" si="126"/>
        <v>290.64999999999998</v>
      </c>
      <c r="AD121" s="2">
        <f>ROUND(((((ET121*1.1))-((EU121*1.1)))+AE121),6)</f>
        <v>47.509</v>
      </c>
      <c r="AE121" s="2">
        <f>ROUND(((EU121*1.1)),6)</f>
        <v>9.1080000000000005</v>
      </c>
      <c r="AF121" s="2">
        <f>ROUND(((EV121*1.1)),6)</f>
        <v>223.399</v>
      </c>
      <c r="AG121" s="2">
        <f t="shared" si="127"/>
        <v>0</v>
      </c>
      <c r="AH121" s="2">
        <f>((EW121*1.1))</f>
        <v>17.523</v>
      </c>
      <c r="AI121" s="2">
        <f>((EX121*1.1))</f>
        <v>0</v>
      </c>
      <c r="AJ121" s="2">
        <f t="shared" si="128"/>
        <v>0</v>
      </c>
      <c r="AK121" s="2">
        <v>536.92999999999995</v>
      </c>
      <c r="AL121" s="2">
        <v>290.64999999999998</v>
      </c>
      <c r="AM121" s="2">
        <v>43.19</v>
      </c>
      <c r="AN121" s="2">
        <v>8.2799999999999994</v>
      </c>
      <c r="AO121" s="2">
        <v>203.09</v>
      </c>
      <c r="AP121" s="2">
        <v>0</v>
      </c>
      <c r="AQ121" s="2">
        <v>15.93</v>
      </c>
      <c r="AR121" s="2">
        <v>0</v>
      </c>
      <c r="AS121" s="2">
        <v>0</v>
      </c>
      <c r="AT121" s="2">
        <v>97</v>
      </c>
      <c r="AU121" s="2">
        <v>51</v>
      </c>
      <c r="AV121" s="2">
        <v>1.0469999999999999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0</v>
      </c>
      <c r="BI121" s="2">
        <v>2</v>
      </c>
      <c r="BJ121" s="2" t="s">
        <v>192</v>
      </c>
      <c r="BK121" s="2"/>
      <c r="BL121" s="2"/>
      <c r="BM121" s="2">
        <v>67</v>
      </c>
      <c r="BN121" s="2">
        <v>0</v>
      </c>
      <c r="BO121" s="2" t="s">
        <v>190</v>
      </c>
      <c r="BP121" s="2">
        <v>1</v>
      </c>
      <c r="BQ121" s="2">
        <v>40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97</v>
      </c>
      <c r="CA121" s="2">
        <v>51</v>
      </c>
      <c r="CB121" s="2" t="s">
        <v>3</v>
      </c>
      <c r="CC121" s="2"/>
      <c r="CD121" s="2"/>
      <c r="CE121" s="2">
        <v>30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3</v>
      </c>
      <c r="CO121" s="2">
        <v>0</v>
      </c>
      <c r="CP121" s="2">
        <f t="shared" si="129"/>
        <v>1148.58</v>
      </c>
      <c r="CQ121" s="2">
        <f t="shared" si="130"/>
        <v>290.64999999999998</v>
      </c>
      <c r="CR121" s="2">
        <f>(ROUND((ROUND((((ET121*1.1))*AV121*1),2)*BB121),2)+ROUND((ROUND(((AE121-((EU121*1.1)))*AV121*1),2)*BS121),2))</f>
        <v>49.74</v>
      </c>
      <c r="CS121" s="2">
        <f t="shared" si="131"/>
        <v>9.5399999999999991</v>
      </c>
      <c r="CT121" s="2">
        <f t="shared" si="132"/>
        <v>233.9</v>
      </c>
      <c r="CU121" s="2">
        <f t="shared" si="133"/>
        <v>0</v>
      </c>
      <c r="CV121" s="2">
        <f t="shared" si="134"/>
        <v>18.346580999999997</v>
      </c>
      <c r="CW121" s="2">
        <f t="shared" si="135"/>
        <v>0</v>
      </c>
      <c r="CX121" s="2">
        <f t="shared" si="136"/>
        <v>0</v>
      </c>
      <c r="CY121" s="2">
        <f t="shared" si="137"/>
        <v>472.26389999999998</v>
      </c>
      <c r="CZ121" s="2">
        <f t="shared" si="138"/>
        <v>248.30369999999999</v>
      </c>
      <c r="DA121" s="2"/>
      <c r="DB121" s="2"/>
      <c r="DC121" s="2" t="s">
        <v>3</v>
      </c>
      <c r="DD121" s="2" t="s">
        <v>3</v>
      </c>
      <c r="DE121" s="2" t="s">
        <v>24</v>
      </c>
      <c r="DF121" s="2" t="s">
        <v>24</v>
      </c>
      <c r="DG121" s="2" t="s">
        <v>24</v>
      </c>
      <c r="DH121" s="2" t="s">
        <v>3</v>
      </c>
      <c r="DI121" s="2" t="s">
        <v>24</v>
      </c>
      <c r="DJ121" s="2" t="s">
        <v>24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1003</v>
      </c>
      <c r="DV121" s="2" t="s">
        <v>124</v>
      </c>
      <c r="DW121" s="2" t="s">
        <v>124</v>
      </c>
      <c r="DX121" s="2">
        <v>100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58162629</v>
      </c>
      <c r="EF121" s="2">
        <v>40</v>
      </c>
      <c r="EG121" s="2" t="s">
        <v>25</v>
      </c>
      <c r="EH121" s="2">
        <v>0</v>
      </c>
      <c r="EI121" s="2" t="s">
        <v>3</v>
      </c>
      <c r="EJ121" s="2">
        <v>2</v>
      </c>
      <c r="EK121" s="2">
        <v>67</v>
      </c>
      <c r="EL121" s="2" t="s">
        <v>116</v>
      </c>
      <c r="EM121" s="2" t="s">
        <v>117</v>
      </c>
      <c r="EN121" s="2"/>
      <c r="EO121" s="2" t="s">
        <v>28</v>
      </c>
      <c r="EP121" s="2"/>
      <c r="EQ121" s="2">
        <v>1024</v>
      </c>
      <c r="ER121" s="2">
        <v>536.92999999999995</v>
      </c>
      <c r="ES121" s="2">
        <v>290.64999999999998</v>
      </c>
      <c r="ET121" s="2">
        <v>43.19</v>
      </c>
      <c r="EU121" s="2">
        <v>8.2799999999999994</v>
      </c>
      <c r="EV121" s="2">
        <v>203.09</v>
      </c>
      <c r="EW121" s="2">
        <v>15.93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97</v>
      </c>
      <c r="FY121" s="2">
        <v>51</v>
      </c>
      <c r="FZ121" s="2"/>
      <c r="GA121" s="2" t="s">
        <v>3</v>
      </c>
      <c r="GB121" s="2"/>
      <c r="GC121" s="2"/>
      <c r="GD121" s="2">
        <v>1</v>
      </c>
      <c r="GE121" s="2"/>
      <c r="GF121" s="2">
        <v>1037418447</v>
      </c>
      <c r="GG121" s="2">
        <v>2</v>
      </c>
      <c r="GH121" s="2">
        <v>1</v>
      </c>
      <c r="GI121" s="2">
        <v>2</v>
      </c>
      <c r="GJ121" s="2">
        <v>0</v>
      </c>
      <c r="GK121" s="2">
        <v>0</v>
      </c>
      <c r="GL121" s="2">
        <f t="shared" si="139"/>
        <v>0</v>
      </c>
      <c r="GM121" s="2">
        <f t="shared" si="140"/>
        <v>1869.14</v>
      </c>
      <c r="GN121" s="2">
        <f t="shared" si="141"/>
        <v>0</v>
      </c>
      <c r="GO121" s="2">
        <f t="shared" si="142"/>
        <v>1869.14</v>
      </c>
      <c r="GP121" s="2">
        <f t="shared" si="143"/>
        <v>0</v>
      </c>
      <c r="GQ121" s="2"/>
      <c r="GR121" s="2">
        <v>0</v>
      </c>
      <c r="GS121" s="2">
        <v>3</v>
      </c>
      <c r="GT121" s="2">
        <v>0</v>
      </c>
      <c r="GU121" s="2" t="s">
        <v>3</v>
      </c>
      <c r="GV121" s="2">
        <f t="shared" si="144"/>
        <v>0</v>
      </c>
      <c r="GW121" s="2">
        <v>1</v>
      </c>
      <c r="GX121" s="2">
        <f t="shared" si="145"/>
        <v>0</v>
      </c>
      <c r="GY121" s="2"/>
      <c r="GZ121" s="2"/>
      <c r="HA121" s="2">
        <v>0</v>
      </c>
      <c r="HB121" s="2">
        <v>0</v>
      </c>
      <c r="HC121" s="2">
        <f t="shared" si="146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3">
      <c r="A122">
        <v>17</v>
      </c>
      <c r="B122">
        <v>1</v>
      </c>
      <c r="D122">
        <f>ROW(EtalonRes!A124)</f>
        <v>124</v>
      </c>
      <c r="E122" t="s">
        <v>3</v>
      </c>
      <c r="F122" t="s">
        <v>190</v>
      </c>
      <c r="G122" t="s">
        <v>191</v>
      </c>
      <c r="H122" t="s">
        <v>124</v>
      </c>
      <c r="I122">
        <f>ROUND(200/100,9)</f>
        <v>2</v>
      </c>
      <c r="J122">
        <v>0</v>
      </c>
      <c r="K122">
        <f>ROUND(200/100,9)</f>
        <v>2</v>
      </c>
      <c r="O122">
        <f t="shared" si="115"/>
        <v>33329.68</v>
      </c>
      <c r="P122">
        <f t="shared" si="116"/>
        <v>5749.06</v>
      </c>
      <c r="Q122">
        <f>(ROUND((ROUND((((ET122*1.1))*AV122*I122),2)*BB122),2)+ROUND((ROUND(((AE122-((EU122*1.1)))*AV122*I122),2)*BS122),2))</f>
        <v>1856.3</v>
      </c>
      <c r="R122">
        <f t="shared" si="117"/>
        <v>1048.6600000000001</v>
      </c>
      <c r="S122">
        <f t="shared" si="118"/>
        <v>25724.32</v>
      </c>
      <c r="T122">
        <f t="shared" si="119"/>
        <v>0</v>
      </c>
      <c r="U122">
        <f t="shared" si="120"/>
        <v>36.693161999999994</v>
      </c>
      <c r="V122">
        <f t="shared" si="121"/>
        <v>0</v>
      </c>
      <c r="W122">
        <f t="shared" si="122"/>
        <v>0</v>
      </c>
      <c r="X122">
        <f t="shared" si="123"/>
        <v>25969.79</v>
      </c>
      <c r="Y122">
        <f t="shared" si="124"/>
        <v>13654.22</v>
      </c>
      <c r="AA122">
        <v>-1</v>
      </c>
      <c r="AB122">
        <f t="shared" si="125"/>
        <v>561.55799999999999</v>
      </c>
      <c r="AC122">
        <f t="shared" si="126"/>
        <v>290.64999999999998</v>
      </c>
      <c r="AD122">
        <f>ROUND(((((ET122*1.1))-((EU122*1.1)))+AE122),6)</f>
        <v>47.509</v>
      </c>
      <c r="AE122">
        <f>ROUND(((EU122*1.1)),6)</f>
        <v>9.1080000000000005</v>
      </c>
      <c r="AF122">
        <f>ROUND(((EV122*1.1)),6)</f>
        <v>223.399</v>
      </c>
      <c r="AG122">
        <f t="shared" si="127"/>
        <v>0</v>
      </c>
      <c r="AH122">
        <f>((EW122*1.1))</f>
        <v>17.523</v>
      </c>
      <c r="AI122">
        <f>((EX122*1.1))</f>
        <v>0</v>
      </c>
      <c r="AJ122">
        <f t="shared" si="128"/>
        <v>0</v>
      </c>
      <c r="AK122">
        <v>536.92999999999995</v>
      </c>
      <c r="AL122">
        <v>290.64999999999998</v>
      </c>
      <c r="AM122">
        <v>43.19</v>
      </c>
      <c r="AN122">
        <v>8.2799999999999994</v>
      </c>
      <c r="AO122">
        <v>203.09</v>
      </c>
      <c r="AP122">
        <v>0</v>
      </c>
      <c r="AQ122">
        <v>15.93</v>
      </c>
      <c r="AR122">
        <v>0</v>
      </c>
      <c r="AS122">
        <v>0</v>
      </c>
      <c r="AT122">
        <v>97</v>
      </c>
      <c r="AU122">
        <v>51</v>
      </c>
      <c r="AV122">
        <v>1.0469999999999999</v>
      </c>
      <c r="AW122">
        <v>1</v>
      </c>
      <c r="AZ122">
        <v>1</v>
      </c>
      <c r="BA122">
        <v>54.99</v>
      </c>
      <c r="BB122">
        <v>18.66</v>
      </c>
      <c r="BC122">
        <v>9.89</v>
      </c>
      <c r="BD122" t="s">
        <v>3</v>
      </c>
      <c r="BE122" t="s">
        <v>3</v>
      </c>
      <c r="BF122" t="s">
        <v>3</v>
      </c>
      <c r="BG122" t="s">
        <v>3</v>
      </c>
      <c r="BH122">
        <v>0</v>
      </c>
      <c r="BI122">
        <v>2</v>
      </c>
      <c r="BJ122" t="s">
        <v>192</v>
      </c>
      <c r="BM122">
        <v>67</v>
      </c>
      <c r="BN122">
        <v>0</v>
      </c>
      <c r="BO122" t="s">
        <v>190</v>
      </c>
      <c r="BP122">
        <v>1</v>
      </c>
      <c r="BQ122">
        <v>40</v>
      </c>
      <c r="BR122">
        <v>0</v>
      </c>
      <c r="BS122">
        <v>54.99</v>
      </c>
      <c r="BT122">
        <v>1</v>
      </c>
      <c r="BU122">
        <v>1</v>
      </c>
      <c r="BV122">
        <v>1</v>
      </c>
      <c r="BW122">
        <v>1</v>
      </c>
      <c r="BX122">
        <v>1</v>
      </c>
      <c r="BY122" t="s">
        <v>3</v>
      </c>
      <c r="BZ122">
        <v>97</v>
      </c>
      <c r="CA122">
        <v>51</v>
      </c>
      <c r="CB122" t="s">
        <v>3</v>
      </c>
      <c r="CE122">
        <v>30</v>
      </c>
      <c r="CF122">
        <v>0</v>
      </c>
      <c r="CG122">
        <v>0</v>
      </c>
      <c r="CM122">
        <v>0</v>
      </c>
      <c r="CN122" t="s">
        <v>3</v>
      </c>
      <c r="CO122">
        <v>0</v>
      </c>
      <c r="CP122">
        <f t="shared" si="129"/>
        <v>33329.68</v>
      </c>
      <c r="CQ122">
        <f t="shared" si="130"/>
        <v>2874.53</v>
      </c>
      <c r="CR122">
        <f>(ROUND((ROUND((((ET122*1.1))*AV122*1),2)*BB122),2)+ROUND((ROUND(((AE122-((EU122*1.1)))*AV122*1),2)*BS122),2))</f>
        <v>928.15</v>
      </c>
      <c r="CS122">
        <f t="shared" si="131"/>
        <v>524.6</v>
      </c>
      <c r="CT122">
        <f t="shared" si="132"/>
        <v>12862.16</v>
      </c>
      <c r="CU122">
        <f t="shared" si="133"/>
        <v>0</v>
      </c>
      <c r="CV122">
        <f t="shared" si="134"/>
        <v>18.346580999999997</v>
      </c>
      <c r="CW122">
        <f t="shared" si="135"/>
        <v>0</v>
      </c>
      <c r="CX122">
        <f t="shared" si="136"/>
        <v>0</v>
      </c>
      <c r="CY122">
        <f t="shared" si="137"/>
        <v>25969.7906</v>
      </c>
      <c r="CZ122">
        <f t="shared" si="138"/>
        <v>13654.219799999999</v>
      </c>
      <c r="DC122" t="s">
        <v>3</v>
      </c>
      <c r="DD122" t="s">
        <v>3</v>
      </c>
      <c r="DE122" t="s">
        <v>24</v>
      </c>
      <c r="DF122" t="s">
        <v>24</v>
      </c>
      <c r="DG122" t="s">
        <v>24</v>
      </c>
      <c r="DH122" t="s">
        <v>3</v>
      </c>
      <c r="DI122" t="s">
        <v>24</v>
      </c>
      <c r="DJ122" t="s">
        <v>24</v>
      </c>
      <c r="DK122" t="s">
        <v>3</v>
      </c>
      <c r="DL122" t="s">
        <v>3</v>
      </c>
      <c r="DM122" t="s">
        <v>3</v>
      </c>
      <c r="DN122">
        <v>0</v>
      </c>
      <c r="DO122">
        <v>0</v>
      </c>
      <c r="DP122">
        <v>1</v>
      </c>
      <c r="DQ122">
        <v>1</v>
      </c>
      <c r="DU122">
        <v>1003</v>
      </c>
      <c r="DV122" t="s">
        <v>124</v>
      </c>
      <c r="DW122" t="s">
        <v>124</v>
      </c>
      <c r="DX122">
        <v>100</v>
      </c>
      <c r="DZ122" t="s">
        <v>3</v>
      </c>
      <c r="EA122" t="s">
        <v>3</v>
      </c>
      <c r="EB122" t="s">
        <v>3</v>
      </c>
      <c r="EC122" t="s">
        <v>3</v>
      </c>
      <c r="EE122">
        <v>58162629</v>
      </c>
      <c r="EF122">
        <v>40</v>
      </c>
      <c r="EG122" t="s">
        <v>25</v>
      </c>
      <c r="EH122">
        <v>0</v>
      </c>
      <c r="EI122" t="s">
        <v>3</v>
      </c>
      <c r="EJ122">
        <v>2</v>
      </c>
      <c r="EK122">
        <v>67</v>
      </c>
      <c r="EL122" t="s">
        <v>116</v>
      </c>
      <c r="EM122" t="s">
        <v>117</v>
      </c>
      <c r="EO122" t="s">
        <v>28</v>
      </c>
      <c r="EQ122">
        <v>1024</v>
      </c>
      <c r="ER122">
        <v>536.92999999999995</v>
      </c>
      <c r="ES122">
        <v>290.64999999999998</v>
      </c>
      <c r="ET122">
        <v>43.19</v>
      </c>
      <c r="EU122">
        <v>8.2799999999999994</v>
      </c>
      <c r="EV122">
        <v>203.09</v>
      </c>
      <c r="EW122">
        <v>15.93</v>
      </c>
      <c r="EX122">
        <v>0</v>
      </c>
      <c r="EY122">
        <v>0</v>
      </c>
      <c r="FQ122">
        <v>0</v>
      </c>
      <c r="FR122">
        <v>0</v>
      </c>
      <c r="FS122">
        <v>0</v>
      </c>
      <c r="FX122">
        <v>97</v>
      </c>
      <c r="FY122">
        <v>51</v>
      </c>
      <c r="GA122" t="s">
        <v>3</v>
      </c>
      <c r="GD122">
        <v>1</v>
      </c>
      <c r="GF122">
        <v>1037418447</v>
      </c>
      <c r="GG122">
        <v>2</v>
      </c>
      <c r="GH122">
        <v>1</v>
      </c>
      <c r="GI122">
        <v>2</v>
      </c>
      <c r="GJ122">
        <v>0</v>
      </c>
      <c r="GK122">
        <v>0</v>
      </c>
      <c r="GL122">
        <f t="shared" si="139"/>
        <v>0</v>
      </c>
      <c r="GM122">
        <f t="shared" si="140"/>
        <v>72953.69</v>
      </c>
      <c r="GN122">
        <f t="shared" si="141"/>
        <v>0</v>
      </c>
      <c r="GO122">
        <f t="shared" si="142"/>
        <v>72953.69</v>
      </c>
      <c r="GP122">
        <f t="shared" si="143"/>
        <v>0</v>
      </c>
      <c r="GR122">
        <v>0</v>
      </c>
      <c r="GS122">
        <v>3</v>
      </c>
      <c r="GT122">
        <v>0</v>
      </c>
      <c r="GU122" t="s">
        <v>3</v>
      </c>
      <c r="GV122">
        <f t="shared" si="144"/>
        <v>0</v>
      </c>
      <c r="GW122">
        <v>1</v>
      </c>
      <c r="GX122">
        <f t="shared" si="145"/>
        <v>0</v>
      </c>
      <c r="HA122">
        <v>0</v>
      </c>
      <c r="HB122">
        <v>0</v>
      </c>
      <c r="HC122">
        <f t="shared" si="146"/>
        <v>0</v>
      </c>
      <c r="HE122" t="s">
        <v>3</v>
      </c>
      <c r="HF122" t="s">
        <v>3</v>
      </c>
      <c r="HM122" t="s">
        <v>3</v>
      </c>
      <c r="HN122" t="s">
        <v>3</v>
      </c>
      <c r="HO122" t="s">
        <v>3</v>
      </c>
      <c r="HP122" t="s">
        <v>3</v>
      </c>
      <c r="HQ122" t="s">
        <v>3</v>
      </c>
      <c r="HS122">
        <v>0</v>
      </c>
      <c r="IK122">
        <v>0</v>
      </c>
    </row>
    <row r="123" spans="1:255" x14ac:dyDescent="0.3">
      <c r="A123" s="2">
        <v>18</v>
      </c>
      <c r="B123" s="2">
        <v>1</v>
      </c>
      <c r="C123" s="2"/>
      <c r="D123" s="2"/>
      <c r="E123" s="2" t="s">
        <v>3</v>
      </c>
      <c r="F123" s="2" t="s">
        <v>129</v>
      </c>
      <c r="G123" s="2" t="s">
        <v>130</v>
      </c>
      <c r="H123" s="2" t="s">
        <v>131</v>
      </c>
      <c r="I123" s="2">
        <f>I121*J123</f>
        <v>204</v>
      </c>
      <c r="J123" s="2">
        <v>102</v>
      </c>
      <c r="K123" s="2">
        <v>102</v>
      </c>
      <c r="L123" s="2"/>
      <c r="M123" s="2"/>
      <c r="N123" s="2"/>
      <c r="O123" s="2">
        <f t="shared" si="115"/>
        <v>703.8</v>
      </c>
      <c r="P123" s="2">
        <f t="shared" si="116"/>
        <v>703.8</v>
      </c>
      <c r="Q123" s="2">
        <f t="shared" ref="Q123:Q128" si="147">(ROUND((ROUND(((ET123)*AV123*I123),2)*BB123),2)+ROUND((ROUND(((AE123-(EU123))*AV123*I123),2)*BS123),2))</f>
        <v>0</v>
      </c>
      <c r="R123" s="2">
        <f t="shared" si="117"/>
        <v>0</v>
      </c>
      <c r="S123" s="2">
        <f t="shared" si="118"/>
        <v>0</v>
      </c>
      <c r="T123" s="2">
        <f t="shared" si="119"/>
        <v>0</v>
      </c>
      <c r="U123" s="2">
        <f t="shared" si="120"/>
        <v>0</v>
      </c>
      <c r="V123" s="2">
        <f t="shared" si="121"/>
        <v>0</v>
      </c>
      <c r="W123" s="2">
        <f t="shared" si="122"/>
        <v>0</v>
      </c>
      <c r="X123" s="2">
        <f t="shared" si="123"/>
        <v>0</v>
      </c>
      <c r="Y123" s="2">
        <f t="shared" si="124"/>
        <v>0</v>
      </c>
      <c r="Z123" s="2"/>
      <c r="AA123" s="2">
        <v>-1</v>
      </c>
      <c r="AB123" s="2">
        <f t="shared" si="125"/>
        <v>3.45</v>
      </c>
      <c r="AC123" s="2">
        <f t="shared" si="126"/>
        <v>3.45</v>
      </c>
      <c r="AD123" s="2">
        <f t="shared" ref="AD123:AD128" si="148">ROUND((((ET123)-(EU123))+AE123),6)</f>
        <v>0</v>
      </c>
      <c r="AE123" s="2">
        <f t="shared" ref="AE123:AF128" si="149">ROUND((EU123),6)</f>
        <v>0</v>
      </c>
      <c r="AF123" s="2">
        <f t="shared" si="149"/>
        <v>0</v>
      </c>
      <c r="AG123" s="2">
        <f t="shared" si="127"/>
        <v>0</v>
      </c>
      <c r="AH123" s="2">
        <f t="shared" ref="AH123:AI128" si="150">(EW123)</f>
        <v>0</v>
      </c>
      <c r="AI123" s="2">
        <f t="shared" si="150"/>
        <v>0</v>
      </c>
      <c r="AJ123" s="2">
        <f t="shared" si="128"/>
        <v>0</v>
      </c>
      <c r="AK123" s="2">
        <v>3.45</v>
      </c>
      <c r="AL123" s="2">
        <v>3.45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97</v>
      </c>
      <c r="AU123" s="2">
        <v>51</v>
      </c>
      <c r="AV123" s="2">
        <v>1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3</v>
      </c>
      <c r="BI123" s="2">
        <v>2</v>
      </c>
      <c r="BJ123" s="2" t="s">
        <v>132</v>
      </c>
      <c r="BK123" s="2"/>
      <c r="BL123" s="2"/>
      <c r="BM123" s="2">
        <v>67</v>
      </c>
      <c r="BN123" s="2">
        <v>0</v>
      </c>
      <c r="BO123" s="2" t="s">
        <v>3</v>
      </c>
      <c r="BP123" s="2">
        <v>0</v>
      </c>
      <c r="BQ123" s="2">
        <v>40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97</v>
      </c>
      <c r="CA123" s="2">
        <v>51</v>
      </c>
      <c r="CB123" s="2" t="s">
        <v>3</v>
      </c>
      <c r="CC123" s="2"/>
      <c r="CD123" s="2"/>
      <c r="CE123" s="2">
        <v>30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3</v>
      </c>
      <c r="CO123" s="2">
        <v>0</v>
      </c>
      <c r="CP123" s="2">
        <f t="shared" si="129"/>
        <v>703.8</v>
      </c>
      <c r="CQ123" s="2">
        <f t="shared" si="130"/>
        <v>3.45</v>
      </c>
      <c r="CR123" s="2">
        <f t="shared" ref="CR123:CR128" si="151">(ROUND((ROUND(((ET123)*AV123*1),2)*BB123),2)+ROUND((ROUND(((AE123-(EU123))*AV123*1),2)*BS123),2))</f>
        <v>0</v>
      </c>
      <c r="CS123" s="2">
        <f t="shared" si="131"/>
        <v>0</v>
      </c>
      <c r="CT123" s="2">
        <f t="shared" si="132"/>
        <v>0</v>
      </c>
      <c r="CU123" s="2">
        <f t="shared" si="133"/>
        <v>0</v>
      </c>
      <c r="CV123" s="2">
        <f t="shared" si="134"/>
        <v>0</v>
      </c>
      <c r="CW123" s="2">
        <f t="shared" si="135"/>
        <v>0</v>
      </c>
      <c r="CX123" s="2">
        <f t="shared" si="136"/>
        <v>0</v>
      </c>
      <c r="CY123" s="2">
        <f t="shared" si="137"/>
        <v>0</v>
      </c>
      <c r="CZ123" s="2">
        <f t="shared" si="138"/>
        <v>0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1003</v>
      </c>
      <c r="DV123" s="2" t="s">
        <v>131</v>
      </c>
      <c r="DW123" s="2" t="s">
        <v>131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58162629</v>
      </c>
      <c r="EF123" s="2">
        <v>40</v>
      </c>
      <c r="EG123" s="2" t="s">
        <v>25</v>
      </c>
      <c r="EH123" s="2">
        <v>0</v>
      </c>
      <c r="EI123" s="2" t="s">
        <v>3</v>
      </c>
      <c r="EJ123" s="2">
        <v>2</v>
      </c>
      <c r="EK123" s="2">
        <v>67</v>
      </c>
      <c r="EL123" s="2" t="s">
        <v>116</v>
      </c>
      <c r="EM123" s="2" t="s">
        <v>117</v>
      </c>
      <c r="EN123" s="2"/>
      <c r="EO123" s="2" t="s">
        <v>3</v>
      </c>
      <c r="EP123" s="2"/>
      <c r="EQ123" s="2">
        <v>1024</v>
      </c>
      <c r="ER123" s="2">
        <v>3.45</v>
      </c>
      <c r="ES123" s="2">
        <v>3.45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97</v>
      </c>
      <c r="FY123" s="2">
        <v>51</v>
      </c>
      <c r="FZ123" s="2"/>
      <c r="GA123" s="2" t="s">
        <v>3</v>
      </c>
      <c r="GB123" s="2"/>
      <c r="GC123" s="2"/>
      <c r="GD123" s="2">
        <v>1</v>
      </c>
      <c r="GE123" s="2"/>
      <c r="GF123" s="2">
        <v>-1305428159</v>
      </c>
      <c r="GG123" s="2">
        <v>2</v>
      </c>
      <c r="GH123" s="2">
        <v>1</v>
      </c>
      <c r="GI123" s="2">
        <v>-2</v>
      </c>
      <c r="GJ123" s="2">
        <v>0</v>
      </c>
      <c r="GK123" s="2">
        <v>0</v>
      </c>
      <c r="GL123" s="2">
        <f t="shared" si="139"/>
        <v>0</v>
      </c>
      <c r="GM123" s="2">
        <f t="shared" si="140"/>
        <v>703.8</v>
      </c>
      <c r="GN123" s="2">
        <f t="shared" si="141"/>
        <v>0</v>
      </c>
      <c r="GO123" s="2">
        <f t="shared" si="142"/>
        <v>703.8</v>
      </c>
      <c r="GP123" s="2">
        <f t="shared" si="143"/>
        <v>0</v>
      </c>
      <c r="GQ123" s="2"/>
      <c r="GR123" s="2">
        <v>0</v>
      </c>
      <c r="GS123" s="2">
        <v>3</v>
      </c>
      <c r="GT123" s="2">
        <v>0</v>
      </c>
      <c r="GU123" s="2" t="s">
        <v>3</v>
      </c>
      <c r="GV123" s="2">
        <f t="shared" si="144"/>
        <v>0</v>
      </c>
      <c r="GW123" s="2">
        <v>1</v>
      </c>
      <c r="GX123" s="2">
        <f t="shared" si="145"/>
        <v>0</v>
      </c>
      <c r="GY123" s="2"/>
      <c r="GZ123" s="2"/>
      <c r="HA123" s="2">
        <v>0</v>
      </c>
      <c r="HB123" s="2">
        <v>0</v>
      </c>
      <c r="HC123" s="2">
        <f t="shared" si="146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3">
      <c r="A124">
        <v>18</v>
      </c>
      <c r="B124">
        <v>1</v>
      </c>
      <c r="E124" t="s">
        <v>3</v>
      </c>
      <c r="F124" t="s">
        <v>129</v>
      </c>
      <c r="G124" t="s">
        <v>130</v>
      </c>
      <c r="H124" t="s">
        <v>131</v>
      </c>
      <c r="I124">
        <f>I122*J124</f>
        <v>204</v>
      </c>
      <c r="J124">
        <v>102</v>
      </c>
      <c r="K124">
        <v>102</v>
      </c>
      <c r="O124">
        <f t="shared" si="115"/>
        <v>2765.93</v>
      </c>
      <c r="P124">
        <f t="shared" si="116"/>
        <v>2765.93</v>
      </c>
      <c r="Q124">
        <f t="shared" si="147"/>
        <v>0</v>
      </c>
      <c r="R124">
        <f t="shared" si="117"/>
        <v>0</v>
      </c>
      <c r="S124">
        <f t="shared" si="118"/>
        <v>0</v>
      </c>
      <c r="T124">
        <f t="shared" si="119"/>
        <v>0</v>
      </c>
      <c r="U124">
        <f t="shared" si="120"/>
        <v>0</v>
      </c>
      <c r="V124">
        <f t="shared" si="121"/>
        <v>0</v>
      </c>
      <c r="W124">
        <f t="shared" si="122"/>
        <v>0</v>
      </c>
      <c r="X124">
        <f t="shared" si="123"/>
        <v>0</v>
      </c>
      <c r="Y124">
        <f t="shared" si="124"/>
        <v>0</v>
      </c>
      <c r="AA124">
        <v>-1</v>
      </c>
      <c r="AB124">
        <f t="shared" si="125"/>
        <v>3.45</v>
      </c>
      <c r="AC124">
        <f t="shared" si="126"/>
        <v>3.45</v>
      </c>
      <c r="AD124">
        <f t="shared" si="148"/>
        <v>0</v>
      </c>
      <c r="AE124">
        <f t="shared" si="149"/>
        <v>0</v>
      </c>
      <c r="AF124">
        <f t="shared" si="149"/>
        <v>0</v>
      </c>
      <c r="AG124">
        <f t="shared" si="127"/>
        <v>0</v>
      </c>
      <c r="AH124">
        <f t="shared" si="150"/>
        <v>0</v>
      </c>
      <c r="AI124">
        <f t="shared" si="150"/>
        <v>0</v>
      </c>
      <c r="AJ124">
        <f t="shared" si="128"/>
        <v>0</v>
      </c>
      <c r="AK124">
        <v>3.45</v>
      </c>
      <c r="AL124">
        <v>3.45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97</v>
      </c>
      <c r="AU124">
        <v>51</v>
      </c>
      <c r="AV124">
        <v>1</v>
      </c>
      <c r="AW124">
        <v>1</v>
      </c>
      <c r="AZ124">
        <v>1</v>
      </c>
      <c r="BA124">
        <v>1</v>
      </c>
      <c r="BB124">
        <v>1</v>
      </c>
      <c r="BC124">
        <v>3.93</v>
      </c>
      <c r="BD124" t="s">
        <v>3</v>
      </c>
      <c r="BE124" t="s">
        <v>3</v>
      </c>
      <c r="BF124" t="s">
        <v>3</v>
      </c>
      <c r="BG124" t="s">
        <v>3</v>
      </c>
      <c r="BH124">
        <v>3</v>
      </c>
      <c r="BI124">
        <v>2</v>
      </c>
      <c r="BJ124" t="s">
        <v>132</v>
      </c>
      <c r="BM124">
        <v>67</v>
      </c>
      <c r="BN124">
        <v>0</v>
      </c>
      <c r="BO124" t="s">
        <v>129</v>
      </c>
      <c r="BP124">
        <v>1</v>
      </c>
      <c r="BQ124">
        <v>40</v>
      </c>
      <c r="BR124">
        <v>0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 t="s">
        <v>3</v>
      </c>
      <c r="BZ124">
        <v>97</v>
      </c>
      <c r="CA124">
        <v>51</v>
      </c>
      <c r="CB124" t="s">
        <v>3</v>
      </c>
      <c r="CE124">
        <v>30</v>
      </c>
      <c r="CF124">
        <v>0</v>
      </c>
      <c r="CG124">
        <v>0</v>
      </c>
      <c r="CM124">
        <v>0</v>
      </c>
      <c r="CN124" t="s">
        <v>3</v>
      </c>
      <c r="CO124">
        <v>0</v>
      </c>
      <c r="CP124">
        <f t="shared" si="129"/>
        <v>2765.93</v>
      </c>
      <c r="CQ124">
        <f t="shared" si="130"/>
        <v>13.56</v>
      </c>
      <c r="CR124">
        <f t="shared" si="151"/>
        <v>0</v>
      </c>
      <c r="CS124">
        <f t="shared" si="131"/>
        <v>0</v>
      </c>
      <c r="CT124">
        <f t="shared" si="132"/>
        <v>0</v>
      </c>
      <c r="CU124">
        <f t="shared" si="133"/>
        <v>0</v>
      </c>
      <c r="CV124">
        <f t="shared" si="134"/>
        <v>0</v>
      </c>
      <c r="CW124">
        <f t="shared" si="135"/>
        <v>0</v>
      </c>
      <c r="CX124">
        <f t="shared" si="136"/>
        <v>0</v>
      </c>
      <c r="CY124">
        <f t="shared" si="137"/>
        <v>0</v>
      </c>
      <c r="CZ124">
        <f t="shared" si="138"/>
        <v>0</v>
      </c>
      <c r="DC124" t="s">
        <v>3</v>
      </c>
      <c r="DD124" t="s">
        <v>3</v>
      </c>
      <c r="DE124" t="s">
        <v>3</v>
      </c>
      <c r="DF124" t="s">
        <v>3</v>
      </c>
      <c r="DG124" t="s">
        <v>3</v>
      </c>
      <c r="DH124" t="s">
        <v>3</v>
      </c>
      <c r="DI124" t="s">
        <v>3</v>
      </c>
      <c r="DJ124" t="s">
        <v>3</v>
      </c>
      <c r="DK124" t="s">
        <v>3</v>
      </c>
      <c r="DL124" t="s">
        <v>3</v>
      </c>
      <c r="DM124" t="s">
        <v>3</v>
      </c>
      <c r="DN124">
        <v>0</v>
      </c>
      <c r="DO124">
        <v>0</v>
      </c>
      <c r="DP124">
        <v>1</v>
      </c>
      <c r="DQ124">
        <v>1</v>
      </c>
      <c r="DU124">
        <v>1003</v>
      </c>
      <c r="DV124" t="s">
        <v>131</v>
      </c>
      <c r="DW124" t="s">
        <v>131</v>
      </c>
      <c r="DX124">
        <v>1</v>
      </c>
      <c r="DZ124" t="s">
        <v>3</v>
      </c>
      <c r="EA124" t="s">
        <v>3</v>
      </c>
      <c r="EB124" t="s">
        <v>3</v>
      </c>
      <c r="EC124" t="s">
        <v>3</v>
      </c>
      <c r="EE124">
        <v>58162629</v>
      </c>
      <c r="EF124">
        <v>40</v>
      </c>
      <c r="EG124" t="s">
        <v>25</v>
      </c>
      <c r="EH124">
        <v>0</v>
      </c>
      <c r="EI124" t="s">
        <v>3</v>
      </c>
      <c r="EJ124">
        <v>2</v>
      </c>
      <c r="EK124">
        <v>67</v>
      </c>
      <c r="EL124" t="s">
        <v>116</v>
      </c>
      <c r="EM124" t="s">
        <v>117</v>
      </c>
      <c r="EO124" t="s">
        <v>3</v>
      </c>
      <c r="EQ124">
        <v>1024</v>
      </c>
      <c r="ER124">
        <v>3.45</v>
      </c>
      <c r="ES124">
        <v>3.45</v>
      </c>
      <c r="ET124">
        <v>0</v>
      </c>
      <c r="EU124">
        <v>0</v>
      </c>
      <c r="EV124">
        <v>0</v>
      </c>
      <c r="EW124">
        <v>0</v>
      </c>
      <c r="EX124">
        <v>0</v>
      </c>
      <c r="FQ124">
        <v>0</v>
      </c>
      <c r="FR124">
        <v>0</v>
      </c>
      <c r="FS124">
        <v>0</v>
      </c>
      <c r="FX124">
        <v>97</v>
      </c>
      <c r="FY124">
        <v>51</v>
      </c>
      <c r="GA124" t="s">
        <v>3</v>
      </c>
      <c r="GD124">
        <v>1</v>
      </c>
      <c r="GF124">
        <v>-1305428159</v>
      </c>
      <c r="GG124">
        <v>2</v>
      </c>
      <c r="GH124">
        <v>1</v>
      </c>
      <c r="GI124">
        <v>2</v>
      </c>
      <c r="GJ124">
        <v>0</v>
      </c>
      <c r="GK124">
        <v>0</v>
      </c>
      <c r="GL124">
        <f t="shared" si="139"/>
        <v>0</v>
      </c>
      <c r="GM124">
        <f t="shared" si="140"/>
        <v>2765.93</v>
      </c>
      <c r="GN124">
        <f t="shared" si="141"/>
        <v>0</v>
      </c>
      <c r="GO124">
        <f t="shared" si="142"/>
        <v>2765.93</v>
      </c>
      <c r="GP124">
        <f t="shared" si="143"/>
        <v>0</v>
      </c>
      <c r="GR124">
        <v>0</v>
      </c>
      <c r="GS124">
        <v>3</v>
      </c>
      <c r="GT124">
        <v>0</v>
      </c>
      <c r="GU124" t="s">
        <v>3</v>
      </c>
      <c r="GV124">
        <f t="shared" si="144"/>
        <v>0</v>
      </c>
      <c r="GW124">
        <v>1</v>
      </c>
      <c r="GX124">
        <f t="shared" si="145"/>
        <v>0</v>
      </c>
      <c r="HA124">
        <v>0</v>
      </c>
      <c r="HB124">
        <v>0</v>
      </c>
      <c r="HC124">
        <f t="shared" si="146"/>
        <v>0</v>
      </c>
      <c r="HE124" t="s">
        <v>3</v>
      </c>
      <c r="HF124" t="s">
        <v>3</v>
      </c>
      <c r="HM124" t="s">
        <v>3</v>
      </c>
      <c r="HN124" t="s">
        <v>3</v>
      </c>
      <c r="HO124" t="s">
        <v>3</v>
      </c>
      <c r="HP124" t="s">
        <v>3</v>
      </c>
      <c r="HQ124" t="s">
        <v>3</v>
      </c>
      <c r="HS124">
        <v>0</v>
      </c>
      <c r="IK124">
        <v>0</v>
      </c>
    </row>
    <row r="125" spans="1:255" x14ac:dyDescent="0.3">
      <c r="A125" s="2">
        <v>18</v>
      </c>
      <c r="B125" s="2">
        <v>1</v>
      </c>
      <c r="C125" s="2"/>
      <c r="D125" s="2"/>
      <c r="E125" s="2" t="s">
        <v>3</v>
      </c>
      <c r="F125" s="2" t="s">
        <v>134</v>
      </c>
      <c r="G125" s="2" t="s">
        <v>135</v>
      </c>
      <c r="H125" s="2" t="s">
        <v>32</v>
      </c>
      <c r="I125" s="2">
        <f>I121*J125</f>
        <v>5</v>
      </c>
      <c r="J125" s="2">
        <v>2.5</v>
      </c>
      <c r="K125" s="2">
        <v>2.5</v>
      </c>
      <c r="L125" s="2"/>
      <c r="M125" s="2"/>
      <c r="N125" s="2"/>
      <c r="O125" s="2">
        <f t="shared" si="115"/>
        <v>5.3</v>
      </c>
      <c r="P125" s="2">
        <f t="shared" si="116"/>
        <v>5.3</v>
      </c>
      <c r="Q125" s="2">
        <f t="shared" si="147"/>
        <v>0</v>
      </c>
      <c r="R125" s="2">
        <f t="shared" si="117"/>
        <v>0</v>
      </c>
      <c r="S125" s="2">
        <f t="shared" si="118"/>
        <v>0</v>
      </c>
      <c r="T125" s="2">
        <f t="shared" si="119"/>
        <v>0</v>
      </c>
      <c r="U125" s="2">
        <f t="shared" si="120"/>
        <v>0</v>
      </c>
      <c r="V125" s="2">
        <f t="shared" si="121"/>
        <v>0</v>
      </c>
      <c r="W125" s="2">
        <f t="shared" si="122"/>
        <v>0</v>
      </c>
      <c r="X125" s="2">
        <f t="shared" si="123"/>
        <v>0</v>
      </c>
      <c r="Y125" s="2">
        <f t="shared" si="124"/>
        <v>0</v>
      </c>
      <c r="Z125" s="2"/>
      <c r="AA125" s="2">
        <v>-1</v>
      </c>
      <c r="AB125" s="2">
        <f t="shared" si="125"/>
        <v>1.06</v>
      </c>
      <c r="AC125" s="2">
        <f t="shared" si="126"/>
        <v>1.06</v>
      </c>
      <c r="AD125" s="2">
        <f t="shared" si="148"/>
        <v>0</v>
      </c>
      <c r="AE125" s="2">
        <f t="shared" si="149"/>
        <v>0</v>
      </c>
      <c r="AF125" s="2">
        <f t="shared" si="149"/>
        <v>0</v>
      </c>
      <c r="AG125" s="2">
        <f t="shared" si="127"/>
        <v>0</v>
      </c>
      <c r="AH125" s="2">
        <f t="shared" si="150"/>
        <v>0</v>
      </c>
      <c r="AI125" s="2">
        <f t="shared" si="150"/>
        <v>0</v>
      </c>
      <c r="AJ125" s="2">
        <f t="shared" si="128"/>
        <v>0</v>
      </c>
      <c r="AK125" s="2">
        <v>1.06</v>
      </c>
      <c r="AL125" s="2">
        <v>1.06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97</v>
      </c>
      <c r="AU125" s="2">
        <v>51</v>
      </c>
      <c r="AV125" s="2">
        <v>1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3</v>
      </c>
      <c r="BI125" s="2">
        <v>2</v>
      </c>
      <c r="BJ125" s="2" t="s">
        <v>136</v>
      </c>
      <c r="BK125" s="2"/>
      <c r="BL125" s="2"/>
      <c r="BM125" s="2">
        <v>67</v>
      </c>
      <c r="BN125" s="2">
        <v>0</v>
      </c>
      <c r="BO125" s="2" t="s">
        <v>3</v>
      </c>
      <c r="BP125" s="2">
        <v>0</v>
      </c>
      <c r="BQ125" s="2">
        <v>40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97</v>
      </c>
      <c r="CA125" s="2">
        <v>51</v>
      </c>
      <c r="CB125" s="2" t="s">
        <v>3</v>
      </c>
      <c r="CC125" s="2"/>
      <c r="CD125" s="2"/>
      <c r="CE125" s="2">
        <v>30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3</v>
      </c>
      <c r="CO125" s="2">
        <v>0</v>
      </c>
      <c r="CP125" s="2">
        <f t="shared" si="129"/>
        <v>5.3</v>
      </c>
      <c r="CQ125" s="2">
        <f t="shared" si="130"/>
        <v>1.06</v>
      </c>
      <c r="CR125" s="2">
        <f t="shared" si="151"/>
        <v>0</v>
      </c>
      <c r="CS125" s="2">
        <f t="shared" si="131"/>
        <v>0</v>
      </c>
      <c r="CT125" s="2">
        <f t="shared" si="132"/>
        <v>0</v>
      </c>
      <c r="CU125" s="2">
        <f t="shared" si="133"/>
        <v>0</v>
      </c>
      <c r="CV125" s="2">
        <f t="shared" si="134"/>
        <v>0</v>
      </c>
      <c r="CW125" s="2">
        <f t="shared" si="135"/>
        <v>0</v>
      </c>
      <c r="CX125" s="2">
        <f t="shared" si="136"/>
        <v>0</v>
      </c>
      <c r="CY125" s="2">
        <f t="shared" si="137"/>
        <v>0</v>
      </c>
      <c r="CZ125" s="2">
        <f t="shared" si="138"/>
        <v>0</v>
      </c>
      <c r="DA125" s="2"/>
      <c r="DB125" s="2"/>
      <c r="DC125" s="2" t="s">
        <v>3</v>
      </c>
      <c r="DD125" s="2" t="s">
        <v>3</v>
      </c>
      <c r="DE125" s="2" t="s">
        <v>3</v>
      </c>
      <c r="DF125" s="2" t="s">
        <v>3</v>
      </c>
      <c r="DG125" s="2" t="s">
        <v>3</v>
      </c>
      <c r="DH125" s="2" t="s">
        <v>3</v>
      </c>
      <c r="DI125" s="2" t="s">
        <v>3</v>
      </c>
      <c r="DJ125" s="2" t="s">
        <v>3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1010</v>
      </c>
      <c r="DV125" s="2" t="s">
        <v>32</v>
      </c>
      <c r="DW125" s="2" t="s">
        <v>32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58162629</v>
      </c>
      <c r="EF125" s="2">
        <v>40</v>
      </c>
      <c r="EG125" s="2" t="s">
        <v>25</v>
      </c>
      <c r="EH125" s="2">
        <v>0</v>
      </c>
      <c r="EI125" s="2" t="s">
        <v>3</v>
      </c>
      <c r="EJ125" s="2">
        <v>2</v>
      </c>
      <c r="EK125" s="2">
        <v>67</v>
      </c>
      <c r="EL125" s="2" t="s">
        <v>116</v>
      </c>
      <c r="EM125" s="2" t="s">
        <v>117</v>
      </c>
      <c r="EN125" s="2"/>
      <c r="EO125" s="2" t="s">
        <v>3</v>
      </c>
      <c r="EP125" s="2"/>
      <c r="EQ125" s="2">
        <v>1024</v>
      </c>
      <c r="ER125" s="2">
        <v>1.06</v>
      </c>
      <c r="ES125" s="2">
        <v>1.06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97</v>
      </c>
      <c r="FY125" s="2">
        <v>51</v>
      </c>
      <c r="FZ125" s="2"/>
      <c r="GA125" s="2" t="s">
        <v>3</v>
      </c>
      <c r="GB125" s="2"/>
      <c r="GC125" s="2"/>
      <c r="GD125" s="2">
        <v>1</v>
      </c>
      <c r="GE125" s="2"/>
      <c r="GF125" s="2">
        <v>-2026322809</v>
      </c>
      <c r="GG125" s="2">
        <v>2</v>
      </c>
      <c r="GH125" s="2">
        <v>1</v>
      </c>
      <c r="GI125" s="2">
        <v>-2</v>
      </c>
      <c r="GJ125" s="2">
        <v>0</v>
      </c>
      <c r="GK125" s="2">
        <v>0</v>
      </c>
      <c r="GL125" s="2">
        <f t="shared" si="139"/>
        <v>0</v>
      </c>
      <c r="GM125" s="2">
        <f t="shared" si="140"/>
        <v>5.3</v>
      </c>
      <c r="GN125" s="2">
        <f t="shared" si="141"/>
        <v>0</v>
      </c>
      <c r="GO125" s="2">
        <f t="shared" si="142"/>
        <v>5.3</v>
      </c>
      <c r="GP125" s="2">
        <f t="shared" si="143"/>
        <v>0</v>
      </c>
      <c r="GQ125" s="2"/>
      <c r="GR125" s="2">
        <v>0</v>
      </c>
      <c r="GS125" s="2">
        <v>3</v>
      </c>
      <c r="GT125" s="2">
        <v>0</v>
      </c>
      <c r="GU125" s="2" t="s">
        <v>3</v>
      </c>
      <c r="GV125" s="2">
        <f t="shared" si="144"/>
        <v>0</v>
      </c>
      <c r="GW125" s="2">
        <v>1</v>
      </c>
      <c r="GX125" s="2">
        <f t="shared" si="145"/>
        <v>0</v>
      </c>
      <c r="GY125" s="2"/>
      <c r="GZ125" s="2"/>
      <c r="HA125" s="2">
        <v>0</v>
      </c>
      <c r="HB125" s="2">
        <v>0</v>
      </c>
      <c r="HC125" s="2">
        <f t="shared" si="146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3">
      <c r="A126">
        <v>18</v>
      </c>
      <c r="B126">
        <v>1</v>
      </c>
      <c r="E126" t="s">
        <v>3</v>
      </c>
      <c r="F126" t="s">
        <v>134</v>
      </c>
      <c r="G126" t="s">
        <v>135</v>
      </c>
      <c r="H126" t="s">
        <v>32</v>
      </c>
      <c r="I126">
        <f>I122*J126</f>
        <v>5</v>
      </c>
      <c r="J126">
        <v>2.5</v>
      </c>
      <c r="K126">
        <v>2.5</v>
      </c>
      <c r="O126">
        <f t="shared" si="115"/>
        <v>31.43</v>
      </c>
      <c r="P126">
        <f t="shared" si="116"/>
        <v>31.43</v>
      </c>
      <c r="Q126">
        <f t="shared" si="147"/>
        <v>0</v>
      </c>
      <c r="R126">
        <f t="shared" si="117"/>
        <v>0</v>
      </c>
      <c r="S126">
        <f t="shared" si="118"/>
        <v>0</v>
      </c>
      <c r="T126">
        <f t="shared" si="119"/>
        <v>0</v>
      </c>
      <c r="U126">
        <f t="shared" si="120"/>
        <v>0</v>
      </c>
      <c r="V126">
        <f t="shared" si="121"/>
        <v>0</v>
      </c>
      <c r="W126">
        <f t="shared" si="122"/>
        <v>0</v>
      </c>
      <c r="X126">
        <f t="shared" si="123"/>
        <v>0</v>
      </c>
      <c r="Y126">
        <f t="shared" si="124"/>
        <v>0</v>
      </c>
      <c r="AA126">
        <v>-1</v>
      </c>
      <c r="AB126">
        <f t="shared" si="125"/>
        <v>1.06</v>
      </c>
      <c r="AC126">
        <f t="shared" si="126"/>
        <v>1.06</v>
      </c>
      <c r="AD126">
        <f t="shared" si="148"/>
        <v>0</v>
      </c>
      <c r="AE126">
        <f t="shared" si="149"/>
        <v>0</v>
      </c>
      <c r="AF126">
        <f t="shared" si="149"/>
        <v>0</v>
      </c>
      <c r="AG126">
        <f t="shared" si="127"/>
        <v>0</v>
      </c>
      <c r="AH126">
        <f t="shared" si="150"/>
        <v>0</v>
      </c>
      <c r="AI126">
        <f t="shared" si="150"/>
        <v>0</v>
      </c>
      <c r="AJ126">
        <f t="shared" si="128"/>
        <v>0</v>
      </c>
      <c r="AK126">
        <v>1.06</v>
      </c>
      <c r="AL126">
        <v>1.06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97</v>
      </c>
      <c r="AU126">
        <v>51</v>
      </c>
      <c r="AV126">
        <v>1</v>
      </c>
      <c r="AW126">
        <v>1</v>
      </c>
      <c r="AZ126">
        <v>1</v>
      </c>
      <c r="BA126">
        <v>1</v>
      </c>
      <c r="BB126">
        <v>1</v>
      </c>
      <c r="BC126">
        <v>5.93</v>
      </c>
      <c r="BD126" t="s">
        <v>3</v>
      </c>
      <c r="BE126" t="s">
        <v>3</v>
      </c>
      <c r="BF126" t="s">
        <v>3</v>
      </c>
      <c r="BG126" t="s">
        <v>3</v>
      </c>
      <c r="BH126">
        <v>3</v>
      </c>
      <c r="BI126">
        <v>2</v>
      </c>
      <c r="BJ126" t="s">
        <v>136</v>
      </c>
      <c r="BM126">
        <v>67</v>
      </c>
      <c r="BN126">
        <v>0</v>
      </c>
      <c r="BO126" t="s">
        <v>134</v>
      </c>
      <c r="BP126">
        <v>1</v>
      </c>
      <c r="BQ126">
        <v>40</v>
      </c>
      <c r="BR126">
        <v>0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 t="s">
        <v>3</v>
      </c>
      <c r="BZ126">
        <v>97</v>
      </c>
      <c r="CA126">
        <v>51</v>
      </c>
      <c r="CB126" t="s">
        <v>3</v>
      </c>
      <c r="CE126">
        <v>30</v>
      </c>
      <c r="CF126">
        <v>0</v>
      </c>
      <c r="CG126">
        <v>0</v>
      </c>
      <c r="CM126">
        <v>0</v>
      </c>
      <c r="CN126" t="s">
        <v>3</v>
      </c>
      <c r="CO126">
        <v>0</v>
      </c>
      <c r="CP126">
        <f t="shared" si="129"/>
        <v>31.43</v>
      </c>
      <c r="CQ126">
        <f t="shared" si="130"/>
        <v>6.29</v>
      </c>
      <c r="CR126">
        <f t="shared" si="151"/>
        <v>0</v>
      </c>
      <c r="CS126">
        <f t="shared" si="131"/>
        <v>0</v>
      </c>
      <c r="CT126">
        <f t="shared" si="132"/>
        <v>0</v>
      </c>
      <c r="CU126">
        <f t="shared" si="133"/>
        <v>0</v>
      </c>
      <c r="CV126">
        <f t="shared" si="134"/>
        <v>0</v>
      </c>
      <c r="CW126">
        <f t="shared" si="135"/>
        <v>0</v>
      </c>
      <c r="CX126">
        <f t="shared" si="136"/>
        <v>0</v>
      </c>
      <c r="CY126">
        <f t="shared" si="137"/>
        <v>0</v>
      </c>
      <c r="CZ126">
        <f t="shared" si="138"/>
        <v>0</v>
      </c>
      <c r="DC126" t="s">
        <v>3</v>
      </c>
      <c r="DD126" t="s">
        <v>3</v>
      </c>
      <c r="DE126" t="s">
        <v>3</v>
      </c>
      <c r="DF126" t="s">
        <v>3</v>
      </c>
      <c r="DG126" t="s">
        <v>3</v>
      </c>
      <c r="DH126" t="s">
        <v>3</v>
      </c>
      <c r="DI126" t="s">
        <v>3</v>
      </c>
      <c r="DJ126" t="s">
        <v>3</v>
      </c>
      <c r="DK126" t="s">
        <v>3</v>
      </c>
      <c r="DL126" t="s">
        <v>3</v>
      </c>
      <c r="DM126" t="s">
        <v>3</v>
      </c>
      <c r="DN126">
        <v>0</v>
      </c>
      <c r="DO126">
        <v>0</v>
      </c>
      <c r="DP126">
        <v>1</v>
      </c>
      <c r="DQ126">
        <v>1</v>
      </c>
      <c r="DU126">
        <v>1010</v>
      </c>
      <c r="DV126" t="s">
        <v>32</v>
      </c>
      <c r="DW126" t="s">
        <v>32</v>
      </c>
      <c r="DX126">
        <v>1</v>
      </c>
      <c r="DZ126" t="s">
        <v>3</v>
      </c>
      <c r="EA126" t="s">
        <v>3</v>
      </c>
      <c r="EB126" t="s">
        <v>3</v>
      </c>
      <c r="EC126" t="s">
        <v>3</v>
      </c>
      <c r="EE126">
        <v>58162629</v>
      </c>
      <c r="EF126">
        <v>40</v>
      </c>
      <c r="EG126" t="s">
        <v>25</v>
      </c>
      <c r="EH126">
        <v>0</v>
      </c>
      <c r="EI126" t="s">
        <v>3</v>
      </c>
      <c r="EJ126">
        <v>2</v>
      </c>
      <c r="EK126">
        <v>67</v>
      </c>
      <c r="EL126" t="s">
        <v>116</v>
      </c>
      <c r="EM126" t="s">
        <v>117</v>
      </c>
      <c r="EO126" t="s">
        <v>3</v>
      </c>
      <c r="EQ126">
        <v>1024</v>
      </c>
      <c r="ER126">
        <v>1.06</v>
      </c>
      <c r="ES126">
        <v>1.06</v>
      </c>
      <c r="ET126">
        <v>0</v>
      </c>
      <c r="EU126">
        <v>0</v>
      </c>
      <c r="EV126">
        <v>0</v>
      </c>
      <c r="EW126">
        <v>0</v>
      </c>
      <c r="EX126">
        <v>0</v>
      </c>
      <c r="FQ126">
        <v>0</v>
      </c>
      <c r="FR126">
        <v>0</v>
      </c>
      <c r="FS126">
        <v>0</v>
      </c>
      <c r="FX126">
        <v>97</v>
      </c>
      <c r="FY126">
        <v>51</v>
      </c>
      <c r="GA126" t="s">
        <v>3</v>
      </c>
      <c r="GD126">
        <v>1</v>
      </c>
      <c r="GF126">
        <v>-2026322809</v>
      </c>
      <c r="GG126">
        <v>2</v>
      </c>
      <c r="GH126">
        <v>1</v>
      </c>
      <c r="GI126">
        <v>2</v>
      </c>
      <c r="GJ126">
        <v>0</v>
      </c>
      <c r="GK126">
        <v>0</v>
      </c>
      <c r="GL126">
        <f t="shared" si="139"/>
        <v>0</v>
      </c>
      <c r="GM126">
        <f t="shared" si="140"/>
        <v>31.43</v>
      </c>
      <c r="GN126">
        <f t="shared" si="141"/>
        <v>0</v>
      </c>
      <c r="GO126">
        <f t="shared" si="142"/>
        <v>31.43</v>
      </c>
      <c r="GP126">
        <f t="shared" si="143"/>
        <v>0</v>
      </c>
      <c r="GR126">
        <v>0</v>
      </c>
      <c r="GS126">
        <v>3</v>
      </c>
      <c r="GT126">
        <v>0</v>
      </c>
      <c r="GU126" t="s">
        <v>3</v>
      </c>
      <c r="GV126">
        <f t="shared" si="144"/>
        <v>0</v>
      </c>
      <c r="GW126">
        <v>1</v>
      </c>
      <c r="GX126">
        <f t="shared" si="145"/>
        <v>0</v>
      </c>
      <c r="HA126">
        <v>0</v>
      </c>
      <c r="HB126">
        <v>0</v>
      </c>
      <c r="HC126">
        <f t="shared" si="146"/>
        <v>0</v>
      </c>
      <c r="HE126" t="s">
        <v>3</v>
      </c>
      <c r="HF126" t="s">
        <v>3</v>
      </c>
      <c r="HM126" t="s">
        <v>3</v>
      </c>
      <c r="HN126" t="s">
        <v>3</v>
      </c>
      <c r="HO126" t="s">
        <v>3</v>
      </c>
      <c r="HP126" t="s">
        <v>3</v>
      </c>
      <c r="HQ126" t="s">
        <v>3</v>
      </c>
      <c r="HS126">
        <v>0</v>
      </c>
      <c r="IK126">
        <v>0</v>
      </c>
    </row>
    <row r="127" spans="1:255" x14ac:dyDescent="0.3">
      <c r="A127" s="2">
        <v>18</v>
      </c>
      <c r="B127" s="2">
        <v>1</v>
      </c>
      <c r="C127" s="2"/>
      <c r="D127" s="2"/>
      <c r="E127" s="2" t="s">
        <v>3</v>
      </c>
      <c r="F127" s="2" t="s">
        <v>138</v>
      </c>
      <c r="G127" s="2" t="s">
        <v>139</v>
      </c>
      <c r="H127" s="2" t="s">
        <v>114</v>
      </c>
      <c r="I127" s="2">
        <f>I121*J127</f>
        <v>6</v>
      </c>
      <c r="J127" s="2">
        <v>3</v>
      </c>
      <c r="K127" s="2">
        <v>3</v>
      </c>
      <c r="L127" s="2"/>
      <c r="M127" s="2"/>
      <c r="N127" s="2"/>
      <c r="O127" s="2">
        <f t="shared" si="115"/>
        <v>881.34</v>
      </c>
      <c r="P127" s="2">
        <f t="shared" si="116"/>
        <v>881.34</v>
      </c>
      <c r="Q127" s="2">
        <f t="shared" si="147"/>
        <v>0</v>
      </c>
      <c r="R127" s="2">
        <f t="shared" si="117"/>
        <v>0</v>
      </c>
      <c r="S127" s="2">
        <f t="shared" si="118"/>
        <v>0</v>
      </c>
      <c r="T127" s="2">
        <f t="shared" si="119"/>
        <v>0</v>
      </c>
      <c r="U127" s="2">
        <f t="shared" si="120"/>
        <v>0</v>
      </c>
      <c r="V127" s="2">
        <f t="shared" si="121"/>
        <v>0</v>
      </c>
      <c r="W127" s="2">
        <f t="shared" si="122"/>
        <v>0</v>
      </c>
      <c r="X127" s="2">
        <f t="shared" si="123"/>
        <v>0</v>
      </c>
      <c r="Y127" s="2">
        <f t="shared" si="124"/>
        <v>0</v>
      </c>
      <c r="Z127" s="2"/>
      <c r="AA127" s="2">
        <v>-1</v>
      </c>
      <c r="AB127" s="2">
        <f t="shared" si="125"/>
        <v>146.88999999999999</v>
      </c>
      <c r="AC127" s="2">
        <f t="shared" si="126"/>
        <v>146.88999999999999</v>
      </c>
      <c r="AD127" s="2">
        <f t="shared" si="148"/>
        <v>0</v>
      </c>
      <c r="AE127" s="2">
        <f t="shared" si="149"/>
        <v>0</v>
      </c>
      <c r="AF127" s="2">
        <f t="shared" si="149"/>
        <v>0</v>
      </c>
      <c r="AG127" s="2">
        <f t="shared" si="127"/>
        <v>0</v>
      </c>
      <c r="AH127" s="2">
        <f t="shared" si="150"/>
        <v>0</v>
      </c>
      <c r="AI127" s="2">
        <f t="shared" si="150"/>
        <v>0</v>
      </c>
      <c r="AJ127" s="2">
        <f t="shared" si="128"/>
        <v>0</v>
      </c>
      <c r="AK127" s="2">
        <v>146.88999999999999</v>
      </c>
      <c r="AL127" s="2">
        <v>146.88999999999999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97</v>
      </c>
      <c r="AU127" s="2">
        <v>51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2</v>
      </c>
      <c r="BJ127" s="2" t="s">
        <v>140</v>
      </c>
      <c r="BK127" s="2"/>
      <c r="BL127" s="2"/>
      <c r="BM127" s="2">
        <v>67</v>
      </c>
      <c r="BN127" s="2">
        <v>0</v>
      </c>
      <c r="BO127" s="2" t="s">
        <v>3</v>
      </c>
      <c r="BP127" s="2">
        <v>0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97</v>
      </c>
      <c r="CA127" s="2">
        <v>51</v>
      </c>
      <c r="CB127" s="2" t="s">
        <v>3</v>
      </c>
      <c r="CC127" s="2"/>
      <c r="CD127" s="2"/>
      <c r="CE127" s="2">
        <v>30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3</v>
      </c>
      <c r="CO127" s="2">
        <v>0</v>
      </c>
      <c r="CP127" s="2">
        <f t="shared" si="129"/>
        <v>881.34</v>
      </c>
      <c r="CQ127" s="2">
        <f t="shared" si="130"/>
        <v>146.88999999999999</v>
      </c>
      <c r="CR127" s="2">
        <f t="shared" si="151"/>
        <v>0</v>
      </c>
      <c r="CS127" s="2">
        <f t="shared" si="131"/>
        <v>0</v>
      </c>
      <c r="CT127" s="2">
        <f t="shared" si="132"/>
        <v>0</v>
      </c>
      <c r="CU127" s="2">
        <f t="shared" si="133"/>
        <v>0</v>
      </c>
      <c r="CV127" s="2">
        <f t="shared" si="134"/>
        <v>0</v>
      </c>
      <c r="CW127" s="2">
        <f t="shared" si="135"/>
        <v>0</v>
      </c>
      <c r="CX127" s="2">
        <f t="shared" si="136"/>
        <v>0</v>
      </c>
      <c r="CY127" s="2">
        <f t="shared" si="137"/>
        <v>0</v>
      </c>
      <c r="CZ127" s="2">
        <f t="shared" si="138"/>
        <v>0</v>
      </c>
      <c r="DA127" s="2"/>
      <c r="DB127" s="2"/>
      <c r="DC127" s="2" t="s">
        <v>3</v>
      </c>
      <c r="DD127" s="2" t="s">
        <v>3</v>
      </c>
      <c r="DE127" s="2" t="s">
        <v>3</v>
      </c>
      <c r="DF127" s="2" t="s">
        <v>3</v>
      </c>
      <c r="DG127" s="2" t="s">
        <v>3</v>
      </c>
      <c r="DH127" s="2" t="s">
        <v>3</v>
      </c>
      <c r="DI127" s="2" t="s">
        <v>3</v>
      </c>
      <c r="DJ127" s="2" t="s">
        <v>3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1010</v>
      </c>
      <c r="DV127" s="2" t="s">
        <v>114</v>
      </c>
      <c r="DW127" s="2" t="s">
        <v>114</v>
      </c>
      <c r="DX127" s="2">
        <v>100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58162629</v>
      </c>
      <c r="EF127" s="2">
        <v>40</v>
      </c>
      <c r="EG127" s="2" t="s">
        <v>25</v>
      </c>
      <c r="EH127" s="2">
        <v>0</v>
      </c>
      <c r="EI127" s="2" t="s">
        <v>3</v>
      </c>
      <c r="EJ127" s="2">
        <v>2</v>
      </c>
      <c r="EK127" s="2">
        <v>67</v>
      </c>
      <c r="EL127" s="2" t="s">
        <v>116</v>
      </c>
      <c r="EM127" s="2" t="s">
        <v>117</v>
      </c>
      <c r="EN127" s="2"/>
      <c r="EO127" s="2" t="s">
        <v>3</v>
      </c>
      <c r="EP127" s="2"/>
      <c r="EQ127" s="2">
        <v>1024</v>
      </c>
      <c r="ER127" s="2">
        <v>146.88999999999999</v>
      </c>
      <c r="ES127" s="2">
        <v>146.88999999999999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97</v>
      </c>
      <c r="FY127" s="2">
        <v>51</v>
      </c>
      <c r="FZ127" s="2"/>
      <c r="GA127" s="2" t="s">
        <v>3</v>
      </c>
      <c r="GB127" s="2"/>
      <c r="GC127" s="2"/>
      <c r="GD127" s="2">
        <v>1</v>
      </c>
      <c r="GE127" s="2"/>
      <c r="GF127" s="2">
        <v>-1171050213</v>
      </c>
      <c r="GG127" s="2">
        <v>2</v>
      </c>
      <c r="GH127" s="2">
        <v>1</v>
      </c>
      <c r="GI127" s="2">
        <v>-2</v>
      </c>
      <c r="GJ127" s="2">
        <v>0</v>
      </c>
      <c r="GK127" s="2">
        <v>0</v>
      </c>
      <c r="GL127" s="2">
        <f t="shared" si="139"/>
        <v>0</v>
      </c>
      <c r="GM127" s="2">
        <f t="shared" si="140"/>
        <v>881.34</v>
      </c>
      <c r="GN127" s="2">
        <f t="shared" si="141"/>
        <v>0</v>
      </c>
      <c r="GO127" s="2">
        <f t="shared" si="142"/>
        <v>881.34</v>
      </c>
      <c r="GP127" s="2">
        <f t="shared" si="143"/>
        <v>0</v>
      </c>
      <c r="GQ127" s="2"/>
      <c r="GR127" s="2">
        <v>0</v>
      </c>
      <c r="GS127" s="2">
        <v>3</v>
      </c>
      <c r="GT127" s="2">
        <v>0</v>
      </c>
      <c r="GU127" s="2" t="s">
        <v>3</v>
      </c>
      <c r="GV127" s="2">
        <f t="shared" si="144"/>
        <v>0</v>
      </c>
      <c r="GW127" s="2">
        <v>1</v>
      </c>
      <c r="GX127" s="2">
        <f t="shared" si="145"/>
        <v>0</v>
      </c>
      <c r="GY127" s="2"/>
      <c r="GZ127" s="2"/>
      <c r="HA127" s="2">
        <v>0</v>
      </c>
      <c r="HB127" s="2">
        <v>0</v>
      </c>
      <c r="HC127" s="2">
        <f t="shared" si="146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3">
      <c r="A128">
        <v>18</v>
      </c>
      <c r="B128">
        <v>1</v>
      </c>
      <c r="E128" t="s">
        <v>3</v>
      </c>
      <c r="F128" t="s">
        <v>138</v>
      </c>
      <c r="G128" t="s">
        <v>139</v>
      </c>
      <c r="H128" t="s">
        <v>114</v>
      </c>
      <c r="I128">
        <f>I122*J128</f>
        <v>6</v>
      </c>
      <c r="J128">
        <v>3</v>
      </c>
      <c r="K128">
        <v>3</v>
      </c>
      <c r="O128">
        <f t="shared" si="115"/>
        <v>1789.12</v>
      </c>
      <c r="P128">
        <f t="shared" si="116"/>
        <v>1789.12</v>
      </c>
      <c r="Q128">
        <f t="shared" si="147"/>
        <v>0</v>
      </c>
      <c r="R128">
        <f t="shared" si="117"/>
        <v>0</v>
      </c>
      <c r="S128">
        <f t="shared" si="118"/>
        <v>0</v>
      </c>
      <c r="T128">
        <f t="shared" si="119"/>
        <v>0</v>
      </c>
      <c r="U128">
        <f t="shared" si="120"/>
        <v>0</v>
      </c>
      <c r="V128">
        <f t="shared" si="121"/>
        <v>0</v>
      </c>
      <c r="W128">
        <f t="shared" si="122"/>
        <v>0</v>
      </c>
      <c r="X128">
        <f t="shared" si="123"/>
        <v>0</v>
      </c>
      <c r="Y128">
        <f t="shared" si="124"/>
        <v>0</v>
      </c>
      <c r="AA128">
        <v>-1</v>
      </c>
      <c r="AB128">
        <f t="shared" si="125"/>
        <v>146.88999999999999</v>
      </c>
      <c r="AC128">
        <f t="shared" si="126"/>
        <v>146.88999999999999</v>
      </c>
      <c r="AD128">
        <f t="shared" si="148"/>
        <v>0</v>
      </c>
      <c r="AE128">
        <f t="shared" si="149"/>
        <v>0</v>
      </c>
      <c r="AF128">
        <f t="shared" si="149"/>
        <v>0</v>
      </c>
      <c r="AG128">
        <f t="shared" si="127"/>
        <v>0</v>
      </c>
      <c r="AH128">
        <f t="shared" si="150"/>
        <v>0</v>
      </c>
      <c r="AI128">
        <f t="shared" si="150"/>
        <v>0</v>
      </c>
      <c r="AJ128">
        <f t="shared" si="128"/>
        <v>0</v>
      </c>
      <c r="AK128">
        <v>146.88999999999999</v>
      </c>
      <c r="AL128">
        <v>146.88999999999999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97</v>
      </c>
      <c r="AU128">
        <v>51</v>
      </c>
      <c r="AV128">
        <v>1</v>
      </c>
      <c r="AW128">
        <v>1</v>
      </c>
      <c r="AZ128">
        <v>1</v>
      </c>
      <c r="BA128">
        <v>1</v>
      </c>
      <c r="BB128">
        <v>1</v>
      </c>
      <c r="BC128">
        <v>2.0299999999999998</v>
      </c>
      <c r="BD128" t="s">
        <v>3</v>
      </c>
      <c r="BE128" t="s">
        <v>3</v>
      </c>
      <c r="BF128" t="s">
        <v>3</v>
      </c>
      <c r="BG128" t="s">
        <v>3</v>
      </c>
      <c r="BH128">
        <v>3</v>
      </c>
      <c r="BI128">
        <v>2</v>
      </c>
      <c r="BJ128" t="s">
        <v>140</v>
      </c>
      <c r="BM128">
        <v>67</v>
      </c>
      <c r="BN128">
        <v>0</v>
      </c>
      <c r="BO128" t="s">
        <v>138</v>
      </c>
      <c r="BP128">
        <v>1</v>
      </c>
      <c r="BQ128">
        <v>40</v>
      </c>
      <c r="BR128">
        <v>0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 t="s">
        <v>3</v>
      </c>
      <c r="BZ128">
        <v>97</v>
      </c>
      <c r="CA128">
        <v>51</v>
      </c>
      <c r="CB128" t="s">
        <v>3</v>
      </c>
      <c r="CE128">
        <v>30</v>
      </c>
      <c r="CF128">
        <v>0</v>
      </c>
      <c r="CG128">
        <v>0</v>
      </c>
      <c r="CM128">
        <v>0</v>
      </c>
      <c r="CN128" t="s">
        <v>3</v>
      </c>
      <c r="CO128">
        <v>0</v>
      </c>
      <c r="CP128">
        <f t="shared" si="129"/>
        <v>1789.12</v>
      </c>
      <c r="CQ128">
        <f t="shared" si="130"/>
        <v>298.19</v>
      </c>
      <c r="CR128">
        <f t="shared" si="151"/>
        <v>0</v>
      </c>
      <c r="CS128">
        <f t="shared" si="131"/>
        <v>0</v>
      </c>
      <c r="CT128">
        <f t="shared" si="132"/>
        <v>0</v>
      </c>
      <c r="CU128">
        <f t="shared" si="133"/>
        <v>0</v>
      </c>
      <c r="CV128">
        <f t="shared" si="134"/>
        <v>0</v>
      </c>
      <c r="CW128">
        <f t="shared" si="135"/>
        <v>0</v>
      </c>
      <c r="CX128">
        <f t="shared" si="136"/>
        <v>0</v>
      </c>
      <c r="CY128">
        <f t="shared" si="137"/>
        <v>0</v>
      </c>
      <c r="CZ128">
        <f t="shared" si="138"/>
        <v>0</v>
      </c>
      <c r="DC128" t="s">
        <v>3</v>
      </c>
      <c r="DD128" t="s">
        <v>3</v>
      </c>
      <c r="DE128" t="s">
        <v>3</v>
      </c>
      <c r="DF128" t="s">
        <v>3</v>
      </c>
      <c r="DG128" t="s">
        <v>3</v>
      </c>
      <c r="DH128" t="s">
        <v>3</v>
      </c>
      <c r="DI128" t="s">
        <v>3</v>
      </c>
      <c r="DJ128" t="s">
        <v>3</v>
      </c>
      <c r="DK128" t="s">
        <v>3</v>
      </c>
      <c r="DL128" t="s">
        <v>3</v>
      </c>
      <c r="DM128" t="s">
        <v>3</v>
      </c>
      <c r="DN128">
        <v>0</v>
      </c>
      <c r="DO128">
        <v>0</v>
      </c>
      <c r="DP128">
        <v>1</v>
      </c>
      <c r="DQ128">
        <v>1</v>
      </c>
      <c r="DU128">
        <v>1010</v>
      </c>
      <c r="DV128" t="s">
        <v>114</v>
      </c>
      <c r="DW128" t="s">
        <v>114</v>
      </c>
      <c r="DX128">
        <v>100</v>
      </c>
      <c r="DZ128" t="s">
        <v>3</v>
      </c>
      <c r="EA128" t="s">
        <v>3</v>
      </c>
      <c r="EB128" t="s">
        <v>3</v>
      </c>
      <c r="EC128" t="s">
        <v>3</v>
      </c>
      <c r="EE128">
        <v>58162629</v>
      </c>
      <c r="EF128">
        <v>40</v>
      </c>
      <c r="EG128" t="s">
        <v>25</v>
      </c>
      <c r="EH128">
        <v>0</v>
      </c>
      <c r="EI128" t="s">
        <v>3</v>
      </c>
      <c r="EJ128">
        <v>2</v>
      </c>
      <c r="EK128">
        <v>67</v>
      </c>
      <c r="EL128" t="s">
        <v>116</v>
      </c>
      <c r="EM128" t="s">
        <v>117</v>
      </c>
      <c r="EO128" t="s">
        <v>3</v>
      </c>
      <c r="EQ128">
        <v>1024</v>
      </c>
      <c r="ER128">
        <v>146.88999999999999</v>
      </c>
      <c r="ES128">
        <v>146.88999999999999</v>
      </c>
      <c r="ET128">
        <v>0</v>
      </c>
      <c r="EU128">
        <v>0</v>
      </c>
      <c r="EV128">
        <v>0</v>
      </c>
      <c r="EW128">
        <v>0</v>
      </c>
      <c r="EX128">
        <v>0</v>
      </c>
      <c r="FQ128">
        <v>0</v>
      </c>
      <c r="FR128">
        <v>0</v>
      </c>
      <c r="FS128">
        <v>0</v>
      </c>
      <c r="FX128">
        <v>97</v>
      </c>
      <c r="FY128">
        <v>51</v>
      </c>
      <c r="GA128" t="s">
        <v>3</v>
      </c>
      <c r="GD128">
        <v>1</v>
      </c>
      <c r="GF128">
        <v>-1171050213</v>
      </c>
      <c r="GG128">
        <v>2</v>
      </c>
      <c r="GH128">
        <v>1</v>
      </c>
      <c r="GI128">
        <v>2</v>
      </c>
      <c r="GJ128">
        <v>0</v>
      </c>
      <c r="GK128">
        <v>0</v>
      </c>
      <c r="GL128">
        <f t="shared" si="139"/>
        <v>0</v>
      </c>
      <c r="GM128">
        <f t="shared" si="140"/>
        <v>1789.12</v>
      </c>
      <c r="GN128">
        <f t="shared" si="141"/>
        <v>0</v>
      </c>
      <c r="GO128">
        <f t="shared" si="142"/>
        <v>1789.12</v>
      </c>
      <c r="GP128">
        <f t="shared" si="143"/>
        <v>0</v>
      </c>
      <c r="GR128">
        <v>0</v>
      </c>
      <c r="GS128">
        <v>3</v>
      </c>
      <c r="GT128">
        <v>0</v>
      </c>
      <c r="GU128" t="s">
        <v>3</v>
      </c>
      <c r="GV128">
        <f t="shared" si="144"/>
        <v>0</v>
      </c>
      <c r="GW128">
        <v>1</v>
      </c>
      <c r="GX128">
        <f t="shared" si="145"/>
        <v>0</v>
      </c>
      <c r="HA128">
        <v>0</v>
      </c>
      <c r="HB128">
        <v>0</v>
      </c>
      <c r="HC128">
        <f t="shared" si="146"/>
        <v>0</v>
      </c>
      <c r="HE128" t="s">
        <v>3</v>
      </c>
      <c r="HF128" t="s">
        <v>3</v>
      </c>
      <c r="HM128" t="s">
        <v>3</v>
      </c>
      <c r="HN128" t="s">
        <v>3</v>
      </c>
      <c r="HO128" t="s">
        <v>3</v>
      </c>
      <c r="HP128" t="s">
        <v>3</v>
      </c>
      <c r="HQ128" t="s">
        <v>3</v>
      </c>
      <c r="HS128">
        <v>0</v>
      </c>
      <c r="IK128">
        <v>0</v>
      </c>
    </row>
    <row r="130" spans="1:206" x14ac:dyDescent="0.3">
      <c r="A130" s="3">
        <v>51</v>
      </c>
      <c r="B130" s="3">
        <f>B71</f>
        <v>1</v>
      </c>
      <c r="C130" s="3">
        <f>A71</f>
        <v>4</v>
      </c>
      <c r="D130" s="3">
        <f>ROW(A71)</f>
        <v>71</v>
      </c>
      <c r="E130" s="3"/>
      <c r="F130" s="3" t="str">
        <f>IF(F71&lt;&gt;"",F71,"")</f>
        <v/>
      </c>
      <c r="G130" s="3" t="str">
        <f>IF(G71&lt;&gt;"",G71,"")</f>
        <v>Материалы</v>
      </c>
      <c r="H130" s="3">
        <v>0</v>
      </c>
      <c r="I130" s="3"/>
      <c r="J130" s="3"/>
      <c r="K130" s="3"/>
      <c r="L130" s="3"/>
      <c r="M130" s="3"/>
      <c r="N130" s="3"/>
      <c r="O130" s="3">
        <f t="shared" ref="O130:T130" si="152">ROUND(AB130,2)</f>
        <v>11853.84</v>
      </c>
      <c r="P130" s="3">
        <f t="shared" si="152"/>
        <v>11183.01</v>
      </c>
      <c r="Q130" s="3">
        <f t="shared" si="152"/>
        <v>19.37</v>
      </c>
      <c r="R130" s="3">
        <f t="shared" si="152"/>
        <v>0.37</v>
      </c>
      <c r="S130" s="3">
        <f t="shared" si="152"/>
        <v>651.46</v>
      </c>
      <c r="T130" s="3">
        <f t="shared" si="152"/>
        <v>0</v>
      </c>
      <c r="U130" s="3">
        <f>AH130</f>
        <v>52.936993450000003</v>
      </c>
      <c r="V130" s="3">
        <f>AI130</f>
        <v>0</v>
      </c>
      <c r="W130" s="3">
        <f>ROUND(AJ130,2)</f>
        <v>0</v>
      </c>
      <c r="X130" s="3">
        <f>ROUND(AK130,2)</f>
        <v>598.39</v>
      </c>
      <c r="Y130" s="3">
        <f>ROUND(AL130,2)</f>
        <v>311.81</v>
      </c>
      <c r="Z130" s="3"/>
      <c r="AA130" s="3"/>
      <c r="AB130" s="3">
        <f>ROUND(SUMIF(AA75:AA128,"=56503348",O75:O128),2)</f>
        <v>11853.84</v>
      </c>
      <c r="AC130" s="3">
        <f>ROUND(SUMIF(AA75:AA128,"=56503348",P75:P128),2)</f>
        <v>11183.01</v>
      </c>
      <c r="AD130" s="3">
        <f>ROUND(SUMIF(AA75:AA128,"=56503348",Q75:Q128),2)</f>
        <v>19.37</v>
      </c>
      <c r="AE130" s="3">
        <f>ROUND(SUMIF(AA75:AA128,"=56503348",R75:R128),2)</f>
        <v>0.37</v>
      </c>
      <c r="AF130" s="3">
        <f>ROUND(SUMIF(AA75:AA128,"=56503348",S75:S128),2)</f>
        <v>651.46</v>
      </c>
      <c r="AG130" s="3">
        <f>ROUND(SUMIF(AA75:AA128,"=56503348",T75:T128),2)</f>
        <v>0</v>
      </c>
      <c r="AH130" s="3">
        <f>SUMIF(AA75:AA128,"=56503348",U75:U128)</f>
        <v>52.936993450000003</v>
      </c>
      <c r="AI130" s="3">
        <f>SUMIF(AA75:AA128,"=56503348",V75:V128)</f>
        <v>0</v>
      </c>
      <c r="AJ130" s="3">
        <f>ROUND(SUMIF(AA75:AA128,"=56503348",W75:W128),2)</f>
        <v>0</v>
      </c>
      <c r="AK130" s="3">
        <f>ROUND(SUMIF(AA75:AA128,"=56503348",X75:X128),2)</f>
        <v>598.39</v>
      </c>
      <c r="AL130" s="3">
        <f>ROUND(SUMIF(AA75:AA128,"=56503348",Y75:Y128),2)</f>
        <v>311.81</v>
      </c>
      <c r="AM130" s="3"/>
      <c r="AN130" s="3"/>
      <c r="AO130" s="3">
        <f t="shared" ref="AO130:BD130" si="153">ROUND(BX130,2)</f>
        <v>0</v>
      </c>
      <c r="AP130" s="3">
        <f t="shared" si="153"/>
        <v>0</v>
      </c>
      <c r="AQ130" s="3">
        <f t="shared" si="153"/>
        <v>0</v>
      </c>
      <c r="AR130" s="3">
        <f t="shared" si="153"/>
        <v>12764.04</v>
      </c>
      <c r="AS130" s="3">
        <f t="shared" si="153"/>
        <v>0</v>
      </c>
      <c r="AT130" s="3">
        <f t="shared" si="153"/>
        <v>12764.04</v>
      </c>
      <c r="AU130" s="3">
        <f t="shared" si="153"/>
        <v>0</v>
      </c>
      <c r="AV130" s="3">
        <f t="shared" si="153"/>
        <v>11183.01</v>
      </c>
      <c r="AW130" s="3">
        <f t="shared" si="153"/>
        <v>11183.01</v>
      </c>
      <c r="AX130" s="3">
        <f t="shared" si="153"/>
        <v>0</v>
      </c>
      <c r="AY130" s="3">
        <f t="shared" si="153"/>
        <v>11183.01</v>
      </c>
      <c r="AZ130" s="3">
        <f t="shared" si="153"/>
        <v>0</v>
      </c>
      <c r="BA130" s="3">
        <f t="shared" si="153"/>
        <v>0</v>
      </c>
      <c r="BB130" s="3">
        <f t="shared" si="153"/>
        <v>0</v>
      </c>
      <c r="BC130" s="3">
        <f t="shared" si="153"/>
        <v>0</v>
      </c>
      <c r="BD130" s="3">
        <f t="shared" si="153"/>
        <v>0</v>
      </c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>
        <f>ROUND(SUMIF(AA75:AA128,"=56503348",FQ75:FQ128),2)</f>
        <v>0</v>
      </c>
      <c r="BY130" s="3">
        <f>ROUND(SUMIF(AA75:AA128,"=56503348",FR75:FR128),2)</f>
        <v>0</v>
      </c>
      <c r="BZ130" s="3">
        <f>ROUND(SUMIF(AA75:AA128,"=56503348",GL75:GL128),2)</f>
        <v>0</v>
      </c>
      <c r="CA130" s="3">
        <f>ROUND(SUMIF(AA75:AA128,"=56503348",GM75:GM128),2)</f>
        <v>12764.04</v>
      </c>
      <c r="CB130" s="3">
        <f>ROUND(SUMIF(AA75:AA128,"=56503348",GN75:GN128),2)</f>
        <v>0</v>
      </c>
      <c r="CC130" s="3">
        <f>ROUND(SUMIF(AA75:AA128,"=56503348",GO75:GO128),2)</f>
        <v>12764.04</v>
      </c>
      <c r="CD130" s="3">
        <f>ROUND(SUMIF(AA75:AA128,"=56503348",GP75:GP128),2)</f>
        <v>0</v>
      </c>
      <c r="CE130" s="3">
        <f>AC130-BX130</f>
        <v>11183.01</v>
      </c>
      <c r="CF130" s="3">
        <f>AC130-BY130</f>
        <v>11183.01</v>
      </c>
      <c r="CG130" s="3">
        <f>BX130-BZ130</f>
        <v>0</v>
      </c>
      <c r="CH130" s="3">
        <f>AC130-BX130-BY130+BZ130</f>
        <v>11183.01</v>
      </c>
      <c r="CI130" s="3">
        <f>BY130-BZ130</f>
        <v>0</v>
      </c>
      <c r="CJ130" s="3">
        <f>ROUND(SUMIF(AA75:AA128,"=56503348",GX75:GX128),2)</f>
        <v>0</v>
      </c>
      <c r="CK130" s="3">
        <f>ROUND(SUMIF(AA75:AA128,"=56503348",GY75:GY128),2)</f>
        <v>0</v>
      </c>
      <c r="CL130" s="3">
        <f>ROUND(SUMIF(AA75:AA128,"=56503348",GZ75:GZ128),2)</f>
        <v>0</v>
      </c>
      <c r="CM130" s="3">
        <f>ROUND(SUMIF(AA75:AA128,"=56503348",HD75:HD128),2)</f>
        <v>0</v>
      </c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4">
        <f t="shared" ref="DG130:DL130" si="154">ROUND(DT130,2)</f>
        <v>129828.31</v>
      </c>
      <c r="DH130" s="4">
        <f t="shared" si="154"/>
        <v>93781.69</v>
      </c>
      <c r="DI130" s="4">
        <f t="shared" si="154"/>
        <v>222.82</v>
      </c>
      <c r="DJ130" s="4">
        <f t="shared" si="154"/>
        <v>20.350000000000001</v>
      </c>
      <c r="DK130" s="4">
        <f t="shared" si="154"/>
        <v>35823.800000000003</v>
      </c>
      <c r="DL130" s="4">
        <f t="shared" si="154"/>
        <v>0</v>
      </c>
      <c r="DM130" s="4">
        <f>DZ130</f>
        <v>52.936993450000003</v>
      </c>
      <c r="DN130" s="4">
        <f>EA130</f>
        <v>0</v>
      </c>
      <c r="DO130" s="4">
        <f>ROUND(EB130,2)</f>
        <v>0</v>
      </c>
      <c r="DP130" s="4">
        <f>ROUND(EC130,2)</f>
        <v>32905.03</v>
      </c>
      <c r="DQ130" s="4">
        <f>ROUND(ED130,2)</f>
        <v>17145.75</v>
      </c>
      <c r="DR130" s="4"/>
      <c r="DS130" s="4"/>
      <c r="DT130" s="4">
        <f>ROUND(SUMIF(AA75:AA128,"=56503350",O75:O128),2)</f>
        <v>129828.31</v>
      </c>
      <c r="DU130" s="4">
        <f>ROUND(SUMIF(AA75:AA128,"=56503350",P75:P128),2)</f>
        <v>93781.69</v>
      </c>
      <c r="DV130" s="4">
        <f>ROUND(SUMIF(AA75:AA128,"=56503350",Q75:Q128),2)</f>
        <v>222.82</v>
      </c>
      <c r="DW130" s="4">
        <f>ROUND(SUMIF(AA75:AA128,"=56503350",R75:R128),2)</f>
        <v>20.350000000000001</v>
      </c>
      <c r="DX130" s="4">
        <f>ROUND(SUMIF(AA75:AA128,"=56503350",S75:S128),2)</f>
        <v>35823.800000000003</v>
      </c>
      <c r="DY130" s="4">
        <f>ROUND(SUMIF(AA75:AA128,"=56503350",T75:T128),2)</f>
        <v>0</v>
      </c>
      <c r="DZ130" s="4">
        <f>SUMIF(AA75:AA128,"=56503350",U75:U128)</f>
        <v>52.936993450000003</v>
      </c>
      <c r="EA130" s="4">
        <f>SUMIF(AA75:AA128,"=56503350",V75:V128)</f>
        <v>0</v>
      </c>
      <c r="EB130" s="4">
        <f>ROUND(SUMIF(AA75:AA128,"=56503350",W75:W128),2)</f>
        <v>0</v>
      </c>
      <c r="EC130" s="4">
        <f>ROUND(SUMIF(AA75:AA128,"=56503350",X75:X128),2)</f>
        <v>32905.03</v>
      </c>
      <c r="ED130" s="4">
        <f>ROUND(SUMIF(AA75:AA128,"=56503350",Y75:Y128),2)</f>
        <v>17145.75</v>
      </c>
      <c r="EE130" s="4"/>
      <c r="EF130" s="4"/>
      <c r="EG130" s="4">
        <f t="shared" ref="EG130:EV130" si="155">ROUND(FP130,2)</f>
        <v>0</v>
      </c>
      <c r="EH130" s="4">
        <f t="shared" si="155"/>
        <v>0</v>
      </c>
      <c r="EI130" s="4">
        <f t="shared" si="155"/>
        <v>0</v>
      </c>
      <c r="EJ130" s="4">
        <f t="shared" si="155"/>
        <v>179879.09</v>
      </c>
      <c r="EK130" s="4">
        <f t="shared" si="155"/>
        <v>0</v>
      </c>
      <c r="EL130" s="4">
        <f t="shared" si="155"/>
        <v>179879.09</v>
      </c>
      <c r="EM130" s="4">
        <f t="shared" si="155"/>
        <v>0</v>
      </c>
      <c r="EN130" s="4">
        <f t="shared" si="155"/>
        <v>93781.69</v>
      </c>
      <c r="EO130" s="4">
        <f t="shared" si="155"/>
        <v>93781.69</v>
      </c>
      <c r="EP130" s="4">
        <f t="shared" si="155"/>
        <v>0</v>
      </c>
      <c r="EQ130" s="4">
        <f t="shared" si="155"/>
        <v>93781.69</v>
      </c>
      <c r="ER130" s="4">
        <f t="shared" si="155"/>
        <v>0</v>
      </c>
      <c r="ES130" s="4">
        <f t="shared" si="155"/>
        <v>0</v>
      </c>
      <c r="ET130" s="4">
        <f t="shared" si="155"/>
        <v>0</v>
      </c>
      <c r="EU130" s="4">
        <f t="shared" si="155"/>
        <v>0</v>
      </c>
      <c r="EV130" s="4">
        <f t="shared" si="155"/>
        <v>0</v>
      </c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>
        <f>ROUND(SUMIF(AA75:AA128,"=56503350",FQ75:FQ128),2)</f>
        <v>0</v>
      </c>
      <c r="FQ130" s="4">
        <f>ROUND(SUMIF(AA75:AA128,"=56503350",FR75:FR128),2)</f>
        <v>0</v>
      </c>
      <c r="FR130" s="4">
        <f>ROUND(SUMIF(AA75:AA128,"=56503350",GL75:GL128),2)</f>
        <v>0</v>
      </c>
      <c r="FS130" s="4">
        <f>ROUND(SUMIF(AA75:AA128,"=56503350",GM75:GM128),2)</f>
        <v>179879.09</v>
      </c>
      <c r="FT130" s="4">
        <f>ROUND(SUMIF(AA75:AA128,"=56503350",GN75:GN128),2)</f>
        <v>0</v>
      </c>
      <c r="FU130" s="4">
        <f>ROUND(SUMIF(AA75:AA128,"=56503350",GO75:GO128),2)</f>
        <v>179879.09</v>
      </c>
      <c r="FV130" s="4">
        <f>ROUND(SUMIF(AA75:AA128,"=56503350",GP75:GP128),2)</f>
        <v>0</v>
      </c>
      <c r="FW130" s="4">
        <f>DU130-FP130</f>
        <v>93781.69</v>
      </c>
      <c r="FX130" s="4">
        <f>DU130-FQ130</f>
        <v>93781.69</v>
      </c>
      <c r="FY130" s="4">
        <f>FP130-FR130</f>
        <v>0</v>
      </c>
      <c r="FZ130" s="4">
        <f>DU130-FP130-FQ130+FR130</f>
        <v>93781.69</v>
      </c>
      <c r="GA130" s="4">
        <f>FQ130-FR130</f>
        <v>0</v>
      </c>
      <c r="GB130" s="4">
        <f>ROUND(SUMIF(AA75:AA128,"=56503350",GX75:GX128),2)</f>
        <v>0</v>
      </c>
      <c r="GC130" s="4">
        <f>ROUND(SUMIF(AA75:AA128,"=56503350",GY75:GY128),2)</f>
        <v>0</v>
      </c>
      <c r="GD130" s="4">
        <f>ROUND(SUMIF(AA75:AA128,"=56503350",GZ75:GZ128),2)</f>
        <v>0</v>
      </c>
      <c r="GE130" s="4">
        <f>ROUND(SUMIF(AA75:AA128,"=56503350",HD75:HD128),2)</f>
        <v>0</v>
      </c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>
        <v>0</v>
      </c>
    </row>
    <row r="132" spans="1:206" x14ac:dyDescent="0.3">
      <c r="A132" s="5">
        <v>50</v>
      </c>
      <c r="B132" s="5">
        <v>0</v>
      </c>
      <c r="C132" s="5">
        <v>0</v>
      </c>
      <c r="D132" s="5">
        <v>1</v>
      </c>
      <c r="E132" s="5">
        <v>201</v>
      </c>
      <c r="F132" s="5">
        <f>ROUND(Source!O130,O132)</f>
        <v>11853.84</v>
      </c>
      <c r="G132" s="5" t="s">
        <v>57</v>
      </c>
      <c r="H132" s="5" t="s">
        <v>58</v>
      </c>
      <c r="I132" s="5"/>
      <c r="J132" s="5"/>
      <c r="K132" s="5">
        <v>201</v>
      </c>
      <c r="L132" s="5">
        <v>1</v>
      </c>
      <c r="M132" s="5">
        <v>3</v>
      </c>
      <c r="N132" s="5" t="s">
        <v>3</v>
      </c>
      <c r="O132" s="5">
        <v>2</v>
      </c>
      <c r="P132" s="5">
        <f>ROUND(Source!DG130,O132)</f>
        <v>129828.31</v>
      </c>
      <c r="Q132" s="5"/>
      <c r="R132" s="5"/>
      <c r="S132" s="5"/>
      <c r="T132" s="5"/>
      <c r="U132" s="5"/>
      <c r="V132" s="5"/>
      <c r="W132" s="5">
        <v>11853.84</v>
      </c>
      <c r="X132" s="5">
        <v>1</v>
      </c>
      <c r="Y132" s="5">
        <v>11853.84</v>
      </c>
      <c r="Z132" s="5">
        <v>129828.31</v>
      </c>
      <c r="AA132" s="5">
        <v>1</v>
      </c>
      <c r="AB132" s="5">
        <v>129828.31</v>
      </c>
    </row>
    <row r="133" spans="1:206" x14ac:dyDescent="0.3">
      <c r="A133" s="5">
        <v>50</v>
      </c>
      <c r="B133" s="5">
        <v>0</v>
      </c>
      <c r="C133" s="5">
        <v>0</v>
      </c>
      <c r="D133" s="5">
        <v>1</v>
      </c>
      <c r="E133" s="5">
        <v>202</v>
      </c>
      <c r="F133" s="5">
        <f>ROUND(Source!P130,O133)</f>
        <v>11183.01</v>
      </c>
      <c r="G133" s="5" t="s">
        <v>59</v>
      </c>
      <c r="H133" s="5" t="s">
        <v>60</v>
      </c>
      <c r="I133" s="5"/>
      <c r="J133" s="5"/>
      <c r="K133" s="5">
        <v>202</v>
      </c>
      <c r="L133" s="5">
        <v>2</v>
      </c>
      <c r="M133" s="5">
        <v>3</v>
      </c>
      <c r="N133" s="5" t="s">
        <v>3</v>
      </c>
      <c r="O133" s="5">
        <v>2</v>
      </c>
      <c r="P133" s="5">
        <f>ROUND(Source!DH130,O133)</f>
        <v>93781.69</v>
      </c>
      <c r="Q133" s="5"/>
      <c r="R133" s="5"/>
      <c r="S133" s="5"/>
      <c r="T133" s="5"/>
      <c r="U133" s="5"/>
      <c r="V133" s="5"/>
      <c r="W133" s="5">
        <v>11183.01</v>
      </c>
      <c r="X133" s="5">
        <v>1</v>
      </c>
      <c r="Y133" s="5">
        <v>11183.01</v>
      </c>
      <c r="Z133" s="5">
        <v>93781.69</v>
      </c>
      <c r="AA133" s="5">
        <v>1</v>
      </c>
      <c r="AB133" s="5">
        <v>93781.69</v>
      </c>
    </row>
    <row r="134" spans="1:206" x14ac:dyDescent="0.3">
      <c r="A134" s="5">
        <v>50</v>
      </c>
      <c r="B134" s="5">
        <v>0</v>
      </c>
      <c r="C134" s="5">
        <v>0</v>
      </c>
      <c r="D134" s="5">
        <v>1</v>
      </c>
      <c r="E134" s="5">
        <v>222</v>
      </c>
      <c r="F134" s="5">
        <f>ROUND(Source!AO130,O134)</f>
        <v>0</v>
      </c>
      <c r="G134" s="5" t="s">
        <v>61</v>
      </c>
      <c r="H134" s="5" t="s">
        <v>62</v>
      </c>
      <c r="I134" s="5"/>
      <c r="J134" s="5"/>
      <c r="K134" s="5">
        <v>222</v>
      </c>
      <c r="L134" s="5">
        <v>3</v>
      </c>
      <c r="M134" s="5">
        <v>3</v>
      </c>
      <c r="N134" s="5" t="s">
        <v>3</v>
      </c>
      <c r="O134" s="5">
        <v>2</v>
      </c>
      <c r="P134" s="5">
        <f>ROUND(Source!EG130,O134)</f>
        <v>0</v>
      </c>
      <c r="Q134" s="5"/>
      <c r="R134" s="5"/>
      <c r="S134" s="5"/>
      <c r="T134" s="5"/>
      <c r="U134" s="5"/>
      <c r="V134" s="5"/>
      <c r="W134" s="5">
        <v>0</v>
      </c>
      <c r="X134" s="5">
        <v>1</v>
      </c>
      <c r="Y134" s="5">
        <v>0</v>
      </c>
      <c r="Z134" s="5">
        <v>0</v>
      </c>
      <c r="AA134" s="5">
        <v>1</v>
      </c>
      <c r="AB134" s="5">
        <v>0</v>
      </c>
    </row>
    <row r="135" spans="1:206" x14ac:dyDescent="0.3">
      <c r="A135" s="5">
        <v>50</v>
      </c>
      <c r="B135" s="5">
        <v>0</v>
      </c>
      <c r="C135" s="5">
        <v>0</v>
      </c>
      <c r="D135" s="5">
        <v>1</v>
      </c>
      <c r="E135" s="5">
        <v>225</v>
      </c>
      <c r="F135" s="5">
        <f>ROUND(Source!AV130,O135)</f>
        <v>11183.01</v>
      </c>
      <c r="G135" s="5" t="s">
        <v>63</v>
      </c>
      <c r="H135" s="5" t="s">
        <v>64</v>
      </c>
      <c r="I135" s="5"/>
      <c r="J135" s="5"/>
      <c r="K135" s="5">
        <v>225</v>
      </c>
      <c r="L135" s="5">
        <v>4</v>
      </c>
      <c r="M135" s="5">
        <v>3</v>
      </c>
      <c r="N135" s="5" t="s">
        <v>3</v>
      </c>
      <c r="O135" s="5">
        <v>2</v>
      </c>
      <c r="P135" s="5">
        <f>ROUND(Source!EN130,O135)</f>
        <v>93781.69</v>
      </c>
      <c r="Q135" s="5"/>
      <c r="R135" s="5"/>
      <c r="S135" s="5"/>
      <c r="T135" s="5"/>
      <c r="U135" s="5"/>
      <c r="V135" s="5"/>
      <c r="W135" s="5">
        <v>11183.01</v>
      </c>
      <c r="X135" s="5">
        <v>1</v>
      </c>
      <c r="Y135" s="5">
        <v>11183.01</v>
      </c>
      <c r="Z135" s="5">
        <v>93781.69</v>
      </c>
      <c r="AA135" s="5">
        <v>1</v>
      </c>
      <c r="AB135" s="5">
        <v>93781.69</v>
      </c>
    </row>
    <row r="136" spans="1:206" x14ac:dyDescent="0.3">
      <c r="A136" s="5">
        <v>50</v>
      </c>
      <c r="B136" s="5">
        <v>0</v>
      </c>
      <c r="C136" s="5">
        <v>0</v>
      </c>
      <c r="D136" s="5">
        <v>1</v>
      </c>
      <c r="E136" s="5">
        <v>226</v>
      </c>
      <c r="F136" s="5">
        <f>ROUND(Source!AW130,O136)</f>
        <v>11183.01</v>
      </c>
      <c r="G136" s="5" t="s">
        <v>65</v>
      </c>
      <c r="H136" s="5" t="s">
        <v>66</v>
      </c>
      <c r="I136" s="5"/>
      <c r="J136" s="5"/>
      <c r="K136" s="5">
        <v>226</v>
      </c>
      <c r="L136" s="5">
        <v>5</v>
      </c>
      <c r="M136" s="5">
        <v>3</v>
      </c>
      <c r="N136" s="5" t="s">
        <v>3</v>
      </c>
      <c r="O136" s="5">
        <v>2</v>
      </c>
      <c r="P136" s="5">
        <f>ROUND(Source!EO130,O136)</f>
        <v>93781.69</v>
      </c>
      <c r="Q136" s="5"/>
      <c r="R136" s="5"/>
      <c r="S136" s="5"/>
      <c r="T136" s="5"/>
      <c r="U136" s="5"/>
      <c r="V136" s="5"/>
      <c r="W136" s="5">
        <v>11183.01</v>
      </c>
      <c r="X136" s="5">
        <v>1</v>
      </c>
      <c r="Y136" s="5">
        <v>11183.01</v>
      </c>
      <c r="Z136" s="5">
        <v>93781.69</v>
      </c>
      <c r="AA136" s="5">
        <v>1</v>
      </c>
      <c r="AB136" s="5">
        <v>93781.69</v>
      </c>
    </row>
    <row r="137" spans="1:206" x14ac:dyDescent="0.3">
      <c r="A137" s="5">
        <v>50</v>
      </c>
      <c r="B137" s="5">
        <v>0</v>
      </c>
      <c r="C137" s="5">
        <v>0</v>
      </c>
      <c r="D137" s="5">
        <v>1</v>
      </c>
      <c r="E137" s="5">
        <v>227</v>
      </c>
      <c r="F137" s="5">
        <f>ROUND(Source!AX130,O137)</f>
        <v>0</v>
      </c>
      <c r="G137" s="5" t="s">
        <v>67</v>
      </c>
      <c r="H137" s="5" t="s">
        <v>68</v>
      </c>
      <c r="I137" s="5"/>
      <c r="J137" s="5"/>
      <c r="K137" s="5">
        <v>227</v>
      </c>
      <c r="L137" s="5">
        <v>6</v>
      </c>
      <c r="M137" s="5">
        <v>3</v>
      </c>
      <c r="N137" s="5" t="s">
        <v>3</v>
      </c>
      <c r="O137" s="5">
        <v>2</v>
      </c>
      <c r="P137" s="5">
        <f>ROUND(Source!EP130,O137)</f>
        <v>0</v>
      </c>
      <c r="Q137" s="5"/>
      <c r="R137" s="5"/>
      <c r="S137" s="5"/>
      <c r="T137" s="5"/>
      <c r="U137" s="5"/>
      <c r="V137" s="5"/>
      <c r="W137" s="5">
        <v>0</v>
      </c>
      <c r="X137" s="5">
        <v>1</v>
      </c>
      <c r="Y137" s="5">
        <v>0</v>
      </c>
      <c r="Z137" s="5">
        <v>0</v>
      </c>
      <c r="AA137" s="5">
        <v>1</v>
      </c>
      <c r="AB137" s="5">
        <v>0</v>
      </c>
    </row>
    <row r="138" spans="1:206" x14ac:dyDescent="0.3">
      <c r="A138" s="5">
        <v>50</v>
      </c>
      <c r="B138" s="5">
        <v>0</v>
      </c>
      <c r="C138" s="5">
        <v>0</v>
      </c>
      <c r="D138" s="5">
        <v>1</v>
      </c>
      <c r="E138" s="5">
        <v>228</v>
      </c>
      <c r="F138" s="5">
        <f>ROUND(Source!AY130,O138)</f>
        <v>11183.01</v>
      </c>
      <c r="G138" s="5" t="s">
        <v>69</v>
      </c>
      <c r="H138" s="5" t="s">
        <v>70</v>
      </c>
      <c r="I138" s="5"/>
      <c r="J138" s="5"/>
      <c r="K138" s="5">
        <v>228</v>
      </c>
      <c r="L138" s="5">
        <v>7</v>
      </c>
      <c r="M138" s="5">
        <v>3</v>
      </c>
      <c r="N138" s="5" t="s">
        <v>3</v>
      </c>
      <c r="O138" s="5">
        <v>2</v>
      </c>
      <c r="P138" s="5">
        <f>ROUND(Source!EQ130,O138)</f>
        <v>93781.69</v>
      </c>
      <c r="Q138" s="5"/>
      <c r="R138" s="5"/>
      <c r="S138" s="5"/>
      <c r="T138" s="5"/>
      <c r="U138" s="5"/>
      <c r="V138" s="5"/>
      <c r="W138" s="5">
        <v>11183.01</v>
      </c>
      <c r="X138" s="5">
        <v>1</v>
      </c>
      <c r="Y138" s="5">
        <v>11183.01</v>
      </c>
      <c r="Z138" s="5">
        <v>93781.69</v>
      </c>
      <c r="AA138" s="5">
        <v>1</v>
      </c>
      <c r="AB138" s="5">
        <v>93781.69</v>
      </c>
    </row>
    <row r="139" spans="1:206" x14ac:dyDescent="0.3">
      <c r="A139" s="5">
        <v>50</v>
      </c>
      <c r="B139" s="5">
        <v>0</v>
      </c>
      <c r="C139" s="5">
        <v>0</v>
      </c>
      <c r="D139" s="5">
        <v>1</v>
      </c>
      <c r="E139" s="5">
        <v>216</v>
      </c>
      <c r="F139" s="5">
        <f>ROUND(Source!AP130,O139)</f>
        <v>0</v>
      </c>
      <c r="G139" s="5" t="s">
        <v>71</v>
      </c>
      <c r="H139" s="5" t="s">
        <v>72</v>
      </c>
      <c r="I139" s="5"/>
      <c r="J139" s="5"/>
      <c r="K139" s="5">
        <v>216</v>
      </c>
      <c r="L139" s="5">
        <v>8</v>
      </c>
      <c r="M139" s="5">
        <v>3</v>
      </c>
      <c r="N139" s="5" t="s">
        <v>3</v>
      </c>
      <c r="O139" s="5">
        <v>2</v>
      </c>
      <c r="P139" s="5">
        <f>ROUND(Source!EH130,O139)</f>
        <v>0</v>
      </c>
      <c r="Q139" s="5"/>
      <c r="R139" s="5"/>
      <c r="S139" s="5"/>
      <c r="T139" s="5"/>
      <c r="U139" s="5"/>
      <c r="V139" s="5"/>
      <c r="W139" s="5">
        <v>0</v>
      </c>
      <c r="X139" s="5">
        <v>1</v>
      </c>
      <c r="Y139" s="5">
        <v>0</v>
      </c>
      <c r="Z139" s="5">
        <v>0</v>
      </c>
      <c r="AA139" s="5">
        <v>1</v>
      </c>
      <c r="AB139" s="5">
        <v>0</v>
      </c>
    </row>
    <row r="140" spans="1:206" x14ac:dyDescent="0.3">
      <c r="A140" s="5">
        <v>50</v>
      </c>
      <c r="B140" s="5">
        <v>0</v>
      </c>
      <c r="C140" s="5">
        <v>0</v>
      </c>
      <c r="D140" s="5">
        <v>1</v>
      </c>
      <c r="E140" s="5">
        <v>223</v>
      </c>
      <c r="F140" s="5">
        <f>ROUND(Source!AQ130,O140)</f>
        <v>0</v>
      </c>
      <c r="G140" s="5" t="s">
        <v>73</v>
      </c>
      <c r="H140" s="5" t="s">
        <v>74</v>
      </c>
      <c r="I140" s="5"/>
      <c r="J140" s="5"/>
      <c r="K140" s="5">
        <v>223</v>
      </c>
      <c r="L140" s="5">
        <v>9</v>
      </c>
      <c r="M140" s="5">
        <v>3</v>
      </c>
      <c r="N140" s="5" t="s">
        <v>3</v>
      </c>
      <c r="O140" s="5">
        <v>2</v>
      </c>
      <c r="P140" s="5">
        <f>ROUND(Source!EI130,O140)</f>
        <v>0</v>
      </c>
      <c r="Q140" s="5"/>
      <c r="R140" s="5"/>
      <c r="S140" s="5"/>
      <c r="T140" s="5"/>
      <c r="U140" s="5"/>
      <c r="V140" s="5"/>
      <c r="W140" s="5">
        <v>0</v>
      </c>
      <c r="X140" s="5">
        <v>1</v>
      </c>
      <c r="Y140" s="5">
        <v>0</v>
      </c>
      <c r="Z140" s="5">
        <v>0</v>
      </c>
      <c r="AA140" s="5">
        <v>1</v>
      </c>
      <c r="AB140" s="5">
        <v>0</v>
      </c>
    </row>
    <row r="141" spans="1:206" x14ac:dyDescent="0.3">
      <c r="A141" s="5">
        <v>50</v>
      </c>
      <c r="B141" s="5">
        <v>0</v>
      </c>
      <c r="C141" s="5">
        <v>0</v>
      </c>
      <c r="D141" s="5">
        <v>1</v>
      </c>
      <c r="E141" s="5">
        <v>229</v>
      </c>
      <c r="F141" s="5">
        <f>ROUND(Source!AZ130,O141)</f>
        <v>0</v>
      </c>
      <c r="G141" s="5" t="s">
        <v>75</v>
      </c>
      <c r="H141" s="5" t="s">
        <v>76</v>
      </c>
      <c r="I141" s="5"/>
      <c r="J141" s="5"/>
      <c r="K141" s="5">
        <v>229</v>
      </c>
      <c r="L141" s="5">
        <v>10</v>
      </c>
      <c r="M141" s="5">
        <v>3</v>
      </c>
      <c r="N141" s="5" t="s">
        <v>3</v>
      </c>
      <c r="O141" s="5">
        <v>2</v>
      </c>
      <c r="P141" s="5">
        <f>ROUND(Source!ER130,O141)</f>
        <v>0</v>
      </c>
      <c r="Q141" s="5"/>
      <c r="R141" s="5"/>
      <c r="S141" s="5"/>
      <c r="T141" s="5"/>
      <c r="U141" s="5"/>
      <c r="V141" s="5"/>
      <c r="W141" s="5">
        <v>0</v>
      </c>
      <c r="X141" s="5">
        <v>1</v>
      </c>
      <c r="Y141" s="5">
        <v>0</v>
      </c>
      <c r="Z141" s="5">
        <v>0</v>
      </c>
      <c r="AA141" s="5">
        <v>1</v>
      </c>
      <c r="AB141" s="5">
        <v>0</v>
      </c>
    </row>
    <row r="142" spans="1:206" x14ac:dyDescent="0.3">
      <c r="A142" s="5">
        <v>50</v>
      </c>
      <c r="B142" s="5">
        <v>0</v>
      </c>
      <c r="C142" s="5">
        <v>0</v>
      </c>
      <c r="D142" s="5">
        <v>1</v>
      </c>
      <c r="E142" s="5">
        <v>203</v>
      </c>
      <c r="F142" s="5">
        <f>ROUND(Source!Q130,O142)</f>
        <v>19.37</v>
      </c>
      <c r="G142" s="5" t="s">
        <v>77</v>
      </c>
      <c r="H142" s="5" t="s">
        <v>78</v>
      </c>
      <c r="I142" s="5"/>
      <c r="J142" s="5"/>
      <c r="K142" s="5">
        <v>203</v>
      </c>
      <c r="L142" s="5">
        <v>11</v>
      </c>
      <c r="M142" s="5">
        <v>3</v>
      </c>
      <c r="N142" s="5" t="s">
        <v>3</v>
      </c>
      <c r="O142" s="5">
        <v>2</v>
      </c>
      <c r="P142" s="5">
        <f>ROUND(Source!DI130,O142)</f>
        <v>222.82</v>
      </c>
      <c r="Q142" s="5"/>
      <c r="R142" s="5"/>
      <c r="S142" s="5"/>
      <c r="T142" s="5"/>
      <c r="U142" s="5"/>
      <c r="V142" s="5"/>
      <c r="W142" s="5">
        <v>19.37</v>
      </c>
      <c r="X142" s="5">
        <v>1</v>
      </c>
      <c r="Y142" s="5">
        <v>19.37</v>
      </c>
      <c r="Z142" s="5">
        <v>222.82</v>
      </c>
      <c r="AA142" s="5">
        <v>1</v>
      </c>
      <c r="AB142" s="5">
        <v>222.82</v>
      </c>
    </row>
    <row r="143" spans="1:206" x14ac:dyDescent="0.3">
      <c r="A143" s="5">
        <v>50</v>
      </c>
      <c r="B143" s="5">
        <v>0</v>
      </c>
      <c r="C143" s="5">
        <v>0</v>
      </c>
      <c r="D143" s="5">
        <v>1</v>
      </c>
      <c r="E143" s="5">
        <v>231</v>
      </c>
      <c r="F143" s="5">
        <f>ROUND(Source!BB130,O143)</f>
        <v>0</v>
      </c>
      <c r="G143" s="5" t="s">
        <v>79</v>
      </c>
      <c r="H143" s="5" t="s">
        <v>80</v>
      </c>
      <c r="I143" s="5"/>
      <c r="J143" s="5"/>
      <c r="K143" s="5">
        <v>231</v>
      </c>
      <c r="L143" s="5">
        <v>12</v>
      </c>
      <c r="M143" s="5">
        <v>3</v>
      </c>
      <c r="N143" s="5" t="s">
        <v>3</v>
      </c>
      <c r="O143" s="5">
        <v>2</v>
      </c>
      <c r="P143" s="5">
        <f>ROUND(Source!ET130,O143)</f>
        <v>0</v>
      </c>
      <c r="Q143" s="5"/>
      <c r="R143" s="5"/>
      <c r="S143" s="5"/>
      <c r="T143" s="5"/>
      <c r="U143" s="5"/>
      <c r="V143" s="5"/>
      <c r="W143" s="5">
        <v>0</v>
      </c>
      <c r="X143" s="5">
        <v>1</v>
      </c>
      <c r="Y143" s="5">
        <v>0</v>
      </c>
      <c r="Z143" s="5">
        <v>0</v>
      </c>
      <c r="AA143" s="5">
        <v>1</v>
      </c>
      <c r="AB143" s="5">
        <v>0</v>
      </c>
    </row>
    <row r="144" spans="1:206" x14ac:dyDescent="0.3">
      <c r="A144" s="5">
        <v>50</v>
      </c>
      <c r="B144" s="5">
        <v>0</v>
      </c>
      <c r="C144" s="5">
        <v>0</v>
      </c>
      <c r="D144" s="5">
        <v>1</v>
      </c>
      <c r="E144" s="5">
        <v>204</v>
      </c>
      <c r="F144" s="5">
        <f>ROUND(Source!R130,O144)</f>
        <v>0.37</v>
      </c>
      <c r="G144" s="5" t="s">
        <v>81</v>
      </c>
      <c r="H144" s="5" t="s">
        <v>82</v>
      </c>
      <c r="I144" s="5"/>
      <c r="J144" s="5"/>
      <c r="K144" s="5">
        <v>204</v>
      </c>
      <c r="L144" s="5">
        <v>13</v>
      </c>
      <c r="M144" s="5">
        <v>3</v>
      </c>
      <c r="N144" s="5" t="s">
        <v>3</v>
      </c>
      <c r="O144" s="5">
        <v>2</v>
      </c>
      <c r="P144" s="5">
        <f>ROUND(Source!DJ130,O144)</f>
        <v>20.350000000000001</v>
      </c>
      <c r="Q144" s="5"/>
      <c r="R144" s="5"/>
      <c r="S144" s="5"/>
      <c r="T144" s="5"/>
      <c r="U144" s="5"/>
      <c r="V144" s="5"/>
      <c r="W144" s="5">
        <v>0.37</v>
      </c>
      <c r="X144" s="5">
        <v>1</v>
      </c>
      <c r="Y144" s="5">
        <v>0.37</v>
      </c>
      <c r="Z144" s="5">
        <v>20.350000000000001</v>
      </c>
      <c r="AA144" s="5">
        <v>1</v>
      </c>
      <c r="AB144" s="5">
        <v>20.350000000000001</v>
      </c>
    </row>
    <row r="145" spans="1:206" x14ac:dyDescent="0.3">
      <c r="A145" s="5">
        <v>50</v>
      </c>
      <c r="B145" s="5">
        <v>0</v>
      </c>
      <c r="C145" s="5">
        <v>0</v>
      </c>
      <c r="D145" s="5">
        <v>1</v>
      </c>
      <c r="E145" s="5">
        <v>205</v>
      </c>
      <c r="F145" s="5">
        <f>ROUND(Source!S130,O145)</f>
        <v>651.46</v>
      </c>
      <c r="G145" s="5" t="s">
        <v>83</v>
      </c>
      <c r="H145" s="5" t="s">
        <v>84</v>
      </c>
      <c r="I145" s="5"/>
      <c r="J145" s="5"/>
      <c r="K145" s="5">
        <v>205</v>
      </c>
      <c r="L145" s="5">
        <v>14</v>
      </c>
      <c r="M145" s="5">
        <v>3</v>
      </c>
      <c r="N145" s="5" t="s">
        <v>3</v>
      </c>
      <c r="O145" s="5">
        <v>2</v>
      </c>
      <c r="P145" s="5">
        <f>ROUND(Source!DK130,O145)</f>
        <v>35823.800000000003</v>
      </c>
      <c r="Q145" s="5"/>
      <c r="R145" s="5"/>
      <c r="S145" s="5"/>
      <c r="T145" s="5"/>
      <c r="U145" s="5"/>
      <c r="V145" s="5"/>
      <c r="W145" s="5">
        <v>651.46</v>
      </c>
      <c r="X145" s="5">
        <v>1</v>
      </c>
      <c r="Y145" s="5">
        <v>651.46</v>
      </c>
      <c r="Z145" s="5">
        <v>35823.800000000003</v>
      </c>
      <c r="AA145" s="5">
        <v>1</v>
      </c>
      <c r="AB145" s="5">
        <v>35823.800000000003</v>
      </c>
    </row>
    <row r="146" spans="1:206" x14ac:dyDescent="0.3">
      <c r="A146" s="5">
        <v>50</v>
      </c>
      <c r="B146" s="5">
        <v>0</v>
      </c>
      <c r="C146" s="5">
        <v>0</v>
      </c>
      <c r="D146" s="5">
        <v>1</v>
      </c>
      <c r="E146" s="5">
        <v>232</v>
      </c>
      <c r="F146" s="5">
        <f>ROUND(Source!BC130,O146)</f>
        <v>0</v>
      </c>
      <c r="G146" s="5" t="s">
        <v>85</v>
      </c>
      <c r="H146" s="5" t="s">
        <v>86</v>
      </c>
      <c r="I146" s="5"/>
      <c r="J146" s="5"/>
      <c r="K146" s="5">
        <v>232</v>
      </c>
      <c r="L146" s="5">
        <v>15</v>
      </c>
      <c r="M146" s="5">
        <v>3</v>
      </c>
      <c r="N146" s="5" t="s">
        <v>3</v>
      </c>
      <c r="O146" s="5">
        <v>2</v>
      </c>
      <c r="P146" s="5">
        <f>ROUND(Source!EU130,O146)</f>
        <v>0</v>
      </c>
      <c r="Q146" s="5"/>
      <c r="R146" s="5"/>
      <c r="S146" s="5"/>
      <c r="T146" s="5"/>
      <c r="U146" s="5"/>
      <c r="V146" s="5"/>
      <c r="W146" s="5">
        <v>0</v>
      </c>
      <c r="X146" s="5">
        <v>1</v>
      </c>
      <c r="Y146" s="5">
        <v>0</v>
      </c>
      <c r="Z146" s="5">
        <v>0</v>
      </c>
      <c r="AA146" s="5">
        <v>1</v>
      </c>
      <c r="AB146" s="5">
        <v>0</v>
      </c>
    </row>
    <row r="147" spans="1:206" x14ac:dyDescent="0.3">
      <c r="A147" s="5">
        <v>50</v>
      </c>
      <c r="B147" s="5">
        <v>0</v>
      </c>
      <c r="C147" s="5">
        <v>0</v>
      </c>
      <c r="D147" s="5">
        <v>1</v>
      </c>
      <c r="E147" s="5">
        <v>214</v>
      </c>
      <c r="F147" s="5">
        <f>ROUND(Source!AS130,O147)</f>
        <v>0</v>
      </c>
      <c r="G147" s="5" t="s">
        <v>87</v>
      </c>
      <c r="H147" s="5" t="s">
        <v>88</v>
      </c>
      <c r="I147" s="5"/>
      <c r="J147" s="5"/>
      <c r="K147" s="5">
        <v>214</v>
      </c>
      <c r="L147" s="5">
        <v>16</v>
      </c>
      <c r="M147" s="5">
        <v>3</v>
      </c>
      <c r="N147" s="5" t="s">
        <v>3</v>
      </c>
      <c r="O147" s="5">
        <v>2</v>
      </c>
      <c r="P147" s="5">
        <f>ROUND(Source!EK130,O147)</f>
        <v>0</v>
      </c>
      <c r="Q147" s="5"/>
      <c r="R147" s="5"/>
      <c r="S147" s="5"/>
      <c r="T147" s="5"/>
      <c r="U147" s="5"/>
      <c r="V147" s="5"/>
      <c r="W147" s="5">
        <v>0</v>
      </c>
      <c r="X147" s="5">
        <v>1</v>
      </c>
      <c r="Y147" s="5">
        <v>0</v>
      </c>
      <c r="Z147" s="5">
        <v>0</v>
      </c>
      <c r="AA147" s="5">
        <v>1</v>
      </c>
      <c r="AB147" s="5">
        <v>0</v>
      </c>
    </row>
    <row r="148" spans="1:206" x14ac:dyDescent="0.3">
      <c r="A148" s="5">
        <v>50</v>
      </c>
      <c r="B148" s="5">
        <v>0</v>
      </c>
      <c r="C148" s="5">
        <v>0</v>
      </c>
      <c r="D148" s="5">
        <v>1</v>
      </c>
      <c r="E148" s="5">
        <v>215</v>
      </c>
      <c r="F148" s="5">
        <f>ROUND(Source!AT130,O148)</f>
        <v>12764.04</v>
      </c>
      <c r="G148" s="5" t="s">
        <v>89</v>
      </c>
      <c r="H148" s="5" t="s">
        <v>90</v>
      </c>
      <c r="I148" s="5"/>
      <c r="J148" s="5"/>
      <c r="K148" s="5">
        <v>215</v>
      </c>
      <c r="L148" s="5">
        <v>17</v>
      </c>
      <c r="M148" s="5">
        <v>3</v>
      </c>
      <c r="N148" s="5" t="s">
        <v>3</v>
      </c>
      <c r="O148" s="5">
        <v>2</v>
      </c>
      <c r="P148" s="5">
        <f>ROUND(Source!EL130,O148)</f>
        <v>179879.09</v>
      </c>
      <c r="Q148" s="5"/>
      <c r="R148" s="5"/>
      <c r="S148" s="5"/>
      <c r="T148" s="5"/>
      <c r="U148" s="5"/>
      <c r="V148" s="5"/>
      <c r="W148" s="5">
        <v>12764.04</v>
      </c>
      <c r="X148" s="5">
        <v>1</v>
      </c>
      <c r="Y148" s="5">
        <v>12764.04</v>
      </c>
      <c r="Z148" s="5">
        <v>179879.09</v>
      </c>
      <c r="AA148" s="5">
        <v>1</v>
      </c>
      <c r="AB148" s="5">
        <v>179879.09</v>
      </c>
    </row>
    <row r="149" spans="1:206" x14ac:dyDescent="0.3">
      <c r="A149" s="5">
        <v>50</v>
      </c>
      <c r="B149" s="5">
        <v>0</v>
      </c>
      <c r="C149" s="5">
        <v>0</v>
      </c>
      <c r="D149" s="5">
        <v>1</v>
      </c>
      <c r="E149" s="5">
        <v>217</v>
      </c>
      <c r="F149" s="5">
        <f>ROUND(Source!AU130,O149)</f>
        <v>0</v>
      </c>
      <c r="G149" s="5" t="s">
        <v>91</v>
      </c>
      <c r="H149" s="5" t="s">
        <v>92</v>
      </c>
      <c r="I149" s="5"/>
      <c r="J149" s="5"/>
      <c r="K149" s="5">
        <v>217</v>
      </c>
      <c r="L149" s="5">
        <v>18</v>
      </c>
      <c r="M149" s="5">
        <v>3</v>
      </c>
      <c r="N149" s="5" t="s">
        <v>3</v>
      </c>
      <c r="O149" s="5">
        <v>2</v>
      </c>
      <c r="P149" s="5">
        <f>ROUND(Source!EM130,O149)</f>
        <v>0</v>
      </c>
      <c r="Q149" s="5"/>
      <c r="R149" s="5"/>
      <c r="S149" s="5"/>
      <c r="T149" s="5"/>
      <c r="U149" s="5"/>
      <c r="V149" s="5"/>
      <c r="W149" s="5">
        <v>0</v>
      </c>
      <c r="X149" s="5">
        <v>1</v>
      </c>
      <c r="Y149" s="5">
        <v>0</v>
      </c>
      <c r="Z149" s="5">
        <v>0</v>
      </c>
      <c r="AA149" s="5">
        <v>1</v>
      </c>
      <c r="AB149" s="5">
        <v>0</v>
      </c>
    </row>
    <row r="150" spans="1:206" x14ac:dyDescent="0.3">
      <c r="A150" s="5">
        <v>50</v>
      </c>
      <c r="B150" s="5">
        <v>0</v>
      </c>
      <c r="C150" s="5">
        <v>0</v>
      </c>
      <c r="D150" s="5">
        <v>1</v>
      </c>
      <c r="E150" s="5">
        <v>230</v>
      </c>
      <c r="F150" s="5">
        <f>ROUND(Source!BA130,O150)</f>
        <v>0</v>
      </c>
      <c r="G150" s="5" t="s">
        <v>93</v>
      </c>
      <c r="H150" s="5" t="s">
        <v>94</v>
      </c>
      <c r="I150" s="5"/>
      <c r="J150" s="5"/>
      <c r="K150" s="5">
        <v>230</v>
      </c>
      <c r="L150" s="5">
        <v>19</v>
      </c>
      <c r="M150" s="5">
        <v>3</v>
      </c>
      <c r="N150" s="5" t="s">
        <v>3</v>
      </c>
      <c r="O150" s="5">
        <v>2</v>
      </c>
      <c r="P150" s="5">
        <f>ROUND(Source!ES130,O150)</f>
        <v>0</v>
      </c>
      <c r="Q150" s="5"/>
      <c r="R150" s="5"/>
      <c r="S150" s="5"/>
      <c r="T150" s="5"/>
      <c r="U150" s="5"/>
      <c r="V150" s="5"/>
      <c r="W150" s="5">
        <v>0</v>
      </c>
      <c r="X150" s="5">
        <v>1</v>
      </c>
      <c r="Y150" s="5">
        <v>0</v>
      </c>
      <c r="Z150" s="5">
        <v>0</v>
      </c>
      <c r="AA150" s="5">
        <v>1</v>
      </c>
      <c r="AB150" s="5">
        <v>0</v>
      </c>
    </row>
    <row r="151" spans="1:206" x14ac:dyDescent="0.3">
      <c r="A151" s="5">
        <v>50</v>
      </c>
      <c r="B151" s="5">
        <v>0</v>
      </c>
      <c r="C151" s="5">
        <v>0</v>
      </c>
      <c r="D151" s="5">
        <v>1</v>
      </c>
      <c r="E151" s="5">
        <v>206</v>
      </c>
      <c r="F151" s="5">
        <f>ROUND(Source!T130,O151)</f>
        <v>0</v>
      </c>
      <c r="G151" s="5" t="s">
        <v>95</v>
      </c>
      <c r="H151" s="5" t="s">
        <v>96</v>
      </c>
      <c r="I151" s="5"/>
      <c r="J151" s="5"/>
      <c r="K151" s="5">
        <v>206</v>
      </c>
      <c r="L151" s="5">
        <v>20</v>
      </c>
      <c r="M151" s="5">
        <v>3</v>
      </c>
      <c r="N151" s="5" t="s">
        <v>3</v>
      </c>
      <c r="O151" s="5">
        <v>2</v>
      </c>
      <c r="P151" s="5">
        <f>ROUND(Source!DL130,O151)</f>
        <v>0</v>
      </c>
      <c r="Q151" s="5"/>
      <c r="R151" s="5"/>
      <c r="S151" s="5"/>
      <c r="T151" s="5"/>
      <c r="U151" s="5"/>
      <c r="V151" s="5"/>
      <c r="W151" s="5">
        <v>0</v>
      </c>
      <c r="X151" s="5">
        <v>1</v>
      </c>
      <c r="Y151" s="5">
        <v>0</v>
      </c>
      <c r="Z151" s="5">
        <v>0</v>
      </c>
      <c r="AA151" s="5">
        <v>1</v>
      </c>
      <c r="AB151" s="5">
        <v>0</v>
      </c>
    </row>
    <row r="152" spans="1:206" x14ac:dyDescent="0.3">
      <c r="A152" s="5">
        <v>50</v>
      </c>
      <c r="B152" s="5">
        <v>0</v>
      </c>
      <c r="C152" s="5">
        <v>0</v>
      </c>
      <c r="D152" s="5">
        <v>1</v>
      </c>
      <c r="E152" s="5">
        <v>207</v>
      </c>
      <c r="F152" s="5">
        <f>Source!U130</f>
        <v>52.936993450000003</v>
      </c>
      <c r="G152" s="5" t="s">
        <v>97</v>
      </c>
      <c r="H152" s="5" t="s">
        <v>98</v>
      </c>
      <c r="I152" s="5"/>
      <c r="J152" s="5"/>
      <c r="K152" s="5">
        <v>207</v>
      </c>
      <c r="L152" s="5">
        <v>21</v>
      </c>
      <c r="M152" s="5">
        <v>3</v>
      </c>
      <c r="N152" s="5" t="s">
        <v>3</v>
      </c>
      <c r="O152" s="5">
        <v>-1</v>
      </c>
      <c r="P152" s="5">
        <f>Source!DM130</f>
        <v>52.936993450000003</v>
      </c>
      <c r="Q152" s="5"/>
      <c r="R152" s="5"/>
      <c r="S152" s="5"/>
      <c r="T152" s="5"/>
      <c r="U152" s="5"/>
      <c r="V152" s="5"/>
      <c r="W152" s="5">
        <v>52.936993450000003</v>
      </c>
      <c r="X152" s="5">
        <v>1</v>
      </c>
      <c r="Y152" s="5">
        <v>52.936993450000003</v>
      </c>
      <c r="Z152" s="5">
        <v>52.936993450000003</v>
      </c>
      <c r="AA152" s="5">
        <v>1</v>
      </c>
      <c r="AB152" s="5">
        <v>52.936993450000003</v>
      </c>
    </row>
    <row r="153" spans="1:206" x14ac:dyDescent="0.3">
      <c r="A153" s="5">
        <v>50</v>
      </c>
      <c r="B153" s="5">
        <v>0</v>
      </c>
      <c r="C153" s="5">
        <v>0</v>
      </c>
      <c r="D153" s="5">
        <v>1</v>
      </c>
      <c r="E153" s="5">
        <v>208</v>
      </c>
      <c r="F153" s="5">
        <f>Source!V130</f>
        <v>0</v>
      </c>
      <c r="G153" s="5" t="s">
        <v>99</v>
      </c>
      <c r="H153" s="5" t="s">
        <v>100</v>
      </c>
      <c r="I153" s="5"/>
      <c r="J153" s="5"/>
      <c r="K153" s="5">
        <v>208</v>
      </c>
      <c r="L153" s="5">
        <v>22</v>
      </c>
      <c r="M153" s="5">
        <v>3</v>
      </c>
      <c r="N153" s="5" t="s">
        <v>3</v>
      </c>
      <c r="O153" s="5">
        <v>-1</v>
      </c>
      <c r="P153" s="5">
        <f>Source!DN130</f>
        <v>0</v>
      </c>
      <c r="Q153" s="5"/>
      <c r="R153" s="5"/>
      <c r="S153" s="5"/>
      <c r="T153" s="5"/>
      <c r="U153" s="5"/>
      <c r="V153" s="5"/>
      <c r="W153" s="5">
        <v>0</v>
      </c>
      <c r="X153" s="5">
        <v>1</v>
      </c>
      <c r="Y153" s="5">
        <v>0</v>
      </c>
      <c r="Z153" s="5">
        <v>0</v>
      </c>
      <c r="AA153" s="5">
        <v>1</v>
      </c>
      <c r="AB153" s="5">
        <v>0</v>
      </c>
    </row>
    <row r="154" spans="1:206" x14ac:dyDescent="0.3">
      <c r="A154" s="5">
        <v>50</v>
      </c>
      <c r="B154" s="5">
        <v>0</v>
      </c>
      <c r="C154" s="5">
        <v>0</v>
      </c>
      <c r="D154" s="5">
        <v>1</v>
      </c>
      <c r="E154" s="5">
        <v>209</v>
      </c>
      <c r="F154" s="5">
        <f>ROUND(Source!W130,O154)</f>
        <v>0</v>
      </c>
      <c r="G154" s="5" t="s">
        <v>101</v>
      </c>
      <c r="H154" s="5" t="s">
        <v>102</v>
      </c>
      <c r="I154" s="5"/>
      <c r="J154" s="5"/>
      <c r="K154" s="5">
        <v>209</v>
      </c>
      <c r="L154" s="5">
        <v>23</v>
      </c>
      <c r="M154" s="5">
        <v>3</v>
      </c>
      <c r="N154" s="5" t="s">
        <v>3</v>
      </c>
      <c r="O154" s="5">
        <v>2</v>
      </c>
      <c r="P154" s="5">
        <f>ROUND(Source!DO130,O154)</f>
        <v>0</v>
      </c>
      <c r="Q154" s="5"/>
      <c r="R154" s="5"/>
      <c r="S154" s="5"/>
      <c r="T154" s="5"/>
      <c r="U154" s="5"/>
      <c r="V154" s="5"/>
      <c r="W154" s="5">
        <v>0</v>
      </c>
      <c r="X154" s="5">
        <v>1</v>
      </c>
      <c r="Y154" s="5">
        <v>0</v>
      </c>
      <c r="Z154" s="5">
        <v>0</v>
      </c>
      <c r="AA154" s="5">
        <v>1</v>
      </c>
      <c r="AB154" s="5">
        <v>0</v>
      </c>
    </row>
    <row r="155" spans="1:206" x14ac:dyDescent="0.3">
      <c r="A155" s="5">
        <v>50</v>
      </c>
      <c r="B155" s="5">
        <v>0</v>
      </c>
      <c r="C155" s="5">
        <v>0</v>
      </c>
      <c r="D155" s="5">
        <v>1</v>
      </c>
      <c r="E155" s="5">
        <v>233</v>
      </c>
      <c r="F155" s="5">
        <f>ROUND(Source!BD130,O155)</f>
        <v>0</v>
      </c>
      <c r="G155" s="5" t="s">
        <v>103</v>
      </c>
      <c r="H155" s="5" t="s">
        <v>104</v>
      </c>
      <c r="I155" s="5"/>
      <c r="J155" s="5"/>
      <c r="K155" s="5">
        <v>233</v>
      </c>
      <c r="L155" s="5">
        <v>24</v>
      </c>
      <c r="M155" s="5">
        <v>3</v>
      </c>
      <c r="N155" s="5" t="s">
        <v>3</v>
      </c>
      <c r="O155" s="5">
        <v>2</v>
      </c>
      <c r="P155" s="5">
        <f>ROUND(Source!EV130,O155)</f>
        <v>0</v>
      </c>
      <c r="Q155" s="5"/>
      <c r="R155" s="5"/>
      <c r="S155" s="5"/>
      <c r="T155" s="5"/>
      <c r="U155" s="5"/>
      <c r="V155" s="5"/>
      <c r="W155" s="5">
        <v>0</v>
      </c>
      <c r="X155" s="5">
        <v>1</v>
      </c>
      <c r="Y155" s="5">
        <v>0</v>
      </c>
      <c r="Z155" s="5">
        <v>0</v>
      </c>
      <c r="AA155" s="5">
        <v>1</v>
      </c>
      <c r="AB155" s="5">
        <v>0</v>
      </c>
    </row>
    <row r="156" spans="1:206" x14ac:dyDescent="0.3">
      <c r="A156" s="5">
        <v>50</v>
      </c>
      <c r="B156" s="5">
        <v>0</v>
      </c>
      <c r="C156" s="5">
        <v>0</v>
      </c>
      <c r="D156" s="5">
        <v>1</v>
      </c>
      <c r="E156" s="5">
        <v>210</v>
      </c>
      <c r="F156" s="5">
        <f>ROUND(Source!X130,O156)</f>
        <v>598.39</v>
      </c>
      <c r="G156" s="5" t="s">
        <v>105</v>
      </c>
      <c r="H156" s="5" t="s">
        <v>106</v>
      </c>
      <c r="I156" s="5"/>
      <c r="J156" s="5"/>
      <c r="K156" s="5">
        <v>210</v>
      </c>
      <c r="L156" s="5">
        <v>25</v>
      </c>
      <c r="M156" s="5">
        <v>3</v>
      </c>
      <c r="N156" s="5" t="s">
        <v>3</v>
      </c>
      <c r="O156" s="5">
        <v>2</v>
      </c>
      <c r="P156" s="5">
        <f>ROUND(Source!DP130,O156)</f>
        <v>32905.03</v>
      </c>
      <c r="Q156" s="5"/>
      <c r="R156" s="5"/>
      <c r="S156" s="5"/>
      <c r="T156" s="5"/>
      <c r="U156" s="5"/>
      <c r="V156" s="5"/>
      <c r="W156" s="5">
        <v>598.39</v>
      </c>
      <c r="X156" s="5">
        <v>1</v>
      </c>
      <c r="Y156" s="5">
        <v>598.39</v>
      </c>
      <c r="Z156" s="5">
        <v>32905.03</v>
      </c>
      <c r="AA156" s="5">
        <v>1</v>
      </c>
      <c r="AB156" s="5">
        <v>32905.03</v>
      </c>
    </row>
    <row r="157" spans="1:206" x14ac:dyDescent="0.3">
      <c r="A157" s="5">
        <v>50</v>
      </c>
      <c r="B157" s="5">
        <v>0</v>
      </c>
      <c r="C157" s="5">
        <v>0</v>
      </c>
      <c r="D157" s="5">
        <v>1</v>
      </c>
      <c r="E157" s="5">
        <v>211</v>
      </c>
      <c r="F157" s="5">
        <f>ROUND(Source!Y130,O157)</f>
        <v>311.81</v>
      </c>
      <c r="G157" s="5" t="s">
        <v>107</v>
      </c>
      <c r="H157" s="5" t="s">
        <v>108</v>
      </c>
      <c r="I157" s="5"/>
      <c r="J157" s="5"/>
      <c r="K157" s="5">
        <v>211</v>
      </c>
      <c r="L157" s="5">
        <v>26</v>
      </c>
      <c r="M157" s="5">
        <v>3</v>
      </c>
      <c r="N157" s="5" t="s">
        <v>3</v>
      </c>
      <c r="O157" s="5">
        <v>2</v>
      </c>
      <c r="P157" s="5">
        <f>ROUND(Source!DQ130,O157)</f>
        <v>17145.75</v>
      </c>
      <c r="Q157" s="5"/>
      <c r="R157" s="5"/>
      <c r="S157" s="5"/>
      <c r="T157" s="5"/>
      <c r="U157" s="5"/>
      <c r="V157" s="5"/>
      <c r="W157" s="5">
        <v>311.81</v>
      </c>
      <c r="X157" s="5">
        <v>1</v>
      </c>
      <c r="Y157" s="5">
        <v>311.81</v>
      </c>
      <c r="Z157" s="5">
        <v>17145.75</v>
      </c>
      <c r="AA157" s="5">
        <v>1</v>
      </c>
      <c r="AB157" s="5">
        <v>17145.75</v>
      </c>
    </row>
    <row r="158" spans="1:206" x14ac:dyDescent="0.3">
      <c r="A158" s="5">
        <v>50</v>
      </c>
      <c r="B158" s="5">
        <v>0</v>
      </c>
      <c r="C158" s="5">
        <v>0</v>
      </c>
      <c r="D158" s="5">
        <v>1</v>
      </c>
      <c r="E158" s="5">
        <v>224</v>
      </c>
      <c r="F158" s="5">
        <f>ROUND(Source!AR130,O158)</f>
        <v>12764.04</v>
      </c>
      <c r="G158" s="5" t="s">
        <v>109</v>
      </c>
      <c r="H158" s="5" t="s">
        <v>110</v>
      </c>
      <c r="I158" s="5"/>
      <c r="J158" s="5"/>
      <c r="K158" s="5">
        <v>224</v>
      </c>
      <c r="L158" s="5">
        <v>27</v>
      </c>
      <c r="M158" s="5">
        <v>3</v>
      </c>
      <c r="N158" s="5" t="s">
        <v>3</v>
      </c>
      <c r="O158" s="5">
        <v>2</v>
      </c>
      <c r="P158" s="5">
        <f>ROUND(Source!EJ130,O158)</f>
        <v>179879.09</v>
      </c>
      <c r="Q158" s="5"/>
      <c r="R158" s="5"/>
      <c r="S158" s="5"/>
      <c r="T158" s="5"/>
      <c r="U158" s="5"/>
      <c r="V158" s="5"/>
      <c r="W158" s="5">
        <v>12764.04</v>
      </c>
      <c r="X158" s="5">
        <v>1</v>
      </c>
      <c r="Y158" s="5">
        <v>12764.04</v>
      </c>
      <c r="Z158" s="5">
        <v>179879.09</v>
      </c>
      <c r="AA158" s="5">
        <v>1</v>
      </c>
      <c r="AB158" s="5">
        <v>179879.09</v>
      </c>
    </row>
    <row r="160" spans="1:206" x14ac:dyDescent="0.3">
      <c r="A160" s="3">
        <v>51</v>
      </c>
      <c r="B160" s="3">
        <f>B20</f>
        <v>1</v>
      </c>
      <c r="C160" s="3">
        <f>A20</f>
        <v>3</v>
      </c>
      <c r="D160" s="3">
        <f>ROW(A20)</f>
        <v>20</v>
      </c>
      <c r="E160" s="3"/>
      <c r="F160" s="3" t="str">
        <f>IF(F20&lt;&gt;"",F20,"")</f>
        <v>02-01-11</v>
      </c>
      <c r="G160" s="3" t="str">
        <f>IF(G20&lt;&gt;"",G20,"")</f>
        <v>Система кабельного телевидения</v>
      </c>
      <c r="H160" s="3">
        <v>0</v>
      </c>
      <c r="I160" s="3"/>
      <c r="J160" s="3"/>
      <c r="K160" s="3"/>
      <c r="L160" s="3"/>
      <c r="M160" s="3"/>
      <c r="N160" s="3"/>
      <c r="O160" s="3">
        <f t="shared" ref="O160:T160" si="156">ROUND(O41+O130+AB160,2)</f>
        <v>20912.05</v>
      </c>
      <c r="P160" s="3">
        <f t="shared" si="156"/>
        <v>20094.21</v>
      </c>
      <c r="Q160" s="3">
        <f t="shared" si="156"/>
        <v>19.37</v>
      </c>
      <c r="R160" s="3">
        <f t="shared" si="156"/>
        <v>0.37</v>
      </c>
      <c r="S160" s="3">
        <f t="shared" si="156"/>
        <v>798.47</v>
      </c>
      <c r="T160" s="3">
        <f t="shared" si="156"/>
        <v>0</v>
      </c>
      <c r="U160" s="3">
        <f>U41+U130+AH160</f>
        <v>63.539123450000005</v>
      </c>
      <c r="V160" s="3">
        <f>V41+V130+AI160</f>
        <v>0</v>
      </c>
      <c r="W160" s="3">
        <f>ROUND(W41+W130+AJ160,2)</f>
        <v>0</v>
      </c>
      <c r="X160" s="3">
        <f>ROUND(X41+X130+AK160,2)</f>
        <v>737.37</v>
      </c>
      <c r="Y160" s="3">
        <f>ROUND(Y41+Y130+AL160,2)</f>
        <v>388.79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>
        <f t="shared" ref="AO160:BD160" si="157">ROUND(AO41+AO130+BX160,2)</f>
        <v>0</v>
      </c>
      <c r="AP160" s="3">
        <f t="shared" si="157"/>
        <v>8788.39</v>
      </c>
      <c r="AQ160" s="3">
        <f t="shared" si="157"/>
        <v>0</v>
      </c>
      <c r="AR160" s="3">
        <f t="shared" si="157"/>
        <v>22038.21</v>
      </c>
      <c r="AS160" s="3">
        <f t="shared" si="157"/>
        <v>0</v>
      </c>
      <c r="AT160" s="3">
        <f t="shared" si="157"/>
        <v>13249.82</v>
      </c>
      <c r="AU160" s="3">
        <f t="shared" si="157"/>
        <v>0</v>
      </c>
      <c r="AV160" s="3">
        <f t="shared" si="157"/>
        <v>20094.21</v>
      </c>
      <c r="AW160" s="3">
        <f t="shared" si="157"/>
        <v>11305.82</v>
      </c>
      <c r="AX160" s="3">
        <f t="shared" si="157"/>
        <v>0</v>
      </c>
      <c r="AY160" s="3">
        <f t="shared" si="157"/>
        <v>11305.82</v>
      </c>
      <c r="AZ160" s="3">
        <f t="shared" si="157"/>
        <v>8788.39</v>
      </c>
      <c r="BA160" s="3">
        <f t="shared" si="157"/>
        <v>0</v>
      </c>
      <c r="BB160" s="3">
        <f t="shared" si="157"/>
        <v>0</v>
      </c>
      <c r="BC160" s="3">
        <f t="shared" si="157"/>
        <v>0</v>
      </c>
      <c r="BD160" s="3">
        <f t="shared" si="157"/>
        <v>0</v>
      </c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4">
        <f t="shared" ref="DG160:DL160" si="158">ROUND(DG41+DG130+DT160,2)</f>
        <v>205596.36</v>
      </c>
      <c r="DH160" s="4">
        <f t="shared" si="158"/>
        <v>161465.66</v>
      </c>
      <c r="DI160" s="4">
        <f t="shared" si="158"/>
        <v>222.82</v>
      </c>
      <c r="DJ160" s="4">
        <f t="shared" si="158"/>
        <v>20.350000000000001</v>
      </c>
      <c r="DK160" s="4">
        <f t="shared" si="158"/>
        <v>43907.88</v>
      </c>
      <c r="DL160" s="4">
        <f t="shared" si="158"/>
        <v>0</v>
      </c>
      <c r="DM160" s="4">
        <f>DM41+DM130+DZ160</f>
        <v>63.539123450000005</v>
      </c>
      <c r="DN160" s="4">
        <f>DN41+DN130+EA160</f>
        <v>0</v>
      </c>
      <c r="DO160" s="4">
        <f>ROUND(DO41+DO130+EB160,2)</f>
        <v>0</v>
      </c>
      <c r="DP160" s="4">
        <f>ROUND(DP41+DP130+EC160,2)</f>
        <v>40547.870000000003</v>
      </c>
      <c r="DQ160" s="4">
        <f>ROUND(DQ41+DQ130+ED160,2)</f>
        <v>21378.46</v>
      </c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>
        <f t="shared" ref="EG160:EV160" si="159">ROUND(EG41+EG130+FP160,2)</f>
        <v>0</v>
      </c>
      <c r="EH160" s="4">
        <f t="shared" si="159"/>
        <v>67319.070000000007</v>
      </c>
      <c r="EI160" s="4">
        <f t="shared" si="159"/>
        <v>0</v>
      </c>
      <c r="EJ160" s="4">
        <f t="shared" si="159"/>
        <v>267522.69</v>
      </c>
      <c r="EK160" s="4">
        <f t="shared" si="159"/>
        <v>0</v>
      </c>
      <c r="EL160" s="4">
        <f t="shared" si="159"/>
        <v>200203.62</v>
      </c>
      <c r="EM160" s="4">
        <f t="shared" si="159"/>
        <v>0</v>
      </c>
      <c r="EN160" s="4">
        <f t="shared" si="159"/>
        <v>161465.66</v>
      </c>
      <c r="EO160" s="4">
        <f t="shared" si="159"/>
        <v>94146.59</v>
      </c>
      <c r="EP160" s="4">
        <f t="shared" si="159"/>
        <v>0</v>
      </c>
      <c r="EQ160" s="4">
        <f t="shared" si="159"/>
        <v>94146.59</v>
      </c>
      <c r="ER160" s="4">
        <f t="shared" si="159"/>
        <v>67319.070000000007</v>
      </c>
      <c r="ES160" s="4">
        <f t="shared" si="159"/>
        <v>0</v>
      </c>
      <c r="ET160" s="4">
        <f t="shared" si="159"/>
        <v>0</v>
      </c>
      <c r="EU160" s="4">
        <f t="shared" si="159"/>
        <v>0</v>
      </c>
      <c r="EV160" s="4">
        <f t="shared" si="159"/>
        <v>0</v>
      </c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>
        <v>0</v>
      </c>
    </row>
    <row r="162" spans="1:28" x14ac:dyDescent="0.3">
      <c r="A162" s="5">
        <v>50</v>
      </c>
      <c r="B162" s="5">
        <v>0</v>
      </c>
      <c r="C162" s="5">
        <v>0</v>
      </c>
      <c r="D162" s="5">
        <v>1</v>
      </c>
      <c r="E162" s="5">
        <v>201</v>
      </c>
      <c r="F162" s="5">
        <f>ROUND(Source!O160,O162)</f>
        <v>20912.05</v>
      </c>
      <c r="G162" s="5" t="s">
        <v>57</v>
      </c>
      <c r="H162" s="5" t="s">
        <v>58</v>
      </c>
      <c r="I162" s="5"/>
      <c r="J162" s="5"/>
      <c r="K162" s="5">
        <v>201</v>
      </c>
      <c r="L162" s="5">
        <v>1</v>
      </c>
      <c r="M162" s="5">
        <v>3</v>
      </c>
      <c r="N162" s="5" t="s">
        <v>3</v>
      </c>
      <c r="O162" s="5">
        <v>2</v>
      </c>
      <c r="P162" s="5">
        <f>ROUND(Source!DG160,O162)</f>
        <v>205596.36</v>
      </c>
      <c r="Q162" s="5"/>
      <c r="R162" s="5"/>
      <c r="S162" s="5"/>
      <c r="T162" s="5"/>
      <c r="U162" s="5"/>
      <c r="V162" s="5"/>
      <c r="W162" s="5">
        <v>20912.05</v>
      </c>
      <c r="X162" s="5">
        <v>1</v>
      </c>
      <c r="Y162" s="5">
        <v>20912.05</v>
      </c>
      <c r="Z162" s="5">
        <v>205596.36</v>
      </c>
      <c r="AA162" s="5">
        <v>1</v>
      </c>
      <c r="AB162" s="5">
        <v>205596.36</v>
      </c>
    </row>
    <row r="163" spans="1:28" x14ac:dyDescent="0.3">
      <c r="A163" s="5">
        <v>50</v>
      </c>
      <c r="B163" s="5">
        <v>0</v>
      </c>
      <c r="C163" s="5">
        <v>0</v>
      </c>
      <c r="D163" s="5">
        <v>1</v>
      </c>
      <c r="E163" s="5">
        <v>202</v>
      </c>
      <c r="F163" s="5">
        <f>ROUND(Source!P160,O163)</f>
        <v>20094.21</v>
      </c>
      <c r="G163" s="5" t="s">
        <v>59</v>
      </c>
      <c r="H163" s="5" t="s">
        <v>60</v>
      </c>
      <c r="I163" s="5"/>
      <c r="J163" s="5"/>
      <c r="K163" s="5">
        <v>202</v>
      </c>
      <c r="L163" s="5">
        <v>2</v>
      </c>
      <c r="M163" s="5">
        <v>3</v>
      </c>
      <c r="N163" s="5" t="s">
        <v>3</v>
      </c>
      <c r="O163" s="5">
        <v>2</v>
      </c>
      <c r="P163" s="5">
        <f>ROUND(Source!DH160,O163)</f>
        <v>161465.66</v>
      </c>
      <c r="Q163" s="5"/>
      <c r="R163" s="5"/>
      <c r="S163" s="5"/>
      <c r="T163" s="5"/>
      <c r="U163" s="5"/>
      <c r="V163" s="5"/>
      <c r="W163" s="5">
        <v>20094.21</v>
      </c>
      <c r="X163" s="5">
        <v>1</v>
      </c>
      <c r="Y163" s="5">
        <v>20094.21</v>
      </c>
      <c r="Z163" s="5">
        <v>161465.66</v>
      </c>
      <c r="AA163" s="5">
        <v>1</v>
      </c>
      <c r="AB163" s="5">
        <v>161465.66</v>
      </c>
    </row>
    <row r="164" spans="1:28" x14ac:dyDescent="0.3">
      <c r="A164" s="5">
        <v>50</v>
      </c>
      <c r="B164" s="5">
        <v>0</v>
      </c>
      <c r="C164" s="5">
        <v>0</v>
      </c>
      <c r="D164" s="5">
        <v>1</v>
      </c>
      <c r="E164" s="5">
        <v>222</v>
      </c>
      <c r="F164" s="5">
        <f>ROUND(Source!AO160,O164)</f>
        <v>0</v>
      </c>
      <c r="G164" s="5" t="s">
        <v>61</v>
      </c>
      <c r="H164" s="5" t="s">
        <v>62</v>
      </c>
      <c r="I164" s="5"/>
      <c r="J164" s="5"/>
      <c r="K164" s="5">
        <v>222</v>
      </c>
      <c r="L164" s="5">
        <v>3</v>
      </c>
      <c r="M164" s="5">
        <v>3</v>
      </c>
      <c r="N164" s="5" t="s">
        <v>3</v>
      </c>
      <c r="O164" s="5">
        <v>2</v>
      </c>
      <c r="P164" s="5">
        <f>ROUND(Source!EG160,O164)</f>
        <v>0</v>
      </c>
      <c r="Q164" s="5"/>
      <c r="R164" s="5"/>
      <c r="S164" s="5"/>
      <c r="T164" s="5"/>
      <c r="U164" s="5"/>
      <c r="V164" s="5"/>
      <c r="W164" s="5">
        <v>0</v>
      </c>
      <c r="X164" s="5">
        <v>1</v>
      </c>
      <c r="Y164" s="5">
        <v>0</v>
      </c>
      <c r="Z164" s="5">
        <v>0</v>
      </c>
      <c r="AA164" s="5">
        <v>1</v>
      </c>
      <c r="AB164" s="5">
        <v>0</v>
      </c>
    </row>
    <row r="165" spans="1:28" x14ac:dyDescent="0.3">
      <c r="A165" s="5">
        <v>50</v>
      </c>
      <c r="B165" s="5">
        <v>0</v>
      </c>
      <c r="C165" s="5">
        <v>0</v>
      </c>
      <c r="D165" s="5">
        <v>1</v>
      </c>
      <c r="E165" s="5">
        <v>225</v>
      </c>
      <c r="F165" s="5">
        <f>ROUND(Source!AV160,O165)</f>
        <v>20094.21</v>
      </c>
      <c r="G165" s="5" t="s">
        <v>63</v>
      </c>
      <c r="H165" s="5" t="s">
        <v>64</v>
      </c>
      <c r="I165" s="5"/>
      <c r="J165" s="5"/>
      <c r="K165" s="5">
        <v>225</v>
      </c>
      <c r="L165" s="5">
        <v>4</v>
      </c>
      <c r="M165" s="5">
        <v>3</v>
      </c>
      <c r="N165" s="5" t="s">
        <v>3</v>
      </c>
      <c r="O165" s="5">
        <v>2</v>
      </c>
      <c r="P165" s="5">
        <f>ROUND(Source!EN160,O165)</f>
        <v>161465.66</v>
      </c>
      <c r="Q165" s="5"/>
      <c r="R165" s="5"/>
      <c r="S165" s="5"/>
      <c r="T165" s="5"/>
      <c r="U165" s="5"/>
      <c r="V165" s="5"/>
      <c r="W165" s="5">
        <v>20094.21</v>
      </c>
      <c r="X165" s="5">
        <v>1</v>
      </c>
      <c r="Y165" s="5">
        <v>20094.21</v>
      </c>
      <c r="Z165" s="5">
        <v>161465.66</v>
      </c>
      <c r="AA165" s="5">
        <v>1</v>
      </c>
      <c r="AB165" s="5">
        <v>161465.66</v>
      </c>
    </row>
    <row r="166" spans="1:28" x14ac:dyDescent="0.3">
      <c r="A166" s="5">
        <v>50</v>
      </c>
      <c r="B166" s="5">
        <v>0</v>
      </c>
      <c r="C166" s="5">
        <v>0</v>
      </c>
      <c r="D166" s="5">
        <v>1</v>
      </c>
      <c r="E166" s="5">
        <v>226</v>
      </c>
      <c r="F166" s="5">
        <f>ROUND(Source!AW160,O166)</f>
        <v>11305.82</v>
      </c>
      <c r="G166" s="5" t="s">
        <v>65</v>
      </c>
      <c r="H166" s="5" t="s">
        <v>66</v>
      </c>
      <c r="I166" s="5"/>
      <c r="J166" s="5"/>
      <c r="K166" s="5">
        <v>226</v>
      </c>
      <c r="L166" s="5">
        <v>5</v>
      </c>
      <c r="M166" s="5">
        <v>3</v>
      </c>
      <c r="N166" s="5" t="s">
        <v>3</v>
      </c>
      <c r="O166" s="5">
        <v>2</v>
      </c>
      <c r="P166" s="5">
        <f>ROUND(Source!EO160,O166)</f>
        <v>94146.59</v>
      </c>
      <c r="Q166" s="5"/>
      <c r="R166" s="5"/>
      <c r="S166" s="5"/>
      <c r="T166" s="5"/>
      <c r="U166" s="5"/>
      <c r="V166" s="5"/>
      <c r="W166" s="5">
        <v>11305.82</v>
      </c>
      <c r="X166" s="5">
        <v>1</v>
      </c>
      <c r="Y166" s="5">
        <v>11305.82</v>
      </c>
      <c r="Z166" s="5">
        <v>94146.59</v>
      </c>
      <c r="AA166" s="5">
        <v>1</v>
      </c>
      <c r="AB166" s="5">
        <v>94146.59</v>
      </c>
    </row>
    <row r="167" spans="1:28" x14ac:dyDescent="0.3">
      <c r="A167" s="5">
        <v>50</v>
      </c>
      <c r="B167" s="5">
        <v>0</v>
      </c>
      <c r="C167" s="5">
        <v>0</v>
      </c>
      <c r="D167" s="5">
        <v>1</v>
      </c>
      <c r="E167" s="5">
        <v>227</v>
      </c>
      <c r="F167" s="5">
        <f>ROUND(Source!AX160,O167)</f>
        <v>0</v>
      </c>
      <c r="G167" s="5" t="s">
        <v>67</v>
      </c>
      <c r="H167" s="5" t="s">
        <v>68</v>
      </c>
      <c r="I167" s="5"/>
      <c r="J167" s="5"/>
      <c r="K167" s="5">
        <v>227</v>
      </c>
      <c r="L167" s="5">
        <v>6</v>
      </c>
      <c r="M167" s="5">
        <v>3</v>
      </c>
      <c r="N167" s="5" t="s">
        <v>3</v>
      </c>
      <c r="O167" s="5">
        <v>2</v>
      </c>
      <c r="P167" s="5">
        <f>ROUND(Source!EP160,O167)</f>
        <v>0</v>
      </c>
      <c r="Q167" s="5"/>
      <c r="R167" s="5"/>
      <c r="S167" s="5"/>
      <c r="T167" s="5"/>
      <c r="U167" s="5"/>
      <c r="V167" s="5"/>
      <c r="W167" s="5">
        <v>0</v>
      </c>
      <c r="X167" s="5">
        <v>1</v>
      </c>
      <c r="Y167" s="5">
        <v>0</v>
      </c>
      <c r="Z167" s="5">
        <v>0</v>
      </c>
      <c r="AA167" s="5">
        <v>1</v>
      </c>
      <c r="AB167" s="5">
        <v>0</v>
      </c>
    </row>
    <row r="168" spans="1:28" x14ac:dyDescent="0.3">
      <c r="A168" s="5">
        <v>50</v>
      </c>
      <c r="B168" s="5">
        <v>0</v>
      </c>
      <c r="C168" s="5">
        <v>0</v>
      </c>
      <c r="D168" s="5">
        <v>1</v>
      </c>
      <c r="E168" s="5">
        <v>228</v>
      </c>
      <c r="F168" s="5">
        <f>ROUND(Source!AY160,O168)</f>
        <v>11305.82</v>
      </c>
      <c r="G168" s="5" t="s">
        <v>69</v>
      </c>
      <c r="H168" s="5" t="s">
        <v>70</v>
      </c>
      <c r="I168" s="5"/>
      <c r="J168" s="5"/>
      <c r="K168" s="5">
        <v>228</v>
      </c>
      <c r="L168" s="5">
        <v>7</v>
      </c>
      <c r="M168" s="5">
        <v>3</v>
      </c>
      <c r="N168" s="5" t="s">
        <v>3</v>
      </c>
      <c r="O168" s="5">
        <v>2</v>
      </c>
      <c r="P168" s="5">
        <f>ROUND(Source!EQ160,O168)</f>
        <v>94146.59</v>
      </c>
      <c r="Q168" s="5"/>
      <c r="R168" s="5"/>
      <c r="S168" s="5"/>
      <c r="T168" s="5"/>
      <c r="U168" s="5"/>
      <c r="V168" s="5"/>
      <c r="W168" s="5">
        <v>11305.82</v>
      </c>
      <c r="X168" s="5">
        <v>1</v>
      </c>
      <c r="Y168" s="5">
        <v>11305.82</v>
      </c>
      <c r="Z168" s="5">
        <v>94146.59</v>
      </c>
      <c r="AA168" s="5">
        <v>1</v>
      </c>
      <c r="AB168" s="5">
        <v>94146.59</v>
      </c>
    </row>
    <row r="169" spans="1:28" x14ac:dyDescent="0.3">
      <c r="A169" s="5">
        <v>50</v>
      </c>
      <c r="B169" s="5">
        <v>0</v>
      </c>
      <c r="C169" s="5">
        <v>0</v>
      </c>
      <c r="D169" s="5">
        <v>1</v>
      </c>
      <c r="E169" s="5">
        <v>216</v>
      </c>
      <c r="F169" s="5">
        <f>ROUND(Source!AP160,O169)</f>
        <v>8788.39</v>
      </c>
      <c r="G169" s="5" t="s">
        <v>71</v>
      </c>
      <c r="H169" s="5" t="s">
        <v>72</v>
      </c>
      <c r="I169" s="5"/>
      <c r="J169" s="5"/>
      <c r="K169" s="5">
        <v>216</v>
      </c>
      <c r="L169" s="5">
        <v>8</v>
      </c>
      <c r="M169" s="5">
        <v>3</v>
      </c>
      <c r="N169" s="5" t="s">
        <v>3</v>
      </c>
      <c r="O169" s="5">
        <v>2</v>
      </c>
      <c r="P169" s="5">
        <f>ROUND(Source!EH160,O169)</f>
        <v>67319.070000000007</v>
      </c>
      <c r="Q169" s="5"/>
      <c r="R169" s="5"/>
      <c r="S169" s="5"/>
      <c r="T169" s="5"/>
      <c r="U169" s="5"/>
      <c r="V169" s="5"/>
      <c r="W169" s="5">
        <v>8788.39</v>
      </c>
      <c r="X169" s="5">
        <v>1</v>
      </c>
      <c r="Y169" s="5">
        <v>8788.39</v>
      </c>
      <c r="Z169" s="5">
        <v>67319.070000000007</v>
      </c>
      <c r="AA169" s="5">
        <v>1</v>
      </c>
      <c r="AB169" s="5">
        <v>67319.070000000007</v>
      </c>
    </row>
    <row r="170" spans="1:28" x14ac:dyDescent="0.3">
      <c r="A170" s="5">
        <v>50</v>
      </c>
      <c r="B170" s="5">
        <v>0</v>
      </c>
      <c r="C170" s="5">
        <v>0</v>
      </c>
      <c r="D170" s="5">
        <v>1</v>
      </c>
      <c r="E170" s="5">
        <v>223</v>
      </c>
      <c r="F170" s="5">
        <f>ROUND(Source!AQ160,O170)</f>
        <v>0</v>
      </c>
      <c r="G170" s="5" t="s">
        <v>73</v>
      </c>
      <c r="H170" s="5" t="s">
        <v>74</v>
      </c>
      <c r="I170" s="5"/>
      <c r="J170" s="5"/>
      <c r="K170" s="5">
        <v>223</v>
      </c>
      <c r="L170" s="5">
        <v>9</v>
      </c>
      <c r="M170" s="5">
        <v>3</v>
      </c>
      <c r="N170" s="5" t="s">
        <v>3</v>
      </c>
      <c r="O170" s="5">
        <v>2</v>
      </c>
      <c r="P170" s="5">
        <f>ROUND(Source!EI160,O170)</f>
        <v>0</v>
      </c>
      <c r="Q170" s="5"/>
      <c r="R170" s="5"/>
      <c r="S170" s="5"/>
      <c r="T170" s="5"/>
      <c r="U170" s="5"/>
      <c r="V170" s="5"/>
      <c r="W170" s="5">
        <v>0</v>
      </c>
      <c r="X170" s="5">
        <v>1</v>
      </c>
      <c r="Y170" s="5">
        <v>0</v>
      </c>
      <c r="Z170" s="5">
        <v>0</v>
      </c>
      <c r="AA170" s="5">
        <v>1</v>
      </c>
      <c r="AB170" s="5">
        <v>0</v>
      </c>
    </row>
    <row r="171" spans="1:28" x14ac:dyDescent="0.3">
      <c r="A171" s="5">
        <v>50</v>
      </c>
      <c r="B171" s="5">
        <v>0</v>
      </c>
      <c r="C171" s="5">
        <v>0</v>
      </c>
      <c r="D171" s="5">
        <v>1</v>
      </c>
      <c r="E171" s="5">
        <v>229</v>
      </c>
      <c r="F171" s="5">
        <f>ROUND(Source!AZ160,O171)</f>
        <v>8788.39</v>
      </c>
      <c r="G171" s="5" t="s">
        <v>75</v>
      </c>
      <c r="H171" s="5" t="s">
        <v>76</v>
      </c>
      <c r="I171" s="5"/>
      <c r="J171" s="5"/>
      <c r="K171" s="5">
        <v>229</v>
      </c>
      <c r="L171" s="5">
        <v>10</v>
      </c>
      <c r="M171" s="5">
        <v>3</v>
      </c>
      <c r="N171" s="5" t="s">
        <v>3</v>
      </c>
      <c r="O171" s="5">
        <v>2</v>
      </c>
      <c r="P171" s="5">
        <f>ROUND(Source!ER160,O171)</f>
        <v>67319.070000000007</v>
      </c>
      <c r="Q171" s="5"/>
      <c r="R171" s="5"/>
      <c r="S171" s="5"/>
      <c r="T171" s="5"/>
      <c r="U171" s="5"/>
      <c r="V171" s="5"/>
      <c r="W171" s="5">
        <v>8788.39</v>
      </c>
      <c r="X171" s="5">
        <v>1</v>
      </c>
      <c r="Y171" s="5">
        <v>8788.39</v>
      </c>
      <c r="Z171" s="5">
        <v>67319.070000000007</v>
      </c>
      <c r="AA171" s="5">
        <v>1</v>
      </c>
      <c r="AB171" s="5">
        <v>67319.070000000007</v>
      </c>
    </row>
    <row r="172" spans="1:28" x14ac:dyDescent="0.3">
      <c r="A172" s="5">
        <v>50</v>
      </c>
      <c r="B172" s="5">
        <v>0</v>
      </c>
      <c r="C172" s="5">
        <v>0</v>
      </c>
      <c r="D172" s="5">
        <v>1</v>
      </c>
      <c r="E172" s="5">
        <v>203</v>
      </c>
      <c r="F172" s="5">
        <f>ROUND(Source!Q160,O172)</f>
        <v>19.37</v>
      </c>
      <c r="G172" s="5" t="s">
        <v>77</v>
      </c>
      <c r="H172" s="5" t="s">
        <v>78</v>
      </c>
      <c r="I172" s="5"/>
      <c r="J172" s="5"/>
      <c r="K172" s="5">
        <v>203</v>
      </c>
      <c r="L172" s="5">
        <v>11</v>
      </c>
      <c r="M172" s="5">
        <v>3</v>
      </c>
      <c r="N172" s="5" t="s">
        <v>3</v>
      </c>
      <c r="O172" s="5">
        <v>2</v>
      </c>
      <c r="P172" s="5">
        <f>ROUND(Source!DI160,O172)</f>
        <v>222.82</v>
      </c>
      <c r="Q172" s="5"/>
      <c r="R172" s="5"/>
      <c r="S172" s="5"/>
      <c r="T172" s="5"/>
      <c r="U172" s="5"/>
      <c r="V172" s="5"/>
      <c r="W172" s="5">
        <v>19.37</v>
      </c>
      <c r="X172" s="5">
        <v>1</v>
      </c>
      <c r="Y172" s="5">
        <v>19.37</v>
      </c>
      <c r="Z172" s="5">
        <v>222.82</v>
      </c>
      <c r="AA172" s="5">
        <v>1</v>
      </c>
      <c r="AB172" s="5">
        <v>222.82</v>
      </c>
    </row>
    <row r="173" spans="1:28" x14ac:dyDescent="0.3">
      <c r="A173" s="5">
        <v>50</v>
      </c>
      <c r="B173" s="5">
        <v>0</v>
      </c>
      <c r="C173" s="5">
        <v>0</v>
      </c>
      <c r="D173" s="5">
        <v>1</v>
      </c>
      <c r="E173" s="5">
        <v>231</v>
      </c>
      <c r="F173" s="5">
        <f>ROUND(Source!BB160,O173)</f>
        <v>0</v>
      </c>
      <c r="G173" s="5" t="s">
        <v>79</v>
      </c>
      <c r="H173" s="5" t="s">
        <v>80</v>
      </c>
      <c r="I173" s="5"/>
      <c r="J173" s="5"/>
      <c r="K173" s="5">
        <v>231</v>
      </c>
      <c r="L173" s="5">
        <v>12</v>
      </c>
      <c r="M173" s="5">
        <v>3</v>
      </c>
      <c r="N173" s="5" t="s">
        <v>3</v>
      </c>
      <c r="O173" s="5">
        <v>2</v>
      </c>
      <c r="P173" s="5">
        <f>ROUND(Source!ET160,O173)</f>
        <v>0</v>
      </c>
      <c r="Q173" s="5"/>
      <c r="R173" s="5"/>
      <c r="S173" s="5"/>
      <c r="T173" s="5"/>
      <c r="U173" s="5"/>
      <c r="V173" s="5"/>
      <c r="W173" s="5">
        <v>0</v>
      </c>
      <c r="X173" s="5">
        <v>1</v>
      </c>
      <c r="Y173" s="5">
        <v>0</v>
      </c>
      <c r="Z173" s="5">
        <v>0</v>
      </c>
      <c r="AA173" s="5">
        <v>1</v>
      </c>
      <c r="AB173" s="5">
        <v>0</v>
      </c>
    </row>
    <row r="174" spans="1:28" x14ac:dyDescent="0.3">
      <c r="A174" s="5">
        <v>50</v>
      </c>
      <c r="B174" s="5">
        <v>0</v>
      </c>
      <c r="C174" s="5">
        <v>0</v>
      </c>
      <c r="D174" s="5">
        <v>1</v>
      </c>
      <c r="E174" s="5">
        <v>204</v>
      </c>
      <c r="F174" s="5">
        <f>ROUND(Source!R160,O174)</f>
        <v>0.37</v>
      </c>
      <c r="G174" s="5" t="s">
        <v>81</v>
      </c>
      <c r="H174" s="5" t="s">
        <v>82</v>
      </c>
      <c r="I174" s="5"/>
      <c r="J174" s="5"/>
      <c r="K174" s="5">
        <v>204</v>
      </c>
      <c r="L174" s="5">
        <v>13</v>
      </c>
      <c r="M174" s="5">
        <v>3</v>
      </c>
      <c r="N174" s="5" t="s">
        <v>3</v>
      </c>
      <c r="O174" s="5">
        <v>2</v>
      </c>
      <c r="P174" s="5">
        <f>ROUND(Source!DJ160,O174)</f>
        <v>20.350000000000001</v>
      </c>
      <c r="Q174" s="5"/>
      <c r="R174" s="5"/>
      <c r="S174" s="5"/>
      <c r="T174" s="5"/>
      <c r="U174" s="5"/>
      <c r="V174" s="5"/>
      <c r="W174" s="5">
        <v>0.37</v>
      </c>
      <c r="X174" s="5">
        <v>1</v>
      </c>
      <c r="Y174" s="5">
        <v>0.37</v>
      </c>
      <c r="Z174" s="5">
        <v>20.350000000000001</v>
      </c>
      <c r="AA174" s="5">
        <v>1</v>
      </c>
      <c r="AB174" s="5">
        <v>20.350000000000001</v>
      </c>
    </row>
    <row r="175" spans="1:28" x14ac:dyDescent="0.3">
      <c r="A175" s="5">
        <v>50</v>
      </c>
      <c r="B175" s="5">
        <v>0</v>
      </c>
      <c r="C175" s="5">
        <v>0</v>
      </c>
      <c r="D175" s="5">
        <v>1</v>
      </c>
      <c r="E175" s="5">
        <v>205</v>
      </c>
      <c r="F175" s="5">
        <f>ROUND(Source!S160,O175)</f>
        <v>798.47</v>
      </c>
      <c r="G175" s="5" t="s">
        <v>83</v>
      </c>
      <c r="H175" s="5" t="s">
        <v>84</v>
      </c>
      <c r="I175" s="5"/>
      <c r="J175" s="5"/>
      <c r="K175" s="5">
        <v>205</v>
      </c>
      <c r="L175" s="5">
        <v>14</v>
      </c>
      <c r="M175" s="5">
        <v>3</v>
      </c>
      <c r="N175" s="5" t="s">
        <v>3</v>
      </c>
      <c r="O175" s="5">
        <v>2</v>
      </c>
      <c r="P175" s="5">
        <f>ROUND(Source!DK160,O175)</f>
        <v>43907.88</v>
      </c>
      <c r="Q175" s="5"/>
      <c r="R175" s="5"/>
      <c r="S175" s="5"/>
      <c r="T175" s="5"/>
      <c r="U175" s="5"/>
      <c r="V175" s="5"/>
      <c r="W175" s="5">
        <v>798.47</v>
      </c>
      <c r="X175" s="5">
        <v>1</v>
      </c>
      <c r="Y175" s="5">
        <v>798.47</v>
      </c>
      <c r="Z175" s="5">
        <v>43907.88</v>
      </c>
      <c r="AA175" s="5">
        <v>1</v>
      </c>
      <c r="AB175" s="5">
        <v>43907.88</v>
      </c>
    </row>
    <row r="176" spans="1:28" x14ac:dyDescent="0.3">
      <c r="A176" s="5">
        <v>50</v>
      </c>
      <c r="B176" s="5">
        <v>0</v>
      </c>
      <c r="C176" s="5">
        <v>0</v>
      </c>
      <c r="D176" s="5">
        <v>1</v>
      </c>
      <c r="E176" s="5">
        <v>232</v>
      </c>
      <c r="F176" s="5">
        <f>ROUND(Source!BC160,O176)</f>
        <v>0</v>
      </c>
      <c r="G176" s="5" t="s">
        <v>85</v>
      </c>
      <c r="H176" s="5" t="s">
        <v>86</v>
      </c>
      <c r="I176" s="5"/>
      <c r="J176" s="5"/>
      <c r="K176" s="5">
        <v>232</v>
      </c>
      <c r="L176" s="5">
        <v>15</v>
      </c>
      <c r="M176" s="5">
        <v>3</v>
      </c>
      <c r="N176" s="5" t="s">
        <v>3</v>
      </c>
      <c r="O176" s="5">
        <v>2</v>
      </c>
      <c r="P176" s="5">
        <f>ROUND(Source!EU160,O176)</f>
        <v>0</v>
      </c>
      <c r="Q176" s="5"/>
      <c r="R176" s="5"/>
      <c r="S176" s="5"/>
      <c r="T176" s="5"/>
      <c r="U176" s="5"/>
      <c r="V176" s="5"/>
      <c r="W176" s="5">
        <v>0</v>
      </c>
      <c r="X176" s="5">
        <v>1</v>
      </c>
      <c r="Y176" s="5">
        <v>0</v>
      </c>
      <c r="Z176" s="5">
        <v>0</v>
      </c>
      <c r="AA176" s="5">
        <v>1</v>
      </c>
      <c r="AB176" s="5">
        <v>0</v>
      </c>
    </row>
    <row r="177" spans="1:206" x14ac:dyDescent="0.3">
      <c r="A177" s="5">
        <v>50</v>
      </c>
      <c r="B177" s="5">
        <v>0</v>
      </c>
      <c r="C177" s="5">
        <v>0</v>
      </c>
      <c r="D177" s="5">
        <v>1</v>
      </c>
      <c r="E177" s="5">
        <v>214</v>
      </c>
      <c r="F177" s="5">
        <f>ROUND(Source!AS160,O177)</f>
        <v>0</v>
      </c>
      <c r="G177" s="5" t="s">
        <v>87</v>
      </c>
      <c r="H177" s="5" t="s">
        <v>88</v>
      </c>
      <c r="I177" s="5"/>
      <c r="J177" s="5"/>
      <c r="K177" s="5">
        <v>214</v>
      </c>
      <c r="L177" s="5">
        <v>16</v>
      </c>
      <c r="M177" s="5">
        <v>3</v>
      </c>
      <c r="N177" s="5" t="s">
        <v>3</v>
      </c>
      <c r="O177" s="5">
        <v>2</v>
      </c>
      <c r="P177" s="5">
        <f>ROUND(Source!EK160,O177)</f>
        <v>0</v>
      </c>
      <c r="Q177" s="5"/>
      <c r="R177" s="5"/>
      <c r="S177" s="5"/>
      <c r="T177" s="5"/>
      <c r="U177" s="5"/>
      <c r="V177" s="5"/>
      <c r="W177" s="5">
        <v>0</v>
      </c>
      <c r="X177" s="5">
        <v>1</v>
      </c>
      <c r="Y177" s="5">
        <v>0</v>
      </c>
      <c r="Z177" s="5">
        <v>0</v>
      </c>
      <c r="AA177" s="5">
        <v>1</v>
      </c>
      <c r="AB177" s="5">
        <v>0</v>
      </c>
    </row>
    <row r="178" spans="1:206" x14ac:dyDescent="0.3">
      <c r="A178" s="5">
        <v>50</v>
      </c>
      <c r="B178" s="5">
        <v>0</v>
      </c>
      <c r="C178" s="5">
        <v>0</v>
      </c>
      <c r="D178" s="5">
        <v>1</v>
      </c>
      <c r="E178" s="5">
        <v>215</v>
      </c>
      <c r="F178" s="5">
        <f>ROUND(Source!AT160,O178)</f>
        <v>13249.82</v>
      </c>
      <c r="G178" s="5" t="s">
        <v>89</v>
      </c>
      <c r="H178" s="5" t="s">
        <v>90</v>
      </c>
      <c r="I178" s="5"/>
      <c r="J178" s="5"/>
      <c r="K178" s="5">
        <v>215</v>
      </c>
      <c r="L178" s="5">
        <v>17</v>
      </c>
      <c r="M178" s="5">
        <v>3</v>
      </c>
      <c r="N178" s="5" t="s">
        <v>3</v>
      </c>
      <c r="O178" s="5">
        <v>2</v>
      </c>
      <c r="P178" s="5">
        <f>ROUND(Source!EL160,O178)</f>
        <v>200203.62</v>
      </c>
      <c r="Q178" s="5"/>
      <c r="R178" s="5"/>
      <c r="S178" s="5"/>
      <c r="T178" s="5"/>
      <c r="U178" s="5"/>
      <c r="V178" s="5"/>
      <c r="W178" s="5">
        <v>13249.82</v>
      </c>
      <c r="X178" s="5">
        <v>1</v>
      </c>
      <c r="Y178" s="5">
        <v>13249.82</v>
      </c>
      <c r="Z178" s="5">
        <v>200203.62</v>
      </c>
      <c r="AA178" s="5">
        <v>1</v>
      </c>
      <c r="AB178" s="5">
        <v>200203.62</v>
      </c>
    </row>
    <row r="179" spans="1:206" x14ac:dyDescent="0.3">
      <c r="A179" s="5">
        <v>50</v>
      </c>
      <c r="B179" s="5">
        <v>0</v>
      </c>
      <c r="C179" s="5">
        <v>0</v>
      </c>
      <c r="D179" s="5">
        <v>1</v>
      </c>
      <c r="E179" s="5">
        <v>217</v>
      </c>
      <c r="F179" s="5">
        <f>ROUND(Source!AU160,O179)</f>
        <v>0</v>
      </c>
      <c r="G179" s="5" t="s">
        <v>91</v>
      </c>
      <c r="H179" s="5" t="s">
        <v>92</v>
      </c>
      <c r="I179" s="5"/>
      <c r="J179" s="5"/>
      <c r="K179" s="5">
        <v>217</v>
      </c>
      <c r="L179" s="5">
        <v>18</v>
      </c>
      <c r="M179" s="5">
        <v>3</v>
      </c>
      <c r="N179" s="5" t="s">
        <v>3</v>
      </c>
      <c r="O179" s="5">
        <v>2</v>
      </c>
      <c r="P179" s="5">
        <f>ROUND(Source!EM160,O179)</f>
        <v>0</v>
      </c>
      <c r="Q179" s="5"/>
      <c r="R179" s="5"/>
      <c r="S179" s="5"/>
      <c r="T179" s="5"/>
      <c r="U179" s="5"/>
      <c r="V179" s="5"/>
      <c r="W179" s="5">
        <v>0</v>
      </c>
      <c r="X179" s="5">
        <v>1</v>
      </c>
      <c r="Y179" s="5">
        <v>0</v>
      </c>
      <c r="Z179" s="5">
        <v>0</v>
      </c>
      <c r="AA179" s="5">
        <v>1</v>
      </c>
      <c r="AB179" s="5">
        <v>0</v>
      </c>
    </row>
    <row r="180" spans="1:206" x14ac:dyDescent="0.3">
      <c r="A180" s="5">
        <v>50</v>
      </c>
      <c r="B180" s="5">
        <v>0</v>
      </c>
      <c r="C180" s="5">
        <v>0</v>
      </c>
      <c r="D180" s="5">
        <v>1</v>
      </c>
      <c r="E180" s="5">
        <v>230</v>
      </c>
      <c r="F180" s="5">
        <f>ROUND(Source!BA160,O180)</f>
        <v>0</v>
      </c>
      <c r="G180" s="5" t="s">
        <v>93</v>
      </c>
      <c r="H180" s="5" t="s">
        <v>94</v>
      </c>
      <c r="I180" s="5"/>
      <c r="J180" s="5"/>
      <c r="K180" s="5">
        <v>230</v>
      </c>
      <c r="L180" s="5">
        <v>19</v>
      </c>
      <c r="M180" s="5">
        <v>3</v>
      </c>
      <c r="N180" s="5" t="s">
        <v>3</v>
      </c>
      <c r="O180" s="5">
        <v>2</v>
      </c>
      <c r="P180" s="5">
        <f>ROUND(Source!ES160,O180)</f>
        <v>0</v>
      </c>
      <c r="Q180" s="5"/>
      <c r="R180" s="5"/>
      <c r="S180" s="5"/>
      <c r="T180" s="5"/>
      <c r="U180" s="5"/>
      <c r="V180" s="5"/>
      <c r="W180" s="5">
        <v>0</v>
      </c>
      <c r="X180" s="5">
        <v>1</v>
      </c>
      <c r="Y180" s="5">
        <v>0</v>
      </c>
      <c r="Z180" s="5">
        <v>0</v>
      </c>
      <c r="AA180" s="5">
        <v>1</v>
      </c>
      <c r="AB180" s="5">
        <v>0</v>
      </c>
    </row>
    <row r="181" spans="1:206" x14ac:dyDescent="0.3">
      <c r="A181" s="5">
        <v>50</v>
      </c>
      <c r="B181" s="5">
        <v>0</v>
      </c>
      <c r="C181" s="5">
        <v>0</v>
      </c>
      <c r="D181" s="5">
        <v>1</v>
      </c>
      <c r="E181" s="5">
        <v>206</v>
      </c>
      <c r="F181" s="5">
        <f>ROUND(Source!T160,O181)</f>
        <v>0</v>
      </c>
      <c r="G181" s="5" t="s">
        <v>95</v>
      </c>
      <c r="H181" s="5" t="s">
        <v>96</v>
      </c>
      <c r="I181" s="5"/>
      <c r="J181" s="5"/>
      <c r="K181" s="5">
        <v>206</v>
      </c>
      <c r="L181" s="5">
        <v>20</v>
      </c>
      <c r="M181" s="5">
        <v>3</v>
      </c>
      <c r="N181" s="5" t="s">
        <v>3</v>
      </c>
      <c r="O181" s="5">
        <v>2</v>
      </c>
      <c r="P181" s="5">
        <f>ROUND(Source!DL160,O181)</f>
        <v>0</v>
      </c>
      <c r="Q181" s="5"/>
      <c r="R181" s="5"/>
      <c r="S181" s="5"/>
      <c r="T181" s="5"/>
      <c r="U181" s="5"/>
      <c r="V181" s="5"/>
      <c r="W181" s="5">
        <v>0</v>
      </c>
      <c r="X181" s="5">
        <v>1</v>
      </c>
      <c r="Y181" s="5">
        <v>0</v>
      </c>
      <c r="Z181" s="5">
        <v>0</v>
      </c>
      <c r="AA181" s="5">
        <v>1</v>
      </c>
      <c r="AB181" s="5">
        <v>0</v>
      </c>
    </row>
    <row r="182" spans="1:206" x14ac:dyDescent="0.3">
      <c r="A182" s="5">
        <v>50</v>
      </c>
      <c r="B182" s="5">
        <v>0</v>
      </c>
      <c r="C182" s="5">
        <v>0</v>
      </c>
      <c r="D182" s="5">
        <v>1</v>
      </c>
      <c r="E182" s="5">
        <v>207</v>
      </c>
      <c r="F182" s="5">
        <f>Source!U160</f>
        <v>63.539123450000005</v>
      </c>
      <c r="G182" s="5" t="s">
        <v>97</v>
      </c>
      <c r="H182" s="5" t="s">
        <v>98</v>
      </c>
      <c r="I182" s="5"/>
      <c r="J182" s="5"/>
      <c r="K182" s="5">
        <v>207</v>
      </c>
      <c r="L182" s="5">
        <v>21</v>
      </c>
      <c r="M182" s="5">
        <v>3</v>
      </c>
      <c r="N182" s="5" t="s">
        <v>3</v>
      </c>
      <c r="O182" s="5">
        <v>-1</v>
      </c>
      <c r="P182" s="5">
        <f>Source!DM160</f>
        <v>63.539123450000005</v>
      </c>
      <c r="Q182" s="5"/>
      <c r="R182" s="5"/>
      <c r="S182" s="5"/>
      <c r="T182" s="5"/>
      <c r="U182" s="5"/>
      <c r="V182" s="5"/>
      <c r="W182" s="5">
        <v>63.539123449999998</v>
      </c>
      <c r="X182" s="5">
        <v>1</v>
      </c>
      <c r="Y182" s="5">
        <v>63.539123449999998</v>
      </c>
      <c r="Z182" s="5">
        <v>63.539123449999998</v>
      </c>
      <c r="AA182" s="5">
        <v>1</v>
      </c>
      <c r="AB182" s="5">
        <v>63.539123449999998</v>
      </c>
    </row>
    <row r="183" spans="1:206" x14ac:dyDescent="0.3">
      <c r="A183" s="5">
        <v>50</v>
      </c>
      <c r="B183" s="5">
        <v>0</v>
      </c>
      <c r="C183" s="5">
        <v>0</v>
      </c>
      <c r="D183" s="5">
        <v>1</v>
      </c>
      <c r="E183" s="5">
        <v>208</v>
      </c>
      <c r="F183" s="5">
        <f>Source!V160</f>
        <v>0</v>
      </c>
      <c r="G183" s="5" t="s">
        <v>99</v>
      </c>
      <c r="H183" s="5" t="s">
        <v>100</v>
      </c>
      <c r="I183" s="5"/>
      <c r="J183" s="5"/>
      <c r="K183" s="5">
        <v>208</v>
      </c>
      <c r="L183" s="5">
        <v>22</v>
      </c>
      <c r="M183" s="5">
        <v>3</v>
      </c>
      <c r="N183" s="5" t="s">
        <v>3</v>
      </c>
      <c r="O183" s="5">
        <v>-1</v>
      </c>
      <c r="P183" s="5">
        <f>Source!DN160</f>
        <v>0</v>
      </c>
      <c r="Q183" s="5"/>
      <c r="R183" s="5"/>
      <c r="S183" s="5"/>
      <c r="T183" s="5"/>
      <c r="U183" s="5"/>
      <c r="V183" s="5"/>
      <c r="W183" s="5">
        <v>0</v>
      </c>
      <c r="X183" s="5">
        <v>1</v>
      </c>
      <c r="Y183" s="5">
        <v>0</v>
      </c>
      <c r="Z183" s="5">
        <v>0</v>
      </c>
      <c r="AA183" s="5">
        <v>1</v>
      </c>
      <c r="AB183" s="5">
        <v>0</v>
      </c>
    </row>
    <row r="184" spans="1:206" x14ac:dyDescent="0.3">
      <c r="A184" s="5">
        <v>50</v>
      </c>
      <c r="B184" s="5">
        <v>0</v>
      </c>
      <c r="C184" s="5">
        <v>0</v>
      </c>
      <c r="D184" s="5">
        <v>1</v>
      </c>
      <c r="E184" s="5">
        <v>209</v>
      </c>
      <c r="F184" s="5">
        <f>ROUND(Source!W160,O184)</f>
        <v>0</v>
      </c>
      <c r="G184" s="5" t="s">
        <v>101</v>
      </c>
      <c r="H184" s="5" t="s">
        <v>102</v>
      </c>
      <c r="I184" s="5"/>
      <c r="J184" s="5"/>
      <c r="K184" s="5">
        <v>209</v>
      </c>
      <c r="L184" s="5">
        <v>23</v>
      </c>
      <c r="M184" s="5">
        <v>3</v>
      </c>
      <c r="N184" s="5" t="s">
        <v>3</v>
      </c>
      <c r="O184" s="5">
        <v>2</v>
      </c>
      <c r="P184" s="5">
        <f>ROUND(Source!DO160,O184)</f>
        <v>0</v>
      </c>
      <c r="Q184" s="5"/>
      <c r="R184" s="5"/>
      <c r="S184" s="5"/>
      <c r="T184" s="5"/>
      <c r="U184" s="5"/>
      <c r="V184" s="5"/>
      <c r="W184" s="5">
        <v>0</v>
      </c>
      <c r="X184" s="5">
        <v>1</v>
      </c>
      <c r="Y184" s="5">
        <v>0</v>
      </c>
      <c r="Z184" s="5">
        <v>0</v>
      </c>
      <c r="AA184" s="5">
        <v>1</v>
      </c>
      <c r="AB184" s="5">
        <v>0</v>
      </c>
    </row>
    <row r="185" spans="1:206" x14ac:dyDescent="0.3">
      <c r="A185" s="5">
        <v>50</v>
      </c>
      <c r="B185" s="5">
        <v>0</v>
      </c>
      <c r="C185" s="5">
        <v>0</v>
      </c>
      <c r="D185" s="5">
        <v>1</v>
      </c>
      <c r="E185" s="5">
        <v>233</v>
      </c>
      <c r="F185" s="5">
        <f>ROUND(Source!BD160,O185)</f>
        <v>0</v>
      </c>
      <c r="G185" s="5" t="s">
        <v>103</v>
      </c>
      <c r="H185" s="5" t="s">
        <v>104</v>
      </c>
      <c r="I185" s="5"/>
      <c r="J185" s="5"/>
      <c r="K185" s="5">
        <v>233</v>
      </c>
      <c r="L185" s="5">
        <v>24</v>
      </c>
      <c r="M185" s="5">
        <v>3</v>
      </c>
      <c r="N185" s="5" t="s">
        <v>3</v>
      </c>
      <c r="O185" s="5">
        <v>2</v>
      </c>
      <c r="P185" s="5">
        <f>ROUND(Source!EV160,O185)</f>
        <v>0</v>
      </c>
      <c r="Q185" s="5"/>
      <c r="R185" s="5"/>
      <c r="S185" s="5"/>
      <c r="T185" s="5"/>
      <c r="U185" s="5"/>
      <c r="V185" s="5"/>
      <c r="W185" s="5">
        <v>0</v>
      </c>
      <c r="X185" s="5">
        <v>1</v>
      </c>
      <c r="Y185" s="5">
        <v>0</v>
      </c>
      <c r="Z185" s="5">
        <v>0</v>
      </c>
      <c r="AA185" s="5">
        <v>1</v>
      </c>
      <c r="AB185" s="5">
        <v>0</v>
      </c>
    </row>
    <row r="186" spans="1:206" x14ac:dyDescent="0.3">
      <c r="A186" s="5">
        <v>50</v>
      </c>
      <c r="B186" s="5">
        <v>0</v>
      </c>
      <c r="C186" s="5">
        <v>0</v>
      </c>
      <c r="D186" s="5">
        <v>1</v>
      </c>
      <c r="E186" s="5">
        <v>210</v>
      </c>
      <c r="F186" s="5">
        <f>ROUND(Source!X160,O186)</f>
        <v>737.37</v>
      </c>
      <c r="G186" s="5" t="s">
        <v>105</v>
      </c>
      <c r="H186" s="5" t="s">
        <v>106</v>
      </c>
      <c r="I186" s="5"/>
      <c r="J186" s="5"/>
      <c r="K186" s="5">
        <v>210</v>
      </c>
      <c r="L186" s="5">
        <v>25</v>
      </c>
      <c r="M186" s="5">
        <v>3</v>
      </c>
      <c r="N186" s="5" t="s">
        <v>3</v>
      </c>
      <c r="O186" s="5">
        <v>2</v>
      </c>
      <c r="P186" s="5">
        <f>ROUND(Source!DP160,O186)</f>
        <v>40547.870000000003</v>
      </c>
      <c r="Q186" s="5"/>
      <c r="R186" s="5"/>
      <c r="S186" s="5"/>
      <c r="T186" s="5"/>
      <c r="U186" s="5"/>
      <c r="V186" s="5"/>
      <c r="W186" s="5">
        <v>737.37</v>
      </c>
      <c r="X186" s="5">
        <v>1</v>
      </c>
      <c r="Y186" s="5">
        <v>737.37</v>
      </c>
      <c r="Z186" s="5">
        <v>40547.870000000003</v>
      </c>
      <c r="AA186" s="5">
        <v>1</v>
      </c>
      <c r="AB186" s="5">
        <v>40547.870000000003</v>
      </c>
    </row>
    <row r="187" spans="1:206" x14ac:dyDescent="0.3">
      <c r="A187" s="5">
        <v>50</v>
      </c>
      <c r="B187" s="5">
        <v>0</v>
      </c>
      <c r="C187" s="5">
        <v>0</v>
      </c>
      <c r="D187" s="5">
        <v>1</v>
      </c>
      <c r="E187" s="5">
        <v>211</v>
      </c>
      <c r="F187" s="5">
        <f>ROUND(Source!Y160,O187)</f>
        <v>388.79</v>
      </c>
      <c r="G187" s="5" t="s">
        <v>107</v>
      </c>
      <c r="H187" s="5" t="s">
        <v>108</v>
      </c>
      <c r="I187" s="5"/>
      <c r="J187" s="5"/>
      <c r="K187" s="5">
        <v>211</v>
      </c>
      <c r="L187" s="5">
        <v>26</v>
      </c>
      <c r="M187" s="5">
        <v>3</v>
      </c>
      <c r="N187" s="5" t="s">
        <v>3</v>
      </c>
      <c r="O187" s="5">
        <v>2</v>
      </c>
      <c r="P187" s="5">
        <f>ROUND(Source!DQ160,O187)</f>
        <v>21378.46</v>
      </c>
      <c r="Q187" s="5"/>
      <c r="R187" s="5"/>
      <c r="S187" s="5"/>
      <c r="T187" s="5"/>
      <c r="U187" s="5"/>
      <c r="V187" s="5"/>
      <c r="W187" s="5">
        <v>388.79</v>
      </c>
      <c r="X187" s="5">
        <v>1</v>
      </c>
      <c r="Y187" s="5">
        <v>388.79</v>
      </c>
      <c r="Z187" s="5">
        <v>21378.46</v>
      </c>
      <c r="AA187" s="5">
        <v>1</v>
      </c>
      <c r="AB187" s="5">
        <v>21378.46</v>
      </c>
    </row>
    <row r="188" spans="1:206" x14ac:dyDescent="0.3">
      <c r="A188" s="5">
        <v>50</v>
      </c>
      <c r="B188" s="5">
        <v>0</v>
      </c>
      <c r="C188" s="5">
        <v>0</v>
      </c>
      <c r="D188" s="5">
        <v>1</v>
      </c>
      <c r="E188" s="5">
        <v>224</v>
      </c>
      <c r="F188" s="5">
        <f>ROUND(Source!AR160,O188)</f>
        <v>22038.21</v>
      </c>
      <c r="G188" s="5" t="s">
        <v>109</v>
      </c>
      <c r="H188" s="5" t="s">
        <v>110</v>
      </c>
      <c r="I188" s="5"/>
      <c r="J188" s="5"/>
      <c r="K188" s="5">
        <v>224</v>
      </c>
      <c r="L188" s="5">
        <v>27</v>
      </c>
      <c r="M188" s="5">
        <v>3</v>
      </c>
      <c r="N188" s="5" t="s">
        <v>3</v>
      </c>
      <c r="O188" s="5">
        <v>2</v>
      </c>
      <c r="P188" s="5">
        <f>ROUND(Source!EJ160,O188)</f>
        <v>267522.69</v>
      </c>
      <c r="Q188" s="5"/>
      <c r="R188" s="5"/>
      <c r="S188" s="5"/>
      <c r="T188" s="5"/>
      <c r="U188" s="5"/>
      <c r="V188" s="5"/>
      <c r="W188" s="5">
        <v>22038.21</v>
      </c>
      <c r="X188" s="5">
        <v>1</v>
      </c>
      <c r="Y188" s="5">
        <v>22038.21</v>
      </c>
      <c r="Z188" s="5">
        <v>267522.69</v>
      </c>
      <c r="AA188" s="5">
        <v>1</v>
      </c>
      <c r="AB188" s="5">
        <v>267522.69</v>
      </c>
    </row>
    <row r="190" spans="1:206" x14ac:dyDescent="0.3">
      <c r="A190" s="3">
        <v>51</v>
      </c>
      <c r="B190" s="3">
        <f>B12</f>
        <v>229</v>
      </c>
      <c r="C190" s="3">
        <f>A12</f>
        <v>1</v>
      </c>
      <c r="D190" s="3">
        <f>ROW(A12)</f>
        <v>12</v>
      </c>
      <c r="E190" s="3"/>
      <c r="F190" s="3" t="str">
        <f>IF(F12&lt;&gt;"",F12,"")</f>
        <v>02-01-11</v>
      </c>
      <c r="G190" s="3" t="str">
        <f>IF(G12&lt;&gt;"",G12,"")</f>
        <v>02-01-11 СКТ</v>
      </c>
      <c r="H190" s="3">
        <v>0</v>
      </c>
      <c r="I190" s="3"/>
      <c r="J190" s="3"/>
      <c r="K190" s="3"/>
      <c r="L190" s="3"/>
      <c r="M190" s="3"/>
      <c r="N190" s="3"/>
      <c r="O190" s="3">
        <f t="shared" ref="O190:T190" si="160">ROUND(O160,2)</f>
        <v>20912.05</v>
      </c>
      <c r="P190" s="3">
        <f t="shared" si="160"/>
        <v>20094.21</v>
      </c>
      <c r="Q190" s="3">
        <f t="shared" si="160"/>
        <v>19.37</v>
      </c>
      <c r="R190" s="3">
        <f t="shared" si="160"/>
        <v>0.37</v>
      </c>
      <c r="S190" s="3">
        <f t="shared" si="160"/>
        <v>798.47</v>
      </c>
      <c r="T190" s="3">
        <f t="shared" si="160"/>
        <v>0</v>
      </c>
      <c r="U190" s="3">
        <f>U160</f>
        <v>63.539123450000005</v>
      </c>
      <c r="V190" s="3">
        <f>V160</f>
        <v>0</v>
      </c>
      <c r="W190" s="3">
        <f>ROUND(W160,2)</f>
        <v>0</v>
      </c>
      <c r="X190" s="3">
        <f>ROUND(X160,2)</f>
        <v>737.37</v>
      </c>
      <c r="Y190" s="3">
        <f>ROUND(Y160,2)</f>
        <v>388.79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>
        <f t="shared" ref="AO190:BD190" si="161">ROUND(AO160,2)</f>
        <v>0</v>
      </c>
      <c r="AP190" s="3">
        <f t="shared" si="161"/>
        <v>8788.39</v>
      </c>
      <c r="AQ190" s="3">
        <f t="shared" si="161"/>
        <v>0</v>
      </c>
      <c r="AR190" s="3">
        <f t="shared" si="161"/>
        <v>22038.21</v>
      </c>
      <c r="AS190" s="3">
        <f t="shared" si="161"/>
        <v>0</v>
      </c>
      <c r="AT190" s="3">
        <f t="shared" si="161"/>
        <v>13249.82</v>
      </c>
      <c r="AU190" s="3">
        <f t="shared" si="161"/>
        <v>0</v>
      </c>
      <c r="AV190" s="3">
        <f t="shared" si="161"/>
        <v>20094.21</v>
      </c>
      <c r="AW190" s="3">
        <f t="shared" si="161"/>
        <v>11305.82</v>
      </c>
      <c r="AX190" s="3">
        <f t="shared" si="161"/>
        <v>0</v>
      </c>
      <c r="AY190" s="3">
        <f t="shared" si="161"/>
        <v>11305.82</v>
      </c>
      <c r="AZ190" s="3">
        <f t="shared" si="161"/>
        <v>8788.39</v>
      </c>
      <c r="BA190" s="3">
        <f t="shared" si="161"/>
        <v>0</v>
      </c>
      <c r="BB190" s="3">
        <f t="shared" si="161"/>
        <v>0</v>
      </c>
      <c r="BC190" s="3">
        <f t="shared" si="161"/>
        <v>0</v>
      </c>
      <c r="BD190" s="3">
        <f t="shared" si="161"/>
        <v>0</v>
      </c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4">
        <f t="shared" ref="DG190:DL190" si="162">ROUND(DG160,2)</f>
        <v>205596.36</v>
      </c>
      <c r="DH190" s="4">
        <f t="shared" si="162"/>
        <v>161465.66</v>
      </c>
      <c r="DI190" s="4">
        <f t="shared" si="162"/>
        <v>222.82</v>
      </c>
      <c r="DJ190" s="4">
        <f t="shared" si="162"/>
        <v>20.350000000000001</v>
      </c>
      <c r="DK190" s="4">
        <f t="shared" si="162"/>
        <v>43907.88</v>
      </c>
      <c r="DL190" s="4">
        <f t="shared" si="162"/>
        <v>0</v>
      </c>
      <c r="DM190" s="4">
        <f>DM160</f>
        <v>63.539123450000005</v>
      </c>
      <c r="DN190" s="4">
        <f>DN160</f>
        <v>0</v>
      </c>
      <c r="DO190" s="4">
        <f>ROUND(DO160,2)</f>
        <v>0</v>
      </c>
      <c r="DP190" s="4">
        <f>ROUND(DP160,2)</f>
        <v>40547.870000000003</v>
      </c>
      <c r="DQ190" s="4">
        <f>ROUND(DQ160,2)</f>
        <v>21378.46</v>
      </c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>
        <f t="shared" ref="EG190:EV190" si="163">ROUND(EG160,2)</f>
        <v>0</v>
      </c>
      <c r="EH190" s="4">
        <f t="shared" si="163"/>
        <v>67319.070000000007</v>
      </c>
      <c r="EI190" s="4">
        <f t="shared" si="163"/>
        <v>0</v>
      </c>
      <c r="EJ190" s="4">
        <f t="shared" si="163"/>
        <v>267522.69</v>
      </c>
      <c r="EK190" s="4">
        <f t="shared" si="163"/>
        <v>0</v>
      </c>
      <c r="EL190" s="4">
        <f t="shared" si="163"/>
        <v>200203.62</v>
      </c>
      <c r="EM190" s="4">
        <f t="shared" si="163"/>
        <v>0</v>
      </c>
      <c r="EN190" s="4">
        <f t="shared" si="163"/>
        <v>161465.66</v>
      </c>
      <c r="EO190" s="4">
        <f t="shared" si="163"/>
        <v>94146.59</v>
      </c>
      <c r="EP190" s="4">
        <f t="shared" si="163"/>
        <v>0</v>
      </c>
      <c r="EQ190" s="4">
        <f t="shared" si="163"/>
        <v>94146.59</v>
      </c>
      <c r="ER190" s="4">
        <f t="shared" si="163"/>
        <v>67319.070000000007</v>
      </c>
      <c r="ES190" s="4">
        <f t="shared" si="163"/>
        <v>0</v>
      </c>
      <c r="ET190" s="4">
        <f t="shared" si="163"/>
        <v>0</v>
      </c>
      <c r="EU190" s="4">
        <f t="shared" si="163"/>
        <v>0</v>
      </c>
      <c r="EV190" s="4">
        <f t="shared" si="163"/>
        <v>0</v>
      </c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>
        <v>0</v>
      </c>
    </row>
    <row r="192" spans="1:206" x14ac:dyDescent="0.3">
      <c r="A192" s="5">
        <v>50</v>
      </c>
      <c r="B192" s="5">
        <v>0</v>
      </c>
      <c r="C192" s="5">
        <v>0</v>
      </c>
      <c r="D192" s="5">
        <v>1</v>
      </c>
      <c r="E192" s="5">
        <v>201</v>
      </c>
      <c r="F192" s="5">
        <f>ROUND(Source!O190,O192)</f>
        <v>20912.05</v>
      </c>
      <c r="G192" s="5" t="s">
        <v>57</v>
      </c>
      <c r="H192" s="5" t="s">
        <v>58</v>
      </c>
      <c r="I192" s="5"/>
      <c r="J192" s="5"/>
      <c r="K192" s="5">
        <v>201</v>
      </c>
      <c r="L192" s="5">
        <v>1</v>
      </c>
      <c r="M192" s="5">
        <v>3</v>
      </c>
      <c r="N192" s="5" t="s">
        <v>3</v>
      </c>
      <c r="O192" s="5">
        <v>2</v>
      </c>
      <c r="P192" s="5">
        <f>ROUND(Source!DG190,O192)</f>
        <v>205596.36</v>
      </c>
      <c r="Q192" s="5"/>
      <c r="R192" s="5"/>
      <c r="S192" s="5"/>
      <c r="T192" s="5"/>
      <c r="U192" s="5"/>
      <c r="V192" s="5"/>
      <c r="W192" s="5">
        <v>20912.05</v>
      </c>
      <c r="X192" s="5">
        <v>1</v>
      </c>
      <c r="Y192" s="5">
        <v>20912.05</v>
      </c>
      <c r="Z192" s="5">
        <v>205596.36</v>
      </c>
      <c r="AA192" s="5">
        <v>1</v>
      </c>
      <c r="AB192" s="5">
        <v>205596.36</v>
      </c>
    </row>
    <row r="193" spans="1:28" x14ac:dyDescent="0.3">
      <c r="A193" s="5">
        <v>50</v>
      </c>
      <c r="B193" s="5">
        <v>0</v>
      </c>
      <c r="C193" s="5">
        <v>0</v>
      </c>
      <c r="D193" s="5">
        <v>1</v>
      </c>
      <c r="E193" s="5">
        <v>202</v>
      </c>
      <c r="F193" s="5">
        <f>ROUND(Source!P190,O193)</f>
        <v>20094.21</v>
      </c>
      <c r="G193" s="5" t="s">
        <v>59</v>
      </c>
      <c r="H193" s="5" t="s">
        <v>60</v>
      </c>
      <c r="I193" s="5"/>
      <c r="J193" s="5"/>
      <c r="K193" s="5">
        <v>202</v>
      </c>
      <c r="L193" s="5">
        <v>2</v>
      </c>
      <c r="M193" s="5">
        <v>3</v>
      </c>
      <c r="N193" s="5" t="s">
        <v>3</v>
      </c>
      <c r="O193" s="5">
        <v>2</v>
      </c>
      <c r="P193" s="5">
        <f>ROUND(Source!DH190,O193)</f>
        <v>161465.66</v>
      </c>
      <c r="Q193" s="5"/>
      <c r="R193" s="5"/>
      <c r="S193" s="5"/>
      <c r="T193" s="5"/>
      <c r="U193" s="5"/>
      <c r="V193" s="5"/>
      <c r="W193" s="5">
        <v>20094.21</v>
      </c>
      <c r="X193" s="5">
        <v>1</v>
      </c>
      <c r="Y193" s="5">
        <v>20094.21</v>
      </c>
      <c r="Z193" s="5">
        <v>161465.66</v>
      </c>
      <c r="AA193" s="5">
        <v>1</v>
      </c>
      <c r="AB193" s="5">
        <v>161465.66</v>
      </c>
    </row>
    <row r="194" spans="1:28" x14ac:dyDescent="0.3">
      <c r="A194" s="5">
        <v>50</v>
      </c>
      <c r="B194" s="5">
        <v>0</v>
      </c>
      <c r="C194" s="5">
        <v>0</v>
      </c>
      <c r="D194" s="5">
        <v>1</v>
      </c>
      <c r="E194" s="5">
        <v>222</v>
      </c>
      <c r="F194" s="5">
        <f>ROUND(Source!AO190,O194)</f>
        <v>0</v>
      </c>
      <c r="G194" s="5" t="s">
        <v>61</v>
      </c>
      <c r="H194" s="5" t="s">
        <v>62</v>
      </c>
      <c r="I194" s="5"/>
      <c r="J194" s="5"/>
      <c r="K194" s="5">
        <v>222</v>
      </c>
      <c r="L194" s="5">
        <v>3</v>
      </c>
      <c r="M194" s="5">
        <v>3</v>
      </c>
      <c r="N194" s="5" t="s">
        <v>3</v>
      </c>
      <c r="O194" s="5">
        <v>2</v>
      </c>
      <c r="P194" s="5">
        <f>ROUND(Source!EG190,O194)</f>
        <v>0</v>
      </c>
      <c r="Q194" s="5"/>
      <c r="R194" s="5"/>
      <c r="S194" s="5"/>
      <c r="T194" s="5"/>
      <c r="U194" s="5"/>
      <c r="V194" s="5"/>
      <c r="W194" s="5">
        <v>0</v>
      </c>
      <c r="X194" s="5">
        <v>1</v>
      </c>
      <c r="Y194" s="5">
        <v>0</v>
      </c>
      <c r="Z194" s="5">
        <v>0</v>
      </c>
      <c r="AA194" s="5">
        <v>1</v>
      </c>
      <c r="AB194" s="5">
        <v>0</v>
      </c>
    </row>
    <row r="195" spans="1:28" x14ac:dyDescent="0.3">
      <c r="A195" s="5">
        <v>50</v>
      </c>
      <c r="B195" s="5">
        <v>0</v>
      </c>
      <c r="C195" s="5">
        <v>0</v>
      </c>
      <c r="D195" s="5">
        <v>1</v>
      </c>
      <c r="E195" s="5">
        <v>225</v>
      </c>
      <c r="F195" s="5">
        <f>ROUND(Source!AV190,O195)</f>
        <v>20094.21</v>
      </c>
      <c r="G195" s="5" t="s">
        <v>63</v>
      </c>
      <c r="H195" s="5" t="s">
        <v>64</v>
      </c>
      <c r="I195" s="5"/>
      <c r="J195" s="5"/>
      <c r="K195" s="5">
        <v>225</v>
      </c>
      <c r="L195" s="5">
        <v>4</v>
      </c>
      <c r="M195" s="5">
        <v>3</v>
      </c>
      <c r="N195" s="5" t="s">
        <v>3</v>
      </c>
      <c r="O195" s="5">
        <v>2</v>
      </c>
      <c r="P195" s="5">
        <f>ROUND(Source!EN190,O195)</f>
        <v>161465.66</v>
      </c>
      <c r="Q195" s="5"/>
      <c r="R195" s="5"/>
      <c r="S195" s="5"/>
      <c r="T195" s="5"/>
      <c r="U195" s="5"/>
      <c r="V195" s="5"/>
      <c r="W195" s="5">
        <v>20094.21</v>
      </c>
      <c r="X195" s="5">
        <v>1</v>
      </c>
      <c r="Y195" s="5">
        <v>20094.21</v>
      </c>
      <c r="Z195" s="5">
        <v>161465.66</v>
      </c>
      <c r="AA195" s="5">
        <v>1</v>
      </c>
      <c r="AB195" s="5">
        <v>161465.66</v>
      </c>
    </row>
    <row r="196" spans="1:28" x14ac:dyDescent="0.3">
      <c r="A196" s="5">
        <v>50</v>
      </c>
      <c r="B196" s="5">
        <v>0</v>
      </c>
      <c r="C196" s="5">
        <v>0</v>
      </c>
      <c r="D196" s="5">
        <v>1</v>
      </c>
      <c r="E196" s="5">
        <v>226</v>
      </c>
      <c r="F196" s="5">
        <f>ROUND(Source!AW190,O196)</f>
        <v>11305.82</v>
      </c>
      <c r="G196" s="5" t="s">
        <v>65</v>
      </c>
      <c r="H196" s="5" t="s">
        <v>66</v>
      </c>
      <c r="I196" s="5"/>
      <c r="J196" s="5"/>
      <c r="K196" s="5">
        <v>226</v>
      </c>
      <c r="L196" s="5">
        <v>5</v>
      </c>
      <c r="M196" s="5">
        <v>3</v>
      </c>
      <c r="N196" s="5" t="s">
        <v>3</v>
      </c>
      <c r="O196" s="5">
        <v>2</v>
      </c>
      <c r="P196" s="5">
        <f>ROUND(Source!EO190,O196)</f>
        <v>94146.59</v>
      </c>
      <c r="Q196" s="5"/>
      <c r="R196" s="5"/>
      <c r="S196" s="5"/>
      <c r="T196" s="5"/>
      <c r="U196" s="5"/>
      <c r="V196" s="5"/>
      <c r="W196" s="5">
        <v>11305.82</v>
      </c>
      <c r="X196" s="5">
        <v>1</v>
      </c>
      <c r="Y196" s="5">
        <v>11305.82</v>
      </c>
      <c r="Z196" s="5">
        <v>94146.59</v>
      </c>
      <c r="AA196" s="5">
        <v>1</v>
      </c>
      <c r="AB196" s="5">
        <v>94146.59</v>
      </c>
    </row>
    <row r="197" spans="1:28" x14ac:dyDescent="0.3">
      <c r="A197" s="5">
        <v>50</v>
      </c>
      <c r="B197" s="5">
        <v>0</v>
      </c>
      <c r="C197" s="5">
        <v>0</v>
      </c>
      <c r="D197" s="5">
        <v>1</v>
      </c>
      <c r="E197" s="5">
        <v>227</v>
      </c>
      <c r="F197" s="5">
        <f>ROUND(Source!AX190,O197)</f>
        <v>0</v>
      </c>
      <c r="G197" s="5" t="s">
        <v>67</v>
      </c>
      <c r="H197" s="5" t="s">
        <v>68</v>
      </c>
      <c r="I197" s="5"/>
      <c r="J197" s="5"/>
      <c r="K197" s="5">
        <v>227</v>
      </c>
      <c r="L197" s="5">
        <v>6</v>
      </c>
      <c r="M197" s="5">
        <v>3</v>
      </c>
      <c r="N197" s="5" t="s">
        <v>3</v>
      </c>
      <c r="O197" s="5">
        <v>2</v>
      </c>
      <c r="P197" s="5">
        <f>ROUND(Source!EP190,O197)</f>
        <v>0</v>
      </c>
      <c r="Q197" s="5"/>
      <c r="R197" s="5"/>
      <c r="S197" s="5"/>
      <c r="T197" s="5"/>
      <c r="U197" s="5"/>
      <c r="V197" s="5"/>
      <c r="W197" s="5">
        <v>0</v>
      </c>
      <c r="X197" s="5">
        <v>1</v>
      </c>
      <c r="Y197" s="5">
        <v>0</v>
      </c>
      <c r="Z197" s="5">
        <v>0</v>
      </c>
      <c r="AA197" s="5">
        <v>1</v>
      </c>
      <c r="AB197" s="5">
        <v>0</v>
      </c>
    </row>
    <row r="198" spans="1:28" x14ac:dyDescent="0.3">
      <c r="A198" s="5">
        <v>50</v>
      </c>
      <c r="B198" s="5">
        <v>0</v>
      </c>
      <c r="C198" s="5">
        <v>0</v>
      </c>
      <c r="D198" s="5">
        <v>1</v>
      </c>
      <c r="E198" s="5">
        <v>228</v>
      </c>
      <c r="F198" s="5">
        <f>ROUND(Source!AY190,O198)</f>
        <v>11305.82</v>
      </c>
      <c r="G198" s="5" t="s">
        <v>69</v>
      </c>
      <c r="H198" s="5" t="s">
        <v>70</v>
      </c>
      <c r="I198" s="5"/>
      <c r="J198" s="5"/>
      <c r="K198" s="5">
        <v>228</v>
      </c>
      <c r="L198" s="5">
        <v>7</v>
      </c>
      <c r="M198" s="5">
        <v>3</v>
      </c>
      <c r="N198" s="5" t="s">
        <v>3</v>
      </c>
      <c r="O198" s="5">
        <v>2</v>
      </c>
      <c r="P198" s="5">
        <f>ROUND(Source!EQ190,O198)</f>
        <v>94146.59</v>
      </c>
      <c r="Q198" s="5"/>
      <c r="R198" s="5"/>
      <c r="S198" s="5"/>
      <c r="T198" s="5"/>
      <c r="U198" s="5"/>
      <c r="V198" s="5"/>
      <c r="W198" s="5">
        <v>11305.82</v>
      </c>
      <c r="X198" s="5">
        <v>1</v>
      </c>
      <c r="Y198" s="5">
        <v>11305.82</v>
      </c>
      <c r="Z198" s="5">
        <v>94146.59</v>
      </c>
      <c r="AA198" s="5">
        <v>1</v>
      </c>
      <c r="AB198" s="5">
        <v>94146.59</v>
      </c>
    </row>
    <row r="199" spans="1:28" x14ac:dyDescent="0.3">
      <c r="A199" s="5">
        <v>50</v>
      </c>
      <c r="B199" s="5">
        <v>0</v>
      </c>
      <c r="C199" s="5">
        <v>0</v>
      </c>
      <c r="D199" s="5">
        <v>1</v>
      </c>
      <c r="E199" s="5">
        <v>216</v>
      </c>
      <c r="F199" s="5">
        <f>ROUND(Source!AP190,O199)</f>
        <v>8788.39</v>
      </c>
      <c r="G199" s="5" t="s">
        <v>71</v>
      </c>
      <c r="H199" s="5" t="s">
        <v>72</v>
      </c>
      <c r="I199" s="5"/>
      <c r="J199" s="5"/>
      <c r="K199" s="5">
        <v>216</v>
      </c>
      <c r="L199" s="5">
        <v>8</v>
      </c>
      <c r="M199" s="5">
        <v>3</v>
      </c>
      <c r="N199" s="5" t="s">
        <v>3</v>
      </c>
      <c r="O199" s="5">
        <v>2</v>
      </c>
      <c r="P199" s="5">
        <f>ROUND(Source!EH190,O199)</f>
        <v>67319.070000000007</v>
      </c>
      <c r="Q199" s="5"/>
      <c r="R199" s="5"/>
      <c r="S199" s="5"/>
      <c r="T199" s="5"/>
      <c r="U199" s="5"/>
      <c r="V199" s="5"/>
      <c r="W199" s="5">
        <v>8788.39</v>
      </c>
      <c r="X199" s="5">
        <v>1</v>
      </c>
      <c r="Y199" s="5">
        <v>8788.39</v>
      </c>
      <c r="Z199" s="5">
        <v>67319.070000000007</v>
      </c>
      <c r="AA199" s="5">
        <v>1</v>
      </c>
      <c r="AB199" s="5">
        <v>67319.070000000007</v>
      </c>
    </row>
    <row r="200" spans="1:28" x14ac:dyDescent="0.3">
      <c r="A200" s="5">
        <v>50</v>
      </c>
      <c r="B200" s="5">
        <v>0</v>
      </c>
      <c r="C200" s="5">
        <v>0</v>
      </c>
      <c r="D200" s="5">
        <v>1</v>
      </c>
      <c r="E200" s="5">
        <v>223</v>
      </c>
      <c r="F200" s="5">
        <f>ROUND(Source!AQ190,O200)</f>
        <v>0</v>
      </c>
      <c r="G200" s="5" t="s">
        <v>73</v>
      </c>
      <c r="H200" s="5" t="s">
        <v>74</v>
      </c>
      <c r="I200" s="5"/>
      <c r="J200" s="5"/>
      <c r="K200" s="5">
        <v>223</v>
      </c>
      <c r="L200" s="5">
        <v>9</v>
      </c>
      <c r="M200" s="5">
        <v>3</v>
      </c>
      <c r="N200" s="5" t="s">
        <v>3</v>
      </c>
      <c r="O200" s="5">
        <v>2</v>
      </c>
      <c r="P200" s="5">
        <f>ROUND(Source!EI190,O200)</f>
        <v>0</v>
      </c>
      <c r="Q200" s="5"/>
      <c r="R200" s="5"/>
      <c r="S200" s="5"/>
      <c r="T200" s="5"/>
      <c r="U200" s="5"/>
      <c r="V200" s="5"/>
      <c r="W200" s="5">
        <v>0</v>
      </c>
      <c r="X200" s="5">
        <v>1</v>
      </c>
      <c r="Y200" s="5">
        <v>0</v>
      </c>
      <c r="Z200" s="5">
        <v>0</v>
      </c>
      <c r="AA200" s="5">
        <v>1</v>
      </c>
      <c r="AB200" s="5">
        <v>0</v>
      </c>
    </row>
    <row r="201" spans="1:28" x14ac:dyDescent="0.3">
      <c r="A201" s="5">
        <v>50</v>
      </c>
      <c r="B201" s="5">
        <v>0</v>
      </c>
      <c r="C201" s="5">
        <v>0</v>
      </c>
      <c r="D201" s="5">
        <v>1</v>
      </c>
      <c r="E201" s="5">
        <v>229</v>
      </c>
      <c r="F201" s="5">
        <f>ROUND(Source!AZ190,O201)</f>
        <v>8788.39</v>
      </c>
      <c r="G201" s="5" t="s">
        <v>75</v>
      </c>
      <c r="H201" s="5" t="s">
        <v>76</v>
      </c>
      <c r="I201" s="5"/>
      <c r="J201" s="5"/>
      <c r="K201" s="5">
        <v>229</v>
      </c>
      <c r="L201" s="5">
        <v>10</v>
      </c>
      <c r="M201" s="5">
        <v>3</v>
      </c>
      <c r="N201" s="5" t="s">
        <v>3</v>
      </c>
      <c r="O201" s="5">
        <v>2</v>
      </c>
      <c r="P201" s="5">
        <f>ROUND(Source!ER190,O201)</f>
        <v>67319.070000000007</v>
      </c>
      <c r="Q201" s="5"/>
      <c r="R201" s="5"/>
      <c r="S201" s="5"/>
      <c r="T201" s="5"/>
      <c r="U201" s="5"/>
      <c r="V201" s="5"/>
      <c r="W201" s="5">
        <v>8788.39</v>
      </c>
      <c r="X201" s="5">
        <v>1</v>
      </c>
      <c r="Y201" s="5">
        <v>8788.39</v>
      </c>
      <c r="Z201" s="5">
        <v>67319.070000000007</v>
      </c>
      <c r="AA201" s="5">
        <v>1</v>
      </c>
      <c r="AB201" s="5">
        <v>67319.070000000007</v>
      </c>
    </row>
    <row r="202" spans="1:28" x14ac:dyDescent="0.3">
      <c r="A202" s="5">
        <v>50</v>
      </c>
      <c r="B202" s="5">
        <v>0</v>
      </c>
      <c r="C202" s="5">
        <v>0</v>
      </c>
      <c r="D202" s="5">
        <v>1</v>
      </c>
      <c r="E202" s="5">
        <v>203</v>
      </c>
      <c r="F202" s="5">
        <f>ROUND(Source!Q190,O202)</f>
        <v>19.37</v>
      </c>
      <c r="G202" s="5" t="s">
        <v>77</v>
      </c>
      <c r="H202" s="5" t="s">
        <v>78</v>
      </c>
      <c r="I202" s="5"/>
      <c r="J202" s="5"/>
      <c r="K202" s="5">
        <v>203</v>
      </c>
      <c r="L202" s="5">
        <v>11</v>
      </c>
      <c r="M202" s="5">
        <v>3</v>
      </c>
      <c r="N202" s="5" t="s">
        <v>3</v>
      </c>
      <c r="O202" s="5">
        <v>2</v>
      </c>
      <c r="P202" s="5">
        <f>ROUND(Source!DI190,O202)</f>
        <v>222.82</v>
      </c>
      <c r="Q202" s="5"/>
      <c r="R202" s="5"/>
      <c r="S202" s="5"/>
      <c r="T202" s="5"/>
      <c r="U202" s="5"/>
      <c r="V202" s="5"/>
      <c r="W202" s="5">
        <v>19.37</v>
      </c>
      <c r="X202" s="5">
        <v>1</v>
      </c>
      <c r="Y202" s="5">
        <v>19.37</v>
      </c>
      <c r="Z202" s="5">
        <v>222.82</v>
      </c>
      <c r="AA202" s="5">
        <v>1</v>
      </c>
      <c r="AB202" s="5">
        <v>222.82</v>
      </c>
    </row>
    <row r="203" spans="1:28" x14ac:dyDescent="0.3">
      <c r="A203" s="5">
        <v>50</v>
      </c>
      <c r="B203" s="5">
        <v>0</v>
      </c>
      <c r="C203" s="5">
        <v>0</v>
      </c>
      <c r="D203" s="5">
        <v>1</v>
      </c>
      <c r="E203" s="5">
        <v>231</v>
      </c>
      <c r="F203" s="5">
        <f>ROUND(Source!BB190,O203)</f>
        <v>0</v>
      </c>
      <c r="G203" s="5" t="s">
        <v>79</v>
      </c>
      <c r="H203" s="5" t="s">
        <v>80</v>
      </c>
      <c r="I203" s="5"/>
      <c r="J203" s="5"/>
      <c r="K203" s="5">
        <v>231</v>
      </c>
      <c r="L203" s="5">
        <v>12</v>
      </c>
      <c r="M203" s="5">
        <v>3</v>
      </c>
      <c r="N203" s="5" t="s">
        <v>3</v>
      </c>
      <c r="O203" s="5">
        <v>2</v>
      </c>
      <c r="P203" s="5">
        <f>ROUND(Source!ET190,O203)</f>
        <v>0</v>
      </c>
      <c r="Q203" s="5"/>
      <c r="R203" s="5"/>
      <c r="S203" s="5"/>
      <c r="T203" s="5"/>
      <c r="U203" s="5"/>
      <c r="V203" s="5"/>
      <c r="W203" s="5">
        <v>0</v>
      </c>
      <c r="X203" s="5">
        <v>1</v>
      </c>
      <c r="Y203" s="5">
        <v>0</v>
      </c>
      <c r="Z203" s="5">
        <v>0</v>
      </c>
      <c r="AA203" s="5">
        <v>1</v>
      </c>
      <c r="AB203" s="5">
        <v>0</v>
      </c>
    </row>
    <row r="204" spans="1:28" x14ac:dyDescent="0.3">
      <c r="A204" s="5">
        <v>50</v>
      </c>
      <c r="B204" s="5">
        <v>0</v>
      </c>
      <c r="C204" s="5">
        <v>0</v>
      </c>
      <c r="D204" s="5">
        <v>1</v>
      </c>
      <c r="E204" s="5">
        <v>204</v>
      </c>
      <c r="F204" s="5">
        <f>ROUND(Source!R190,O204)</f>
        <v>0.37</v>
      </c>
      <c r="G204" s="5" t="s">
        <v>81</v>
      </c>
      <c r="H204" s="5" t="s">
        <v>82</v>
      </c>
      <c r="I204" s="5"/>
      <c r="J204" s="5"/>
      <c r="K204" s="5">
        <v>204</v>
      </c>
      <c r="L204" s="5">
        <v>13</v>
      </c>
      <c r="M204" s="5">
        <v>3</v>
      </c>
      <c r="N204" s="5" t="s">
        <v>3</v>
      </c>
      <c r="O204" s="5">
        <v>2</v>
      </c>
      <c r="P204" s="5">
        <f>ROUND(Source!DJ190,O204)</f>
        <v>20.350000000000001</v>
      </c>
      <c r="Q204" s="5"/>
      <c r="R204" s="5"/>
      <c r="S204" s="5"/>
      <c r="T204" s="5"/>
      <c r="U204" s="5"/>
      <c r="V204" s="5"/>
      <c r="W204" s="5">
        <v>0.37</v>
      </c>
      <c r="X204" s="5">
        <v>1</v>
      </c>
      <c r="Y204" s="5">
        <v>0.37</v>
      </c>
      <c r="Z204" s="5">
        <v>20.350000000000001</v>
      </c>
      <c r="AA204" s="5">
        <v>1</v>
      </c>
      <c r="AB204" s="5">
        <v>20.350000000000001</v>
      </c>
    </row>
    <row r="205" spans="1:28" x14ac:dyDescent="0.3">
      <c r="A205" s="5">
        <v>50</v>
      </c>
      <c r="B205" s="5">
        <v>0</v>
      </c>
      <c r="C205" s="5">
        <v>0</v>
      </c>
      <c r="D205" s="5">
        <v>1</v>
      </c>
      <c r="E205" s="5">
        <v>205</v>
      </c>
      <c r="F205" s="5">
        <f>ROUND(Source!S190,O205)</f>
        <v>798.47</v>
      </c>
      <c r="G205" s="5" t="s">
        <v>83</v>
      </c>
      <c r="H205" s="5" t="s">
        <v>84</v>
      </c>
      <c r="I205" s="5"/>
      <c r="J205" s="5"/>
      <c r="K205" s="5">
        <v>205</v>
      </c>
      <c r="L205" s="5">
        <v>14</v>
      </c>
      <c r="M205" s="5">
        <v>3</v>
      </c>
      <c r="N205" s="5" t="s">
        <v>3</v>
      </c>
      <c r="O205" s="5">
        <v>2</v>
      </c>
      <c r="P205" s="5">
        <f>ROUND(Source!DK190,O205)</f>
        <v>43907.88</v>
      </c>
      <c r="Q205" s="5"/>
      <c r="R205" s="5"/>
      <c r="S205" s="5"/>
      <c r="T205" s="5"/>
      <c r="U205" s="5"/>
      <c r="V205" s="5"/>
      <c r="W205" s="5">
        <v>798.47</v>
      </c>
      <c r="X205" s="5">
        <v>1</v>
      </c>
      <c r="Y205" s="5">
        <v>798.47</v>
      </c>
      <c r="Z205" s="5">
        <v>43907.88</v>
      </c>
      <c r="AA205" s="5">
        <v>1</v>
      </c>
      <c r="AB205" s="5">
        <v>43907.88</v>
      </c>
    </row>
    <row r="206" spans="1:28" x14ac:dyDescent="0.3">
      <c r="A206" s="5">
        <v>50</v>
      </c>
      <c r="B206" s="5">
        <v>0</v>
      </c>
      <c r="C206" s="5">
        <v>0</v>
      </c>
      <c r="D206" s="5">
        <v>1</v>
      </c>
      <c r="E206" s="5">
        <v>232</v>
      </c>
      <c r="F206" s="5">
        <f>ROUND(Source!BC190,O206)</f>
        <v>0</v>
      </c>
      <c r="G206" s="5" t="s">
        <v>85</v>
      </c>
      <c r="H206" s="5" t="s">
        <v>86</v>
      </c>
      <c r="I206" s="5"/>
      <c r="J206" s="5"/>
      <c r="K206" s="5">
        <v>232</v>
      </c>
      <c r="L206" s="5">
        <v>15</v>
      </c>
      <c r="M206" s="5">
        <v>3</v>
      </c>
      <c r="N206" s="5" t="s">
        <v>3</v>
      </c>
      <c r="O206" s="5">
        <v>2</v>
      </c>
      <c r="P206" s="5">
        <f>ROUND(Source!EU190,O206)</f>
        <v>0</v>
      </c>
      <c r="Q206" s="5"/>
      <c r="R206" s="5"/>
      <c r="S206" s="5"/>
      <c r="T206" s="5"/>
      <c r="U206" s="5"/>
      <c r="V206" s="5"/>
      <c r="W206" s="5">
        <v>0</v>
      </c>
      <c r="X206" s="5">
        <v>1</v>
      </c>
      <c r="Y206" s="5">
        <v>0</v>
      </c>
      <c r="Z206" s="5">
        <v>0</v>
      </c>
      <c r="AA206" s="5">
        <v>1</v>
      </c>
      <c r="AB206" s="5">
        <v>0</v>
      </c>
    </row>
    <row r="207" spans="1:28" x14ac:dyDescent="0.3">
      <c r="A207" s="5">
        <v>50</v>
      </c>
      <c r="B207" s="5">
        <v>0</v>
      </c>
      <c r="C207" s="5">
        <v>0</v>
      </c>
      <c r="D207" s="5">
        <v>1</v>
      </c>
      <c r="E207" s="5">
        <v>214</v>
      </c>
      <c r="F207" s="5">
        <f>ROUND(Source!AS190,O207)</f>
        <v>0</v>
      </c>
      <c r="G207" s="5" t="s">
        <v>87</v>
      </c>
      <c r="H207" s="5" t="s">
        <v>88</v>
      </c>
      <c r="I207" s="5"/>
      <c r="J207" s="5"/>
      <c r="K207" s="5">
        <v>214</v>
      </c>
      <c r="L207" s="5">
        <v>16</v>
      </c>
      <c r="M207" s="5">
        <v>3</v>
      </c>
      <c r="N207" s="5" t="s">
        <v>3</v>
      </c>
      <c r="O207" s="5">
        <v>2</v>
      </c>
      <c r="P207" s="5">
        <f>ROUND(Source!EK190,O207)</f>
        <v>0</v>
      </c>
      <c r="Q207" s="5"/>
      <c r="R207" s="5"/>
      <c r="S207" s="5"/>
      <c r="T207" s="5"/>
      <c r="U207" s="5"/>
      <c r="V207" s="5"/>
      <c r="W207" s="5">
        <v>0</v>
      </c>
      <c r="X207" s="5">
        <v>1</v>
      </c>
      <c r="Y207" s="5">
        <v>0</v>
      </c>
      <c r="Z207" s="5">
        <v>0</v>
      </c>
      <c r="AA207" s="5">
        <v>1</v>
      </c>
      <c r="AB207" s="5">
        <v>0</v>
      </c>
    </row>
    <row r="208" spans="1:28" x14ac:dyDescent="0.3">
      <c r="A208" s="5">
        <v>50</v>
      </c>
      <c r="B208" s="5">
        <v>0</v>
      </c>
      <c r="C208" s="5">
        <v>0</v>
      </c>
      <c r="D208" s="5">
        <v>1</v>
      </c>
      <c r="E208" s="5">
        <v>215</v>
      </c>
      <c r="F208" s="5">
        <f>ROUND(Source!AT190,O208)</f>
        <v>13249.82</v>
      </c>
      <c r="G208" s="5" t="s">
        <v>89</v>
      </c>
      <c r="H208" s="5" t="s">
        <v>90</v>
      </c>
      <c r="I208" s="5"/>
      <c r="J208" s="5"/>
      <c r="K208" s="5">
        <v>215</v>
      </c>
      <c r="L208" s="5">
        <v>17</v>
      </c>
      <c r="M208" s="5">
        <v>3</v>
      </c>
      <c r="N208" s="5" t="s">
        <v>3</v>
      </c>
      <c r="O208" s="5">
        <v>2</v>
      </c>
      <c r="P208" s="5">
        <f>ROUND(Source!EL190,O208)</f>
        <v>200203.62</v>
      </c>
      <c r="Q208" s="5"/>
      <c r="R208" s="5"/>
      <c r="S208" s="5"/>
      <c r="T208" s="5"/>
      <c r="U208" s="5"/>
      <c r="V208" s="5"/>
      <c r="W208" s="5">
        <v>13249.82</v>
      </c>
      <c r="X208" s="5">
        <v>1</v>
      </c>
      <c r="Y208" s="5">
        <v>13249.82</v>
      </c>
      <c r="Z208" s="5">
        <v>200203.62</v>
      </c>
      <c r="AA208" s="5">
        <v>1</v>
      </c>
      <c r="AB208" s="5">
        <v>200203.62</v>
      </c>
    </row>
    <row r="209" spans="1:28" x14ac:dyDescent="0.3">
      <c r="A209" s="5">
        <v>50</v>
      </c>
      <c r="B209" s="5">
        <v>0</v>
      </c>
      <c r="C209" s="5">
        <v>0</v>
      </c>
      <c r="D209" s="5">
        <v>1</v>
      </c>
      <c r="E209" s="5">
        <v>217</v>
      </c>
      <c r="F209" s="5">
        <f>ROUND(Source!AU190,O209)</f>
        <v>0</v>
      </c>
      <c r="G209" s="5" t="s">
        <v>91</v>
      </c>
      <c r="H209" s="5" t="s">
        <v>92</v>
      </c>
      <c r="I209" s="5"/>
      <c r="J209" s="5"/>
      <c r="K209" s="5">
        <v>217</v>
      </c>
      <c r="L209" s="5">
        <v>18</v>
      </c>
      <c r="M209" s="5">
        <v>3</v>
      </c>
      <c r="N209" s="5" t="s">
        <v>3</v>
      </c>
      <c r="O209" s="5">
        <v>2</v>
      </c>
      <c r="P209" s="5">
        <f>ROUND(Source!EM190,O209)</f>
        <v>0</v>
      </c>
      <c r="Q209" s="5"/>
      <c r="R209" s="5"/>
      <c r="S209" s="5"/>
      <c r="T209" s="5"/>
      <c r="U209" s="5"/>
      <c r="V209" s="5"/>
      <c r="W209" s="5">
        <v>0</v>
      </c>
      <c r="X209" s="5">
        <v>1</v>
      </c>
      <c r="Y209" s="5">
        <v>0</v>
      </c>
      <c r="Z209" s="5">
        <v>0</v>
      </c>
      <c r="AA209" s="5">
        <v>1</v>
      </c>
      <c r="AB209" s="5">
        <v>0</v>
      </c>
    </row>
    <row r="210" spans="1:28" x14ac:dyDescent="0.3">
      <c r="A210" s="5">
        <v>50</v>
      </c>
      <c r="B210" s="5">
        <v>0</v>
      </c>
      <c r="C210" s="5">
        <v>0</v>
      </c>
      <c r="D210" s="5">
        <v>1</v>
      </c>
      <c r="E210" s="5">
        <v>230</v>
      </c>
      <c r="F210" s="5">
        <f>ROUND(Source!BA190,O210)</f>
        <v>0</v>
      </c>
      <c r="G210" s="5" t="s">
        <v>93</v>
      </c>
      <c r="H210" s="5" t="s">
        <v>94</v>
      </c>
      <c r="I210" s="5"/>
      <c r="J210" s="5"/>
      <c r="K210" s="5">
        <v>230</v>
      </c>
      <c r="L210" s="5">
        <v>19</v>
      </c>
      <c r="M210" s="5">
        <v>3</v>
      </c>
      <c r="N210" s="5" t="s">
        <v>3</v>
      </c>
      <c r="O210" s="5">
        <v>2</v>
      </c>
      <c r="P210" s="5">
        <f>ROUND(Source!ES190,O210)</f>
        <v>0</v>
      </c>
      <c r="Q210" s="5"/>
      <c r="R210" s="5"/>
      <c r="S210" s="5"/>
      <c r="T210" s="5"/>
      <c r="U210" s="5"/>
      <c r="V210" s="5"/>
      <c r="W210" s="5">
        <v>0</v>
      </c>
      <c r="X210" s="5">
        <v>1</v>
      </c>
      <c r="Y210" s="5">
        <v>0</v>
      </c>
      <c r="Z210" s="5">
        <v>0</v>
      </c>
      <c r="AA210" s="5">
        <v>1</v>
      </c>
      <c r="AB210" s="5">
        <v>0</v>
      </c>
    </row>
    <row r="211" spans="1:28" x14ac:dyDescent="0.3">
      <c r="A211" s="5">
        <v>50</v>
      </c>
      <c r="B211" s="5">
        <v>0</v>
      </c>
      <c r="C211" s="5">
        <v>0</v>
      </c>
      <c r="D211" s="5">
        <v>1</v>
      </c>
      <c r="E211" s="5">
        <v>206</v>
      </c>
      <c r="F211" s="5">
        <f>ROUND(Source!T190,O211)</f>
        <v>0</v>
      </c>
      <c r="G211" s="5" t="s">
        <v>95</v>
      </c>
      <c r="H211" s="5" t="s">
        <v>96</v>
      </c>
      <c r="I211" s="5"/>
      <c r="J211" s="5"/>
      <c r="K211" s="5">
        <v>206</v>
      </c>
      <c r="L211" s="5">
        <v>20</v>
      </c>
      <c r="M211" s="5">
        <v>3</v>
      </c>
      <c r="N211" s="5" t="s">
        <v>3</v>
      </c>
      <c r="O211" s="5">
        <v>2</v>
      </c>
      <c r="P211" s="5">
        <f>ROUND(Source!DL190,O211)</f>
        <v>0</v>
      </c>
      <c r="Q211" s="5"/>
      <c r="R211" s="5"/>
      <c r="S211" s="5"/>
      <c r="T211" s="5"/>
      <c r="U211" s="5"/>
      <c r="V211" s="5"/>
      <c r="W211" s="5">
        <v>0</v>
      </c>
      <c r="X211" s="5">
        <v>1</v>
      </c>
      <c r="Y211" s="5">
        <v>0</v>
      </c>
      <c r="Z211" s="5">
        <v>0</v>
      </c>
      <c r="AA211" s="5">
        <v>1</v>
      </c>
      <c r="AB211" s="5">
        <v>0</v>
      </c>
    </row>
    <row r="212" spans="1:28" x14ac:dyDescent="0.3">
      <c r="A212" s="5">
        <v>50</v>
      </c>
      <c r="B212" s="5">
        <v>0</v>
      </c>
      <c r="C212" s="5">
        <v>0</v>
      </c>
      <c r="D212" s="5">
        <v>1</v>
      </c>
      <c r="E212" s="5">
        <v>207</v>
      </c>
      <c r="F212" s="5">
        <f>Source!U190</f>
        <v>63.539123450000005</v>
      </c>
      <c r="G212" s="5" t="s">
        <v>97</v>
      </c>
      <c r="H212" s="5" t="s">
        <v>98</v>
      </c>
      <c r="I212" s="5"/>
      <c r="J212" s="5"/>
      <c r="K212" s="5">
        <v>207</v>
      </c>
      <c r="L212" s="5">
        <v>21</v>
      </c>
      <c r="M212" s="5">
        <v>3</v>
      </c>
      <c r="N212" s="5" t="s">
        <v>3</v>
      </c>
      <c r="O212" s="5">
        <v>-1</v>
      </c>
      <c r="P212" s="5">
        <f>Source!DM190</f>
        <v>63.539123450000005</v>
      </c>
      <c r="Q212" s="5"/>
      <c r="R212" s="5"/>
      <c r="S212" s="5"/>
      <c r="T212" s="5"/>
      <c r="U212" s="5"/>
      <c r="V212" s="5"/>
      <c r="W212" s="5">
        <v>63.539123449999998</v>
      </c>
      <c r="X212" s="5">
        <v>1</v>
      </c>
      <c r="Y212" s="5">
        <v>63.539123449999998</v>
      </c>
      <c r="Z212" s="5">
        <v>63.539123449999998</v>
      </c>
      <c r="AA212" s="5">
        <v>1</v>
      </c>
      <c r="AB212" s="5">
        <v>63.539123449999998</v>
      </c>
    </row>
    <row r="213" spans="1:28" x14ac:dyDescent="0.3">
      <c r="A213" s="5">
        <v>50</v>
      </c>
      <c r="B213" s="5">
        <v>0</v>
      </c>
      <c r="C213" s="5">
        <v>0</v>
      </c>
      <c r="D213" s="5">
        <v>1</v>
      </c>
      <c r="E213" s="5">
        <v>208</v>
      </c>
      <c r="F213" s="5">
        <f>Source!V190</f>
        <v>0</v>
      </c>
      <c r="G213" s="5" t="s">
        <v>99</v>
      </c>
      <c r="H213" s="5" t="s">
        <v>100</v>
      </c>
      <c r="I213" s="5"/>
      <c r="J213" s="5"/>
      <c r="K213" s="5">
        <v>208</v>
      </c>
      <c r="L213" s="5">
        <v>22</v>
      </c>
      <c r="M213" s="5">
        <v>3</v>
      </c>
      <c r="N213" s="5" t="s">
        <v>3</v>
      </c>
      <c r="O213" s="5">
        <v>-1</v>
      </c>
      <c r="P213" s="5">
        <f>Source!DN190</f>
        <v>0</v>
      </c>
      <c r="Q213" s="5"/>
      <c r="R213" s="5"/>
      <c r="S213" s="5"/>
      <c r="T213" s="5"/>
      <c r="U213" s="5"/>
      <c r="V213" s="5"/>
      <c r="W213" s="5">
        <v>0</v>
      </c>
      <c r="X213" s="5">
        <v>1</v>
      </c>
      <c r="Y213" s="5">
        <v>0</v>
      </c>
      <c r="Z213" s="5">
        <v>0</v>
      </c>
      <c r="AA213" s="5">
        <v>1</v>
      </c>
      <c r="AB213" s="5">
        <v>0</v>
      </c>
    </row>
    <row r="214" spans="1:28" x14ac:dyDescent="0.3">
      <c r="A214" s="5">
        <v>50</v>
      </c>
      <c r="B214" s="5">
        <v>0</v>
      </c>
      <c r="C214" s="5">
        <v>0</v>
      </c>
      <c r="D214" s="5">
        <v>1</v>
      </c>
      <c r="E214" s="5">
        <v>209</v>
      </c>
      <c r="F214" s="5">
        <f>ROUND(Source!W190,O214)</f>
        <v>0</v>
      </c>
      <c r="G214" s="5" t="s">
        <v>101</v>
      </c>
      <c r="H214" s="5" t="s">
        <v>102</v>
      </c>
      <c r="I214" s="5"/>
      <c r="J214" s="5"/>
      <c r="K214" s="5">
        <v>209</v>
      </c>
      <c r="L214" s="5">
        <v>23</v>
      </c>
      <c r="M214" s="5">
        <v>3</v>
      </c>
      <c r="N214" s="5" t="s">
        <v>3</v>
      </c>
      <c r="O214" s="5">
        <v>2</v>
      </c>
      <c r="P214" s="5">
        <f>ROUND(Source!DO190,O214)</f>
        <v>0</v>
      </c>
      <c r="Q214" s="5"/>
      <c r="R214" s="5"/>
      <c r="S214" s="5"/>
      <c r="T214" s="5"/>
      <c r="U214" s="5"/>
      <c r="V214" s="5"/>
      <c r="W214" s="5">
        <v>0</v>
      </c>
      <c r="X214" s="5">
        <v>1</v>
      </c>
      <c r="Y214" s="5">
        <v>0</v>
      </c>
      <c r="Z214" s="5">
        <v>0</v>
      </c>
      <c r="AA214" s="5">
        <v>1</v>
      </c>
      <c r="AB214" s="5">
        <v>0</v>
      </c>
    </row>
    <row r="215" spans="1:28" x14ac:dyDescent="0.3">
      <c r="A215" s="5">
        <v>50</v>
      </c>
      <c r="B215" s="5">
        <v>0</v>
      </c>
      <c r="C215" s="5">
        <v>0</v>
      </c>
      <c r="D215" s="5">
        <v>1</v>
      </c>
      <c r="E215" s="5">
        <v>233</v>
      </c>
      <c r="F215" s="5">
        <f>ROUND(Source!BD190,O215)</f>
        <v>0</v>
      </c>
      <c r="G215" s="5" t="s">
        <v>103</v>
      </c>
      <c r="H215" s="5" t="s">
        <v>104</v>
      </c>
      <c r="I215" s="5"/>
      <c r="J215" s="5"/>
      <c r="K215" s="5">
        <v>233</v>
      </c>
      <c r="L215" s="5">
        <v>24</v>
      </c>
      <c r="M215" s="5">
        <v>3</v>
      </c>
      <c r="N215" s="5" t="s">
        <v>3</v>
      </c>
      <c r="O215" s="5">
        <v>2</v>
      </c>
      <c r="P215" s="5">
        <f>ROUND(Source!EV190,O215)</f>
        <v>0</v>
      </c>
      <c r="Q215" s="5"/>
      <c r="R215" s="5"/>
      <c r="S215" s="5"/>
      <c r="T215" s="5"/>
      <c r="U215" s="5"/>
      <c r="V215" s="5"/>
      <c r="W215" s="5">
        <v>0</v>
      </c>
      <c r="X215" s="5">
        <v>1</v>
      </c>
      <c r="Y215" s="5">
        <v>0</v>
      </c>
      <c r="Z215" s="5">
        <v>0</v>
      </c>
      <c r="AA215" s="5">
        <v>1</v>
      </c>
      <c r="AB215" s="5">
        <v>0</v>
      </c>
    </row>
    <row r="216" spans="1:28" x14ac:dyDescent="0.3">
      <c r="A216" s="5">
        <v>50</v>
      </c>
      <c r="B216" s="5">
        <v>0</v>
      </c>
      <c r="C216" s="5">
        <v>0</v>
      </c>
      <c r="D216" s="5">
        <v>1</v>
      </c>
      <c r="E216" s="5">
        <v>210</v>
      </c>
      <c r="F216" s="5">
        <f>ROUND(Source!X190,O216)</f>
        <v>737.37</v>
      </c>
      <c r="G216" s="5" t="s">
        <v>105</v>
      </c>
      <c r="H216" s="5" t="s">
        <v>106</v>
      </c>
      <c r="I216" s="5"/>
      <c r="J216" s="5"/>
      <c r="K216" s="5">
        <v>210</v>
      </c>
      <c r="L216" s="5">
        <v>25</v>
      </c>
      <c r="M216" s="5">
        <v>3</v>
      </c>
      <c r="N216" s="5" t="s">
        <v>3</v>
      </c>
      <c r="O216" s="5">
        <v>2</v>
      </c>
      <c r="P216" s="5">
        <f>ROUND(Source!DP190,O216)</f>
        <v>40547.870000000003</v>
      </c>
      <c r="Q216" s="5"/>
      <c r="R216" s="5"/>
      <c r="S216" s="5"/>
      <c r="T216" s="5"/>
      <c r="U216" s="5"/>
      <c r="V216" s="5"/>
      <c r="W216" s="5">
        <v>737.37</v>
      </c>
      <c r="X216" s="5">
        <v>1</v>
      </c>
      <c r="Y216" s="5">
        <v>737.37</v>
      </c>
      <c r="Z216" s="5">
        <v>40547.870000000003</v>
      </c>
      <c r="AA216" s="5">
        <v>1</v>
      </c>
      <c r="AB216" s="5">
        <v>40547.870000000003</v>
      </c>
    </row>
    <row r="217" spans="1:28" x14ac:dyDescent="0.3">
      <c r="A217" s="5">
        <v>50</v>
      </c>
      <c r="B217" s="5">
        <v>0</v>
      </c>
      <c r="C217" s="5">
        <v>0</v>
      </c>
      <c r="D217" s="5">
        <v>1</v>
      </c>
      <c r="E217" s="5">
        <v>211</v>
      </c>
      <c r="F217" s="5">
        <f>ROUND(Source!Y190,O217)</f>
        <v>388.79</v>
      </c>
      <c r="G217" s="5" t="s">
        <v>107</v>
      </c>
      <c r="H217" s="5" t="s">
        <v>108</v>
      </c>
      <c r="I217" s="5"/>
      <c r="J217" s="5"/>
      <c r="K217" s="5">
        <v>211</v>
      </c>
      <c r="L217" s="5">
        <v>26</v>
      </c>
      <c r="M217" s="5">
        <v>3</v>
      </c>
      <c r="N217" s="5" t="s">
        <v>3</v>
      </c>
      <c r="O217" s="5">
        <v>2</v>
      </c>
      <c r="P217" s="5">
        <f>ROUND(Source!DQ190,O217)</f>
        <v>21378.46</v>
      </c>
      <c r="Q217" s="5"/>
      <c r="R217" s="5"/>
      <c r="S217" s="5"/>
      <c r="T217" s="5"/>
      <c r="U217" s="5"/>
      <c r="V217" s="5"/>
      <c r="W217" s="5">
        <v>388.79</v>
      </c>
      <c r="X217" s="5">
        <v>1</v>
      </c>
      <c r="Y217" s="5">
        <v>388.79</v>
      </c>
      <c r="Z217" s="5">
        <v>21378.46</v>
      </c>
      <c r="AA217" s="5">
        <v>1</v>
      </c>
      <c r="AB217" s="5">
        <v>21378.46</v>
      </c>
    </row>
    <row r="218" spans="1:28" x14ac:dyDescent="0.3">
      <c r="A218" s="5">
        <v>50</v>
      </c>
      <c r="B218" s="5">
        <v>0</v>
      </c>
      <c r="C218" s="5">
        <v>0</v>
      </c>
      <c r="D218" s="5">
        <v>1</v>
      </c>
      <c r="E218" s="5">
        <v>224</v>
      </c>
      <c r="F218" s="5">
        <f>ROUND(Source!AR190,O218)</f>
        <v>22038.21</v>
      </c>
      <c r="G218" s="5" t="s">
        <v>109</v>
      </c>
      <c r="H218" s="5" t="s">
        <v>110</v>
      </c>
      <c r="I218" s="5"/>
      <c r="J218" s="5"/>
      <c r="K218" s="5">
        <v>224</v>
      </c>
      <c r="L218" s="5">
        <v>27</v>
      </c>
      <c r="M218" s="5">
        <v>3</v>
      </c>
      <c r="N218" s="5" t="s">
        <v>3</v>
      </c>
      <c r="O218" s="5">
        <v>2</v>
      </c>
      <c r="P218" s="5">
        <f>ROUND(Source!EJ190,O218)</f>
        <v>267522.69</v>
      </c>
      <c r="Q218" s="5"/>
      <c r="R218" s="5"/>
      <c r="S218" s="5"/>
      <c r="T218" s="5"/>
      <c r="U218" s="5"/>
      <c r="V218" s="5"/>
      <c r="W218" s="5">
        <v>22038.21</v>
      </c>
      <c r="X218" s="5">
        <v>1</v>
      </c>
      <c r="Y218" s="5">
        <v>22038.21</v>
      </c>
      <c r="Z218" s="5">
        <v>267522.69</v>
      </c>
      <c r="AA218" s="5">
        <v>1</v>
      </c>
      <c r="AB218" s="5">
        <v>267522.69</v>
      </c>
    </row>
    <row r="221" spans="1:28" x14ac:dyDescent="0.3">
      <c r="A221">
        <v>70</v>
      </c>
      <c r="B221">
        <v>1</v>
      </c>
      <c r="D221">
        <v>1</v>
      </c>
      <c r="E221" t="s">
        <v>193</v>
      </c>
      <c r="F221" t="s">
        <v>194</v>
      </c>
      <c r="G221">
        <v>0</v>
      </c>
      <c r="H221">
        <v>0</v>
      </c>
      <c r="I221" t="s">
        <v>3</v>
      </c>
      <c r="J221">
        <v>1</v>
      </c>
      <c r="K221">
        <v>0</v>
      </c>
      <c r="L221" t="s">
        <v>3</v>
      </c>
      <c r="M221" t="s">
        <v>3</v>
      </c>
      <c r="N221">
        <v>0</v>
      </c>
      <c r="O221">
        <v>0</v>
      </c>
      <c r="P221" t="s">
        <v>3</v>
      </c>
    </row>
    <row r="222" spans="1:28" x14ac:dyDescent="0.3">
      <c r="A222">
        <v>70</v>
      </c>
      <c r="B222">
        <v>1</v>
      </c>
      <c r="D222">
        <v>2</v>
      </c>
      <c r="E222" t="s">
        <v>195</v>
      </c>
      <c r="F222" t="s">
        <v>196</v>
      </c>
      <c r="G222">
        <v>1</v>
      </c>
      <c r="H222">
        <v>0</v>
      </c>
      <c r="I222" t="s">
        <v>3</v>
      </c>
      <c r="J222">
        <v>1</v>
      </c>
      <c r="K222">
        <v>0</v>
      </c>
      <c r="L222" t="s">
        <v>3</v>
      </c>
      <c r="M222" t="s">
        <v>3</v>
      </c>
      <c r="N222">
        <v>0</v>
      </c>
      <c r="O222">
        <v>1</v>
      </c>
      <c r="P222" t="s">
        <v>3</v>
      </c>
    </row>
    <row r="223" spans="1:28" x14ac:dyDescent="0.3">
      <c r="A223">
        <v>70</v>
      </c>
      <c r="B223">
        <v>1</v>
      </c>
      <c r="D223">
        <v>3</v>
      </c>
      <c r="E223" t="s">
        <v>197</v>
      </c>
      <c r="F223" t="s">
        <v>198</v>
      </c>
      <c r="G223">
        <v>1</v>
      </c>
      <c r="H223">
        <v>0</v>
      </c>
      <c r="I223" t="s">
        <v>3</v>
      </c>
      <c r="J223">
        <v>0</v>
      </c>
      <c r="K223">
        <v>0</v>
      </c>
      <c r="L223" t="s">
        <v>3</v>
      </c>
      <c r="M223" t="s">
        <v>3</v>
      </c>
      <c r="N223">
        <v>0</v>
      </c>
      <c r="O223">
        <v>1</v>
      </c>
      <c r="P223" t="s">
        <v>3</v>
      </c>
    </row>
    <row r="224" spans="1:28" x14ac:dyDescent="0.3">
      <c r="A224">
        <v>70</v>
      </c>
      <c r="B224">
        <v>1</v>
      </c>
      <c r="D224">
        <v>4</v>
      </c>
      <c r="E224" t="s">
        <v>199</v>
      </c>
      <c r="F224" t="s">
        <v>200</v>
      </c>
      <c r="G224">
        <v>1</v>
      </c>
      <c r="H224">
        <v>0</v>
      </c>
      <c r="I224" t="s">
        <v>3</v>
      </c>
      <c r="J224">
        <v>0</v>
      </c>
      <c r="K224">
        <v>0</v>
      </c>
      <c r="L224" t="s">
        <v>3</v>
      </c>
      <c r="M224" t="s">
        <v>3</v>
      </c>
      <c r="N224">
        <v>0</v>
      </c>
      <c r="O224">
        <v>1</v>
      </c>
      <c r="P224" t="s">
        <v>3</v>
      </c>
    </row>
    <row r="225" spans="1:50" x14ac:dyDescent="0.3">
      <c r="A225">
        <v>70</v>
      </c>
      <c r="B225">
        <v>1</v>
      </c>
      <c r="D225">
        <v>5</v>
      </c>
      <c r="E225" t="s">
        <v>201</v>
      </c>
      <c r="F225" t="s">
        <v>202</v>
      </c>
      <c r="G225">
        <v>0</v>
      </c>
      <c r="H225">
        <v>0</v>
      </c>
      <c r="I225" t="s">
        <v>3</v>
      </c>
      <c r="J225">
        <v>0</v>
      </c>
      <c r="K225">
        <v>0</v>
      </c>
      <c r="L225" t="s">
        <v>3</v>
      </c>
      <c r="M225" t="s">
        <v>3</v>
      </c>
      <c r="N225">
        <v>0</v>
      </c>
      <c r="O225">
        <v>0</v>
      </c>
      <c r="P225" t="s">
        <v>3</v>
      </c>
    </row>
    <row r="227" spans="1:50" x14ac:dyDescent="0.3">
      <c r="A227">
        <v>-1</v>
      </c>
    </row>
    <row r="229" spans="1:50" x14ac:dyDescent="0.3">
      <c r="A229" s="4">
        <v>75</v>
      </c>
      <c r="B229" s="4" t="s">
        <v>203</v>
      </c>
      <c r="C229" s="4">
        <v>2025</v>
      </c>
      <c r="D229" s="4">
        <v>3</v>
      </c>
      <c r="E229" s="4">
        <v>0</v>
      </c>
      <c r="F229" s="4"/>
      <c r="G229" s="4">
        <v>0</v>
      </c>
      <c r="H229" s="4">
        <v>1</v>
      </c>
      <c r="I229" s="4">
        <v>1</v>
      </c>
      <c r="J229" s="4">
        <v>3</v>
      </c>
      <c r="K229" s="4">
        <v>0</v>
      </c>
      <c r="L229" s="4">
        <v>0</v>
      </c>
      <c r="M229" s="4">
        <v>1</v>
      </c>
      <c r="N229" s="4">
        <v>56503350</v>
      </c>
      <c r="O229" s="4">
        <v>1</v>
      </c>
    </row>
    <row r="230" spans="1:50" x14ac:dyDescent="0.3">
      <c r="A230" s="6">
        <v>1</v>
      </c>
      <c r="B230" s="6" t="s">
        <v>204</v>
      </c>
      <c r="C230" s="6" t="s">
        <v>205</v>
      </c>
      <c r="D230" s="6">
        <v>2025</v>
      </c>
      <c r="E230" s="6">
        <v>9</v>
      </c>
      <c r="F230" s="6">
        <v>1</v>
      </c>
      <c r="G230" s="6">
        <v>1</v>
      </c>
      <c r="H230" s="6">
        <v>0</v>
      </c>
      <c r="I230" s="6">
        <v>2</v>
      </c>
      <c r="J230" s="6">
        <v>1</v>
      </c>
      <c r="K230" s="6">
        <v>9.8800000000000008</v>
      </c>
      <c r="L230" s="6">
        <v>7.66</v>
      </c>
      <c r="M230" s="6">
        <v>1</v>
      </c>
      <c r="N230" s="6">
        <v>1</v>
      </c>
      <c r="O230" s="6">
        <v>9.8800000000000008</v>
      </c>
      <c r="P230" s="6">
        <v>7.66</v>
      </c>
      <c r="Q230" s="6">
        <v>1</v>
      </c>
      <c r="R230" s="6" t="s">
        <v>3</v>
      </c>
      <c r="S230" s="6" t="s">
        <v>3</v>
      </c>
      <c r="T230" s="6" t="s">
        <v>3</v>
      </c>
      <c r="U230" s="6" t="s">
        <v>3</v>
      </c>
      <c r="V230" s="6" t="s">
        <v>3</v>
      </c>
      <c r="W230" s="6" t="s">
        <v>3</v>
      </c>
      <c r="X230" s="6" t="s">
        <v>3</v>
      </c>
      <c r="Y230" s="6" t="s">
        <v>3</v>
      </c>
      <c r="Z230" s="6" t="s">
        <v>3</v>
      </c>
      <c r="AA230" s="6" t="s">
        <v>206</v>
      </c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>
        <v>56503351</v>
      </c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spans="1:50" x14ac:dyDescent="0.3">
      <c r="A231" s="6">
        <v>1</v>
      </c>
      <c r="B231" s="6" t="s">
        <v>204</v>
      </c>
      <c r="C231" s="6" t="s">
        <v>207</v>
      </c>
      <c r="D231" s="6">
        <v>2025</v>
      </c>
      <c r="E231" s="6">
        <v>7</v>
      </c>
      <c r="F231" s="6">
        <v>1</v>
      </c>
      <c r="G231" s="6">
        <v>1</v>
      </c>
      <c r="H231" s="6">
        <v>0</v>
      </c>
      <c r="I231" s="6">
        <v>2</v>
      </c>
      <c r="J231" s="6">
        <v>1</v>
      </c>
      <c r="K231" s="6">
        <v>1</v>
      </c>
      <c r="L231" s="6">
        <v>1</v>
      </c>
      <c r="M231" s="6">
        <v>1</v>
      </c>
      <c r="N231" s="6">
        <v>1</v>
      </c>
      <c r="O231" s="6">
        <v>1</v>
      </c>
      <c r="P231" s="6">
        <v>1</v>
      </c>
      <c r="Q231" s="6">
        <v>1</v>
      </c>
      <c r="R231" s="6" t="s">
        <v>3</v>
      </c>
      <c r="S231" s="6" t="s">
        <v>3</v>
      </c>
      <c r="T231" s="6" t="s">
        <v>3</v>
      </c>
      <c r="U231" s="6" t="s">
        <v>3</v>
      </c>
      <c r="V231" s="6" t="s">
        <v>3</v>
      </c>
      <c r="W231" s="6" t="s">
        <v>3</v>
      </c>
      <c r="X231" s="6" t="s">
        <v>3</v>
      </c>
      <c r="Y231" s="6" t="s">
        <v>3</v>
      </c>
      <c r="Z231" s="6" t="s">
        <v>3</v>
      </c>
      <c r="AA231" s="6" t="s">
        <v>208</v>
      </c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>
        <v>56503352</v>
      </c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spans="1:50" x14ac:dyDescent="0.3">
      <c r="A232" s="4">
        <v>75</v>
      </c>
      <c r="B232" s="4" t="s">
        <v>209</v>
      </c>
      <c r="C232" s="4">
        <v>2000</v>
      </c>
      <c r="D232" s="4">
        <v>0</v>
      </c>
      <c r="E232" s="4">
        <v>1</v>
      </c>
      <c r="F232" s="4">
        <v>0</v>
      </c>
      <c r="G232" s="4">
        <v>0</v>
      </c>
      <c r="H232" s="4">
        <v>1</v>
      </c>
      <c r="I232" s="4">
        <v>1</v>
      </c>
      <c r="J232" s="4">
        <v>3</v>
      </c>
      <c r="K232" s="4">
        <v>0</v>
      </c>
      <c r="L232" s="4">
        <v>0</v>
      </c>
      <c r="M232" s="4">
        <v>0</v>
      </c>
      <c r="N232" s="4">
        <v>56503348</v>
      </c>
      <c r="O232" s="4">
        <v>2</v>
      </c>
    </row>
    <row r="233" spans="1:50" x14ac:dyDescent="0.3">
      <c r="A233" s="6">
        <v>1</v>
      </c>
      <c r="B233" s="6" t="s">
        <v>204</v>
      </c>
      <c r="C233" s="6" t="s">
        <v>205</v>
      </c>
      <c r="D233" s="6">
        <v>2000</v>
      </c>
      <c r="E233" s="6">
        <v>1</v>
      </c>
      <c r="F233" s="6">
        <v>1</v>
      </c>
      <c r="G233" s="6">
        <v>1</v>
      </c>
      <c r="H233" s="6">
        <v>0</v>
      </c>
      <c r="I233" s="6">
        <v>2</v>
      </c>
      <c r="J233" s="6">
        <v>1</v>
      </c>
      <c r="K233" s="6">
        <v>1</v>
      </c>
      <c r="L233" s="6">
        <v>1</v>
      </c>
      <c r="M233" s="6">
        <v>1</v>
      </c>
      <c r="N233" s="6">
        <v>1</v>
      </c>
      <c r="O233" s="6">
        <v>1</v>
      </c>
      <c r="P233" s="6">
        <v>1</v>
      </c>
      <c r="Q233" s="6">
        <v>1</v>
      </c>
      <c r="R233" s="6" t="s">
        <v>3</v>
      </c>
      <c r="S233" s="6" t="s">
        <v>3</v>
      </c>
      <c r="T233" s="6" t="s">
        <v>3</v>
      </c>
      <c r="U233" s="6" t="s">
        <v>3</v>
      </c>
      <c r="V233" s="6" t="s">
        <v>3</v>
      </c>
      <c r="W233" s="6" t="s">
        <v>3</v>
      </c>
      <c r="X233" s="6" t="s">
        <v>3</v>
      </c>
      <c r="Y233" s="6" t="s">
        <v>3</v>
      </c>
      <c r="Z233" s="6" t="s">
        <v>3</v>
      </c>
      <c r="AA233" s="6" t="s">
        <v>146</v>
      </c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>
        <v>58689272</v>
      </c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7" spans="1:50" x14ac:dyDescent="0.3">
      <c r="A237">
        <v>65</v>
      </c>
      <c r="C237">
        <v>1</v>
      </c>
      <c r="D237">
        <v>0</v>
      </c>
      <c r="E237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133" x14ac:dyDescent="0.3">
      <c r="A1">
        <v>0</v>
      </c>
      <c r="B1" t="s">
        <v>0</v>
      </c>
      <c r="D1" t="s">
        <v>210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1</v>
      </c>
      <c r="BU12" s="1">
        <v>0</v>
      </c>
      <c r="BV12" s="1">
        <v>1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3">
      <c r="A14" s="1">
        <v>22</v>
      </c>
      <c r="B14" s="1">
        <v>1</v>
      </c>
      <c r="C14" s="1">
        <v>0</v>
      </c>
      <c r="D14" s="1">
        <v>56503350</v>
      </c>
      <c r="E14" s="1">
        <v>56503348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3">
      <c r="A16" s="7">
        <v>3</v>
      </c>
      <c r="B16" s="7">
        <v>1</v>
      </c>
      <c r="C16" s="7" t="s">
        <v>5</v>
      </c>
      <c r="D16" s="7" t="s">
        <v>17</v>
      </c>
      <c r="E16" s="8">
        <f>ROUND((Source!P177)/1000,2)</f>
        <v>0</v>
      </c>
      <c r="F16" s="8">
        <f>ROUND((Source!P178)/1000,2)</f>
        <v>200.2</v>
      </c>
      <c r="G16" s="8">
        <f>ROUND((Source!P169)/1000,2)</f>
        <v>67.319999999999993</v>
      </c>
      <c r="H16" s="8">
        <f>ROUND((Source!P179)/1000+(Source!P180)/1000,2)</f>
        <v>0</v>
      </c>
      <c r="I16" s="8">
        <f>E16+F16+G16+H16</f>
        <v>267.52</v>
      </c>
      <c r="J16" s="8">
        <f>ROUND((Source!P175+Source!P174)/1000,2)</f>
        <v>43.93</v>
      </c>
      <c r="K16" s="8">
        <v>367.06</v>
      </c>
      <c r="L16" s="8">
        <v>0</v>
      </c>
      <c r="M16" s="8">
        <v>0</v>
      </c>
      <c r="N16" s="8">
        <f>I16+L16+M16</f>
        <v>267.52</v>
      </c>
      <c r="T16" s="9">
        <f>ROUND((Source!F177)/1000,2)</f>
        <v>0</v>
      </c>
      <c r="U16" s="9">
        <f>ROUND((Source!F178)/1000,2)</f>
        <v>13.25</v>
      </c>
      <c r="V16" s="9">
        <f>ROUND((Source!F169)/1000,2)</f>
        <v>8.7899999999999991</v>
      </c>
      <c r="W16" s="9">
        <f>ROUND((Source!F179)/1000+(Source!F180)/1000,2)</f>
        <v>0</v>
      </c>
      <c r="X16" s="9">
        <f>T16+U16+V16+W16</f>
        <v>22.04</v>
      </c>
      <c r="Y16" s="9">
        <f>ROUND((Source!F175+Source!F174)/1000,2)</f>
        <v>0.8</v>
      </c>
      <c r="Z16" s="9">
        <v>41.01</v>
      </c>
      <c r="AA16" s="9">
        <v>0</v>
      </c>
      <c r="AB16" s="9">
        <v>0</v>
      </c>
      <c r="AC16" s="9">
        <f>X16+AA16+AB16</f>
        <v>22.04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205596.36</v>
      </c>
      <c r="AU16" s="8">
        <v>161465.66</v>
      </c>
      <c r="AV16" s="8">
        <v>0</v>
      </c>
      <c r="AW16" s="8">
        <v>67319.070000000007</v>
      </c>
      <c r="AX16" s="8">
        <v>0</v>
      </c>
      <c r="AY16" s="8">
        <v>222.82</v>
      </c>
      <c r="AZ16" s="8">
        <v>20.350000000000001</v>
      </c>
      <c r="BA16" s="8">
        <v>43907.88</v>
      </c>
      <c r="BB16" s="8">
        <v>0</v>
      </c>
      <c r="BC16" s="8">
        <v>200203.62</v>
      </c>
      <c r="BD16" s="8">
        <v>0</v>
      </c>
      <c r="BE16" s="8">
        <v>0</v>
      </c>
      <c r="BF16" s="8">
        <v>63.539123449999998</v>
      </c>
      <c r="BG16" s="8">
        <v>0</v>
      </c>
      <c r="BH16" s="8">
        <v>0</v>
      </c>
      <c r="BI16" s="8">
        <v>40547.870000000003</v>
      </c>
      <c r="BJ16" s="8">
        <v>21378.46</v>
      </c>
      <c r="BK16" s="8">
        <v>267522.69</v>
      </c>
      <c r="BR16" s="9">
        <v>20912.05</v>
      </c>
      <c r="BS16" s="9">
        <v>20094.21</v>
      </c>
      <c r="BT16" s="9">
        <v>0</v>
      </c>
      <c r="BU16" s="9">
        <v>8788.39</v>
      </c>
      <c r="BV16" s="9">
        <v>0</v>
      </c>
      <c r="BW16" s="9">
        <v>19.37</v>
      </c>
      <c r="BX16" s="9">
        <v>0.37</v>
      </c>
      <c r="BY16" s="9">
        <v>798.47</v>
      </c>
      <c r="BZ16" s="9">
        <v>0</v>
      </c>
      <c r="CA16" s="9">
        <v>13249.82</v>
      </c>
      <c r="CB16" s="9">
        <v>0</v>
      </c>
      <c r="CC16" s="9">
        <v>0</v>
      </c>
      <c r="CD16" s="9">
        <v>63.539123449999998</v>
      </c>
      <c r="CE16" s="9">
        <v>0</v>
      </c>
      <c r="CF16" s="9">
        <v>0</v>
      </c>
      <c r="CG16" s="9">
        <v>737.37</v>
      </c>
      <c r="CH16" s="9">
        <v>388.79</v>
      </c>
      <c r="CI16" s="9">
        <v>22038.21</v>
      </c>
    </row>
    <row r="18" spans="1:29" x14ac:dyDescent="0.3">
      <c r="A18">
        <v>51</v>
      </c>
      <c r="E18">
        <v>0</v>
      </c>
      <c r="F18">
        <v>200.2</v>
      </c>
      <c r="G18">
        <v>67.319999999999993</v>
      </c>
      <c r="H18">
        <v>0</v>
      </c>
      <c r="I18">
        <v>267.52</v>
      </c>
      <c r="J18">
        <v>43.93</v>
      </c>
      <c r="K18">
        <v>367.06</v>
      </c>
      <c r="L18">
        <v>0</v>
      </c>
      <c r="M18">
        <v>0</v>
      </c>
      <c r="N18">
        <v>267.52</v>
      </c>
      <c r="T18">
        <v>0</v>
      </c>
      <c r="U18">
        <v>13.25</v>
      </c>
      <c r="V18">
        <v>8.7899999999999991</v>
      </c>
      <c r="W18">
        <v>0</v>
      </c>
      <c r="X18">
        <v>22.04</v>
      </c>
      <c r="Y18">
        <v>0.8</v>
      </c>
      <c r="Z18">
        <v>41.01</v>
      </c>
      <c r="AA18">
        <v>0</v>
      </c>
      <c r="AB18">
        <v>0</v>
      </c>
      <c r="AC18">
        <v>22.04</v>
      </c>
    </row>
    <row r="20" spans="1:29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205596.36</v>
      </c>
      <c r="G20" s="5" t="s">
        <v>57</v>
      </c>
      <c r="H20" s="5" t="s">
        <v>58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20912.05</v>
      </c>
    </row>
    <row r="21" spans="1:29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161465.66</v>
      </c>
      <c r="G21" s="5" t="s">
        <v>59</v>
      </c>
      <c r="H21" s="5" t="s">
        <v>60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20094.21</v>
      </c>
    </row>
    <row r="22" spans="1:29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61</v>
      </c>
      <c r="H22" s="5" t="s">
        <v>62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161465.66</v>
      </c>
      <c r="G23" s="5" t="s">
        <v>63</v>
      </c>
      <c r="H23" s="5" t="s">
        <v>64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20094.21</v>
      </c>
    </row>
    <row r="24" spans="1:29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94146.59</v>
      </c>
      <c r="G24" s="5" t="s">
        <v>65</v>
      </c>
      <c r="H24" s="5" t="s">
        <v>66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11305.82</v>
      </c>
    </row>
    <row r="25" spans="1:29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67</v>
      </c>
      <c r="H25" s="5" t="s">
        <v>68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94146.59</v>
      </c>
      <c r="G26" s="5" t="s">
        <v>69</v>
      </c>
      <c r="H26" s="5" t="s">
        <v>70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11305.82</v>
      </c>
    </row>
    <row r="27" spans="1:29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67319.070000000007</v>
      </c>
      <c r="G27" s="5" t="s">
        <v>71</v>
      </c>
      <c r="H27" s="5" t="s">
        <v>72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8788.39</v>
      </c>
    </row>
    <row r="28" spans="1:29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73</v>
      </c>
      <c r="H28" s="5" t="s">
        <v>74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67319.070000000007</v>
      </c>
      <c r="G29" s="5" t="s">
        <v>75</v>
      </c>
      <c r="H29" s="5" t="s">
        <v>76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8788.39</v>
      </c>
    </row>
    <row r="30" spans="1:29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222.82</v>
      </c>
      <c r="G30" s="5" t="s">
        <v>77</v>
      </c>
      <c r="H30" s="5" t="s">
        <v>78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19.37</v>
      </c>
    </row>
    <row r="31" spans="1:29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79</v>
      </c>
      <c r="H31" s="5" t="s">
        <v>80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20.350000000000001</v>
      </c>
      <c r="G32" s="5" t="s">
        <v>81</v>
      </c>
      <c r="H32" s="5" t="s">
        <v>82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0.37</v>
      </c>
    </row>
    <row r="33" spans="1:16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43907.88</v>
      </c>
      <c r="G33" s="5" t="s">
        <v>83</v>
      </c>
      <c r="H33" s="5" t="s">
        <v>84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798.47</v>
      </c>
    </row>
    <row r="34" spans="1:16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85</v>
      </c>
      <c r="H34" s="5" t="s">
        <v>86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87</v>
      </c>
      <c r="H35" s="5" t="s">
        <v>88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200203.62</v>
      </c>
      <c r="G36" s="5" t="s">
        <v>89</v>
      </c>
      <c r="H36" s="5" t="s">
        <v>90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13249.82</v>
      </c>
    </row>
    <row r="37" spans="1:16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91</v>
      </c>
      <c r="H37" s="5" t="s">
        <v>92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93</v>
      </c>
      <c r="H38" s="5" t="s">
        <v>94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95</v>
      </c>
      <c r="H39" s="5" t="s">
        <v>96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63.539123449999998</v>
      </c>
      <c r="G40" s="5" t="s">
        <v>97</v>
      </c>
      <c r="H40" s="5" t="s">
        <v>98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63.539123449999998</v>
      </c>
    </row>
    <row r="41" spans="1:16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99</v>
      </c>
      <c r="H41" s="5" t="s">
        <v>100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101</v>
      </c>
      <c r="H42" s="5" t="s">
        <v>102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103</v>
      </c>
      <c r="H43" s="5" t="s">
        <v>104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40547.870000000003</v>
      </c>
      <c r="G44" s="5" t="s">
        <v>105</v>
      </c>
      <c r="H44" s="5" t="s">
        <v>106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737.37</v>
      </c>
    </row>
    <row r="45" spans="1:16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21378.46</v>
      </c>
      <c r="G45" s="5" t="s">
        <v>107</v>
      </c>
      <c r="H45" s="5" t="s">
        <v>108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388.79</v>
      </c>
    </row>
    <row r="46" spans="1:16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267522.69</v>
      </c>
      <c r="G46" s="5" t="s">
        <v>109</v>
      </c>
      <c r="H46" s="5" t="s">
        <v>110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22038.21</v>
      </c>
    </row>
    <row r="48" spans="1:16" x14ac:dyDescent="0.3">
      <c r="A48">
        <v>-1</v>
      </c>
    </row>
    <row r="51" spans="1:50" x14ac:dyDescent="0.3">
      <c r="A51" s="4">
        <v>75</v>
      </c>
      <c r="B51" s="4" t="s">
        <v>203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56503350</v>
      </c>
      <c r="O51" s="4">
        <v>1</v>
      </c>
    </row>
    <row r="52" spans="1:50" x14ac:dyDescent="0.3">
      <c r="A52" s="6">
        <v>1</v>
      </c>
      <c r="B52" s="6" t="s">
        <v>204</v>
      </c>
      <c r="C52" s="6" t="s">
        <v>205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206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56503351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3">
      <c r="A53" s="6">
        <v>1</v>
      </c>
      <c r="B53" s="6" t="s">
        <v>204</v>
      </c>
      <c r="C53" s="6" t="s">
        <v>207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208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56503352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3">
      <c r="A54" s="4">
        <v>75</v>
      </c>
      <c r="B54" s="4" t="s">
        <v>209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56503348</v>
      </c>
      <c r="O54" s="4">
        <v>2</v>
      </c>
    </row>
    <row r="55" spans="1:50" x14ac:dyDescent="0.3">
      <c r="A55" s="6">
        <v>1</v>
      </c>
      <c r="B55" s="6" t="s">
        <v>204</v>
      </c>
      <c r="C55" s="6" t="s">
        <v>205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146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58689272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0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119" x14ac:dyDescent="0.3">
      <c r="A1">
        <f>ROW(Source!A75)</f>
        <v>75</v>
      </c>
      <c r="B1">
        <v>56503348</v>
      </c>
      <c r="C1">
        <v>58754015</v>
      </c>
      <c r="D1">
        <v>57621905</v>
      </c>
      <c r="E1">
        <v>1080</v>
      </c>
      <c r="F1">
        <v>1</v>
      </c>
      <c r="G1">
        <v>1080</v>
      </c>
      <c r="H1">
        <v>1</v>
      </c>
      <c r="I1" t="s">
        <v>211</v>
      </c>
      <c r="J1" t="s">
        <v>3</v>
      </c>
      <c r="K1" t="s">
        <v>212</v>
      </c>
      <c r="L1">
        <v>1191</v>
      </c>
      <c r="N1">
        <v>1013</v>
      </c>
      <c r="O1" t="s">
        <v>213</v>
      </c>
      <c r="P1" t="s">
        <v>213</v>
      </c>
      <c r="Q1">
        <v>1</v>
      </c>
      <c r="W1">
        <v>0</v>
      </c>
      <c r="X1">
        <v>476480486</v>
      </c>
      <c r="Y1">
        <f>(AT1*1.1)</f>
        <v>74.107000000000014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67.37</v>
      </c>
      <c r="AU1" t="s">
        <v>24</v>
      </c>
      <c r="AV1">
        <v>1</v>
      </c>
      <c r="AW1">
        <v>2</v>
      </c>
      <c r="AX1">
        <v>58754016</v>
      </c>
      <c r="AY1">
        <v>1</v>
      </c>
      <c r="AZ1">
        <v>0</v>
      </c>
      <c r="BA1">
        <v>11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ROUND(AT1*Source!I75*AH1*AL1,2)</f>
        <v>0</v>
      </c>
      <c r="CV1">
        <f>ROUND(Y1*Source!I75,9)</f>
        <v>3.7053500000000001</v>
      </c>
      <c r="CW1">
        <v>0</v>
      </c>
      <c r="CX1">
        <f>ROUND(Y1*Source!I75,9)</f>
        <v>3.7053500000000001</v>
      </c>
      <c r="CY1">
        <f>AD1</f>
        <v>0</v>
      </c>
      <c r="CZ1">
        <f>AH1</f>
        <v>0</v>
      </c>
      <c r="DA1">
        <f>AL1</f>
        <v>1</v>
      </c>
      <c r="DB1">
        <f>ROUND((ROUND(AT1*CZ1,2)*1.1),6)</f>
        <v>0</v>
      </c>
      <c r="DC1">
        <f>ROUND((ROUND(AT1*AG1,2)*1.1),6)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 t="shared" ref="DG1:DG6" si="1">ROUND(ROUND(AF1,2)*CX1,2)</f>
        <v>0</v>
      </c>
      <c r="DH1">
        <f t="shared" ref="DH1:DH6" si="2">ROUND(ROUND(AG1,2)*CX1,2)</f>
        <v>0</v>
      </c>
      <c r="DI1">
        <f t="shared" ref="DI1:DI10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3">
      <c r="A2">
        <f>ROW(Source!A75)</f>
        <v>75</v>
      </c>
      <c r="B2">
        <v>56503348</v>
      </c>
      <c r="C2">
        <v>58754015</v>
      </c>
      <c r="D2">
        <v>57696079</v>
      </c>
      <c r="E2">
        <v>1</v>
      </c>
      <c r="F2">
        <v>1</v>
      </c>
      <c r="G2">
        <v>1080</v>
      </c>
      <c r="H2">
        <v>2</v>
      </c>
      <c r="I2" t="s">
        <v>214</v>
      </c>
      <c r="J2" t="s">
        <v>215</v>
      </c>
      <c r="K2" t="s">
        <v>216</v>
      </c>
      <c r="L2">
        <v>1368</v>
      </c>
      <c r="N2">
        <v>1011</v>
      </c>
      <c r="O2" t="s">
        <v>217</v>
      </c>
      <c r="P2" t="s">
        <v>217</v>
      </c>
      <c r="Q2">
        <v>1</v>
      </c>
      <c r="W2">
        <v>0</v>
      </c>
      <c r="X2">
        <v>-1985943078</v>
      </c>
      <c r="Y2">
        <f>(AT2*1.1)</f>
        <v>0.12100000000000001</v>
      </c>
      <c r="AA2">
        <v>0</v>
      </c>
      <c r="AB2">
        <v>87.01</v>
      </c>
      <c r="AC2">
        <v>13.21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0.11</v>
      </c>
      <c r="AU2" t="s">
        <v>24</v>
      </c>
      <c r="AV2">
        <v>0</v>
      </c>
      <c r="AW2">
        <v>2</v>
      </c>
      <c r="AX2">
        <v>58754017</v>
      </c>
      <c r="AY2">
        <v>1</v>
      </c>
      <c r="AZ2">
        <v>0</v>
      </c>
      <c r="BA2">
        <v>12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ROUND(Y2*Source!I75*DO2,9)</f>
        <v>7.6351000000000002E-2</v>
      </c>
      <c r="CX2">
        <f>ROUND(Y2*Source!I75,9)</f>
        <v>6.0499999999999998E-3</v>
      </c>
      <c r="CY2">
        <f>AB2</f>
        <v>87.01</v>
      </c>
      <c r="CZ2">
        <f>AF2</f>
        <v>83.1</v>
      </c>
      <c r="DA2">
        <f>AJ2</f>
        <v>1</v>
      </c>
      <c r="DB2">
        <f>ROUND((ROUND(AT2*CZ2,2)*1.1),6)</f>
        <v>10.054</v>
      </c>
      <c r="DC2">
        <f>ROUND((ROUND(AT2*AG2,2)*1.1),6)</f>
        <v>1.5289999999999999</v>
      </c>
      <c r="DD2" t="s">
        <v>3</v>
      </c>
      <c r="DE2" t="s">
        <v>3</v>
      </c>
      <c r="DF2">
        <f t="shared" si="0"/>
        <v>0</v>
      </c>
      <c r="DG2">
        <f t="shared" si="1"/>
        <v>0.5</v>
      </c>
      <c r="DH2">
        <f t="shared" si="2"/>
        <v>0.08</v>
      </c>
      <c r="DI2">
        <f t="shared" si="3"/>
        <v>0</v>
      </c>
      <c r="DJ2">
        <f>DG2</f>
        <v>0.5</v>
      </c>
      <c r="DK2">
        <v>0</v>
      </c>
      <c r="DL2" t="s">
        <v>218</v>
      </c>
      <c r="DM2">
        <v>0</v>
      </c>
      <c r="DN2" t="s">
        <v>213</v>
      </c>
      <c r="DO2">
        <v>12.62</v>
      </c>
    </row>
    <row r="3" spans="1:119" x14ac:dyDescent="0.3">
      <c r="A3">
        <f>ROW(Source!A75)</f>
        <v>75</v>
      </c>
      <c r="B3">
        <v>56503348</v>
      </c>
      <c r="C3">
        <v>58754015</v>
      </c>
      <c r="D3">
        <v>57664986</v>
      </c>
      <c r="E3">
        <v>1</v>
      </c>
      <c r="F3">
        <v>1</v>
      </c>
      <c r="G3">
        <v>1080</v>
      </c>
      <c r="H3">
        <v>3</v>
      </c>
      <c r="I3" t="s">
        <v>219</v>
      </c>
      <c r="J3" t="s">
        <v>220</v>
      </c>
      <c r="K3" t="s">
        <v>221</v>
      </c>
      <c r="L3">
        <v>1348</v>
      </c>
      <c r="N3">
        <v>1009</v>
      </c>
      <c r="O3" t="s">
        <v>222</v>
      </c>
      <c r="P3" t="s">
        <v>222</v>
      </c>
      <c r="Q3">
        <v>1000</v>
      </c>
      <c r="W3">
        <v>0</v>
      </c>
      <c r="X3">
        <v>1286623552</v>
      </c>
      <c r="Y3">
        <f>AT3</f>
        <v>9.5999999999999992E-3</v>
      </c>
      <c r="AA3">
        <v>7246.05</v>
      </c>
      <c r="AB3">
        <v>0</v>
      </c>
      <c r="AC3">
        <v>0</v>
      </c>
      <c r="AD3">
        <v>0</v>
      </c>
      <c r="AE3">
        <v>7246.05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9.5999999999999992E-3</v>
      </c>
      <c r="AU3" t="s">
        <v>3</v>
      </c>
      <c r="AV3">
        <v>0</v>
      </c>
      <c r="AW3">
        <v>2</v>
      </c>
      <c r="AX3">
        <v>58754018</v>
      </c>
      <c r="AY3">
        <v>1</v>
      </c>
      <c r="AZ3">
        <v>0</v>
      </c>
      <c r="BA3">
        <v>13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ROUND(Y3*Source!I75,9)</f>
        <v>4.8000000000000001E-4</v>
      </c>
      <c r="CY3">
        <f>AA3</f>
        <v>7246.05</v>
      </c>
      <c r="CZ3">
        <f>AE3</f>
        <v>7246.05</v>
      </c>
      <c r="DA3">
        <f>AI3</f>
        <v>1</v>
      </c>
      <c r="DB3">
        <f>ROUND(ROUND(AT3*CZ3,2),6)</f>
        <v>69.56</v>
      </c>
      <c r="DC3">
        <f>ROUND(ROUND(AT3*AG3,2),6)</f>
        <v>0</v>
      </c>
      <c r="DD3" t="s">
        <v>3</v>
      </c>
      <c r="DE3" t="s">
        <v>3</v>
      </c>
      <c r="DF3">
        <f t="shared" si="0"/>
        <v>3.48</v>
      </c>
      <c r="DG3">
        <f t="shared" si="1"/>
        <v>0</v>
      </c>
      <c r="DH3">
        <f t="shared" si="2"/>
        <v>0</v>
      </c>
      <c r="DI3">
        <f t="shared" si="3"/>
        <v>0</v>
      </c>
      <c r="DJ3">
        <f>DF3</f>
        <v>3.48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3">
      <c r="A4">
        <f>ROW(Source!A75)</f>
        <v>75</v>
      </c>
      <c r="B4">
        <v>56503348</v>
      </c>
      <c r="C4">
        <v>58754015</v>
      </c>
      <c r="D4">
        <v>57664417</v>
      </c>
      <c r="E4">
        <v>1</v>
      </c>
      <c r="F4">
        <v>1</v>
      </c>
      <c r="G4">
        <v>1080</v>
      </c>
      <c r="H4">
        <v>3</v>
      </c>
      <c r="I4" t="s">
        <v>223</v>
      </c>
      <c r="J4" t="s">
        <v>224</v>
      </c>
      <c r="K4" t="s">
        <v>225</v>
      </c>
      <c r="L4">
        <v>1354</v>
      </c>
      <c r="N4">
        <v>1010</v>
      </c>
      <c r="O4" t="s">
        <v>32</v>
      </c>
      <c r="P4" t="s">
        <v>32</v>
      </c>
      <c r="Q4">
        <v>1</v>
      </c>
      <c r="W4">
        <v>0</v>
      </c>
      <c r="X4">
        <v>-1414204412</v>
      </c>
      <c r="Y4">
        <f>AT4</f>
        <v>204</v>
      </c>
      <c r="AA4">
        <v>3.86</v>
      </c>
      <c r="AB4">
        <v>0</v>
      </c>
      <c r="AC4">
        <v>0</v>
      </c>
      <c r="AD4">
        <v>0</v>
      </c>
      <c r="AE4">
        <v>3.86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204</v>
      </c>
      <c r="AU4" t="s">
        <v>3</v>
      </c>
      <c r="AV4">
        <v>0</v>
      </c>
      <c r="AW4">
        <v>2</v>
      </c>
      <c r="AX4">
        <v>58754019</v>
      </c>
      <c r="AY4">
        <v>1</v>
      </c>
      <c r="AZ4">
        <v>0</v>
      </c>
      <c r="BA4">
        <v>14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ROUND(Y4*Source!I75,9)</f>
        <v>10.199999999999999</v>
      </c>
      <c r="CY4">
        <f>AA4</f>
        <v>3.86</v>
      </c>
      <c r="CZ4">
        <f>AE4</f>
        <v>3.86</v>
      </c>
      <c r="DA4">
        <f>AI4</f>
        <v>1</v>
      </c>
      <c r="DB4">
        <f>ROUND(ROUND(AT4*CZ4,2),6)</f>
        <v>787.44</v>
      </c>
      <c r="DC4">
        <f>ROUND(ROUND(AT4*AG4,2),6)</f>
        <v>0</v>
      </c>
      <c r="DD4" t="s">
        <v>3</v>
      </c>
      <c r="DE4" t="s">
        <v>3</v>
      </c>
      <c r="DF4">
        <f t="shared" si="0"/>
        <v>39.369999999999997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39.369999999999997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3">
      <c r="A5">
        <f>ROW(Source!A75)</f>
        <v>75</v>
      </c>
      <c r="B5">
        <v>56503348</v>
      </c>
      <c r="C5">
        <v>58754015</v>
      </c>
      <c r="D5">
        <v>57683408</v>
      </c>
      <c r="E5">
        <v>1</v>
      </c>
      <c r="F5">
        <v>1</v>
      </c>
      <c r="G5">
        <v>1080</v>
      </c>
      <c r="H5">
        <v>3</v>
      </c>
      <c r="I5" t="s">
        <v>119</v>
      </c>
      <c r="J5" t="s">
        <v>120</v>
      </c>
      <c r="K5" t="s">
        <v>317</v>
      </c>
      <c r="L5">
        <v>1354</v>
      </c>
      <c r="N5">
        <v>1010</v>
      </c>
      <c r="O5" t="s">
        <v>32</v>
      </c>
      <c r="P5" t="s">
        <v>32</v>
      </c>
      <c r="Q5">
        <v>1</v>
      </c>
      <c r="W5">
        <v>0</v>
      </c>
      <c r="X5">
        <v>-971037413</v>
      </c>
      <c r="Y5">
        <f>AT5</f>
        <v>100</v>
      </c>
      <c r="AA5">
        <v>133.05000000000001</v>
      </c>
      <c r="AB5">
        <v>0</v>
      </c>
      <c r="AC5">
        <v>0</v>
      </c>
      <c r="AD5">
        <v>0</v>
      </c>
      <c r="AE5">
        <v>133.05000000000001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 t="s">
        <v>3</v>
      </c>
      <c r="AT5">
        <v>100</v>
      </c>
      <c r="AU5" t="s">
        <v>3</v>
      </c>
      <c r="AV5">
        <v>0</v>
      </c>
      <c r="AW5">
        <v>1</v>
      </c>
      <c r="AX5">
        <v>-1</v>
      </c>
      <c r="AY5">
        <v>0</v>
      </c>
      <c r="AZ5">
        <v>0</v>
      </c>
      <c r="BA5" t="s">
        <v>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ROUND(Y5*Source!I75,9)</f>
        <v>5</v>
      </c>
      <c r="CY5">
        <f>AA5</f>
        <v>133.05000000000001</v>
      </c>
      <c r="CZ5">
        <f>AE5</f>
        <v>133.05000000000001</v>
      </c>
      <c r="DA5">
        <f>AI5</f>
        <v>1</v>
      </c>
      <c r="DB5">
        <f>ROUND(ROUND(AT5*CZ5,2),6)</f>
        <v>13305</v>
      </c>
      <c r="DC5">
        <f>ROUND(ROUND(AT5*AG5,2),6)</f>
        <v>0</v>
      </c>
      <c r="DD5" t="s">
        <v>3</v>
      </c>
      <c r="DE5" t="s">
        <v>3</v>
      </c>
      <c r="DF5">
        <f t="shared" si="0"/>
        <v>665.25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665.25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3">
      <c r="A6">
        <f>ROW(Source!A76)</f>
        <v>76</v>
      </c>
      <c r="B6">
        <v>56503350</v>
      </c>
      <c r="C6">
        <v>58754015</v>
      </c>
      <c r="D6">
        <v>57621905</v>
      </c>
      <c r="E6">
        <v>1080</v>
      </c>
      <c r="F6">
        <v>1</v>
      </c>
      <c r="G6">
        <v>1080</v>
      </c>
      <c r="H6">
        <v>1</v>
      </c>
      <c r="I6" t="s">
        <v>211</v>
      </c>
      <c r="J6" t="s">
        <v>3</v>
      </c>
      <c r="K6" t="s">
        <v>212</v>
      </c>
      <c r="L6">
        <v>1191</v>
      </c>
      <c r="N6">
        <v>1013</v>
      </c>
      <c r="O6" t="s">
        <v>213</v>
      </c>
      <c r="P6" t="s">
        <v>213</v>
      </c>
      <c r="Q6">
        <v>1</v>
      </c>
      <c r="W6">
        <v>0</v>
      </c>
      <c r="X6">
        <v>476480486</v>
      </c>
      <c r="Y6">
        <f>(AT6*1.1)</f>
        <v>74.107000000000014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67.37</v>
      </c>
      <c r="AU6" t="s">
        <v>24</v>
      </c>
      <c r="AV6">
        <v>1</v>
      </c>
      <c r="AW6">
        <v>2</v>
      </c>
      <c r="AX6">
        <v>58754016</v>
      </c>
      <c r="AY6">
        <v>1</v>
      </c>
      <c r="AZ6">
        <v>0</v>
      </c>
      <c r="BA6">
        <v>16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ROUND(AT6*Source!I76*AH6*AL6,2)</f>
        <v>0</v>
      </c>
      <c r="CV6">
        <f>ROUND(Y6*Source!I76,9)</f>
        <v>3.7053500000000001</v>
      </c>
      <c r="CW6">
        <v>0</v>
      </c>
      <c r="CX6">
        <f>ROUND(Y6*Source!I76,9)</f>
        <v>3.7053500000000001</v>
      </c>
      <c r="CY6">
        <f>AD6</f>
        <v>0</v>
      </c>
      <c r="CZ6">
        <f>AH6</f>
        <v>0</v>
      </c>
      <c r="DA6">
        <f>AL6</f>
        <v>1</v>
      </c>
      <c r="DB6">
        <f>ROUND((ROUND(AT6*CZ6,2)*1.1),6)</f>
        <v>0</v>
      </c>
      <c r="DC6">
        <f>ROUND((ROUND(AT6*AG6,2)*1.1),6)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3">
      <c r="A7">
        <f>ROW(Source!A76)</f>
        <v>76</v>
      </c>
      <c r="B7">
        <v>56503350</v>
      </c>
      <c r="C7">
        <v>58754015</v>
      </c>
      <c r="D7">
        <v>57696079</v>
      </c>
      <c r="E7">
        <v>1</v>
      </c>
      <c r="F7">
        <v>1</v>
      </c>
      <c r="G7">
        <v>1080</v>
      </c>
      <c r="H7">
        <v>2</v>
      </c>
      <c r="I7" t="s">
        <v>214</v>
      </c>
      <c r="J7" t="s">
        <v>215</v>
      </c>
      <c r="K7" t="s">
        <v>216</v>
      </c>
      <c r="L7">
        <v>1368</v>
      </c>
      <c r="N7">
        <v>1011</v>
      </c>
      <c r="O7" t="s">
        <v>217</v>
      </c>
      <c r="P7" t="s">
        <v>217</v>
      </c>
      <c r="Q7">
        <v>1</v>
      </c>
      <c r="W7">
        <v>0</v>
      </c>
      <c r="X7">
        <v>-1985943078</v>
      </c>
      <c r="Y7">
        <f>(AT7*1.1)</f>
        <v>0.12100000000000001</v>
      </c>
      <c r="AA7">
        <v>0</v>
      </c>
      <c r="AB7">
        <v>1418.19</v>
      </c>
      <c r="AC7">
        <v>726.59</v>
      </c>
      <c r="AD7">
        <v>0</v>
      </c>
      <c r="AE7">
        <v>0</v>
      </c>
      <c r="AF7">
        <v>83.1</v>
      </c>
      <c r="AG7">
        <v>12.62</v>
      </c>
      <c r="AH7">
        <v>0</v>
      </c>
      <c r="AI7">
        <v>1</v>
      </c>
      <c r="AJ7">
        <v>16.3</v>
      </c>
      <c r="AK7">
        <v>54.99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0.11</v>
      </c>
      <c r="AU7" t="s">
        <v>24</v>
      </c>
      <c r="AV7">
        <v>0</v>
      </c>
      <c r="AW7">
        <v>2</v>
      </c>
      <c r="AX7">
        <v>58754017</v>
      </c>
      <c r="AY7">
        <v>1</v>
      </c>
      <c r="AZ7">
        <v>0</v>
      </c>
      <c r="BA7">
        <v>17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ROUND(Y7*Source!I76*DO7,9)</f>
        <v>7.6351000000000002E-2</v>
      </c>
      <c r="CX7">
        <f>ROUND(Y7*Source!I76,9)</f>
        <v>6.0499999999999998E-3</v>
      </c>
      <c r="CY7">
        <f>AB7</f>
        <v>1418.19</v>
      </c>
      <c r="CZ7">
        <f>AF7</f>
        <v>83.1</v>
      </c>
      <c r="DA7">
        <f>AJ7</f>
        <v>16.3</v>
      </c>
      <c r="DB7">
        <f>ROUND((ROUND(AT7*CZ7,2)*1.1),6)</f>
        <v>10.054</v>
      </c>
      <c r="DC7">
        <f>ROUND((ROUND(AT7*AG7,2)*1.1),6)</f>
        <v>1.5289999999999999</v>
      </c>
      <c r="DD7" t="s">
        <v>3</v>
      </c>
      <c r="DE7" t="s">
        <v>3</v>
      </c>
      <c r="DF7">
        <f t="shared" si="0"/>
        <v>0</v>
      </c>
      <c r="DG7">
        <f>ROUND(ROUND(AF7*AJ7,2)*CX7,2)</f>
        <v>8.19</v>
      </c>
      <c r="DH7">
        <f>ROUND(ROUND(AG7*AK7,2)*CX7,2)</f>
        <v>4.2</v>
      </c>
      <c r="DI7">
        <f t="shared" si="3"/>
        <v>0</v>
      </c>
      <c r="DJ7">
        <f>DG7</f>
        <v>8.19</v>
      </c>
      <c r="DK7">
        <v>0</v>
      </c>
      <c r="DL7" t="s">
        <v>218</v>
      </c>
      <c r="DM7">
        <v>0</v>
      </c>
      <c r="DN7" t="s">
        <v>213</v>
      </c>
      <c r="DO7">
        <v>12.62</v>
      </c>
    </row>
    <row r="8" spans="1:119" x14ac:dyDescent="0.3">
      <c r="A8">
        <f>ROW(Source!A76)</f>
        <v>76</v>
      </c>
      <c r="B8">
        <v>56503350</v>
      </c>
      <c r="C8">
        <v>58754015</v>
      </c>
      <c r="D8">
        <v>57664986</v>
      </c>
      <c r="E8">
        <v>1</v>
      </c>
      <c r="F8">
        <v>1</v>
      </c>
      <c r="G8">
        <v>1080</v>
      </c>
      <c r="H8">
        <v>3</v>
      </c>
      <c r="I8" t="s">
        <v>219</v>
      </c>
      <c r="J8" t="s">
        <v>220</v>
      </c>
      <c r="K8" t="s">
        <v>221</v>
      </c>
      <c r="L8">
        <v>1348</v>
      </c>
      <c r="N8">
        <v>1009</v>
      </c>
      <c r="O8" t="s">
        <v>222</v>
      </c>
      <c r="P8" t="s">
        <v>222</v>
      </c>
      <c r="Q8">
        <v>1000</v>
      </c>
      <c r="W8">
        <v>0</v>
      </c>
      <c r="X8">
        <v>1286623552</v>
      </c>
      <c r="Y8">
        <f>AT8</f>
        <v>9.5999999999999992E-3</v>
      </c>
      <c r="AA8">
        <v>65214.45</v>
      </c>
      <c r="AB8">
        <v>0</v>
      </c>
      <c r="AC8">
        <v>0</v>
      </c>
      <c r="AD8">
        <v>0</v>
      </c>
      <c r="AE8">
        <v>7246.05</v>
      </c>
      <c r="AF8">
        <v>0</v>
      </c>
      <c r="AG8">
        <v>0</v>
      </c>
      <c r="AH8">
        <v>0</v>
      </c>
      <c r="AI8">
        <v>9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9.5999999999999992E-3</v>
      </c>
      <c r="AU8" t="s">
        <v>3</v>
      </c>
      <c r="AV8">
        <v>0</v>
      </c>
      <c r="AW8">
        <v>2</v>
      </c>
      <c r="AX8">
        <v>58754018</v>
      </c>
      <c r="AY8">
        <v>1</v>
      </c>
      <c r="AZ8">
        <v>0</v>
      </c>
      <c r="BA8">
        <v>18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ROUND(Y8*Source!I76,9)</f>
        <v>4.8000000000000001E-4</v>
      </c>
      <c r="CY8">
        <f>AA8</f>
        <v>65214.45</v>
      </c>
      <c r="CZ8">
        <f>AE8</f>
        <v>7246.05</v>
      </c>
      <c r="DA8">
        <f>AI8</f>
        <v>9</v>
      </c>
      <c r="DB8">
        <f>ROUND(ROUND(AT8*CZ8,2),6)</f>
        <v>69.56</v>
      </c>
      <c r="DC8">
        <f>ROUND(ROUND(AT8*AG8,2),6)</f>
        <v>0</v>
      </c>
      <c r="DD8" t="s">
        <v>3</v>
      </c>
      <c r="DE8" t="s">
        <v>3</v>
      </c>
      <c r="DF8">
        <f>ROUND(ROUND(AE8*AI8,2)*CX8,2)</f>
        <v>31.3</v>
      </c>
      <c r="DG8">
        <f>ROUND(ROUND(AF8,2)*CX8,2)</f>
        <v>0</v>
      </c>
      <c r="DH8">
        <f>ROUND(ROUND(AG8,2)*CX8,2)</f>
        <v>0</v>
      </c>
      <c r="DI8">
        <f t="shared" si="3"/>
        <v>0</v>
      </c>
      <c r="DJ8">
        <f>DF8</f>
        <v>31.3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3">
      <c r="A9">
        <f>ROW(Source!A76)</f>
        <v>76</v>
      </c>
      <c r="B9">
        <v>56503350</v>
      </c>
      <c r="C9">
        <v>58754015</v>
      </c>
      <c r="D9">
        <v>57664417</v>
      </c>
      <c r="E9">
        <v>1</v>
      </c>
      <c r="F9">
        <v>1</v>
      </c>
      <c r="G9">
        <v>1080</v>
      </c>
      <c r="H9">
        <v>3</v>
      </c>
      <c r="I9" t="s">
        <v>223</v>
      </c>
      <c r="J9" t="s">
        <v>224</v>
      </c>
      <c r="K9" t="s">
        <v>225</v>
      </c>
      <c r="L9">
        <v>1354</v>
      </c>
      <c r="N9">
        <v>1010</v>
      </c>
      <c r="O9" t="s">
        <v>32</v>
      </c>
      <c r="P9" t="s">
        <v>32</v>
      </c>
      <c r="Q9">
        <v>1</v>
      </c>
      <c r="W9">
        <v>0</v>
      </c>
      <c r="X9">
        <v>-1414204412</v>
      </c>
      <c r="Y9">
        <f>AT9</f>
        <v>204</v>
      </c>
      <c r="AA9">
        <v>9.34</v>
      </c>
      <c r="AB9">
        <v>0</v>
      </c>
      <c r="AC9">
        <v>0</v>
      </c>
      <c r="AD9">
        <v>0</v>
      </c>
      <c r="AE9">
        <v>3.86</v>
      </c>
      <c r="AF9">
        <v>0</v>
      </c>
      <c r="AG9">
        <v>0</v>
      </c>
      <c r="AH9">
        <v>0</v>
      </c>
      <c r="AI9">
        <v>2.42</v>
      </c>
      <c r="AJ9">
        <v>1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204</v>
      </c>
      <c r="AU9" t="s">
        <v>3</v>
      </c>
      <c r="AV9">
        <v>0</v>
      </c>
      <c r="AW9">
        <v>2</v>
      </c>
      <c r="AX9">
        <v>58754019</v>
      </c>
      <c r="AY9">
        <v>1</v>
      </c>
      <c r="AZ9">
        <v>0</v>
      </c>
      <c r="BA9">
        <v>19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ROUND(Y9*Source!I76,9)</f>
        <v>10.199999999999999</v>
      </c>
      <c r="CY9">
        <f>AA9</f>
        <v>9.34</v>
      </c>
      <c r="CZ9">
        <f>AE9</f>
        <v>3.86</v>
      </c>
      <c r="DA9">
        <f>AI9</f>
        <v>2.42</v>
      </c>
      <c r="DB9">
        <f>ROUND(ROUND(AT9*CZ9,2),6)</f>
        <v>787.44</v>
      </c>
      <c r="DC9">
        <f>ROUND(ROUND(AT9*AG9,2),6)</f>
        <v>0</v>
      </c>
      <c r="DD9" t="s">
        <v>3</v>
      </c>
      <c r="DE9" t="s">
        <v>3</v>
      </c>
      <c r="DF9">
        <f>ROUND(ROUND(AE9*AI9,2)*CX9,2)</f>
        <v>95.27</v>
      </c>
      <c r="DG9">
        <f>ROUND(ROUND(AF9,2)*CX9,2)</f>
        <v>0</v>
      </c>
      <c r="DH9">
        <f>ROUND(ROUND(AG9,2)*CX9,2)</f>
        <v>0</v>
      </c>
      <c r="DI9">
        <f t="shared" si="3"/>
        <v>0</v>
      </c>
      <c r="DJ9">
        <f>DF9</f>
        <v>95.27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3">
      <c r="A10">
        <f>ROW(Source!A76)</f>
        <v>76</v>
      </c>
      <c r="B10">
        <v>56503350</v>
      </c>
      <c r="C10">
        <v>58754015</v>
      </c>
      <c r="D10">
        <v>57683408</v>
      </c>
      <c r="E10">
        <v>1</v>
      </c>
      <c r="F10">
        <v>1</v>
      </c>
      <c r="G10">
        <v>1080</v>
      </c>
      <c r="H10">
        <v>3</v>
      </c>
      <c r="I10" t="s">
        <v>119</v>
      </c>
      <c r="J10" t="s">
        <v>120</v>
      </c>
      <c r="K10" t="s">
        <v>317</v>
      </c>
      <c r="L10">
        <v>1354</v>
      </c>
      <c r="N10">
        <v>1010</v>
      </c>
      <c r="O10" t="s">
        <v>32</v>
      </c>
      <c r="P10" t="s">
        <v>32</v>
      </c>
      <c r="Q10">
        <v>1</v>
      </c>
      <c r="W10">
        <v>0</v>
      </c>
      <c r="X10">
        <v>-971037413</v>
      </c>
      <c r="Y10">
        <f>AT10</f>
        <v>100</v>
      </c>
      <c r="AA10">
        <v>1242.69</v>
      </c>
      <c r="AB10">
        <v>0</v>
      </c>
      <c r="AC10">
        <v>0</v>
      </c>
      <c r="AD10">
        <v>0</v>
      </c>
      <c r="AE10">
        <v>133.05000000000001</v>
      </c>
      <c r="AF10">
        <v>0</v>
      </c>
      <c r="AG10">
        <v>0</v>
      </c>
      <c r="AH10">
        <v>0</v>
      </c>
      <c r="AI10">
        <v>9.34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 t="s">
        <v>3</v>
      </c>
      <c r="AT10">
        <v>100</v>
      </c>
      <c r="AU10" t="s">
        <v>3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ROUND(Y10*Source!I76,9)</f>
        <v>5</v>
      </c>
      <c r="CY10">
        <f>AA10</f>
        <v>1242.69</v>
      </c>
      <c r="CZ10">
        <f>AE10</f>
        <v>133.05000000000001</v>
      </c>
      <c r="DA10">
        <f>AI10</f>
        <v>9.34</v>
      </c>
      <c r="DB10">
        <f>ROUND(ROUND(AT10*CZ10,2),6)</f>
        <v>13305</v>
      </c>
      <c r="DC10">
        <f>ROUND(ROUND(AT10*AG10,2),6)</f>
        <v>0</v>
      </c>
      <c r="DD10" t="s">
        <v>3</v>
      </c>
      <c r="DE10" t="s">
        <v>3</v>
      </c>
      <c r="DF10">
        <f>ROUND(ROUND(AE10*AI10,2)*CX10,2)</f>
        <v>6213.45</v>
      </c>
      <c r="DG10">
        <f>ROUND(ROUND(AF10,2)*CX10,2)</f>
        <v>0</v>
      </c>
      <c r="DH10">
        <f>ROUND(ROUND(AG10,2)*CX10,2)</f>
        <v>0</v>
      </c>
      <c r="DI10">
        <f t="shared" si="3"/>
        <v>0</v>
      </c>
      <c r="DJ10">
        <f>DF10</f>
        <v>6213.45</v>
      </c>
      <c r="DK10">
        <v>0</v>
      </c>
      <c r="DL10" t="s">
        <v>3</v>
      </c>
      <c r="DM10">
        <v>0</v>
      </c>
      <c r="DN10" t="s">
        <v>3</v>
      </c>
      <c r="DO1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4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44" x14ac:dyDescent="0.3">
      <c r="A1">
        <f>ROW(Source!A28)</f>
        <v>28</v>
      </c>
      <c r="B1">
        <v>58753938</v>
      </c>
      <c r="C1">
        <v>56503594</v>
      </c>
      <c r="D1">
        <v>57621905</v>
      </c>
      <c r="E1">
        <v>1080</v>
      </c>
      <c r="F1">
        <v>1</v>
      </c>
      <c r="G1">
        <v>1080</v>
      </c>
      <c r="H1">
        <v>1</v>
      </c>
      <c r="I1" t="s">
        <v>211</v>
      </c>
      <c r="J1" t="s">
        <v>3</v>
      </c>
      <c r="K1" t="s">
        <v>212</v>
      </c>
      <c r="L1">
        <v>1191</v>
      </c>
      <c r="N1">
        <v>1013</v>
      </c>
      <c r="O1" t="s">
        <v>213</v>
      </c>
      <c r="P1" t="s">
        <v>213</v>
      </c>
      <c r="Q1">
        <v>1</v>
      </c>
      <c r="X1">
        <v>8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24</v>
      </c>
      <c r="AG1">
        <v>8.8000000000000007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3">
      <c r="A2">
        <f>ROW(Source!A29)</f>
        <v>29</v>
      </c>
      <c r="B2">
        <v>58753938</v>
      </c>
      <c r="C2">
        <v>56503594</v>
      </c>
      <c r="D2">
        <v>57621905</v>
      </c>
      <c r="E2">
        <v>1080</v>
      </c>
      <c r="F2">
        <v>1</v>
      </c>
      <c r="G2">
        <v>1080</v>
      </c>
      <c r="H2">
        <v>1</v>
      </c>
      <c r="I2" t="s">
        <v>211</v>
      </c>
      <c r="J2" t="s">
        <v>3</v>
      </c>
      <c r="K2" t="s">
        <v>212</v>
      </c>
      <c r="L2">
        <v>1191</v>
      </c>
      <c r="N2">
        <v>1013</v>
      </c>
      <c r="O2" t="s">
        <v>213</v>
      </c>
      <c r="P2" t="s">
        <v>213</v>
      </c>
      <c r="Q2">
        <v>1</v>
      </c>
      <c r="X2">
        <v>8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24</v>
      </c>
      <c r="AG2">
        <v>8.8000000000000007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3">
      <c r="A3">
        <f>ROW(Source!A32)</f>
        <v>32</v>
      </c>
      <c r="B3">
        <v>58753939</v>
      </c>
      <c r="C3">
        <v>56503601</v>
      </c>
      <c r="D3">
        <v>57621905</v>
      </c>
      <c r="E3">
        <v>1080</v>
      </c>
      <c r="F3">
        <v>1</v>
      </c>
      <c r="G3">
        <v>1080</v>
      </c>
      <c r="H3">
        <v>1</v>
      </c>
      <c r="I3" t="s">
        <v>211</v>
      </c>
      <c r="J3" t="s">
        <v>3</v>
      </c>
      <c r="K3" t="s">
        <v>212</v>
      </c>
      <c r="L3">
        <v>1191</v>
      </c>
      <c r="N3">
        <v>1013</v>
      </c>
      <c r="O3" t="s">
        <v>213</v>
      </c>
      <c r="P3" t="s">
        <v>213</v>
      </c>
      <c r="Q3">
        <v>1</v>
      </c>
      <c r="X3">
        <v>0.3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24</v>
      </c>
      <c r="AG3">
        <v>0.33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">
      <c r="A4">
        <f>ROW(Source!A32)</f>
        <v>32</v>
      </c>
      <c r="B4">
        <v>58753940</v>
      </c>
      <c r="C4">
        <v>56503601</v>
      </c>
      <c r="D4">
        <v>57685908</v>
      </c>
      <c r="E4">
        <v>1</v>
      </c>
      <c r="F4">
        <v>1</v>
      </c>
      <c r="G4">
        <v>1080</v>
      </c>
      <c r="H4">
        <v>3</v>
      </c>
      <c r="I4" t="s">
        <v>226</v>
      </c>
      <c r="J4" t="s">
        <v>227</v>
      </c>
      <c r="K4" t="s">
        <v>228</v>
      </c>
      <c r="L4">
        <v>1346</v>
      </c>
      <c r="N4">
        <v>1009</v>
      </c>
      <c r="O4" t="s">
        <v>229</v>
      </c>
      <c r="P4" t="s">
        <v>229</v>
      </c>
      <c r="Q4">
        <v>1</v>
      </c>
      <c r="X4">
        <v>4.2000000000000003E-2</v>
      </c>
      <c r="Y4">
        <v>19.28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3</v>
      </c>
      <c r="AG4">
        <v>4.2000000000000003E-2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3">
      <c r="A5">
        <f>ROW(Source!A32)</f>
        <v>32</v>
      </c>
      <c r="B5">
        <v>58753941</v>
      </c>
      <c r="C5">
        <v>56503601</v>
      </c>
      <c r="D5">
        <v>57643779</v>
      </c>
      <c r="E5">
        <v>1080</v>
      </c>
      <c r="F5">
        <v>1</v>
      </c>
      <c r="G5">
        <v>1080</v>
      </c>
      <c r="H5">
        <v>3</v>
      </c>
      <c r="I5" t="s">
        <v>230</v>
      </c>
      <c r="J5" t="s">
        <v>3</v>
      </c>
      <c r="K5" t="s">
        <v>231</v>
      </c>
      <c r="L5">
        <v>1354</v>
      </c>
      <c r="N5">
        <v>1010</v>
      </c>
      <c r="O5" t="s">
        <v>32</v>
      </c>
      <c r="P5" t="s">
        <v>32</v>
      </c>
      <c r="Q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</v>
      </c>
      <c r="AG5">
        <v>1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3">
      <c r="A6">
        <f>ROW(Source!A32)</f>
        <v>32</v>
      </c>
      <c r="B6">
        <v>58753942</v>
      </c>
      <c r="C6">
        <v>56503601</v>
      </c>
      <c r="D6">
        <v>57626907</v>
      </c>
      <c r="E6">
        <v>1080</v>
      </c>
      <c r="F6">
        <v>1</v>
      </c>
      <c r="G6">
        <v>1080</v>
      </c>
      <c r="H6">
        <v>3</v>
      </c>
      <c r="I6" t="s">
        <v>232</v>
      </c>
      <c r="J6" t="s">
        <v>3</v>
      </c>
      <c r="K6" t="s">
        <v>233</v>
      </c>
      <c r="L6">
        <v>1348</v>
      </c>
      <c r="N6">
        <v>1009</v>
      </c>
      <c r="O6" t="s">
        <v>222</v>
      </c>
      <c r="P6" t="s">
        <v>222</v>
      </c>
      <c r="Q6">
        <v>1000</v>
      </c>
      <c r="X6">
        <v>1.5E-3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</v>
      </c>
      <c r="AG6">
        <v>1.5E-3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3">
      <c r="A7">
        <f>ROW(Source!A33)</f>
        <v>33</v>
      </c>
      <c r="B7">
        <v>58753939</v>
      </c>
      <c r="C7">
        <v>56503601</v>
      </c>
      <c r="D7">
        <v>57621905</v>
      </c>
      <c r="E7">
        <v>1080</v>
      </c>
      <c r="F7">
        <v>1</v>
      </c>
      <c r="G7">
        <v>1080</v>
      </c>
      <c r="H7">
        <v>1</v>
      </c>
      <c r="I7" t="s">
        <v>211</v>
      </c>
      <c r="J7" t="s">
        <v>3</v>
      </c>
      <c r="K7" t="s">
        <v>212</v>
      </c>
      <c r="L7">
        <v>1191</v>
      </c>
      <c r="N7">
        <v>1013</v>
      </c>
      <c r="O7" t="s">
        <v>213</v>
      </c>
      <c r="P7" t="s">
        <v>213</v>
      </c>
      <c r="Q7">
        <v>1</v>
      </c>
      <c r="X7">
        <v>0.3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24</v>
      </c>
      <c r="AG7">
        <v>0.33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">
      <c r="A8">
        <f>ROW(Source!A33)</f>
        <v>33</v>
      </c>
      <c r="B8">
        <v>58753940</v>
      </c>
      <c r="C8">
        <v>56503601</v>
      </c>
      <c r="D8">
        <v>57685908</v>
      </c>
      <c r="E8">
        <v>1</v>
      </c>
      <c r="F8">
        <v>1</v>
      </c>
      <c r="G8">
        <v>1080</v>
      </c>
      <c r="H8">
        <v>3</v>
      </c>
      <c r="I8" t="s">
        <v>226</v>
      </c>
      <c r="J8" t="s">
        <v>227</v>
      </c>
      <c r="K8" t="s">
        <v>228</v>
      </c>
      <c r="L8">
        <v>1346</v>
      </c>
      <c r="N8">
        <v>1009</v>
      </c>
      <c r="O8" t="s">
        <v>229</v>
      </c>
      <c r="P8" t="s">
        <v>229</v>
      </c>
      <c r="Q8">
        <v>1</v>
      </c>
      <c r="X8">
        <v>4.2000000000000003E-2</v>
      </c>
      <c r="Y8">
        <v>19.28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</v>
      </c>
      <c r="AG8">
        <v>4.2000000000000003E-2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3">
      <c r="A9">
        <f>ROW(Source!A33)</f>
        <v>33</v>
      </c>
      <c r="B9">
        <v>58753941</v>
      </c>
      <c r="C9">
        <v>56503601</v>
      </c>
      <c r="D9">
        <v>57643779</v>
      </c>
      <c r="E9">
        <v>1080</v>
      </c>
      <c r="F9">
        <v>1</v>
      </c>
      <c r="G9">
        <v>1080</v>
      </c>
      <c r="H9">
        <v>3</v>
      </c>
      <c r="I9" t="s">
        <v>230</v>
      </c>
      <c r="J9" t="s">
        <v>3</v>
      </c>
      <c r="K9" t="s">
        <v>231</v>
      </c>
      <c r="L9">
        <v>1354</v>
      </c>
      <c r="N9">
        <v>1010</v>
      </c>
      <c r="O9" t="s">
        <v>32</v>
      </c>
      <c r="P9" t="s">
        <v>32</v>
      </c>
      <c r="Q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3</v>
      </c>
      <c r="AG9">
        <v>1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3">
      <c r="A10">
        <f>ROW(Source!A33)</f>
        <v>33</v>
      </c>
      <c r="B10">
        <v>58753942</v>
      </c>
      <c r="C10">
        <v>56503601</v>
      </c>
      <c r="D10">
        <v>57626907</v>
      </c>
      <c r="E10">
        <v>1080</v>
      </c>
      <c r="F10">
        <v>1</v>
      </c>
      <c r="G10">
        <v>1080</v>
      </c>
      <c r="H10">
        <v>3</v>
      </c>
      <c r="I10" t="s">
        <v>232</v>
      </c>
      <c r="J10" t="s">
        <v>3</v>
      </c>
      <c r="K10" t="s">
        <v>233</v>
      </c>
      <c r="L10">
        <v>1348</v>
      </c>
      <c r="N10">
        <v>1009</v>
      </c>
      <c r="O10" t="s">
        <v>222</v>
      </c>
      <c r="P10" t="s">
        <v>222</v>
      </c>
      <c r="Q10">
        <v>1000</v>
      </c>
      <c r="X10">
        <v>1.5E-3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</v>
      </c>
      <c r="AG10">
        <v>1.5E-3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3">
      <c r="A11">
        <f>ROW(Source!A75)</f>
        <v>75</v>
      </c>
      <c r="B11">
        <v>58754016</v>
      </c>
      <c r="C11">
        <v>58754015</v>
      </c>
      <c r="D11">
        <v>57621905</v>
      </c>
      <c r="E11">
        <v>1080</v>
      </c>
      <c r="F11">
        <v>1</v>
      </c>
      <c r="G11">
        <v>1080</v>
      </c>
      <c r="H11">
        <v>1</v>
      </c>
      <c r="I11" t="s">
        <v>211</v>
      </c>
      <c r="J11" t="s">
        <v>3</v>
      </c>
      <c r="K11" t="s">
        <v>212</v>
      </c>
      <c r="L11">
        <v>1191</v>
      </c>
      <c r="N11">
        <v>1013</v>
      </c>
      <c r="O11" t="s">
        <v>213</v>
      </c>
      <c r="P11" t="s">
        <v>213</v>
      </c>
      <c r="Q11">
        <v>1</v>
      </c>
      <c r="X11">
        <v>67.37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24</v>
      </c>
      <c r="AG11">
        <v>74.107000000000014</v>
      </c>
      <c r="AH11">
        <v>2</v>
      </c>
      <c r="AI11">
        <v>58754016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3">
      <c r="A12">
        <f>ROW(Source!A75)</f>
        <v>75</v>
      </c>
      <c r="B12">
        <v>58754017</v>
      </c>
      <c r="C12">
        <v>58754015</v>
      </c>
      <c r="D12">
        <v>57696079</v>
      </c>
      <c r="E12">
        <v>1</v>
      </c>
      <c r="F12">
        <v>1</v>
      </c>
      <c r="G12">
        <v>1080</v>
      </c>
      <c r="H12">
        <v>2</v>
      </c>
      <c r="I12" t="s">
        <v>214</v>
      </c>
      <c r="J12" t="s">
        <v>215</v>
      </c>
      <c r="K12" t="s">
        <v>216</v>
      </c>
      <c r="L12">
        <v>1368</v>
      </c>
      <c r="N12">
        <v>1011</v>
      </c>
      <c r="O12" t="s">
        <v>217</v>
      </c>
      <c r="P12" t="s">
        <v>217</v>
      </c>
      <c r="Q12">
        <v>1</v>
      </c>
      <c r="X12">
        <v>0.11</v>
      </c>
      <c r="Y12">
        <v>0</v>
      </c>
      <c r="Z12">
        <v>83.1</v>
      </c>
      <c r="AA12">
        <v>12.62</v>
      </c>
      <c r="AB12">
        <v>0</v>
      </c>
      <c r="AC12">
        <v>0</v>
      </c>
      <c r="AD12">
        <v>1</v>
      </c>
      <c r="AE12">
        <v>0</v>
      </c>
      <c r="AF12" t="s">
        <v>24</v>
      </c>
      <c r="AG12">
        <v>0.12100000000000001</v>
      </c>
      <c r="AH12">
        <v>2</v>
      </c>
      <c r="AI12">
        <v>58754017</v>
      </c>
      <c r="AJ12">
        <v>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">
      <c r="A13">
        <f>ROW(Source!A75)</f>
        <v>75</v>
      </c>
      <c r="B13">
        <v>58754018</v>
      </c>
      <c r="C13">
        <v>58754015</v>
      </c>
      <c r="D13">
        <v>57664986</v>
      </c>
      <c r="E13">
        <v>1</v>
      </c>
      <c r="F13">
        <v>1</v>
      </c>
      <c r="G13">
        <v>1080</v>
      </c>
      <c r="H13">
        <v>3</v>
      </c>
      <c r="I13" t="s">
        <v>219</v>
      </c>
      <c r="J13" t="s">
        <v>220</v>
      </c>
      <c r="K13" t="s">
        <v>221</v>
      </c>
      <c r="L13">
        <v>1348</v>
      </c>
      <c r="N13">
        <v>1009</v>
      </c>
      <c r="O13" t="s">
        <v>222</v>
      </c>
      <c r="P13" t="s">
        <v>222</v>
      </c>
      <c r="Q13">
        <v>1000</v>
      </c>
      <c r="X13">
        <v>9.5999999999999992E-3</v>
      </c>
      <c r="Y13">
        <v>7246.05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</v>
      </c>
      <c r="AG13">
        <v>9.5999999999999992E-3</v>
      </c>
      <c r="AH13">
        <v>2</v>
      </c>
      <c r="AI13">
        <v>58754018</v>
      </c>
      <c r="AJ13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">
      <c r="A14">
        <f>ROW(Source!A75)</f>
        <v>75</v>
      </c>
      <c r="B14">
        <v>58754019</v>
      </c>
      <c r="C14">
        <v>58754015</v>
      </c>
      <c r="D14">
        <v>57664417</v>
      </c>
      <c r="E14">
        <v>1</v>
      </c>
      <c r="F14">
        <v>1</v>
      </c>
      <c r="G14">
        <v>1080</v>
      </c>
      <c r="H14">
        <v>3</v>
      </c>
      <c r="I14" t="s">
        <v>223</v>
      </c>
      <c r="J14" t="s">
        <v>224</v>
      </c>
      <c r="K14" t="s">
        <v>225</v>
      </c>
      <c r="L14">
        <v>1354</v>
      </c>
      <c r="N14">
        <v>1010</v>
      </c>
      <c r="O14" t="s">
        <v>32</v>
      </c>
      <c r="P14" t="s">
        <v>32</v>
      </c>
      <c r="Q14">
        <v>1</v>
      </c>
      <c r="X14">
        <v>204</v>
      </c>
      <c r="Y14">
        <v>3.86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3</v>
      </c>
      <c r="AG14">
        <v>204</v>
      </c>
      <c r="AH14">
        <v>2</v>
      </c>
      <c r="AI14">
        <v>58754019</v>
      </c>
      <c r="AJ14">
        <v>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3">
      <c r="A15">
        <f>ROW(Source!A75)</f>
        <v>75</v>
      </c>
      <c r="B15">
        <v>58754020</v>
      </c>
      <c r="C15">
        <v>58754015</v>
      </c>
      <c r="D15">
        <v>57636933</v>
      </c>
      <c r="E15">
        <v>1080</v>
      </c>
      <c r="F15">
        <v>1</v>
      </c>
      <c r="G15">
        <v>1080</v>
      </c>
      <c r="H15">
        <v>3</v>
      </c>
      <c r="I15" t="s">
        <v>234</v>
      </c>
      <c r="J15" t="s">
        <v>3</v>
      </c>
      <c r="K15" t="s">
        <v>235</v>
      </c>
      <c r="L15">
        <v>1354</v>
      </c>
      <c r="N15">
        <v>1010</v>
      </c>
      <c r="O15" t="s">
        <v>32</v>
      </c>
      <c r="P15" t="s">
        <v>32</v>
      </c>
      <c r="Q15">
        <v>1</v>
      </c>
      <c r="X15">
        <v>102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3</v>
      </c>
      <c r="AG15">
        <v>102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3">
      <c r="A16">
        <f>ROW(Source!A76)</f>
        <v>76</v>
      </c>
      <c r="B16">
        <v>58754016</v>
      </c>
      <c r="C16">
        <v>58754015</v>
      </c>
      <c r="D16">
        <v>57621905</v>
      </c>
      <c r="E16">
        <v>1080</v>
      </c>
      <c r="F16">
        <v>1</v>
      </c>
      <c r="G16">
        <v>1080</v>
      </c>
      <c r="H16">
        <v>1</v>
      </c>
      <c r="I16" t="s">
        <v>211</v>
      </c>
      <c r="J16" t="s">
        <v>3</v>
      </c>
      <c r="K16" t="s">
        <v>212</v>
      </c>
      <c r="L16">
        <v>1191</v>
      </c>
      <c r="N16">
        <v>1013</v>
      </c>
      <c r="O16" t="s">
        <v>213</v>
      </c>
      <c r="P16" t="s">
        <v>213</v>
      </c>
      <c r="Q16">
        <v>1</v>
      </c>
      <c r="X16">
        <v>67.37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24</v>
      </c>
      <c r="AG16">
        <v>74.107000000000014</v>
      </c>
      <c r="AH16">
        <v>2</v>
      </c>
      <c r="AI16">
        <v>58754016</v>
      </c>
      <c r="AJ16">
        <v>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">
      <c r="A17">
        <f>ROW(Source!A76)</f>
        <v>76</v>
      </c>
      <c r="B17">
        <v>58754017</v>
      </c>
      <c r="C17">
        <v>58754015</v>
      </c>
      <c r="D17">
        <v>57696079</v>
      </c>
      <c r="E17">
        <v>1</v>
      </c>
      <c r="F17">
        <v>1</v>
      </c>
      <c r="G17">
        <v>1080</v>
      </c>
      <c r="H17">
        <v>2</v>
      </c>
      <c r="I17" t="s">
        <v>214</v>
      </c>
      <c r="J17" t="s">
        <v>215</v>
      </c>
      <c r="K17" t="s">
        <v>216</v>
      </c>
      <c r="L17">
        <v>1368</v>
      </c>
      <c r="N17">
        <v>1011</v>
      </c>
      <c r="O17" t="s">
        <v>217</v>
      </c>
      <c r="P17" t="s">
        <v>217</v>
      </c>
      <c r="Q17">
        <v>1</v>
      </c>
      <c r="X17">
        <v>0.11</v>
      </c>
      <c r="Y17">
        <v>0</v>
      </c>
      <c r="Z17">
        <v>83.1</v>
      </c>
      <c r="AA17">
        <v>12.62</v>
      </c>
      <c r="AB17">
        <v>0</v>
      </c>
      <c r="AC17">
        <v>0</v>
      </c>
      <c r="AD17">
        <v>1</v>
      </c>
      <c r="AE17">
        <v>0</v>
      </c>
      <c r="AF17" t="s">
        <v>24</v>
      </c>
      <c r="AG17">
        <v>0.12100000000000001</v>
      </c>
      <c r="AH17">
        <v>2</v>
      </c>
      <c r="AI17">
        <v>58754017</v>
      </c>
      <c r="AJ17">
        <v>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3">
      <c r="A18">
        <f>ROW(Source!A76)</f>
        <v>76</v>
      </c>
      <c r="B18">
        <v>58754018</v>
      </c>
      <c r="C18">
        <v>58754015</v>
      </c>
      <c r="D18">
        <v>57664986</v>
      </c>
      <c r="E18">
        <v>1</v>
      </c>
      <c r="F18">
        <v>1</v>
      </c>
      <c r="G18">
        <v>1080</v>
      </c>
      <c r="H18">
        <v>3</v>
      </c>
      <c r="I18" t="s">
        <v>219</v>
      </c>
      <c r="J18" t="s">
        <v>220</v>
      </c>
      <c r="K18" t="s">
        <v>221</v>
      </c>
      <c r="L18">
        <v>1348</v>
      </c>
      <c r="N18">
        <v>1009</v>
      </c>
      <c r="O18" t="s">
        <v>222</v>
      </c>
      <c r="P18" t="s">
        <v>222</v>
      </c>
      <c r="Q18">
        <v>1000</v>
      </c>
      <c r="X18">
        <v>9.5999999999999992E-3</v>
      </c>
      <c r="Y18">
        <v>7246.05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</v>
      </c>
      <c r="AG18">
        <v>9.5999999999999992E-3</v>
      </c>
      <c r="AH18">
        <v>2</v>
      </c>
      <c r="AI18">
        <v>58754018</v>
      </c>
      <c r="AJ18">
        <v>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">
      <c r="A19">
        <f>ROW(Source!A76)</f>
        <v>76</v>
      </c>
      <c r="B19">
        <v>58754019</v>
      </c>
      <c r="C19">
        <v>58754015</v>
      </c>
      <c r="D19">
        <v>57664417</v>
      </c>
      <c r="E19">
        <v>1</v>
      </c>
      <c r="F19">
        <v>1</v>
      </c>
      <c r="G19">
        <v>1080</v>
      </c>
      <c r="H19">
        <v>3</v>
      </c>
      <c r="I19" t="s">
        <v>223</v>
      </c>
      <c r="J19" t="s">
        <v>224</v>
      </c>
      <c r="K19" t="s">
        <v>225</v>
      </c>
      <c r="L19">
        <v>1354</v>
      </c>
      <c r="N19">
        <v>1010</v>
      </c>
      <c r="O19" t="s">
        <v>32</v>
      </c>
      <c r="P19" t="s">
        <v>32</v>
      </c>
      <c r="Q19">
        <v>1</v>
      </c>
      <c r="X19">
        <v>204</v>
      </c>
      <c r="Y19">
        <v>3.86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</v>
      </c>
      <c r="AG19">
        <v>204</v>
      </c>
      <c r="AH19">
        <v>2</v>
      </c>
      <c r="AI19">
        <v>58754019</v>
      </c>
      <c r="AJ19">
        <v>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3">
      <c r="A20">
        <f>ROW(Source!A76)</f>
        <v>76</v>
      </c>
      <c r="B20">
        <v>58754020</v>
      </c>
      <c r="C20">
        <v>58754015</v>
      </c>
      <c r="D20">
        <v>57636933</v>
      </c>
      <c r="E20">
        <v>1080</v>
      </c>
      <c r="F20">
        <v>1</v>
      </c>
      <c r="G20">
        <v>1080</v>
      </c>
      <c r="H20">
        <v>3</v>
      </c>
      <c r="I20" t="s">
        <v>234</v>
      </c>
      <c r="J20" t="s">
        <v>3</v>
      </c>
      <c r="K20" t="s">
        <v>235</v>
      </c>
      <c r="L20">
        <v>1354</v>
      </c>
      <c r="N20">
        <v>1010</v>
      </c>
      <c r="O20" t="s">
        <v>32</v>
      </c>
      <c r="P20" t="s">
        <v>32</v>
      </c>
      <c r="Q20">
        <v>1</v>
      </c>
      <c r="X20">
        <v>102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3</v>
      </c>
      <c r="AG20">
        <v>102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3">
      <c r="A21">
        <f>ROW(Source!A79)</f>
        <v>79</v>
      </c>
      <c r="B21">
        <v>58753943</v>
      </c>
      <c r="C21">
        <v>58312272</v>
      </c>
      <c r="D21">
        <v>57621905</v>
      </c>
      <c r="E21">
        <v>1080</v>
      </c>
      <c r="F21">
        <v>1</v>
      </c>
      <c r="G21">
        <v>1080</v>
      </c>
      <c r="H21">
        <v>1</v>
      </c>
      <c r="I21" t="s">
        <v>211</v>
      </c>
      <c r="J21" t="s">
        <v>3</v>
      </c>
      <c r="K21" t="s">
        <v>212</v>
      </c>
      <c r="L21">
        <v>1191</v>
      </c>
      <c r="N21">
        <v>1013</v>
      </c>
      <c r="O21" t="s">
        <v>213</v>
      </c>
      <c r="P21" t="s">
        <v>213</v>
      </c>
      <c r="Q21">
        <v>1</v>
      </c>
      <c r="X21">
        <v>16.600000000000001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24</v>
      </c>
      <c r="AG21">
        <v>18.260000000000002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">
      <c r="A22">
        <f>ROW(Source!A79)</f>
        <v>79</v>
      </c>
      <c r="B22">
        <v>58753944</v>
      </c>
      <c r="C22">
        <v>58312272</v>
      </c>
      <c r="D22">
        <v>57696131</v>
      </c>
      <c r="E22">
        <v>1</v>
      </c>
      <c r="F22">
        <v>1</v>
      </c>
      <c r="G22">
        <v>1080</v>
      </c>
      <c r="H22">
        <v>2</v>
      </c>
      <c r="I22" t="s">
        <v>236</v>
      </c>
      <c r="J22" t="s">
        <v>237</v>
      </c>
      <c r="K22" t="s">
        <v>238</v>
      </c>
      <c r="L22">
        <v>1368</v>
      </c>
      <c r="N22">
        <v>1011</v>
      </c>
      <c r="O22" t="s">
        <v>217</v>
      </c>
      <c r="P22" t="s">
        <v>217</v>
      </c>
      <c r="Q22">
        <v>1</v>
      </c>
      <c r="X22">
        <v>1.1499999999999999</v>
      </c>
      <c r="Y22">
        <v>0</v>
      </c>
      <c r="Z22">
        <v>0.77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24</v>
      </c>
      <c r="AG22">
        <v>1.2649999999999999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3">
      <c r="A23">
        <f>ROW(Source!A79)</f>
        <v>79</v>
      </c>
      <c r="B23">
        <v>58753945</v>
      </c>
      <c r="C23">
        <v>58312272</v>
      </c>
      <c r="D23">
        <v>57696164</v>
      </c>
      <c r="E23">
        <v>1</v>
      </c>
      <c r="F23">
        <v>1</v>
      </c>
      <c r="G23">
        <v>1080</v>
      </c>
      <c r="H23">
        <v>2</v>
      </c>
      <c r="I23" t="s">
        <v>239</v>
      </c>
      <c r="J23" t="s">
        <v>240</v>
      </c>
      <c r="K23" t="s">
        <v>241</v>
      </c>
      <c r="L23">
        <v>1368</v>
      </c>
      <c r="N23">
        <v>1011</v>
      </c>
      <c r="O23" t="s">
        <v>217</v>
      </c>
      <c r="P23" t="s">
        <v>217</v>
      </c>
      <c r="Q23">
        <v>1</v>
      </c>
      <c r="X23">
        <v>1.8</v>
      </c>
      <c r="Y23">
        <v>0</v>
      </c>
      <c r="Z23">
        <v>0.47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24</v>
      </c>
      <c r="AG23">
        <v>1.9800000000000002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3">
      <c r="A24">
        <f>ROW(Source!A79)</f>
        <v>79</v>
      </c>
      <c r="B24">
        <v>58753946</v>
      </c>
      <c r="C24">
        <v>58312272</v>
      </c>
      <c r="D24">
        <v>57666039</v>
      </c>
      <c r="E24">
        <v>1</v>
      </c>
      <c r="F24">
        <v>1</v>
      </c>
      <c r="G24">
        <v>1080</v>
      </c>
      <c r="H24">
        <v>3</v>
      </c>
      <c r="I24" t="s">
        <v>242</v>
      </c>
      <c r="J24" t="s">
        <v>243</v>
      </c>
      <c r="K24" t="s">
        <v>244</v>
      </c>
      <c r="L24">
        <v>1348</v>
      </c>
      <c r="N24">
        <v>1009</v>
      </c>
      <c r="O24" t="s">
        <v>222</v>
      </c>
      <c r="P24" t="s">
        <v>222</v>
      </c>
      <c r="Q24">
        <v>1000</v>
      </c>
      <c r="X24">
        <v>1E-3</v>
      </c>
      <c r="Y24">
        <v>58463.58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</v>
      </c>
      <c r="AG24">
        <v>1E-3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3">
      <c r="A25">
        <f>ROW(Source!A79)</f>
        <v>79</v>
      </c>
      <c r="B25">
        <v>58753947</v>
      </c>
      <c r="C25">
        <v>58312272</v>
      </c>
      <c r="D25">
        <v>57666871</v>
      </c>
      <c r="E25">
        <v>1</v>
      </c>
      <c r="F25">
        <v>1</v>
      </c>
      <c r="G25">
        <v>1080</v>
      </c>
      <c r="H25">
        <v>3</v>
      </c>
      <c r="I25" t="s">
        <v>245</v>
      </c>
      <c r="J25" t="s">
        <v>246</v>
      </c>
      <c r="K25" t="s">
        <v>247</v>
      </c>
      <c r="L25">
        <v>1355</v>
      </c>
      <c r="N25">
        <v>1010</v>
      </c>
      <c r="O25" t="s">
        <v>114</v>
      </c>
      <c r="P25" t="s">
        <v>114</v>
      </c>
      <c r="Q25">
        <v>100</v>
      </c>
      <c r="X25">
        <v>2.1419999999999999</v>
      </c>
      <c r="Y25">
        <v>10.6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</v>
      </c>
      <c r="AG25">
        <v>2.1419999999999999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">
      <c r="A26">
        <f>ROW(Source!A79)</f>
        <v>79</v>
      </c>
      <c r="B26">
        <v>58753948</v>
      </c>
      <c r="C26">
        <v>58312272</v>
      </c>
      <c r="D26">
        <v>57688144</v>
      </c>
      <c r="E26">
        <v>1</v>
      </c>
      <c r="F26">
        <v>1</v>
      </c>
      <c r="G26">
        <v>1080</v>
      </c>
      <c r="H26">
        <v>3</v>
      </c>
      <c r="I26" t="s">
        <v>248</v>
      </c>
      <c r="J26" t="s">
        <v>249</v>
      </c>
      <c r="K26" t="s">
        <v>250</v>
      </c>
      <c r="L26">
        <v>1356</v>
      </c>
      <c r="N26">
        <v>1010</v>
      </c>
      <c r="O26" t="s">
        <v>251</v>
      </c>
      <c r="P26" t="s">
        <v>251</v>
      </c>
      <c r="Q26">
        <v>1000</v>
      </c>
      <c r="X26">
        <v>1.7000000000000001E-2</v>
      </c>
      <c r="Y26">
        <v>226.66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3</v>
      </c>
      <c r="AG26">
        <v>1.7000000000000001E-2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">
      <c r="A27">
        <f>ROW(Source!A79)</f>
        <v>79</v>
      </c>
      <c r="B27">
        <v>58753949</v>
      </c>
      <c r="C27">
        <v>58312272</v>
      </c>
      <c r="D27">
        <v>57687918</v>
      </c>
      <c r="E27">
        <v>1</v>
      </c>
      <c r="F27">
        <v>1</v>
      </c>
      <c r="G27">
        <v>1080</v>
      </c>
      <c r="H27">
        <v>3</v>
      </c>
      <c r="I27" t="s">
        <v>252</v>
      </c>
      <c r="J27" t="s">
        <v>253</v>
      </c>
      <c r="K27" t="s">
        <v>254</v>
      </c>
      <c r="L27">
        <v>1355</v>
      </c>
      <c r="N27">
        <v>1010</v>
      </c>
      <c r="O27" t="s">
        <v>114</v>
      </c>
      <c r="P27" t="s">
        <v>114</v>
      </c>
      <c r="Q27">
        <v>100</v>
      </c>
      <c r="X27">
        <v>0.17</v>
      </c>
      <c r="Y27">
        <v>26.71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3</v>
      </c>
      <c r="AG27">
        <v>0.17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">
      <c r="A28">
        <f>ROW(Source!A79)</f>
        <v>79</v>
      </c>
      <c r="B28">
        <v>58753950</v>
      </c>
      <c r="C28">
        <v>58312272</v>
      </c>
      <c r="D28">
        <v>57674782</v>
      </c>
      <c r="E28">
        <v>1</v>
      </c>
      <c r="F28">
        <v>1</v>
      </c>
      <c r="G28">
        <v>1080</v>
      </c>
      <c r="H28">
        <v>3</v>
      </c>
      <c r="I28" t="s">
        <v>255</v>
      </c>
      <c r="J28" t="s">
        <v>256</v>
      </c>
      <c r="K28" t="s">
        <v>257</v>
      </c>
      <c r="L28">
        <v>1354</v>
      </c>
      <c r="N28">
        <v>1010</v>
      </c>
      <c r="O28" t="s">
        <v>32</v>
      </c>
      <c r="P28" t="s">
        <v>32</v>
      </c>
      <c r="Q28">
        <v>1</v>
      </c>
      <c r="X28">
        <v>0.161</v>
      </c>
      <c r="Y28">
        <v>14.56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</v>
      </c>
      <c r="AG28">
        <v>0.161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">
      <c r="A29">
        <f>ROW(Source!A79)</f>
        <v>79</v>
      </c>
      <c r="B29">
        <v>58753951</v>
      </c>
      <c r="C29">
        <v>58312272</v>
      </c>
      <c r="D29">
        <v>57631310</v>
      </c>
      <c r="E29">
        <v>1080</v>
      </c>
      <c r="F29">
        <v>1</v>
      </c>
      <c r="G29">
        <v>1080</v>
      </c>
      <c r="H29">
        <v>3</v>
      </c>
      <c r="I29" t="s">
        <v>258</v>
      </c>
      <c r="J29" t="s">
        <v>3</v>
      </c>
      <c r="K29" t="s">
        <v>259</v>
      </c>
      <c r="L29">
        <v>1301</v>
      </c>
      <c r="N29">
        <v>1003</v>
      </c>
      <c r="O29" t="s">
        <v>131</v>
      </c>
      <c r="P29" t="s">
        <v>131</v>
      </c>
      <c r="Q29">
        <v>1</v>
      </c>
      <c r="X29">
        <v>102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3</v>
      </c>
      <c r="AG29">
        <v>102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3">
      <c r="A30">
        <f>ROW(Source!A79)</f>
        <v>79</v>
      </c>
      <c r="B30">
        <v>58753952</v>
      </c>
      <c r="C30">
        <v>58312272</v>
      </c>
      <c r="D30">
        <v>57635045</v>
      </c>
      <c r="E30">
        <v>1080</v>
      </c>
      <c r="F30">
        <v>1</v>
      </c>
      <c r="G30">
        <v>1080</v>
      </c>
      <c r="H30">
        <v>3</v>
      </c>
      <c r="I30" t="s">
        <v>260</v>
      </c>
      <c r="J30" t="s">
        <v>3</v>
      </c>
      <c r="K30" t="s">
        <v>261</v>
      </c>
      <c r="L30">
        <v>1355</v>
      </c>
      <c r="N30">
        <v>1010</v>
      </c>
      <c r="O30" t="s">
        <v>114</v>
      </c>
      <c r="P30" t="s">
        <v>114</v>
      </c>
      <c r="Q30">
        <v>100</v>
      </c>
      <c r="X30">
        <v>2.1640000000000001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</v>
      </c>
      <c r="AG30">
        <v>2.1640000000000001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3">
      <c r="A31">
        <f>ROW(Source!A79)</f>
        <v>79</v>
      </c>
      <c r="B31">
        <v>58753953</v>
      </c>
      <c r="C31">
        <v>58312272</v>
      </c>
      <c r="D31">
        <v>57641916</v>
      </c>
      <c r="E31">
        <v>1080</v>
      </c>
      <c r="F31">
        <v>1</v>
      </c>
      <c r="G31">
        <v>1080</v>
      </c>
      <c r="H31">
        <v>3</v>
      </c>
      <c r="I31" t="s">
        <v>262</v>
      </c>
      <c r="J31" t="s">
        <v>3</v>
      </c>
      <c r="K31" t="s">
        <v>263</v>
      </c>
      <c r="L31">
        <v>1303</v>
      </c>
      <c r="N31">
        <v>1003</v>
      </c>
      <c r="O31" t="s">
        <v>144</v>
      </c>
      <c r="P31" t="s">
        <v>144</v>
      </c>
      <c r="Q31">
        <v>1000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3</v>
      </c>
      <c r="AG31">
        <v>0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">
      <c r="A32">
        <f>ROW(Source!A80)</f>
        <v>80</v>
      </c>
      <c r="B32">
        <v>58753943</v>
      </c>
      <c r="C32">
        <v>58312272</v>
      </c>
      <c r="D32">
        <v>57621905</v>
      </c>
      <c r="E32">
        <v>1080</v>
      </c>
      <c r="F32">
        <v>1</v>
      </c>
      <c r="G32">
        <v>1080</v>
      </c>
      <c r="H32">
        <v>1</v>
      </c>
      <c r="I32" t="s">
        <v>211</v>
      </c>
      <c r="J32" t="s">
        <v>3</v>
      </c>
      <c r="K32" t="s">
        <v>212</v>
      </c>
      <c r="L32">
        <v>1191</v>
      </c>
      <c r="N32">
        <v>1013</v>
      </c>
      <c r="O32" t="s">
        <v>213</v>
      </c>
      <c r="P32" t="s">
        <v>213</v>
      </c>
      <c r="Q32">
        <v>1</v>
      </c>
      <c r="X32">
        <v>16.600000000000001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24</v>
      </c>
      <c r="AG32">
        <v>18.260000000000002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3">
      <c r="A33">
        <f>ROW(Source!A80)</f>
        <v>80</v>
      </c>
      <c r="B33">
        <v>58753944</v>
      </c>
      <c r="C33">
        <v>58312272</v>
      </c>
      <c r="D33">
        <v>57696131</v>
      </c>
      <c r="E33">
        <v>1</v>
      </c>
      <c r="F33">
        <v>1</v>
      </c>
      <c r="G33">
        <v>1080</v>
      </c>
      <c r="H33">
        <v>2</v>
      </c>
      <c r="I33" t="s">
        <v>236</v>
      </c>
      <c r="J33" t="s">
        <v>237</v>
      </c>
      <c r="K33" t="s">
        <v>238</v>
      </c>
      <c r="L33">
        <v>1368</v>
      </c>
      <c r="N33">
        <v>1011</v>
      </c>
      <c r="O33" t="s">
        <v>217</v>
      </c>
      <c r="P33" t="s">
        <v>217</v>
      </c>
      <c r="Q33">
        <v>1</v>
      </c>
      <c r="X33">
        <v>1.1499999999999999</v>
      </c>
      <c r="Y33">
        <v>0</v>
      </c>
      <c r="Z33">
        <v>0.77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24</v>
      </c>
      <c r="AG33">
        <v>1.2649999999999999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3">
      <c r="A34">
        <f>ROW(Source!A80)</f>
        <v>80</v>
      </c>
      <c r="B34">
        <v>58753945</v>
      </c>
      <c r="C34">
        <v>58312272</v>
      </c>
      <c r="D34">
        <v>57696164</v>
      </c>
      <c r="E34">
        <v>1</v>
      </c>
      <c r="F34">
        <v>1</v>
      </c>
      <c r="G34">
        <v>1080</v>
      </c>
      <c r="H34">
        <v>2</v>
      </c>
      <c r="I34" t="s">
        <v>239</v>
      </c>
      <c r="J34" t="s">
        <v>240</v>
      </c>
      <c r="K34" t="s">
        <v>241</v>
      </c>
      <c r="L34">
        <v>1368</v>
      </c>
      <c r="N34">
        <v>1011</v>
      </c>
      <c r="O34" t="s">
        <v>217</v>
      </c>
      <c r="P34" t="s">
        <v>217</v>
      </c>
      <c r="Q34">
        <v>1</v>
      </c>
      <c r="X34">
        <v>1.8</v>
      </c>
      <c r="Y34">
        <v>0</v>
      </c>
      <c r="Z34">
        <v>0.47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24</v>
      </c>
      <c r="AG34">
        <v>1.9800000000000002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3">
      <c r="A35">
        <f>ROW(Source!A80)</f>
        <v>80</v>
      </c>
      <c r="B35">
        <v>58753946</v>
      </c>
      <c r="C35">
        <v>58312272</v>
      </c>
      <c r="D35">
        <v>57666039</v>
      </c>
      <c r="E35">
        <v>1</v>
      </c>
      <c r="F35">
        <v>1</v>
      </c>
      <c r="G35">
        <v>1080</v>
      </c>
      <c r="H35">
        <v>3</v>
      </c>
      <c r="I35" t="s">
        <v>242</v>
      </c>
      <c r="J35" t="s">
        <v>243</v>
      </c>
      <c r="K35" t="s">
        <v>244</v>
      </c>
      <c r="L35">
        <v>1348</v>
      </c>
      <c r="N35">
        <v>1009</v>
      </c>
      <c r="O35" t="s">
        <v>222</v>
      </c>
      <c r="P35" t="s">
        <v>222</v>
      </c>
      <c r="Q35">
        <v>1000</v>
      </c>
      <c r="X35">
        <v>1E-3</v>
      </c>
      <c r="Y35">
        <v>58463.58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3</v>
      </c>
      <c r="AG35">
        <v>1E-3</v>
      </c>
      <c r="AH35">
        <v>3</v>
      </c>
      <c r="AI35">
        <v>-1</v>
      </c>
      <c r="AJ35" t="s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">
      <c r="A36">
        <f>ROW(Source!A80)</f>
        <v>80</v>
      </c>
      <c r="B36">
        <v>58753947</v>
      </c>
      <c r="C36">
        <v>58312272</v>
      </c>
      <c r="D36">
        <v>57666871</v>
      </c>
      <c r="E36">
        <v>1</v>
      </c>
      <c r="F36">
        <v>1</v>
      </c>
      <c r="G36">
        <v>1080</v>
      </c>
      <c r="H36">
        <v>3</v>
      </c>
      <c r="I36" t="s">
        <v>245</v>
      </c>
      <c r="J36" t="s">
        <v>246</v>
      </c>
      <c r="K36" t="s">
        <v>247</v>
      </c>
      <c r="L36">
        <v>1355</v>
      </c>
      <c r="N36">
        <v>1010</v>
      </c>
      <c r="O36" t="s">
        <v>114</v>
      </c>
      <c r="P36" t="s">
        <v>114</v>
      </c>
      <c r="Q36">
        <v>100</v>
      </c>
      <c r="X36">
        <v>2.1419999999999999</v>
      </c>
      <c r="Y36">
        <v>10.6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3</v>
      </c>
      <c r="AG36">
        <v>2.1419999999999999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">
      <c r="A37">
        <f>ROW(Source!A80)</f>
        <v>80</v>
      </c>
      <c r="B37">
        <v>58753948</v>
      </c>
      <c r="C37">
        <v>58312272</v>
      </c>
      <c r="D37">
        <v>57688144</v>
      </c>
      <c r="E37">
        <v>1</v>
      </c>
      <c r="F37">
        <v>1</v>
      </c>
      <c r="G37">
        <v>1080</v>
      </c>
      <c r="H37">
        <v>3</v>
      </c>
      <c r="I37" t="s">
        <v>248</v>
      </c>
      <c r="J37" t="s">
        <v>249</v>
      </c>
      <c r="K37" t="s">
        <v>250</v>
      </c>
      <c r="L37">
        <v>1356</v>
      </c>
      <c r="N37">
        <v>1010</v>
      </c>
      <c r="O37" t="s">
        <v>251</v>
      </c>
      <c r="P37" t="s">
        <v>251</v>
      </c>
      <c r="Q37">
        <v>1000</v>
      </c>
      <c r="X37">
        <v>1.7000000000000001E-2</v>
      </c>
      <c r="Y37">
        <v>226.66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3</v>
      </c>
      <c r="AG37">
        <v>1.7000000000000001E-2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">
      <c r="A38">
        <f>ROW(Source!A80)</f>
        <v>80</v>
      </c>
      <c r="B38">
        <v>58753949</v>
      </c>
      <c r="C38">
        <v>58312272</v>
      </c>
      <c r="D38">
        <v>57687918</v>
      </c>
      <c r="E38">
        <v>1</v>
      </c>
      <c r="F38">
        <v>1</v>
      </c>
      <c r="G38">
        <v>1080</v>
      </c>
      <c r="H38">
        <v>3</v>
      </c>
      <c r="I38" t="s">
        <v>252</v>
      </c>
      <c r="J38" t="s">
        <v>253</v>
      </c>
      <c r="K38" t="s">
        <v>254</v>
      </c>
      <c r="L38">
        <v>1355</v>
      </c>
      <c r="N38">
        <v>1010</v>
      </c>
      <c r="O38" t="s">
        <v>114</v>
      </c>
      <c r="P38" t="s">
        <v>114</v>
      </c>
      <c r="Q38">
        <v>100</v>
      </c>
      <c r="X38">
        <v>0.17</v>
      </c>
      <c r="Y38">
        <v>26.71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3</v>
      </c>
      <c r="AG38">
        <v>0.17</v>
      </c>
      <c r="AH38">
        <v>3</v>
      </c>
      <c r="AI38">
        <v>-1</v>
      </c>
      <c r="AJ38" t="s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">
      <c r="A39">
        <f>ROW(Source!A80)</f>
        <v>80</v>
      </c>
      <c r="B39">
        <v>58753950</v>
      </c>
      <c r="C39">
        <v>58312272</v>
      </c>
      <c r="D39">
        <v>57674782</v>
      </c>
      <c r="E39">
        <v>1</v>
      </c>
      <c r="F39">
        <v>1</v>
      </c>
      <c r="G39">
        <v>1080</v>
      </c>
      <c r="H39">
        <v>3</v>
      </c>
      <c r="I39" t="s">
        <v>255</v>
      </c>
      <c r="J39" t="s">
        <v>256</v>
      </c>
      <c r="K39" t="s">
        <v>257</v>
      </c>
      <c r="L39">
        <v>1354</v>
      </c>
      <c r="N39">
        <v>1010</v>
      </c>
      <c r="O39" t="s">
        <v>32</v>
      </c>
      <c r="P39" t="s">
        <v>32</v>
      </c>
      <c r="Q39">
        <v>1</v>
      </c>
      <c r="X39">
        <v>0.161</v>
      </c>
      <c r="Y39">
        <v>14.56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3</v>
      </c>
      <c r="AG39">
        <v>0.161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3">
      <c r="A40">
        <f>ROW(Source!A80)</f>
        <v>80</v>
      </c>
      <c r="B40">
        <v>58753951</v>
      </c>
      <c r="C40">
        <v>58312272</v>
      </c>
      <c r="D40">
        <v>57631310</v>
      </c>
      <c r="E40">
        <v>1080</v>
      </c>
      <c r="F40">
        <v>1</v>
      </c>
      <c r="G40">
        <v>1080</v>
      </c>
      <c r="H40">
        <v>3</v>
      </c>
      <c r="I40" t="s">
        <v>258</v>
      </c>
      <c r="J40" t="s">
        <v>3</v>
      </c>
      <c r="K40" t="s">
        <v>259</v>
      </c>
      <c r="L40">
        <v>1301</v>
      </c>
      <c r="N40">
        <v>1003</v>
      </c>
      <c r="O40" t="s">
        <v>131</v>
      </c>
      <c r="P40" t="s">
        <v>131</v>
      </c>
      <c r="Q40">
        <v>1</v>
      </c>
      <c r="X40">
        <v>102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3</v>
      </c>
      <c r="AG40">
        <v>102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">
      <c r="A41">
        <f>ROW(Source!A80)</f>
        <v>80</v>
      </c>
      <c r="B41">
        <v>58753952</v>
      </c>
      <c r="C41">
        <v>58312272</v>
      </c>
      <c r="D41">
        <v>57635045</v>
      </c>
      <c r="E41">
        <v>1080</v>
      </c>
      <c r="F41">
        <v>1</v>
      </c>
      <c r="G41">
        <v>1080</v>
      </c>
      <c r="H41">
        <v>3</v>
      </c>
      <c r="I41" t="s">
        <v>260</v>
      </c>
      <c r="J41" t="s">
        <v>3</v>
      </c>
      <c r="K41" t="s">
        <v>261</v>
      </c>
      <c r="L41">
        <v>1355</v>
      </c>
      <c r="N41">
        <v>1010</v>
      </c>
      <c r="O41" t="s">
        <v>114</v>
      </c>
      <c r="P41" t="s">
        <v>114</v>
      </c>
      <c r="Q41">
        <v>100</v>
      </c>
      <c r="X41">
        <v>2.1640000000000001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3</v>
      </c>
      <c r="AG41">
        <v>2.1640000000000001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3">
      <c r="A42">
        <f>ROW(Source!A80)</f>
        <v>80</v>
      </c>
      <c r="B42">
        <v>58753953</v>
      </c>
      <c r="C42">
        <v>58312272</v>
      </c>
      <c r="D42">
        <v>57641916</v>
      </c>
      <c r="E42">
        <v>1080</v>
      </c>
      <c r="F42">
        <v>1</v>
      </c>
      <c r="G42">
        <v>1080</v>
      </c>
      <c r="H42">
        <v>3</v>
      </c>
      <c r="I42" t="s">
        <v>262</v>
      </c>
      <c r="J42" t="s">
        <v>3</v>
      </c>
      <c r="K42" t="s">
        <v>263</v>
      </c>
      <c r="L42">
        <v>1303</v>
      </c>
      <c r="N42">
        <v>1003</v>
      </c>
      <c r="O42" t="s">
        <v>144</v>
      </c>
      <c r="P42" t="s">
        <v>144</v>
      </c>
      <c r="Q42">
        <v>1000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3</v>
      </c>
      <c r="AG42">
        <v>0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">
      <c r="A43">
        <f>ROW(Source!A95)</f>
        <v>95</v>
      </c>
      <c r="B43">
        <v>58753954</v>
      </c>
      <c r="C43">
        <v>56503629</v>
      </c>
      <c r="D43">
        <v>57621905</v>
      </c>
      <c r="E43">
        <v>1080</v>
      </c>
      <c r="F43">
        <v>1</v>
      </c>
      <c r="G43">
        <v>1080</v>
      </c>
      <c r="H43">
        <v>1</v>
      </c>
      <c r="I43" t="s">
        <v>211</v>
      </c>
      <c r="J43" t="s">
        <v>3</v>
      </c>
      <c r="K43" t="s">
        <v>212</v>
      </c>
      <c r="L43">
        <v>1191</v>
      </c>
      <c r="N43">
        <v>1013</v>
      </c>
      <c r="O43" t="s">
        <v>213</v>
      </c>
      <c r="P43" t="s">
        <v>213</v>
      </c>
      <c r="Q43">
        <v>1</v>
      </c>
      <c r="X43">
        <v>5.39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24</v>
      </c>
      <c r="AG43">
        <v>5.9290000000000003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3">
      <c r="A44">
        <f>ROW(Source!A95)</f>
        <v>95</v>
      </c>
      <c r="B44">
        <v>58753955</v>
      </c>
      <c r="C44">
        <v>56503629</v>
      </c>
      <c r="D44">
        <v>57696079</v>
      </c>
      <c r="E44">
        <v>1</v>
      </c>
      <c r="F44">
        <v>1</v>
      </c>
      <c r="G44">
        <v>1080</v>
      </c>
      <c r="H44">
        <v>2</v>
      </c>
      <c r="I44" t="s">
        <v>214</v>
      </c>
      <c r="J44" t="s">
        <v>215</v>
      </c>
      <c r="K44" t="s">
        <v>216</v>
      </c>
      <c r="L44">
        <v>1368</v>
      </c>
      <c r="N44">
        <v>1011</v>
      </c>
      <c r="O44" t="s">
        <v>217</v>
      </c>
      <c r="P44" t="s">
        <v>217</v>
      </c>
      <c r="Q44">
        <v>1</v>
      </c>
      <c r="X44">
        <v>0.02</v>
      </c>
      <c r="Y44">
        <v>0</v>
      </c>
      <c r="Z44">
        <v>83.1</v>
      </c>
      <c r="AA44">
        <v>12.62</v>
      </c>
      <c r="AB44">
        <v>0</v>
      </c>
      <c r="AC44">
        <v>0</v>
      </c>
      <c r="AD44">
        <v>1</v>
      </c>
      <c r="AE44">
        <v>0</v>
      </c>
      <c r="AF44" t="s">
        <v>24</v>
      </c>
      <c r="AG44">
        <v>2.2000000000000002E-2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">
      <c r="A45">
        <f>ROW(Source!A95)</f>
        <v>95</v>
      </c>
      <c r="B45">
        <v>58753956</v>
      </c>
      <c r="C45">
        <v>56503629</v>
      </c>
      <c r="D45">
        <v>57695315</v>
      </c>
      <c r="E45">
        <v>1</v>
      </c>
      <c r="F45">
        <v>1</v>
      </c>
      <c r="G45">
        <v>1080</v>
      </c>
      <c r="H45">
        <v>2</v>
      </c>
      <c r="I45" t="s">
        <v>264</v>
      </c>
      <c r="J45" t="s">
        <v>265</v>
      </c>
      <c r="K45" t="s">
        <v>266</v>
      </c>
      <c r="L45">
        <v>1368</v>
      </c>
      <c r="N45">
        <v>1011</v>
      </c>
      <c r="O45" t="s">
        <v>217</v>
      </c>
      <c r="P45" t="s">
        <v>217</v>
      </c>
      <c r="Q45">
        <v>1</v>
      </c>
      <c r="X45">
        <v>0.02</v>
      </c>
      <c r="Y45">
        <v>0</v>
      </c>
      <c r="Z45">
        <v>179.17</v>
      </c>
      <c r="AA45">
        <v>16.93</v>
      </c>
      <c r="AB45">
        <v>0</v>
      </c>
      <c r="AC45">
        <v>0</v>
      </c>
      <c r="AD45">
        <v>1</v>
      </c>
      <c r="AE45">
        <v>0</v>
      </c>
      <c r="AF45" t="s">
        <v>24</v>
      </c>
      <c r="AG45">
        <v>2.2000000000000002E-2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">
      <c r="A46">
        <f>ROW(Source!A95)</f>
        <v>95</v>
      </c>
      <c r="B46">
        <v>58753957</v>
      </c>
      <c r="C46">
        <v>56503629</v>
      </c>
      <c r="D46">
        <v>57665112</v>
      </c>
      <c r="E46">
        <v>1</v>
      </c>
      <c r="F46">
        <v>1</v>
      </c>
      <c r="G46">
        <v>1080</v>
      </c>
      <c r="H46">
        <v>3</v>
      </c>
      <c r="I46" t="s">
        <v>267</v>
      </c>
      <c r="J46" t="s">
        <v>268</v>
      </c>
      <c r="K46" t="s">
        <v>269</v>
      </c>
      <c r="L46">
        <v>1346</v>
      </c>
      <c r="N46">
        <v>1009</v>
      </c>
      <c r="O46" t="s">
        <v>229</v>
      </c>
      <c r="P46" t="s">
        <v>229</v>
      </c>
      <c r="Q46">
        <v>1</v>
      </c>
      <c r="X46">
        <v>0.6</v>
      </c>
      <c r="Y46">
        <v>1.38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3</v>
      </c>
      <c r="AG46">
        <v>0.6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3">
      <c r="A47">
        <f>ROW(Source!A95)</f>
        <v>95</v>
      </c>
      <c r="B47">
        <v>58753958</v>
      </c>
      <c r="C47">
        <v>56503629</v>
      </c>
      <c r="D47">
        <v>57665503</v>
      </c>
      <c r="E47">
        <v>1</v>
      </c>
      <c r="F47">
        <v>1</v>
      </c>
      <c r="G47">
        <v>1080</v>
      </c>
      <c r="H47">
        <v>3</v>
      </c>
      <c r="I47" t="s">
        <v>270</v>
      </c>
      <c r="J47" t="s">
        <v>271</v>
      </c>
      <c r="K47" t="s">
        <v>272</v>
      </c>
      <c r="L47">
        <v>1346</v>
      </c>
      <c r="N47">
        <v>1009</v>
      </c>
      <c r="O47" t="s">
        <v>229</v>
      </c>
      <c r="P47" t="s">
        <v>229</v>
      </c>
      <c r="Q47">
        <v>1</v>
      </c>
      <c r="X47">
        <v>0.16</v>
      </c>
      <c r="Y47">
        <v>159.06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3</v>
      </c>
      <c r="AG47">
        <v>0.16</v>
      </c>
      <c r="AH47">
        <v>3</v>
      </c>
      <c r="AI47">
        <v>-1</v>
      </c>
      <c r="AJ47" t="s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3">
      <c r="A48">
        <f>ROW(Source!A95)</f>
        <v>95</v>
      </c>
      <c r="B48">
        <v>58753959</v>
      </c>
      <c r="C48">
        <v>56503629</v>
      </c>
      <c r="D48">
        <v>57688447</v>
      </c>
      <c r="E48">
        <v>1</v>
      </c>
      <c r="F48">
        <v>1</v>
      </c>
      <c r="G48">
        <v>1080</v>
      </c>
      <c r="H48">
        <v>3</v>
      </c>
      <c r="I48" t="s">
        <v>273</v>
      </c>
      <c r="J48" t="s">
        <v>274</v>
      </c>
      <c r="K48" t="s">
        <v>275</v>
      </c>
      <c r="L48">
        <v>1355</v>
      </c>
      <c r="N48">
        <v>1010</v>
      </c>
      <c r="O48" t="s">
        <v>114</v>
      </c>
      <c r="P48" t="s">
        <v>114</v>
      </c>
      <c r="Q48">
        <v>100</v>
      </c>
      <c r="X48">
        <v>0.05</v>
      </c>
      <c r="Y48">
        <v>130.15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3</v>
      </c>
      <c r="AG48">
        <v>0.05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">
      <c r="A49">
        <f>ROW(Source!A95)</f>
        <v>95</v>
      </c>
      <c r="B49">
        <v>58753960</v>
      </c>
      <c r="C49">
        <v>56503629</v>
      </c>
      <c r="D49">
        <v>57688458</v>
      </c>
      <c r="E49">
        <v>1</v>
      </c>
      <c r="F49">
        <v>1</v>
      </c>
      <c r="G49">
        <v>1080</v>
      </c>
      <c r="H49">
        <v>3</v>
      </c>
      <c r="I49" t="s">
        <v>276</v>
      </c>
      <c r="J49" t="s">
        <v>277</v>
      </c>
      <c r="K49" t="s">
        <v>278</v>
      </c>
      <c r="L49">
        <v>1356</v>
      </c>
      <c r="N49">
        <v>1010</v>
      </c>
      <c r="O49" t="s">
        <v>251</v>
      </c>
      <c r="P49" t="s">
        <v>251</v>
      </c>
      <c r="Q49">
        <v>1000</v>
      </c>
      <c r="X49">
        <v>1.2200000000000001E-2</v>
      </c>
      <c r="Y49">
        <v>226.86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3</v>
      </c>
      <c r="AG49">
        <v>1.2200000000000001E-2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">
      <c r="A50">
        <f>ROW(Source!A95)</f>
        <v>95</v>
      </c>
      <c r="B50">
        <v>58753961</v>
      </c>
      <c r="C50">
        <v>56503629</v>
      </c>
      <c r="D50">
        <v>57687783</v>
      </c>
      <c r="E50">
        <v>1</v>
      </c>
      <c r="F50">
        <v>1</v>
      </c>
      <c r="G50">
        <v>1080</v>
      </c>
      <c r="H50">
        <v>3</v>
      </c>
      <c r="I50" t="s">
        <v>279</v>
      </c>
      <c r="J50" t="s">
        <v>280</v>
      </c>
      <c r="K50" t="s">
        <v>281</v>
      </c>
      <c r="L50">
        <v>1354</v>
      </c>
      <c r="N50">
        <v>1010</v>
      </c>
      <c r="O50" t="s">
        <v>32</v>
      </c>
      <c r="P50" t="s">
        <v>32</v>
      </c>
      <c r="Q50">
        <v>1</v>
      </c>
      <c r="X50">
        <v>3.1</v>
      </c>
      <c r="Y50">
        <v>6.94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3</v>
      </c>
      <c r="AG50">
        <v>3.1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">
      <c r="A51">
        <f>ROW(Source!A95)</f>
        <v>95</v>
      </c>
      <c r="B51">
        <v>58753962</v>
      </c>
      <c r="C51">
        <v>56503629</v>
      </c>
      <c r="D51">
        <v>57687791</v>
      </c>
      <c r="E51">
        <v>1</v>
      </c>
      <c r="F51">
        <v>1</v>
      </c>
      <c r="G51">
        <v>1080</v>
      </c>
      <c r="H51">
        <v>3</v>
      </c>
      <c r="I51" t="s">
        <v>282</v>
      </c>
      <c r="J51" t="s">
        <v>283</v>
      </c>
      <c r="K51" t="s">
        <v>284</v>
      </c>
      <c r="L51">
        <v>1356</v>
      </c>
      <c r="N51">
        <v>1010</v>
      </c>
      <c r="O51" t="s">
        <v>251</v>
      </c>
      <c r="P51" t="s">
        <v>251</v>
      </c>
      <c r="Q51">
        <v>1000</v>
      </c>
      <c r="X51">
        <v>8.0000000000000002E-3</v>
      </c>
      <c r="Y51">
        <v>614.09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3</v>
      </c>
      <c r="AG51">
        <v>8.0000000000000002E-3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">
      <c r="A52">
        <f>ROW(Source!A95)</f>
        <v>95</v>
      </c>
      <c r="B52">
        <v>58753963</v>
      </c>
      <c r="C52">
        <v>56503629</v>
      </c>
      <c r="D52">
        <v>57637375</v>
      </c>
      <c r="E52">
        <v>1080</v>
      </c>
      <c r="F52">
        <v>1</v>
      </c>
      <c r="G52">
        <v>1080</v>
      </c>
      <c r="H52">
        <v>3</v>
      </c>
      <c r="I52" t="s">
        <v>285</v>
      </c>
      <c r="J52" t="s">
        <v>3</v>
      </c>
      <c r="K52" t="s">
        <v>286</v>
      </c>
      <c r="L52">
        <v>1303</v>
      </c>
      <c r="N52">
        <v>1003</v>
      </c>
      <c r="O52" t="s">
        <v>144</v>
      </c>
      <c r="P52" t="s">
        <v>144</v>
      </c>
      <c r="Q52">
        <v>1000</v>
      </c>
      <c r="X52">
        <v>0.10299999999999999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3</v>
      </c>
      <c r="AG52">
        <v>0.10299999999999999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">
      <c r="A53">
        <f>ROW(Source!A96)</f>
        <v>96</v>
      </c>
      <c r="B53">
        <v>58753954</v>
      </c>
      <c r="C53">
        <v>56503629</v>
      </c>
      <c r="D53">
        <v>57621905</v>
      </c>
      <c r="E53">
        <v>1080</v>
      </c>
      <c r="F53">
        <v>1</v>
      </c>
      <c r="G53">
        <v>1080</v>
      </c>
      <c r="H53">
        <v>1</v>
      </c>
      <c r="I53" t="s">
        <v>211</v>
      </c>
      <c r="J53" t="s">
        <v>3</v>
      </c>
      <c r="K53" t="s">
        <v>212</v>
      </c>
      <c r="L53">
        <v>1191</v>
      </c>
      <c r="N53">
        <v>1013</v>
      </c>
      <c r="O53" t="s">
        <v>213</v>
      </c>
      <c r="P53" t="s">
        <v>213</v>
      </c>
      <c r="Q53">
        <v>1</v>
      </c>
      <c r="X53">
        <v>5.39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24</v>
      </c>
      <c r="AG53">
        <v>5.9290000000000003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3">
      <c r="A54">
        <f>ROW(Source!A96)</f>
        <v>96</v>
      </c>
      <c r="B54">
        <v>58753955</v>
      </c>
      <c r="C54">
        <v>56503629</v>
      </c>
      <c r="D54">
        <v>57696079</v>
      </c>
      <c r="E54">
        <v>1</v>
      </c>
      <c r="F54">
        <v>1</v>
      </c>
      <c r="G54">
        <v>1080</v>
      </c>
      <c r="H54">
        <v>2</v>
      </c>
      <c r="I54" t="s">
        <v>214</v>
      </c>
      <c r="J54" t="s">
        <v>215</v>
      </c>
      <c r="K54" t="s">
        <v>216</v>
      </c>
      <c r="L54">
        <v>1368</v>
      </c>
      <c r="N54">
        <v>1011</v>
      </c>
      <c r="O54" t="s">
        <v>217</v>
      </c>
      <c r="P54" t="s">
        <v>217</v>
      </c>
      <c r="Q54">
        <v>1</v>
      </c>
      <c r="X54">
        <v>0.02</v>
      </c>
      <c r="Y54">
        <v>0</v>
      </c>
      <c r="Z54">
        <v>83.1</v>
      </c>
      <c r="AA54">
        <v>12.62</v>
      </c>
      <c r="AB54">
        <v>0</v>
      </c>
      <c r="AC54">
        <v>0</v>
      </c>
      <c r="AD54">
        <v>1</v>
      </c>
      <c r="AE54">
        <v>0</v>
      </c>
      <c r="AF54" t="s">
        <v>24</v>
      </c>
      <c r="AG54">
        <v>2.2000000000000002E-2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">
      <c r="A55">
        <f>ROW(Source!A96)</f>
        <v>96</v>
      </c>
      <c r="B55">
        <v>58753956</v>
      </c>
      <c r="C55">
        <v>56503629</v>
      </c>
      <c r="D55">
        <v>57695315</v>
      </c>
      <c r="E55">
        <v>1</v>
      </c>
      <c r="F55">
        <v>1</v>
      </c>
      <c r="G55">
        <v>1080</v>
      </c>
      <c r="H55">
        <v>2</v>
      </c>
      <c r="I55" t="s">
        <v>264</v>
      </c>
      <c r="J55" t="s">
        <v>265</v>
      </c>
      <c r="K55" t="s">
        <v>266</v>
      </c>
      <c r="L55">
        <v>1368</v>
      </c>
      <c r="N55">
        <v>1011</v>
      </c>
      <c r="O55" t="s">
        <v>217</v>
      </c>
      <c r="P55" t="s">
        <v>217</v>
      </c>
      <c r="Q55">
        <v>1</v>
      </c>
      <c r="X55">
        <v>0.02</v>
      </c>
      <c r="Y55">
        <v>0</v>
      </c>
      <c r="Z55">
        <v>179.17</v>
      </c>
      <c r="AA55">
        <v>16.93</v>
      </c>
      <c r="AB55">
        <v>0</v>
      </c>
      <c r="AC55">
        <v>0</v>
      </c>
      <c r="AD55">
        <v>1</v>
      </c>
      <c r="AE55">
        <v>0</v>
      </c>
      <c r="AF55" t="s">
        <v>24</v>
      </c>
      <c r="AG55">
        <v>2.2000000000000002E-2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">
      <c r="A56">
        <f>ROW(Source!A96)</f>
        <v>96</v>
      </c>
      <c r="B56">
        <v>58753957</v>
      </c>
      <c r="C56">
        <v>56503629</v>
      </c>
      <c r="D56">
        <v>57665112</v>
      </c>
      <c r="E56">
        <v>1</v>
      </c>
      <c r="F56">
        <v>1</v>
      </c>
      <c r="G56">
        <v>1080</v>
      </c>
      <c r="H56">
        <v>3</v>
      </c>
      <c r="I56" t="s">
        <v>267</v>
      </c>
      <c r="J56" t="s">
        <v>268</v>
      </c>
      <c r="K56" t="s">
        <v>269</v>
      </c>
      <c r="L56">
        <v>1346</v>
      </c>
      <c r="N56">
        <v>1009</v>
      </c>
      <c r="O56" t="s">
        <v>229</v>
      </c>
      <c r="P56" t="s">
        <v>229</v>
      </c>
      <c r="Q56">
        <v>1</v>
      </c>
      <c r="X56">
        <v>0.6</v>
      </c>
      <c r="Y56">
        <v>1.38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3</v>
      </c>
      <c r="AG56">
        <v>0.6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">
      <c r="A57">
        <f>ROW(Source!A96)</f>
        <v>96</v>
      </c>
      <c r="B57">
        <v>58753958</v>
      </c>
      <c r="C57">
        <v>56503629</v>
      </c>
      <c r="D57">
        <v>57665503</v>
      </c>
      <c r="E57">
        <v>1</v>
      </c>
      <c r="F57">
        <v>1</v>
      </c>
      <c r="G57">
        <v>1080</v>
      </c>
      <c r="H57">
        <v>3</v>
      </c>
      <c r="I57" t="s">
        <v>270</v>
      </c>
      <c r="J57" t="s">
        <v>271</v>
      </c>
      <c r="K57" t="s">
        <v>272</v>
      </c>
      <c r="L57">
        <v>1346</v>
      </c>
      <c r="N57">
        <v>1009</v>
      </c>
      <c r="O57" t="s">
        <v>229</v>
      </c>
      <c r="P57" t="s">
        <v>229</v>
      </c>
      <c r="Q57">
        <v>1</v>
      </c>
      <c r="X57">
        <v>0.16</v>
      </c>
      <c r="Y57">
        <v>159.06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3</v>
      </c>
      <c r="AG57">
        <v>0.16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">
      <c r="A58">
        <f>ROW(Source!A96)</f>
        <v>96</v>
      </c>
      <c r="B58">
        <v>58753959</v>
      </c>
      <c r="C58">
        <v>56503629</v>
      </c>
      <c r="D58">
        <v>57688447</v>
      </c>
      <c r="E58">
        <v>1</v>
      </c>
      <c r="F58">
        <v>1</v>
      </c>
      <c r="G58">
        <v>1080</v>
      </c>
      <c r="H58">
        <v>3</v>
      </c>
      <c r="I58" t="s">
        <v>273</v>
      </c>
      <c r="J58" t="s">
        <v>274</v>
      </c>
      <c r="K58" t="s">
        <v>275</v>
      </c>
      <c r="L58">
        <v>1355</v>
      </c>
      <c r="N58">
        <v>1010</v>
      </c>
      <c r="O58" t="s">
        <v>114</v>
      </c>
      <c r="P58" t="s">
        <v>114</v>
      </c>
      <c r="Q58">
        <v>100</v>
      </c>
      <c r="X58">
        <v>0.05</v>
      </c>
      <c r="Y58">
        <v>130.15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3</v>
      </c>
      <c r="AG58">
        <v>0.05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3">
      <c r="A59">
        <f>ROW(Source!A96)</f>
        <v>96</v>
      </c>
      <c r="B59">
        <v>58753960</v>
      </c>
      <c r="C59">
        <v>56503629</v>
      </c>
      <c r="D59">
        <v>57688458</v>
      </c>
      <c r="E59">
        <v>1</v>
      </c>
      <c r="F59">
        <v>1</v>
      </c>
      <c r="G59">
        <v>1080</v>
      </c>
      <c r="H59">
        <v>3</v>
      </c>
      <c r="I59" t="s">
        <v>276</v>
      </c>
      <c r="J59" t="s">
        <v>277</v>
      </c>
      <c r="K59" t="s">
        <v>278</v>
      </c>
      <c r="L59">
        <v>1356</v>
      </c>
      <c r="N59">
        <v>1010</v>
      </c>
      <c r="O59" t="s">
        <v>251</v>
      </c>
      <c r="P59" t="s">
        <v>251</v>
      </c>
      <c r="Q59">
        <v>1000</v>
      </c>
      <c r="X59">
        <v>1.2200000000000001E-2</v>
      </c>
      <c r="Y59">
        <v>226.86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3</v>
      </c>
      <c r="AG59">
        <v>1.2200000000000001E-2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">
      <c r="A60">
        <f>ROW(Source!A96)</f>
        <v>96</v>
      </c>
      <c r="B60">
        <v>58753961</v>
      </c>
      <c r="C60">
        <v>56503629</v>
      </c>
      <c r="D60">
        <v>57687783</v>
      </c>
      <c r="E60">
        <v>1</v>
      </c>
      <c r="F60">
        <v>1</v>
      </c>
      <c r="G60">
        <v>1080</v>
      </c>
      <c r="H60">
        <v>3</v>
      </c>
      <c r="I60" t="s">
        <v>279</v>
      </c>
      <c r="J60" t="s">
        <v>280</v>
      </c>
      <c r="K60" t="s">
        <v>281</v>
      </c>
      <c r="L60">
        <v>1354</v>
      </c>
      <c r="N60">
        <v>1010</v>
      </c>
      <c r="O60" t="s">
        <v>32</v>
      </c>
      <c r="P60" t="s">
        <v>32</v>
      </c>
      <c r="Q60">
        <v>1</v>
      </c>
      <c r="X60">
        <v>3.1</v>
      </c>
      <c r="Y60">
        <v>6.94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3</v>
      </c>
      <c r="AG60">
        <v>3.1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">
      <c r="A61">
        <f>ROW(Source!A96)</f>
        <v>96</v>
      </c>
      <c r="B61">
        <v>58753962</v>
      </c>
      <c r="C61">
        <v>56503629</v>
      </c>
      <c r="D61">
        <v>57687791</v>
      </c>
      <c r="E61">
        <v>1</v>
      </c>
      <c r="F61">
        <v>1</v>
      </c>
      <c r="G61">
        <v>1080</v>
      </c>
      <c r="H61">
        <v>3</v>
      </c>
      <c r="I61" t="s">
        <v>282</v>
      </c>
      <c r="J61" t="s">
        <v>283</v>
      </c>
      <c r="K61" t="s">
        <v>284</v>
      </c>
      <c r="L61">
        <v>1356</v>
      </c>
      <c r="N61">
        <v>1010</v>
      </c>
      <c r="O61" t="s">
        <v>251</v>
      </c>
      <c r="P61" t="s">
        <v>251</v>
      </c>
      <c r="Q61">
        <v>1000</v>
      </c>
      <c r="X61">
        <v>8.0000000000000002E-3</v>
      </c>
      <c r="Y61">
        <v>614.09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3</v>
      </c>
      <c r="AG61">
        <v>8.0000000000000002E-3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3">
      <c r="A62">
        <f>ROW(Source!A96)</f>
        <v>96</v>
      </c>
      <c r="B62">
        <v>58753963</v>
      </c>
      <c r="C62">
        <v>56503629</v>
      </c>
      <c r="D62">
        <v>57637375</v>
      </c>
      <c r="E62">
        <v>1080</v>
      </c>
      <c r="F62">
        <v>1</v>
      </c>
      <c r="G62">
        <v>1080</v>
      </c>
      <c r="H62">
        <v>3</v>
      </c>
      <c r="I62" t="s">
        <v>285</v>
      </c>
      <c r="J62" t="s">
        <v>3</v>
      </c>
      <c r="K62" t="s">
        <v>286</v>
      </c>
      <c r="L62">
        <v>1303</v>
      </c>
      <c r="N62">
        <v>1003</v>
      </c>
      <c r="O62" t="s">
        <v>144</v>
      </c>
      <c r="P62" t="s">
        <v>144</v>
      </c>
      <c r="Q62">
        <v>1000</v>
      </c>
      <c r="X62">
        <v>0.10299999999999999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3</v>
      </c>
      <c r="AG62">
        <v>0.10299999999999999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3">
      <c r="A63">
        <f>ROW(Source!A103)</f>
        <v>103</v>
      </c>
      <c r="B63">
        <v>58753964</v>
      </c>
      <c r="C63">
        <v>56503654</v>
      </c>
      <c r="D63">
        <v>57621905</v>
      </c>
      <c r="E63">
        <v>1080</v>
      </c>
      <c r="F63">
        <v>1</v>
      </c>
      <c r="G63">
        <v>1080</v>
      </c>
      <c r="H63">
        <v>1</v>
      </c>
      <c r="I63" t="s">
        <v>211</v>
      </c>
      <c r="J63" t="s">
        <v>3</v>
      </c>
      <c r="K63" t="s">
        <v>212</v>
      </c>
      <c r="L63">
        <v>1191</v>
      </c>
      <c r="N63">
        <v>1013</v>
      </c>
      <c r="O63" t="s">
        <v>213</v>
      </c>
      <c r="P63" t="s">
        <v>213</v>
      </c>
      <c r="Q63">
        <v>1</v>
      </c>
      <c r="X63">
        <v>1.83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1</v>
      </c>
      <c r="AF63" t="s">
        <v>24</v>
      </c>
      <c r="AG63">
        <v>2.0130000000000003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">
      <c r="A64">
        <f>ROW(Source!A103)</f>
        <v>103</v>
      </c>
      <c r="B64">
        <v>58753965</v>
      </c>
      <c r="C64">
        <v>56503654</v>
      </c>
      <c r="D64">
        <v>57696079</v>
      </c>
      <c r="E64">
        <v>1</v>
      </c>
      <c r="F64">
        <v>1</v>
      </c>
      <c r="G64">
        <v>1080</v>
      </c>
      <c r="H64">
        <v>2</v>
      </c>
      <c r="I64" t="s">
        <v>214</v>
      </c>
      <c r="J64" t="s">
        <v>215</v>
      </c>
      <c r="K64" t="s">
        <v>216</v>
      </c>
      <c r="L64">
        <v>1368</v>
      </c>
      <c r="N64">
        <v>1011</v>
      </c>
      <c r="O64" t="s">
        <v>217</v>
      </c>
      <c r="P64" t="s">
        <v>217</v>
      </c>
      <c r="Q64">
        <v>1</v>
      </c>
      <c r="X64">
        <v>0.01</v>
      </c>
      <c r="Y64">
        <v>0</v>
      </c>
      <c r="Z64">
        <v>83.1</v>
      </c>
      <c r="AA64">
        <v>12.62</v>
      </c>
      <c r="AB64">
        <v>0</v>
      </c>
      <c r="AC64">
        <v>0</v>
      </c>
      <c r="AD64">
        <v>1</v>
      </c>
      <c r="AE64">
        <v>0</v>
      </c>
      <c r="AF64" t="s">
        <v>24</v>
      </c>
      <c r="AG64">
        <v>1.1000000000000001E-2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">
      <c r="A65">
        <f>ROW(Source!A103)</f>
        <v>103</v>
      </c>
      <c r="B65">
        <v>58753966</v>
      </c>
      <c r="C65">
        <v>56503654</v>
      </c>
      <c r="D65">
        <v>57695315</v>
      </c>
      <c r="E65">
        <v>1</v>
      </c>
      <c r="F65">
        <v>1</v>
      </c>
      <c r="G65">
        <v>1080</v>
      </c>
      <c r="H65">
        <v>2</v>
      </c>
      <c r="I65" t="s">
        <v>264</v>
      </c>
      <c r="J65" t="s">
        <v>265</v>
      </c>
      <c r="K65" t="s">
        <v>266</v>
      </c>
      <c r="L65">
        <v>1368</v>
      </c>
      <c r="N65">
        <v>1011</v>
      </c>
      <c r="O65" t="s">
        <v>217</v>
      </c>
      <c r="P65" t="s">
        <v>217</v>
      </c>
      <c r="Q65">
        <v>1</v>
      </c>
      <c r="X65">
        <v>0.01</v>
      </c>
      <c r="Y65">
        <v>0</v>
      </c>
      <c r="Z65">
        <v>179.17</v>
      </c>
      <c r="AA65">
        <v>16.93</v>
      </c>
      <c r="AB65">
        <v>0</v>
      </c>
      <c r="AC65">
        <v>0</v>
      </c>
      <c r="AD65">
        <v>1</v>
      </c>
      <c r="AE65">
        <v>0</v>
      </c>
      <c r="AF65" t="s">
        <v>24</v>
      </c>
      <c r="AG65">
        <v>1.1000000000000001E-2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">
      <c r="A66">
        <f>ROW(Source!A103)</f>
        <v>103</v>
      </c>
      <c r="B66">
        <v>58753967</v>
      </c>
      <c r="C66">
        <v>56503654</v>
      </c>
      <c r="D66">
        <v>57665112</v>
      </c>
      <c r="E66">
        <v>1</v>
      </c>
      <c r="F66">
        <v>1</v>
      </c>
      <c r="G66">
        <v>1080</v>
      </c>
      <c r="H66">
        <v>3</v>
      </c>
      <c r="I66" t="s">
        <v>267</v>
      </c>
      <c r="J66" t="s">
        <v>268</v>
      </c>
      <c r="K66" t="s">
        <v>269</v>
      </c>
      <c r="L66">
        <v>1346</v>
      </c>
      <c r="N66">
        <v>1009</v>
      </c>
      <c r="O66" t="s">
        <v>229</v>
      </c>
      <c r="P66" t="s">
        <v>229</v>
      </c>
      <c r="Q66">
        <v>1</v>
      </c>
      <c r="X66">
        <v>0.6</v>
      </c>
      <c r="Y66">
        <v>1.38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3</v>
      </c>
      <c r="AG66">
        <v>0.6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">
      <c r="A67">
        <f>ROW(Source!A103)</f>
        <v>103</v>
      </c>
      <c r="B67">
        <v>58753968</v>
      </c>
      <c r="C67">
        <v>56503654</v>
      </c>
      <c r="D67">
        <v>57665503</v>
      </c>
      <c r="E67">
        <v>1</v>
      </c>
      <c r="F67">
        <v>1</v>
      </c>
      <c r="G67">
        <v>1080</v>
      </c>
      <c r="H67">
        <v>3</v>
      </c>
      <c r="I67" t="s">
        <v>270</v>
      </c>
      <c r="J67" t="s">
        <v>271</v>
      </c>
      <c r="K67" t="s">
        <v>272</v>
      </c>
      <c r="L67">
        <v>1346</v>
      </c>
      <c r="N67">
        <v>1009</v>
      </c>
      <c r="O67" t="s">
        <v>229</v>
      </c>
      <c r="P67" t="s">
        <v>229</v>
      </c>
      <c r="Q67">
        <v>1</v>
      </c>
      <c r="X67">
        <v>0.16</v>
      </c>
      <c r="Y67">
        <v>159.06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3</v>
      </c>
      <c r="AG67">
        <v>0.16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">
      <c r="A68">
        <f>ROW(Source!A103)</f>
        <v>103</v>
      </c>
      <c r="B68">
        <v>58753969</v>
      </c>
      <c r="C68">
        <v>56503654</v>
      </c>
      <c r="D68">
        <v>57688458</v>
      </c>
      <c r="E68">
        <v>1</v>
      </c>
      <c r="F68">
        <v>1</v>
      </c>
      <c r="G68">
        <v>1080</v>
      </c>
      <c r="H68">
        <v>3</v>
      </c>
      <c r="I68" t="s">
        <v>276</v>
      </c>
      <c r="J68" t="s">
        <v>277</v>
      </c>
      <c r="K68" t="s">
        <v>278</v>
      </c>
      <c r="L68">
        <v>1356</v>
      </c>
      <c r="N68">
        <v>1010</v>
      </c>
      <c r="O68" t="s">
        <v>251</v>
      </c>
      <c r="P68" t="s">
        <v>251</v>
      </c>
      <c r="Q68">
        <v>1000</v>
      </c>
      <c r="X68">
        <v>1.2200000000000001E-2</v>
      </c>
      <c r="Y68">
        <v>226.86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3</v>
      </c>
      <c r="AG68">
        <v>1.2200000000000001E-2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">
      <c r="A69">
        <f>ROW(Source!A103)</f>
        <v>103</v>
      </c>
      <c r="B69">
        <v>58753970</v>
      </c>
      <c r="C69">
        <v>56503654</v>
      </c>
      <c r="D69">
        <v>57687783</v>
      </c>
      <c r="E69">
        <v>1</v>
      </c>
      <c r="F69">
        <v>1</v>
      </c>
      <c r="G69">
        <v>1080</v>
      </c>
      <c r="H69">
        <v>3</v>
      </c>
      <c r="I69" t="s">
        <v>279</v>
      </c>
      <c r="J69" t="s">
        <v>280</v>
      </c>
      <c r="K69" t="s">
        <v>281</v>
      </c>
      <c r="L69">
        <v>1354</v>
      </c>
      <c r="N69">
        <v>1010</v>
      </c>
      <c r="O69" t="s">
        <v>32</v>
      </c>
      <c r="P69" t="s">
        <v>32</v>
      </c>
      <c r="Q69">
        <v>1</v>
      </c>
      <c r="X69">
        <v>3.1</v>
      </c>
      <c r="Y69">
        <v>6.94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3</v>
      </c>
      <c r="AG69">
        <v>3.1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3">
      <c r="A70">
        <f>ROW(Source!A103)</f>
        <v>103</v>
      </c>
      <c r="B70">
        <v>58753971</v>
      </c>
      <c r="C70">
        <v>56503654</v>
      </c>
      <c r="D70">
        <v>57687791</v>
      </c>
      <c r="E70">
        <v>1</v>
      </c>
      <c r="F70">
        <v>1</v>
      </c>
      <c r="G70">
        <v>1080</v>
      </c>
      <c r="H70">
        <v>3</v>
      </c>
      <c r="I70" t="s">
        <v>282</v>
      </c>
      <c r="J70" t="s">
        <v>283</v>
      </c>
      <c r="K70" t="s">
        <v>284</v>
      </c>
      <c r="L70">
        <v>1356</v>
      </c>
      <c r="N70">
        <v>1010</v>
      </c>
      <c r="O70" t="s">
        <v>251</v>
      </c>
      <c r="P70" t="s">
        <v>251</v>
      </c>
      <c r="Q70">
        <v>1000</v>
      </c>
      <c r="X70">
        <v>8.0000000000000002E-3</v>
      </c>
      <c r="Y70">
        <v>614.09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3</v>
      </c>
      <c r="AG70">
        <v>8.0000000000000002E-3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">
      <c r="A71">
        <f>ROW(Source!A103)</f>
        <v>103</v>
      </c>
      <c r="B71">
        <v>58753972</v>
      </c>
      <c r="C71">
        <v>56503654</v>
      </c>
      <c r="D71">
        <v>57637375</v>
      </c>
      <c r="E71">
        <v>1080</v>
      </c>
      <c r="F71">
        <v>1</v>
      </c>
      <c r="G71">
        <v>1080</v>
      </c>
      <c r="H71">
        <v>3</v>
      </c>
      <c r="I71" t="s">
        <v>285</v>
      </c>
      <c r="J71" t="s">
        <v>3</v>
      </c>
      <c r="K71" t="s">
        <v>286</v>
      </c>
      <c r="L71">
        <v>1303</v>
      </c>
      <c r="N71">
        <v>1003</v>
      </c>
      <c r="O71" t="s">
        <v>144</v>
      </c>
      <c r="P71" t="s">
        <v>144</v>
      </c>
      <c r="Q71">
        <v>1000</v>
      </c>
      <c r="X71">
        <v>0.10299999999999999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3</v>
      </c>
      <c r="AG71">
        <v>0.10299999999999999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">
      <c r="A72">
        <f>ROW(Source!A104)</f>
        <v>104</v>
      </c>
      <c r="B72">
        <v>58753964</v>
      </c>
      <c r="C72">
        <v>56503654</v>
      </c>
      <c r="D72">
        <v>57621905</v>
      </c>
      <c r="E72">
        <v>1080</v>
      </c>
      <c r="F72">
        <v>1</v>
      </c>
      <c r="G72">
        <v>1080</v>
      </c>
      <c r="H72">
        <v>1</v>
      </c>
      <c r="I72" t="s">
        <v>211</v>
      </c>
      <c r="J72" t="s">
        <v>3</v>
      </c>
      <c r="K72" t="s">
        <v>212</v>
      </c>
      <c r="L72">
        <v>1191</v>
      </c>
      <c r="N72">
        <v>1013</v>
      </c>
      <c r="O72" t="s">
        <v>213</v>
      </c>
      <c r="P72" t="s">
        <v>213</v>
      </c>
      <c r="Q72">
        <v>1</v>
      </c>
      <c r="X72">
        <v>1.83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 t="s">
        <v>24</v>
      </c>
      <c r="AG72">
        <v>2.0130000000000003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">
      <c r="A73">
        <f>ROW(Source!A104)</f>
        <v>104</v>
      </c>
      <c r="B73">
        <v>58753965</v>
      </c>
      <c r="C73">
        <v>56503654</v>
      </c>
      <c r="D73">
        <v>57696079</v>
      </c>
      <c r="E73">
        <v>1</v>
      </c>
      <c r="F73">
        <v>1</v>
      </c>
      <c r="G73">
        <v>1080</v>
      </c>
      <c r="H73">
        <v>2</v>
      </c>
      <c r="I73" t="s">
        <v>214</v>
      </c>
      <c r="J73" t="s">
        <v>215</v>
      </c>
      <c r="K73" t="s">
        <v>216</v>
      </c>
      <c r="L73">
        <v>1368</v>
      </c>
      <c r="N73">
        <v>1011</v>
      </c>
      <c r="O73" t="s">
        <v>217</v>
      </c>
      <c r="P73" t="s">
        <v>217</v>
      </c>
      <c r="Q73">
        <v>1</v>
      </c>
      <c r="X73">
        <v>0.01</v>
      </c>
      <c r="Y73">
        <v>0</v>
      </c>
      <c r="Z73">
        <v>83.1</v>
      </c>
      <c r="AA73">
        <v>12.62</v>
      </c>
      <c r="AB73">
        <v>0</v>
      </c>
      <c r="AC73">
        <v>0</v>
      </c>
      <c r="AD73">
        <v>1</v>
      </c>
      <c r="AE73">
        <v>0</v>
      </c>
      <c r="AF73" t="s">
        <v>24</v>
      </c>
      <c r="AG73">
        <v>1.1000000000000001E-2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">
      <c r="A74">
        <f>ROW(Source!A104)</f>
        <v>104</v>
      </c>
      <c r="B74">
        <v>58753966</v>
      </c>
      <c r="C74">
        <v>56503654</v>
      </c>
      <c r="D74">
        <v>57695315</v>
      </c>
      <c r="E74">
        <v>1</v>
      </c>
      <c r="F74">
        <v>1</v>
      </c>
      <c r="G74">
        <v>1080</v>
      </c>
      <c r="H74">
        <v>2</v>
      </c>
      <c r="I74" t="s">
        <v>264</v>
      </c>
      <c r="J74" t="s">
        <v>265</v>
      </c>
      <c r="K74" t="s">
        <v>266</v>
      </c>
      <c r="L74">
        <v>1368</v>
      </c>
      <c r="N74">
        <v>1011</v>
      </c>
      <c r="O74" t="s">
        <v>217</v>
      </c>
      <c r="P74" t="s">
        <v>217</v>
      </c>
      <c r="Q74">
        <v>1</v>
      </c>
      <c r="X74">
        <v>0.01</v>
      </c>
      <c r="Y74">
        <v>0</v>
      </c>
      <c r="Z74">
        <v>179.17</v>
      </c>
      <c r="AA74">
        <v>16.93</v>
      </c>
      <c r="AB74">
        <v>0</v>
      </c>
      <c r="AC74">
        <v>0</v>
      </c>
      <c r="AD74">
        <v>1</v>
      </c>
      <c r="AE74">
        <v>0</v>
      </c>
      <c r="AF74" t="s">
        <v>24</v>
      </c>
      <c r="AG74">
        <v>1.1000000000000001E-2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3">
      <c r="A75">
        <f>ROW(Source!A104)</f>
        <v>104</v>
      </c>
      <c r="B75">
        <v>58753967</v>
      </c>
      <c r="C75">
        <v>56503654</v>
      </c>
      <c r="D75">
        <v>57665112</v>
      </c>
      <c r="E75">
        <v>1</v>
      </c>
      <c r="F75">
        <v>1</v>
      </c>
      <c r="G75">
        <v>1080</v>
      </c>
      <c r="H75">
        <v>3</v>
      </c>
      <c r="I75" t="s">
        <v>267</v>
      </c>
      <c r="J75" t="s">
        <v>268</v>
      </c>
      <c r="K75" t="s">
        <v>269</v>
      </c>
      <c r="L75">
        <v>1346</v>
      </c>
      <c r="N75">
        <v>1009</v>
      </c>
      <c r="O75" t="s">
        <v>229</v>
      </c>
      <c r="P75" t="s">
        <v>229</v>
      </c>
      <c r="Q75">
        <v>1</v>
      </c>
      <c r="X75">
        <v>0.6</v>
      </c>
      <c r="Y75">
        <v>1.38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3</v>
      </c>
      <c r="AG75">
        <v>0.6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">
      <c r="A76">
        <f>ROW(Source!A104)</f>
        <v>104</v>
      </c>
      <c r="B76">
        <v>58753968</v>
      </c>
      <c r="C76">
        <v>56503654</v>
      </c>
      <c r="D76">
        <v>57665503</v>
      </c>
      <c r="E76">
        <v>1</v>
      </c>
      <c r="F76">
        <v>1</v>
      </c>
      <c r="G76">
        <v>1080</v>
      </c>
      <c r="H76">
        <v>3</v>
      </c>
      <c r="I76" t="s">
        <v>270</v>
      </c>
      <c r="J76" t="s">
        <v>271</v>
      </c>
      <c r="K76" t="s">
        <v>272</v>
      </c>
      <c r="L76">
        <v>1346</v>
      </c>
      <c r="N76">
        <v>1009</v>
      </c>
      <c r="O76" t="s">
        <v>229</v>
      </c>
      <c r="P76" t="s">
        <v>229</v>
      </c>
      <c r="Q76">
        <v>1</v>
      </c>
      <c r="X76">
        <v>0.16</v>
      </c>
      <c r="Y76">
        <v>159.06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3</v>
      </c>
      <c r="AG76">
        <v>0.16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">
      <c r="A77">
        <f>ROW(Source!A104)</f>
        <v>104</v>
      </c>
      <c r="B77">
        <v>58753969</v>
      </c>
      <c r="C77">
        <v>56503654</v>
      </c>
      <c r="D77">
        <v>57688458</v>
      </c>
      <c r="E77">
        <v>1</v>
      </c>
      <c r="F77">
        <v>1</v>
      </c>
      <c r="G77">
        <v>1080</v>
      </c>
      <c r="H77">
        <v>3</v>
      </c>
      <c r="I77" t="s">
        <v>276</v>
      </c>
      <c r="J77" t="s">
        <v>277</v>
      </c>
      <c r="K77" t="s">
        <v>278</v>
      </c>
      <c r="L77">
        <v>1356</v>
      </c>
      <c r="N77">
        <v>1010</v>
      </c>
      <c r="O77" t="s">
        <v>251</v>
      </c>
      <c r="P77" t="s">
        <v>251</v>
      </c>
      <c r="Q77">
        <v>1000</v>
      </c>
      <c r="X77">
        <v>1.2200000000000001E-2</v>
      </c>
      <c r="Y77">
        <v>226.86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3</v>
      </c>
      <c r="AG77">
        <v>1.2200000000000001E-2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3">
      <c r="A78">
        <f>ROW(Source!A104)</f>
        <v>104</v>
      </c>
      <c r="B78">
        <v>58753970</v>
      </c>
      <c r="C78">
        <v>56503654</v>
      </c>
      <c r="D78">
        <v>57687783</v>
      </c>
      <c r="E78">
        <v>1</v>
      </c>
      <c r="F78">
        <v>1</v>
      </c>
      <c r="G78">
        <v>1080</v>
      </c>
      <c r="H78">
        <v>3</v>
      </c>
      <c r="I78" t="s">
        <v>279</v>
      </c>
      <c r="J78" t="s">
        <v>280</v>
      </c>
      <c r="K78" t="s">
        <v>281</v>
      </c>
      <c r="L78">
        <v>1354</v>
      </c>
      <c r="N78">
        <v>1010</v>
      </c>
      <c r="O78" t="s">
        <v>32</v>
      </c>
      <c r="P78" t="s">
        <v>32</v>
      </c>
      <c r="Q78">
        <v>1</v>
      </c>
      <c r="X78">
        <v>3.1</v>
      </c>
      <c r="Y78">
        <v>6.94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3</v>
      </c>
      <c r="AG78">
        <v>3.1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">
      <c r="A79">
        <f>ROW(Source!A104)</f>
        <v>104</v>
      </c>
      <c r="B79">
        <v>58753971</v>
      </c>
      <c r="C79">
        <v>56503654</v>
      </c>
      <c r="D79">
        <v>57687791</v>
      </c>
      <c r="E79">
        <v>1</v>
      </c>
      <c r="F79">
        <v>1</v>
      </c>
      <c r="G79">
        <v>1080</v>
      </c>
      <c r="H79">
        <v>3</v>
      </c>
      <c r="I79" t="s">
        <v>282</v>
      </c>
      <c r="J79" t="s">
        <v>283</v>
      </c>
      <c r="K79" t="s">
        <v>284</v>
      </c>
      <c r="L79">
        <v>1356</v>
      </c>
      <c r="N79">
        <v>1010</v>
      </c>
      <c r="O79" t="s">
        <v>251</v>
      </c>
      <c r="P79" t="s">
        <v>251</v>
      </c>
      <c r="Q79">
        <v>1000</v>
      </c>
      <c r="X79">
        <v>8.0000000000000002E-3</v>
      </c>
      <c r="Y79">
        <v>614.09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</v>
      </c>
      <c r="AG79">
        <v>8.0000000000000002E-3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">
      <c r="A80">
        <f>ROW(Source!A104)</f>
        <v>104</v>
      </c>
      <c r="B80">
        <v>58753972</v>
      </c>
      <c r="C80">
        <v>56503654</v>
      </c>
      <c r="D80">
        <v>57637375</v>
      </c>
      <c r="E80">
        <v>1080</v>
      </c>
      <c r="F80">
        <v>1</v>
      </c>
      <c r="G80">
        <v>1080</v>
      </c>
      <c r="H80">
        <v>3</v>
      </c>
      <c r="I80" t="s">
        <v>285</v>
      </c>
      <c r="J80" t="s">
        <v>3</v>
      </c>
      <c r="K80" t="s">
        <v>286</v>
      </c>
      <c r="L80">
        <v>1303</v>
      </c>
      <c r="N80">
        <v>1003</v>
      </c>
      <c r="O80" t="s">
        <v>144</v>
      </c>
      <c r="P80" t="s">
        <v>144</v>
      </c>
      <c r="Q80">
        <v>1000</v>
      </c>
      <c r="X80">
        <v>0.10299999999999999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3</v>
      </c>
      <c r="AG80">
        <v>0.10299999999999999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">
      <c r="A81">
        <f>ROW(Source!A109)</f>
        <v>109</v>
      </c>
      <c r="B81">
        <v>58753973</v>
      </c>
      <c r="C81">
        <v>56503717</v>
      </c>
      <c r="D81">
        <v>57621905</v>
      </c>
      <c r="E81">
        <v>1080</v>
      </c>
      <c r="F81">
        <v>1</v>
      </c>
      <c r="G81">
        <v>1080</v>
      </c>
      <c r="H81">
        <v>1</v>
      </c>
      <c r="I81" t="s">
        <v>211</v>
      </c>
      <c r="J81" t="s">
        <v>3</v>
      </c>
      <c r="K81" t="s">
        <v>212</v>
      </c>
      <c r="L81">
        <v>1191</v>
      </c>
      <c r="N81">
        <v>1013</v>
      </c>
      <c r="O81" t="s">
        <v>213</v>
      </c>
      <c r="P81" t="s">
        <v>213</v>
      </c>
      <c r="Q81">
        <v>1</v>
      </c>
      <c r="X81">
        <v>5.37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24</v>
      </c>
      <c r="AG81">
        <v>5.9070000000000009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">
      <c r="A82">
        <f>ROW(Source!A110)</f>
        <v>110</v>
      </c>
      <c r="B82">
        <v>58753973</v>
      </c>
      <c r="C82">
        <v>56503717</v>
      </c>
      <c r="D82">
        <v>57621905</v>
      </c>
      <c r="E82">
        <v>1080</v>
      </c>
      <c r="F82">
        <v>1</v>
      </c>
      <c r="G82">
        <v>1080</v>
      </c>
      <c r="H82">
        <v>1</v>
      </c>
      <c r="I82" t="s">
        <v>211</v>
      </c>
      <c r="J82" t="s">
        <v>3</v>
      </c>
      <c r="K82" t="s">
        <v>212</v>
      </c>
      <c r="L82">
        <v>1191</v>
      </c>
      <c r="N82">
        <v>1013</v>
      </c>
      <c r="O82" t="s">
        <v>213</v>
      </c>
      <c r="P82" t="s">
        <v>213</v>
      </c>
      <c r="Q82">
        <v>1</v>
      </c>
      <c r="X82">
        <v>5.37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24</v>
      </c>
      <c r="AG82">
        <v>5.9070000000000009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">
      <c r="A83">
        <f>ROW(Source!A113)</f>
        <v>113</v>
      </c>
      <c r="B83">
        <v>58753974</v>
      </c>
      <c r="C83">
        <v>56503724</v>
      </c>
      <c r="D83">
        <v>57621905</v>
      </c>
      <c r="E83">
        <v>1080</v>
      </c>
      <c r="F83">
        <v>1</v>
      </c>
      <c r="G83">
        <v>1080</v>
      </c>
      <c r="H83">
        <v>1</v>
      </c>
      <c r="I83" t="s">
        <v>211</v>
      </c>
      <c r="J83" t="s">
        <v>3</v>
      </c>
      <c r="K83" t="s">
        <v>212</v>
      </c>
      <c r="L83">
        <v>1191</v>
      </c>
      <c r="N83">
        <v>1013</v>
      </c>
      <c r="O83" t="s">
        <v>213</v>
      </c>
      <c r="P83" t="s">
        <v>213</v>
      </c>
      <c r="Q83">
        <v>1</v>
      </c>
      <c r="X83">
        <v>0.8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24</v>
      </c>
      <c r="AG83">
        <v>0.88000000000000012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">
      <c r="A84">
        <f>ROW(Source!A114)</f>
        <v>114</v>
      </c>
      <c r="B84">
        <v>58753974</v>
      </c>
      <c r="C84">
        <v>56503724</v>
      </c>
      <c r="D84">
        <v>57621905</v>
      </c>
      <c r="E84">
        <v>1080</v>
      </c>
      <c r="F84">
        <v>1</v>
      </c>
      <c r="G84">
        <v>1080</v>
      </c>
      <c r="H84">
        <v>1</v>
      </c>
      <c r="I84" t="s">
        <v>211</v>
      </c>
      <c r="J84" t="s">
        <v>3</v>
      </c>
      <c r="K84" t="s">
        <v>212</v>
      </c>
      <c r="L84">
        <v>1191</v>
      </c>
      <c r="N84">
        <v>1013</v>
      </c>
      <c r="O84" t="s">
        <v>213</v>
      </c>
      <c r="P84" t="s">
        <v>213</v>
      </c>
      <c r="Q84">
        <v>1</v>
      </c>
      <c r="X84">
        <v>0.8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 t="s">
        <v>24</v>
      </c>
      <c r="AG84">
        <v>0.88000000000000012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">
      <c r="A85">
        <f>ROW(Source!A117)</f>
        <v>117</v>
      </c>
      <c r="B85">
        <v>58753975</v>
      </c>
      <c r="C85">
        <v>56504637</v>
      </c>
      <c r="D85">
        <v>57621905</v>
      </c>
      <c r="E85">
        <v>1080</v>
      </c>
      <c r="F85">
        <v>1</v>
      </c>
      <c r="G85">
        <v>1080</v>
      </c>
      <c r="H85">
        <v>1</v>
      </c>
      <c r="I85" t="s">
        <v>211</v>
      </c>
      <c r="J85" t="s">
        <v>3</v>
      </c>
      <c r="K85" t="s">
        <v>212</v>
      </c>
      <c r="L85">
        <v>1191</v>
      </c>
      <c r="N85">
        <v>1013</v>
      </c>
      <c r="O85" t="s">
        <v>213</v>
      </c>
      <c r="P85" t="s">
        <v>213</v>
      </c>
      <c r="Q85">
        <v>1</v>
      </c>
      <c r="X85">
        <v>29.9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24</v>
      </c>
      <c r="AG85">
        <v>32.89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3">
      <c r="A86">
        <f>ROW(Source!A117)</f>
        <v>117</v>
      </c>
      <c r="B86">
        <v>58753976</v>
      </c>
      <c r="C86">
        <v>56504637</v>
      </c>
      <c r="D86">
        <v>57695780</v>
      </c>
      <c r="E86">
        <v>1</v>
      </c>
      <c r="F86">
        <v>1</v>
      </c>
      <c r="G86">
        <v>1080</v>
      </c>
      <c r="H86">
        <v>2</v>
      </c>
      <c r="I86" t="s">
        <v>287</v>
      </c>
      <c r="J86" t="s">
        <v>288</v>
      </c>
      <c r="K86" t="s">
        <v>289</v>
      </c>
      <c r="L86">
        <v>1368</v>
      </c>
      <c r="N86">
        <v>1011</v>
      </c>
      <c r="O86" t="s">
        <v>217</v>
      </c>
      <c r="P86" t="s">
        <v>217</v>
      </c>
      <c r="Q86">
        <v>1</v>
      </c>
      <c r="X86">
        <v>15.4</v>
      </c>
      <c r="Y86">
        <v>0</v>
      </c>
      <c r="Z86">
        <v>7.11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24</v>
      </c>
      <c r="AG86">
        <v>16.940000000000001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3">
      <c r="A87">
        <f>ROW(Source!A117)</f>
        <v>117</v>
      </c>
      <c r="B87">
        <v>58753977</v>
      </c>
      <c r="C87">
        <v>56504637</v>
      </c>
      <c r="D87">
        <v>57696079</v>
      </c>
      <c r="E87">
        <v>1</v>
      </c>
      <c r="F87">
        <v>1</v>
      </c>
      <c r="G87">
        <v>1080</v>
      </c>
      <c r="H87">
        <v>2</v>
      </c>
      <c r="I87" t="s">
        <v>214</v>
      </c>
      <c r="J87" t="s">
        <v>215</v>
      </c>
      <c r="K87" t="s">
        <v>216</v>
      </c>
      <c r="L87">
        <v>1368</v>
      </c>
      <c r="N87">
        <v>1011</v>
      </c>
      <c r="O87" t="s">
        <v>217</v>
      </c>
      <c r="P87" t="s">
        <v>217</v>
      </c>
      <c r="Q87">
        <v>1</v>
      </c>
      <c r="X87">
        <v>0.2</v>
      </c>
      <c r="Y87">
        <v>0</v>
      </c>
      <c r="Z87">
        <v>83.1</v>
      </c>
      <c r="AA87">
        <v>12.62</v>
      </c>
      <c r="AB87">
        <v>0</v>
      </c>
      <c r="AC87">
        <v>0</v>
      </c>
      <c r="AD87">
        <v>1</v>
      </c>
      <c r="AE87">
        <v>0</v>
      </c>
      <c r="AF87" t="s">
        <v>24</v>
      </c>
      <c r="AG87">
        <v>0.22000000000000003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3">
      <c r="A88">
        <f>ROW(Source!A117)</f>
        <v>117</v>
      </c>
      <c r="B88">
        <v>58753978</v>
      </c>
      <c r="C88">
        <v>56504637</v>
      </c>
      <c r="D88">
        <v>57696131</v>
      </c>
      <c r="E88">
        <v>1</v>
      </c>
      <c r="F88">
        <v>1</v>
      </c>
      <c r="G88">
        <v>1080</v>
      </c>
      <c r="H88">
        <v>2</v>
      </c>
      <c r="I88" t="s">
        <v>236</v>
      </c>
      <c r="J88" t="s">
        <v>237</v>
      </c>
      <c r="K88" t="s">
        <v>238</v>
      </c>
      <c r="L88">
        <v>1368</v>
      </c>
      <c r="N88">
        <v>1011</v>
      </c>
      <c r="O88" t="s">
        <v>217</v>
      </c>
      <c r="P88" t="s">
        <v>217</v>
      </c>
      <c r="Q88">
        <v>1</v>
      </c>
      <c r="X88">
        <v>3.83</v>
      </c>
      <c r="Y88">
        <v>0</v>
      </c>
      <c r="Z88">
        <v>0.77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24</v>
      </c>
      <c r="AG88">
        <v>4.2130000000000001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">
      <c r="A89">
        <f>ROW(Source!A117)</f>
        <v>117</v>
      </c>
      <c r="B89">
        <v>58753979</v>
      </c>
      <c r="C89">
        <v>56504637</v>
      </c>
      <c r="D89">
        <v>57664986</v>
      </c>
      <c r="E89">
        <v>1</v>
      </c>
      <c r="F89">
        <v>1</v>
      </c>
      <c r="G89">
        <v>1080</v>
      </c>
      <c r="H89">
        <v>3</v>
      </c>
      <c r="I89" t="s">
        <v>219</v>
      </c>
      <c r="J89" t="s">
        <v>220</v>
      </c>
      <c r="K89" t="s">
        <v>221</v>
      </c>
      <c r="L89">
        <v>1348</v>
      </c>
      <c r="N89">
        <v>1009</v>
      </c>
      <c r="O89" t="s">
        <v>222</v>
      </c>
      <c r="P89" t="s">
        <v>222</v>
      </c>
      <c r="Q89">
        <v>1000</v>
      </c>
      <c r="X89">
        <v>5.1499999999999997E-2</v>
      </c>
      <c r="Y89">
        <v>7246.05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3</v>
      </c>
      <c r="AG89">
        <v>5.1499999999999997E-2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3">
      <c r="A90">
        <f>ROW(Source!A117)</f>
        <v>117</v>
      </c>
      <c r="B90">
        <v>58753980</v>
      </c>
      <c r="C90">
        <v>56504637</v>
      </c>
      <c r="D90">
        <v>57665459</v>
      </c>
      <c r="E90">
        <v>1</v>
      </c>
      <c r="F90">
        <v>1</v>
      </c>
      <c r="G90">
        <v>1080</v>
      </c>
      <c r="H90">
        <v>3</v>
      </c>
      <c r="I90" t="s">
        <v>290</v>
      </c>
      <c r="J90" t="s">
        <v>291</v>
      </c>
      <c r="K90" t="s">
        <v>292</v>
      </c>
      <c r="L90">
        <v>1348</v>
      </c>
      <c r="N90">
        <v>1009</v>
      </c>
      <c r="O90" t="s">
        <v>222</v>
      </c>
      <c r="P90" t="s">
        <v>222</v>
      </c>
      <c r="Q90">
        <v>1000</v>
      </c>
      <c r="X90">
        <v>1.0499999999999999E-3</v>
      </c>
      <c r="Y90">
        <v>8590.86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1.0499999999999999E-3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">
      <c r="A91">
        <f>ROW(Source!A117)</f>
        <v>117</v>
      </c>
      <c r="B91">
        <v>58753981</v>
      </c>
      <c r="C91">
        <v>56504637</v>
      </c>
      <c r="D91">
        <v>57664417</v>
      </c>
      <c r="E91">
        <v>1</v>
      </c>
      <c r="F91">
        <v>1</v>
      </c>
      <c r="G91">
        <v>1080</v>
      </c>
      <c r="H91">
        <v>3</v>
      </c>
      <c r="I91" t="s">
        <v>223</v>
      </c>
      <c r="J91" t="s">
        <v>224</v>
      </c>
      <c r="K91" t="s">
        <v>225</v>
      </c>
      <c r="L91">
        <v>1354</v>
      </c>
      <c r="N91">
        <v>1010</v>
      </c>
      <c r="O91" t="s">
        <v>32</v>
      </c>
      <c r="P91" t="s">
        <v>32</v>
      </c>
      <c r="Q91">
        <v>1</v>
      </c>
      <c r="X91">
        <v>218</v>
      </c>
      <c r="Y91">
        <v>3.86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218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">
      <c r="A92">
        <f>ROW(Source!A117)</f>
        <v>117</v>
      </c>
      <c r="B92">
        <v>58753982</v>
      </c>
      <c r="C92">
        <v>56504637</v>
      </c>
      <c r="D92">
        <v>57665961</v>
      </c>
      <c r="E92">
        <v>1</v>
      </c>
      <c r="F92">
        <v>1</v>
      </c>
      <c r="G92">
        <v>1080</v>
      </c>
      <c r="H92">
        <v>3</v>
      </c>
      <c r="I92" t="s">
        <v>293</v>
      </c>
      <c r="J92" t="s">
        <v>294</v>
      </c>
      <c r="K92" t="s">
        <v>295</v>
      </c>
      <c r="L92">
        <v>1348</v>
      </c>
      <c r="N92">
        <v>1009</v>
      </c>
      <c r="O92" t="s">
        <v>222</v>
      </c>
      <c r="P92" t="s">
        <v>222</v>
      </c>
      <c r="Q92">
        <v>1000</v>
      </c>
      <c r="X92">
        <v>2.1800000000000001E-3</v>
      </c>
      <c r="Y92">
        <v>14327.51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3</v>
      </c>
      <c r="AG92">
        <v>2.1800000000000001E-3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">
      <c r="A93">
        <f>ROW(Source!A117)</f>
        <v>117</v>
      </c>
      <c r="B93">
        <v>58753983</v>
      </c>
      <c r="C93">
        <v>56504637</v>
      </c>
      <c r="D93">
        <v>57664894</v>
      </c>
      <c r="E93">
        <v>1</v>
      </c>
      <c r="F93">
        <v>1</v>
      </c>
      <c r="G93">
        <v>1080</v>
      </c>
      <c r="H93">
        <v>3</v>
      </c>
      <c r="I93" t="s">
        <v>296</v>
      </c>
      <c r="J93" t="s">
        <v>297</v>
      </c>
      <c r="K93" t="s">
        <v>298</v>
      </c>
      <c r="L93">
        <v>1348</v>
      </c>
      <c r="N93">
        <v>1009</v>
      </c>
      <c r="O93" t="s">
        <v>222</v>
      </c>
      <c r="P93" t="s">
        <v>222</v>
      </c>
      <c r="Q93">
        <v>1000</v>
      </c>
      <c r="X93">
        <v>3.0000000000000001E-3</v>
      </c>
      <c r="Y93">
        <v>7973.67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3</v>
      </c>
      <c r="AG93">
        <v>3.0000000000000001E-3</v>
      </c>
      <c r="AH93">
        <v>3</v>
      </c>
      <c r="AI93">
        <v>-1</v>
      </c>
      <c r="AJ93" t="s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3">
      <c r="A94">
        <f>ROW(Source!A117)</f>
        <v>117</v>
      </c>
      <c r="B94">
        <v>58753984</v>
      </c>
      <c r="C94">
        <v>56504637</v>
      </c>
      <c r="D94">
        <v>57688558</v>
      </c>
      <c r="E94">
        <v>1</v>
      </c>
      <c r="F94">
        <v>1</v>
      </c>
      <c r="G94">
        <v>1080</v>
      </c>
      <c r="H94">
        <v>3</v>
      </c>
      <c r="I94" t="s">
        <v>299</v>
      </c>
      <c r="J94" t="s">
        <v>300</v>
      </c>
      <c r="K94" t="s">
        <v>301</v>
      </c>
      <c r="L94">
        <v>1354</v>
      </c>
      <c r="N94">
        <v>1010</v>
      </c>
      <c r="O94" t="s">
        <v>32</v>
      </c>
      <c r="P94" t="s">
        <v>32</v>
      </c>
      <c r="Q94">
        <v>1</v>
      </c>
      <c r="X94">
        <v>5</v>
      </c>
      <c r="Y94">
        <v>14.99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3</v>
      </c>
      <c r="AG94">
        <v>5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">
      <c r="A95">
        <f>ROW(Source!A117)</f>
        <v>117</v>
      </c>
      <c r="B95">
        <v>58753985</v>
      </c>
      <c r="C95">
        <v>56504637</v>
      </c>
      <c r="D95">
        <v>57687874</v>
      </c>
      <c r="E95">
        <v>1</v>
      </c>
      <c r="F95">
        <v>1</v>
      </c>
      <c r="G95">
        <v>1080</v>
      </c>
      <c r="H95">
        <v>3</v>
      </c>
      <c r="I95" t="s">
        <v>302</v>
      </c>
      <c r="J95" t="s">
        <v>303</v>
      </c>
      <c r="K95" t="s">
        <v>304</v>
      </c>
      <c r="L95">
        <v>1356</v>
      </c>
      <c r="N95">
        <v>1010</v>
      </c>
      <c r="O95" t="s">
        <v>251</v>
      </c>
      <c r="P95" t="s">
        <v>251</v>
      </c>
      <c r="Q95">
        <v>1000</v>
      </c>
      <c r="X95">
        <v>0.25</v>
      </c>
      <c r="Y95">
        <v>1639.86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3</v>
      </c>
      <c r="AG95">
        <v>0.25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3">
      <c r="A96">
        <f>ROW(Source!A117)</f>
        <v>117</v>
      </c>
      <c r="B96">
        <v>58753986</v>
      </c>
      <c r="C96">
        <v>56504637</v>
      </c>
      <c r="D96">
        <v>57635043</v>
      </c>
      <c r="E96">
        <v>1080</v>
      </c>
      <c r="F96">
        <v>1</v>
      </c>
      <c r="G96">
        <v>1080</v>
      </c>
      <c r="H96">
        <v>3</v>
      </c>
      <c r="I96" t="s">
        <v>305</v>
      </c>
      <c r="J96" t="s">
        <v>3</v>
      </c>
      <c r="K96" t="s">
        <v>306</v>
      </c>
      <c r="L96">
        <v>1301</v>
      </c>
      <c r="N96">
        <v>1003</v>
      </c>
      <c r="O96" t="s">
        <v>131</v>
      </c>
      <c r="P96" t="s">
        <v>131</v>
      </c>
      <c r="Q96">
        <v>1</v>
      </c>
      <c r="X96">
        <v>103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3</v>
      </c>
      <c r="AG96">
        <v>103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3">
      <c r="A97">
        <f>ROW(Source!A117)</f>
        <v>117</v>
      </c>
      <c r="B97">
        <v>58753987</v>
      </c>
      <c r="C97">
        <v>56504637</v>
      </c>
      <c r="D97">
        <v>57635041</v>
      </c>
      <c r="E97">
        <v>1080</v>
      </c>
      <c r="F97">
        <v>1</v>
      </c>
      <c r="G97">
        <v>1080</v>
      </c>
      <c r="H97">
        <v>3</v>
      </c>
      <c r="I97" t="s">
        <v>305</v>
      </c>
      <c r="J97" t="s">
        <v>3</v>
      </c>
      <c r="K97" t="s">
        <v>307</v>
      </c>
      <c r="L97">
        <v>1354</v>
      </c>
      <c r="N97">
        <v>1010</v>
      </c>
      <c r="O97" t="s">
        <v>32</v>
      </c>
      <c r="P97" t="s">
        <v>32</v>
      </c>
      <c r="Q97">
        <v>1</v>
      </c>
      <c r="X97">
        <v>10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3</v>
      </c>
      <c r="AG97">
        <v>10</v>
      </c>
      <c r="AH97">
        <v>3</v>
      </c>
      <c r="AI97">
        <v>-1</v>
      </c>
      <c r="AJ97" t="s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">
      <c r="A98">
        <f>ROW(Source!A117)</f>
        <v>117</v>
      </c>
      <c r="B98">
        <v>58753988</v>
      </c>
      <c r="C98">
        <v>56504637</v>
      </c>
      <c r="D98">
        <v>57635042</v>
      </c>
      <c r="E98">
        <v>1080</v>
      </c>
      <c r="F98">
        <v>1</v>
      </c>
      <c r="G98">
        <v>1080</v>
      </c>
      <c r="H98">
        <v>3</v>
      </c>
      <c r="I98" t="s">
        <v>305</v>
      </c>
      <c r="J98" t="s">
        <v>3</v>
      </c>
      <c r="K98" t="s">
        <v>308</v>
      </c>
      <c r="L98">
        <v>1354</v>
      </c>
      <c r="N98">
        <v>1010</v>
      </c>
      <c r="O98" t="s">
        <v>32</v>
      </c>
      <c r="P98" t="s">
        <v>32</v>
      </c>
      <c r="Q98">
        <v>1</v>
      </c>
      <c r="X98">
        <v>10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3</v>
      </c>
      <c r="AG98">
        <v>10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">
      <c r="A99">
        <f>ROW(Source!A117)</f>
        <v>117</v>
      </c>
      <c r="B99">
        <v>58753989</v>
      </c>
      <c r="C99">
        <v>56504637</v>
      </c>
      <c r="D99">
        <v>57635054</v>
      </c>
      <c r="E99">
        <v>1080</v>
      </c>
      <c r="F99">
        <v>1</v>
      </c>
      <c r="G99">
        <v>1080</v>
      </c>
      <c r="H99">
        <v>3</v>
      </c>
      <c r="I99" t="s">
        <v>309</v>
      </c>
      <c r="J99" t="s">
        <v>3</v>
      </c>
      <c r="K99" t="s">
        <v>310</v>
      </c>
      <c r="L99">
        <v>1356</v>
      </c>
      <c r="N99">
        <v>1010</v>
      </c>
      <c r="O99" t="s">
        <v>251</v>
      </c>
      <c r="P99" t="s">
        <v>251</v>
      </c>
      <c r="Q99">
        <v>1000</v>
      </c>
      <c r="X99">
        <v>0.01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3</v>
      </c>
      <c r="AG99">
        <v>0.01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">
      <c r="A100">
        <f>ROW(Source!A117)</f>
        <v>117</v>
      </c>
      <c r="B100">
        <v>58753990</v>
      </c>
      <c r="C100">
        <v>56504637</v>
      </c>
      <c r="D100">
        <v>57637110</v>
      </c>
      <c r="E100">
        <v>1080</v>
      </c>
      <c r="F100">
        <v>1</v>
      </c>
      <c r="G100">
        <v>1080</v>
      </c>
      <c r="H100">
        <v>3</v>
      </c>
      <c r="I100" t="s">
        <v>311</v>
      </c>
      <c r="J100" t="s">
        <v>3</v>
      </c>
      <c r="K100" t="s">
        <v>312</v>
      </c>
      <c r="L100">
        <v>1354</v>
      </c>
      <c r="N100">
        <v>1010</v>
      </c>
      <c r="O100" t="s">
        <v>32</v>
      </c>
      <c r="P100" t="s">
        <v>32</v>
      </c>
      <c r="Q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3</v>
      </c>
      <c r="AG100">
        <v>0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">
      <c r="A101">
        <f>ROW(Source!A118)</f>
        <v>118</v>
      </c>
      <c r="B101">
        <v>58753975</v>
      </c>
      <c r="C101">
        <v>56504637</v>
      </c>
      <c r="D101">
        <v>57621905</v>
      </c>
      <c r="E101">
        <v>1080</v>
      </c>
      <c r="F101">
        <v>1</v>
      </c>
      <c r="G101">
        <v>1080</v>
      </c>
      <c r="H101">
        <v>1</v>
      </c>
      <c r="I101" t="s">
        <v>211</v>
      </c>
      <c r="J101" t="s">
        <v>3</v>
      </c>
      <c r="K101" t="s">
        <v>212</v>
      </c>
      <c r="L101">
        <v>1191</v>
      </c>
      <c r="N101">
        <v>1013</v>
      </c>
      <c r="O101" t="s">
        <v>213</v>
      </c>
      <c r="P101" t="s">
        <v>213</v>
      </c>
      <c r="Q101">
        <v>1</v>
      </c>
      <c r="X101">
        <v>29.9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24</v>
      </c>
      <c r="AG101">
        <v>32.89</v>
      </c>
      <c r="AH101">
        <v>3</v>
      </c>
      <c r="AI101">
        <v>-1</v>
      </c>
      <c r="AJ101" t="s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3">
      <c r="A102">
        <f>ROW(Source!A118)</f>
        <v>118</v>
      </c>
      <c r="B102">
        <v>58753976</v>
      </c>
      <c r="C102">
        <v>56504637</v>
      </c>
      <c r="D102">
        <v>57695780</v>
      </c>
      <c r="E102">
        <v>1</v>
      </c>
      <c r="F102">
        <v>1</v>
      </c>
      <c r="G102">
        <v>1080</v>
      </c>
      <c r="H102">
        <v>2</v>
      </c>
      <c r="I102" t="s">
        <v>287</v>
      </c>
      <c r="J102" t="s">
        <v>288</v>
      </c>
      <c r="K102" t="s">
        <v>289</v>
      </c>
      <c r="L102">
        <v>1368</v>
      </c>
      <c r="N102">
        <v>1011</v>
      </c>
      <c r="O102" t="s">
        <v>217</v>
      </c>
      <c r="P102" t="s">
        <v>217</v>
      </c>
      <c r="Q102">
        <v>1</v>
      </c>
      <c r="X102">
        <v>15.4</v>
      </c>
      <c r="Y102">
        <v>0</v>
      </c>
      <c r="Z102">
        <v>7.11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24</v>
      </c>
      <c r="AG102">
        <v>16.940000000000001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3">
      <c r="A103">
        <f>ROW(Source!A118)</f>
        <v>118</v>
      </c>
      <c r="B103">
        <v>58753977</v>
      </c>
      <c r="C103">
        <v>56504637</v>
      </c>
      <c r="D103">
        <v>57696079</v>
      </c>
      <c r="E103">
        <v>1</v>
      </c>
      <c r="F103">
        <v>1</v>
      </c>
      <c r="G103">
        <v>1080</v>
      </c>
      <c r="H103">
        <v>2</v>
      </c>
      <c r="I103" t="s">
        <v>214</v>
      </c>
      <c r="J103" t="s">
        <v>215</v>
      </c>
      <c r="K103" t="s">
        <v>216</v>
      </c>
      <c r="L103">
        <v>1368</v>
      </c>
      <c r="N103">
        <v>1011</v>
      </c>
      <c r="O103" t="s">
        <v>217</v>
      </c>
      <c r="P103" t="s">
        <v>217</v>
      </c>
      <c r="Q103">
        <v>1</v>
      </c>
      <c r="X103">
        <v>0.2</v>
      </c>
      <c r="Y103">
        <v>0</v>
      </c>
      <c r="Z103">
        <v>83.1</v>
      </c>
      <c r="AA103">
        <v>12.62</v>
      </c>
      <c r="AB103">
        <v>0</v>
      </c>
      <c r="AC103">
        <v>0</v>
      </c>
      <c r="AD103">
        <v>1</v>
      </c>
      <c r="AE103">
        <v>0</v>
      </c>
      <c r="AF103" t="s">
        <v>24</v>
      </c>
      <c r="AG103">
        <v>0.22000000000000003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">
      <c r="A104">
        <f>ROW(Source!A118)</f>
        <v>118</v>
      </c>
      <c r="B104">
        <v>58753978</v>
      </c>
      <c r="C104">
        <v>56504637</v>
      </c>
      <c r="D104">
        <v>57696131</v>
      </c>
      <c r="E104">
        <v>1</v>
      </c>
      <c r="F104">
        <v>1</v>
      </c>
      <c r="G104">
        <v>1080</v>
      </c>
      <c r="H104">
        <v>2</v>
      </c>
      <c r="I104" t="s">
        <v>236</v>
      </c>
      <c r="J104" t="s">
        <v>237</v>
      </c>
      <c r="K104" t="s">
        <v>238</v>
      </c>
      <c r="L104">
        <v>1368</v>
      </c>
      <c r="N104">
        <v>1011</v>
      </c>
      <c r="O104" t="s">
        <v>217</v>
      </c>
      <c r="P104" t="s">
        <v>217</v>
      </c>
      <c r="Q104">
        <v>1</v>
      </c>
      <c r="X104">
        <v>3.83</v>
      </c>
      <c r="Y104">
        <v>0</v>
      </c>
      <c r="Z104">
        <v>0.77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24</v>
      </c>
      <c r="AG104">
        <v>4.2130000000000001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3">
      <c r="A105">
        <f>ROW(Source!A118)</f>
        <v>118</v>
      </c>
      <c r="B105">
        <v>58753979</v>
      </c>
      <c r="C105">
        <v>56504637</v>
      </c>
      <c r="D105">
        <v>57664986</v>
      </c>
      <c r="E105">
        <v>1</v>
      </c>
      <c r="F105">
        <v>1</v>
      </c>
      <c r="G105">
        <v>1080</v>
      </c>
      <c r="H105">
        <v>3</v>
      </c>
      <c r="I105" t="s">
        <v>219</v>
      </c>
      <c r="J105" t="s">
        <v>220</v>
      </c>
      <c r="K105" t="s">
        <v>221</v>
      </c>
      <c r="L105">
        <v>1348</v>
      </c>
      <c r="N105">
        <v>1009</v>
      </c>
      <c r="O105" t="s">
        <v>222</v>
      </c>
      <c r="P105" t="s">
        <v>222</v>
      </c>
      <c r="Q105">
        <v>1000</v>
      </c>
      <c r="X105">
        <v>5.1499999999999997E-2</v>
      </c>
      <c r="Y105">
        <v>7246.05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3</v>
      </c>
      <c r="AG105">
        <v>5.1499999999999997E-2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3">
      <c r="A106">
        <f>ROW(Source!A118)</f>
        <v>118</v>
      </c>
      <c r="B106">
        <v>58753980</v>
      </c>
      <c r="C106">
        <v>56504637</v>
      </c>
      <c r="D106">
        <v>57665459</v>
      </c>
      <c r="E106">
        <v>1</v>
      </c>
      <c r="F106">
        <v>1</v>
      </c>
      <c r="G106">
        <v>1080</v>
      </c>
      <c r="H106">
        <v>3</v>
      </c>
      <c r="I106" t="s">
        <v>290</v>
      </c>
      <c r="J106" t="s">
        <v>291</v>
      </c>
      <c r="K106" t="s">
        <v>292</v>
      </c>
      <c r="L106">
        <v>1348</v>
      </c>
      <c r="N106">
        <v>1009</v>
      </c>
      <c r="O106" t="s">
        <v>222</v>
      </c>
      <c r="P106" t="s">
        <v>222</v>
      </c>
      <c r="Q106">
        <v>1000</v>
      </c>
      <c r="X106">
        <v>1.0499999999999999E-3</v>
      </c>
      <c r="Y106">
        <v>8590.86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</v>
      </c>
      <c r="AG106">
        <v>1.0499999999999999E-3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">
      <c r="A107">
        <f>ROW(Source!A118)</f>
        <v>118</v>
      </c>
      <c r="B107">
        <v>58753981</v>
      </c>
      <c r="C107">
        <v>56504637</v>
      </c>
      <c r="D107">
        <v>57664417</v>
      </c>
      <c r="E107">
        <v>1</v>
      </c>
      <c r="F107">
        <v>1</v>
      </c>
      <c r="G107">
        <v>1080</v>
      </c>
      <c r="H107">
        <v>3</v>
      </c>
      <c r="I107" t="s">
        <v>223</v>
      </c>
      <c r="J107" t="s">
        <v>224</v>
      </c>
      <c r="K107" t="s">
        <v>225</v>
      </c>
      <c r="L107">
        <v>1354</v>
      </c>
      <c r="N107">
        <v>1010</v>
      </c>
      <c r="O107" t="s">
        <v>32</v>
      </c>
      <c r="P107" t="s">
        <v>32</v>
      </c>
      <c r="Q107">
        <v>1</v>
      </c>
      <c r="X107">
        <v>218</v>
      </c>
      <c r="Y107">
        <v>3.86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3</v>
      </c>
      <c r="AG107">
        <v>218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">
      <c r="A108">
        <f>ROW(Source!A118)</f>
        <v>118</v>
      </c>
      <c r="B108">
        <v>58753982</v>
      </c>
      <c r="C108">
        <v>56504637</v>
      </c>
      <c r="D108">
        <v>57665961</v>
      </c>
      <c r="E108">
        <v>1</v>
      </c>
      <c r="F108">
        <v>1</v>
      </c>
      <c r="G108">
        <v>1080</v>
      </c>
      <c r="H108">
        <v>3</v>
      </c>
      <c r="I108" t="s">
        <v>293</v>
      </c>
      <c r="J108" t="s">
        <v>294</v>
      </c>
      <c r="K108" t="s">
        <v>295</v>
      </c>
      <c r="L108">
        <v>1348</v>
      </c>
      <c r="N108">
        <v>1009</v>
      </c>
      <c r="O108" t="s">
        <v>222</v>
      </c>
      <c r="P108" t="s">
        <v>222</v>
      </c>
      <c r="Q108">
        <v>1000</v>
      </c>
      <c r="X108">
        <v>2.1800000000000001E-3</v>
      </c>
      <c r="Y108">
        <v>14327.51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3</v>
      </c>
      <c r="AG108">
        <v>2.1800000000000001E-3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3">
      <c r="A109">
        <f>ROW(Source!A118)</f>
        <v>118</v>
      </c>
      <c r="B109">
        <v>58753983</v>
      </c>
      <c r="C109">
        <v>56504637</v>
      </c>
      <c r="D109">
        <v>57664894</v>
      </c>
      <c r="E109">
        <v>1</v>
      </c>
      <c r="F109">
        <v>1</v>
      </c>
      <c r="G109">
        <v>1080</v>
      </c>
      <c r="H109">
        <v>3</v>
      </c>
      <c r="I109" t="s">
        <v>296</v>
      </c>
      <c r="J109" t="s">
        <v>297</v>
      </c>
      <c r="K109" t="s">
        <v>298</v>
      </c>
      <c r="L109">
        <v>1348</v>
      </c>
      <c r="N109">
        <v>1009</v>
      </c>
      <c r="O109" t="s">
        <v>222</v>
      </c>
      <c r="P109" t="s">
        <v>222</v>
      </c>
      <c r="Q109">
        <v>1000</v>
      </c>
      <c r="X109">
        <v>3.0000000000000001E-3</v>
      </c>
      <c r="Y109">
        <v>7973.67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3</v>
      </c>
      <c r="AG109">
        <v>3.0000000000000001E-3</v>
      </c>
      <c r="AH109">
        <v>3</v>
      </c>
      <c r="AI109">
        <v>-1</v>
      </c>
      <c r="AJ109" t="s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">
      <c r="A110">
        <f>ROW(Source!A118)</f>
        <v>118</v>
      </c>
      <c r="B110">
        <v>58753984</v>
      </c>
      <c r="C110">
        <v>56504637</v>
      </c>
      <c r="D110">
        <v>57688558</v>
      </c>
      <c r="E110">
        <v>1</v>
      </c>
      <c r="F110">
        <v>1</v>
      </c>
      <c r="G110">
        <v>1080</v>
      </c>
      <c r="H110">
        <v>3</v>
      </c>
      <c r="I110" t="s">
        <v>299</v>
      </c>
      <c r="J110" t="s">
        <v>300</v>
      </c>
      <c r="K110" t="s">
        <v>301</v>
      </c>
      <c r="L110">
        <v>1354</v>
      </c>
      <c r="N110">
        <v>1010</v>
      </c>
      <c r="O110" t="s">
        <v>32</v>
      </c>
      <c r="P110" t="s">
        <v>32</v>
      </c>
      <c r="Q110">
        <v>1</v>
      </c>
      <c r="X110">
        <v>5</v>
      </c>
      <c r="Y110">
        <v>14.99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3</v>
      </c>
      <c r="AG110">
        <v>5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3">
      <c r="A111">
        <f>ROW(Source!A118)</f>
        <v>118</v>
      </c>
      <c r="B111">
        <v>58753985</v>
      </c>
      <c r="C111">
        <v>56504637</v>
      </c>
      <c r="D111">
        <v>57687874</v>
      </c>
      <c r="E111">
        <v>1</v>
      </c>
      <c r="F111">
        <v>1</v>
      </c>
      <c r="G111">
        <v>1080</v>
      </c>
      <c r="H111">
        <v>3</v>
      </c>
      <c r="I111" t="s">
        <v>302</v>
      </c>
      <c r="J111" t="s">
        <v>303</v>
      </c>
      <c r="K111" t="s">
        <v>304</v>
      </c>
      <c r="L111">
        <v>1356</v>
      </c>
      <c r="N111">
        <v>1010</v>
      </c>
      <c r="O111" t="s">
        <v>251</v>
      </c>
      <c r="P111" t="s">
        <v>251</v>
      </c>
      <c r="Q111">
        <v>1000</v>
      </c>
      <c r="X111">
        <v>0.25</v>
      </c>
      <c r="Y111">
        <v>1639.86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3</v>
      </c>
      <c r="AG111">
        <v>0.25</v>
      </c>
      <c r="AH111">
        <v>3</v>
      </c>
      <c r="AI111">
        <v>-1</v>
      </c>
      <c r="AJ111" t="s">
        <v>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">
      <c r="A112">
        <f>ROW(Source!A118)</f>
        <v>118</v>
      </c>
      <c r="B112">
        <v>58753986</v>
      </c>
      <c r="C112">
        <v>56504637</v>
      </c>
      <c r="D112">
        <v>57635043</v>
      </c>
      <c r="E112">
        <v>1080</v>
      </c>
      <c r="F112">
        <v>1</v>
      </c>
      <c r="G112">
        <v>1080</v>
      </c>
      <c r="H112">
        <v>3</v>
      </c>
      <c r="I112" t="s">
        <v>305</v>
      </c>
      <c r="J112" t="s">
        <v>3</v>
      </c>
      <c r="K112" t="s">
        <v>306</v>
      </c>
      <c r="L112">
        <v>1301</v>
      </c>
      <c r="N112">
        <v>1003</v>
      </c>
      <c r="O112" t="s">
        <v>131</v>
      </c>
      <c r="P112" t="s">
        <v>131</v>
      </c>
      <c r="Q112">
        <v>1</v>
      </c>
      <c r="X112">
        <v>103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3</v>
      </c>
      <c r="AG112">
        <v>103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3">
      <c r="A113">
        <f>ROW(Source!A118)</f>
        <v>118</v>
      </c>
      <c r="B113">
        <v>58753987</v>
      </c>
      <c r="C113">
        <v>56504637</v>
      </c>
      <c r="D113">
        <v>57635041</v>
      </c>
      <c r="E113">
        <v>1080</v>
      </c>
      <c r="F113">
        <v>1</v>
      </c>
      <c r="G113">
        <v>1080</v>
      </c>
      <c r="H113">
        <v>3</v>
      </c>
      <c r="I113" t="s">
        <v>305</v>
      </c>
      <c r="J113" t="s">
        <v>3</v>
      </c>
      <c r="K113" t="s">
        <v>307</v>
      </c>
      <c r="L113">
        <v>1354</v>
      </c>
      <c r="N113">
        <v>1010</v>
      </c>
      <c r="O113" t="s">
        <v>32</v>
      </c>
      <c r="P113" t="s">
        <v>32</v>
      </c>
      <c r="Q113">
        <v>1</v>
      </c>
      <c r="X113">
        <v>10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t="s">
        <v>3</v>
      </c>
      <c r="AG113">
        <v>10</v>
      </c>
      <c r="AH113">
        <v>3</v>
      </c>
      <c r="AI113">
        <v>-1</v>
      </c>
      <c r="AJ113" t="s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3">
      <c r="A114">
        <f>ROW(Source!A118)</f>
        <v>118</v>
      </c>
      <c r="B114">
        <v>58753988</v>
      </c>
      <c r="C114">
        <v>56504637</v>
      </c>
      <c r="D114">
        <v>57635042</v>
      </c>
      <c r="E114">
        <v>1080</v>
      </c>
      <c r="F114">
        <v>1</v>
      </c>
      <c r="G114">
        <v>1080</v>
      </c>
      <c r="H114">
        <v>3</v>
      </c>
      <c r="I114" t="s">
        <v>305</v>
      </c>
      <c r="J114" t="s">
        <v>3</v>
      </c>
      <c r="K114" t="s">
        <v>308</v>
      </c>
      <c r="L114">
        <v>1354</v>
      </c>
      <c r="N114">
        <v>1010</v>
      </c>
      <c r="O114" t="s">
        <v>32</v>
      </c>
      <c r="P114" t="s">
        <v>32</v>
      </c>
      <c r="Q114">
        <v>1</v>
      </c>
      <c r="X114">
        <v>10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3</v>
      </c>
      <c r="AG114">
        <v>10</v>
      </c>
      <c r="AH114">
        <v>3</v>
      </c>
      <c r="AI114">
        <v>-1</v>
      </c>
      <c r="AJ114" t="s">
        <v>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">
      <c r="A115">
        <f>ROW(Source!A118)</f>
        <v>118</v>
      </c>
      <c r="B115">
        <v>58753989</v>
      </c>
      <c r="C115">
        <v>56504637</v>
      </c>
      <c r="D115">
        <v>57635054</v>
      </c>
      <c r="E115">
        <v>1080</v>
      </c>
      <c r="F115">
        <v>1</v>
      </c>
      <c r="G115">
        <v>1080</v>
      </c>
      <c r="H115">
        <v>3</v>
      </c>
      <c r="I115" t="s">
        <v>309</v>
      </c>
      <c r="J115" t="s">
        <v>3</v>
      </c>
      <c r="K115" t="s">
        <v>310</v>
      </c>
      <c r="L115">
        <v>1356</v>
      </c>
      <c r="N115">
        <v>1010</v>
      </c>
      <c r="O115" t="s">
        <v>251</v>
      </c>
      <c r="P115" t="s">
        <v>251</v>
      </c>
      <c r="Q115">
        <v>1000</v>
      </c>
      <c r="X115">
        <v>0.01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3</v>
      </c>
      <c r="AG115">
        <v>0.01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3">
      <c r="A116">
        <f>ROW(Source!A118)</f>
        <v>118</v>
      </c>
      <c r="B116">
        <v>58753990</v>
      </c>
      <c r="C116">
        <v>56504637</v>
      </c>
      <c r="D116">
        <v>57637110</v>
      </c>
      <c r="E116">
        <v>1080</v>
      </c>
      <c r="F116">
        <v>1</v>
      </c>
      <c r="G116">
        <v>1080</v>
      </c>
      <c r="H116">
        <v>3</v>
      </c>
      <c r="I116" t="s">
        <v>311</v>
      </c>
      <c r="J116" t="s">
        <v>3</v>
      </c>
      <c r="K116" t="s">
        <v>312</v>
      </c>
      <c r="L116">
        <v>1354</v>
      </c>
      <c r="N116">
        <v>1010</v>
      </c>
      <c r="O116" t="s">
        <v>32</v>
      </c>
      <c r="P116" t="s">
        <v>32</v>
      </c>
      <c r="Q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</v>
      </c>
      <c r="AG116">
        <v>0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">
      <c r="A117">
        <f>ROW(Source!A121)</f>
        <v>121</v>
      </c>
      <c r="B117">
        <v>58753991</v>
      </c>
      <c r="C117">
        <v>56505287</v>
      </c>
      <c r="D117">
        <v>57621905</v>
      </c>
      <c r="E117">
        <v>1080</v>
      </c>
      <c r="F117">
        <v>1</v>
      </c>
      <c r="G117">
        <v>1080</v>
      </c>
      <c r="H117">
        <v>1</v>
      </c>
      <c r="I117" t="s">
        <v>211</v>
      </c>
      <c r="J117" t="s">
        <v>3</v>
      </c>
      <c r="K117" t="s">
        <v>212</v>
      </c>
      <c r="L117">
        <v>1191</v>
      </c>
      <c r="N117">
        <v>1013</v>
      </c>
      <c r="O117" t="s">
        <v>213</v>
      </c>
      <c r="P117" t="s">
        <v>213</v>
      </c>
      <c r="Q117">
        <v>1</v>
      </c>
      <c r="X117">
        <v>15.93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24</v>
      </c>
      <c r="AG117">
        <v>17.523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">
      <c r="A118">
        <f>ROW(Source!A121)</f>
        <v>121</v>
      </c>
      <c r="B118">
        <v>58753992</v>
      </c>
      <c r="C118">
        <v>56505287</v>
      </c>
      <c r="D118">
        <v>57631307</v>
      </c>
      <c r="E118">
        <v>1080</v>
      </c>
      <c r="F118">
        <v>1</v>
      </c>
      <c r="G118">
        <v>1080</v>
      </c>
      <c r="H118">
        <v>3</v>
      </c>
      <c r="I118" t="s">
        <v>258</v>
      </c>
      <c r="J118" t="s">
        <v>3</v>
      </c>
      <c r="K118" t="s">
        <v>313</v>
      </c>
      <c r="L118">
        <v>1301</v>
      </c>
      <c r="N118">
        <v>1003</v>
      </c>
      <c r="O118" t="s">
        <v>131</v>
      </c>
      <c r="P118" t="s">
        <v>131</v>
      </c>
      <c r="Q118">
        <v>1</v>
      </c>
      <c r="X118">
        <v>102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3</v>
      </c>
      <c r="AG118">
        <v>102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3">
      <c r="A119">
        <f>ROW(Source!A121)</f>
        <v>121</v>
      </c>
      <c r="B119">
        <v>58753993</v>
      </c>
      <c r="C119">
        <v>56505287</v>
      </c>
      <c r="D119">
        <v>57634474</v>
      </c>
      <c r="E119">
        <v>1080</v>
      </c>
      <c r="F119">
        <v>1</v>
      </c>
      <c r="G119">
        <v>1080</v>
      </c>
      <c r="H119">
        <v>3</v>
      </c>
      <c r="I119" t="s">
        <v>314</v>
      </c>
      <c r="J119" t="s">
        <v>3</v>
      </c>
      <c r="K119" t="s">
        <v>315</v>
      </c>
      <c r="L119">
        <v>1354</v>
      </c>
      <c r="N119">
        <v>1010</v>
      </c>
      <c r="O119" t="s">
        <v>32</v>
      </c>
      <c r="P119" t="s">
        <v>32</v>
      </c>
      <c r="Q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3</v>
      </c>
      <c r="AG119">
        <v>0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3">
      <c r="A120">
        <f>ROW(Source!A121)</f>
        <v>121</v>
      </c>
      <c r="B120">
        <v>58753994</v>
      </c>
      <c r="C120">
        <v>56505287</v>
      </c>
      <c r="D120">
        <v>57635046</v>
      </c>
      <c r="E120">
        <v>1080</v>
      </c>
      <c r="F120">
        <v>1</v>
      </c>
      <c r="G120">
        <v>1080</v>
      </c>
      <c r="H120">
        <v>3</v>
      </c>
      <c r="I120" t="s">
        <v>260</v>
      </c>
      <c r="J120" t="s">
        <v>3</v>
      </c>
      <c r="K120" t="s">
        <v>316</v>
      </c>
      <c r="L120">
        <v>1354</v>
      </c>
      <c r="N120">
        <v>1010</v>
      </c>
      <c r="O120" t="s">
        <v>32</v>
      </c>
      <c r="P120" t="s">
        <v>32</v>
      </c>
      <c r="Q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3</v>
      </c>
      <c r="AG120">
        <v>0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3">
      <c r="A121">
        <f>ROW(Source!A122)</f>
        <v>122</v>
      </c>
      <c r="B121">
        <v>58753991</v>
      </c>
      <c r="C121">
        <v>56505287</v>
      </c>
      <c r="D121">
        <v>57621905</v>
      </c>
      <c r="E121">
        <v>1080</v>
      </c>
      <c r="F121">
        <v>1</v>
      </c>
      <c r="G121">
        <v>1080</v>
      </c>
      <c r="H121">
        <v>1</v>
      </c>
      <c r="I121" t="s">
        <v>211</v>
      </c>
      <c r="J121" t="s">
        <v>3</v>
      </c>
      <c r="K121" t="s">
        <v>212</v>
      </c>
      <c r="L121">
        <v>1191</v>
      </c>
      <c r="N121">
        <v>1013</v>
      </c>
      <c r="O121" t="s">
        <v>213</v>
      </c>
      <c r="P121" t="s">
        <v>213</v>
      </c>
      <c r="Q121">
        <v>1</v>
      </c>
      <c r="X121">
        <v>15.93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24</v>
      </c>
      <c r="AG121">
        <v>17.523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">
      <c r="A122">
        <f>ROW(Source!A122)</f>
        <v>122</v>
      </c>
      <c r="B122">
        <v>58753992</v>
      </c>
      <c r="C122">
        <v>56505287</v>
      </c>
      <c r="D122">
        <v>57631307</v>
      </c>
      <c r="E122">
        <v>1080</v>
      </c>
      <c r="F122">
        <v>1</v>
      </c>
      <c r="G122">
        <v>1080</v>
      </c>
      <c r="H122">
        <v>3</v>
      </c>
      <c r="I122" t="s">
        <v>258</v>
      </c>
      <c r="J122" t="s">
        <v>3</v>
      </c>
      <c r="K122" t="s">
        <v>313</v>
      </c>
      <c r="L122">
        <v>1301</v>
      </c>
      <c r="N122">
        <v>1003</v>
      </c>
      <c r="O122" t="s">
        <v>131</v>
      </c>
      <c r="P122" t="s">
        <v>131</v>
      </c>
      <c r="Q122">
        <v>1</v>
      </c>
      <c r="X122">
        <v>102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3</v>
      </c>
      <c r="AG122">
        <v>102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3">
      <c r="A123">
        <f>ROW(Source!A122)</f>
        <v>122</v>
      </c>
      <c r="B123">
        <v>58753993</v>
      </c>
      <c r="C123">
        <v>56505287</v>
      </c>
      <c r="D123">
        <v>57634474</v>
      </c>
      <c r="E123">
        <v>1080</v>
      </c>
      <c r="F123">
        <v>1</v>
      </c>
      <c r="G123">
        <v>1080</v>
      </c>
      <c r="H123">
        <v>3</v>
      </c>
      <c r="I123" t="s">
        <v>314</v>
      </c>
      <c r="J123" t="s">
        <v>3</v>
      </c>
      <c r="K123" t="s">
        <v>315</v>
      </c>
      <c r="L123">
        <v>1354</v>
      </c>
      <c r="N123">
        <v>1010</v>
      </c>
      <c r="O123" t="s">
        <v>32</v>
      </c>
      <c r="P123" t="s">
        <v>32</v>
      </c>
      <c r="Q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3</v>
      </c>
      <c r="AG123">
        <v>0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">
      <c r="A124">
        <f>ROW(Source!A122)</f>
        <v>122</v>
      </c>
      <c r="B124">
        <v>58753994</v>
      </c>
      <c r="C124">
        <v>56505287</v>
      </c>
      <c r="D124">
        <v>57635046</v>
      </c>
      <c r="E124">
        <v>1080</v>
      </c>
      <c r="F124">
        <v>1</v>
      </c>
      <c r="G124">
        <v>1080</v>
      </c>
      <c r="H124">
        <v>3</v>
      </c>
      <c r="I124" t="s">
        <v>260</v>
      </c>
      <c r="J124" t="s">
        <v>3</v>
      </c>
      <c r="K124" t="s">
        <v>316</v>
      </c>
      <c r="L124">
        <v>1354</v>
      </c>
      <c r="N124">
        <v>1010</v>
      </c>
      <c r="O124" t="s">
        <v>32</v>
      </c>
      <c r="P124" t="s">
        <v>32</v>
      </c>
      <c r="Q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3</v>
      </c>
      <c r="AG124">
        <v>0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5234375" defaultRowHeight="12.45" x14ac:dyDescent="0.3"/>
  <cols>
    <col min="1" max="256" width="9.1523437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5234375" defaultRowHeight="12.45" x14ac:dyDescent="0.3"/>
  <cols>
    <col min="1" max="256" width="9.15234375" customWidth="1"/>
  </cols>
  <sheetData>
    <row r="1" spans="1:103" x14ac:dyDescent="0.3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12</v>
      </c>
      <c r="O1">
        <v>0</v>
      </c>
      <c r="P1">
        <v>0</v>
      </c>
      <c r="Q1">
        <v>3</v>
      </c>
    </row>
    <row r="12" spans="1:103" x14ac:dyDescent="0.3">
      <c r="F12" t="str">
        <f>Source!F12</f>
        <v>02-01-11</v>
      </c>
      <c r="G12" t="str">
        <f>Source!G12</f>
        <v>02-01-11 СКТ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02-01-11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'02-01-11'!Заголовки_для_печати</vt:lpstr>
      <vt:lpstr>'Ведомость объемов работ'!Заголовки_для_печати</vt:lpstr>
      <vt:lpstr>'02-01-11'!Область_печати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Лукьянова Анна Леонидовна</cp:lastModifiedBy>
  <dcterms:created xsi:type="dcterms:W3CDTF">2026-03-23T08:34:10Z</dcterms:created>
  <dcterms:modified xsi:type="dcterms:W3CDTF">2026-03-23T08:35:14Z</dcterms:modified>
</cp:coreProperties>
</file>