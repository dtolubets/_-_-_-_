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bookViews>
    <workbookView xWindow="0" yWindow="0" windowWidth="21570" windowHeight="11070"/>
  </bookViews>
  <sheets>
    <sheet name="02-01-19" sheetId="7" r:id="rId1"/>
    <sheet name="02-01-19_1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'02-01-19'!$27:$27</definedName>
    <definedName name="_xlnm.Print_Titles" localSheetId="1">'02-01-19_1'!$17:$17</definedName>
    <definedName name="_xlnm.Print_Area" localSheetId="0">'02-01-19'!$A$1:$K$120</definedName>
    <definedName name="_xlnm.Print_Area" localSheetId="1">'02-01-19_1'!$A$1:$H$32</definedName>
  </definedNames>
  <calcPr calcId="162913" iterate="1"/>
</workbook>
</file>

<file path=xl/calcChain.xml><?xml version="1.0" encoding="utf-8"?>
<calcChain xmlns="http://schemas.openxmlformats.org/spreadsheetml/2006/main">
  <c r="D30" i="8" l="1"/>
  <c r="D28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A18" i="8"/>
  <c r="B14" i="8"/>
  <c r="B13" i="8"/>
  <c r="B12" i="8"/>
  <c r="A1" i="8"/>
  <c r="H118" i="7"/>
  <c r="H115" i="7"/>
  <c r="C118" i="7"/>
  <c r="C115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112" i="7"/>
  <c r="J112" i="7"/>
  <c r="I111" i="7"/>
  <c r="J111" i="7"/>
  <c r="A110" i="7"/>
  <c r="I108" i="7"/>
  <c r="J108" i="7"/>
  <c r="I107" i="7"/>
  <c r="J107" i="7"/>
  <c r="AQ106" i="7"/>
  <c r="A106" i="7"/>
  <c r="J103" i="7"/>
  <c r="K102" i="7"/>
  <c r="P103" i="7" s="1"/>
  <c r="J102" i="7"/>
  <c r="I102" i="7"/>
  <c r="O103" i="7" s="1"/>
  <c r="H102" i="7"/>
  <c r="G102" i="7"/>
  <c r="F102" i="7"/>
  <c r="V102" i="7"/>
  <c r="T102" i="7"/>
  <c r="R102" i="7"/>
  <c r="U102" i="7"/>
  <c r="S102" i="7"/>
  <c r="Q102" i="7"/>
  <c r="E102" i="7"/>
  <c r="D102" i="7"/>
  <c r="B102" i="7"/>
  <c r="C101" i="7"/>
  <c r="H98" i="7"/>
  <c r="J98" i="7"/>
  <c r="I96" i="7"/>
  <c r="H96" i="7"/>
  <c r="G96" i="7"/>
  <c r="E96" i="7"/>
  <c r="J95" i="7"/>
  <c r="E95" i="7"/>
  <c r="J94" i="7"/>
  <c r="E94" i="7"/>
  <c r="K93" i="7"/>
  <c r="P99" i="7" s="1"/>
  <c r="J93" i="7"/>
  <c r="I93" i="7"/>
  <c r="H93" i="7"/>
  <c r="G93" i="7"/>
  <c r="F93" i="7"/>
  <c r="K92" i="7"/>
  <c r="J92" i="7"/>
  <c r="I92" i="7"/>
  <c r="H92" i="7"/>
  <c r="G92" i="7"/>
  <c r="F92" i="7"/>
  <c r="C91" i="7"/>
  <c r="V90" i="7"/>
  <c r="T90" i="7"/>
  <c r="K95" i="7" s="1"/>
  <c r="R90" i="7"/>
  <c r="K94" i="7" s="1"/>
  <c r="U90" i="7"/>
  <c r="S90" i="7"/>
  <c r="I95" i="7" s="1"/>
  <c r="Q90" i="7"/>
  <c r="I94" i="7" s="1"/>
  <c r="H97" i="7" s="1"/>
  <c r="E90" i="7"/>
  <c r="D90" i="7"/>
  <c r="H87" i="7"/>
  <c r="J87" i="7"/>
  <c r="I85" i="7"/>
  <c r="H85" i="7"/>
  <c r="G85" i="7"/>
  <c r="E85" i="7"/>
  <c r="J84" i="7"/>
  <c r="I84" i="7"/>
  <c r="E84" i="7"/>
  <c r="K83" i="7"/>
  <c r="J83" i="7"/>
  <c r="E83" i="7"/>
  <c r="K82" i="7"/>
  <c r="J82" i="7"/>
  <c r="I82" i="7"/>
  <c r="H82" i="7"/>
  <c r="G82" i="7"/>
  <c r="F82" i="7"/>
  <c r="K81" i="7"/>
  <c r="J81" i="7"/>
  <c r="I81" i="7"/>
  <c r="H81" i="7"/>
  <c r="G81" i="7"/>
  <c r="F81" i="7"/>
  <c r="K80" i="7"/>
  <c r="J80" i="7"/>
  <c r="I80" i="7"/>
  <c r="H80" i="7"/>
  <c r="G80" i="7"/>
  <c r="F80" i="7"/>
  <c r="K79" i="7"/>
  <c r="P88" i="7" s="1"/>
  <c r="J79" i="7"/>
  <c r="I79" i="7"/>
  <c r="H88" i="7" s="1"/>
  <c r="H79" i="7"/>
  <c r="G79" i="7"/>
  <c r="F79" i="7"/>
  <c r="C78" i="7"/>
  <c r="V77" i="7"/>
  <c r="T77" i="7"/>
  <c r="K84" i="7" s="1"/>
  <c r="R77" i="7"/>
  <c r="U77" i="7"/>
  <c r="S77" i="7"/>
  <c r="Q77" i="7"/>
  <c r="I83" i="7" s="1"/>
  <c r="O88" i="7" s="1"/>
  <c r="E77" i="7"/>
  <c r="D77" i="7"/>
  <c r="H74" i="7"/>
  <c r="J74" i="7"/>
  <c r="I72" i="7"/>
  <c r="H72" i="7"/>
  <c r="G72" i="7"/>
  <c r="E72" i="7"/>
  <c r="J71" i="7"/>
  <c r="E71" i="7"/>
  <c r="J70" i="7"/>
  <c r="E70" i="7"/>
  <c r="K69" i="7"/>
  <c r="J69" i="7"/>
  <c r="I69" i="7"/>
  <c r="H69" i="7"/>
  <c r="G69" i="7"/>
  <c r="F69" i="7"/>
  <c r="K68" i="7"/>
  <c r="J68" i="7"/>
  <c r="I68" i="7"/>
  <c r="H68" i="7"/>
  <c r="G68" i="7"/>
  <c r="F68" i="7"/>
  <c r="K67" i="7"/>
  <c r="J67" i="7"/>
  <c r="I67" i="7"/>
  <c r="H67" i="7"/>
  <c r="G67" i="7"/>
  <c r="F67" i="7"/>
  <c r="K66" i="7"/>
  <c r="J66" i="7"/>
  <c r="I66" i="7"/>
  <c r="H66" i="7"/>
  <c r="G66" i="7"/>
  <c r="F66" i="7"/>
  <c r="V65" i="7"/>
  <c r="T65" i="7"/>
  <c r="K71" i="7" s="1"/>
  <c r="R65" i="7"/>
  <c r="K70" i="7" s="1"/>
  <c r="U65" i="7"/>
  <c r="S65" i="7"/>
  <c r="I71" i="7" s="1"/>
  <c r="Q65" i="7"/>
  <c r="I70" i="7" s="1"/>
  <c r="E65" i="7"/>
  <c r="D65" i="7"/>
  <c r="C64" i="7"/>
  <c r="H61" i="7"/>
  <c r="J61" i="7"/>
  <c r="I59" i="7"/>
  <c r="H59" i="7"/>
  <c r="G59" i="7"/>
  <c r="E59" i="7"/>
  <c r="K58" i="7"/>
  <c r="J62" i="7" s="1"/>
  <c r="J58" i="7"/>
  <c r="I58" i="7"/>
  <c r="E58" i="7"/>
  <c r="K57" i="7"/>
  <c r="J57" i="7"/>
  <c r="I57" i="7"/>
  <c r="E57" i="7"/>
  <c r="K56" i="7"/>
  <c r="J60" i="7" s="1"/>
  <c r="J56" i="7"/>
  <c r="I56" i="7"/>
  <c r="O62" i="7" s="1"/>
  <c r="H56" i="7"/>
  <c r="G56" i="7"/>
  <c r="F56" i="7"/>
  <c r="C55" i="7"/>
  <c r="V54" i="7"/>
  <c r="T54" i="7"/>
  <c r="R54" i="7"/>
  <c r="U54" i="7"/>
  <c r="S54" i="7"/>
  <c r="Q54" i="7"/>
  <c r="E54" i="7"/>
  <c r="D54" i="7"/>
  <c r="H51" i="7"/>
  <c r="J51" i="7"/>
  <c r="I49" i="7"/>
  <c r="H49" i="7"/>
  <c r="G49" i="7"/>
  <c r="E49" i="7"/>
  <c r="J48" i="7"/>
  <c r="E48" i="7"/>
  <c r="J47" i="7"/>
  <c r="I47" i="7"/>
  <c r="E47" i="7"/>
  <c r="K46" i="7"/>
  <c r="J46" i="7"/>
  <c r="I46" i="7"/>
  <c r="H46" i="7"/>
  <c r="G46" i="7"/>
  <c r="F46" i="7"/>
  <c r="K45" i="7"/>
  <c r="J45" i="7"/>
  <c r="I45" i="7"/>
  <c r="H45" i="7"/>
  <c r="G45" i="7"/>
  <c r="F45" i="7"/>
  <c r="K44" i="7"/>
  <c r="P52" i="7" s="1"/>
  <c r="J44" i="7"/>
  <c r="I44" i="7"/>
  <c r="O52" i="7" s="1"/>
  <c r="H44" i="7"/>
  <c r="G44" i="7"/>
  <c r="F44" i="7"/>
  <c r="C43" i="7"/>
  <c r="V42" i="7"/>
  <c r="T42" i="7"/>
  <c r="K48" i="7" s="1"/>
  <c r="R42" i="7"/>
  <c r="K47" i="7" s="1"/>
  <c r="U42" i="7"/>
  <c r="S42" i="7"/>
  <c r="I48" i="7" s="1"/>
  <c r="H50" i="7" s="1"/>
  <c r="Q42" i="7"/>
  <c r="E42" i="7"/>
  <c r="D42" i="7"/>
  <c r="H39" i="7"/>
  <c r="P40" i="7"/>
  <c r="J39" i="7"/>
  <c r="I37" i="7"/>
  <c r="H37" i="7"/>
  <c r="G37" i="7"/>
  <c r="E37" i="7"/>
  <c r="K36" i="7"/>
  <c r="J36" i="7"/>
  <c r="E36" i="7"/>
  <c r="K35" i="7"/>
  <c r="J35" i="7"/>
  <c r="I35" i="7"/>
  <c r="E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40" i="7" s="1"/>
  <c r="J32" i="7"/>
  <c r="I32" i="7"/>
  <c r="H32" i="7"/>
  <c r="G32" i="7"/>
  <c r="F32" i="7"/>
  <c r="V31" i="7"/>
  <c r="T31" i="7"/>
  <c r="R31" i="7"/>
  <c r="U31" i="7"/>
  <c r="S31" i="7"/>
  <c r="I36" i="7" s="1"/>
  <c r="H38" i="7" s="1"/>
  <c r="Q31" i="7"/>
  <c r="E31" i="7"/>
  <c r="D31" i="7"/>
  <c r="C30" i="7"/>
  <c r="A29" i="7"/>
  <c r="A11" i="7"/>
  <c r="A8" i="7"/>
  <c r="A6" i="7"/>
  <c r="A1" i="7"/>
  <c r="J75" i="7" l="1"/>
  <c r="J73" i="7"/>
  <c r="O99" i="7"/>
  <c r="J99" i="7"/>
  <c r="J97" i="7"/>
  <c r="O75" i="7"/>
  <c r="O40" i="7"/>
  <c r="P75" i="7"/>
  <c r="H75" i="7"/>
  <c r="H52" i="7"/>
  <c r="P62" i="7"/>
  <c r="J106" i="7" s="1"/>
  <c r="H40" i="7"/>
  <c r="H60" i="7"/>
  <c r="H62" i="7"/>
  <c r="J110" i="7"/>
  <c r="H73" i="7"/>
  <c r="H99" i="7"/>
  <c r="J86" i="7"/>
  <c r="J88" i="7"/>
  <c r="J50" i="7"/>
  <c r="H103" i="7"/>
  <c r="J38" i="7"/>
  <c r="H86" i="7"/>
  <c r="J52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" i="3"/>
  <c r="Y1" i="3"/>
  <c r="CV1" i="3" s="1"/>
  <c r="CU1" i="3"/>
  <c r="CY1" i="3"/>
  <c r="CZ1" i="3"/>
  <c r="DB1" i="3" s="1"/>
  <c r="DA1" i="3"/>
  <c r="DC1" i="3"/>
  <c r="A2" i="3"/>
  <c r="Y2" i="3"/>
  <c r="CX2" i="3" s="1"/>
  <c r="CY2" i="3"/>
  <c r="CZ2" i="3"/>
  <c r="DB2" i="3" s="1"/>
  <c r="DA2" i="3"/>
  <c r="DC2" i="3"/>
  <c r="A3" i="3"/>
  <c r="Y3" i="3"/>
  <c r="CX3" i="3" s="1"/>
  <c r="CU3" i="3"/>
  <c r="CV3" i="3"/>
  <c r="CY3" i="3"/>
  <c r="CZ3" i="3"/>
  <c r="DB3" i="3" s="1"/>
  <c r="DA3" i="3"/>
  <c r="DC3" i="3"/>
  <c r="A4" i="3"/>
  <c r="Y4" i="3"/>
  <c r="CX4" i="3"/>
  <c r="CY4" i="3"/>
  <c r="CZ4" i="3"/>
  <c r="DB4" i="3" s="1"/>
  <c r="DA4" i="3"/>
  <c r="DC4" i="3"/>
  <c r="A5" i="3"/>
  <c r="Y5" i="3"/>
  <c r="CU5" i="3"/>
  <c r="CV5" i="3"/>
  <c r="CX5" i="3"/>
  <c r="CY5" i="3"/>
  <c r="CZ5" i="3"/>
  <c r="DB5" i="3" s="1"/>
  <c r="DA5" i="3"/>
  <c r="DC5" i="3"/>
  <c r="A6" i="3"/>
  <c r="Y6" i="3"/>
  <c r="CY6" i="3"/>
  <c r="CZ6" i="3"/>
  <c r="DA6" i="3"/>
  <c r="DB6" i="3"/>
  <c r="DC6" i="3"/>
  <c r="A7" i="3"/>
  <c r="Y7" i="3"/>
  <c r="CV7" i="3"/>
  <c r="CX7" i="3"/>
  <c r="CY7" i="3"/>
  <c r="CZ7" i="3"/>
  <c r="DA7" i="3"/>
  <c r="DB7" i="3"/>
  <c r="DC7" i="3"/>
  <c r="A8" i="3"/>
  <c r="Y8" i="3"/>
  <c r="CV8" i="3" s="1"/>
  <c r="CX8" i="3"/>
  <c r="DH8" i="3" s="1"/>
  <c r="CY8" i="3"/>
  <c r="CZ8" i="3"/>
  <c r="DA8" i="3"/>
  <c r="DB8" i="3"/>
  <c r="DC8" i="3"/>
  <c r="DF8" i="3"/>
  <c r="DG8" i="3"/>
  <c r="A9" i="3"/>
  <c r="Y9" i="3"/>
  <c r="CV9" i="3" s="1"/>
  <c r="CU9" i="3"/>
  <c r="CY9" i="3"/>
  <c r="CZ9" i="3"/>
  <c r="DA9" i="3"/>
  <c r="DB9" i="3"/>
  <c r="DC9" i="3"/>
  <c r="A10" i="3"/>
  <c r="Y10" i="3"/>
  <c r="CX10" i="3"/>
  <c r="CY10" i="3"/>
  <c r="CZ10" i="3"/>
  <c r="DA10" i="3"/>
  <c r="DB10" i="3"/>
  <c r="DC10" i="3"/>
  <c r="DF10" i="3"/>
  <c r="DG10" i="3"/>
  <c r="DH10" i="3"/>
  <c r="DI10" i="3"/>
  <c r="DJ10" i="3"/>
  <c r="A11" i="3"/>
  <c r="Y11" i="3"/>
  <c r="CV11" i="3" s="1"/>
  <c r="CU11" i="3"/>
  <c r="CY11" i="3"/>
  <c r="CZ11" i="3"/>
  <c r="DB11" i="3" s="1"/>
  <c r="DA11" i="3"/>
  <c r="DC11" i="3"/>
  <c r="A12" i="3"/>
  <c r="Y12" i="3"/>
  <c r="CX12" i="3" s="1"/>
  <c r="CY12" i="3"/>
  <c r="CZ12" i="3"/>
  <c r="DA12" i="3"/>
  <c r="DB12" i="3"/>
  <c r="DC12" i="3"/>
  <c r="A13" i="3"/>
  <c r="Y13" i="3"/>
  <c r="CV13" i="3" s="1"/>
  <c r="CY13" i="3"/>
  <c r="CZ13" i="3"/>
  <c r="DB13" i="3" s="1"/>
  <c r="DA13" i="3"/>
  <c r="DC13" i="3"/>
  <c r="A14" i="3"/>
  <c r="Y14" i="3"/>
  <c r="CV14" i="3" s="1"/>
  <c r="CY14" i="3"/>
  <c r="CZ14" i="3"/>
  <c r="DB14" i="3" s="1"/>
  <c r="DA14" i="3"/>
  <c r="DC14" i="3"/>
  <c r="A15" i="3"/>
  <c r="Y15" i="3"/>
  <c r="CU15" i="3"/>
  <c r="CV15" i="3"/>
  <c r="CX15" i="3"/>
  <c r="CY15" i="3"/>
  <c r="CZ15" i="3"/>
  <c r="DB15" i="3" s="1"/>
  <c r="DA15" i="3"/>
  <c r="DC15" i="3"/>
  <c r="A16" i="3"/>
  <c r="Y16" i="3"/>
  <c r="CV16" i="3" s="1"/>
  <c r="CY16" i="3"/>
  <c r="CZ16" i="3"/>
  <c r="DB16" i="3" s="1"/>
  <c r="DA16" i="3"/>
  <c r="DC16" i="3"/>
  <c r="D12" i="1"/>
  <c r="B18" i="1"/>
  <c r="C18" i="1"/>
  <c r="D18" i="1"/>
  <c r="E18" i="1"/>
  <c r="F18" i="1"/>
  <c r="G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9" i="1"/>
  <c r="D29" i="1"/>
  <c r="P29" i="1"/>
  <c r="AC29" i="1"/>
  <c r="CQ29" i="1" s="1"/>
  <c r="AE29" i="1"/>
  <c r="AF29" i="1"/>
  <c r="AG29" i="1"/>
  <c r="CU29" i="1" s="1"/>
  <c r="T29" i="1" s="1"/>
  <c r="AH29" i="1"/>
  <c r="CV29" i="1" s="1"/>
  <c r="U29" i="1" s="1"/>
  <c r="AI29" i="1"/>
  <c r="AJ29" i="1"/>
  <c r="CW29" i="1"/>
  <c r="V29" i="1" s="1"/>
  <c r="CX29" i="1"/>
  <c r="W29" i="1" s="1"/>
  <c r="GL29" i="1"/>
  <c r="GN29" i="1"/>
  <c r="GP29" i="1"/>
  <c r="GV29" i="1"/>
  <c r="HC29" i="1"/>
  <c r="GX29" i="1" s="1"/>
  <c r="C30" i="1"/>
  <c r="D30" i="1"/>
  <c r="P30" i="1"/>
  <c r="Q30" i="1"/>
  <c r="R30" i="1"/>
  <c r="S30" i="1"/>
  <c r="T30" i="1"/>
  <c r="U30" i="1"/>
  <c r="W30" i="1"/>
  <c r="AC30" i="1"/>
  <c r="AB30" i="1" s="1"/>
  <c r="AD30" i="1"/>
  <c r="AE30" i="1"/>
  <c r="AF30" i="1"/>
  <c r="AG30" i="1"/>
  <c r="AH30" i="1"/>
  <c r="CV30" i="1" s="1"/>
  <c r="AI30" i="1"/>
  <c r="CW30" i="1" s="1"/>
  <c r="V30" i="1" s="1"/>
  <c r="AJ30" i="1"/>
  <c r="CX30" i="1" s="1"/>
  <c r="CQ30" i="1"/>
  <c r="CR30" i="1"/>
  <c r="CS30" i="1"/>
  <c r="CT30" i="1"/>
  <c r="CU30" i="1"/>
  <c r="GL30" i="1"/>
  <c r="GN30" i="1"/>
  <c r="GP30" i="1"/>
  <c r="GV30" i="1"/>
  <c r="HC30" i="1" s="1"/>
  <c r="GX30" i="1" s="1"/>
  <c r="C31" i="1"/>
  <c r="D31" i="1"/>
  <c r="I31" i="1"/>
  <c r="K31" i="1"/>
  <c r="Q31" i="1"/>
  <c r="S31" i="1"/>
  <c r="CZ31" i="1" s="1"/>
  <c r="Y31" i="1" s="1"/>
  <c r="W31" i="1"/>
  <c r="AB31" i="1"/>
  <c r="AC31" i="1"/>
  <c r="AD31" i="1"/>
  <c r="AE31" i="1"/>
  <c r="R31" i="1" s="1"/>
  <c r="AF31" i="1"/>
  <c r="AG31" i="1"/>
  <c r="AH31" i="1"/>
  <c r="AI31" i="1"/>
  <c r="AJ31" i="1"/>
  <c r="CR31" i="1"/>
  <c r="CS31" i="1"/>
  <c r="CT31" i="1"/>
  <c r="CU31" i="1"/>
  <c r="T31" i="1" s="1"/>
  <c r="CV31" i="1"/>
  <c r="U31" i="1" s="1"/>
  <c r="CW31" i="1"/>
  <c r="V31" i="1" s="1"/>
  <c r="CX31" i="1"/>
  <c r="CY31" i="1"/>
  <c r="X31" i="1" s="1"/>
  <c r="GL31" i="1"/>
  <c r="GN31" i="1"/>
  <c r="GP31" i="1"/>
  <c r="GV31" i="1"/>
  <c r="HC31" i="1"/>
  <c r="GX31" i="1" s="1"/>
  <c r="C32" i="1"/>
  <c r="D32" i="1"/>
  <c r="I32" i="1"/>
  <c r="CU6" i="3" s="1"/>
  <c r="K32" i="1"/>
  <c r="Q32" i="1"/>
  <c r="AC32" i="1"/>
  <c r="AD32" i="1"/>
  <c r="AE32" i="1"/>
  <c r="AF32" i="1"/>
  <c r="AG32" i="1"/>
  <c r="CU32" i="1" s="1"/>
  <c r="T32" i="1" s="1"/>
  <c r="AH32" i="1"/>
  <c r="CV32" i="1" s="1"/>
  <c r="U32" i="1" s="1"/>
  <c r="AI32" i="1"/>
  <c r="CW32" i="1" s="1"/>
  <c r="V32" i="1" s="1"/>
  <c r="AJ32" i="1"/>
  <c r="CX32" i="1"/>
  <c r="GL32" i="1"/>
  <c r="GN32" i="1"/>
  <c r="GP32" i="1"/>
  <c r="GV32" i="1"/>
  <c r="HC32" i="1" s="1"/>
  <c r="GX32" i="1" s="1"/>
  <c r="C33" i="1"/>
  <c r="D33" i="1"/>
  <c r="I33" i="1"/>
  <c r="CU7" i="3" s="1"/>
  <c r="K33" i="1"/>
  <c r="P33" i="1"/>
  <c r="Q33" i="1"/>
  <c r="R33" i="1"/>
  <c r="S33" i="1"/>
  <c r="AC33" i="1"/>
  <c r="AE33" i="1"/>
  <c r="AD33" i="1" s="1"/>
  <c r="AB33" i="1" s="1"/>
  <c r="AF33" i="1"/>
  <c r="AG33" i="1"/>
  <c r="CU33" i="1" s="1"/>
  <c r="T33" i="1" s="1"/>
  <c r="AG46" i="1" s="1"/>
  <c r="AH33" i="1"/>
  <c r="CV33" i="1" s="1"/>
  <c r="U33" i="1" s="1"/>
  <c r="AH46" i="1" s="1"/>
  <c r="AI33" i="1"/>
  <c r="CW33" i="1" s="1"/>
  <c r="V33" i="1" s="1"/>
  <c r="AJ33" i="1"/>
  <c r="CX33" i="1" s="1"/>
  <c r="W33" i="1" s="1"/>
  <c r="CP33" i="1"/>
  <c r="O33" i="1" s="1"/>
  <c r="CQ33" i="1"/>
  <c r="CR33" i="1"/>
  <c r="CS33" i="1"/>
  <c r="CT33" i="1"/>
  <c r="GL33" i="1"/>
  <c r="GN33" i="1"/>
  <c r="GP33" i="1"/>
  <c r="GV33" i="1"/>
  <c r="GX33" i="1"/>
  <c r="HC33" i="1"/>
  <c r="C34" i="1"/>
  <c r="D34" i="1"/>
  <c r="I34" i="1"/>
  <c r="Q34" i="1" s="1"/>
  <c r="K34" i="1"/>
  <c r="R34" i="1"/>
  <c r="U34" i="1"/>
  <c r="V34" i="1"/>
  <c r="W34" i="1"/>
  <c r="AC34" i="1"/>
  <c r="AE34" i="1"/>
  <c r="AD34" i="1" s="1"/>
  <c r="AF34" i="1"/>
  <c r="AG34" i="1"/>
  <c r="AH34" i="1"/>
  <c r="AI34" i="1"/>
  <c r="AJ34" i="1"/>
  <c r="CR34" i="1"/>
  <c r="CS34" i="1"/>
  <c r="CT34" i="1"/>
  <c r="CU34" i="1"/>
  <c r="T34" i="1" s="1"/>
  <c r="CV34" i="1"/>
  <c r="CW34" i="1"/>
  <c r="CX34" i="1"/>
  <c r="GL34" i="1"/>
  <c r="GN34" i="1"/>
  <c r="GP34" i="1"/>
  <c r="GV34" i="1"/>
  <c r="HC34" i="1"/>
  <c r="GX34" i="1" s="1"/>
  <c r="C36" i="1"/>
  <c r="D36" i="1"/>
  <c r="P36" i="1"/>
  <c r="Q36" i="1"/>
  <c r="AC36" i="1"/>
  <c r="CQ36" i="1" s="1"/>
  <c r="AD36" i="1"/>
  <c r="AE36" i="1"/>
  <c r="AF36" i="1"/>
  <c r="AG36" i="1"/>
  <c r="CU36" i="1" s="1"/>
  <c r="T36" i="1" s="1"/>
  <c r="AH36" i="1"/>
  <c r="CV36" i="1" s="1"/>
  <c r="U36" i="1" s="1"/>
  <c r="AI36" i="1"/>
  <c r="CW36" i="1" s="1"/>
  <c r="V36" i="1" s="1"/>
  <c r="AJ36" i="1"/>
  <c r="CX36" i="1" s="1"/>
  <c r="W36" i="1" s="1"/>
  <c r="GL36" i="1"/>
  <c r="GN36" i="1"/>
  <c r="GP36" i="1"/>
  <c r="CD46" i="1" s="1"/>
  <c r="GV36" i="1"/>
  <c r="GX36" i="1"/>
  <c r="HC36" i="1"/>
  <c r="C37" i="1"/>
  <c r="D37" i="1"/>
  <c r="P37" i="1"/>
  <c r="R37" i="1"/>
  <c r="S37" i="1"/>
  <c r="T37" i="1"/>
  <c r="W37" i="1"/>
  <c r="AC37" i="1"/>
  <c r="AB37" i="1" s="1"/>
  <c r="AE37" i="1"/>
  <c r="AD37" i="1" s="1"/>
  <c r="AF37" i="1"/>
  <c r="AG37" i="1"/>
  <c r="AH37" i="1"/>
  <c r="AI37" i="1"/>
  <c r="CW37" i="1" s="1"/>
  <c r="V37" i="1" s="1"/>
  <c r="AJ37" i="1"/>
  <c r="CX37" i="1" s="1"/>
  <c r="CQ37" i="1"/>
  <c r="CR37" i="1"/>
  <c r="CS37" i="1"/>
  <c r="CT37" i="1"/>
  <c r="CU37" i="1"/>
  <c r="CV37" i="1"/>
  <c r="U37" i="1" s="1"/>
  <c r="GL37" i="1"/>
  <c r="GN37" i="1"/>
  <c r="GP37" i="1"/>
  <c r="GV37" i="1"/>
  <c r="HC37" i="1"/>
  <c r="GX37" i="1" s="1"/>
  <c r="C38" i="1"/>
  <c r="D38" i="1"/>
  <c r="I38" i="1"/>
  <c r="CU13" i="3" s="1"/>
  <c r="K38" i="1"/>
  <c r="AC38" i="1"/>
  <c r="AE38" i="1"/>
  <c r="AF38" i="1"/>
  <c r="AG38" i="1"/>
  <c r="AH38" i="1"/>
  <c r="AI38" i="1"/>
  <c r="AJ38" i="1"/>
  <c r="CU38" i="1"/>
  <c r="T38" i="1" s="1"/>
  <c r="CV38" i="1"/>
  <c r="U38" i="1" s="1"/>
  <c r="CW38" i="1"/>
  <c r="V38" i="1" s="1"/>
  <c r="CX38" i="1"/>
  <c r="W38" i="1" s="1"/>
  <c r="GL38" i="1"/>
  <c r="GN38" i="1"/>
  <c r="GP38" i="1"/>
  <c r="GV38" i="1"/>
  <c r="HC38" i="1"/>
  <c r="GX38" i="1" s="1"/>
  <c r="C39" i="1"/>
  <c r="D39" i="1"/>
  <c r="I39" i="1"/>
  <c r="CU14" i="3" s="1"/>
  <c r="K39" i="1"/>
  <c r="P39" i="1"/>
  <c r="AC39" i="1"/>
  <c r="CQ39" i="1" s="1"/>
  <c r="AE39" i="1"/>
  <c r="AF39" i="1"/>
  <c r="CT39" i="1" s="1"/>
  <c r="AG39" i="1"/>
  <c r="CU39" i="1" s="1"/>
  <c r="AH39" i="1"/>
  <c r="CV39" i="1" s="1"/>
  <c r="AI39" i="1"/>
  <c r="CW39" i="1" s="1"/>
  <c r="AJ39" i="1"/>
  <c r="CX39" i="1" s="1"/>
  <c r="GL39" i="1"/>
  <c r="FR46" i="1" s="1"/>
  <c r="GN39" i="1"/>
  <c r="GP39" i="1"/>
  <c r="GV39" i="1"/>
  <c r="HC39" i="1" s="1"/>
  <c r="C40" i="1"/>
  <c r="D40" i="1"/>
  <c r="I40" i="1"/>
  <c r="P40" i="1" s="1"/>
  <c r="K40" i="1"/>
  <c r="Q40" i="1"/>
  <c r="R40" i="1"/>
  <c r="S40" i="1"/>
  <c r="T40" i="1"/>
  <c r="U40" i="1"/>
  <c r="V40" i="1"/>
  <c r="W40" i="1"/>
  <c r="AC40" i="1"/>
  <c r="AD40" i="1"/>
  <c r="AB40" i="1" s="1"/>
  <c r="AE40" i="1"/>
  <c r="AF40" i="1"/>
  <c r="AG40" i="1"/>
  <c r="AH40" i="1"/>
  <c r="CV40" i="1" s="1"/>
  <c r="AI40" i="1"/>
  <c r="CW40" i="1" s="1"/>
  <c r="AJ40" i="1"/>
  <c r="CX40" i="1" s="1"/>
  <c r="CP40" i="1"/>
  <c r="O40" i="1" s="1"/>
  <c r="CQ40" i="1"/>
  <c r="CR40" i="1"/>
  <c r="CS40" i="1"/>
  <c r="CT40" i="1"/>
  <c r="CU40" i="1"/>
  <c r="GL40" i="1"/>
  <c r="GN40" i="1"/>
  <c r="GP40" i="1"/>
  <c r="GV40" i="1"/>
  <c r="HC40" i="1" s="1"/>
  <c r="GX40" i="1" s="1"/>
  <c r="CJ46" i="1" s="1"/>
  <c r="C41" i="1"/>
  <c r="D41" i="1"/>
  <c r="I41" i="1"/>
  <c r="CX16" i="3" s="1"/>
  <c r="K41" i="1"/>
  <c r="AC41" i="1"/>
  <c r="AE41" i="1"/>
  <c r="AF41" i="1"/>
  <c r="AG41" i="1"/>
  <c r="AH41" i="1"/>
  <c r="AI41" i="1"/>
  <c r="AJ41" i="1"/>
  <c r="CT41" i="1"/>
  <c r="CU41" i="1"/>
  <c r="CV41" i="1"/>
  <c r="U41" i="1" s="1"/>
  <c r="CW41" i="1"/>
  <c r="V41" i="1" s="1"/>
  <c r="CX41" i="1"/>
  <c r="W41" i="1" s="1"/>
  <c r="GL41" i="1"/>
  <c r="GN41" i="1"/>
  <c r="GP41" i="1"/>
  <c r="GV41" i="1"/>
  <c r="HC41" i="1"/>
  <c r="P43" i="1"/>
  <c r="FR43" i="1" s="1"/>
  <c r="BY46" i="1" s="1"/>
  <c r="AP46" i="1" s="1"/>
  <c r="Q43" i="1"/>
  <c r="CP43" i="1" s="1"/>
  <c r="O43" i="1" s="1"/>
  <c r="R43" i="1"/>
  <c r="S43" i="1"/>
  <c r="T43" i="1"/>
  <c r="AC43" i="1"/>
  <c r="AE43" i="1"/>
  <c r="AD43" i="1" s="1"/>
  <c r="AB43" i="1" s="1"/>
  <c r="AF43" i="1"/>
  <c r="CT43" i="1" s="1"/>
  <c r="AG43" i="1"/>
  <c r="CU43" i="1" s="1"/>
  <c r="AH43" i="1"/>
  <c r="CV43" i="1" s="1"/>
  <c r="U43" i="1" s="1"/>
  <c r="AI43" i="1"/>
  <c r="CW43" i="1" s="1"/>
  <c r="V43" i="1" s="1"/>
  <c r="AJ43" i="1"/>
  <c r="CX43" i="1" s="1"/>
  <c r="W43" i="1" s="1"/>
  <c r="CQ43" i="1"/>
  <c r="CR43" i="1"/>
  <c r="CS43" i="1"/>
  <c r="GL43" i="1"/>
  <c r="GN43" i="1"/>
  <c r="GO43" i="1"/>
  <c r="GP43" i="1"/>
  <c r="GV43" i="1"/>
  <c r="HC43" i="1"/>
  <c r="GX43" i="1" s="1"/>
  <c r="AC44" i="1"/>
  <c r="AD44" i="1"/>
  <c r="AB44" i="1" s="1"/>
  <c r="AE44" i="1"/>
  <c r="AF44" i="1"/>
  <c r="AG44" i="1"/>
  <c r="AH44" i="1"/>
  <c r="AI44" i="1"/>
  <c r="AJ44" i="1"/>
  <c r="CU44" i="1"/>
  <c r="T44" i="1" s="1"/>
  <c r="CV44" i="1"/>
  <c r="U44" i="1" s="1"/>
  <c r="CW44" i="1"/>
  <c r="V44" i="1" s="1"/>
  <c r="CX44" i="1"/>
  <c r="W44" i="1" s="1"/>
  <c r="GL44" i="1"/>
  <c r="GN44" i="1"/>
  <c r="GO44" i="1"/>
  <c r="GP44" i="1"/>
  <c r="GV44" i="1"/>
  <c r="GX44" i="1"/>
  <c r="HC44" i="1"/>
  <c r="B46" i="1"/>
  <c r="B26" i="1" s="1"/>
  <c r="C46" i="1"/>
  <c r="C26" i="1" s="1"/>
  <c r="D46" i="1"/>
  <c r="D26" i="1" s="1"/>
  <c r="F46" i="1"/>
  <c r="F26" i="1" s="1"/>
  <c r="G46" i="1"/>
  <c r="G26" i="1" s="1"/>
  <c r="BX46" i="1"/>
  <c r="AO46" i="1" s="1"/>
  <c r="AO26" i="1" s="1"/>
  <c r="CK46" i="1"/>
  <c r="BB46" i="1" s="1"/>
  <c r="BB26" i="1" s="1"/>
  <c r="CL46" i="1"/>
  <c r="BC46" i="1" s="1"/>
  <c r="CM46" i="1"/>
  <c r="BD46" i="1" s="1"/>
  <c r="EG46" i="1"/>
  <c r="EG26" i="1" s="1"/>
  <c r="EK46" i="1"/>
  <c r="EK76" i="1" s="1"/>
  <c r="EM46" i="1"/>
  <c r="EM76" i="1" s="1"/>
  <c r="P95" i="1" s="1"/>
  <c r="FP46" i="1"/>
  <c r="FT46" i="1"/>
  <c r="FT26" i="1" s="1"/>
  <c r="FV46" i="1"/>
  <c r="FV26" i="1" s="1"/>
  <c r="GC46" i="1"/>
  <c r="GC26" i="1" s="1"/>
  <c r="GD46" i="1"/>
  <c r="GD26" i="1" s="1"/>
  <c r="GE46" i="1"/>
  <c r="GE26" i="1" s="1"/>
  <c r="F50" i="1"/>
  <c r="B76" i="1"/>
  <c r="B22" i="1" s="1"/>
  <c r="C76" i="1"/>
  <c r="C22" i="1" s="1"/>
  <c r="D76" i="1"/>
  <c r="D22" i="1" s="1"/>
  <c r="F76" i="1"/>
  <c r="F22" i="1" s="1"/>
  <c r="G76" i="1"/>
  <c r="G22" i="1" s="1"/>
  <c r="AO76" i="1"/>
  <c r="AO106" i="1" s="1"/>
  <c r="AO18" i="1" s="1"/>
  <c r="BD76" i="1"/>
  <c r="BD22" i="1" s="1"/>
  <c r="F80" i="1"/>
  <c r="B106" i="1"/>
  <c r="C106" i="1"/>
  <c r="D106" i="1"/>
  <c r="F106" i="1"/>
  <c r="G106" i="1"/>
  <c r="F110" i="1"/>
  <c r="F12" i="6"/>
  <c r="G12" i="6"/>
  <c r="H106" i="7" l="1"/>
  <c r="H110" i="7"/>
  <c r="CD26" i="1"/>
  <c r="AU46" i="1"/>
  <c r="DF16" i="3"/>
  <c r="DG16" i="3"/>
  <c r="DH16" i="3"/>
  <c r="DI16" i="3"/>
  <c r="DJ16" i="3" s="1"/>
  <c r="U46" i="1"/>
  <c r="AH26" i="1"/>
  <c r="T46" i="1"/>
  <c r="AG26" i="1"/>
  <c r="EK22" i="1"/>
  <c r="EK106" i="1"/>
  <c r="P93" i="1"/>
  <c r="E16" i="2" s="1"/>
  <c r="CJ26" i="1"/>
  <c r="BA46" i="1"/>
  <c r="AI46" i="1"/>
  <c r="FR26" i="1"/>
  <c r="EI46" i="1"/>
  <c r="FY46" i="1"/>
  <c r="BD26" i="1"/>
  <c r="F71" i="1"/>
  <c r="CY43" i="1"/>
  <c r="X43" i="1" s="1"/>
  <c r="GM43" i="1" s="1"/>
  <c r="CZ43" i="1"/>
  <c r="Y43" i="1" s="1"/>
  <c r="GX39" i="1"/>
  <c r="GB46" i="1" s="1"/>
  <c r="R39" i="1"/>
  <c r="CR36" i="1"/>
  <c r="CS36" i="1"/>
  <c r="CV6" i="3"/>
  <c r="DF4" i="3"/>
  <c r="DJ4" i="3" s="1"/>
  <c r="DG4" i="3"/>
  <c r="DH4" i="3"/>
  <c r="DI4" i="3"/>
  <c r="EG76" i="1"/>
  <c r="P50" i="1"/>
  <c r="EV46" i="1"/>
  <c r="BC26" i="1"/>
  <c r="F62" i="1"/>
  <c r="Q39" i="1"/>
  <c r="CP39" i="1" s="1"/>
  <c r="O39" i="1" s="1"/>
  <c r="P31" i="1"/>
  <c r="CQ31" i="1"/>
  <c r="BZ46" i="1"/>
  <c r="S32" i="1"/>
  <c r="CT32" i="1"/>
  <c r="DH12" i="3"/>
  <c r="DF12" i="3"/>
  <c r="DJ12" i="3" s="1"/>
  <c r="DG12" i="3"/>
  <c r="DF2" i="3"/>
  <c r="DJ2" i="3" s="1"/>
  <c r="DH2" i="3"/>
  <c r="DG2" i="3"/>
  <c r="F101" i="1"/>
  <c r="P65" i="1"/>
  <c r="CT44" i="1"/>
  <c r="S44" i="1"/>
  <c r="AP76" i="1"/>
  <c r="AP26" i="1"/>
  <c r="F55" i="1"/>
  <c r="R36" i="1"/>
  <c r="R32" i="1"/>
  <c r="CR32" i="1"/>
  <c r="CS32" i="1"/>
  <c r="EM26" i="1"/>
  <c r="Q44" i="1"/>
  <c r="R44" i="1"/>
  <c r="CR44" i="1"/>
  <c r="CS44" i="1"/>
  <c r="AJ46" i="1"/>
  <c r="DF15" i="3"/>
  <c r="DG15" i="3"/>
  <c r="DH15" i="3"/>
  <c r="DI15" i="3"/>
  <c r="DJ15" i="3" s="1"/>
  <c r="CS41" i="1"/>
  <c r="R41" i="1"/>
  <c r="CR41" i="1"/>
  <c r="CQ32" i="1"/>
  <c r="AB32" i="1"/>
  <c r="EK26" i="1"/>
  <c r="BC76" i="1"/>
  <c r="P44" i="1"/>
  <c r="CQ44" i="1"/>
  <c r="AD41" i="1"/>
  <c r="AB41" i="1" s="1"/>
  <c r="CY30" i="1"/>
  <c r="X30" i="1" s="1"/>
  <c r="CZ30" i="1"/>
  <c r="Y30" i="1" s="1"/>
  <c r="DF7" i="3"/>
  <c r="DG7" i="3"/>
  <c r="DH7" i="3"/>
  <c r="DI7" i="3"/>
  <c r="DJ7" i="3" s="1"/>
  <c r="BD106" i="1"/>
  <c r="BB76" i="1"/>
  <c r="P63" i="1"/>
  <c r="P41" i="1"/>
  <c r="CQ41" i="1"/>
  <c r="S38" i="1"/>
  <c r="CT38" i="1"/>
  <c r="P32" i="1"/>
  <c r="DW46" i="1"/>
  <c r="DF5" i="3"/>
  <c r="DG5" i="3"/>
  <c r="DH5" i="3"/>
  <c r="DI5" i="3"/>
  <c r="DJ5" i="3" s="1"/>
  <c r="W39" i="1"/>
  <c r="R38" i="1"/>
  <c r="CR38" i="1"/>
  <c r="CS38" i="1"/>
  <c r="CY40" i="1"/>
  <c r="X40" i="1" s="1"/>
  <c r="CZ40" i="1"/>
  <c r="Y40" i="1" s="1"/>
  <c r="GM40" i="1" s="1"/>
  <c r="GO40" i="1" s="1"/>
  <c r="V39" i="1"/>
  <c r="EA46" i="1" s="1"/>
  <c r="AD38" i="1"/>
  <c r="AB38" i="1" s="1"/>
  <c r="CP30" i="1"/>
  <c r="O30" i="1" s="1"/>
  <c r="CX13" i="3"/>
  <c r="F59" i="1"/>
  <c r="U39" i="1"/>
  <c r="DZ46" i="1" s="1"/>
  <c r="P38" i="1"/>
  <c r="CP38" i="1" s="1"/>
  <c r="O38" i="1" s="1"/>
  <c r="CQ38" i="1"/>
  <c r="S29" i="1"/>
  <c r="CT29" i="1"/>
  <c r="DF3" i="3"/>
  <c r="DI3" i="3"/>
  <c r="DJ3" i="3" s="1"/>
  <c r="DG3" i="3"/>
  <c r="DH3" i="3"/>
  <c r="T39" i="1"/>
  <c r="DY46" i="1" s="1"/>
  <c r="CQ34" i="1"/>
  <c r="P34" i="1"/>
  <c r="Q29" i="1"/>
  <c r="AD46" i="1" s="1"/>
  <c r="R29" i="1"/>
  <c r="CR29" i="1"/>
  <c r="CS29" i="1"/>
  <c r="CY37" i="1"/>
  <c r="X37" i="1" s="1"/>
  <c r="CZ37" i="1"/>
  <c r="Y37" i="1" s="1"/>
  <c r="AB34" i="1"/>
  <c r="AD29" i="1"/>
  <c r="AB29" i="1" s="1"/>
  <c r="FP26" i="1"/>
  <c r="DI12" i="3"/>
  <c r="EM106" i="1"/>
  <c r="EM22" i="1"/>
  <c r="Q41" i="1"/>
  <c r="S41" i="1"/>
  <c r="GX41" i="1"/>
  <c r="CR39" i="1"/>
  <c r="CS39" i="1"/>
  <c r="AD39" i="1"/>
  <c r="AB39" i="1" s="1"/>
  <c r="CY33" i="1"/>
  <c r="X33" i="1" s="1"/>
  <c r="GM33" i="1" s="1"/>
  <c r="GO33" i="1" s="1"/>
  <c r="CZ33" i="1"/>
  <c r="Y33" i="1" s="1"/>
  <c r="W32" i="1"/>
  <c r="EB46" i="1" s="1"/>
  <c r="AO22" i="1"/>
  <c r="CU16" i="3"/>
  <c r="CX14" i="3"/>
  <c r="DI2" i="3"/>
  <c r="T41" i="1"/>
  <c r="S39" i="1"/>
  <c r="Q38" i="1"/>
  <c r="S36" i="1"/>
  <c r="CT36" i="1"/>
  <c r="CB46" i="1"/>
  <c r="BY26" i="1"/>
  <c r="CX6" i="3"/>
  <c r="EU46" i="1"/>
  <c r="Q37" i="1"/>
  <c r="CP37" i="1" s="1"/>
  <c r="O37" i="1" s="1"/>
  <c r="GM37" i="1" s="1"/>
  <c r="GO37" i="1" s="1"/>
  <c r="AB36" i="1"/>
  <c r="S34" i="1"/>
  <c r="CL26" i="1"/>
  <c r="CX9" i="3"/>
  <c r="ET46" i="1"/>
  <c r="CK26" i="1"/>
  <c r="CU8" i="3"/>
  <c r="CX11" i="3"/>
  <c r="CX1" i="3"/>
  <c r="DI8" i="3"/>
  <c r="DJ8" i="3" s="1"/>
  <c r="EA26" i="1" l="1"/>
  <c r="DN46" i="1"/>
  <c r="DM46" i="1"/>
  <c r="DZ26" i="1"/>
  <c r="GB26" i="1"/>
  <c r="ES46" i="1"/>
  <c r="EB26" i="1"/>
  <c r="DO46" i="1"/>
  <c r="DL46" i="1"/>
  <c r="DY26" i="1"/>
  <c r="DF14" i="3"/>
  <c r="DG14" i="3"/>
  <c r="DH14" i="3"/>
  <c r="DI14" i="3"/>
  <c r="DJ14" i="3" s="1"/>
  <c r="CY32" i="1"/>
  <c r="X32" i="1" s="1"/>
  <c r="CZ32" i="1"/>
  <c r="Y32" i="1" s="1"/>
  <c r="AQ46" i="1"/>
  <c r="BZ26" i="1"/>
  <c r="CI46" i="1"/>
  <c r="CG46" i="1"/>
  <c r="P123" i="1"/>
  <c r="EK18" i="1"/>
  <c r="CY34" i="1"/>
  <c r="X34" i="1" s="1"/>
  <c r="CZ34" i="1"/>
  <c r="Y34" i="1" s="1"/>
  <c r="AP22" i="1"/>
  <c r="AP106" i="1"/>
  <c r="F85" i="1"/>
  <c r="V16" i="2" s="1"/>
  <c r="EC46" i="1"/>
  <c r="CY44" i="1"/>
  <c r="X44" i="1" s="1"/>
  <c r="CZ44" i="1"/>
  <c r="Y44" i="1" s="1"/>
  <c r="CP31" i="1"/>
  <c r="O31" i="1" s="1"/>
  <c r="GM31" i="1" s="1"/>
  <c r="GO31" i="1" s="1"/>
  <c r="AC46" i="1"/>
  <c r="DH9" i="3"/>
  <c r="DI9" i="3"/>
  <c r="DJ9" i="3" s="1"/>
  <c r="DF9" i="3"/>
  <c r="DG9" i="3"/>
  <c r="DX46" i="1"/>
  <c r="AJ26" i="1"/>
  <c r="W46" i="1"/>
  <c r="T26" i="1"/>
  <c r="T76" i="1"/>
  <c r="F67" i="1"/>
  <c r="GM38" i="1"/>
  <c r="GO38" i="1" s="1"/>
  <c r="DF13" i="3"/>
  <c r="DG13" i="3"/>
  <c r="DI13" i="3"/>
  <c r="DJ13" i="3" s="1"/>
  <c r="DH13" i="3"/>
  <c r="CP32" i="1"/>
  <c r="O32" i="1" s="1"/>
  <c r="DU46" i="1"/>
  <c r="CP34" i="1"/>
  <c r="O34" i="1" s="1"/>
  <c r="GM30" i="1"/>
  <c r="CP44" i="1"/>
  <c r="O44" i="1" s="1"/>
  <c r="FR44" i="1"/>
  <c r="FQ46" i="1" s="1"/>
  <c r="EV26" i="1"/>
  <c r="P71" i="1"/>
  <c r="EV76" i="1"/>
  <c r="FY26" i="1"/>
  <c r="EP46" i="1"/>
  <c r="F68" i="1"/>
  <c r="U26" i="1"/>
  <c r="U76" i="1"/>
  <c r="AS46" i="1"/>
  <c r="CB26" i="1"/>
  <c r="CY38" i="1"/>
  <c r="X38" i="1" s="1"/>
  <c r="CZ38" i="1"/>
  <c r="Y38" i="1" s="1"/>
  <c r="F92" i="1"/>
  <c r="BC22" i="1"/>
  <c r="BC106" i="1"/>
  <c r="EI26" i="1"/>
  <c r="EI76" i="1"/>
  <c r="P56" i="1"/>
  <c r="AE46" i="1"/>
  <c r="CY41" i="1"/>
  <c r="X41" i="1" s="1"/>
  <c r="CZ41" i="1"/>
  <c r="Y41" i="1" s="1"/>
  <c r="EG22" i="1"/>
  <c r="EG106" i="1"/>
  <c r="P80" i="1"/>
  <c r="DJ46" i="1"/>
  <c r="DW26" i="1"/>
  <c r="CP41" i="1"/>
  <c r="O41" i="1" s="1"/>
  <c r="EU26" i="1"/>
  <c r="P62" i="1"/>
  <c r="EU76" i="1"/>
  <c r="CY36" i="1"/>
  <c r="X36" i="1" s="1"/>
  <c r="CZ36" i="1"/>
  <c r="Y36" i="1" s="1"/>
  <c r="AI26" i="1"/>
  <c r="V46" i="1"/>
  <c r="Q46" i="1"/>
  <c r="AD26" i="1"/>
  <c r="DF1" i="3"/>
  <c r="DG1" i="3"/>
  <c r="DH1" i="3"/>
  <c r="DI1" i="3"/>
  <c r="DJ1" i="3" s="1"/>
  <c r="DF11" i="3"/>
  <c r="DG11" i="3"/>
  <c r="DH11" i="3"/>
  <c r="DI11" i="3"/>
  <c r="DJ11" i="3" s="1"/>
  <c r="CY39" i="1"/>
  <c r="X39" i="1" s="1"/>
  <c r="GM39" i="1" s="1"/>
  <c r="GO39" i="1" s="1"/>
  <c r="CZ39" i="1"/>
  <c r="Y39" i="1" s="1"/>
  <c r="ED46" i="1" s="1"/>
  <c r="EM18" i="1"/>
  <c r="P125" i="1"/>
  <c r="DV46" i="1"/>
  <c r="F89" i="1"/>
  <c r="BB22" i="1"/>
  <c r="BB106" i="1"/>
  <c r="AF46" i="1"/>
  <c r="CY29" i="1"/>
  <c r="X29" i="1" s="1"/>
  <c r="AK46" i="1" s="1"/>
  <c r="CZ29" i="1"/>
  <c r="Y29" i="1" s="1"/>
  <c r="AL46" i="1" s="1"/>
  <c r="DF6" i="3"/>
  <c r="DG6" i="3"/>
  <c r="DH6" i="3"/>
  <c r="DI6" i="3"/>
  <c r="DJ6" i="3" s="1"/>
  <c r="BD18" i="1"/>
  <c r="F131" i="1"/>
  <c r="CP36" i="1"/>
  <c r="O36" i="1" s="1"/>
  <c r="GM36" i="1" s="1"/>
  <c r="GO36" i="1" s="1"/>
  <c r="BA26" i="1"/>
  <c r="BA76" i="1"/>
  <c r="F66" i="1"/>
  <c r="AU76" i="1"/>
  <c r="AU26" i="1"/>
  <c r="F65" i="1"/>
  <c r="CP29" i="1"/>
  <c r="O29" i="1" s="1"/>
  <c r="P59" i="1"/>
  <c r="ET26" i="1"/>
  <c r="ET76" i="1"/>
  <c r="ED26" i="1" l="1"/>
  <c r="DQ46" i="1"/>
  <c r="P110" i="1"/>
  <c r="EG18" i="1"/>
  <c r="EC26" i="1"/>
  <c r="DP46" i="1"/>
  <c r="AP18" i="1"/>
  <c r="F115" i="1"/>
  <c r="R46" i="1"/>
  <c r="AE26" i="1"/>
  <c r="EV106" i="1"/>
  <c r="P101" i="1"/>
  <c r="EV22" i="1"/>
  <c r="F97" i="1"/>
  <c r="T106" i="1"/>
  <c r="T22" i="1"/>
  <c r="AK26" i="1"/>
  <c r="X46" i="1"/>
  <c r="EP76" i="1"/>
  <c r="P53" i="1"/>
  <c r="EP26" i="1"/>
  <c r="EI22" i="1"/>
  <c r="EI106" i="1"/>
  <c r="P86" i="1"/>
  <c r="W26" i="1"/>
  <c r="F70" i="1"/>
  <c r="W76" i="1"/>
  <c r="P67" i="1"/>
  <c r="DL26" i="1"/>
  <c r="DL76" i="1"/>
  <c r="GA46" i="1"/>
  <c r="FQ26" i="1"/>
  <c r="EH46" i="1"/>
  <c r="GM44" i="1"/>
  <c r="DK46" i="1"/>
  <c r="DX26" i="1"/>
  <c r="DO26" i="1"/>
  <c r="P70" i="1"/>
  <c r="DO76" i="1"/>
  <c r="DT46" i="1"/>
  <c r="S46" i="1"/>
  <c r="AF26" i="1"/>
  <c r="V26" i="1"/>
  <c r="F69" i="1"/>
  <c r="V76" i="1"/>
  <c r="FS46" i="1"/>
  <c r="GO30" i="1"/>
  <c r="FU46" i="1" s="1"/>
  <c r="CG26" i="1"/>
  <c r="AX46" i="1"/>
  <c r="ES26" i="1"/>
  <c r="ES76" i="1"/>
  <c r="P66" i="1"/>
  <c r="AU22" i="1"/>
  <c r="AU106" i="1"/>
  <c r="F95" i="1"/>
  <c r="W16" i="2" s="1"/>
  <c r="GM34" i="1"/>
  <c r="GO34" i="1" s="1"/>
  <c r="CI26" i="1"/>
  <c r="AZ46" i="1"/>
  <c r="AL26" i="1"/>
  <c r="Y46" i="1"/>
  <c r="DI46" i="1"/>
  <c r="DV26" i="1"/>
  <c r="BC18" i="1"/>
  <c r="F122" i="1"/>
  <c r="FW46" i="1"/>
  <c r="FX46" i="1"/>
  <c r="FZ46" i="1"/>
  <c r="DH46" i="1"/>
  <c r="DU26" i="1"/>
  <c r="GM41" i="1"/>
  <c r="GO41" i="1" s="1"/>
  <c r="GM32" i="1"/>
  <c r="GO32" i="1" s="1"/>
  <c r="CH46" i="1"/>
  <c r="CE46" i="1"/>
  <c r="P46" i="1"/>
  <c r="CF46" i="1"/>
  <c r="AC26" i="1"/>
  <c r="AQ76" i="1"/>
  <c r="AQ26" i="1"/>
  <c r="F56" i="1"/>
  <c r="DM26" i="1"/>
  <c r="P68" i="1"/>
  <c r="DM76" i="1"/>
  <c r="AB46" i="1"/>
  <c r="GM29" i="1"/>
  <c r="F119" i="1"/>
  <c r="BB18" i="1"/>
  <c r="P60" i="1"/>
  <c r="DJ76" i="1"/>
  <c r="DJ26" i="1"/>
  <c r="AS76" i="1"/>
  <c r="F63" i="1"/>
  <c r="AS26" i="1"/>
  <c r="DN26" i="1"/>
  <c r="P69" i="1"/>
  <c r="DN76" i="1"/>
  <c r="Q76" i="1"/>
  <c r="F58" i="1"/>
  <c r="Q26" i="1"/>
  <c r="BA106" i="1"/>
  <c r="BA22" i="1"/>
  <c r="F96" i="1"/>
  <c r="P92" i="1"/>
  <c r="EU106" i="1"/>
  <c r="EU22" i="1"/>
  <c r="P89" i="1"/>
  <c r="ET106" i="1"/>
  <c r="ET22" i="1"/>
  <c r="F98" i="1"/>
  <c r="U106" i="1"/>
  <c r="U22" i="1"/>
  <c r="F127" i="1" l="1"/>
  <c r="T18" i="1"/>
  <c r="Q22" i="1"/>
  <c r="Q106" i="1"/>
  <c r="F88" i="1"/>
  <c r="AQ22" i="1"/>
  <c r="AQ106" i="1"/>
  <c r="F86" i="1"/>
  <c r="F99" i="1"/>
  <c r="V106" i="1"/>
  <c r="V22" i="1"/>
  <c r="F100" i="1"/>
  <c r="W22" i="1"/>
  <c r="W106" i="1"/>
  <c r="EV18" i="1"/>
  <c r="P131" i="1"/>
  <c r="AZ26" i="1"/>
  <c r="F57" i="1"/>
  <c r="AZ76" i="1"/>
  <c r="F60" i="1"/>
  <c r="R76" i="1"/>
  <c r="R26" i="1"/>
  <c r="P99" i="1"/>
  <c r="DN106" i="1"/>
  <c r="DN22" i="1"/>
  <c r="DG46" i="1"/>
  <c r="DT26" i="1"/>
  <c r="P97" i="1"/>
  <c r="DL106" i="1"/>
  <c r="DL22" i="1"/>
  <c r="EU18" i="1"/>
  <c r="P122" i="1"/>
  <c r="P100" i="1"/>
  <c r="DO22" i="1"/>
  <c r="DO106" i="1"/>
  <c r="P116" i="1"/>
  <c r="EI18" i="1"/>
  <c r="GA26" i="1"/>
  <c r="ER46" i="1"/>
  <c r="DP26" i="1"/>
  <c r="P72" i="1"/>
  <c r="DP76" i="1"/>
  <c r="DI76" i="1"/>
  <c r="P58" i="1"/>
  <c r="DI26" i="1"/>
  <c r="CE26" i="1"/>
  <c r="AV46" i="1"/>
  <c r="AU18" i="1"/>
  <c r="F125" i="1"/>
  <c r="FU26" i="1"/>
  <c r="EL46" i="1"/>
  <c r="F128" i="1"/>
  <c r="U18" i="1"/>
  <c r="S26" i="1"/>
  <c r="F61" i="1"/>
  <c r="S76" i="1"/>
  <c r="DH76" i="1"/>
  <c r="DH26" i="1"/>
  <c r="P49" i="1"/>
  <c r="Y26" i="1"/>
  <c r="Y76" i="1"/>
  <c r="F73" i="1"/>
  <c r="P76" i="1"/>
  <c r="P26" i="1"/>
  <c r="F49" i="1"/>
  <c r="CH26" i="1"/>
  <c r="AY46" i="1"/>
  <c r="O46" i="1"/>
  <c r="AB26" i="1"/>
  <c r="FZ26" i="1"/>
  <c r="EQ46" i="1"/>
  <c r="ES106" i="1"/>
  <c r="P96" i="1"/>
  <c r="H16" i="2" s="1"/>
  <c r="ES22" i="1"/>
  <c r="DK26" i="1"/>
  <c r="DK76" i="1"/>
  <c r="P61" i="1"/>
  <c r="EP22" i="1"/>
  <c r="EP106" i="1"/>
  <c r="P83" i="1"/>
  <c r="FS26" i="1"/>
  <c r="EJ46" i="1"/>
  <c r="CF26" i="1"/>
  <c r="AW46" i="1"/>
  <c r="P119" i="1"/>
  <c r="ET18" i="1"/>
  <c r="P90" i="1"/>
  <c r="DJ106" i="1"/>
  <c r="DJ22" i="1"/>
  <c r="P98" i="1"/>
  <c r="DM106" i="1"/>
  <c r="DM22" i="1"/>
  <c r="X26" i="1"/>
  <c r="F72" i="1"/>
  <c r="X76" i="1"/>
  <c r="DQ26" i="1"/>
  <c r="P73" i="1"/>
  <c r="DQ76" i="1"/>
  <c r="AS22" i="1"/>
  <c r="AS106" i="1"/>
  <c r="F93" i="1"/>
  <c r="T16" i="2" s="1"/>
  <c r="GO29" i="1"/>
  <c r="CC46" i="1" s="1"/>
  <c r="CA46" i="1"/>
  <c r="BA18" i="1"/>
  <c r="F126" i="1"/>
  <c r="FX26" i="1"/>
  <c r="EO46" i="1"/>
  <c r="FW26" i="1"/>
  <c r="EN46" i="1"/>
  <c r="F53" i="1"/>
  <c r="AX76" i="1"/>
  <c r="AX26" i="1"/>
  <c r="EH26" i="1"/>
  <c r="P55" i="1"/>
  <c r="EH76" i="1"/>
  <c r="F103" i="1" l="1"/>
  <c r="Y106" i="1"/>
  <c r="Y22" i="1"/>
  <c r="P127" i="1"/>
  <c r="DL18" i="1"/>
  <c r="DK106" i="1"/>
  <c r="P91" i="1"/>
  <c r="J16" i="2" s="1"/>
  <c r="DK22" i="1"/>
  <c r="DI106" i="1"/>
  <c r="DI22" i="1"/>
  <c r="P88" i="1"/>
  <c r="P48" i="1"/>
  <c r="DG76" i="1"/>
  <c r="DG26" i="1"/>
  <c r="V18" i="1"/>
  <c r="F129" i="1"/>
  <c r="P126" i="1"/>
  <c r="ES18" i="1"/>
  <c r="DN18" i="1"/>
  <c r="P129" i="1"/>
  <c r="EP18" i="1"/>
  <c r="P113" i="1"/>
  <c r="DM18" i="1"/>
  <c r="P128" i="1"/>
  <c r="DH106" i="1"/>
  <c r="DH22" i="1"/>
  <c r="P79" i="1"/>
  <c r="ER26" i="1"/>
  <c r="ER76" i="1"/>
  <c r="P57" i="1"/>
  <c r="AQ18" i="1"/>
  <c r="F116" i="1"/>
  <c r="P22" i="1"/>
  <c r="P106" i="1"/>
  <c r="F79" i="1"/>
  <c r="P51" i="1"/>
  <c r="EN76" i="1"/>
  <c r="EN26" i="1"/>
  <c r="F83" i="1"/>
  <c r="AX22" i="1"/>
  <c r="AX106" i="1"/>
  <c r="DJ18" i="1"/>
  <c r="P120" i="1"/>
  <c r="F90" i="1"/>
  <c r="R22" i="1"/>
  <c r="R106" i="1"/>
  <c r="AV76" i="1"/>
  <c r="AV26" i="1"/>
  <c r="F51" i="1"/>
  <c r="DP106" i="1"/>
  <c r="DP22" i="1"/>
  <c r="P102" i="1"/>
  <c r="F91" i="1"/>
  <c r="S106" i="1"/>
  <c r="S22" i="1"/>
  <c r="F52" i="1"/>
  <c r="AW76" i="1"/>
  <c r="AW26" i="1"/>
  <c r="O76" i="1"/>
  <c r="O26" i="1"/>
  <c r="F48" i="1"/>
  <c r="Q18" i="1"/>
  <c r="F118" i="1"/>
  <c r="AT46" i="1"/>
  <c r="CC26" i="1"/>
  <c r="EH22" i="1"/>
  <c r="EH106" i="1"/>
  <c r="P85" i="1"/>
  <c r="G16" i="2" s="1"/>
  <c r="AY26" i="1"/>
  <c r="F54" i="1"/>
  <c r="AY76" i="1"/>
  <c r="EL76" i="1"/>
  <c r="P64" i="1"/>
  <c r="EL26" i="1"/>
  <c r="DO18" i="1"/>
  <c r="P130" i="1"/>
  <c r="F87" i="1"/>
  <c r="AZ22" i="1"/>
  <c r="AZ106" i="1"/>
  <c r="X22" i="1"/>
  <c r="F102" i="1"/>
  <c r="X106" i="1"/>
  <c r="P52" i="1"/>
  <c r="EO76" i="1"/>
  <c r="EO26" i="1"/>
  <c r="EQ26" i="1"/>
  <c r="EQ76" i="1"/>
  <c r="P54" i="1"/>
  <c r="P103" i="1"/>
  <c r="DQ106" i="1"/>
  <c r="DQ22" i="1"/>
  <c r="EJ76" i="1"/>
  <c r="P74" i="1"/>
  <c r="EJ26" i="1"/>
  <c r="W18" i="1"/>
  <c r="F130" i="1"/>
  <c r="AR46" i="1"/>
  <c r="CA26" i="1"/>
  <c r="F123" i="1"/>
  <c r="AS18" i="1"/>
  <c r="DG106" i="1" l="1"/>
  <c r="DG22" i="1"/>
  <c r="P78" i="1"/>
  <c r="F81" i="1"/>
  <c r="AV22" i="1"/>
  <c r="AV106" i="1"/>
  <c r="F82" i="1"/>
  <c r="AW22" i="1"/>
  <c r="AW106" i="1"/>
  <c r="R18" i="1"/>
  <c r="F120" i="1"/>
  <c r="O22" i="1"/>
  <c r="O106" i="1"/>
  <c r="F78" i="1"/>
  <c r="AX18" i="1"/>
  <c r="F113" i="1"/>
  <c r="DH18" i="1"/>
  <c r="P109" i="1"/>
  <c r="DI18" i="1"/>
  <c r="P118" i="1"/>
  <c r="F84" i="1"/>
  <c r="AY106" i="1"/>
  <c r="AY22" i="1"/>
  <c r="EJ22" i="1"/>
  <c r="P104" i="1"/>
  <c r="EJ106" i="1"/>
  <c r="DK18" i="1"/>
  <c r="P121" i="1"/>
  <c r="P81" i="1"/>
  <c r="EN106" i="1"/>
  <c r="EN22" i="1"/>
  <c r="AZ18" i="1"/>
  <c r="F117" i="1"/>
  <c r="DQ18" i="1"/>
  <c r="P133" i="1"/>
  <c r="EQ106" i="1"/>
  <c r="P84" i="1"/>
  <c r="EQ22" i="1"/>
  <c r="P115" i="1"/>
  <c r="EH18" i="1"/>
  <c r="ER106" i="1"/>
  <c r="P87" i="1"/>
  <c r="ER22" i="1"/>
  <c r="S18" i="1"/>
  <c r="F121" i="1"/>
  <c r="X18" i="1"/>
  <c r="F132" i="1"/>
  <c r="DP18" i="1"/>
  <c r="P132" i="1"/>
  <c r="EL106" i="1"/>
  <c r="EL22" i="1"/>
  <c r="P94" i="1"/>
  <c r="F16" i="2" s="1"/>
  <c r="I16" i="2" s="1"/>
  <c r="N16" i="2" s="1"/>
  <c r="Y16" i="2"/>
  <c r="AR76" i="1"/>
  <c r="F74" i="1"/>
  <c r="AR26" i="1"/>
  <c r="P18" i="1"/>
  <c r="F109" i="1"/>
  <c r="Y18" i="1"/>
  <c r="F133" i="1"/>
  <c r="P82" i="1"/>
  <c r="EO106" i="1"/>
  <c r="EO22" i="1"/>
  <c r="AT76" i="1"/>
  <c r="AT26" i="1"/>
  <c r="F64" i="1"/>
  <c r="P111" i="1" l="1"/>
  <c r="EN18" i="1"/>
  <c r="ER18" i="1"/>
  <c r="P117" i="1"/>
  <c r="AV18" i="1"/>
  <c r="F111" i="1"/>
  <c r="AT22" i="1"/>
  <c r="AT106" i="1"/>
  <c r="F94" i="1"/>
  <c r="U16" i="2" s="1"/>
  <c r="X16" i="2" s="1"/>
  <c r="AC16" i="2" s="1"/>
  <c r="EO18" i="1"/>
  <c r="P112" i="1"/>
  <c r="AW18" i="1"/>
  <c r="F112" i="1"/>
  <c r="O18" i="1"/>
  <c r="F108" i="1"/>
  <c r="AR22" i="1"/>
  <c r="AR106" i="1"/>
  <c r="F104" i="1"/>
  <c r="P134" i="1"/>
  <c r="EJ18" i="1"/>
  <c r="EL18" i="1"/>
  <c r="P124" i="1"/>
  <c r="AY18" i="1"/>
  <c r="F114" i="1"/>
  <c r="EQ18" i="1"/>
  <c r="P114" i="1"/>
  <c r="P108" i="1"/>
  <c r="DG18" i="1"/>
  <c r="AT18" i="1" l="1"/>
  <c r="F124" i="1"/>
  <c r="F134" i="1"/>
  <c r="AR18" i="1"/>
</calcChain>
</file>

<file path=xl/sharedStrings.xml><?xml version="1.0" encoding="utf-8"?>
<sst xmlns="http://schemas.openxmlformats.org/spreadsheetml/2006/main" count="2004" uniqueCount="212">
  <si>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</si>
  <si>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</si>
  <si>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</si>
  <si>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</si>
  <si>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</si>
  <si>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02-01-19</t>
  </si>
  <si>
    <t>02-01-19 Вертикальный транспорт</t>
  </si>
  <si>
    <t>2024-00272-01-0-ВТ</t>
  </si>
  <si>
    <t>Борисова Е.С.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</si>
  <si>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</si>
  <si>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</si>
  <si>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</si>
  <si>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</si>
  <si>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</si>
  <si>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</si>
  <si>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</si>
  <si>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Вертикальный транспорт</t>
  </si>
  <si>
    <t>Подъемник грузовой консольный в осях «Ж-И/4-5»</t>
  </si>
  <si>
    <t>Демонтажные работы</t>
  </si>
  <si>
    <t>1</t>
  </si>
  <si>
    <t>4.3-32-1</t>
  </si>
  <si>
    <t>Лифт малогрузовой со скоростью движения кабины до 0,5 м/с, грузоподъемностью 100 кг, на 6 остановок, в глухой шахте, высота 21 м (схема управления релейно-контакторная)/ грузовой подъёмник</t>
  </si>
  <si>
    <t>1 лифт</t>
  </si>
  <si>
    <t>ТСН-2001.4. Доп. 1-42. Сб. 3, т. 32, поз. 1</t>
  </si>
  <si>
    <t>*0)*1</t>
  </si>
  <si>
    <t>*0,3)*1,1</t>
  </si>
  <si>
    <t>Монтаж оборудования</t>
  </si>
  <si>
    <t>ТСН-2001.4-3. Подъемно-транспортное оборудование</t>
  </si>
  <si>
    <t>ТСН-2001.4-3-1</t>
  </si>
  <si>
    <t>Поправка: Гл.12.Прил.8.п.8. 5_12.00.01.11.003</t>
  </si>
  <si>
    <t>2</t>
  </si>
  <si>
    <t>4.3-32-3</t>
  </si>
  <si>
    <t>За каждую остановку, более или менее указанных в характеристике лифта грузоподъемностью 100 кг в глухой шахте добавлять или уменьшать (схема управления релейно-контакторная)/ грузовой подъёмник</t>
  </si>
  <si>
    <t>1 остановка</t>
  </si>
  <si>
    <t>ТСН-2001.4. Доп. 1-42. Сб. 3, т. 32, поз. 3</t>
  </si>
  <si>
    <t>3</t>
  </si>
  <si>
    <t>4.3-32-4</t>
  </si>
  <si>
    <t>За каждый 1 м высоты шахты, более или менее указанных в характеристике малогрузового лифта грузоподъемностью 100 кг в глухой шахте добавлять или уменьшать (схема управления релейно-контакторная)/ грузовой подъёмник</t>
  </si>
  <si>
    <t>1 М</t>
  </si>
  <si>
    <t>ТСН-2001.4 Доп. 68, Сб. 3, т. 32, поз. 4</t>
  </si>
  <si>
    <t>Монтажные работы</t>
  </si>
  <si>
    <t>4</t>
  </si>
  <si>
    <t>4.3-34-1</t>
  </si>
  <si>
    <t>Лифт малогрузовой со скоростью движения кабины до 0,5 м/с, грузоподъемностью 100 кг, на 6 остановок, в глухой шахте, высота 21 м (схема управления микроэлектронная и микропроцессорная)/ грузовой подъёмник</t>
  </si>
  <si>
    <t>ТСН-2001.4. Доп. 1-42. Сб. 3, т. 34, поз. 1</t>
  </si>
  <si>
    <t>*1</t>
  </si>
  <si>
    <t>*1,1</t>
  </si>
  <si>
    <t>5</t>
  </si>
  <si>
    <t>4.3-34-3</t>
  </si>
  <si>
    <t>За каждую остановку, более или менее указанных в характеристике лифта грузоподъемностью 100 кг в глухой шахте добавлять или уменьшать (схема управления микроэлектронная и микропроцессорная)/ грузовой подъёмник</t>
  </si>
  <si>
    <t>ТСН-2001.4. Доп. 1-42. Сб. 3, т. 34, поз. 3</t>
  </si>
  <si>
    <t>6</t>
  </si>
  <si>
    <t>4.3-34-4</t>
  </si>
  <si>
    <t>За каждый 1 м высоты шахты, более или менее указанных в характеристике малогрузового лифта грузоподъемностью 100 кг в глухой шахте добавлять или уменьшать (схема управления микроэлектронная и микропроцессорная)/ грузовой подъёмник</t>
  </si>
  <si>
    <t>ТСН-2001.4 Доп. 68, Сб. 3, т. 34, поз. 4</t>
  </si>
  <si>
    <t>Оборудование</t>
  </si>
  <si>
    <t>7</t>
  </si>
  <si>
    <t>КА 1</t>
  </si>
  <si>
    <t>Подъемник грузовой консольный РЕСТО-ПГ-Ш-100-3150 ТТ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</si>
  <si>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</si>
  <si>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</si>
  <si>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</si>
  <si>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</si>
  <si>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[430 000 / 1,2 /  7,66] +  3% Трансп +  1,2% Заг.скл</t>
  </si>
  <si>
    <t>1,2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</si>
  <si>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</si>
  <si>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</si>
  <si>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</si>
  <si>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</si>
  <si>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</si>
  <si>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</si>
  <si>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</si>
  <si>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</si>
  <si>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</si>
  <si>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</si>
  <si>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</si>
  <si>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</si>
  <si>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</si>
  <si>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</si>
  <si>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</si>
  <si>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</si>
  <si>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</si>
  <si>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</si>
  <si>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</si>
  <si>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</si>
  <si>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</si>
  <si>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</si>
  <si>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</si>
  <si>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</si>
  <si>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</si>
  <si>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</si>
  <si>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</si>
  <si>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</si>
  <si>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</si>
  <si>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</si>
  <si>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</si>
  <si>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</si>
  <si>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</si>
  <si>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</si>
  <si>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</si>
  <si>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</si>
  <si>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</si>
  <si>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</si>
  <si>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</si>
  <si>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</si>
  <si>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</si>
  <si>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</si>
  <si>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</si>
  <si>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</si>
  <si>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</si>
  <si>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</si>
  <si>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</si>
  <si>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</si>
  <si>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</si>
  <si>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</si>
  <si>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</si>
  <si>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</si>
  <si>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</si>
  <si>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</si>
  <si>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</si>
  <si>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</si>
  <si>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</si>
  <si>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</si>
  <si>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</si>
  <si>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</si>
  <si>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</si>
  <si>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</si>
  <si>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</si>
  <si>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</si>
  <si>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</si>
  <si>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</si>
  <si>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</si>
  <si>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</si>
  <si>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</si>
  <si>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</si>
  <si>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</si>
  <si>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0</t>
  </si>
  <si>
    <t>_OBSM_</t>
  </si>
  <si>
    <t>9999990008</t>
  </si>
  <si>
    <t>Трудозатраты рабочих</t>
  </si>
  <si>
    <t>чел.-ч.</t>
  </si>
  <si>
    <t>9999990002</t>
  </si>
  <si>
    <t>Масса оборудования</t>
  </si>
  <si>
    <t>т</t>
  </si>
  <si>
    <t>*0</t>
  </si>
  <si>
    <t>*0,3</t>
  </si>
  <si>
    <t>Гл.12.Прил.8.п.8. 5_12.00.01.11.003</t>
  </si>
  <si>
    <t>Глава 12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</si>
  <si>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</si>
  <si>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</si>
  <si>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</si>
  <si>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</si>
  <si>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</si>
  <si>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</si>
  <si>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</si>
  <si>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</si>
  <si>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</si>
  <si>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</si>
  <si>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</si>
  <si>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</si>
  <si>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</si>
  <si>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</si>
  <si>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</si>
  <si>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</si>
  <si>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</si>
  <si>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</si>
  <si>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</si>
  <si>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</si>
  <si>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</si>
  <si>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</si>
  <si>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</si>
  <si>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</si>
  <si>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02-01-19 Вертикальный транспорт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</si>
  <si>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</si>
  <si>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</si>
  <si>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</si>
  <si>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4.3-32-1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</si>
  <si>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</si>
  <si>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</si>
  <si>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</si>
  <si>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</si>
  <si>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</si>
  <si>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</si>
  <si>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</si>
  <si>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</si>
  <si>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</si>
  <si>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</si>
  <si>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</si>
  <si>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4.3-32-3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</si>
  <si>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4.3-32-4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</si>
  <si>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4.3-34-1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</si>
  <si>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МР</t>
  </si>
  <si>
    <r>
      <t>4.3-34-3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</si>
  <si>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4.3-34-4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</si>
  <si>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Подъемник грузовой консольный РЕСТО-ПГ-Ш-100-3150 ТТ</t>
    </r>
    <r>
      <rPr>
        <i/>
        <sz val="10"/>
        <color rgb="FF821E82"/>
        <rFont val="Arial"/>
        <family val="2"/>
        <charset val="204"/>
      </rPr>
      <t xml:space="preserve">
48 761,40 = [430 000 / 1,2 /  7,66] +  3% Трансп +  1,2% Заг.скл</t>
    </r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</si>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</sst>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8" fillId="0" borderId="0" xfId="0" applyFont="1" applyAlignment="1">
      <alignment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wrapText="1"/>
    </xf>
    <xf numFmtId="0" fontId="20" fillId="0" borderId="1" xfId="0" applyFont="1" applyBorder="1" applyAlignment="1">
      <alignment horizontal="right"/>
    </xf>
    <xf numFmtId="164" fontId="20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right" wrapText="1"/>
    </xf>
    <xf numFmtId="0" fontId="23" fillId="0" borderId="0" xfId="0" applyFont="1"/>
    <xf numFmtId="0" fontId="24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12" fillId="0" borderId="1" xfId="0" applyFont="1" applyBorder="1"/>
    <xf numFmtId="0" fontId="16" fillId="0" borderId="0" xfId="0" applyFont="1" applyBorder="1" applyAlignment="1">
      <alignment horizontal="right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24" fillId="0" borderId="2" xfId="0" applyNumberFormat="1" applyFont="1" applyBorder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164" fontId="16" fillId="0" borderId="2" xfId="0" applyNumberFormat="1" applyFont="1" applyBorder="1" applyAlignment="1">
      <alignment horizontal="right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6" fillId="0" borderId="0" xfId="0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19"/>
  <sheetViews>
    <sheetView tabSelected="1" zoomScaleNormal="100" workbookViewId="0">
      <selection activeCell="M17" sqref="M17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9" max="9" width="10.28515625" bestFit="1" customWidth="1"/>
    <col min="11" max="11" width="11.425781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65" t="s">
        <v>171</v>
      </c>
      <c r="K2" s="65"/>
    </row>
    <row r="3" spans="1:42" ht="47.25" x14ac:dyDescent="0.25">
      <c r="A3" s="68" t="s">
        <v>4</v>
      </c>
      <c r="B3" s="68"/>
      <c r="C3" s="68"/>
      <c r="D3" s="68"/>
      <c r="E3" s="68"/>
      <c r="F3" s="68"/>
      <c r="G3" s="68"/>
      <c r="H3" s="68"/>
      <c r="I3" s="68"/>
      <c r="J3" s="68"/>
      <c r="K3" s="68"/>
      <c r="AP3" s="20" t="s">
        <v>172</v>
      </c>
    </row>
    <row r="4" spans="1:42" x14ac:dyDescent="0.2">
      <c r="A4" s="56" t="s">
        <v>150</v>
      </c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68" t="str">
        <f>CONCATENATE( "ЛОКАЛЬНАЯ СМЕТА № ",IF(Source!F20&lt;&gt;"Новая локальная смета", Source!F20, ""))</f>
        <v>ЛОКАЛЬНАЯ СМЕТА № 02-01-19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70" t="str">
        <f>IF(Source!G20&lt;&gt;"Новая локальная смета", Source!G20, "")</f>
        <v>Вертикальный транспорт</v>
      </c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42" x14ac:dyDescent="0.2">
      <c r="A9" s="71" t="s">
        <v>151</v>
      </c>
      <c r="B9" s="72"/>
      <c r="C9" s="72"/>
      <c r="D9" s="72"/>
      <c r="E9" s="72"/>
      <c r="F9" s="72"/>
      <c r="G9" s="72"/>
      <c r="H9" s="72"/>
      <c r="I9" s="72"/>
      <c r="J9" s="72"/>
      <c r="K9" s="72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64" t="str">
        <f>CONCATENATE( "Основание: чертежи № ", Source!J20)</f>
        <v>Основание: чертежи № 2024-00272-01-0-ВТ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42" ht="14.2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13" t="s">
        <v>152</v>
      </c>
      <c r="J13" s="13" t="s">
        <v>153</v>
      </c>
      <c r="K13" s="11"/>
    </row>
    <row r="14" spans="1:42" ht="15" x14ac:dyDescent="0.25">
      <c r="A14" s="11"/>
      <c r="B14" s="11"/>
      <c r="C14" s="11"/>
      <c r="D14" s="11"/>
      <c r="E14" s="67" t="s">
        <v>154</v>
      </c>
      <c r="F14" s="67"/>
      <c r="G14" s="67"/>
      <c r="H14" s="67"/>
      <c r="I14" s="14">
        <f>I15+I16+I17+I18</f>
        <v>58.019999999999996</v>
      </c>
      <c r="J14" s="14">
        <f>J15+J16+J17+J18</f>
        <v>837.05</v>
      </c>
      <c r="K14" s="15" t="s">
        <v>197</v>
      </c>
    </row>
    <row r="15" spans="1:42" ht="14.25" x14ac:dyDescent="0.2">
      <c r="A15" s="11"/>
      <c r="B15" s="11"/>
      <c r="C15" s="11"/>
      <c r="D15" s="11"/>
      <c r="E15" s="55" t="s">
        <v>155</v>
      </c>
      <c r="F15" s="55"/>
      <c r="G15" s="55"/>
      <c r="H15" s="55"/>
      <c r="I15" s="16">
        <f>ROUND((Source!F93)/1000, 2)</f>
        <v>0</v>
      </c>
      <c r="J15" s="16">
        <f>ROUND((Source!P93)/1000, 2)</f>
        <v>0</v>
      </c>
      <c r="K15" s="11" t="s">
        <v>197</v>
      </c>
    </row>
    <row r="16" spans="1:42" ht="14.25" x14ac:dyDescent="0.2">
      <c r="A16" s="11"/>
      <c r="B16" s="11"/>
      <c r="C16" s="11"/>
      <c r="D16" s="11"/>
      <c r="E16" s="55" t="s">
        <v>156</v>
      </c>
      <c r="F16" s="55"/>
      <c r="G16" s="55"/>
      <c r="H16" s="55"/>
      <c r="I16" s="16">
        <f>ROUND((Source!F94)/1000, 2)</f>
        <v>9.26</v>
      </c>
      <c r="J16" s="16">
        <f>ROUND((Source!P94)/1000, 2)</f>
        <v>463.54</v>
      </c>
      <c r="K16" s="11" t="s">
        <v>197</v>
      </c>
    </row>
    <row r="17" spans="1:42" ht="14.25" x14ac:dyDescent="0.2">
      <c r="A17" s="11"/>
      <c r="B17" s="11"/>
      <c r="C17" s="11"/>
      <c r="D17" s="11"/>
      <c r="E17" s="55" t="s">
        <v>55</v>
      </c>
      <c r="F17" s="55"/>
      <c r="G17" s="55"/>
      <c r="H17" s="55"/>
      <c r="I17" s="16">
        <f>ROUND((Source!F85)/1000, 2)</f>
        <v>48.76</v>
      </c>
      <c r="J17" s="16">
        <f>ROUND((Source!P85)/1000, 2)</f>
        <v>373.51</v>
      </c>
      <c r="K17" s="11" t="s">
        <v>197</v>
      </c>
    </row>
    <row r="18" spans="1:42" ht="14.25" x14ac:dyDescent="0.2">
      <c r="A18" s="11"/>
      <c r="B18" s="11"/>
      <c r="C18" s="11"/>
      <c r="D18" s="11"/>
      <c r="E18" s="55" t="s">
        <v>157</v>
      </c>
      <c r="F18" s="55"/>
      <c r="G18" s="55"/>
      <c r="H18" s="55"/>
      <c r="I18" s="16">
        <f>ROUND((Source!F95+Source!F96)/1000, 2)</f>
        <v>0</v>
      </c>
      <c r="J18" s="16">
        <f>ROUND((Source!P95+Source!P96)/1000, 2)</f>
        <v>0</v>
      </c>
      <c r="K18" s="11" t="s">
        <v>197</v>
      </c>
    </row>
    <row r="19" spans="1:42" ht="14.25" x14ac:dyDescent="0.2">
      <c r="A19" s="11"/>
      <c r="B19" s="11"/>
      <c r="C19" s="11"/>
      <c r="D19" s="11"/>
      <c r="E19" s="55" t="s">
        <v>158</v>
      </c>
      <c r="F19" s="55"/>
      <c r="G19" s="55"/>
      <c r="H19" s="55"/>
      <c r="I19" s="16">
        <f>(Source!F91+ Source!F90)/1000</f>
        <v>3.4214900000000004</v>
      </c>
      <c r="J19" s="16">
        <f>((Source!P91 + Source!P90)/1000)</f>
        <v>188.14774</v>
      </c>
      <c r="K19" s="11" t="s">
        <v>197</v>
      </c>
    </row>
    <row r="20" spans="1:42" ht="14.25" x14ac:dyDescent="0.2">
      <c r="A20" s="11"/>
      <c r="B20" s="11"/>
      <c r="C20" s="11"/>
      <c r="D20" s="11"/>
      <c r="E20" s="55" t="s">
        <v>159</v>
      </c>
      <c r="F20" s="55"/>
      <c r="G20" s="55"/>
      <c r="H20" s="55"/>
      <c r="I20" s="16">
        <f>Source!F98</f>
        <v>252.13564244000003</v>
      </c>
      <c r="J20" s="16"/>
      <c r="K20" s="11" t="s">
        <v>140</v>
      </c>
    </row>
    <row r="21" spans="1:42" ht="14.25" hidden="1" x14ac:dyDescent="0.2">
      <c r="A21" s="11"/>
      <c r="B21" s="11"/>
      <c r="C21" s="11"/>
      <c r="D21" s="11"/>
      <c r="E21" s="62" t="s">
        <v>160</v>
      </c>
      <c r="F21" s="62"/>
      <c r="G21" s="62"/>
      <c r="H21" s="62"/>
      <c r="I21" s="16"/>
      <c r="J21" s="16"/>
      <c r="K21" s="11"/>
    </row>
    <row r="22" spans="1:42" ht="14.25" hidden="1" x14ac:dyDescent="0.2">
      <c r="A22" s="11"/>
      <c r="B22" s="11"/>
      <c r="C22" s="11"/>
      <c r="D22" s="11"/>
      <c r="E22" s="63" t="s">
        <v>104</v>
      </c>
      <c r="F22" s="63"/>
      <c r="G22" s="63"/>
      <c r="H22" s="63"/>
      <c r="I22" s="16">
        <f>SUM(Y28:Y112)/1000</f>
        <v>0</v>
      </c>
      <c r="J22" s="16">
        <f>SUM(Z28:Z112)/1000</f>
        <v>0</v>
      </c>
      <c r="K22" s="11" t="s">
        <v>197</v>
      </c>
    </row>
    <row r="23" spans="1:42" ht="14.25" x14ac:dyDescent="0.2">
      <c r="A23" s="11"/>
      <c r="B23" s="11"/>
      <c r="C23" s="11"/>
      <c r="D23" s="11"/>
      <c r="E23" s="11"/>
      <c r="F23" s="17"/>
      <c r="G23" s="17"/>
      <c r="H23" s="17"/>
      <c r="I23" s="16"/>
      <c r="J23" s="16"/>
      <c r="K23" s="11"/>
    </row>
    <row r="24" spans="1:42" ht="14.25" x14ac:dyDescent="0.2">
      <c r="A24" s="11" t="s">
        <v>173</v>
      </c>
      <c r="B24" s="11"/>
      <c r="C24" s="11"/>
      <c r="D24" s="11"/>
      <c r="E24" s="11"/>
      <c r="F24" s="17"/>
      <c r="G24" s="17"/>
      <c r="H24" s="17"/>
      <c r="I24" s="16"/>
      <c r="J24" s="16"/>
      <c r="K24" s="11"/>
    </row>
    <row r="25" spans="1:42" ht="28.5" x14ac:dyDescent="0.2">
      <c r="A25" s="64" t="s">
        <v>174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AP25" s="21" t="s">
        <v>174</v>
      </c>
    </row>
    <row r="26" spans="1:42" ht="114" x14ac:dyDescent="0.2">
      <c r="A26" s="18" t="s">
        <v>161</v>
      </c>
      <c r="B26" s="18" t="s">
        <v>162</v>
      </c>
      <c r="C26" s="18" t="s">
        <v>163</v>
      </c>
      <c r="D26" s="18" t="s">
        <v>164</v>
      </c>
      <c r="E26" s="18" t="s">
        <v>165</v>
      </c>
      <c r="F26" s="18" t="s">
        <v>166</v>
      </c>
      <c r="G26" s="19" t="s">
        <v>167</v>
      </c>
      <c r="H26" s="19" t="s">
        <v>168</v>
      </c>
      <c r="I26" s="18" t="s">
        <v>175</v>
      </c>
      <c r="J26" s="18" t="s">
        <v>169</v>
      </c>
      <c r="K26" s="18" t="s">
        <v>170</v>
      </c>
    </row>
    <row r="27" spans="1:42" ht="14.25" x14ac:dyDescent="0.2">
      <c r="A27" s="18">
        <v>1</v>
      </c>
      <c r="B27" s="18">
        <v>2</v>
      </c>
      <c r="C27" s="18">
        <v>3</v>
      </c>
      <c r="D27" s="18">
        <v>4</v>
      </c>
      <c r="E27" s="18">
        <v>5</v>
      </c>
      <c r="F27" s="18">
        <v>6</v>
      </c>
      <c r="G27" s="18">
        <v>7</v>
      </c>
      <c r="H27" s="18">
        <v>8</v>
      </c>
      <c r="I27" s="18">
        <v>9</v>
      </c>
      <c r="J27" s="18">
        <v>10</v>
      </c>
      <c r="K27" s="18">
        <v>11</v>
      </c>
    </row>
    <row r="29" spans="1:42" ht="16.5" x14ac:dyDescent="0.25">
      <c r="A29" s="66" t="str">
        <f>CONCATENATE("Раздел: ",IF(Source!G24&lt;&gt;"Новый раздел", Source!G24, ""))</f>
        <v>Раздел: Подъемник грузовой консольный в осях «Ж-И/4-5»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spans="1:42" ht="14.25" x14ac:dyDescent="0.2">
      <c r="C30" s="22" t="str">
        <f>Source!G28</f>
        <v>Демонтажные работы</v>
      </c>
    </row>
    <row r="31" spans="1:42" ht="85.5" x14ac:dyDescent="0.2">
      <c r="A31" s="23">
        <v>1</v>
      </c>
      <c r="B31" s="23" t="s">
        <v>176</v>
      </c>
      <c r="C31" s="23" t="s">
        <v>21</v>
      </c>
      <c r="D31" s="25" t="str">
        <f>Source!H29</f>
        <v>1 лифт</v>
      </c>
      <c r="E31" s="24">
        <f>Source!I29</f>
        <v>1</v>
      </c>
      <c r="F31" s="27"/>
      <c r="G31" s="26"/>
      <c r="H31" s="24"/>
      <c r="I31" s="27"/>
      <c r="J31" s="24"/>
      <c r="K31" s="27"/>
      <c r="Q31">
        <f>Source!X29</f>
        <v>1487.35</v>
      </c>
      <c r="R31">
        <f>Source!X30</f>
        <v>81789.13</v>
      </c>
      <c r="S31">
        <f>Source!Y29</f>
        <v>792.17</v>
      </c>
      <c r="T31">
        <f>Source!Y30</f>
        <v>43561.599999999999</v>
      </c>
      <c r="U31">
        <f>ROUND((175/100)*ROUND(Source!R29, 2), 2)</f>
        <v>14.91</v>
      </c>
      <c r="V31">
        <f>ROUND((0/100)*ROUND(Source!R30, 2), 2)</f>
        <v>0</v>
      </c>
      <c r="AC31">
        <v>0</v>
      </c>
    </row>
    <row r="32" spans="1:42" ht="14.25" x14ac:dyDescent="0.2">
      <c r="A32" s="23"/>
      <c r="B32" s="23"/>
      <c r="C32" s="23" t="s">
        <v>177</v>
      </c>
      <c r="D32" s="25"/>
      <c r="E32" s="24"/>
      <c r="F32" s="27">
        <f>Source!AO29</f>
        <v>4567.2</v>
      </c>
      <c r="G32" s="26" t="str">
        <f>Source!DG29</f>
        <v>*0,3)*1,1</v>
      </c>
      <c r="H32" s="24">
        <f>Source!AV30</f>
        <v>1.0669999999999999</v>
      </c>
      <c r="I32" s="27">
        <f>Source!S29</f>
        <v>1608.16</v>
      </c>
      <c r="J32" s="24">
        <f>IF(Source!BA30&lt;&gt; 0, Source!BA30, 1)</f>
        <v>54.99</v>
      </c>
      <c r="K32" s="27">
        <f>Source!S30</f>
        <v>88432.72</v>
      </c>
    </row>
    <row r="33" spans="1:29" ht="14.25" x14ac:dyDescent="0.2">
      <c r="A33" s="23"/>
      <c r="B33" s="23"/>
      <c r="C33" s="23" t="s">
        <v>178</v>
      </c>
      <c r="D33" s="25"/>
      <c r="E33" s="24"/>
      <c r="F33" s="27">
        <f>Source!AM29</f>
        <v>338.32</v>
      </c>
      <c r="G33" s="26" t="str">
        <f>Source!DE29</f>
        <v>*0,3)*1,1</v>
      </c>
      <c r="H33" s="24">
        <f>Source!AV30</f>
        <v>1.0669999999999999</v>
      </c>
      <c r="I33" s="27">
        <f>Source!Q29</f>
        <v>119.13</v>
      </c>
      <c r="J33" s="24">
        <f>IF(Source!BB30&lt;&gt; 0, Source!BB30, 1)</f>
        <v>13.26</v>
      </c>
      <c r="K33" s="27">
        <f>Source!Q30</f>
        <v>1579.66</v>
      </c>
    </row>
    <row r="34" spans="1:29" ht="14.25" x14ac:dyDescent="0.2">
      <c r="A34" s="23"/>
      <c r="B34" s="23"/>
      <c r="C34" s="23" t="s">
        <v>179</v>
      </c>
      <c r="D34" s="25"/>
      <c r="E34" s="24"/>
      <c r="F34" s="27">
        <f>Source!AN29</f>
        <v>24.21</v>
      </c>
      <c r="G34" s="26" t="str">
        <f>Source!DF29</f>
        <v>*0,3)*1,1</v>
      </c>
      <c r="H34" s="24">
        <f>Source!AV30</f>
        <v>1.0669999999999999</v>
      </c>
      <c r="I34" s="28">
        <f>Source!R29</f>
        <v>8.52</v>
      </c>
      <c r="J34" s="24">
        <f>IF(Source!BS30&lt;&gt; 0, Source!BS30, 1)</f>
        <v>54.99</v>
      </c>
      <c r="K34" s="28">
        <f>Source!R30</f>
        <v>468.51</v>
      </c>
    </row>
    <row r="35" spans="1:29" ht="14.25" x14ac:dyDescent="0.2">
      <c r="A35" s="23"/>
      <c r="B35" s="23"/>
      <c r="C35" s="23" t="s">
        <v>180</v>
      </c>
      <c r="D35" s="25" t="s">
        <v>181</v>
      </c>
      <c r="E35" s="24">
        <f>Source!BZ30</f>
        <v>92</v>
      </c>
      <c r="F35" s="27"/>
      <c r="G35" s="26"/>
      <c r="H35" s="24"/>
      <c r="I35" s="27">
        <f>SUM(Q31:Q34)</f>
        <v>1487.35</v>
      </c>
      <c r="J35" s="24">
        <f>Source!AT30</f>
        <v>92</v>
      </c>
      <c r="K35" s="27">
        <f>SUM(R31:R34)</f>
        <v>81789.13</v>
      </c>
    </row>
    <row r="36" spans="1:29" ht="14.25" x14ac:dyDescent="0.2">
      <c r="A36" s="23"/>
      <c r="B36" s="23"/>
      <c r="C36" s="23" t="s">
        <v>182</v>
      </c>
      <c r="D36" s="25" t="s">
        <v>181</v>
      </c>
      <c r="E36" s="24">
        <f>Source!CA30</f>
        <v>49</v>
      </c>
      <c r="F36" s="27"/>
      <c r="G36" s="26"/>
      <c r="H36" s="24"/>
      <c r="I36" s="27">
        <f>SUM(S31:S35)</f>
        <v>792.17</v>
      </c>
      <c r="J36" s="24">
        <f>Source!AU30</f>
        <v>49</v>
      </c>
      <c r="K36" s="27">
        <f>SUM(T31:T35)</f>
        <v>43561.599999999999</v>
      </c>
    </row>
    <row r="37" spans="1:29" ht="14.25" x14ac:dyDescent="0.2">
      <c r="A37" s="29"/>
      <c r="B37" s="29"/>
      <c r="C37" s="29" t="s">
        <v>183</v>
      </c>
      <c r="D37" s="30" t="s">
        <v>184</v>
      </c>
      <c r="E37" s="31">
        <f>Source!AQ29</f>
        <v>346</v>
      </c>
      <c r="F37" s="32"/>
      <c r="G37" s="33" t="str">
        <f>Source!DI29</f>
        <v>*0,3)*1,1</v>
      </c>
      <c r="H37" s="31">
        <f>Source!AV30</f>
        <v>1.0669999999999999</v>
      </c>
      <c r="I37" s="32">
        <f>Source!U29</f>
        <v>121.83006</v>
      </c>
      <c r="J37" s="31"/>
      <c r="K37" s="32"/>
    </row>
    <row r="38" spans="1:29" ht="15" x14ac:dyDescent="0.25">
      <c r="C38" s="15" t="s">
        <v>185</v>
      </c>
      <c r="H38" s="61">
        <f>I32+I33+I35+I36+0-0-0</f>
        <v>4006.81</v>
      </c>
      <c r="I38" s="61"/>
      <c r="J38" s="61">
        <f>K32+K33+K35+K36+0-0-0</f>
        <v>215363.11000000002</v>
      </c>
      <c r="K38" s="61"/>
    </row>
    <row r="39" spans="1:29" ht="15" x14ac:dyDescent="0.25">
      <c r="C39" s="15" t="s">
        <v>186</v>
      </c>
      <c r="H39" s="58">
        <f>0+0</f>
        <v>0</v>
      </c>
      <c r="I39" s="58"/>
      <c r="J39" s="58">
        <f>0+0</f>
        <v>0</v>
      </c>
      <c r="K39" s="58"/>
    </row>
    <row r="40" spans="1:29" ht="15" x14ac:dyDescent="0.25">
      <c r="C40" s="15" t="s">
        <v>187</v>
      </c>
      <c r="H40" s="58">
        <f>I32+I33+I35+I36+0</f>
        <v>4006.81</v>
      </c>
      <c r="I40" s="58"/>
      <c r="J40" s="58">
        <f>K32+K33+K35+K36+0</f>
        <v>215363.11000000002</v>
      </c>
      <c r="K40" s="58"/>
      <c r="O40" s="34">
        <f>I32+I33+I35+I36+0</f>
        <v>4006.81</v>
      </c>
      <c r="P40" s="34">
        <f>K32+K33+K35+K36+0</f>
        <v>215363.11000000002</v>
      </c>
    </row>
    <row r="42" spans="1:29" ht="85.5" x14ac:dyDescent="0.2">
      <c r="A42" s="23">
        <v>2</v>
      </c>
      <c r="B42" s="23" t="s">
        <v>188</v>
      </c>
      <c r="C42" s="23" t="s">
        <v>32</v>
      </c>
      <c r="D42" s="25" t="str">
        <f>Source!H31</f>
        <v>1 остановка</v>
      </c>
      <c r="E42" s="24">
        <f>Source!I31</f>
        <v>-4</v>
      </c>
      <c r="F42" s="27"/>
      <c r="G42" s="26"/>
      <c r="H42" s="24"/>
      <c r="I42" s="27"/>
      <c r="J42" s="24"/>
      <c r="K42" s="27"/>
      <c r="Q42">
        <f>Source!X31</f>
        <v>-388.23</v>
      </c>
      <c r="R42">
        <f>Source!X32</f>
        <v>-21348.81</v>
      </c>
      <c r="S42">
        <f>Source!Y31</f>
        <v>-206.78</v>
      </c>
      <c r="T42">
        <f>Source!Y32</f>
        <v>-11370.56</v>
      </c>
      <c r="U42">
        <f>ROUND((175/100)*ROUND(Source!R31, 2), 2)</f>
        <v>-6.44</v>
      </c>
      <c r="V42">
        <f>ROUND((0/100)*ROUND(Source!R32, 2), 2)</f>
        <v>0</v>
      </c>
      <c r="AC42">
        <v>0</v>
      </c>
    </row>
    <row r="43" spans="1:29" x14ac:dyDescent="0.2">
      <c r="C43" s="35" t="str">
        <f>"Объем: "&amp;Source!I31&amp;"=2-"&amp;"6"</f>
        <v>Объем: -4=2-6</v>
      </c>
    </row>
    <row r="44" spans="1:29" ht="14.25" x14ac:dyDescent="0.2">
      <c r="A44" s="23"/>
      <c r="B44" s="23"/>
      <c r="C44" s="23" t="s">
        <v>177</v>
      </c>
      <c r="D44" s="25"/>
      <c r="E44" s="24"/>
      <c r="F44" s="27">
        <f>Source!AO31</f>
        <v>297</v>
      </c>
      <c r="G44" s="26" t="str">
        <f>Source!DG31</f>
        <v>*0,3)*1,1</v>
      </c>
      <c r="H44" s="24">
        <f>Source!AV32</f>
        <v>1.0669999999999999</v>
      </c>
      <c r="I44" s="27">
        <f>Source!S31</f>
        <v>-418.31</v>
      </c>
      <c r="J44" s="24">
        <f>IF(Source!BA32&lt;&gt; 0, Source!BA32, 1)</f>
        <v>54.99</v>
      </c>
      <c r="K44" s="27">
        <f>Source!S32</f>
        <v>-23002.87</v>
      </c>
    </row>
    <row r="45" spans="1:29" ht="14.25" x14ac:dyDescent="0.2">
      <c r="A45" s="23"/>
      <c r="B45" s="23"/>
      <c r="C45" s="23" t="s">
        <v>178</v>
      </c>
      <c r="D45" s="25"/>
      <c r="E45" s="24"/>
      <c r="F45" s="27">
        <f>Source!AM31</f>
        <v>34.82</v>
      </c>
      <c r="G45" s="26" t="str">
        <f>Source!DE31</f>
        <v>*0,3)*1,1</v>
      </c>
      <c r="H45" s="24">
        <f>Source!AV32</f>
        <v>1.0669999999999999</v>
      </c>
      <c r="I45" s="27">
        <f>Source!Q31</f>
        <v>-49.04</v>
      </c>
      <c r="J45" s="24">
        <f>IF(Source!BB32&lt;&gt; 0, Source!BB32, 1)</f>
        <v>13.41</v>
      </c>
      <c r="K45" s="27">
        <f>Source!Q32</f>
        <v>-657.63</v>
      </c>
    </row>
    <row r="46" spans="1:29" ht="14.25" x14ac:dyDescent="0.2">
      <c r="A46" s="23"/>
      <c r="B46" s="23"/>
      <c r="C46" s="23" t="s">
        <v>179</v>
      </c>
      <c r="D46" s="25"/>
      <c r="E46" s="24"/>
      <c r="F46" s="27">
        <f>Source!AN31</f>
        <v>2.61</v>
      </c>
      <c r="G46" s="26" t="str">
        <f>Source!DF31</f>
        <v>*0,3)*1,1</v>
      </c>
      <c r="H46" s="24">
        <f>Source!AV32</f>
        <v>1.0669999999999999</v>
      </c>
      <c r="I46" s="28">
        <f>Source!R31</f>
        <v>-3.68</v>
      </c>
      <c r="J46" s="24">
        <f>IF(Source!BS32&lt;&gt; 0, Source!BS32, 1)</f>
        <v>54.99</v>
      </c>
      <c r="K46" s="28">
        <f>Source!R32</f>
        <v>-202.36</v>
      </c>
    </row>
    <row r="47" spans="1:29" ht="14.25" x14ac:dyDescent="0.2">
      <c r="A47" s="23"/>
      <c r="B47" s="23"/>
      <c r="C47" s="23" t="s">
        <v>180</v>
      </c>
      <c r="D47" s="25" t="s">
        <v>181</v>
      </c>
      <c r="E47" s="24">
        <f>Source!BZ32</f>
        <v>92</v>
      </c>
      <c r="F47" s="27"/>
      <c r="G47" s="26"/>
      <c r="H47" s="24"/>
      <c r="I47" s="27">
        <f>SUM(Q42:Q46)</f>
        <v>-388.23</v>
      </c>
      <c r="J47" s="24">
        <f>Source!AT32</f>
        <v>92</v>
      </c>
      <c r="K47" s="27">
        <f>SUM(R42:R46)</f>
        <v>-21348.81</v>
      </c>
    </row>
    <row r="48" spans="1:29" ht="14.25" x14ac:dyDescent="0.2">
      <c r="A48" s="23"/>
      <c r="B48" s="23"/>
      <c r="C48" s="23" t="s">
        <v>182</v>
      </c>
      <c r="D48" s="25" t="s">
        <v>181</v>
      </c>
      <c r="E48" s="24">
        <f>Source!CA32</f>
        <v>49</v>
      </c>
      <c r="F48" s="27"/>
      <c r="G48" s="26"/>
      <c r="H48" s="24"/>
      <c r="I48" s="27">
        <f>SUM(S42:S47)</f>
        <v>-206.78</v>
      </c>
      <c r="J48" s="24">
        <f>Source!AU32</f>
        <v>49</v>
      </c>
      <c r="K48" s="27">
        <f>SUM(T42:T47)</f>
        <v>-11370.56</v>
      </c>
    </row>
    <row r="49" spans="1:29" ht="14.25" x14ac:dyDescent="0.2">
      <c r="A49" s="29"/>
      <c r="B49" s="29"/>
      <c r="C49" s="29" t="s">
        <v>183</v>
      </c>
      <c r="D49" s="30" t="s">
        <v>184</v>
      </c>
      <c r="E49" s="31">
        <f>Source!AQ31</f>
        <v>22.5</v>
      </c>
      <c r="F49" s="32"/>
      <c r="G49" s="33" t="str">
        <f>Source!DI31</f>
        <v>*0,3)*1,1</v>
      </c>
      <c r="H49" s="31">
        <f>Source!AV32</f>
        <v>1.0669999999999999</v>
      </c>
      <c r="I49" s="32">
        <f>Source!U31</f>
        <v>-31.689900000000002</v>
      </c>
      <c r="J49" s="31"/>
      <c r="K49" s="32"/>
    </row>
    <row r="50" spans="1:29" ht="15" x14ac:dyDescent="0.25">
      <c r="C50" s="15" t="s">
        <v>185</v>
      </c>
      <c r="H50" s="61">
        <f>I44+I45+I47+I48+0-0-0</f>
        <v>-1062.3600000000001</v>
      </c>
      <c r="I50" s="61"/>
      <c r="J50" s="61">
        <f>K44+K45+K47+K48+0-0-0</f>
        <v>-56379.869999999995</v>
      </c>
      <c r="K50" s="61"/>
    </row>
    <row r="51" spans="1:29" ht="15" x14ac:dyDescent="0.25">
      <c r="C51" s="15" t="s">
        <v>186</v>
      </c>
      <c r="H51" s="58">
        <f>0+0</f>
        <v>0</v>
      </c>
      <c r="I51" s="58"/>
      <c r="J51" s="58">
        <f>0+0</f>
        <v>0</v>
      </c>
      <c r="K51" s="58"/>
    </row>
    <row r="52" spans="1:29" ht="15" x14ac:dyDescent="0.25">
      <c r="C52" s="15" t="s">
        <v>187</v>
      </c>
      <c r="H52" s="58">
        <f>I44+I45+I47+I48+0</f>
        <v>-1062.3600000000001</v>
      </c>
      <c r="I52" s="58"/>
      <c r="J52" s="58">
        <f>K44+K45+K47+K48+0</f>
        <v>-56379.869999999995</v>
      </c>
      <c r="K52" s="58"/>
      <c r="O52" s="34">
        <f>I44+I45+I47+I48+0</f>
        <v>-1062.3600000000001</v>
      </c>
      <c r="P52" s="34">
        <f>K44+K45+K47+K48+0</f>
        <v>-56379.869999999995</v>
      </c>
    </row>
    <row r="54" spans="1:29" ht="99.75" x14ac:dyDescent="0.2">
      <c r="A54" s="23">
        <v>3</v>
      </c>
      <c r="B54" s="23" t="s">
        <v>189</v>
      </c>
      <c r="C54" s="23" t="s">
        <v>37</v>
      </c>
      <c r="D54" s="25" t="str">
        <f>Source!H33</f>
        <v>1 М</v>
      </c>
      <c r="E54" s="24">
        <f>Source!I33</f>
        <v>-14.92</v>
      </c>
      <c r="F54" s="27"/>
      <c r="G54" s="26"/>
      <c r="H54" s="24"/>
      <c r="I54" s="27"/>
      <c r="J54" s="24"/>
      <c r="K54" s="27"/>
      <c r="Q54">
        <f>Source!X33</f>
        <v>-401.93</v>
      </c>
      <c r="R54">
        <f>Source!X34</f>
        <v>-22102.11</v>
      </c>
      <c r="S54">
        <f>Source!Y33</f>
        <v>-214.07</v>
      </c>
      <c r="T54">
        <f>Source!Y34</f>
        <v>-11771.77</v>
      </c>
      <c r="U54">
        <f>ROUND((175/100)*ROUND(Source!R33, 2), 2)</f>
        <v>0</v>
      </c>
      <c r="V54">
        <f>ROUND((0/100)*ROUND(Source!R34, 2), 2)</f>
        <v>0</v>
      </c>
      <c r="AC54">
        <v>0</v>
      </c>
    </row>
    <row r="55" spans="1:29" x14ac:dyDescent="0.2">
      <c r="C55" s="35" t="str">
        <f>"Объем: "&amp;Source!I33&amp;"=(3,15+"&amp;"2,93-"&amp;"21)"</f>
        <v>Объем: -14,92=(3,15+2,93-21)</v>
      </c>
    </row>
    <row r="56" spans="1:29" ht="14.25" x14ac:dyDescent="0.2">
      <c r="A56" s="23"/>
      <c r="B56" s="23"/>
      <c r="C56" s="23" t="s">
        <v>177</v>
      </c>
      <c r="D56" s="25"/>
      <c r="E56" s="24"/>
      <c r="F56" s="27">
        <f>Source!AO33</f>
        <v>83.16</v>
      </c>
      <c r="G56" s="26" t="str">
        <f>Source!DG33</f>
        <v>*0,3)*1,1</v>
      </c>
      <c r="H56" s="24">
        <f>Source!AV34</f>
        <v>1.0669999999999999</v>
      </c>
      <c r="I56" s="27">
        <f>Source!S33</f>
        <v>-436.88</v>
      </c>
      <c r="J56" s="24">
        <f>IF(Source!BA34&lt;&gt; 0, Source!BA34, 1)</f>
        <v>54.99</v>
      </c>
      <c r="K56" s="27">
        <f>Source!S34</f>
        <v>-24024.03</v>
      </c>
    </row>
    <row r="57" spans="1:29" ht="14.25" x14ac:dyDescent="0.2">
      <c r="A57" s="23"/>
      <c r="B57" s="23"/>
      <c r="C57" s="23" t="s">
        <v>180</v>
      </c>
      <c r="D57" s="25" t="s">
        <v>181</v>
      </c>
      <c r="E57" s="24">
        <f>Source!BZ34</f>
        <v>92</v>
      </c>
      <c r="F57" s="27"/>
      <c r="G57" s="26"/>
      <c r="H57" s="24"/>
      <c r="I57" s="27">
        <f>SUM(Q54:Q56)</f>
        <v>-401.93</v>
      </c>
      <c r="J57" s="24">
        <f>Source!AT34</f>
        <v>92</v>
      </c>
      <c r="K57" s="27">
        <f>SUM(R54:R56)</f>
        <v>-22102.11</v>
      </c>
    </row>
    <row r="58" spans="1:29" ht="14.25" x14ac:dyDescent="0.2">
      <c r="A58" s="23"/>
      <c r="B58" s="23"/>
      <c r="C58" s="23" t="s">
        <v>182</v>
      </c>
      <c r="D58" s="25" t="s">
        <v>181</v>
      </c>
      <c r="E58" s="24">
        <f>Source!CA34</f>
        <v>49</v>
      </c>
      <c r="F58" s="27"/>
      <c r="G58" s="26"/>
      <c r="H58" s="24"/>
      <c r="I58" s="27">
        <f>SUM(S54:S57)</f>
        <v>-214.07</v>
      </c>
      <c r="J58" s="24">
        <f>Source!AU34</f>
        <v>49</v>
      </c>
      <c r="K58" s="27">
        <f>SUM(T54:T57)</f>
        <v>-11771.77</v>
      </c>
    </row>
    <row r="59" spans="1:29" ht="14.25" x14ac:dyDescent="0.2">
      <c r="A59" s="29"/>
      <c r="B59" s="29"/>
      <c r="C59" s="29" t="s">
        <v>183</v>
      </c>
      <c r="D59" s="30" t="s">
        <v>184</v>
      </c>
      <c r="E59" s="31">
        <f>Source!AQ33</f>
        <v>6.3</v>
      </c>
      <c r="F59" s="32"/>
      <c r="G59" s="33" t="str">
        <f>Source!DI33</f>
        <v>*0,3)*1,1</v>
      </c>
      <c r="H59" s="31">
        <f>Source!AV34</f>
        <v>1.0669999999999999</v>
      </c>
      <c r="I59" s="32">
        <f>Source!U33</f>
        <v>-33.096931560000002</v>
      </c>
      <c r="J59" s="31"/>
      <c r="K59" s="32"/>
    </row>
    <row r="60" spans="1:29" ht="15" x14ac:dyDescent="0.25">
      <c r="C60" s="15" t="s">
        <v>185</v>
      </c>
      <c r="H60" s="61">
        <f>I56+I57+I58+0-0-0</f>
        <v>-1052.8799999999999</v>
      </c>
      <c r="I60" s="61"/>
      <c r="J60" s="61">
        <f>K56+K57+K58+0-0-0</f>
        <v>-57897.91</v>
      </c>
      <c r="K60" s="61"/>
    </row>
    <row r="61" spans="1:29" ht="15" x14ac:dyDescent="0.25">
      <c r="C61" s="15" t="s">
        <v>186</v>
      </c>
      <c r="H61" s="58">
        <f>0+0</f>
        <v>0</v>
      </c>
      <c r="I61" s="58"/>
      <c r="J61" s="58">
        <f>0+0</f>
        <v>0</v>
      </c>
      <c r="K61" s="58"/>
    </row>
    <row r="62" spans="1:29" ht="15" x14ac:dyDescent="0.25">
      <c r="C62" s="15" t="s">
        <v>187</v>
      </c>
      <c r="H62" s="58">
        <f>I56+I57+I58+0</f>
        <v>-1052.8799999999999</v>
      </c>
      <c r="I62" s="58"/>
      <c r="J62" s="58">
        <f>K56+K57+K58+0</f>
        <v>-57897.91</v>
      </c>
      <c r="K62" s="58"/>
      <c r="O62" s="34">
        <f>I56+I57+I58+0</f>
        <v>-1052.8799999999999</v>
      </c>
      <c r="P62" s="34">
        <f>K56+K57+K58+0</f>
        <v>-57897.91</v>
      </c>
    </row>
    <row r="64" spans="1:29" ht="14.25" x14ac:dyDescent="0.2">
      <c r="C64" s="22" t="str">
        <f>Source!G35</f>
        <v>Монтажные работы</v>
      </c>
    </row>
    <row r="65" spans="1:29" ht="99.75" x14ac:dyDescent="0.2">
      <c r="A65" s="23">
        <v>4</v>
      </c>
      <c r="B65" s="23" t="s">
        <v>190</v>
      </c>
      <c r="C65" s="23" t="s">
        <v>43</v>
      </c>
      <c r="D65" s="25" t="str">
        <f>Source!H36</f>
        <v>1 лифт</v>
      </c>
      <c r="E65" s="24">
        <f>Source!I36</f>
        <v>1</v>
      </c>
      <c r="F65" s="27"/>
      <c r="G65" s="26"/>
      <c r="H65" s="24"/>
      <c r="I65" s="27"/>
      <c r="J65" s="24"/>
      <c r="K65" s="27"/>
      <c r="Q65">
        <f>Source!X36</f>
        <v>5242.59</v>
      </c>
      <c r="R65">
        <f>Source!X37</f>
        <v>288290.15999999997</v>
      </c>
      <c r="S65">
        <f>Source!Y36</f>
        <v>2792.25</v>
      </c>
      <c r="T65">
        <f>Source!Y37</f>
        <v>153545.85</v>
      </c>
      <c r="U65">
        <f>ROUND((175/100)*ROUND(Source!R36, 2), 2)</f>
        <v>49.74</v>
      </c>
      <c r="V65">
        <f>ROUND((0/100)*ROUND(Source!R37, 2), 2)</f>
        <v>0</v>
      </c>
      <c r="AC65">
        <v>0</v>
      </c>
    </row>
    <row r="66" spans="1:29" ht="14.25" x14ac:dyDescent="0.2">
      <c r="A66" s="23"/>
      <c r="B66" s="23"/>
      <c r="C66" s="23" t="s">
        <v>177</v>
      </c>
      <c r="D66" s="25"/>
      <c r="E66" s="24"/>
      <c r="F66" s="27">
        <f>Source!AO36</f>
        <v>4830.92</v>
      </c>
      <c r="G66" s="26" t="str">
        <f>Source!DG36</f>
        <v>*1,1</v>
      </c>
      <c r="H66" s="24">
        <f>Source!AV37</f>
        <v>1.0669999999999999</v>
      </c>
      <c r="I66" s="27">
        <f>Source!S36</f>
        <v>5670.05</v>
      </c>
      <c r="J66" s="24">
        <f>IF(Source!BA37&lt;&gt; 0, Source!BA37, 1)</f>
        <v>54.99</v>
      </c>
      <c r="K66" s="27">
        <f>Source!S37</f>
        <v>311796.05</v>
      </c>
    </row>
    <row r="67" spans="1:29" ht="14.25" x14ac:dyDescent="0.2">
      <c r="A67" s="23"/>
      <c r="B67" s="23"/>
      <c r="C67" s="23" t="s">
        <v>178</v>
      </c>
      <c r="D67" s="25"/>
      <c r="E67" s="24"/>
      <c r="F67" s="27">
        <f>Source!AM36</f>
        <v>338.32</v>
      </c>
      <c r="G67" s="26" t="str">
        <f>Source!DE36</f>
        <v>*1,1</v>
      </c>
      <c r="H67" s="24">
        <f>Source!AV37</f>
        <v>1.0669999999999999</v>
      </c>
      <c r="I67" s="27">
        <f>Source!Q36</f>
        <v>397.09</v>
      </c>
      <c r="J67" s="24">
        <f>IF(Source!BB37&lt;&gt; 0, Source!BB37, 1)</f>
        <v>13.26</v>
      </c>
      <c r="K67" s="27">
        <f>Source!Q37</f>
        <v>5265.41</v>
      </c>
    </row>
    <row r="68" spans="1:29" ht="14.25" x14ac:dyDescent="0.2">
      <c r="A68" s="23"/>
      <c r="B68" s="23"/>
      <c r="C68" s="23" t="s">
        <v>179</v>
      </c>
      <c r="D68" s="25"/>
      <c r="E68" s="24"/>
      <c r="F68" s="27">
        <f>Source!AN36</f>
        <v>24.21</v>
      </c>
      <c r="G68" s="26" t="str">
        <f>Source!DF36</f>
        <v>*1,1</v>
      </c>
      <c r="H68" s="24">
        <f>Source!AV37</f>
        <v>1.0669999999999999</v>
      </c>
      <c r="I68" s="28">
        <f>Source!R36</f>
        <v>28.42</v>
      </c>
      <c r="J68" s="24">
        <f>IF(Source!BS37&lt;&gt; 0, Source!BS37, 1)</f>
        <v>54.99</v>
      </c>
      <c r="K68" s="28">
        <f>Source!R37</f>
        <v>1562.82</v>
      </c>
    </row>
    <row r="69" spans="1:29" ht="14.25" x14ac:dyDescent="0.2">
      <c r="A69" s="23"/>
      <c r="B69" s="23"/>
      <c r="C69" s="23" t="s">
        <v>191</v>
      </c>
      <c r="D69" s="25"/>
      <c r="E69" s="24"/>
      <c r="F69" s="27">
        <f>Source!AL36</f>
        <v>959</v>
      </c>
      <c r="G69" s="26" t="str">
        <f>Source!DD36</f>
        <v>*1</v>
      </c>
      <c r="H69" s="24">
        <f>Source!AW37</f>
        <v>1.028</v>
      </c>
      <c r="I69" s="27">
        <f>Source!P36</f>
        <v>985.85</v>
      </c>
      <c r="J69" s="24">
        <f>IF(Source!BC37&lt;&gt; 0, Source!BC37, 1)</f>
        <v>9.89</v>
      </c>
      <c r="K69" s="27">
        <f>Source!P37</f>
        <v>9750.06</v>
      </c>
    </row>
    <row r="70" spans="1:29" ht="14.25" x14ac:dyDescent="0.2">
      <c r="A70" s="23"/>
      <c r="B70" s="23"/>
      <c r="C70" s="23" t="s">
        <v>180</v>
      </c>
      <c r="D70" s="25" t="s">
        <v>181</v>
      </c>
      <c r="E70" s="24">
        <f>Source!BZ37</f>
        <v>92</v>
      </c>
      <c r="F70" s="27"/>
      <c r="G70" s="26"/>
      <c r="H70" s="24"/>
      <c r="I70" s="27">
        <f>SUM(Q65:Q69)</f>
        <v>5242.59</v>
      </c>
      <c r="J70" s="24">
        <f>Source!AT37</f>
        <v>92</v>
      </c>
      <c r="K70" s="27">
        <f>SUM(R65:R69)</f>
        <v>288290.15999999997</v>
      </c>
    </row>
    <row r="71" spans="1:29" ht="14.25" x14ac:dyDescent="0.2">
      <c r="A71" s="23"/>
      <c r="B71" s="23"/>
      <c r="C71" s="23" t="s">
        <v>182</v>
      </c>
      <c r="D71" s="25" t="s">
        <v>181</v>
      </c>
      <c r="E71" s="24">
        <f>Source!CA37</f>
        <v>49</v>
      </c>
      <c r="F71" s="27"/>
      <c r="G71" s="26"/>
      <c r="H71" s="24"/>
      <c r="I71" s="27">
        <f>SUM(S65:S70)</f>
        <v>2792.25</v>
      </c>
      <c r="J71" s="24">
        <f>Source!AU37</f>
        <v>49</v>
      </c>
      <c r="K71" s="27">
        <f>SUM(T65:T70)</f>
        <v>153545.85</v>
      </c>
    </row>
    <row r="72" spans="1:29" ht="14.25" x14ac:dyDescent="0.2">
      <c r="A72" s="29"/>
      <c r="B72" s="29"/>
      <c r="C72" s="29" t="s">
        <v>183</v>
      </c>
      <c r="D72" s="30" t="s">
        <v>184</v>
      </c>
      <c r="E72" s="31">
        <f>Source!AQ36</f>
        <v>356</v>
      </c>
      <c r="F72" s="32"/>
      <c r="G72" s="33" t="str">
        <f>Source!DI36</f>
        <v>*1,1</v>
      </c>
      <c r="H72" s="31">
        <f>Source!AV37</f>
        <v>1.0669999999999999</v>
      </c>
      <c r="I72" s="32">
        <f>Source!U36</f>
        <v>417.8372</v>
      </c>
      <c r="J72" s="31"/>
      <c r="K72" s="32"/>
    </row>
    <row r="73" spans="1:29" ht="15" x14ac:dyDescent="0.25">
      <c r="C73" s="15" t="s">
        <v>185</v>
      </c>
      <c r="H73" s="61">
        <f>I66+I67+I69+I70+I71+0-0-0</f>
        <v>15087.830000000002</v>
      </c>
      <c r="I73" s="61"/>
      <c r="J73" s="61">
        <f>K66+K67+K69+K70+K71+0-0-0</f>
        <v>768647.52999999991</v>
      </c>
      <c r="K73" s="61"/>
    </row>
    <row r="74" spans="1:29" ht="15" x14ac:dyDescent="0.25">
      <c r="C74" s="15" t="s">
        <v>186</v>
      </c>
      <c r="H74" s="58">
        <f>0+0</f>
        <v>0</v>
      </c>
      <c r="I74" s="58"/>
      <c r="J74" s="58">
        <f>0+0</f>
        <v>0</v>
      </c>
      <c r="K74" s="58"/>
    </row>
    <row r="75" spans="1:29" ht="15" x14ac:dyDescent="0.25">
      <c r="C75" s="15" t="s">
        <v>187</v>
      </c>
      <c r="H75" s="58">
        <f>I66+I67+I69+I70+I71+0</f>
        <v>15087.830000000002</v>
      </c>
      <c r="I75" s="58"/>
      <c r="J75" s="58">
        <f>K66+K67+K69+K70+K71+0</f>
        <v>768647.52999999991</v>
      </c>
      <c r="K75" s="58"/>
      <c r="O75" s="34">
        <f>I66+I67+I69+I70+I71+0</f>
        <v>15087.830000000002</v>
      </c>
      <c r="P75" s="34">
        <f>K66+K67+K69+K70+K71+0</f>
        <v>768647.52999999991</v>
      </c>
    </row>
    <row r="77" spans="1:29" ht="99.75" x14ac:dyDescent="0.2">
      <c r="A77" s="23">
        <v>5</v>
      </c>
      <c r="B77" s="23" t="s">
        <v>192</v>
      </c>
      <c r="C77" s="23" t="s">
        <v>49</v>
      </c>
      <c r="D77" s="25" t="str">
        <f>Source!H38</f>
        <v>1 остановка</v>
      </c>
      <c r="E77" s="24">
        <f>Source!I38</f>
        <v>-4</v>
      </c>
      <c r="F77" s="27"/>
      <c r="G77" s="26"/>
      <c r="H77" s="24"/>
      <c r="I77" s="27"/>
      <c r="J77" s="24"/>
      <c r="K77" s="27"/>
      <c r="Q77">
        <f>Source!X38</f>
        <v>-1371.05</v>
      </c>
      <c r="R77">
        <f>Source!X39</f>
        <v>-75393.95</v>
      </c>
      <c r="S77">
        <f>Source!Y38</f>
        <v>-730.23</v>
      </c>
      <c r="T77">
        <f>Source!Y39</f>
        <v>-40155.480000000003</v>
      </c>
      <c r="U77">
        <f>ROUND((175/100)*ROUND(Source!R38, 2), 2)</f>
        <v>-21.44</v>
      </c>
      <c r="V77">
        <f>ROUND((0/100)*ROUND(Source!R39, 2), 2)</f>
        <v>0</v>
      </c>
      <c r="AC77">
        <v>0</v>
      </c>
    </row>
    <row r="78" spans="1:29" x14ac:dyDescent="0.2">
      <c r="C78" s="35" t="str">
        <f>"Объем: "&amp;Source!I38&amp;"=2-"&amp;"6"</f>
        <v>Объем: -4=2-6</v>
      </c>
    </row>
    <row r="79" spans="1:29" ht="14.25" x14ac:dyDescent="0.2">
      <c r="A79" s="23"/>
      <c r="B79" s="23"/>
      <c r="C79" s="23" t="s">
        <v>177</v>
      </c>
      <c r="D79" s="25"/>
      <c r="E79" s="24"/>
      <c r="F79" s="27">
        <f>Source!AO38</f>
        <v>314.82</v>
      </c>
      <c r="G79" s="26" t="str">
        <f>Source!DG38</f>
        <v>*1,1</v>
      </c>
      <c r="H79" s="24">
        <f>Source!AV39</f>
        <v>1.0669999999999999</v>
      </c>
      <c r="I79" s="27">
        <f>Source!S38</f>
        <v>-1478.02</v>
      </c>
      <c r="J79" s="24">
        <f>IF(Source!BA39&lt;&gt; 0, Source!BA39, 1)</f>
        <v>54.99</v>
      </c>
      <c r="K79" s="27">
        <f>Source!S39</f>
        <v>-81276.320000000007</v>
      </c>
    </row>
    <row r="80" spans="1:29" ht="14.25" x14ac:dyDescent="0.2">
      <c r="A80" s="23"/>
      <c r="B80" s="23"/>
      <c r="C80" s="23" t="s">
        <v>178</v>
      </c>
      <c r="D80" s="25"/>
      <c r="E80" s="24"/>
      <c r="F80" s="27">
        <f>Source!AM38</f>
        <v>34.82</v>
      </c>
      <c r="G80" s="26" t="str">
        <f>Source!DE38</f>
        <v>*1,1</v>
      </c>
      <c r="H80" s="24">
        <f>Source!AV39</f>
        <v>1.0669999999999999</v>
      </c>
      <c r="I80" s="27">
        <f>Source!Q38</f>
        <v>-163.47</v>
      </c>
      <c r="J80" s="24">
        <f>IF(Source!BB39&lt;&gt; 0, Source!BB39, 1)</f>
        <v>13.41</v>
      </c>
      <c r="K80" s="27">
        <f>Source!Q39</f>
        <v>-2192.13</v>
      </c>
    </row>
    <row r="81" spans="1:29" ht="14.25" x14ac:dyDescent="0.2">
      <c r="A81" s="23"/>
      <c r="B81" s="23"/>
      <c r="C81" s="23" t="s">
        <v>179</v>
      </c>
      <c r="D81" s="25"/>
      <c r="E81" s="24"/>
      <c r="F81" s="27">
        <f>Source!AN38</f>
        <v>2.61</v>
      </c>
      <c r="G81" s="26" t="str">
        <f>Source!DF38</f>
        <v>*1,1</v>
      </c>
      <c r="H81" s="24">
        <f>Source!AV39</f>
        <v>1.0669999999999999</v>
      </c>
      <c r="I81" s="28">
        <f>Source!R38</f>
        <v>-12.25</v>
      </c>
      <c r="J81" s="24">
        <f>IF(Source!BS39&lt;&gt; 0, Source!BS39, 1)</f>
        <v>54.99</v>
      </c>
      <c r="K81" s="28">
        <f>Source!R39</f>
        <v>-673.63</v>
      </c>
    </row>
    <row r="82" spans="1:29" ht="14.25" x14ac:dyDescent="0.2">
      <c r="A82" s="23"/>
      <c r="B82" s="23"/>
      <c r="C82" s="23" t="s">
        <v>191</v>
      </c>
      <c r="D82" s="25"/>
      <c r="E82" s="24"/>
      <c r="F82" s="27">
        <f>Source!AL38</f>
        <v>58.8</v>
      </c>
      <c r="G82" s="26" t="str">
        <f>Source!DD38</f>
        <v>*1</v>
      </c>
      <c r="H82" s="24">
        <f>Source!AW39</f>
        <v>1.028</v>
      </c>
      <c r="I82" s="27">
        <f>Source!P38</f>
        <v>-241.79</v>
      </c>
      <c r="J82" s="24">
        <f>IF(Source!BC39&lt;&gt; 0, Source!BC39, 1)</f>
        <v>9.89</v>
      </c>
      <c r="K82" s="27">
        <f>Source!P39</f>
        <v>-2391.3000000000002</v>
      </c>
    </row>
    <row r="83" spans="1:29" ht="14.25" x14ac:dyDescent="0.2">
      <c r="A83" s="23"/>
      <c r="B83" s="23"/>
      <c r="C83" s="23" t="s">
        <v>180</v>
      </c>
      <c r="D83" s="25" t="s">
        <v>181</v>
      </c>
      <c r="E83" s="24">
        <f>Source!BZ39</f>
        <v>92</v>
      </c>
      <c r="F83" s="27"/>
      <c r="G83" s="26"/>
      <c r="H83" s="24"/>
      <c r="I83" s="27">
        <f>SUM(Q77:Q82)</f>
        <v>-1371.05</v>
      </c>
      <c r="J83" s="24">
        <f>Source!AT39</f>
        <v>92</v>
      </c>
      <c r="K83" s="27">
        <f>SUM(R77:R82)</f>
        <v>-75393.95</v>
      </c>
    </row>
    <row r="84" spans="1:29" ht="14.25" x14ac:dyDescent="0.2">
      <c r="A84" s="23"/>
      <c r="B84" s="23"/>
      <c r="C84" s="23" t="s">
        <v>182</v>
      </c>
      <c r="D84" s="25" t="s">
        <v>181</v>
      </c>
      <c r="E84" s="24">
        <f>Source!CA39</f>
        <v>49</v>
      </c>
      <c r="F84" s="27"/>
      <c r="G84" s="26"/>
      <c r="H84" s="24"/>
      <c r="I84" s="27">
        <f>SUM(S77:S83)</f>
        <v>-730.23</v>
      </c>
      <c r="J84" s="24">
        <f>Source!AU39</f>
        <v>49</v>
      </c>
      <c r="K84" s="27">
        <f>SUM(T77:T83)</f>
        <v>-40155.480000000003</v>
      </c>
    </row>
    <row r="85" spans="1:29" ht="14.25" x14ac:dyDescent="0.2">
      <c r="A85" s="29"/>
      <c r="B85" s="29"/>
      <c r="C85" s="29" t="s">
        <v>183</v>
      </c>
      <c r="D85" s="30" t="s">
        <v>184</v>
      </c>
      <c r="E85" s="31">
        <f>Source!AQ38</f>
        <v>23.2</v>
      </c>
      <c r="F85" s="32"/>
      <c r="G85" s="33" t="str">
        <f>Source!DI38</f>
        <v>*1,1</v>
      </c>
      <c r="H85" s="31">
        <f>Source!AV39</f>
        <v>1.0669999999999999</v>
      </c>
      <c r="I85" s="32">
        <f>Source!U38</f>
        <v>-108.91936</v>
      </c>
      <c r="J85" s="31"/>
      <c r="K85" s="32"/>
    </row>
    <row r="86" spans="1:29" ht="15" x14ac:dyDescent="0.25">
      <c r="C86" s="15" t="s">
        <v>185</v>
      </c>
      <c r="H86" s="61">
        <f>I79+I80+I82+I83+I84+0-0-0</f>
        <v>-3984.56</v>
      </c>
      <c r="I86" s="61"/>
      <c r="J86" s="61">
        <f>K79+K80+K82+K83+K84+0-0-0</f>
        <v>-201409.18000000002</v>
      </c>
      <c r="K86" s="61"/>
    </row>
    <row r="87" spans="1:29" ht="15" x14ac:dyDescent="0.25">
      <c r="C87" s="15" t="s">
        <v>186</v>
      </c>
      <c r="H87" s="58">
        <f>0+0</f>
        <v>0</v>
      </c>
      <c r="I87" s="58"/>
      <c r="J87" s="58">
        <f>0+0</f>
        <v>0</v>
      </c>
      <c r="K87" s="58"/>
    </row>
    <row r="88" spans="1:29" ht="15" x14ac:dyDescent="0.25">
      <c r="C88" s="15" t="s">
        <v>187</v>
      </c>
      <c r="H88" s="58">
        <f>I79+I80+I82+I83+I84+0</f>
        <v>-3984.56</v>
      </c>
      <c r="I88" s="58"/>
      <c r="J88" s="58">
        <f>K79+K80+K82+K83+K84+0</f>
        <v>-201409.18000000002</v>
      </c>
      <c r="K88" s="58"/>
      <c r="O88" s="34">
        <f>I79+I80+I82+I83+I84+0</f>
        <v>-3984.56</v>
      </c>
      <c r="P88" s="34">
        <f>K79+K80+K82+K83+K84+0</f>
        <v>-201409.18000000002</v>
      </c>
    </row>
    <row r="90" spans="1:29" ht="114" x14ac:dyDescent="0.2">
      <c r="A90" s="23">
        <v>6</v>
      </c>
      <c r="B90" s="23" t="s">
        <v>193</v>
      </c>
      <c r="C90" s="23" t="s">
        <v>53</v>
      </c>
      <c r="D90" s="25" t="str">
        <f>Source!H40</f>
        <v>1 М</v>
      </c>
      <c r="E90" s="24">
        <f>Source!I40</f>
        <v>-14.92</v>
      </c>
      <c r="F90" s="27"/>
      <c r="G90" s="26"/>
      <c r="H90" s="24"/>
      <c r="I90" s="27"/>
      <c r="J90" s="24"/>
      <c r="K90" s="27"/>
      <c r="Q90">
        <f>Source!X40</f>
        <v>-1420.96</v>
      </c>
      <c r="R90">
        <f>Source!X41</f>
        <v>-78138.5</v>
      </c>
      <c r="S90">
        <f>Source!Y40</f>
        <v>-756.81</v>
      </c>
      <c r="T90">
        <f>Source!Y41</f>
        <v>-41617.24</v>
      </c>
      <c r="U90">
        <f>ROUND((175/100)*ROUND(Source!R40, 2), 2)</f>
        <v>0</v>
      </c>
      <c r="V90">
        <f>ROUND((0/100)*ROUND(Source!R41, 2), 2)</f>
        <v>0</v>
      </c>
      <c r="AC90">
        <v>0</v>
      </c>
    </row>
    <row r="91" spans="1:29" x14ac:dyDescent="0.2">
      <c r="C91" s="35" t="str">
        <f>"Объем: "&amp;Source!I40&amp;"=(3,15+"&amp;"2,93-"&amp;"21)"</f>
        <v>Объем: -14,92=(3,15+2,93-21)</v>
      </c>
    </row>
    <row r="92" spans="1:29" ht="14.25" x14ac:dyDescent="0.2">
      <c r="A92" s="23"/>
      <c r="B92" s="23"/>
      <c r="C92" s="23" t="s">
        <v>177</v>
      </c>
      <c r="D92" s="25"/>
      <c r="E92" s="24"/>
      <c r="F92" s="27">
        <f>Source!AO40</f>
        <v>88.2</v>
      </c>
      <c r="G92" s="26" t="str">
        <f>Source!DG40</f>
        <v>*1,1</v>
      </c>
      <c r="H92" s="24">
        <f>Source!AV41</f>
        <v>1.0669999999999999</v>
      </c>
      <c r="I92" s="27">
        <f>Source!S40</f>
        <v>-1544.52</v>
      </c>
      <c r="J92" s="24">
        <f>IF(Source!BA41&lt;&gt; 0, Source!BA41, 1)</f>
        <v>54.99</v>
      </c>
      <c r="K92" s="27">
        <f>Source!S41</f>
        <v>-84933.15</v>
      </c>
    </row>
    <row r="93" spans="1:29" ht="14.25" x14ac:dyDescent="0.2">
      <c r="A93" s="23"/>
      <c r="B93" s="23"/>
      <c r="C93" s="23" t="s">
        <v>191</v>
      </c>
      <c r="D93" s="25"/>
      <c r="E93" s="24"/>
      <c r="F93" s="27">
        <f>Source!AL40</f>
        <v>0.63</v>
      </c>
      <c r="G93" s="26" t="str">
        <f>Source!DD40</f>
        <v>*1</v>
      </c>
      <c r="H93" s="24">
        <f>Source!AW41</f>
        <v>1.028</v>
      </c>
      <c r="I93" s="27">
        <f>Source!P40</f>
        <v>-9.66</v>
      </c>
      <c r="J93" s="24">
        <f>IF(Source!BC41&lt;&gt; 0, Source!BC41, 1)</f>
        <v>9.89</v>
      </c>
      <c r="K93" s="27">
        <f>Source!P41</f>
        <v>-95.54</v>
      </c>
    </row>
    <row r="94" spans="1:29" ht="14.25" x14ac:dyDescent="0.2">
      <c r="A94" s="23"/>
      <c r="B94" s="23"/>
      <c r="C94" s="23" t="s">
        <v>180</v>
      </c>
      <c r="D94" s="25" t="s">
        <v>181</v>
      </c>
      <c r="E94" s="24">
        <f>Source!BZ41</f>
        <v>92</v>
      </c>
      <c r="F94" s="27"/>
      <c r="G94" s="26"/>
      <c r="H94" s="24"/>
      <c r="I94" s="27">
        <f>SUM(Q90:Q93)</f>
        <v>-1420.96</v>
      </c>
      <c r="J94" s="24">
        <f>Source!AT41</f>
        <v>92</v>
      </c>
      <c r="K94" s="27">
        <f>SUM(R90:R93)</f>
        <v>-78138.5</v>
      </c>
    </row>
    <row r="95" spans="1:29" ht="14.25" x14ac:dyDescent="0.2">
      <c r="A95" s="23"/>
      <c r="B95" s="23"/>
      <c r="C95" s="23" t="s">
        <v>182</v>
      </c>
      <c r="D95" s="25" t="s">
        <v>181</v>
      </c>
      <c r="E95" s="24">
        <f>Source!CA41</f>
        <v>49</v>
      </c>
      <c r="F95" s="27"/>
      <c r="G95" s="26"/>
      <c r="H95" s="24"/>
      <c r="I95" s="27">
        <f>SUM(S90:S94)</f>
        <v>-756.81</v>
      </c>
      <c r="J95" s="24">
        <f>Source!AU41</f>
        <v>49</v>
      </c>
      <c r="K95" s="27">
        <f>SUM(T90:T94)</f>
        <v>-41617.24</v>
      </c>
    </row>
    <row r="96" spans="1:29" ht="14.25" x14ac:dyDescent="0.2">
      <c r="A96" s="29"/>
      <c r="B96" s="29"/>
      <c r="C96" s="29" t="s">
        <v>183</v>
      </c>
      <c r="D96" s="30" t="s">
        <v>184</v>
      </c>
      <c r="E96" s="31">
        <f>Source!AQ40</f>
        <v>6.5</v>
      </c>
      <c r="F96" s="32"/>
      <c r="G96" s="33" t="str">
        <f>Source!DI40</f>
        <v>*1,1</v>
      </c>
      <c r="H96" s="31">
        <f>Source!AV41</f>
        <v>1.0669999999999999</v>
      </c>
      <c r="I96" s="32">
        <f>Source!U40</f>
        <v>-113.82542600000001</v>
      </c>
      <c r="J96" s="31"/>
      <c r="K96" s="32"/>
    </row>
    <row r="97" spans="1:43" ht="15" x14ac:dyDescent="0.25">
      <c r="C97" s="15" t="s">
        <v>185</v>
      </c>
      <c r="H97" s="61">
        <f>I92+I93+I94+I95+0-0-0</f>
        <v>-3731.9500000000003</v>
      </c>
      <c r="I97" s="61"/>
      <c r="J97" s="61">
        <f>K92+K93+K94+K95+0-0-0</f>
        <v>-204784.43</v>
      </c>
      <c r="K97" s="61"/>
    </row>
    <row r="98" spans="1:43" ht="15" x14ac:dyDescent="0.25">
      <c r="C98" s="15" t="s">
        <v>186</v>
      </c>
      <c r="H98" s="58">
        <f>0+0</f>
        <v>0</v>
      </c>
      <c r="I98" s="58"/>
      <c r="J98" s="58">
        <f>0+0</f>
        <v>0</v>
      </c>
      <c r="K98" s="58"/>
    </row>
    <row r="99" spans="1:43" ht="15" x14ac:dyDescent="0.25">
      <c r="C99" s="15" t="s">
        <v>187</v>
      </c>
      <c r="H99" s="58">
        <f>I92+I93+I94+I95+0</f>
        <v>-3731.9500000000003</v>
      </c>
      <c r="I99" s="58"/>
      <c r="J99" s="58">
        <f>K92+K93+K94+K95+0</f>
        <v>-204784.43</v>
      </c>
      <c r="K99" s="58"/>
      <c r="O99" s="34">
        <f>I92+I93+I94+I95+0</f>
        <v>-3731.9500000000003</v>
      </c>
      <c r="P99" s="34">
        <f>K92+K93+K94+K95+0</f>
        <v>-204784.43</v>
      </c>
    </row>
    <row r="101" spans="1:43" ht="14.25" x14ac:dyDescent="0.2">
      <c r="C101" s="22" t="str">
        <f>Source!G42</f>
        <v>Оборудование</v>
      </c>
    </row>
    <row r="102" spans="1:43" ht="68.25" x14ac:dyDescent="0.2">
      <c r="A102" s="36">
        <v>7</v>
      </c>
      <c r="B102" s="36" t="str">
        <f>Source!F43</f>
        <v>КА 1</v>
      </c>
      <c r="C102" s="36" t="s">
        <v>194</v>
      </c>
      <c r="D102" s="37" t="str">
        <f>Source!H43</f>
        <v>шт.</v>
      </c>
      <c r="E102" s="38">
        <f>Source!I43</f>
        <v>1</v>
      </c>
      <c r="F102" s="39">
        <f>Source!AL43</f>
        <v>48761.399999999994</v>
      </c>
      <c r="G102" s="40" t="str">
        <f>Source!DD43</f>
        <v/>
      </c>
      <c r="H102" s="38">
        <f>Source!AW44</f>
        <v>1</v>
      </c>
      <c r="I102" s="39">
        <f>Source!P43</f>
        <v>48761.4</v>
      </c>
      <c r="J102" s="38">
        <f>IF(Source!BC44&lt;&gt; 0, Source!BC44, 1)</f>
        <v>7.66</v>
      </c>
      <c r="K102" s="39">
        <f>Source!P44</f>
        <v>373512.32</v>
      </c>
      <c r="Q102">
        <f>Source!X43</f>
        <v>0</v>
      </c>
      <c r="R102">
        <f>Source!X44</f>
        <v>0</v>
      </c>
      <c r="S102">
        <f>Source!Y43</f>
        <v>0</v>
      </c>
      <c r="T102">
        <f>Source!Y44</f>
        <v>0</v>
      </c>
      <c r="U102">
        <f>ROUND((175/100)*ROUND(Source!R43, 2), 2)</f>
        <v>0</v>
      </c>
      <c r="V102">
        <f>ROUND((0/100)*ROUND(Source!R44, 2), 2)</f>
        <v>0</v>
      </c>
      <c r="AC102">
        <v>5</v>
      </c>
    </row>
    <row r="103" spans="1:43" ht="15" x14ac:dyDescent="0.25">
      <c r="A103" s="41"/>
      <c r="B103" s="41"/>
      <c r="C103" s="42" t="s">
        <v>187</v>
      </c>
      <c r="D103" s="41"/>
      <c r="E103" s="41"/>
      <c r="F103" s="41"/>
      <c r="G103" s="41"/>
      <c r="H103" s="57">
        <f>I102+0</f>
        <v>48761.4</v>
      </c>
      <c r="I103" s="57"/>
      <c r="J103" s="57">
        <f>K102+0</f>
        <v>373512.32</v>
      </c>
      <c r="K103" s="57"/>
      <c r="O103" s="34">
        <f>I102+0</f>
        <v>48761.4</v>
      </c>
      <c r="P103" s="34">
        <f>K102+0</f>
        <v>373512.32</v>
      </c>
    </row>
    <row r="106" spans="1:43" ht="15" x14ac:dyDescent="0.25">
      <c r="A106" s="60" t="str">
        <f>CONCATENATE("Итого по разделу: ",IF(Source!G46&lt;&gt;"Новый раздел", Source!G46, ""))</f>
        <v>Итого по разделу: Подъемник грузовой консольный в осях «Ж-И/4-5»</v>
      </c>
      <c r="B106" s="60"/>
      <c r="C106" s="60"/>
      <c r="D106" s="60"/>
      <c r="E106" s="60"/>
      <c r="F106" s="60"/>
      <c r="G106" s="60"/>
      <c r="H106" s="58">
        <f>SUM(O29:O105)</f>
        <v>58024.29</v>
      </c>
      <c r="I106" s="59"/>
      <c r="J106" s="58">
        <f>SUM(P29:P105)</f>
        <v>837051.56999999983</v>
      </c>
      <c r="K106" s="59"/>
      <c r="AQ106" s="44" t="str">
        <f>CONCATENATE("Итого по разделу: ",IF(Source!G46&lt;&gt;"Новый раздел", Source!G46, ""))</f>
        <v>Итого по разделу: Подъемник грузовой консольный в осях «Ж-И/4-5»</v>
      </c>
    </row>
    <row r="107" spans="1:43" hidden="1" x14ac:dyDescent="0.2">
      <c r="A107" t="s">
        <v>195</v>
      </c>
      <c r="I107">
        <f>SUM(W29:W106)</f>
        <v>0</v>
      </c>
      <c r="J107">
        <f>SUM(X29:X106)</f>
        <v>0</v>
      </c>
    </row>
    <row r="108" spans="1:43" hidden="1" x14ac:dyDescent="0.2">
      <c r="A108" t="s">
        <v>196</v>
      </c>
      <c r="I108">
        <f>SUM(Y29:Y107)</f>
        <v>0</v>
      </c>
      <c r="J108">
        <f>SUM(Z29:Z107)</f>
        <v>0</v>
      </c>
    </row>
    <row r="110" spans="1:43" ht="15" x14ac:dyDescent="0.25">
      <c r="A110" s="60" t="str">
        <f>CONCATENATE("Итого по локальной смете: ",IF(Source!G76&lt;&gt;"Новая локальная смета", Source!G76, ""))</f>
        <v>Итого по локальной смете: Вертикальный транспорт</v>
      </c>
      <c r="B110" s="60"/>
      <c r="C110" s="60"/>
      <c r="D110" s="60"/>
      <c r="E110" s="60"/>
      <c r="F110" s="60"/>
      <c r="G110" s="60"/>
      <c r="H110" s="58">
        <f>SUM(O28:O109)</f>
        <v>58024.29</v>
      </c>
      <c r="I110" s="59"/>
      <c r="J110" s="58">
        <f>SUM(P28:P109)</f>
        <v>837051.56999999983</v>
      </c>
      <c r="K110" s="59"/>
    </row>
    <row r="111" spans="1:43" hidden="1" x14ac:dyDescent="0.2">
      <c r="A111" t="s">
        <v>195</v>
      </c>
      <c r="I111">
        <f>SUM(W28:W110)</f>
        <v>0</v>
      </c>
      <c r="J111">
        <f>SUM(X28:X110)</f>
        <v>0</v>
      </c>
    </row>
    <row r="112" spans="1:43" hidden="1" x14ac:dyDescent="0.2">
      <c r="A112" t="s">
        <v>196</v>
      </c>
      <c r="I112">
        <f>SUM(Y28:Y111)</f>
        <v>0</v>
      </c>
      <c r="J112">
        <f>SUM(Z28:Z111)</f>
        <v>0</v>
      </c>
    </row>
    <row r="115" spans="1:11" ht="14.25" x14ac:dyDescent="0.2">
      <c r="A115" s="54" t="s">
        <v>198</v>
      </c>
      <c r="B115" s="54"/>
      <c r="C115" s="45" t="str">
        <f>IF(Source!AC12&lt;&gt;"", Source!AC12," ")</f>
        <v xml:space="preserve"> </v>
      </c>
      <c r="D115" s="45"/>
      <c r="E115" s="45"/>
      <c r="F115" s="45"/>
      <c r="G115" s="45"/>
      <c r="H115" s="55" t="str">
        <f>IF(Source!AB12&lt;&gt;"", Source!AB12," ")</f>
        <v>Борисова Е.С.</v>
      </c>
      <c r="I115" s="55"/>
      <c r="J115" s="55"/>
      <c r="K115" s="55"/>
    </row>
    <row r="116" spans="1:11" ht="14.25" x14ac:dyDescent="0.2">
      <c r="A116" s="11"/>
      <c r="B116" s="11"/>
      <c r="C116" s="56" t="s">
        <v>199</v>
      </c>
      <c r="D116" s="56"/>
      <c r="E116" s="56"/>
      <c r="F116" s="56"/>
      <c r="G116" s="56"/>
      <c r="H116" s="11"/>
      <c r="I116" s="11"/>
      <c r="J116" s="11"/>
      <c r="K116" s="11"/>
    </row>
    <row r="117" spans="1:11" ht="14.25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spans="1:11" ht="14.25" x14ac:dyDescent="0.2">
      <c r="A118" s="54" t="s">
        <v>200</v>
      </c>
      <c r="B118" s="54"/>
      <c r="C118" s="45" t="str">
        <f>IF(Source!AE12&lt;&gt;"", Source!AE12," ")</f>
        <v xml:space="preserve"> </v>
      </c>
      <c r="D118" s="45"/>
      <c r="E118" s="45"/>
      <c r="F118" s="45"/>
      <c r="G118" s="45"/>
      <c r="H118" s="55" t="str">
        <f>IF(Source!AD12&lt;&gt;"", Source!AD12," ")</f>
        <v xml:space="preserve"> </v>
      </c>
      <c r="I118" s="55"/>
      <c r="J118" s="55"/>
      <c r="K118" s="55"/>
    </row>
    <row r="119" spans="1:11" ht="14.25" x14ac:dyDescent="0.2">
      <c r="A119" s="11"/>
      <c r="B119" s="11"/>
      <c r="C119" s="56" t="s">
        <v>199</v>
      </c>
      <c r="D119" s="56"/>
      <c r="E119" s="56"/>
      <c r="F119" s="56"/>
      <c r="G119" s="56"/>
      <c r="H119" s="11"/>
      <c r="I119" s="11"/>
      <c r="J119" s="11"/>
      <c r="K119" s="11"/>
    </row>
  </sheetData>
  <mergeCells count="68">
    <mergeCell ref="A29:K29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A25:K25"/>
    <mergeCell ref="J2:K2"/>
    <mergeCell ref="A3:K3"/>
    <mergeCell ref="A4:K4"/>
    <mergeCell ref="A6:K6"/>
    <mergeCell ref="A8:K8"/>
    <mergeCell ref="A9:K9"/>
    <mergeCell ref="A11:K11"/>
    <mergeCell ref="H38:I38"/>
    <mergeCell ref="J38:K38"/>
    <mergeCell ref="H39:I39"/>
    <mergeCell ref="J39:K39"/>
    <mergeCell ref="H40:I40"/>
    <mergeCell ref="J40:K40"/>
    <mergeCell ref="H50:I50"/>
    <mergeCell ref="J50:K50"/>
    <mergeCell ref="H51:I51"/>
    <mergeCell ref="J51:K51"/>
    <mergeCell ref="H52:I52"/>
    <mergeCell ref="J52:K52"/>
    <mergeCell ref="H60:I60"/>
    <mergeCell ref="J60:K60"/>
    <mergeCell ref="H61:I61"/>
    <mergeCell ref="J61:K61"/>
    <mergeCell ref="H62:I62"/>
    <mergeCell ref="J62:K62"/>
    <mergeCell ref="H73:I73"/>
    <mergeCell ref="J73:K73"/>
    <mergeCell ref="H74:I74"/>
    <mergeCell ref="J74:K74"/>
    <mergeCell ref="H75:I75"/>
    <mergeCell ref="J75:K75"/>
    <mergeCell ref="H86:I86"/>
    <mergeCell ref="J86:K86"/>
    <mergeCell ref="H87:I87"/>
    <mergeCell ref="J87:K87"/>
    <mergeCell ref="H88:I88"/>
    <mergeCell ref="J88:K88"/>
    <mergeCell ref="H97:I97"/>
    <mergeCell ref="J97:K97"/>
    <mergeCell ref="H98:I98"/>
    <mergeCell ref="J98:K98"/>
    <mergeCell ref="H99:I99"/>
    <mergeCell ref="J99:K99"/>
    <mergeCell ref="C119:G119"/>
    <mergeCell ref="H103:I103"/>
    <mergeCell ref="J103:K103"/>
    <mergeCell ref="J106:K106"/>
    <mergeCell ref="H106:I106"/>
    <mergeCell ref="A106:G106"/>
    <mergeCell ref="J110:K110"/>
    <mergeCell ref="H110:I110"/>
    <mergeCell ref="A110:G110"/>
    <mergeCell ref="A115:B115"/>
    <mergeCell ref="H115:K115"/>
    <mergeCell ref="C116:G116"/>
    <mergeCell ref="A118:B118"/>
    <mergeCell ref="H118:K118"/>
  </mergeCells>
  <pageMargins left="0.4" right="0.2" top="0.2" bottom="0.4" header="0.2" footer="0.2"/>
  <pageSetup paperSize="9" scale="72" fitToHeight="0" orientation="portrait" horizontalDpi="4294967295" verticalDpi="4294967295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2" spans="1:8" ht="14.25" x14ac:dyDescent="0.2">
      <c r="D2" s="11"/>
      <c r="E2" s="11"/>
    </row>
    <row r="3" spans="1:8" ht="15" x14ac:dyDescent="0.25">
      <c r="D3" s="11"/>
      <c r="E3" s="43" t="s">
        <v>201</v>
      </c>
    </row>
    <row r="4" spans="1:8" ht="15" x14ac:dyDescent="0.25">
      <c r="D4" s="43"/>
      <c r="E4" s="43"/>
    </row>
    <row r="5" spans="1:8" ht="15" x14ac:dyDescent="0.25">
      <c r="D5" s="73" t="s">
        <v>202</v>
      </c>
      <c r="E5" s="73"/>
    </row>
    <row r="6" spans="1:8" ht="15" x14ac:dyDescent="0.25">
      <c r="D6" s="46"/>
      <c r="E6" s="46"/>
    </row>
    <row r="7" spans="1:8" ht="15" x14ac:dyDescent="0.25">
      <c r="D7" s="73" t="s">
        <v>202</v>
      </c>
      <c r="E7" s="73"/>
    </row>
    <row r="8" spans="1:8" ht="15" x14ac:dyDescent="0.25">
      <c r="D8" s="46"/>
      <c r="E8" s="46"/>
    </row>
    <row r="9" spans="1:8" ht="15" x14ac:dyDescent="0.25">
      <c r="D9" s="43" t="s">
        <v>203</v>
      </c>
      <c r="E9" s="11"/>
    </row>
    <row r="10" spans="1:8" ht="14.25" x14ac:dyDescent="0.2">
      <c r="D10" s="11"/>
      <c r="E10" s="11"/>
    </row>
    <row r="12" spans="1:8" ht="15.75" x14ac:dyDescent="0.2">
      <c r="B12" s="74" t="str">
        <f>CONCATENATE("Ведомость объемов работ ", IF(Source!AN15&lt;&gt;"", Source!AN15," "))</f>
        <v xml:space="preserve">Ведомость объемов работ  </v>
      </c>
      <c r="C12" s="74"/>
      <c r="D12" s="74"/>
      <c r="E12" s="74"/>
    </row>
    <row r="13" spans="1:8" ht="15" x14ac:dyDescent="0.2">
      <c r="B13" s="75" t="str">
        <f>CONCATENATE(Source!F12, " ", Source!G12)</f>
        <v>02-01-19 02-01-19 Вертикальный транспорт</v>
      </c>
      <c r="C13" s="75"/>
      <c r="D13" s="75"/>
      <c r="E13" s="75"/>
    </row>
    <row r="14" spans="1:8" ht="15" x14ac:dyDescent="0.2">
      <c r="B14" s="75" t="str">
        <f>CONCATENATE(Source!F20, " ", Source!G20)</f>
        <v>02-01-19 Вертикальный транспорт</v>
      </c>
      <c r="C14" s="75"/>
      <c r="D14" s="75"/>
      <c r="E14" s="75"/>
    </row>
    <row r="16" spans="1:8" ht="99.75" x14ac:dyDescent="0.2">
      <c r="A16" s="19" t="s">
        <v>161</v>
      </c>
      <c r="B16" s="19" t="s">
        <v>204</v>
      </c>
      <c r="C16" s="19" t="s">
        <v>163</v>
      </c>
      <c r="D16" s="19" t="s">
        <v>205</v>
      </c>
      <c r="E16" s="19" t="s">
        <v>206</v>
      </c>
      <c r="F16" s="19" t="s">
        <v>207</v>
      </c>
      <c r="G16" s="19" t="s">
        <v>208</v>
      </c>
      <c r="H16" s="19" t="s">
        <v>209</v>
      </c>
    </row>
    <row r="17" spans="1:8" ht="14.25" x14ac:dyDescent="0.2">
      <c r="A17" s="19">
        <v>1</v>
      </c>
      <c r="B17" s="19">
        <v>2</v>
      </c>
      <c r="C17" s="19">
        <v>3</v>
      </c>
      <c r="D17" s="19">
        <v>4</v>
      </c>
      <c r="E17" s="19">
        <v>5</v>
      </c>
      <c r="F17" s="19">
        <v>6</v>
      </c>
      <c r="G17" s="19">
        <v>7</v>
      </c>
      <c r="H17" s="19">
        <v>8</v>
      </c>
    </row>
    <row r="18" spans="1:8" ht="16.5" x14ac:dyDescent="0.25">
      <c r="A18" s="76" t="str">
        <f>CONCATENATE("Раздел: ", Source!G24)</f>
        <v>Раздел: Подъемник грузовой консольный в осях «Ж-И/4-5»</v>
      </c>
      <c r="B18" s="76"/>
      <c r="C18" s="76"/>
      <c r="D18" s="76"/>
      <c r="E18" s="76"/>
      <c r="F18" s="76"/>
      <c r="G18" s="76"/>
      <c r="H18" s="76"/>
    </row>
    <row r="19" spans="1:8" ht="42.75" x14ac:dyDescent="0.2">
      <c r="A19" s="19">
        <v>1</v>
      </c>
      <c r="B19" s="19" t="str">
        <f>Source!E29</f>
        <v>1</v>
      </c>
      <c r="C19" s="49" t="str">
        <f>Source!G29</f>
        <v>Лифт малогрузовой со скоростью движения кабины до 0,5 м/с, грузоподъемностью 100 кг, на 6 остановок, в глухой шахте, высота 21 м (схема управления релейно-контакторная)/ грузовой подъёмник</v>
      </c>
      <c r="D19" s="19" t="s">
        <v>22</v>
      </c>
      <c r="E19" s="50">
        <f>Source!I29</f>
        <v>1</v>
      </c>
      <c r="F19" s="19" t="str">
        <f>Source!U24</f>
        <v/>
      </c>
      <c r="G19" s="19">
        <f>Source!I29</f>
        <v>1</v>
      </c>
      <c r="H19" s="49"/>
    </row>
    <row r="20" spans="1:8" ht="57" x14ac:dyDescent="0.2">
      <c r="A20" s="19">
        <v>2</v>
      </c>
      <c r="B20" s="19" t="str">
        <f>Source!E31</f>
        <v>2</v>
      </c>
      <c r="C20" s="49" t="str">
        <f>Source!G31</f>
        <v>За каждую остановку, более или менее указанных в характеристике лифта грузоподъемностью 100 кг в глухой шахте добавлять или уменьшать (схема управления релейно-контакторная)/ грузовой подъёмник</v>
      </c>
      <c r="D20" s="19" t="s">
        <v>33</v>
      </c>
      <c r="E20" s="50">
        <f>Source!I31</f>
        <v>-4</v>
      </c>
      <c r="F20" s="19" t="str">
        <f>Source!U24</f>
        <v/>
      </c>
      <c r="G20" s="19" t="str">
        <f>"=2-"&amp;"6"</f>
        <v>=2-6</v>
      </c>
      <c r="H20" s="49"/>
    </row>
    <row r="21" spans="1:8" ht="57" x14ac:dyDescent="0.2">
      <c r="A21" s="19">
        <v>3</v>
      </c>
      <c r="B21" s="19" t="str">
        <f>Source!E33</f>
        <v>3</v>
      </c>
      <c r="C21" s="49" t="str">
        <f>Source!G33</f>
        <v>За каждый 1 м высоты шахты, более или менее указанных в характеристике малогрузового лифта грузоподъемностью 100 кг в глухой шахте добавлять или уменьшать (схема управления релейно-контакторная)/ грузовой подъёмник</v>
      </c>
      <c r="D21" s="19" t="s">
        <v>38</v>
      </c>
      <c r="E21" s="50">
        <f>Source!I33</f>
        <v>-14.92</v>
      </c>
      <c r="F21" s="19" t="str">
        <f>Source!U24</f>
        <v/>
      </c>
      <c r="G21" s="19" t="str">
        <f>"=(3,15+"&amp;"2,93-"&amp;"21)"</f>
        <v>=(3,15+2,93-21)</v>
      </c>
      <c r="H21" s="49"/>
    </row>
    <row r="22" spans="1:8" ht="57" x14ac:dyDescent="0.2">
      <c r="A22" s="19">
        <v>4</v>
      </c>
      <c r="B22" s="19" t="str">
        <f>Source!E36</f>
        <v>4</v>
      </c>
      <c r="C22" s="49" t="str">
        <f>Source!G36</f>
        <v>Лифт малогрузовой со скоростью движения кабины до 0,5 м/с, грузоподъемностью 100 кг, на 6 остановок, в глухой шахте, высота 21 м (схема управления микроэлектронная и микропроцессорная)/ грузовой подъёмник</v>
      </c>
      <c r="D22" s="19" t="s">
        <v>22</v>
      </c>
      <c r="E22" s="50">
        <f>Source!I36</f>
        <v>1</v>
      </c>
      <c r="F22" s="19" t="str">
        <f>Source!U24</f>
        <v/>
      </c>
      <c r="G22" s="19">
        <f>Source!I36</f>
        <v>1</v>
      </c>
      <c r="H22" s="49"/>
    </row>
    <row r="23" spans="1:8" ht="57" x14ac:dyDescent="0.2">
      <c r="A23" s="19">
        <v>5</v>
      </c>
      <c r="B23" s="19" t="str">
        <f>Source!E38</f>
        <v>5</v>
      </c>
      <c r="C23" s="49" t="str">
        <f>Source!G38</f>
        <v>За каждую остановку, более или менее указанных в характеристике лифта грузоподъемностью 100 кг в глухой шахте добавлять или уменьшать (схема управления микроэлектронная и микропроцессорная)/ грузовой подъёмник</v>
      </c>
      <c r="D23" s="19" t="s">
        <v>33</v>
      </c>
      <c r="E23" s="50">
        <f>Source!I38</f>
        <v>-4</v>
      </c>
      <c r="F23" s="19" t="str">
        <f>Source!U24</f>
        <v/>
      </c>
      <c r="G23" s="19" t="str">
        <f>"=2-"&amp;"6"</f>
        <v>=2-6</v>
      </c>
      <c r="H23" s="49"/>
    </row>
    <row r="24" spans="1:8" ht="57" x14ac:dyDescent="0.2">
      <c r="A24" s="19">
        <v>6</v>
      </c>
      <c r="B24" s="19" t="str">
        <f>Source!E40</f>
        <v>6</v>
      </c>
      <c r="C24" s="49" t="str">
        <f>Source!G40</f>
        <v>За каждый 1 м высоты шахты, более или менее указанных в характеристике малогрузового лифта грузоподъемностью 100 кг в глухой шахте добавлять или уменьшать (схема управления микроэлектронная и микропроцессорная)/ грузовой подъёмник</v>
      </c>
      <c r="D24" s="19" t="s">
        <v>38</v>
      </c>
      <c r="E24" s="50">
        <f>Source!I40</f>
        <v>-14.92</v>
      </c>
      <c r="F24" s="19" t="str">
        <f>Source!U24</f>
        <v/>
      </c>
      <c r="G24" s="19" t="str">
        <f>"=(3,15+"&amp;"2,93-"&amp;"21)"</f>
        <v>=(3,15+2,93-21)</v>
      </c>
      <c r="H24" s="49"/>
    </row>
    <row r="25" spans="1:8" ht="14.25" x14ac:dyDescent="0.2">
      <c r="A25" s="18">
        <v>7</v>
      </c>
      <c r="B25" s="18" t="str">
        <f>Source!E43</f>
        <v>7</v>
      </c>
      <c r="C25" s="47" t="str">
        <f>Source!G43</f>
        <v>Подъемник грузовой консольный РЕСТО-ПГ-Ш-100-3150 ТТ</v>
      </c>
      <c r="D25" s="18" t="s">
        <v>59</v>
      </c>
      <c r="E25" s="48">
        <f>Source!I43</f>
        <v>1</v>
      </c>
      <c r="F25" s="18" t="str">
        <f>Source!U24</f>
        <v/>
      </c>
      <c r="G25" s="18">
        <f>Source!I43</f>
        <v>1</v>
      </c>
      <c r="H25" s="47"/>
    </row>
    <row r="28" spans="1:8" ht="15" x14ac:dyDescent="0.25">
      <c r="C28" s="51" t="s">
        <v>210</v>
      </c>
      <c r="D28" s="51" t="str">
        <f>IF(Source!X12&lt;&gt;"", Source!X12," ")</f>
        <v xml:space="preserve"> </v>
      </c>
      <c r="E28" s="52"/>
    </row>
    <row r="29" spans="1:8" ht="15" x14ac:dyDescent="0.25">
      <c r="C29" s="11"/>
      <c r="D29" s="52"/>
      <c r="E29" s="52"/>
    </row>
    <row r="30" spans="1:8" ht="15" x14ac:dyDescent="0.25">
      <c r="C30" s="53" t="s">
        <v>211</v>
      </c>
      <c r="D30" s="53" t="str">
        <f>IF(Source!AB12&lt;&gt;"", Source!AB12," ")</f>
        <v>Борисова Е.С.</v>
      </c>
      <c r="E30" s="52"/>
    </row>
  </sheetData>
  <mergeCells count="6">
    <mergeCell ref="A18:H18"/>
    <mergeCell ref="D5:E5"/>
    <mergeCell ref="D7:E7"/>
    <mergeCell ref="B12:E12"/>
    <mergeCell ref="B13:E13"/>
    <mergeCell ref="B14:E14"/>
  </mergeCells>
  <pageMargins left="0.4" right="0.2" top="0.2" bottom="0.4" header="0.2" footer="0.2"/>
  <pageSetup paperSize="9" scale="59" fitToHeight="0" orientation="portrait" horizontalDpi="4294967295" verticalDpi="4294967295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53"/>
  <sheetViews>
    <sheetView workbookViewId="0">
      <selection activeCell="A149" sqref="A149:AX149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74561</v>
      </c>
      <c r="M1">
        <v>10</v>
      </c>
      <c r="N1">
        <v>11</v>
      </c>
      <c r="O1">
        <v>15</v>
      </c>
      <c r="P1">
        <v>0</v>
      </c>
      <c r="Q1">
        <v>2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145</v>
      </c>
      <c r="C12" s="1">
        <v>0</v>
      </c>
      <c r="D12" s="1">
        <f>ROW(A106)</f>
        <v>106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10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B106</f>
        <v>145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02-01-19</v>
      </c>
      <c r="G18" s="3" t="str">
        <f t="shared" si="0"/>
        <v>02-01-19 Вертикальный транспорт</v>
      </c>
      <c r="H18" s="3"/>
      <c r="I18" s="3"/>
      <c r="J18" s="3"/>
      <c r="K18" s="3"/>
      <c r="L18" s="3"/>
      <c r="M18" s="3"/>
      <c r="N18" s="3"/>
      <c r="O18" s="3">
        <f t="shared" ref="O18:AT18" si="1">O106</f>
        <v>53199.99</v>
      </c>
      <c r="P18" s="3">
        <f t="shared" si="1"/>
        <v>49495.8</v>
      </c>
      <c r="Q18" s="3">
        <f t="shared" si="1"/>
        <v>303.70999999999998</v>
      </c>
      <c r="R18" s="3">
        <f t="shared" si="1"/>
        <v>21.01</v>
      </c>
      <c r="S18" s="3">
        <f t="shared" si="1"/>
        <v>3400.48</v>
      </c>
      <c r="T18" s="3">
        <f t="shared" si="1"/>
        <v>0</v>
      </c>
      <c r="U18" s="3">
        <f t="shared" si="1"/>
        <v>252.13564244000003</v>
      </c>
      <c r="V18" s="3">
        <f t="shared" si="1"/>
        <v>0</v>
      </c>
      <c r="W18" s="3">
        <f t="shared" si="1"/>
        <v>0</v>
      </c>
      <c r="X18" s="3">
        <f t="shared" si="1"/>
        <v>3147.77</v>
      </c>
      <c r="Y18" s="3">
        <f t="shared" si="1"/>
        <v>1676.53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48761.4</v>
      </c>
      <c r="AQ18" s="3">
        <f t="shared" si="1"/>
        <v>0</v>
      </c>
      <c r="AR18" s="3">
        <f t="shared" si="1"/>
        <v>58024.29</v>
      </c>
      <c r="AS18" s="3">
        <f t="shared" si="1"/>
        <v>0</v>
      </c>
      <c r="AT18" s="3">
        <f t="shared" si="1"/>
        <v>9262.89</v>
      </c>
      <c r="AU18" s="3">
        <f t="shared" ref="AU18:BZ18" si="2">AU106</f>
        <v>0</v>
      </c>
      <c r="AV18" s="3">
        <f t="shared" si="2"/>
        <v>49495.8</v>
      </c>
      <c r="AW18" s="3">
        <f t="shared" si="2"/>
        <v>734.4</v>
      </c>
      <c r="AX18" s="3">
        <f t="shared" si="2"/>
        <v>0</v>
      </c>
      <c r="AY18" s="3">
        <f t="shared" si="2"/>
        <v>734.4</v>
      </c>
      <c r="AZ18" s="3">
        <f t="shared" si="2"/>
        <v>48761.4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CA106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DG106</f>
        <v>571763.25</v>
      </c>
      <c r="DH18" s="4">
        <f t="shared" si="4"/>
        <v>380775.54</v>
      </c>
      <c r="DI18" s="4">
        <f t="shared" si="4"/>
        <v>3995.31</v>
      </c>
      <c r="DJ18" s="4">
        <f t="shared" si="4"/>
        <v>1155.3399999999999</v>
      </c>
      <c r="DK18" s="4">
        <f t="shared" si="4"/>
        <v>186992.4</v>
      </c>
      <c r="DL18" s="4">
        <f t="shared" si="4"/>
        <v>0</v>
      </c>
      <c r="DM18" s="4">
        <f t="shared" si="4"/>
        <v>252.13564244000003</v>
      </c>
      <c r="DN18" s="4">
        <f t="shared" si="4"/>
        <v>0</v>
      </c>
      <c r="DO18" s="4">
        <f t="shared" si="4"/>
        <v>0</v>
      </c>
      <c r="DP18" s="4">
        <f t="shared" si="4"/>
        <v>173095.92</v>
      </c>
      <c r="DQ18" s="4">
        <f t="shared" si="4"/>
        <v>92192.4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373512.32</v>
      </c>
      <c r="EI18" s="4">
        <f t="shared" si="4"/>
        <v>0</v>
      </c>
      <c r="EJ18" s="4">
        <f t="shared" si="4"/>
        <v>837051.57</v>
      </c>
      <c r="EK18" s="4">
        <f t="shared" si="4"/>
        <v>0</v>
      </c>
      <c r="EL18" s="4">
        <f t="shared" si="4"/>
        <v>463539.25</v>
      </c>
      <c r="EM18" s="4">
        <f t="shared" ref="EM18:FR18" si="5">EM106</f>
        <v>0</v>
      </c>
      <c r="EN18" s="4">
        <f t="shared" si="5"/>
        <v>380775.54</v>
      </c>
      <c r="EO18" s="4">
        <f t="shared" si="5"/>
        <v>7263.22</v>
      </c>
      <c r="EP18" s="4">
        <f t="shared" si="5"/>
        <v>0</v>
      </c>
      <c r="EQ18" s="4">
        <f t="shared" si="5"/>
        <v>7263.22</v>
      </c>
      <c r="ER18" s="4">
        <f t="shared" si="5"/>
        <v>373512.32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FS106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ROW(A76)</f>
        <v>76</v>
      </c>
      <c r="E20" s="1"/>
      <c r="F20" s="1" t="s">
        <v>5</v>
      </c>
      <c r="G20" s="1" t="s">
        <v>16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B76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02-01-19</v>
      </c>
      <c r="G22" s="3" t="str">
        <f t="shared" si="7"/>
        <v>Вертикальный транспорт</v>
      </c>
      <c r="H22" s="3"/>
      <c r="I22" s="3"/>
      <c r="J22" s="3"/>
      <c r="K22" s="3"/>
      <c r="L22" s="3"/>
      <c r="M22" s="3"/>
      <c r="N22" s="3"/>
      <c r="O22" s="3">
        <f t="shared" ref="O22:AT22" si="8">O76</f>
        <v>53199.99</v>
      </c>
      <c r="P22" s="3">
        <f t="shared" si="8"/>
        <v>49495.8</v>
      </c>
      <c r="Q22" s="3">
        <f t="shared" si="8"/>
        <v>303.70999999999998</v>
      </c>
      <c r="R22" s="3">
        <f t="shared" si="8"/>
        <v>21.01</v>
      </c>
      <c r="S22" s="3">
        <f t="shared" si="8"/>
        <v>3400.48</v>
      </c>
      <c r="T22" s="3">
        <f t="shared" si="8"/>
        <v>0</v>
      </c>
      <c r="U22" s="3">
        <f t="shared" si="8"/>
        <v>252.13564244000003</v>
      </c>
      <c r="V22" s="3">
        <f t="shared" si="8"/>
        <v>0</v>
      </c>
      <c r="W22" s="3">
        <f t="shared" si="8"/>
        <v>0</v>
      </c>
      <c r="X22" s="3">
        <f t="shared" si="8"/>
        <v>3147.77</v>
      </c>
      <c r="Y22" s="3">
        <f t="shared" si="8"/>
        <v>1676.53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48761.4</v>
      </c>
      <c r="AQ22" s="3">
        <f t="shared" si="8"/>
        <v>0</v>
      </c>
      <c r="AR22" s="3">
        <f t="shared" si="8"/>
        <v>58024.29</v>
      </c>
      <c r="AS22" s="3">
        <f t="shared" si="8"/>
        <v>0</v>
      </c>
      <c r="AT22" s="3">
        <f t="shared" si="8"/>
        <v>9262.89</v>
      </c>
      <c r="AU22" s="3">
        <f t="shared" ref="AU22:BZ22" si="9">AU76</f>
        <v>0</v>
      </c>
      <c r="AV22" s="3">
        <f t="shared" si="9"/>
        <v>49495.8</v>
      </c>
      <c r="AW22" s="3">
        <f t="shared" si="9"/>
        <v>734.4</v>
      </c>
      <c r="AX22" s="3">
        <f t="shared" si="9"/>
        <v>0</v>
      </c>
      <c r="AY22" s="3">
        <f t="shared" si="9"/>
        <v>734.4</v>
      </c>
      <c r="AZ22" s="3">
        <f t="shared" si="9"/>
        <v>48761.4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CA76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DG76</f>
        <v>571763.25</v>
      </c>
      <c r="DH22" s="4">
        <f t="shared" si="11"/>
        <v>380775.54</v>
      </c>
      <c r="DI22" s="4">
        <f t="shared" si="11"/>
        <v>3995.31</v>
      </c>
      <c r="DJ22" s="4">
        <f t="shared" si="11"/>
        <v>1155.3399999999999</v>
      </c>
      <c r="DK22" s="4">
        <f t="shared" si="11"/>
        <v>186992.4</v>
      </c>
      <c r="DL22" s="4">
        <f t="shared" si="11"/>
        <v>0</v>
      </c>
      <c r="DM22" s="4">
        <f t="shared" si="11"/>
        <v>252.13564244000003</v>
      </c>
      <c r="DN22" s="4">
        <f t="shared" si="11"/>
        <v>0</v>
      </c>
      <c r="DO22" s="4">
        <f t="shared" si="11"/>
        <v>0</v>
      </c>
      <c r="DP22" s="4">
        <f t="shared" si="11"/>
        <v>173095.92</v>
      </c>
      <c r="DQ22" s="4">
        <f t="shared" si="11"/>
        <v>92192.4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373512.32</v>
      </c>
      <c r="EI22" s="4">
        <f t="shared" si="11"/>
        <v>0</v>
      </c>
      <c r="EJ22" s="4">
        <f t="shared" si="11"/>
        <v>837051.57</v>
      </c>
      <c r="EK22" s="4">
        <f t="shared" si="11"/>
        <v>0</v>
      </c>
      <c r="EL22" s="4">
        <f t="shared" si="11"/>
        <v>463539.25</v>
      </c>
      <c r="EM22" s="4">
        <f t="shared" ref="EM22:FR22" si="12">EM76</f>
        <v>0</v>
      </c>
      <c r="EN22" s="4">
        <f t="shared" si="12"/>
        <v>380775.54</v>
      </c>
      <c r="EO22" s="4">
        <f t="shared" si="12"/>
        <v>7263.22</v>
      </c>
      <c r="EP22" s="4">
        <f t="shared" si="12"/>
        <v>0</v>
      </c>
      <c r="EQ22" s="4">
        <f t="shared" si="12"/>
        <v>7263.22</v>
      </c>
      <c r="ER22" s="4">
        <f t="shared" si="12"/>
        <v>373512.32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FS76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ROW(A46)</f>
        <v>46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B46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Подъемник грузовой консольный в осях «Ж-И/4-5»</v>
      </c>
      <c r="H26" s="3"/>
      <c r="I26" s="3"/>
      <c r="J26" s="3"/>
      <c r="K26" s="3"/>
      <c r="L26" s="3"/>
      <c r="M26" s="3"/>
      <c r="N26" s="3"/>
      <c r="O26" s="3">
        <f t="shared" ref="O26:AT26" si="15">O46</f>
        <v>53199.99</v>
      </c>
      <c r="P26" s="3">
        <f t="shared" si="15"/>
        <v>49495.8</v>
      </c>
      <c r="Q26" s="3">
        <f t="shared" si="15"/>
        <v>303.70999999999998</v>
      </c>
      <c r="R26" s="3">
        <f t="shared" si="15"/>
        <v>21.01</v>
      </c>
      <c r="S26" s="3">
        <f t="shared" si="15"/>
        <v>3400.48</v>
      </c>
      <c r="T26" s="3">
        <f t="shared" si="15"/>
        <v>0</v>
      </c>
      <c r="U26" s="3">
        <f t="shared" si="15"/>
        <v>252.13564244000003</v>
      </c>
      <c r="V26" s="3">
        <f t="shared" si="15"/>
        <v>0</v>
      </c>
      <c r="W26" s="3">
        <f t="shared" si="15"/>
        <v>0</v>
      </c>
      <c r="X26" s="3">
        <f t="shared" si="15"/>
        <v>3147.77</v>
      </c>
      <c r="Y26" s="3">
        <f t="shared" si="15"/>
        <v>1676.53</v>
      </c>
      <c r="Z26" s="3">
        <f t="shared" si="15"/>
        <v>0</v>
      </c>
      <c r="AA26" s="3">
        <f t="shared" si="15"/>
        <v>0</v>
      </c>
      <c r="AB26" s="3">
        <f t="shared" si="15"/>
        <v>53199.99</v>
      </c>
      <c r="AC26" s="3">
        <f t="shared" si="15"/>
        <v>49495.8</v>
      </c>
      <c r="AD26" s="3">
        <f t="shared" si="15"/>
        <v>303.70999999999998</v>
      </c>
      <c r="AE26" s="3">
        <f t="shared" si="15"/>
        <v>21.01</v>
      </c>
      <c r="AF26" s="3">
        <f t="shared" si="15"/>
        <v>3400.48</v>
      </c>
      <c r="AG26" s="3">
        <f t="shared" si="15"/>
        <v>0</v>
      </c>
      <c r="AH26" s="3">
        <f t="shared" si="15"/>
        <v>252.13564244000003</v>
      </c>
      <c r="AI26" s="3">
        <f t="shared" si="15"/>
        <v>0</v>
      </c>
      <c r="AJ26" s="3">
        <f t="shared" si="15"/>
        <v>0</v>
      </c>
      <c r="AK26" s="3">
        <f t="shared" si="15"/>
        <v>3147.77</v>
      </c>
      <c r="AL26" s="3">
        <f t="shared" si="15"/>
        <v>1676.53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48761.4</v>
      </c>
      <c r="AQ26" s="3">
        <f t="shared" si="15"/>
        <v>0</v>
      </c>
      <c r="AR26" s="3">
        <f t="shared" si="15"/>
        <v>58024.29</v>
      </c>
      <c r="AS26" s="3">
        <f t="shared" si="15"/>
        <v>0</v>
      </c>
      <c r="AT26" s="3">
        <f t="shared" si="15"/>
        <v>9262.89</v>
      </c>
      <c r="AU26" s="3">
        <f t="shared" ref="AU26:BZ26" si="16">AU46</f>
        <v>0</v>
      </c>
      <c r="AV26" s="3">
        <f t="shared" si="16"/>
        <v>49495.8</v>
      </c>
      <c r="AW26" s="3">
        <f t="shared" si="16"/>
        <v>734.4</v>
      </c>
      <c r="AX26" s="3">
        <f t="shared" si="16"/>
        <v>0</v>
      </c>
      <c r="AY26" s="3">
        <f t="shared" si="16"/>
        <v>734.4</v>
      </c>
      <c r="AZ26" s="3">
        <f t="shared" si="16"/>
        <v>48761.4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48761.4</v>
      </c>
      <c r="BZ26" s="3">
        <f t="shared" si="16"/>
        <v>0</v>
      </c>
      <c r="CA26" s="3">
        <f t="shared" ref="CA26:DF26" si="17">CA46</f>
        <v>58024.29</v>
      </c>
      <c r="CB26" s="3">
        <f t="shared" si="17"/>
        <v>0</v>
      </c>
      <c r="CC26" s="3">
        <f t="shared" si="17"/>
        <v>9262.89</v>
      </c>
      <c r="CD26" s="3">
        <f t="shared" si="17"/>
        <v>0</v>
      </c>
      <c r="CE26" s="3">
        <f t="shared" si="17"/>
        <v>49495.8</v>
      </c>
      <c r="CF26" s="3">
        <f t="shared" si="17"/>
        <v>734.40000000000146</v>
      </c>
      <c r="CG26" s="3">
        <f t="shared" si="17"/>
        <v>0</v>
      </c>
      <c r="CH26" s="3">
        <f t="shared" si="17"/>
        <v>734.40000000000146</v>
      </c>
      <c r="CI26" s="3">
        <f t="shared" si="17"/>
        <v>48761.4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DG46</f>
        <v>571763.25</v>
      </c>
      <c r="DH26" s="4">
        <f t="shared" si="18"/>
        <v>380775.54</v>
      </c>
      <c r="DI26" s="4">
        <f t="shared" si="18"/>
        <v>3995.31</v>
      </c>
      <c r="DJ26" s="4">
        <f t="shared" si="18"/>
        <v>1155.3399999999999</v>
      </c>
      <c r="DK26" s="4">
        <f t="shared" si="18"/>
        <v>186992.4</v>
      </c>
      <c r="DL26" s="4">
        <f t="shared" si="18"/>
        <v>0</v>
      </c>
      <c r="DM26" s="4">
        <f t="shared" si="18"/>
        <v>252.13564244000003</v>
      </c>
      <c r="DN26" s="4">
        <f t="shared" si="18"/>
        <v>0</v>
      </c>
      <c r="DO26" s="4">
        <f t="shared" si="18"/>
        <v>0</v>
      </c>
      <c r="DP26" s="4">
        <f t="shared" si="18"/>
        <v>173095.92</v>
      </c>
      <c r="DQ26" s="4">
        <f t="shared" si="18"/>
        <v>92192.4</v>
      </c>
      <c r="DR26" s="4">
        <f t="shared" si="18"/>
        <v>0</v>
      </c>
      <c r="DS26" s="4">
        <f t="shared" si="18"/>
        <v>0</v>
      </c>
      <c r="DT26" s="4">
        <f t="shared" si="18"/>
        <v>571763.25</v>
      </c>
      <c r="DU26" s="4">
        <f t="shared" si="18"/>
        <v>380775.54</v>
      </c>
      <c r="DV26" s="4">
        <f t="shared" si="18"/>
        <v>3995.31</v>
      </c>
      <c r="DW26" s="4">
        <f t="shared" si="18"/>
        <v>1155.3399999999999</v>
      </c>
      <c r="DX26" s="4">
        <f t="shared" si="18"/>
        <v>186992.4</v>
      </c>
      <c r="DY26" s="4">
        <f t="shared" si="18"/>
        <v>0</v>
      </c>
      <c r="DZ26" s="4">
        <f t="shared" si="18"/>
        <v>252.13564244000003</v>
      </c>
      <c r="EA26" s="4">
        <f t="shared" si="18"/>
        <v>0</v>
      </c>
      <c r="EB26" s="4">
        <f t="shared" si="18"/>
        <v>0</v>
      </c>
      <c r="EC26" s="4">
        <f t="shared" si="18"/>
        <v>173095.92</v>
      </c>
      <c r="ED26" s="4">
        <f t="shared" si="18"/>
        <v>92192.4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373512.32</v>
      </c>
      <c r="EI26" s="4">
        <f t="shared" si="18"/>
        <v>0</v>
      </c>
      <c r="EJ26" s="4">
        <f t="shared" si="18"/>
        <v>837051.57</v>
      </c>
      <c r="EK26" s="4">
        <f t="shared" si="18"/>
        <v>0</v>
      </c>
      <c r="EL26" s="4">
        <f t="shared" si="18"/>
        <v>463539.25</v>
      </c>
      <c r="EM26" s="4">
        <f t="shared" ref="EM26:FR26" si="19">EM46</f>
        <v>0</v>
      </c>
      <c r="EN26" s="4">
        <f t="shared" si="19"/>
        <v>380775.54</v>
      </c>
      <c r="EO26" s="4">
        <f t="shared" si="19"/>
        <v>7263.22</v>
      </c>
      <c r="EP26" s="4">
        <f t="shared" si="19"/>
        <v>0</v>
      </c>
      <c r="EQ26" s="4">
        <f t="shared" si="19"/>
        <v>7263.22</v>
      </c>
      <c r="ER26" s="4">
        <f t="shared" si="19"/>
        <v>373512.32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373512.32</v>
      </c>
      <c r="FR26" s="4">
        <f t="shared" si="19"/>
        <v>0</v>
      </c>
      <c r="FS26" s="4">
        <f t="shared" ref="FS26:GX26" si="20">FS46</f>
        <v>837051.57</v>
      </c>
      <c r="FT26" s="4">
        <f t="shared" si="20"/>
        <v>0</v>
      </c>
      <c r="FU26" s="4">
        <f t="shared" si="20"/>
        <v>463539.25</v>
      </c>
      <c r="FV26" s="4">
        <f t="shared" si="20"/>
        <v>0</v>
      </c>
      <c r="FW26" s="4">
        <f t="shared" si="20"/>
        <v>380775.54</v>
      </c>
      <c r="FX26" s="4">
        <f t="shared" si="20"/>
        <v>7263.2199999999721</v>
      </c>
      <c r="FY26" s="4">
        <f t="shared" si="20"/>
        <v>0</v>
      </c>
      <c r="FZ26" s="4">
        <f t="shared" si="20"/>
        <v>7263.2199999999721</v>
      </c>
      <c r="GA26" s="4">
        <f t="shared" si="20"/>
        <v>373512.32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19</v>
      </c>
      <c r="B28" s="2">
        <v>1</v>
      </c>
      <c r="C28" s="2"/>
      <c r="D28" s="2"/>
      <c r="E28" s="2"/>
      <c r="F28" s="2" t="s">
        <v>3</v>
      </c>
      <c r="G28" s="2" t="s">
        <v>18</v>
      </c>
      <c r="H28" s="2" t="s">
        <v>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>
        <v>1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2">
        <v>17</v>
      </c>
      <c r="B29" s="2">
        <v>1</v>
      </c>
      <c r="C29" s="2">
        <f>ROW(SmtRes!A2)</f>
        <v>2</v>
      </c>
      <c r="D29" s="2">
        <f>ROW(EtalonRes!A2)</f>
        <v>2</v>
      </c>
      <c r="E29" s="2" t="s">
        <v>19</v>
      </c>
      <c r="F29" s="2" t="s">
        <v>20</v>
      </c>
      <c r="G29" s="2" t="s">
        <v>21</v>
      </c>
      <c r="H29" s="2" t="s">
        <v>22</v>
      </c>
      <c r="I29" s="2">
        <v>1</v>
      </c>
      <c r="J29" s="2">
        <v>0</v>
      </c>
      <c r="K29" s="2">
        <v>1</v>
      </c>
      <c r="L29" s="2"/>
      <c r="M29" s="2"/>
      <c r="N29" s="2"/>
      <c r="O29" s="2">
        <f t="shared" ref="O29:O34" si="21">ROUND(CP29,2)</f>
        <v>1727.29</v>
      </c>
      <c r="P29" s="2">
        <f t="shared" ref="P29:P34" si="22">ROUND((ROUND((AC29*AW29*I29),2)*BC29),2)</f>
        <v>0</v>
      </c>
      <c r="Q29" s="2">
        <f t="shared" ref="Q29:Q34" si="23">(ROUND((ROUND(((((ET29*0.3)*1.1))*AV29*I29),2)*BB29),2)+ROUND((ROUND(((AE29-(((EU29*0.3)*1.1)))*AV29*I29),2)*BS29),2))</f>
        <v>119.13</v>
      </c>
      <c r="R29" s="2">
        <f t="shared" ref="R29:R34" si="24">ROUND((ROUND((AE29*AV29*I29),2)*BS29),2)</f>
        <v>8.52</v>
      </c>
      <c r="S29" s="2">
        <f t="shared" ref="S29:S34" si="25">ROUND((ROUND((AF29*AV29*I29),2)*BA29),2)</f>
        <v>1608.16</v>
      </c>
      <c r="T29" s="2">
        <f t="shared" ref="T29:T34" si="26">ROUND(CU29*I29,2)</f>
        <v>0</v>
      </c>
      <c r="U29" s="2">
        <f t="shared" ref="U29:U34" si="27">CV29*I29</f>
        <v>121.83006</v>
      </c>
      <c r="V29" s="2">
        <f t="shared" ref="V29:V34" si="28">CW29*I29</f>
        <v>0</v>
      </c>
      <c r="W29" s="2">
        <f t="shared" ref="W29:W34" si="29">ROUND(CX29*I29,2)</f>
        <v>0</v>
      </c>
      <c r="X29" s="2">
        <f t="shared" ref="X29:Y34" si="30">ROUND(CY29,2)</f>
        <v>1487.35</v>
      </c>
      <c r="Y29" s="2">
        <f t="shared" si="30"/>
        <v>792.17</v>
      </c>
      <c r="Z29" s="2"/>
      <c r="AA29" s="2">
        <v>59499003</v>
      </c>
      <c r="AB29" s="2">
        <f t="shared" ref="AB29:AB34" si="31">ROUND((AC29+AD29+AF29),6)</f>
        <v>1618.8216</v>
      </c>
      <c r="AC29" s="2">
        <f t="shared" ref="AC29:AC34" si="32">ROUND((((ES29*0)*1)),6)</f>
        <v>0</v>
      </c>
      <c r="AD29" s="2">
        <f t="shared" ref="AD29:AD34" si="33">ROUND((((((ET29*0.3)*1.1))-(((EU29*0.3)*1.1)))+AE29),6)</f>
        <v>111.6456</v>
      </c>
      <c r="AE29" s="2">
        <f t="shared" ref="AE29:AF34" si="34">ROUND((((EU29*0.3)*1.1)),6)</f>
        <v>7.9893000000000001</v>
      </c>
      <c r="AF29" s="2">
        <f t="shared" si="34"/>
        <v>1507.1759999999999</v>
      </c>
      <c r="AG29" s="2">
        <f t="shared" ref="AG29:AG34" si="35">ROUND((AP29),6)</f>
        <v>0</v>
      </c>
      <c r="AH29" s="2">
        <f t="shared" ref="AH29:AI34" si="36">(((EW29*0.3)*1.1))</f>
        <v>114.18</v>
      </c>
      <c r="AI29" s="2">
        <f t="shared" si="36"/>
        <v>0</v>
      </c>
      <c r="AJ29" s="2">
        <f t="shared" ref="AJ29:AJ34" si="37">(AS29)</f>
        <v>0</v>
      </c>
      <c r="AK29" s="2">
        <v>5864.52</v>
      </c>
      <c r="AL29" s="2">
        <v>959</v>
      </c>
      <c r="AM29" s="2">
        <v>338.32</v>
      </c>
      <c r="AN29" s="2">
        <v>24.21</v>
      </c>
      <c r="AO29" s="2">
        <v>4567.2</v>
      </c>
      <c r="AP29" s="2">
        <v>0</v>
      </c>
      <c r="AQ29" s="2">
        <v>346</v>
      </c>
      <c r="AR29" s="2">
        <v>0</v>
      </c>
      <c r="AS29" s="2">
        <v>0</v>
      </c>
      <c r="AT29" s="2">
        <v>92</v>
      </c>
      <c r="AU29" s="2">
        <v>49</v>
      </c>
      <c r="AV29" s="2">
        <v>1.0669999999999999</v>
      </c>
      <c r="AW29" s="2">
        <v>1.028</v>
      </c>
      <c r="AX29" s="2"/>
      <c r="AY29" s="2"/>
      <c r="AZ29" s="2">
        <v>1</v>
      </c>
      <c r="BA29" s="2">
        <v>1</v>
      </c>
      <c r="BB29" s="2">
        <v>1</v>
      </c>
      <c r="BC29" s="2">
        <v>1</v>
      </c>
      <c r="BD29" s="2" t="s">
        <v>3</v>
      </c>
      <c r="BE29" s="2" t="s">
        <v>3</v>
      </c>
      <c r="BF29" s="2" t="s">
        <v>3</v>
      </c>
      <c r="BG29" s="2" t="s">
        <v>3</v>
      </c>
      <c r="BH29" s="2">
        <v>0</v>
      </c>
      <c r="BI29" s="2">
        <v>2</v>
      </c>
      <c r="BJ29" s="2" t="s">
        <v>23</v>
      </c>
      <c r="BK29" s="2"/>
      <c r="BL29" s="2"/>
      <c r="BM29" s="2">
        <v>64</v>
      </c>
      <c r="BN29" s="2">
        <v>59073636</v>
      </c>
      <c r="BO29" s="2" t="s">
        <v>20</v>
      </c>
      <c r="BP29" s="2">
        <v>1</v>
      </c>
      <c r="BQ29" s="2">
        <v>40</v>
      </c>
      <c r="BR29" s="2">
        <v>0</v>
      </c>
      <c r="BS29" s="2">
        <v>1</v>
      </c>
      <c r="BT29" s="2">
        <v>1</v>
      </c>
      <c r="BU29" s="2">
        <v>1</v>
      </c>
      <c r="BV29" s="2">
        <v>1</v>
      </c>
      <c r="BW29" s="2">
        <v>1</v>
      </c>
      <c r="BX29" s="2">
        <v>1</v>
      </c>
      <c r="BY29" s="2" t="s">
        <v>3</v>
      </c>
      <c r="BZ29" s="2">
        <v>92</v>
      </c>
      <c r="CA29" s="2">
        <v>49</v>
      </c>
      <c r="CB29" s="2" t="s">
        <v>3</v>
      </c>
      <c r="CC29" s="2"/>
      <c r="CD29" s="2"/>
      <c r="CE29" s="2">
        <v>30</v>
      </c>
      <c r="CF29" s="2">
        <v>0</v>
      </c>
      <c r="CG29" s="2">
        <v>0</v>
      </c>
      <c r="CH29" s="2"/>
      <c r="CI29" s="2"/>
      <c r="CJ29" s="2"/>
      <c r="CK29" s="2"/>
      <c r="CL29" s="2"/>
      <c r="CM29" s="2">
        <v>0</v>
      </c>
      <c r="CN29" s="2" t="s">
        <v>149</v>
      </c>
      <c r="CO29" s="2">
        <v>0</v>
      </c>
      <c r="CP29" s="2">
        <f t="shared" ref="CP29:CP34" si="38">(P29+Q29+S29)</f>
        <v>1727.29</v>
      </c>
      <c r="CQ29" s="2">
        <f t="shared" ref="CQ29:CQ34" si="39">ROUND((ROUND((AC29*AW29*1),2)*BC29),2)</f>
        <v>0</v>
      </c>
      <c r="CR29" s="2">
        <f t="shared" ref="CR29:CR34" si="40">(ROUND((ROUND(((((ET29*0.3)*1.1))*AV29*1),2)*BB29),2)+ROUND((ROUND(((AE29-(((EU29*0.3)*1.1)))*AV29*1),2)*BS29),2))</f>
        <v>119.13</v>
      </c>
      <c r="CS29" s="2">
        <f t="shared" ref="CS29:CS34" si="41">ROUND((ROUND((AE29*AV29*1),2)*BS29),2)</f>
        <v>8.52</v>
      </c>
      <c r="CT29" s="2">
        <f t="shared" ref="CT29:CT34" si="42">ROUND((ROUND((AF29*AV29*1),2)*BA29),2)</f>
        <v>1608.16</v>
      </c>
      <c r="CU29" s="2">
        <f t="shared" ref="CU29:CU34" si="43">AG29</f>
        <v>0</v>
      </c>
      <c r="CV29" s="2">
        <f t="shared" ref="CV29:CV34" si="44">(AH29*AV29)</f>
        <v>121.83006</v>
      </c>
      <c r="CW29" s="2">
        <f t="shared" ref="CW29:CX34" si="45">AI29</f>
        <v>0</v>
      </c>
      <c r="CX29" s="2">
        <f t="shared" si="45"/>
        <v>0</v>
      </c>
      <c r="CY29" s="2">
        <f t="shared" ref="CY29:CY34" si="46">(((S29+R29)*AT29)/100)</f>
        <v>1487.3455999999999</v>
      </c>
      <c r="CZ29" s="2">
        <f t="shared" ref="CZ29:CZ34" si="47">(((S29+R29)*AU29)/100)</f>
        <v>792.17320000000007</v>
      </c>
      <c r="DA29" s="2"/>
      <c r="DB29" s="2">
        <v>1</v>
      </c>
      <c r="DC29" s="2" t="s">
        <v>3</v>
      </c>
      <c r="DD29" s="2" t="s">
        <v>24</v>
      </c>
      <c r="DE29" s="2" t="s">
        <v>25</v>
      </c>
      <c r="DF29" s="2" t="s">
        <v>25</v>
      </c>
      <c r="DG29" s="2" t="s">
        <v>25</v>
      </c>
      <c r="DH29" s="2" t="s">
        <v>3</v>
      </c>
      <c r="DI29" s="2" t="s">
        <v>25</v>
      </c>
      <c r="DJ29" s="2" t="s">
        <v>25</v>
      </c>
      <c r="DK29" s="2" t="s">
        <v>3</v>
      </c>
      <c r="DL29" s="2" t="s">
        <v>3</v>
      </c>
      <c r="DM29" s="2" t="s">
        <v>3</v>
      </c>
      <c r="DN29" s="2">
        <v>0</v>
      </c>
      <c r="DO29" s="2">
        <v>0</v>
      </c>
      <c r="DP29" s="2">
        <v>1</v>
      </c>
      <c r="DQ29" s="2">
        <v>1</v>
      </c>
      <c r="DR29" s="2"/>
      <c r="DS29" s="2"/>
      <c r="DT29" s="2"/>
      <c r="DU29" s="2">
        <v>1013</v>
      </c>
      <c r="DV29" s="2" t="s">
        <v>22</v>
      </c>
      <c r="DW29" s="2" t="s">
        <v>22</v>
      </c>
      <c r="DX29" s="2">
        <v>1</v>
      </c>
      <c r="DY29" s="2"/>
      <c r="DZ29" s="2" t="s">
        <v>3</v>
      </c>
      <c r="EA29" s="2" t="s">
        <v>3</v>
      </c>
      <c r="EB29" s="2" t="s">
        <v>3</v>
      </c>
      <c r="EC29" s="2" t="s">
        <v>3</v>
      </c>
      <c r="ED29" s="2"/>
      <c r="EE29" s="2">
        <v>59073703</v>
      </c>
      <c r="EF29" s="2">
        <v>40</v>
      </c>
      <c r="EG29" s="2" t="s">
        <v>26</v>
      </c>
      <c r="EH29" s="2">
        <v>0</v>
      </c>
      <c r="EI29" s="2" t="s">
        <v>3</v>
      </c>
      <c r="EJ29" s="2">
        <v>2</v>
      </c>
      <c r="EK29" s="2">
        <v>64</v>
      </c>
      <c r="EL29" s="2" t="s">
        <v>27</v>
      </c>
      <c r="EM29" s="2" t="s">
        <v>28</v>
      </c>
      <c r="EN29" s="2"/>
      <c r="EO29" s="2" t="s">
        <v>29</v>
      </c>
      <c r="EP29" s="2"/>
      <c r="EQ29" s="2">
        <v>0</v>
      </c>
      <c r="ER29" s="2">
        <v>5864.52</v>
      </c>
      <c r="ES29" s="2">
        <v>959</v>
      </c>
      <c r="ET29" s="2">
        <v>338.32</v>
      </c>
      <c r="EU29" s="2">
        <v>24.21</v>
      </c>
      <c r="EV29" s="2">
        <v>4567.2</v>
      </c>
      <c r="EW29" s="2">
        <v>346</v>
      </c>
      <c r="EX29" s="2">
        <v>0</v>
      </c>
      <c r="EY29" s="2">
        <v>0</v>
      </c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>
        <v>0</v>
      </c>
      <c r="FR29" s="2">
        <v>0</v>
      </c>
      <c r="FS29" s="2">
        <v>0</v>
      </c>
      <c r="FT29" s="2"/>
      <c r="FU29" s="2"/>
      <c r="FV29" s="2"/>
      <c r="FW29" s="2"/>
      <c r="FX29" s="2">
        <v>92</v>
      </c>
      <c r="FY29" s="2">
        <v>49</v>
      </c>
      <c r="FZ29" s="2"/>
      <c r="GA29" s="2" t="s">
        <v>3</v>
      </c>
      <c r="GB29" s="2"/>
      <c r="GC29" s="2"/>
      <c r="GD29" s="2">
        <v>1</v>
      </c>
      <c r="GE29" s="2"/>
      <c r="GF29" s="2">
        <v>1437378821</v>
      </c>
      <c r="GG29" s="2">
        <v>2</v>
      </c>
      <c r="GH29" s="2">
        <v>1</v>
      </c>
      <c r="GI29" s="2">
        <v>2</v>
      </c>
      <c r="GJ29" s="2">
        <v>0</v>
      </c>
      <c r="GK29" s="2">
        <v>0</v>
      </c>
      <c r="GL29" s="2">
        <f t="shared" ref="GL29:GL34" si="48">ROUND(IF(AND(BH29=3,BI29=3,FS29&lt;&gt;0),P29,0),2)</f>
        <v>0</v>
      </c>
      <c r="GM29" s="2">
        <f t="shared" ref="GM29:GM34" si="49">ROUND(O29+X29+Y29,2)+GX29</f>
        <v>4006.81</v>
      </c>
      <c r="GN29" s="2">
        <f t="shared" ref="GN29:GN34" si="50">IF(OR(BI29=0,BI29=1),GM29-GX29,0)</f>
        <v>0</v>
      </c>
      <c r="GO29" s="2">
        <f t="shared" ref="GO29:GO34" si="51">IF(BI29=2,GM29-GX29,0)</f>
        <v>4006.81</v>
      </c>
      <c r="GP29" s="2">
        <f t="shared" ref="GP29:GP34" si="52">IF(BI29=4,GM29-GX29,0)</f>
        <v>0</v>
      </c>
      <c r="GQ29" s="2"/>
      <c r="GR29" s="2">
        <v>0</v>
      </c>
      <c r="GS29" s="2">
        <v>3</v>
      </c>
      <c r="GT29" s="2">
        <v>0</v>
      </c>
      <c r="GU29" s="2" t="s">
        <v>3</v>
      </c>
      <c r="GV29" s="2">
        <f t="shared" ref="GV29:GV34" si="53">ROUND((GT29),6)</f>
        <v>0</v>
      </c>
      <c r="GW29" s="2">
        <v>1</v>
      </c>
      <c r="GX29" s="2">
        <f t="shared" ref="GX29:GX34" si="54">ROUND(HC29*I29,2)</f>
        <v>0</v>
      </c>
      <c r="GY29" s="2"/>
      <c r="GZ29" s="2"/>
      <c r="HA29" s="2">
        <v>0</v>
      </c>
      <c r="HB29" s="2">
        <v>0</v>
      </c>
      <c r="HC29" s="2">
        <f t="shared" ref="HC29:HC34" si="55">GV29*GW29</f>
        <v>0</v>
      </c>
      <c r="HD29" s="2"/>
      <c r="HE29" s="2" t="s">
        <v>3</v>
      </c>
      <c r="HF29" s="2" t="s">
        <v>3</v>
      </c>
      <c r="HG29" s="2"/>
      <c r="HH29" s="2"/>
      <c r="HI29" s="2"/>
      <c r="HJ29" s="2"/>
      <c r="HK29" s="2"/>
      <c r="HL29" s="2"/>
      <c r="HM29" s="2" t="s">
        <v>3</v>
      </c>
      <c r="HN29" s="2" t="s">
        <v>3</v>
      </c>
      <c r="HO29" s="2" t="s">
        <v>3</v>
      </c>
      <c r="HP29" s="2" t="s">
        <v>3</v>
      </c>
      <c r="HQ29" s="2" t="s">
        <v>3</v>
      </c>
      <c r="HR29" s="2"/>
      <c r="HS29" s="2">
        <v>0</v>
      </c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>
        <v>0</v>
      </c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 x14ac:dyDescent="0.2">
      <c r="A30">
        <v>17</v>
      </c>
      <c r="B30">
        <v>1</v>
      </c>
      <c r="C30">
        <f>ROW(SmtRes!A4)</f>
        <v>4</v>
      </c>
      <c r="D30">
        <f>ROW(EtalonRes!A4)</f>
        <v>4</v>
      </c>
      <c r="E30" t="s">
        <v>19</v>
      </c>
      <c r="F30" t="s">
        <v>20</v>
      </c>
      <c r="G30" t="s">
        <v>21</v>
      </c>
      <c r="H30" t="s">
        <v>22</v>
      </c>
      <c r="I30">
        <v>1</v>
      </c>
      <c r="J30">
        <v>0</v>
      </c>
      <c r="K30">
        <v>1</v>
      </c>
      <c r="O30">
        <f t="shared" si="21"/>
        <v>90012.38</v>
      </c>
      <c r="P30">
        <f t="shared" si="22"/>
        <v>0</v>
      </c>
      <c r="Q30">
        <f t="shared" si="23"/>
        <v>1579.66</v>
      </c>
      <c r="R30">
        <f t="shared" si="24"/>
        <v>468.51</v>
      </c>
      <c r="S30">
        <f t="shared" si="25"/>
        <v>88432.72</v>
      </c>
      <c r="T30">
        <f t="shared" si="26"/>
        <v>0</v>
      </c>
      <c r="U30">
        <f t="shared" si="27"/>
        <v>121.83006</v>
      </c>
      <c r="V30">
        <f t="shared" si="28"/>
        <v>0</v>
      </c>
      <c r="W30">
        <f t="shared" si="29"/>
        <v>0</v>
      </c>
      <c r="X30">
        <f t="shared" si="30"/>
        <v>81789.13</v>
      </c>
      <c r="Y30">
        <f t="shared" si="30"/>
        <v>43561.599999999999</v>
      </c>
      <c r="AA30">
        <v>59499000</v>
      </c>
      <c r="AB30">
        <f t="shared" si="31"/>
        <v>1618.8216</v>
      </c>
      <c r="AC30">
        <f t="shared" si="32"/>
        <v>0</v>
      </c>
      <c r="AD30">
        <f t="shared" si="33"/>
        <v>111.6456</v>
      </c>
      <c r="AE30">
        <f t="shared" si="34"/>
        <v>7.9893000000000001</v>
      </c>
      <c r="AF30">
        <f t="shared" si="34"/>
        <v>1507.1759999999999</v>
      </c>
      <c r="AG30">
        <f t="shared" si="35"/>
        <v>0</v>
      </c>
      <c r="AH30">
        <f t="shared" si="36"/>
        <v>114.18</v>
      </c>
      <c r="AI30">
        <f t="shared" si="36"/>
        <v>0</v>
      </c>
      <c r="AJ30">
        <f t="shared" si="37"/>
        <v>0</v>
      </c>
      <c r="AK30">
        <v>5864.52</v>
      </c>
      <c r="AL30">
        <v>959</v>
      </c>
      <c r="AM30">
        <v>338.32</v>
      </c>
      <c r="AN30">
        <v>24.21</v>
      </c>
      <c r="AO30">
        <v>4567.2</v>
      </c>
      <c r="AP30">
        <v>0</v>
      </c>
      <c r="AQ30">
        <v>346</v>
      </c>
      <c r="AR30">
        <v>0</v>
      </c>
      <c r="AS30">
        <v>0</v>
      </c>
      <c r="AT30">
        <v>92</v>
      </c>
      <c r="AU30">
        <v>49</v>
      </c>
      <c r="AV30">
        <v>1.0669999999999999</v>
      </c>
      <c r="AW30">
        <v>1.028</v>
      </c>
      <c r="AZ30">
        <v>1</v>
      </c>
      <c r="BA30">
        <v>54.99</v>
      </c>
      <c r="BB30">
        <v>13.26</v>
      </c>
      <c r="BC30">
        <v>9.89</v>
      </c>
      <c r="BD30" t="s">
        <v>3</v>
      </c>
      <c r="BE30" t="s">
        <v>3</v>
      </c>
      <c r="BF30" t="s">
        <v>3</v>
      </c>
      <c r="BG30" t="s">
        <v>3</v>
      </c>
      <c r="BH30">
        <v>0</v>
      </c>
      <c r="BI30">
        <v>2</v>
      </c>
      <c r="BJ30" t="s">
        <v>23</v>
      </c>
      <c r="BM30">
        <v>64</v>
      </c>
      <c r="BN30">
        <v>59073636</v>
      </c>
      <c r="BO30" t="s">
        <v>20</v>
      </c>
      <c r="BP30">
        <v>1</v>
      </c>
      <c r="BQ30">
        <v>40</v>
      </c>
      <c r="BR30">
        <v>0</v>
      </c>
      <c r="BS30">
        <v>54.99</v>
      </c>
      <c r="BT30">
        <v>1</v>
      </c>
      <c r="BU30">
        <v>1</v>
      </c>
      <c r="BV30">
        <v>1</v>
      </c>
      <c r="BW30">
        <v>1</v>
      </c>
      <c r="BX30">
        <v>1</v>
      </c>
      <c r="BY30" t="s">
        <v>3</v>
      </c>
      <c r="BZ30">
        <v>92</v>
      </c>
      <c r="CA30">
        <v>49</v>
      </c>
      <c r="CB30" t="s">
        <v>3</v>
      </c>
      <c r="CE30">
        <v>30</v>
      </c>
      <c r="CF30">
        <v>0</v>
      </c>
      <c r="CG30">
        <v>0</v>
      </c>
      <c r="CM30">
        <v>0</v>
      </c>
      <c r="CN30" t="s">
        <v>149</v>
      </c>
      <c r="CO30">
        <v>0</v>
      </c>
      <c r="CP30">
        <f t="shared" si="38"/>
        <v>90012.38</v>
      </c>
      <c r="CQ30">
        <f t="shared" si="39"/>
        <v>0</v>
      </c>
      <c r="CR30">
        <f t="shared" si="40"/>
        <v>1579.66</v>
      </c>
      <c r="CS30">
        <f t="shared" si="41"/>
        <v>468.51</v>
      </c>
      <c r="CT30">
        <f t="shared" si="42"/>
        <v>88432.72</v>
      </c>
      <c r="CU30">
        <f t="shared" si="43"/>
        <v>0</v>
      </c>
      <c r="CV30">
        <f t="shared" si="44"/>
        <v>121.83006</v>
      </c>
      <c r="CW30">
        <f t="shared" si="45"/>
        <v>0</v>
      </c>
      <c r="CX30">
        <f t="shared" si="45"/>
        <v>0</v>
      </c>
      <c r="CY30">
        <f t="shared" si="46"/>
        <v>81789.131599999993</v>
      </c>
      <c r="CZ30">
        <f t="shared" si="47"/>
        <v>43561.602699999996</v>
      </c>
      <c r="DB30">
        <v>3</v>
      </c>
      <c r="DC30" t="s">
        <v>3</v>
      </c>
      <c r="DD30" t="s">
        <v>24</v>
      </c>
      <c r="DE30" t="s">
        <v>25</v>
      </c>
      <c r="DF30" t="s">
        <v>25</v>
      </c>
      <c r="DG30" t="s">
        <v>25</v>
      </c>
      <c r="DH30" t="s">
        <v>3</v>
      </c>
      <c r="DI30" t="s">
        <v>25</v>
      </c>
      <c r="DJ30" t="s">
        <v>25</v>
      </c>
      <c r="DK30" t="s">
        <v>3</v>
      </c>
      <c r="DL30" t="s">
        <v>3</v>
      </c>
      <c r="DM30" t="s">
        <v>3</v>
      </c>
      <c r="DN30">
        <v>0</v>
      </c>
      <c r="DO30">
        <v>0</v>
      </c>
      <c r="DP30">
        <v>1</v>
      </c>
      <c r="DQ30">
        <v>1</v>
      </c>
      <c r="DU30">
        <v>1013</v>
      </c>
      <c r="DV30" t="s">
        <v>22</v>
      </c>
      <c r="DW30" t="s">
        <v>22</v>
      </c>
      <c r="DX30">
        <v>1</v>
      </c>
      <c r="DZ30" t="s">
        <v>3</v>
      </c>
      <c r="EA30" t="s">
        <v>3</v>
      </c>
      <c r="EB30" t="s">
        <v>3</v>
      </c>
      <c r="EC30" t="s">
        <v>3</v>
      </c>
      <c r="EE30">
        <v>59073703</v>
      </c>
      <c r="EF30">
        <v>40</v>
      </c>
      <c r="EG30" t="s">
        <v>26</v>
      </c>
      <c r="EH30">
        <v>0</v>
      </c>
      <c r="EI30" t="s">
        <v>3</v>
      </c>
      <c r="EJ30">
        <v>2</v>
      </c>
      <c r="EK30">
        <v>64</v>
      </c>
      <c r="EL30" t="s">
        <v>27</v>
      </c>
      <c r="EM30" t="s">
        <v>28</v>
      </c>
      <c r="EO30" t="s">
        <v>29</v>
      </c>
      <c r="EQ30">
        <v>0</v>
      </c>
      <c r="ER30">
        <v>5864.52</v>
      </c>
      <c r="ES30">
        <v>959</v>
      </c>
      <c r="ET30">
        <v>338.32</v>
      </c>
      <c r="EU30">
        <v>24.21</v>
      </c>
      <c r="EV30">
        <v>4567.2</v>
      </c>
      <c r="EW30">
        <v>346</v>
      </c>
      <c r="EX30">
        <v>0</v>
      </c>
      <c r="EY30">
        <v>0</v>
      </c>
      <c r="FQ30">
        <v>0</v>
      </c>
      <c r="FR30">
        <v>0</v>
      </c>
      <c r="FS30">
        <v>0</v>
      </c>
      <c r="FX30">
        <v>92</v>
      </c>
      <c r="FY30">
        <v>49</v>
      </c>
      <c r="GA30" t="s">
        <v>3</v>
      </c>
      <c r="GD30">
        <v>1</v>
      </c>
      <c r="GF30">
        <v>1437378821</v>
      </c>
      <c r="GG30">
        <v>2</v>
      </c>
      <c r="GH30">
        <v>1</v>
      </c>
      <c r="GI30">
        <v>2</v>
      </c>
      <c r="GJ30">
        <v>0</v>
      </c>
      <c r="GK30">
        <v>0</v>
      </c>
      <c r="GL30">
        <f t="shared" si="48"/>
        <v>0</v>
      </c>
      <c r="GM30">
        <f t="shared" si="49"/>
        <v>215363.11</v>
      </c>
      <c r="GN30">
        <f t="shared" si="50"/>
        <v>0</v>
      </c>
      <c r="GO30">
        <f t="shared" si="51"/>
        <v>215363.11</v>
      </c>
      <c r="GP30">
        <f t="shared" si="52"/>
        <v>0</v>
      </c>
      <c r="GR30">
        <v>0</v>
      </c>
      <c r="GS30">
        <v>3</v>
      </c>
      <c r="GT30">
        <v>0</v>
      </c>
      <c r="GU30" t="s">
        <v>3</v>
      </c>
      <c r="GV30">
        <f t="shared" si="53"/>
        <v>0</v>
      </c>
      <c r="GW30">
        <v>1</v>
      </c>
      <c r="GX30">
        <f t="shared" si="54"/>
        <v>0</v>
      </c>
      <c r="HA30">
        <v>0</v>
      </c>
      <c r="HB30">
        <v>0</v>
      </c>
      <c r="HC30">
        <f t="shared" si="55"/>
        <v>0</v>
      </c>
      <c r="HE30" t="s">
        <v>3</v>
      </c>
      <c r="HF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S30">
        <v>0</v>
      </c>
      <c r="IK30">
        <v>0</v>
      </c>
    </row>
    <row r="31" spans="1:255" x14ac:dyDescent="0.2">
      <c r="A31" s="2">
        <v>17</v>
      </c>
      <c r="B31" s="2">
        <v>1</v>
      </c>
      <c r="C31" s="2">
        <f>ROW(SmtRes!A5)</f>
        <v>5</v>
      </c>
      <c r="D31" s="2">
        <f>ROW(EtalonRes!A5)</f>
        <v>5</v>
      </c>
      <c r="E31" s="2" t="s">
        <v>30</v>
      </c>
      <c r="F31" s="2" t="s">
        <v>31</v>
      </c>
      <c r="G31" s="2" t="s">
        <v>32</v>
      </c>
      <c r="H31" s="2" t="s">
        <v>33</v>
      </c>
      <c r="I31" s="2">
        <f>ROUND(2-6,9)</f>
        <v>-4</v>
      </c>
      <c r="J31" s="2">
        <v>0</v>
      </c>
      <c r="K31" s="2">
        <f>ROUND(2-6,9)</f>
        <v>-4</v>
      </c>
      <c r="L31" s="2"/>
      <c r="M31" s="2"/>
      <c r="N31" s="2"/>
      <c r="O31" s="2">
        <f t="shared" si="21"/>
        <v>-467.35</v>
      </c>
      <c r="P31" s="2">
        <f t="shared" si="22"/>
        <v>0</v>
      </c>
      <c r="Q31" s="2">
        <f t="shared" si="23"/>
        <v>-49.04</v>
      </c>
      <c r="R31" s="2">
        <f t="shared" si="24"/>
        <v>-3.68</v>
      </c>
      <c r="S31" s="2">
        <f t="shared" si="25"/>
        <v>-418.31</v>
      </c>
      <c r="T31" s="2">
        <f t="shared" si="26"/>
        <v>0</v>
      </c>
      <c r="U31" s="2">
        <f t="shared" si="27"/>
        <v>-31.689900000000002</v>
      </c>
      <c r="V31" s="2">
        <f t="shared" si="28"/>
        <v>0</v>
      </c>
      <c r="W31" s="2">
        <f t="shared" si="29"/>
        <v>0</v>
      </c>
      <c r="X31" s="2">
        <f t="shared" si="30"/>
        <v>-388.23</v>
      </c>
      <c r="Y31" s="2">
        <f t="shared" si="30"/>
        <v>-206.78</v>
      </c>
      <c r="Z31" s="2"/>
      <c r="AA31" s="2">
        <v>59499003</v>
      </c>
      <c r="AB31" s="2">
        <f t="shared" si="31"/>
        <v>109.50060000000001</v>
      </c>
      <c r="AC31" s="2">
        <f t="shared" si="32"/>
        <v>0</v>
      </c>
      <c r="AD31" s="2">
        <f t="shared" si="33"/>
        <v>11.490600000000001</v>
      </c>
      <c r="AE31" s="2">
        <f t="shared" si="34"/>
        <v>0.86129999999999995</v>
      </c>
      <c r="AF31" s="2">
        <f t="shared" si="34"/>
        <v>98.01</v>
      </c>
      <c r="AG31" s="2">
        <f t="shared" si="35"/>
        <v>0</v>
      </c>
      <c r="AH31" s="2">
        <f t="shared" si="36"/>
        <v>7.4250000000000007</v>
      </c>
      <c r="AI31" s="2">
        <f t="shared" si="36"/>
        <v>0</v>
      </c>
      <c r="AJ31" s="2">
        <f t="shared" si="37"/>
        <v>0</v>
      </c>
      <c r="AK31" s="2">
        <v>390.62</v>
      </c>
      <c r="AL31" s="2">
        <v>58.8</v>
      </c>
      <c r="AM31" s="2">
        <v>34.82</v>
      </c>
      <c r="AN31" s="2">
        <v>2.61</v>
      </c>
      <c r="AO31" s="2">
        <v>297</v>
      </c>
      <c r="AP31" s="2">
        <v>0</v>
      </c>
      <c r="AQ31" s="2">
        <v>22.5</v>
      </c>
      <c r="AR31" s="2">
        <v>0</v>
      </c>
      <c r="AS31" s="2">
        <v>0</v>
      </c>
      <c r="AT31" s="2">
        <v>92</v>
      </c>
      <c r="AU31" s="2">
        <v>49</v>
      </c>
      <c r="AV31" s="2">
        <v>1.0669999999999999</v>
      </c>
      <c r="AW31" s="2">
        <v>1.028</v>
      </c>
      <c r="AX31" s="2"/>
      <c r="AY31" s="2"/>
      <c r="AZ31" s="2">
        <v>1</v>
      </c>
      <c r="BA31" s="2">
        <v>1</v>
      </c>
      <c r="BB31" s="2">
        <v>1</v>
      </c>
      <c r="BC31" s="2">
        <v>1</v>
      </c>
      <c r="BD31" s="2" t="s">
        <v>3</v>
      </c>
      <c r="BE31" s="2" t="s">
        <v>3</v>
      </c>
      <c r="BF31" s="2" t="s">
        <v>3</v>
      </c>
      <c r="BG31" s="2" t="s">
        <v>3</v>
      </c>
      <c r="BH31" s="2">
        <v>0</v>
      </c>
      <c r="BI31" s="2">
        <v>2</v>
      </c>
      <c r="BJ31" s="2" t="s">
        <v>34</v>
      </c>
      <c r="BK31" s="2"/>
      <c r="BL31" s="2"/>
      <c r="BM31" s="2">
        <v>64</v>
      </c>
      <c r="BN31" s="2">
        <v>59073636</v>
      </c>
      <c r="BO31" s="2" t="s">
        <v>31</v>
      </c>
      <c r="BP31" s="2">
        <v>1</v>
      </c>
      <c r="BQ31" s="2">
        <v>40</v>
      </c>
      <c r="BR31" s="2">
        <v>0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 t="s">
        <v>3</v>
      </c>
      <c r="BZ31" s="2">
        <v>92</v>
      </c>
      <c r="CA31" s="2">
        <v>49</v>
      </c>
      <c r="CB31" s="2" t="s">
        <v>3</v>
      </c>
      <c r="CC31" s="2"/>
      <c r="CD31" s="2"/>
      <c r="CE31" s="2">
        <v>30</v>
      </c>
      <c r="CF31" s="2">
        <v>0</v>
      </c>
      <c r="CG31" s="2">
        <v>0</v>
      </c>
      <c r="CH31" s="2"/>
      <c r="CI31" s="2"/>
      <c r="CJ31" s="2"/>
      <c r="CK31" s="2"/>
      <c r="CL31" s="2"/>
      <c r="CM31" s="2">
        <v>0</v>
      </c>
      <c r="CN31" s="2" t="s">
        <v>149</v>
      </c>
      <c r="CO31" s="2">
        <v>0</v>
      </c>
      <c r="CP31" s="2">
        <f t="shared" si="38"/>
        <v>-467.35</v>
      </c>
      <c r="CQ31" s="2">
        <f t="shared" si="39"/>
        <v>0</v>
      </c>
      <c r="CR31" s="2">
        <f t="shared" si="40"/>
        <v>12.26</v>
      </c>
      <c r="CS31" s="2">
        <f t="shared" si="41"/>
        <v>0.92</v>
      </c>
      <c r="CT31" s="2">
        <f t="shared" si="42"/>
        <v>104.58</v>
      </c>
      <c r="CU31" s="2">
        <f t="shared" si="43"/>
        <v>0</v>
      </c>
      <c r="CV31" s="2">
        <f t="shared" si="44"/>
        <v>7.9224750000000004</v>
      </c>
      <c r="CW31" s="2">
        <f t="shared" si="45"/>
        <v>0</v>
      </c>
      <c r="CX31" s="2">
        <f t="shared" si="45"/>
        <v>0</v>
      </c>
      <c r="CY31" s="2">
        <f t="shared" si="46"/>
        <v>-388.23080000000004</v>
      </c>
      <c r="CZ31" s="2">
        <f t="shared" si="47"/>
        <v>-206.77510000000001</v>
      </c>
      <c r="DA31" s="2"/>
      <c r="DB31" s="2">
        <v>5</v>
      </c>
      <c r="DC31" s="2" t="s">
        <v>3</v>
      </c>
      <c r="DD31" s="2" t="s">
        <v>24</v>
      </c>
      <c r="DE31" s="2" t="s">
        <v>25</v>
      </c>
      <c r="DF31" s="2" t="s">
        <v>25</v>
      </c>
      <c r="DG31" s="2" t="s">
        <v>25</v>
      </c>
      <c r="DH31" s="2" t="s">
        <v>3</v>
      </c>
      <c r="DI31" s="2" t="s">
        <v>25</v>
      </c>
      <c r="DJ31" s="2" t="s">
        <v>25</v>
      </c>
      <c r="DK31" s="2" t="s">
        <v>3</v>
      </c>
      <c r="DL31" s="2" t="s">
        <v>3</v>
      </c>
      <c r="DM31" s="2" t="s">
        <v>3</v>
      </c>
      <c r="DN31" s="2">
        <v>0</v>
      </c>
      <c r="DO31" s="2">
        <v>0</v>
      </c>
      <c r="DP31" s="2">
        <v>1</v>
      </c>
      <c r="DQ31" s="2">
        <v>1</v>
      </c>
      <c r="DR31" s="2"/>
      <c r="DS31" s="2"/>
      <c r="DT31" s="2"/>
      <c r="DU31" s="2">
        <v>1013</v>
      </c>
      <c r="DV31" s="2" t="s">
        <v>33</v>
      </c>
      <c r="DW31" s="2" t="s">
        <v>33</v>
      </c>
      <c r="DX31" s="2">
        <v>1</v>
      </c>
      <c r="DY31" s="2"/>
      <c r="DZ31" s="2" t="s">
        <v>3</v>
      </c>
      <c r="EA31" s="2" t="s">
        <v>3</v>
      </c>
      <c r="EB31" s="2" t="s">
        <v>3</v>
      </c>
      <c r="EC31" s="2" t="s">
        <v>3</v>
      </c>
      <c r="ED31" s="2"/>
      <c r="EE31" s="2">
        <v>59073703</v>
      </c>
      <c r="EF31" s="2">
        <v>40</v>
      </c>
      <c r="EG31" s="2" t="s">
        <v>26</v>
      </c>
      <c r="EH31" s="2">
        <v>0</v>
      </c>
      <c r="EI31" s="2" t="s">
        <v>3</v>
      </c>
      <c r="EJ31" s="2">
        <v>2</v>
      </c>
      <c r="EK31" s="2">
        <v>64</v>
      </c>
      <c r="EL31" s="2" t="s">
        <v>27</v>
      </c>
      <c r="EM31" s="2" t="s">
        <v>28</v>
      </c>
      <c r="EN31" s="2"/>
      <c r="EO31" s="2" t="s">
        <v>29</v>
      </c>
      <c r="EP31" s="2"/>
      <c r="EQ31" s="2">
        <v>0</v>
      </c>
      <c r="ER31" s="2">
        <v>390.62</v>
      </c>
      <c r="ES31" s="2">
        <v>58.8</v>
      </c>
      <c r="ET31" s="2">
        <v>34.82</v>
      </c>
      <c r="EU31" s="2">
        <v>2.61</v>
      </c>
      <c r="EV31" s="2">
        <v>297</v>
      </c>
      <c r="EW31" s="2">
        <v>22.5</v>
      </c>
      <c r="EX31" s="2">
        <v>0</v>
      </c>
      <c r="EY31" s="2">
        <v>0</v>
      </c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>
        <v>0</v>
      </c>
      <c r="FR31" s="2">
        <v>0</v>
      </c>
      <c r="FS31" s="2">
        <v>0</v>
      </c>
      <c r="FT31" s="2"/>
      <c r="FU31" s="2"/>
      <c r="FV31" s="2"/>
      <c r="FW31" s="2"/>
      <c r="FX31" s="2">
        <v>92</v>
      </c>
      <c r="FY31" s="2">
        <v>49</v>
      </c>
      <c r="FZ31" s="2"/>
      <c r="GA31" s="2" t="s">
        <v>3</v>
      </c>
      <c r="GB31" s="2"/>
      <c r="GC31" s="2"/>
      <c r="GD31" s="2">
        <v>1</v>
      </c>
      <c r="GE31" s="2"/>
      <c r="GF31" s="2">
        <v>-1024034014</v>
      </c>
      <c r="GG31" s="2">
        <v>2</v>
      </c>
      <c r="GH31" s="2">
        <v>1</v>
      </c>
      <c r="GI31" s="2">
        <v>2</v>
      </c>
      <c r="GJ31" s="2">
        <v>0</v>
      </c>
      <c r="GK31" s="2">
        <v>0</v>
      </c>
      <c r="GL31" s="2">
        <f t="shared" si="48"/>
        <v>0</v>
      </c>
      <c r="GM31" s="2">
        <f t="shared" si="49"/>
        <v>-1062.3599999999999</v>
      </c>
      <c r="GN31" s="2">
        <f t="shared" si="50"/>
        <v>0</v>
      </c>
      <c r="GO31" s="2">
        <f t="shared" si="51"/>
        <v>-1062.3599999999999</v>
      </c>
      <c r="GP31" s="2">
        <f t="shared" si="52"/>
        <v>0</v>
      </c>
      <c r="GQ31" s="2"/>
      <c r="GR31" s="2">
        <v>0</v>
      </c>
      <c r="GS31" s="2">
        <v>3</v>
      </c>
      <c r="GT31" s="2">
        <v>0</v>
      </c>
      <c r="GU31" s="2" t="s">
        <v>3</v>
      </c>
      <c r="GV31" s="2">
        <f t="shared" si="53"/>
        <v>0</v>
      </c>
      <c r="GW31" s="2">
        <v>1</v>
      </c>
      <c r="GX31" s="2">
        <f t="shared" si="54"/>
        <v>0</v>
      </c>
      <c r="GY31" s="2"/>
      <c r="GZ31" s="2"/>
      <c r="HA31" s="2">
        <v>0</v>
      </c>
      <c r="HB31" s="2">
        <v>0</v>
      </c>
      <c r="HC31" s="2">
        <f t="shared" si="55"/>
        <v>0</v>
      </c>
      <c r="HD31" s="2"/>
      <c r="HE31" s="2" t="s">
        <v>3</v>
      </c>
      <c r="HF31" s="2" t="s">
        <v>3</v>
      </c>
      <c r="HG31" s="2"/>
      <c r="HH31" s="2"/>
      <c r="HI31" s="2"/>
      <c r="HJ31" s="2"/>
      <c r="HK31" s="2"/>
      <c r="HL31" s="2"/>
      <c r="HM31" s="2" t="s">
        <v>3</v>
      </c>
      <c r="HN31" s="2" t="s">
        <v>3</v>
      </c>
      <c r="HO31" s="2" t="s">
        <v>3</v>
      </c>
      <c r="HP31" s="2" t="s">
        <v>3</v>
      </c>
      <c r="HQ31" s="2" t="s">
        <v>3</v>
      </c>
      <c r="HR31" s="2"/>
      <c r="HS31" s="2">
        <v>0</v>
      </c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>
        <v>0</v>
      </c>
      <c r="IL31" s="2"/>
      <c r="IM31" s="2"/>
      <c r="IN31" s="2"/>
      <c r="IO31" s="2"/>
      <c r="IP31" s="2"/>
      <c r="IQ31" s="2"/>
      <c r="IR31" s="2"/>
      <c r="IS31" s="2"/>
      <c r="IT31" s="2"/>
      <c r="IU31" s="2"/>
    </row>
    <row r="32" spans="1:255" x14ac:dyDescent="0.2">
      <c r="A32">
        <v>17</v>
      </c>
      <c r="B32">
        <v>1</v>
      </c>
      <c r="C32">
        <f>ROW(SmtRes!A6)</f>
        <v>6</v>
      </c>
      <c r="D32">
        <f>ROW(EtalonRes!A6)</f>
        <v>6</v>
      </c>
      <c r="E32" t="s">
        <v>30</v>
      </c>
      <c r="F32" t="s">
        <v>31</v>
      </c>
      <c r="G32" t="s">
        <v>32</v>
      </c>
      <c r="H32" t="s">
        <v>33</v>
      </c>
      <c r="I32">
        <f>ROUND(2-6,9)</f>
        <v>-4</v>
      </c>
      <c r="J32">
        <v>0</v>
      </c>
      <c r="K32">
        <f>ROUND(2-6,9)</f>
        <v>-4</v>
      </c>
      <c r="O32">
        <f t="shared" si="21"/>
        <v>-23660.5</v>
      </c>
      <c r="P32">
        <f t="shared" si="22"/>
        <v>0</v>
      </c>
      <c r="Q32">
        <f t="shared" si="23"/>
        <v>-657.63</v>
      </c>
      <c r="R32">
        <f t="shared" si="24"/>
        <v>-202.36</v>
      </c>
      <c r="S32">
        <f t="shared" si="25"/>
        <v>-23002.87</v>
      </c>
      <c r="T32">
        <f t="shared" si="26"/>
        <v>0</v>
      </c>
      <c r="U32">
        <f t="shared" si="27"/>
        <v>-31.689900000000002</v>
      </c>
      <c r="V32">
        <f t="shared" si="28"/>
        <v>0</v>
      </c>
      <c r="W32">
        <f t="shared" si="29"/>
        <v>0</v>
      </c>
      <c r="X32">
        <f t="shared" si="30"/>
        <v>-21348.81</v>
      </c>
      <c r="Y32">
        <f t="shared" si="30"/>
        <v>-11370.56</v>
      </c>
      <c r="AA32">
        <v>59499000</v>
      </c>
      <c r="AB32">
        <f t="shared" si="31"/>
        <v>109.50060000000001</v>
      </c>
      <c r="AC32">
        <f t="shared" si="32"/>
        <v>0</v>
      </c>
      <c r="AD32">
        <f t="shared" si="33"/>
        <v>11.490600000000001</v>
      </c>
      <c r="AE32">
        <f t="shared" si="34"/>
        <v>0.86129999999999995</v>
      </c>
      <c r="AF32">
        <f t="shared" si="34"/>
        <v>98.01</v>
      </c>
      <c r="AG32">
        <f t="shared" si="35"/>
        <v>0</v>
      </c>
      <c r="AH32">
        <f t="shared" si="36"/>
        <v>7.4250000000000007</v>
      </c>
      <c r="AI32">
        <f t="shared" si="36"/>
        <v>0</v>
      </c>
      <c r="AJ32">
        <f t="shared" si="37"/>
        <v>0</v>
      </c>
      <c r="AK32">
        <v>390.62</v>
      </c>
      <c r="AL32">
        <v>58.8</v>
      </c>
      <c r="AM32">
        <v>34.82</v>
      </c>
      <c r="AN32">
        <v>2.61</v>
      </c>
      <c r="AO32">
        <v>297</v>
      </c>
      <c r="AP32">
        <v>0</v>
      </c>
      <c r="AQ32">
        <v>22.5</v>
      </c>
      <c r="AR32">
        <v>0</v>
      </c>
      <c r="AS32">
        <v>0</v>
      </c>
      <c r="AT32">
        <v>92</v>
      </c>
      <c r="AU32">
        <v>49</v>
      </c>
      <c r="AV32">
        <v>1.0669999999999999</v>
      </c>
      <c r="AW32">
        <v>1.028</v>
      </c>
      <c r="AZ32">
        <v>1</v>
      </c>
      <c r="BA32">
        <v>54.99</v>
      </c>
      <c r="BB32">
        <v>13.41</v>
      </c>
      <c r="BC32">
        <v>9.89</v>
      </c>
      <c r="BD32" t="s">
        <v>3</v>
      </c>
      <c r="BE32" t="s">
        <v>3</v>
      </c>
      <c r="BF32" t="s">
        <v>3</v>
      </c>
      <c r="BG32" t="s">
        <v>3</v>
      </c>
      <c r="BH32">
        <v>0</v>
      </c>
      <c r="BI32">
        <v>2</v>
      </c>
      <c r="BJ32" t="s">
        <v>34</v>
      </c>
      <c r="BM32">
        <v>64</v>
      </c>
      <c r="BN32">
        <v>59073636</v>
      </c>
      <c r="BO32" t="s">
        <v>31</v>
      </c>
      <c r="BP32">
        <v>1</v>
      </c>
      <c r="BQ32">
        <v>40</v>
      </c>
      <c r="BR32">
        <v>0</v>
      </c>
      <c r="BS32">
        <v>54.99</v>
      </c>
      <c r="BT32">
        <v>1</v>
      </c>
      <c r="BU32">
        <v>1</v>
      </c>
      <c r="BV32">
        <v>1</v>
      </c>
      <c r="BW32">
        <v>1</v>
      </c>
      <c r="BX32">
        <v>1</v>
      </c>
      <c r="BY32" t="s">
        <v>3</v>
      </c>
      <c r="BZ32">
        <v>92</v>
      </c>
      <c r="CA32">
        <v>49</v>
      </c>
      <c r="CB32" t="s">
        <v>3</v>
      </c>
      <c r="CE32">
        <v>30</v>
      </c>
      <c r="CF32">
        <v>0</v>
      </c>
      <c r="CG32">
        <v>0</v>
      </c>
      <c r="CM32">
        <v>0</v>
      </c>
      <c r="CN32" t="s">
        <v>149</v>
      </c>
      <c r="CO32">
        <v>0</v>
      </c>
      <c r="CP32">
        <f t="shared" si="38"/>
        <v>-23660.5</v>
      </c>
      <c r="CQ32">
        <f t="shared" si="39"/>
        <v>0</v>
      </c>
      <c r="CR32">
        <f t="shared" si="40"/>
        <v>164.41</v>
      </c>
      <c r="CS32">
        <f t="shared" si="41"/>
        <v>50.59</v>
      </c>
      <c r="CT32">
        <f t="shared" si="42"/>
        <v>5750.85</v>
      </c>
      <c r="CU32">
        <f t="shared" si="43"/>
        <v>0</v>
      </c>
      <c r="CV32">
        <f t="shared" si="44"/>
        <v>7.9224750000000004</v>
      </c>
      <c r="CW32">
        <f t="shared" si="45"/>
        <v>0</v>
      </c>
      <c r="CX32">
        <f t="shared" si="45"/>
        <v>0</v>
      </c>
      <c r="CY32">
        <f t="shared" si="46"/>
        <v>-21348.811600000001</v>
      </c>
      <c r="CZ32">
        <f t="shared" si="47"/>
        <v>-11370.5627</v>
      </c>
      <c r="DB32">
        <v>7</v>
      </c>
      <c r="DC32" t="s">
        <v>3</v>
      </c>
      <c r="DD32" t="s">
        <v>24</v>
      </c>
      <c r="DE32" t="s">
        <v>25</v>
      </c>
      <c r="DF32" t="s">
        <v>25</v>
      </c>
      <c r="DG32" t="s">
        <v>25</v>
      </c>
      <c r="DH32" t="s">
        <v>3</v>
      </c>
      <c r="DI32" t="s">
        <v>25</v>
      </c>
      <c r="DJ32" t="s">
        <v>25</v>
      </c>
      <c r="DK32" t="s">
        <v>3</v>
      </c>
      <c r="DL32" t="s">
        <v>3</v>
      </c>
      <c r="DM32" t="s">
        <v>3</v>
      </c>
      <c r="DN32">
        <v>0</v>
      </c>
      <c r="DO32">
        <v>0</v>
      </c>
      <c r="DP32">
        <v>1</v>
      </c>
      <c r="DQ32">
        <v>1</v>
      </c>
      <c r="DU32">
        <v>1013</v>
      </c>
      <c r="DV32" t="s">
        <v>33</v>
      </c>
      <c r="DW32" t="s">
        <v>33</v>
      </c>
      <c r="DX32">
        <v>1</v>
      </c>
      <c r="DZ32" t="s">
        <v>3</v>
      </c>
      <c r="EA32" t="s">
        <v>3</v>
      </c>
      <c r="EB32" t="s">
        <v>3</v>
      </c>
      <c r="EC32" t="s">
        <v>3</v>
      </c>
      <c r="EE32">
        <v>59073703</v>
      </c>
      <c r="EF32">
        <v>40</v>
      </c>
      <c r="EG32" t="s">
        <v>26</v>
      </c>
      <c r="EH32">
        <v>0</v>
      </c>
      <c r="EI32" t="s">
        <v>3</v>
      </c>
      <c r="EJ32">
        <v>2</v>
      </c>
      <c r="EK32">
        <v>64</v>
      </c>
      <c r="EL32" t="s">
        <v>27</v>
      </c>
      <c r="EM32" t="s">
        <v>28</v>
      </c>
      <c r="EO32" t="s">
        <v>29</v>
      </c>
      <c r="EQ32">
        <v>0</v>
      </c>
      <c r="ER32">
        <v>390.62</v>
      </c>
      <c r="ES32">
        <v>58.8</v>
      </c>
      <c r="ET32">
        <v>34.82</v>
      </c>
      <c r="EU32">
        <v>2.61</v>
      </c>
      <c r="EV32">
        <v>297</v>
      </c>
      <c r="EW32">
        <v>22.5</v>
      </c>
      <c r="EX32">
        <v>0</v>
      </c>
      <c r="EY32">
        <v>0</v>
      </c>
      <c r="FQ32">
        <v>0</v>
      </c>
      <c r="FR32">
        <v>0</v>
      </c>
      <c r="FS32">
        <v>0</v>
      </c>
      <c r="FX32">
        <v>92</v>
      </c>
      <c r="FY32">
        <v>49</v>
      </c>
      <c r="GA32" t="s">
        <v>3</v>
      </c>
      <c r="GD32">
        <v>1</v>
      </c>
      <c r="GF32">
        <v>-1024034014</v>
      </c>
      <c r="GG32">
        <v>2</v>
      </c>
      <c r="GH32">
        <v>1</v>
      </c>
      <c r="GI32">
        <v>2</v>
      </c>
      <c r="GJ32">
        <v>0</v>
      </c>
      <c r="GK32">
        <v>0</v>
      </c>
      <c r="GL32">
        <f t="shared" si="48"/>
        <v>0</v>
      </c>
      <c r="GM32">
        <f t="shared" si="49"/>
        <v>-56379.87</v>
      </c>
      <c r="GN32">
        <f t="shared" si="50"/>
        <v>0</v>
      </c>
      <c r="GO32">
        <f t="shared" si="51"/>
        <v>-56379.87</v>
      </c>
      <c r="GP32">
        <f t="shared" si="52"/>
        <v>0</v>
      </c>
      <c r="GR32">
        <v>0</v>
      </c>
      <c r="GS32">
        <v>3</v>
      </c>
      <c r="GT32">
        <v>0</v>
      </c>
      <c r="GU32" t="s">
        <v>3</v>
      </c>
      <c r="GV32">
        <f t="shared" si="53"/>
        <v>0</v>
      </c>
      <c r="GW32">
        <v>1</v>
      </c>
      <c r="GX32">
        <f t="shared" si="54"/>
        <v>0</v>
      </c>
      <c r="HA32">
        <v>0</v>
      </c>
      <c r="HB32">
        <v>0</v>
      </c>
      <c r="HC32">
        <f t="shared" si="55"/>
        <v>0</v>
      </c>
      <c r="HE32" t="s">
        <v>3</v>
      </c>
      <c r="HF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3</v>
      </c>
      <c r="HS32">
        <v>0</v>
      </c>
      <c r="IK32">
        <v>0</v>
      </c>
    </row>
    <row r="33" spans="1:255" x14ac:dyDescent="0.2">
      <c r="A33" s="2">
        <v>17</v>
      </c>
      <c r="B33" s="2">
        <v>1</v>
      </c>
      <c r="C33" s="2">
        <f>ROW(SmtRes!A7)</f>
        <v>7</v>
      </c>
      <c r="D33" s="2">
        <f>ROW(EtalonRes!A7)</f>
        <v>7</v>
      </c>
      <c r="E33" s="2" t="s">
        <v>35</v>
      </c>
      <c r="F33" s="2" t="s">
        <v>36</v>
      </c>
      <c r="G33" s="2" t="s">
        <v>37</v>
      </c>
      <c r="H33" s="2" t="s">
        <v>38</v>
      </c>
      <c r="I33" s="2">
        <f>ROUND((3.15+2.93-21),9)</f>
        <v>-14.92</v>
      </c>
      <c r="J33" s="2">
        <v>0</v>
      </c>
      <c r="K33" s="2">
        <f>ROUND((3.15+2.93-21),9)</f>
        <v>-14.92</v>
      </c>
      <c r="L33" s="2"/>
      <c r="M33" s="2"/>
      <c r="N33" s="2"/>
      <c r="O33" s="2">
        <f t="shared" si="21"/>
        <v>-436.88</v>
      </c>
      <c r="P33" s="2">
        <f t="shared" si="22"/>
        <v>0</v>
      </c>
      <c r="Q33" s="2">
        <f t="shared" si="23"/>
        <v>0</v>
      </c>
      <c r="R33" s="2">
        <f t="shared" si="24"/>
        <v>0</v>
      </c>
      <c r="S33" s="2">
        <f t="shared" si="25"/>
        <v>-436.88</v>
      </c>
      <c r="T33" s="2">
        <f t="shared" si="26"/>
        <v>0</v>
      </c>
      <c r="U33" s="2">
        <f t="shared" si="27"/>
        <v>-33.096931560000002</v>
      </c>
      <c r="V33" s="2">
        <f t="shared" si="28"/>
        <v>0</v>
      </c>
      <c r="W33" s="2">
        <f t="shared" si="29"/>
        <v>0</v>
      </c>
      <c r="X33" s="2">
        <f t="shared" si="30"/>
        <v>-401.93</v>
      </c>
      <c r="Y33" s="2">
        <f t="shared" si="30"/>
        <v>-214.07</v>
      </c>
      <c r="Z33" s="2"/>
      <c r="AA33" s="2">
        <v>59499003</v>
      </c>
      <c r="AB33" s="2">
        <f t="shared" si="31"/>
        <v>27.442799999999998</v>
      </c>
      <c r="AC33" s="2">
        <f t="shared" si="32"/>
        <v>0</v>
      </c>
      <c r="AD33" s="2">
        <f t="shared" si="33"/>
        <v>0</v>
      </c>
      <c r="AE33" s="2">
        <f t="shared" si="34"/>
        <v>0</v>
      </c>
      <c r="AF33" s="2">
        <f t="shared" si="34"/>
        <v>27.442799999999998</v>
      </c>
      <c r="AG33" s="2">
        <f t="shared" si="35"/>
        <v>0</v>
      </c>
      <c r="AH33" s="2">
        <f t="shared" si="36"/>
        <v>2.0790000000000002</v>
      </c>
      <c r="AI33" s="2">
        <f t="shared" si="36"/>
        <v>0</v>
      </c>
      <c r="AJ33" s="2">
        <f t="shared" si="37"/>
        <v>0</v>
      </c>
      <c r="AK33" s="2">
        <v>83.79</v>
      </c>
      <c r="AL33" s="2">
        <v>0.63</v>
      </c>
      <c r="AM33" s="2">
        <v>0</v>
      </c>
      <c r="AN33" s="2">
        <v>0</v>
      </c>
      <c r="AO33" s="2">
        <v>83.16</v>
      </c>
      <c r="AP33" s="2">
        <v>0</v>
      </c>
      <c r="AQ33" s="2">
        <v>6.3</v>
      </c>
      <c r="AR33" s="2">
        <v>0</v>
      </c>
      <c r="AS33" s="2">
        <v>0</v>
      </c>
      <c r="AT33" s="2">
        <v>92</v>
      </c>
      <c r="AU33" s="2">
        <v>49</v>
      </c>
      <c r="AV33" s="2">
        <v>1.0669999999999999</v>
      </c>
      <c r="AW33" s="2">
        <v>1.028</v>
      </c>
      <c r="AX33" s="2"/>
      <c r="AY33" s="2"/>
      <c r="AZ33" s="2">
        <v>1</v>
      </c>
      <c r="BA33" s="2">
        <v>1</v>
      </c>
      <c r="BB33" s="2">
        <v>1</v>
      </c>
      <c r="BC33" s="2">
        <v>1</v>
      </c>
      <c r="BD33" s="2" t="s">
        <v>3</v>
      </c>
      <c r="BE33" s="2" t="s">
        <v>3</v>
      </c>
      <c r="BF33" s="2" t="s">
        <v>3</v>
      </c>
      <c r="BG33" s="2" t="s">
        <v>3</v>
      </c>
      <c r="BH33" s="2">
        <v>0</v>
      </c>
      <c r="BI33" s="2">
        <v>2</v>
      </c>
      <c r="BJ33" s="2" t="s">
        <v>39</v>
      </c>
      <c r="BK33" s="2"/>
      <c r="BL33" s="2"/>
      <c r="BM33" s="2">
        <v>64</v>
      </c>
      <c r="BN33" s="2">
        <v>59073636</v>
      </c>
      <c r="BO33" s="2" t="s">
        <v>36</v>
      </c>
      <c r="BP33" s="2">
        <v>1</v>
      </c>
      <c r="BQ33" s="2">
        <v>40</v>
      </c>
      <c r="BR33" s="2">
        <v>0</v>
      </c>
      <c r="BS33" s="2">
        <v>1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 t="s">
        <v>3</v>
      </c>
      <c r="BZ33" s="2">
        <v>92</v>
      </c>
      <c r="CA33" s="2">
        <v>49</v>
      </c>
      <c r="CB33" s="2" t="s">
        <v>3</v>
      </c>
      <c r="CC33" s="2"/>
      <c r="CD33" s="2"/>
      <c r="CE33" s="2">
        <v>30</v>
      </c>
      <c r="CF33" s="2">
        <v>0</v>
      </c>
      <c r="CG33" s="2">
        <v>0</v>
      </c>
      <c r="CH33" s="2"/>
      <c r="CI33" s="2"/>
      <c r="CJ33" s="2"/>
      <c r="CK33" s="2"/>
      <c r="CL33" s="2"/>
      <c r="CM33" s="2">
        <v>0</v>
      </c>
      <c r="CN33" s="2" t="s">
        <v>149</v>
      </c>
      <c r="CO33" s="2">
        <v>0</v>
      </c>
      <c r="CP33" s="2">
        <f t="shared" si="38"/>
        <v>-436.88</v>
      </c>
      <c r="CQ33" s="2">
        <f t="shared" si="39"/>
        <v>0</v>
      </c>
      <c r="CR33" s="2">
        <f t="shared" si="40"/>
        <v>0</v>
      </c>
      <c r="CS33" s="2">
        <f t="shared" si="41"/>
        <v>0</v>
      </c>
      <c r="CT33" s="2">
        <f t="shared" si="42"/>
        <v>29.28</v>
      </c>
      <c r="CU33" s="2">
        <f t="shared" si="43"/>
        <v>0</v>
      </c>
      <c r="CV33" s="2">
        <f t="shared" si="44"/>
        <v>2.2182930000000001</v>
      </c>
      <c r="CW33" s="2">
        <f t="shared" si="45"/>
        <v>0</v>
      </c>
      <c r="CX33" s="2">
        <f t="shared" si="45"/>
        <v>0</v>
      </c>
      <c r="CY33" s="2">
        <f t="shared" si="46"/>
        <v>-401.92959999999999</v>
      </c>
      <c r="CZ33" s="2">
        <f t="shared" si="47"/>
        <v>-214.07119999999998</v>
      </c>
      <c r="DA33" s="2"/>
      <c r="DB33" s="2">
        <v>9</v>
      </c>
      <c r="DC33" s="2" t="s">
        <v>3</v>
      </c>
      <c r="DD33" s="2" t="s">
        <v>24</v>
      </c>
      <c r="DE33" s="2" t="s">
        <v>25</v>
      </c>
      <c r="DF33" s="2" t="s">
        <v>25</v>
      </c>
      <c r="DG33" s="2" t="s">
        <v>25</v>
      </c>
      <c r="DH33" s="2" t="s">
        <v>3</v>
      </c>
      <c r="DI33" s="2" t="s">
        <v>25</v>
      </c>
      <c r="DJ33" s="2" t="s">
        <v>25</v>
      </c>
      <c r="DK33" s="2" t="s">
        <v>3</v>
      </c>
      <c r="DL33" s="2" t="s">
        <v>3</v>
      </c>
      <c r="DM33" s="2" t="s">
        <v>3</v>
      </c>
      <c r="DN33" s="2">
        <v>0</v>
      </c>
      <c r="DO33" s="2">
        <v>0</v>
      </c>
      <c r="DP33" s="2">
        <v>1</v>
      </c>
      <c r="DQ33" s="2">
        <v>1</v>
      </c>
      <c r="DR33" s="2"/>
      <c r="DS33" s="2"/>
      <c r="DT33" s="2"/>
      <c r="DU33" s="2">
        <v>1013</v>
      </c>
      <c r="DV33" s="2" t="s">
        <v>38</v>
      </c>
      <c r="DW33" s="2" t="s">
        <v>38</v>
      </c>
      <c r="DX33" s="2">
        <v>1</v>
      </c>
      <c r="DY33" s="2"/>
      <c r="DZ33" s="2" t="s">
        <v>3</v>
      </c>
      <c r="EA33" s="2" t="s">
        <v>3</v>
      </c>
      <c r="EB33" s="2" t="s">
        <v>3</v>
      </c>
      <c r="EC33" s="2" t="s">
        <v>3</v>
      </c>
      <c r="ED33" s="2"/>
      <c r="EE33" s="2">
        <v>59073703</v>
      </c>
      <c r="EF33" s="2">
        <v>40</v>
      </c>
      <c r="EG33" s="2" t="s">
        <v>26</v>
      </c>
      <c r="EH33" s="2">
        <v>0</v>
      </c>
      <c r="EI33" s="2" t="s">
        <v>3</v>
      </c>
      <c r="EJ33" s="2">
        <v>2</v>
      </c>
      <c r="EK33" s="2">
        <v>64</v>
      </c>
      <c r="EL33" s="2" t="s">
        <v>27</v>
      </c>
      <c r="EM33" s="2" t="s">
        <v>28</v>
      </c>
      <c r="EN33" s="2"/>
      <c r="EO33" s="2" t="s">
        <v>29</v>
      </c>
      <c r="EP33" s="2"/>
      <c r="EQ33" s="2">
        <v>0</v>
      </c>
      <c r="ER33" s="2">
        <v>83.79</v>
      </c>
      <c r="ES33" s="2">
        <v>0.63</v>
      </c>
      <c r="ET33" s="2">
        <v>0</v>
      </c>
      <c r="EU33" s="2">
        <v>0</v>
      </c>
      <c r="EV33" s="2">
        <v>83.16</v>
      </c>
      <c r="EW33" s="2">
        <v>6.3</v>
      </c>
      <c r="EX33" s="2">
        <v>0</v>
      </c>
      <c r="EY33" s="2">
        <v>0</v>
      </c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>
        <v>0</v>
      </c>
      <c r="FR33" s="2">
        <v>0</v>
      </c>
      <c r="FS33" s="2">
        <v>0</v>
      </c>
      <c r="FT33" s="2"/>
      <c r="FU33" s="2"/>
      <c r="FV33" s="2"/>
      <c r="FW33" s="2"/>
      <c r="FX33" s="2">
        <v>92</v>
      </c>
      <c r="FY33" s="2">
        <v>49</v>
      </c>
      <c r="FZ33" s="2"/>
      <c r="GA33" s="2" t="s">
        <v>3</v>
      </c>
      <c r="GB33" s="2"/>
      <c r="GC33" s="2"/>
      <c r="GD33" s="2">
        <v>1</v>
      </c>
      <c r="GE33" s="2"/>
      <c r="GF33" s="2">
        <v>-1760320444</v>
      </c>
      <c r="GG33" s="2">
        <v>2</v>
      </c>
      <c r="GH33" s="2">
        <v>1</v>
      </c>
      <c r="GI33" s="2">
        <v>2</v>
      </c>
      <c r="GJ33" s="2">
        <v>0</v>
      </c>
      <c r="GK33" s="2">
        <v>0</v>
      </c>
      <c r="GL33" s="2">
        <f t="shared" si="48"/>
        <v>0</v>
      </c>
      <c r="GM33" s="2">
        <f t="shared" si="49"/>
        <v>-1052.8800000000001</v>
      </c>
      <c r="GN33" s="2">
        <f t="shared" si="50"/>
        <v>0</v>
      </c>
      <c r="GO33" s="2">
        <f t="shared" si="51"/>
        <v>-1052.8800000000001</v>
      </c>
      <c r="GP33" s="2">
        <f t="shared" si="52"/>
        <v>0</v>
      </c>
      <c r="GQ33" s="2"/>
      <c r="GR33" s="2">
        <v>0</v>
      </c>
      <c r="GS33" s="2">
        <v>3</v>
      </c>
      <c r="GT33" s="2">
        <v>0</v>
      </c>
      <c r="GU33" s="2" t="s">
        <v>3</v>
      </c>
      <c r="GV33" s="2">
        <f t="shared" si="53"/>
        <v>0</v>
      </c>
      <c r="GW33" s="2">
        <v>1</v>
      </c>
      <c r="GX33" s="2">
        <f t="shared" si="54"/>
        <v>0</v>
      </c>
      <c r="GY33" s="2"/>
      <c r="GZ33" s="2"/>
      <c r="HA33" s="2">
        <v>0</v>
      </c>
      <c r="HB33" s="2">
        <v>0</v>
      </c>
      <c r="HC33" s="2">
        <f t="shared" si="55"/>
        <v>0</v>
      </c>
      <c r="HD33" s="2"/>
      <c r="HE33" s="2" t="s">
        <v>3</v>
      </c>
      <c r="HF33" s="2" t="s">
        <v>3</v>
      </c>
      <c r="HG33" s="2"/>
      <c r="HH33" s="2"/>
      <c r="HI33" s="2"/>
      <c r="HJ33" s="2"/>
      <c r="HK33" s="2"/>
      <c r="HL33" s="2"/>
      <c r="HM33" s="2" t="s">
        <v>3</v>
      </c>
      <c r="HN33" s="2" t="s">
        <v>3</v>
      </c>
      <c r="HO33" s="2" t="s">
        <v>3</v>
      </c>
      <c r="HP33" s="2" t="s">
        <v>3</v>
      </c>
      <c r="HQ33" s="2" t="s">
        <v>3</v>
      </c>
      <c r="HR33" s="2"/>
      <c r="HS33" s="2">
        <v>0</v>
      </c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>
        <v>0</v>
      </c>
      <c r="IL33" s="2"/>
      <c r="IM33" s="2"/>
      <c r="IN33" s="2"/>
      <c r="IO33" s="2"/>
      <c r="IP33" s="2"/>
      <c r="IQ33" s="2"/>
      <c r="IR33" s="2"/>
      <c r="IS33" s="2"/>
      <c r="IT33" s="2"/>
      <c r="IU33" s="2"/>
    </row>
    <row r="34" spans="1:255" x14ac:dyDescent="0.2">
      <c r="A34">
        <v>17</v>
      </c>
      <c r="B34">
        <v>1</v>
      </c>
      <c r="C34">
        <f>ROW(SmtRes!A8)</f>
        <v>8</v>
      </c>
      <c r="D34">
        <f>ROW(EtalonRes!A8)</f>
        <v>8</v>
      </c>
      <c r="E34" t="s">
        <v>35</v>
      </c>
      <c r="F34" t="s">
        <v>36</v>
      </c>
      <c r="G34" t="s">
        <v>37</v>
      </c>
      <c r="H34" t="s">
        <v>38</v>
      </c>
      <c r="I34">
        <f>ROUND((3.15+2.93-21),9)</f>
        <v>-14.92</v>
      </c>
      <c r="J34">
        <v>0</v>
      </c>
      <c r="K34">
        <f>ROUND((3.15+2.93-21),9)</f>
        <v>-14.92</v>
      </c>
      <c r="O34">
        <f t="shared" si="21"/>
        <v>-24024.03</v>
      </c>
      <c r="P34">
        <f t="shared" si="22"/>
        <v>0</v>
      </c>
      <c r="Q34">
        <f t="shared" si="23"/>
        <v>0</v>
      </c>
      <c r="R34">
        <f t="shared" si="24"/>
        <v>0</v>
      </c>
      <c r="S34">
        <f t="shared" si="25"/>
        <v>-24024.03</v>
      </c>
      <c r="T34">
        <f t="shared" si="26"/>
        <v>0</v>
      </c>
      <c r="U34">
        <f t="shared" si="27"/>
        <v>-33.096931560000002</v>
      </c>
      <c r="V34">
        <f t="shared" si="28"/>
        <v>0</v>
      </c>
      <c r="W34">
        <f t="shared" si="29"/>
        <v>0</v>
      </c>
      <c r="X34">
        <f t="shared" si="30"/>
        <v>-22102.11</v>
      </c>
      <c r="Y34">
        <f t="shared" si="30"/>
        <v>-11771.77</v>
      </c>
      <c r="AA34">
        <v>59499000</v>
      </c>
      <c r="AB34">
        <f t="shared" si="31"/>
        <v>27.442799999999998</v>
      </c>
      <c r="AC34">
        <f t="shared" si="32"/>
        <v>0</v>
      </c>
      <c r="AD34">
        <f t="shared" si="33"/>
        <v>0</v>
      </c>
      <c r="AE34">
        <f t="shared" si="34"/>
        <v>0</v>
      </c>
      <c r="AF34">
        <f t="shared" si="34"/>
        <v>27.442799999999998</v>
      </c>
      <c r="AG34">
        <f t="shared" si="35"/>
        <v>0</v>
      </c>
      <c r="AH34">
        <f t="shared" si="36"/>
        <v>2.0790000000000002</v>
      </c>
      <c r="AI34">
        <f t="shared" si="36"/>
        <v>0</v>
      </c>
      <c r="AJ34">
        <f t="shared" si="37"/>
        <v>0</v>
      </c>
      <c r="AK34">
        <v>83.79</v>
      </c>
      <c r="AL34">
        <v>0.63</v>
      </c>
      <c r="AM34">
        <v>0</v>
      </c>
      <c r="AN34">
        <v>0</v>
      </c>
      <c r="AO34">
        <v>83.16</v>
      </c>
      <c r="AP34">
        <v>0</v>
      </c>
      <c r="AQ34">
        <v>6.3</v>
      </c>
      <c r="AR34">
        <v>0</v>
      </c>
      <c r="AS34">
        <v>0</v>
      </c>
      <c r="AT34">
        <v>92</v>
      </c>
      <c r="AU34">
        <v>49</v>
      </c>
      <c r="AV34">
        <v>1.0669999999999999</v>
      </c>
      <c r="AW34">
        <v>1.028</v>
      </c>
      <c r="AZ34">
        <v>1</v>
      </c>
      <c r="BA34">
        <v>54.99</v>
      </c>
      <c r="BB34">
        <v>1</v>
      </c>
      <c r="BC34">
        <v>9.89</v>
      </c>
      <c r="BD34" t="s">
        <v>3</v>
      </c>
      <c r="BE34" t="s">
        <v>3</v>
      </c>
      <c r="BF34" t="s">
        <v>3</v>
      </c>
      <c r="BG34" t="s">
        <v>3</v>
      </c>
      <c r="BH34">
        <v>0</v>
      </c>
      <c r="BI34">
        <v>2</v>
      </c>
      <c r="BJ34" t="s">
        <v>39</v>
      </c>
      <c r="BM34">
        <v>64</v>
      </c>
      <c r="BN34">
        <v>59073636</v>
      </c>
      <c r="BO34" t="s">
        <v>36</v>
      </c>
      <c r="BP34">
        <v>1</v>
      </c>
      <c r="BQ34">
        <v>40</v>
      </c>
      <c r="BR34">
        <v>0</v>
      </c>
      <c r="BS34">
        <v>54.99</v>
      </c>
      <c r="BT34">
        <v>1</v>
      </c>
      <c r="BU34">
        <v>1</v>
      </c>
      <c r="BV34">
        <v>1</v>
      </c>
      <c r="BW34">
        <v>1</v>
      </c>
      <c r="BX34">
        <v>1</v>
      </c>
      <c r="BY34" t="s">
        <v>3</v>
      </c>
      <c r="BZ34">
        <v>92</v>
      </c>
      <c r="CA34">
        <v>49</v>
      </c>
      <c r="CB34" t="s">
        <v>3</v>
      </c>
      <c r="CE34">
        <v>30</v>
      </c>
      <c r="CF34">
        <v>0</v>
      </c>
      <c r="CG34">
        <v>0</v>
      </c>
      <c r="CM34">
        <v>0</v>
      </c>
      <c r="CN34" t="s">
        <v>149</v>
      </c>
      <c r="CO34">
        <v>0</v>
      </c>
      <c r="CP34">
        <f t="shared" si="38"/>
        <v>-24024.03</v>
      </c>
      <c r="CQ34">
        <f t="shared" si="39"/>
        <v>0</v>
      </c>
      <c r="CR34">
        <f t="shared" si="40"/>
        <v>0</v>
      </c>
      <c r="CS34">
        <f t="shared" si="41"/>
        <v>0</v>
      </c>
      <c r="CT34">
        <f t="shared" si="42"/>
        <v>1610.11</v>
      </c>
      <c r="CU34">
        <f t="shared" si="43"/>
        <v>0</v>
      </c>
      <c r="CV34">
        <f t="shared" si="44"/>
        <v>2.2182930000000001</v>
      </c>
      <c r="CW34">
        <f t="shared" si="45"/>
        <v>0</v>
      </c>
      <c r="CX34">
        <f t="shared" si="45"/>
        <v>0</v>
      </c>
      <c r="CY34">
        <f t="shared" si="46"/>
        <v>-22102.107599999999</v>
      </c>
      <c r="CZ34">
        <f t="shared" si="47"/>
        <v>-11771.7747</v>
      </c>
      <c r="DB34">
        <v>11</v>
      </c>
      <c r="DC34" t="s">
        <v>3</v>
      </c>
      <c r="DD34" t="s">
        <v>24</v>
      </c>
      <c r="DE34" t="s">
        <v>25</v>
      </c>
      <c r="DF34" t="s">
        <v>25</v>
      </c>
      <c r="DG34" t="s">
        <v>25</v>
      </c>
      <c r="DH34" t="s">
        <v>3</v>
      </c>
      <c r="DI34" t="s">
        <v>25</v>
      </c>
      <c r="DJ34" t="s">
        <v>25</v>
      </c>
      <c r="DK34" t="s">
        <v>3</v>
      </c>
      <c r="DL34" t="s">
        <v>3</v>
      </c>
      <c r="DM34" t="s">
        <v>3</v>
      </c>
      <c r="DN34">
        <v>0</v>
      </c>
      <c r="DO34">
        <v>0</v>
      </c>
      <c r="DP34">
        <v>1</v>
      </c>
      <c r="DQ34">
        <v>1</v>
      </c>
      <c r="DU34">
        <v>1013</v>
      </c>
      <c r="DV34" t="s">
        <v>38</v>
      </c>
      <c r="DW34" t="s">
        <v>38</v>
      </c>
      <c r="DX34">
        <v>1</v>
      </c>
      <c r="DZ34" t="s">
        <v>3</v>
      </c>
      <c r="EA34" t="s">
        <v>3</v>
      </c>
      <c r="EB34" t="s">
        <v>3</v>
      </c>
      <c r="EC34" t="s">
        <v>3</v>
      </c>
      <c r="EE34">
        <v>59073703</v>
      </c>
      <c r="EF34">
        <v>40</v>
      </c>
      <c r="EG34" t="s">
        <v>26</v>
      </c>
      <c r="EH34">
        <v>0</v>
      </c>
      <c r="EI34" t="s">
        <v>3</v>
      </c>
      <c r="EJ34">
        <v>2</v>
      </c>
      <c r="EK34">
        <v>64</v>
      </c>
      <c r="EL34" t="s">
        <v>27</v>
      </c>
      <c r="EM34" t="s">
        <v>28</v>
      </c>
      <c r="EO34" t="s">
        <v>29</v>
      </c>
      <c r="EQ34">
        <v>0</v>
      </c>
      <c r="ER34">
        <v>83.79</v>
      </c>
      <c r="ES34">
        <v>0.63</v>
      </c>
      <c r="ET34">
        <v>0</v>
      </c>
      <c r="EU34">
        <v>0</v>
      </c>
      <c r="EV34">
        <v>83.16</v>
      </c>
      <c r="EW34">
        <v>6.3</v>
      </c>
      <c r="EX34">
        <v>0</v>
      </c>
      <c r="EY34">
        <v>0</v>
      </c>
      <c r="FQ34">
        <v>0</v>
      </c>
      <c r="FR34">
        <v>0</v>
      </c>
      <c r="FS34">
        <v>0</v>
      </c>
      <c r="FX34">
        <v>92</v>
      </c>
      <c r="FY34">
        <v>49</v>
      </c>
      <c r="GA34" t="s">
        <v>3</v>
      </c>
      <c r="GD34">
        <v>1</v>
      </c>
      <c r="GF34">
        <v>-1760320444</v>
      </c>
      <c r="GG34">
        <v>2</v>
      </c>
      <c r="GH34">
        <v>1</v>
      </c>
      <c r="GI34">
        <v>2</v>
      </c>
      <c r="GJ34">
        <v>0</v>
      </c>
      <c r="GK34">
        <v>0</v>
      </c>
      <c r="GL34">
        <f t="shared" si="48"/>
        <v>0</v>
      </c>
      <c r="GM34">
        <f t="shared" si="49"/>
        <v>-57897.91</v>
      </c>
      <c r="GN34">
        <f t="shared" si="50"/>
        <v>0</v>
      </c>
      <c r="GO34">
        <f t="shared" si="51"/>
        <v>-57897.91</v>
      </c>
      <c r="GP34">
        <f t="shared" si="52"/>
        <v>0</v>
      </c>
      <c r="GR34">
        <v>0</v>
      </c>
      <c r="GS34">
        <v>3</v>
      </c>
      <c r="GT34">
        <v>0</v>
      </c>
      <c r="GU34" t="s">
        <v>3</v>
      </c>
      <c r="GV34">
        <f t="shared" si="53"/>
        <v>0</v>
      </c>
      <c r="GW34">
        <v>1</v>
      </c>
      <c r="GX34">
        <f t="shared" si="54"/>
        <v>0</v>
      </c>
      <c r="HA34">
        <v>0</v>
      </c>
      <c r="HB34">
        <v>0</v>
      </c>
      <c r="HC34">
        <f t="shared" si="55"/>
        <v>0</v>
      </c>
      <c r="HE34" t="s">
        <v>3</v>
      </c>
      <c r="HF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S34">
        <v>0</v>
      </c>
      <c r="IK34">
        <v>0</v>
      </c>
    </row>
    <row r="35" spans="1:255" x14ac:dyDescent="0.2">
      <c r="A35" s="2">
        <v>19</v>
      </c>
      <c r="B35" s="2">
        <v>1</v>
      </c>
      <c r="C35" s="2"/>
      <c r="D35" s="2"/>
      <c r="E35" s="2"/>
      <c r="F35" s="2" t="s">
        <v>3</v>
      </c>
      <c r="G35" s="2" t="s">
        <v>40</v>
      </c>
      <c r="H35" s="2" t="s">
        <v>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>
        <v>1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>
        <v>0</v>
      </c>
      <c r="IL35" s="2"/>
      <c r="IM35" s="2"/>
      <c r="IN35" s="2"/>
      <c r="IO35" s="2"/>
      <c r="IP35" s="2"/>
      <c r="IQ35" s="2"/>
      <c r="IR35" s="2"/>
      <c r="IS35" s="2"/>
      <c r="IT35" s="2"/>
      <c r="IU35" s="2"/>
    </row>
    <row r="36" spans="1:255" x14ac:dyDescent="0.2">
      <c r="A36" s="2">
        <v>17</v>
      </c>
      <c r="B36" s="2">
        <v>1</v>
      </c>
      <c r="C36" s="2">
        <f>ROW(SmtRes!A10)</f>
        <v>10</v>
      </c>
      <c r="D36" s="2">
        <f>ROW(EtalonRes!A10)</f>
        <v>10</v>
      </c>
      <c r="E36" s="2" t="s">
        <v>41</v>
      </c>
      <c r="F36" s="2" t="s">
        <v>42</v>
      </c>
      <c r="G36" s="2" t="s">
        <v>43</v>
      </c>
      <c r="H36" s="2" t="s">
        <v>22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ref="O36:O41" si="56">ROUND(CP36,2)</f>
        <v>7052.99</v>
      </c>
      <c r="P36" s="2">
        <f t="shared" ref="P36:P41" si="57">ROUND((ROUND((AC36*AW36*I36),2)*BC36),2)</f>
        <v>985.85</v>
      </c>
      <c r="Q36" s="2">
        <f t="shared" ref="Q36:Q41" si="58">(ROUND((ROUND((((ET36*1.1))*AV36*I36),2)*BB36),2)+ROUND((ROUND(((AE36-((EU36*1.1)))*AV36*I36),2)*BS36),2))</f>
        <v>397.09</v>
      </c>
      <c r="R36" s="2">
        <f t="shared" ref="R36:R41" si="59">ROUND((ROUND((AE36*AV36*I36),2)*BS36),2)</f>
        <v>28.42</v>
      </c>
      <c r="S36" s="2">
        <f t="shared" ref="S36:S41" si="60">ROUND((ROUND((AF36*AV36*I36),2)*BA36),2)</f>
        <v>5670.05</v>
      </c>
      <c r="T36" s="2">
        <f t="shared" ref="T36:T41" si="61">ROUND(CU36*I36,2)</f>
        <v>0</v>
      </c>
      <c r="U36" s="2">
        <f t="shared" ref="U36:U41" si="62">CV36*I36</f>
        <v>417.8372</v>
      </c>
      <c r="V36" s="2">
        <f t="shared" ref="V36:V41" si="63">CW36*I36</f>
        <v>0</v>
      </c>
      <c r="W36" s="2">
        <f t="shared" ref="W36:W41" si="64">ROUND(CX36*I36,2)</f>
        <v>0</v>
      </c>
      <c r="X36" s="2">
        <f t="shared" ref="X36:Y41" si="65">ROUND(CY36,2)</f>
        <v>5242.59</v>
      </c>
      <c r="Y36" s="2">
        <f t="shared" si="65"/>
        <v>2792.25</v>
      </c>
      <c r="Z36" s="2"/>
      <c r="AA36" s="2">
        <v>59499003</v>
      </c>
      <c r="AB36" s="2">
        <f t="shared" ref="AB36:AB41" si="66">ROUND((AC36+AD36+AF36),6)</f>
        <v>6645.1639999999998</v>
      </c>
      <c r="AC36" s="2">
        <f t="shared" ref="AC36:AC41" si="67">ROUND(((ES36*1)),6)</f>
        <v>959</v>
      </c>
      <c r="AD36" s="2">
        <f t="shared" ref="AD36:AD41" si="68">ROUND(((((ET36*1.1))-((EU36*1.1)))+AE36),6)</f>
        <v>372.15199999999999</v>
      </c>
      <c r="AE36" s="2">
        <f t="shared" ref="AE36:AF41" si="69">ROUND(((EU36*1.1)),6)</f>
        <v>26.631</v>
      </c>
      <c r="AF36" s="2">
        <f t="shared" si="69"/>
        <v>5314.0119999999997</v>
      </c>
      <c r="AG36" s="2">
        <f t="shared" ref="AG36:AG41" si="70">ROUND((AP36),6)</f>
        <v>0</v>
      </c>
      <c r="AH36" s="2">
        <f t="shared" ref="AH36:AI41" si="71">((EW36*1.1))</f>
        <v>391.6</v>
      </c>
      <c r="AI36" s="2">
        <f t="shared" si="71"/>
        <v>0</v>
      </c>
      <c r="AJ36" s="2">
        <f t="shared" ref="AJ36:AJ41" si="72">(AS36)</f>
        <v>0</v>
      </c>
      <c r="AK36" s="2">
        <v>6128.24</v>
      </c>
      <c r="AL36" s="2">
        <v>959</v>
      </c>
      <c r="AM36" s="2">
        <v>338.32</v>
      </c>
      <c r="AN36" s="2">
        <v>24.21</v>
      </c>
      <c r="AO36" s="2">
        <v>4830.92</v>
      </c>
      <c r="AP36" s="2">
        <v>0</v>
      </c>
      <c r="AQ36" s="2">
        <v>356</v>
      </c>
      <c r="AR36" s="2">
        <v>0</v>
      </c>
      <c r="AS36" s="2">
        <v>0</v>
      </c>
      <c r="AT36" s="2">
        <v>92</v>
      </c>
      <c r="AU36" s="2">
        <v>49</v>
      </c>
      <c r="AV36" s="2">
        <v>1.0669999999999999</v>
      </c>
      <c r="AW36" s="2">
        <v>1.028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44</v>
      </c>
      <c r="BK36" s="2"/>
      <c r="BL36" s="2"/>
      <c r="BM36" s="2">
        <v>64</v>
      </c>
      <c r="BN36" s="2">
        <v>59073636</v>
      </c>
      <c r="BO36" s="2" t="s">
        <v>42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92</v>
      </c>
      <c r="CA36" s="2">
        <v>49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149</v>
      </c>
      <c r="CO36" s="2">
        <v>0</v>
      </c>
      <c r="CP36" s="2">
        <f t="shared" ref="CP36:CP41" si="73">(P36+Q36+S36)</f>
        <v>7052.99</v>
      </c>
      <c r="CQ36" s="2">
        <f t="shared" ref="CQ36:CQ41" si="74">ROUND((ROUND((AC36*AW36*1),2)*BC36),2)</f>
        <v>985.85</v>
      </c>
      <c r="CR36" s="2">
        <f t="shared" ref="CR36:CR41" si="75">(ROUND((ROUND((((ET36*1.1))*AV36*1),2)*BB36),2)+ROUND((ROUND(((AE36-((EU36*1.1)))*AV36*1),2)*BS36),2))</f>
        <v>397.09</v>
      </c>
      <c r="CS36" s="2">
        <f t="shared" ref="CS36:CS41" si="76">ROUND((ROUND((AE36*AV36*1),2)*BS36),2)</f>
        <v>28.42</v>
      </c>
      <c r="CT36" s="2">
        <f t="shared" ref="CT36:CT41" si="77">ROUND((ROUND((AF36*AV36*1),2)*BA36),2)</f>
        <v>5670.05</v>
      </c>
      <c r="CU36" s="2">
        <f t="shared" ref="CU36:CU41" si="78">AG36</f>
        <v>0</v>
      </c>
      <c r="CV36" s="2">
        <f t="shared" ref="CV36:CV41" si="79">(AH36*AV36)</f>
        <v>417.8372</v>
      </c>
      <c r="CW36" s="2">
        <f t="shared" ref="CW36:CX41" si="80">AI36</f>
        <v>0</v>
      </c>
      <c r="CX36" s="2">
        <f t="shared" si="80"/>
        <v>0</v>
      </c>
      <c r="CY36" s="2">
        <f t="shared" ref="CY36:CY41" si="81">(((S36+R36)*AT36)/100)</f>
        <v>5242.5924000000005</v>
      </c>
      <c r="CZ36" s="2">
        <f t="shared" ref="CZ36:CZ41" si="82">(((S36+R36)*AU36)/100)</f>
        <v>2792.2503000000002</v>
      </c>
      <c r="DA36" s="2"/>
      <c r="DB36" s="2">
        <v>13</v>
      </c>
      <c r="DC36" s="2" t="s">
        <v>3</v>
      </c>
      <c r="DD36" s="2" t="s">
        <v>45</v>
      </c>
      <c r="DE36" s="2" t="s">
        <v>46</v>
      </c>
      <c r="DF36" s="2" t="s">
        <v>46</v>
      </c>
      <c r="DG36" s="2" t="s">
        <v>46</v>
      </c>
      <c r="DH36" s="2" t="s">
        <v>3</v>
      </c>
      <c r="DI36" s="2" t="s">
        <v>46</v>
      </c>
      <c r="DJ36" s="2" t="s">
        <v>46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59073703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64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6128.24</v>
      </c>
      <c r="ES36" s="2">
        <v>959</v>
      </c>
      <c r="ET36" s="2">
        <v>338.32</v>
      </c>
      <c r="EU36" s="2">
        <v>24.21</v>
      </c>
      <c r="EV36" s="2">
        <v>4830.92</v>
      </c>
      <c r="EW36" s="2">
        <v>356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92</v>
      </c>
      <c r="FY36" s="2">
        <v>49</v>
      </c>
      <c r="FZ36" s="2"/>
      <c r="GA36" s="2" t="s">
        <v>3</v>
      </c>
      <c r="GB36" s="2"/>
      <c r="GC36" s="2"/>
      <c r="GD36" s="2">
        <v>1</v>
      </c>
      <c r="GE36" s="2"/>
      <c r="GF36" s="2">
        <v>1940847450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ref="GL36:GL41" si="83">ROUND(IF(AND(BH36=3,BI36=3,FS36&lt;&gt;0),P36,0),2)</f>
        <v>0</v>
      </c>
      <c r="GM36" s="2">
        <f t="shared" ref="GM36:GM41" si="84">ROUND(O36+X36+Y36,2)+GX36</f>
        <v>15087.83</v>
      </c>
      <c r="GN36" s="2">
        <f t="shared" ref="GN36:GN41" si="85">IF(OR(BI36=0,BI36=1),GM36-GX36,0)</f>
        <v>0</v>
      </c>
      <c r="GO36" s="2">
        <f t="shared" ref="GO36:GO41" si="86">IF(BI36=2,GM36-GX36,0)</f>
        <v>15087.83</v>
      </c>
      <c r="GP36" s="2">
        <f t="shared" ref="GP36:GP41" si="87">IF(BI36=4,GM36-GX36,0)</f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ref="GV36:GV41" si="88">ROUND((GT36),6)</f>
        <v>0</v>
      </c>
      <c r="GW36" s="2">
        <v>1</v>
      </c>
      <c r="GX36" s="2">
        <f t="shared" ref="GX36:GX41" si="89">ROUND(HC36*I36,2)</f>
        <v>0</v>
      </c>
      <c r="GY36" s="2"/>
      <c r="GZ36" s="2"/>
      <c r="HA36" s="2">
        <v>0</v>
      </c>
      <c r="HB36" s="2">
        <v>0</v>
      </c>
      <c r="HC36" s="2">
        <f t="shared" ref="HC36:HC41" si="90">GV36*GW36</f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ROW(SmtRes!A12)</f>
        <v>12</v>
      </c>
      <c r="D37">
        <f>ROW(EtalonRes!A12)</f>
        <v>12</v>
      </c>
      <c r="E37" t="s">
        <v>41</v>
      </c>
      <c r="F37" t="s">
        <v>42</v>
      </c>
      <c r="G37" t="s">
        <v>43</v>
      </c>
      <c r="H37" t="s">
        <v>22</v>
      </c>
      <c r="I37">
        <v>1</v>
      </c>
      <c r="J37">
        <v>0</v>
      </c>
      <c r="K37">
        <v>1</v>
      </c>
      <c r="O37">
        <f t="shared" si="56"/>
        <v>326811.52000000002</v>
      </c>
      <c r="P37">
        <f t="shared" si="57"/>
        <v>9750.06</v>
      </c>
      <c r="Q37">
        <f t="shared" si="58"/>
        <v>5265.41</v>
      </c>
      <c r="R37">
        <f t="shared" si="59"/>
        <v>1562.82</v>
      </c>
      <c r="S37">
        <f t="shared" si="60"/>
        <v>311796.05</v>
      </c>
      <c r="T37">
        <f t="shared" si="61"/>
        <v>0</v>
      </c>
      <c r="U37">
        <f t="shared" si="62"/>
        <v>417.8372</v>
      </c>
      <c r="V37">
        <f t="shared" si="63"/>
        <v>0</v>
      </c>
      <c r="W37">
        <f t="shared" si="64"/>
        <v>0</v>
      </c>
      <c r="X37">
        <f t="shared" si="65"/>
        <v>288290.15999999997</v>
      </c>
      <c r="Y37">
        <f t="shared" si="65"/>
        <v>153545.85</v>
      </c>
      <c r="AA37">
        <v>59499000</v>
      </c>
      <c r="AB37">
        <f t="shared" si="66"/>
        <v>6645.1639999999998</v>
      </c>
      <c r="AC37">
        <f t="shared" si="67"/>
        <v>959</v>
      </c>
      <c r="AD37">
        <f t="shared" si="68"/>
        <v>372.15199999999999</v>
      </c>
      <c r="AE37">
        <f t="shared" si="69"/>
        <v>26.631</v>
      </c>
      <c r="AF37">
        <f t="shared" si="69"/>
        <v>5314.0119999999997</v>
      </c>
      <c r="AG37">
        <f t="shared" si="70"/>
        <v>0</v>
      </c>
      <c r="AH37">
        <f t="shared" si="71"/>
        <v>391.6</v>
      </c>
      <c r="AI37">
        <f t="shared" si="71"/>
        <v>0</v>
      </c>
      <c r="AJ37">
        <f t="shared" si="72"/>
        <v>0</v>
      </c>
      <c r="AK37">
        <v>6128.24</v>
      </c>
      <c r="AL37">
        <v>959</v>
      </c>
      <c r="AM37">
        <v>338.32</v>
      </c>
      <c r="AN37">
        <v>24.21</v>
      </c>
      <c r="AO37">
        <v>4830.92</v>
      </c>
      <c r="AP37">
        <v>0</v>
      </c>
      <c r="AQ37">
        <v>356</v>
      </c>
      <c r="AR37">
        <v>0</v>
      </c>
      <c r="AS37">
        <v>0</v>
      </c>
      <c r="AT37">
        <v>92</v>
      </c>
      <c r="AU37">
        <v>49</v>
      </c>
      <c r="AV37">
        <v>1.0669999999999999</v>
      </c>
      <c r="AW37">
        <v>1.028</v>
      </c>
      <c r="AZ37">
        <v>1</v>
      </c>
      <c r="BA37">
        <v>54.99</v>
      </c>
      <c r="BB37">
        <v>13.26</v>
      </c>
      <c r="BC37">
        <v>9.89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44</v>
      </c>
      <c r="BM37">
        <v>64</v>
      </c>
      <c r="BN37">
        <v>59073636</v>
      </c>
      <c r="BO37" t="s">
        <v>42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92</v>
      </c>
      <c r="CA37">
        <v>49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149</v>
      </c>
      <c r="CO37">
        <v>0</v>
      </c>
      <c r="CP37">
        <f t="shared" si="73"/>
        <v>326811.51999999996</v>
      </c>
      <c r="CQ37">
        <f t="shared" si="74"/>
        <v>9750.06</v>
      </c>
      <c r="CR37">
        <f t="shared" si="75"/>
        <v>5265.41</v>
      </c>
      <c r="CS37">
        <f t="shared" si="76"/>
        <v>1562.82</v>
      </c>
      <c r="CT37">
        <f t="shared" si="77"/>
        <v>311796.05</v>
      </c>
      <c r="CU37">
        <f t="shared" si="78"/>
        <v>0</v>
      </c>
      <c r="CV37">
        <f t="shared" si="79"/>
        <v>417.8372</v>
      </c>
      <c r="CW37">
        <f t="shared" si="80"/>
        <v>0</v>
      </c>
      <c r="CX37">
        <f t="shared" si="80"/>
        <v>0</v>
      </c>
      <c r="CY37">
        <f t="shared" si="81"/>
        <v>288290.16039999999</v>
      </c>
      <c r="CZ37">
        <f t="shared" si="82"/>
        <v>153545.84629999998</v>
      </c>
      <c r="DB37">
        <v>14</v>
      </c>
      <c r="DC37" t="s">
        <v>3</v>
      </c>
      <c r="DD37" t="s">
        <v>45</v>
      </c>
      <c r="DE37" t="s">
        <v>46</v>
      </c>
      <c r="DF37" t="s">
        <v>46</v>
      </c>
      <c r="DG37" t="s">
        <v>46</v>
      </c>
      <c r="DH37" t="s">
        <v>3</v>
      </c>
      <c r="DI37" t="s">
        <v>46</v>
      </c>
      <c r="DJ37" t="s">
        <v>46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22</v>
      </c>
      <c r="DW37" t="s">
        <v>22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59073703</v>
      </c>
      <c r="EF37">
        <v>40</v>
      </c>
      <c r="EG37" t="s">
        <v>26</v>
      </c>
      <c r="EH37">
        <v>0</v>
      </c>
      <c r="EI37" t="s">
        <v>3</v>
      </c>
      <c r="EJ37">
        <v>2</v>
      </c>
      <c r="EK37">
        <v>64</v>
      </c>
      <c r="EL37" t="s">
        <v>27</v>
      </c>
      <c r="EM37" t="s">
        <v>28</v>
      </c>
      <c r="EO37" t="s">
        <v>29</v>
      </c>
      <c r="EQ37">
        <v>0</v>
      </c>
      <c r="ER37">
        <v>6128.24</v>
      </c>
      <c r="ES37">
        <v>959</v>
      </c>
      <c r="ET37">
        <v>338.32</v>
      </c>
      <c r="EU37">
        <v>24.21</v>
      </c>
      <c r="EV37">
        <v>4830.92</v>
      </c>
      <c r="EW37">
        <v>356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92</v>
      </c>
      <c r="FY37">
        <v>49</v>
      </c>
      <c r="GA37" t="s">
        <v>3</v>
      </c>
      <c r="GD37">
        <v>1</v>
      </c>
      <c r="GF37">
        <v>1940847450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83"/>
        <v>0</v>
      </c>
      <c r="GM37">
        <f t="shared" si="84"/>
        <v>768647.53</v>
      </c>
      <c r="GN37">
        <f t="shared" si="85"/>
        <v>0</v>
      </c>
      <c r="GO37">
        <f t="shared" si="86"/>
        <v>768647.53</v>
      </c>
      <c r="GP37">
        <f t="shared" si="87"/>
        <v>0</v>
      </c>
      <c r="GR37">
        <v>0</v>
      </c>
      <c r="GS37">
        <v>3</v>
      </c>
      <c r="GT37">
        <v>0</v>
      </c>
      <c r="GU37" t="s">
        <v>3</v>
      </c>
      <c r="GV37">
        <f t="shared" si="88"/>
        <v>0</v>
      </c>
      <c r="GW37">
        <v>1</v>
      </c>
      <c r="GX37">
        <f t="shared" si="89"/>
        <v>0</v>
      </c>
      <c r="HA37">
        <v>0</v>
      </c>
      <c r="HB37">
        <v>0</v>
      </c>
      <c r="HC37">
        <f t="shared" si="90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>
        <f>ROW(SmtRes!A13)</f>
        <v>13</v>
      </c>
      <c r="D38" s="2">
        <f>ROW(EtalonRes!A13)</f>
        <v>13</v>
      </c>
      <c r="E38" s="2" t="s">
        <v>47</v>
      </c>
      <c r="F38" s="2" t="s">
        <v>48</v>
      </c>
      <c r="G38" s="2" t="s">
        <v>49</v>
      </c>
      <c r="H38" s="2" t="s">
        <v>33</v>
      </c>
      <c r="I38" s="2">
        <f>ROUND(2-6,9)</f>
        <v>-4</v>
      </c>
      <c r="J38" s="2">
        <v>0</v>
      </c>
      <c r="K38" s="2">
        <f>ROUND(2-6,9)</f>
        <v>-4</v>
      </c>
      <c r="L38" s="2"/>
      <c r="M38" s="2"/>
      <c r="N38" s="2"/>
      <c r="O38" s="2">
        <f t="shared" si="56"/>
        <v>-1883.28</v>
      </c>
      <c r="P38" s="2">
        <f t="shared" si="57"/>
        <v>-241.79</v>
      </c>
      <c r="Q38" s="2">
        <f t="shared" si="58"/>
        <v>-163.47</v>
      </c>
      <c r="R38" s="2">
        <f t="shared" si="59"/>
        <v>-12.25</v>
      </c>
      <c r="S38" s="2">
        <f t="shared" si="60"/>
        <v>-1478.02</v>
      </c>
      <c r="T38" s="2">
        <f t="shared" si="61"/>
        <v>0</v>
      </c>
      <c r="U38" s="2">
        <f t="shared" si="62"/>
        <v>-108.91936</v>
      </c>
      <c r="V38" s="2">
        <f t="shared" si="63"/>
        <v>0</v>
      </c>
      <c r="W38" s="2">
        <f t="shared" si="64"/>
        <v>0</v>
      </c>
      <c r="X38" s="2">
        <f t="shared" si="65"/>
        <v>-1371.05</v>
      </c>
      <c r="Y38" s="2">
        <f t="shared" si="65"/>
        <v>-730.23</v>
      </c>
      <c r="Z38" s="2"/>
      <c r="AA38" s="2">
        <v>59499003</v>
      </c>
      <c r="AB38" s="2">
        <f t="shared" si="66"/>
        <v>443.404</v>
      </c>
      <c r="AC38" s="2">
        <f t="shared" si="67"/>
        <v>58.8</v>
      </c>
      <c r="AD38" s="2">
        <f t="shared" si="68"/>
        <v>38.302</v>
      </c>
      <c r="AE38" s="2">
        <f t="shared" si="69"/>
        <v>2.871</v>
      </c>
      <c r="AF38" s="2">
        <f t="shared" si="69"/>
        <v>346.30200000000002</v>
      </c>
      <c r="AG38" s="2">
        <f t="shared" si="70"/>
        <v>0</v>
      </c>
      <c r="AH38" s="2">
        <f t="shared" si="71"/>
        <v>25.52</v>
      </c>
      <c r="AI38" s="2">
        <f t="shared" si="71"/>
        <v>0</v>
      </c>
      <c r="AJ38" s="2">
        <f t="shared" si="72"/>
        <v>0</v>
      </c>
      <c r="AK38" s="2">
        <v>408.44</v>
      </c>
      <c r="AL38" s="2">
        <v>58.8</v>
      </c>
      <c r="AM38" s="2">
        <v>34.82</v>
      </c>
      <c r="AN38" s="2">
        <v>2.61</v>
      </c>
      <c r="AO38" s="2">
        <v>314.82</v>
      </c>
      <c r="AP38" s="2">
        <v>0</v>
      </c>
      <c r="AQ38" s="2">
        <v>23.2</v>
      </c>
      <c r="AR38" s="2">
        <v>0</v>
      </c>
      <c r="AS38" s="2">
        <v>0</v>
      </c>
      <c r="AT38" s="2">
        <v>92</v>
      </c>
      <c r="AU38" s="2">
        <v>49</v>
      </c>
      <c r="AV38" s="2">
        <v>1.0669999999999999</v>
      </c>
      <c r="AW38" s="2">
        <v>1.028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50</v>
      </c>
      <c r="BK38" s="2"/>
      <c r="BL38" s="2"/>
      <c r="BM38" s="2">
        <v>64</v>
      </c>
      <c r="BN38" s="2">
        <v>59073636</v>
      </c>
      <c r="BO38" s="2" t="s">
        <v>48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92</v>
      </c>
      <c r="CA38" s="2">
        <v>49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149</v>
      </c>
      <c r="CO38" s="2">
        <v>0</v>
      </c>
      <c r="CP38" s="2">
        <f t="shared" si="73"/>
        <v>-1883.28</v>
      </c>
      <c r="CQ38" s="2">
        <f t="shared" si="74"/>
        <v>60.45</v>
      </c>
      <c r="CR38" s="2">
        <f t="shared" si="75"/>
        <v>40.869999999999997</v>
      </c>
      <c r="CS38" s="2">
        <f t="shared" si="76"/>
        <v>3.06</v>
      </c>
      <c r="CT38" s="2">
        <f t="shared" si="77"/>
        <v>369.5</v>
      </c>
      <c r="CU38" s="2">
        <f t="shared" si="78"/>
        <v>0</v>
      </c>
      <c r="CV38" s="2">
        <f t="shared" si="79"/>
        <v>27.229839999999999</v>
      </c>
      <c r="CW38" s="2">
        <f t="shared" si="80"/>
        <v>0</v>
      </c>
      <c r="CX38" s="2">
        <f t="shared" si="80"/>
        <v>0</v>
      </c>
      <c r="CY38" s="2">
        <f t="shared" si="81"/>
        <v>-1371.0483999999999</v>
      </c>
      <c r="CZ38" s="2">
        <f t="shared" si="82"/>
        <v>-730.23230000000001</v>
      </c>
      <c r="DA38" s="2"/>
      <c r="DB38" s="2">
        <v>15</v>
      </c>
      <c r="DC38" s="2" t="s">
        <v>3</v>
      </c>
      <c r="DD38" s="2" t="s">
        <v>45</v>
      </c>
      <c r="DE38" s="2" t="s">
        <v>46</v>
      </c>
      <c r="DF38" s="2" t="s">
        <v>46</v>
      </c>
      <c r="DG38" s="2" t="s">
        <v>46</v>
      </c>
      <c r="DH38" s="2" t="s">
        <v>3</v>
      </c>
      <c r="DI38" s="2" t="s">
        <v>46</v>
      </c>
      <c r="DJ38" s="2" t="s">
        <v>46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33</v>
      </c>
      <c r="DW38" s="2" t="s">
        <v>33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59073703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64</v>
      </c>
      <c r="EL38" s="2" t="s">
        <v>27</v>
      </c>
      <c r="EM38" s="2" t="s">
        <v>28</v>
      </c>
      <c r="EN38" s="2"/>
      <c r="EO38" s="2" t="s">
        <v>29</v>
      </c>
      <c r="EP38" s="2"/>
      <c r="EQ38" s="2">
        <v>0</v>
      </c>
      <c r="ER38" s="2">
        <v>408.44</v>
      </c>
      <c r="ES38" s="2">
        <v>58.8</v>
      </c>
      <c r="ET38" s="2">
        <v>34.82</v>
      </c>
      <c r="EU38" s="2">
        <v>2.61</v>
      </c>
      <c r="EV38" s="2">
        <v>314.82</v>
      </c>
      <c r="EW38" s="2">
        <v>23.2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92</v>
      </c>
      <c r="FY38" s="2">
        <v>49</v>
      </c>
      <c r="FZ38" s="2"/>
      <c r="GA38" s="2" t="s">
        <v>3</v>
      </c>
      <c r="GB38" s="2"/>
      <c r="GC38" s="2"/>
      <c r="GD38" s="2">
        <v>1</v>
      </c>
      <c r="GE38" s="2"/>
      <c r="GF38" s="2">
        <v>-1647615880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83"/>
        <v>0</v>
      </c>
      <c r="GM38" s="2">
        <f t="shared" si="84"/>
        <v>-3984.56</v>
      </c>
      <c r="GN38" s="2">
        <f t="shared" si="85"/>
        <v>0</v>
      </c>
      <c r="GO38" s="2">
        <f t="shared" si="86"/>
        <v>-3984.56</v>
      </c>
      <c r="GP38" s="2">
        <f t="shared" si="87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88"/>
        <v>0</v>
      </c>
      <c r="GW38" s="2">
        <v>1</v>
      </c>
      <c r="GX38" s="2">
        <f t="shared" si="89"/>
        <v>0</v>
      </c>
      <c r="GY38" s="2"/>
      <c r="GZ38" s="2"/>
      <c r="HA38" s="2">
        <v>0</v>
      </c>
      <c r="HB38" s="2">
        <v>0</v>
      </c>
      <c r="HC38" s="2">
        <f t="shared" si="90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C39">
        <f>ROW(SmtRes!A14)</f>
        <v>14</v>
      </c>
      <c r="D39">
        <f>ROW(EtalonRes!A14)</f>
        <v>14</v>
      </c>
      <c r="E39" t="s">
        <v>47</v>
      </c>
      <c r="F39" t="s">
        <v>48</v>
      </c>
      <c r="G39" t="s">
        <v>49</v>
      </c>
      <c r="H39" t="s">
        <v>33</v>
      </c>
      <c r="I39">
        <f>ROUND(2-6,9)</f>
        <v>-4</v>
      </c>
      <c r="J39">
        <v>0</v>
      </c>
      <c r="K39">
        <f>ROUND(2-6,9)</f>
        <v>-4</v>
      </c>
      <c r="O39">
        <f t="shared" si="56"/>
        <v>-85859.75</v>
      </c>
      <c r="P39">
        <f t="shared" si="57"/>
        <v>-2391.3000000000002</v>
      </c>
      <c r="Q39">
        <f t="shared" si="58"/>
        <v>-2192.13</v>
      </c>
      <c r="R39">
        <f t="shared" si="59"/>
        <v>-673.63</v>
      </c>
      <c r="S39">
        <f t="shared" si="60"/>
        <v>-81276.320000000007</v>
      </c>
      <c r="T39">
        <f t="shared" si="61"/>
        <v>0</v>
      </c>
      <c r="U39">
        <f t="shared" si="62"/>
        <v>-108.91936</v>
      </c>
      <c r="V39">
        <f t="shared" si="63"/>
        <v>0</v>
      </c>
      <c r="W39">
        <f t="shared" si="64"/>
        <v>0</v>
      </c>
      <c r="X39">
        <f t="shared" si="65"/>
        <v>-75393.95</v>
      </c>
      <c r="Y39">
        <f t="shared" si="65"/>
        <v>-40155.480000000003</v>
      </c>
      <c r="AA39">
        <v>59499000</v>
      </c>
      <c r="AB39">
        <f t="shared" si="66"/>
        <v>443.404</v>
      </c>
      <c r="AC39">
        <f t="shared" si="67"/>
        <v>58.8</v>
      </c>
      <c r="AD39">
        <f t="shared" si="68"/>
        <v>38.302</v>
      </c>
      <c r="AE39">
        <f t="shared" si="69"/>
        <v>2.871</v>
      </c>
      <c r="AF39">
        <f t="shared" si="69"/>
        <v>346.30200000000002</v>
      </c>
      <c r="AG39">
        <f t="shared" si="70"/>
        <v>0</v>
      </c>
      <c r="AH39">
        <f t="shared" si="71"/>
        <v>25.52</v>
      </c>
      <c r="AI39">
        <f t="shared" si="71"/>
        <v>0</v>
      </c>
      <c r="AJ39">
        <f t="shared" si="72"/>
        <v>0</v>
      </c>
      <c r="AK39">
        <v>408.44</v>
      </c>
      <c r="AL39">
        <v>58.8</v>
      </c>
      <c r="AM39">
        <v>34.82</v>
      </c>
      <c r="AN39">
        <v>2.61</v>
      </c>
      <c r="AO39">
        <v>314.82</v>
      </c>
      <c r="AP39">
        <v>0</v>
      </c>
      <c r="AQ39">
        <v>23.2</v>
      </c>
      <c r="AR39">
        <v>0</v>
      </c>
      <c r="AS39">
        <v>0</v>
      </c>
      <c r="AT39">
        <v>92</v>
      </c>
      <c r="AU39">
        <v>49</v>
      </c>
      <c r="AV39">
        <v>1.0669999999999999</v>
      </c>
      <c r="AW39">
        <v>1.028</v>
      </c>
      <c r="AZ39">
        <v>1</v>
      </c>
      <c r="BA39">
        <v>54.99</v>
      </c>
      <c r="BB39">
        <v>13.41</v>
      </c>
      <c r="BC39">
        <v>9.89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2</v>
      </c>
      <c r="BJ39" t="s">
        <v>50</v>
      </c>
      <c r="BM39">
        <v>64</v>
      </c>
      <c r="BN39">
        <v>59073636</v>
      </c>
      <c r="BO39" t="s">
        <v>48</v>
      </c>
      <c r="BP39">
        <v>1</v>
      </c>
      <c r="BQ39">
        <v>40</v>
      </c>
      <c r="BR39">
        <v>0</v>
      </c>
      <c r="BS39">
        <v>54.99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49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149</v>
      </c>
      <c r="CO39">
        <v>0</v>
      </c>
      <c r="CP39">
        <f t="shared" si="73"/>
        <v>-85859.75</v>
      </c>
      <c r="CQ39">
        <f t="shared" si="74"/>
        <v>597.85</v>
      </c>
      <c r="CR39">
        <f t="shared" si="75"/>
        <v>548.07000000000005</v>
      </c>
      <c r="CS39">
        <f t="shared" si="76"/>
        <v>168.27</v>
      </c>
      <c r="CT39">
        <f t="shared" si="77"/>
        <v>20318.810000000001</v>
      </c>
      <c r="CU39">
        <f t="shared" si="78"/>
        <v>0</v>
      </c>
      <c r="CV39">
        <f t="shared" si="79"/>
        <v>27.229839999999999</v>
      </c>
      <c r="CW39">
        <f t="shared" si="80"/>
        <v>0</v>
      </c>
      <c r="CX39">
        <f t="shared" si="80"/>
        <v>0</v>
      </c>
      <c r="CY39">
        <f t="shared" si="81"/>
        <v>-75393.954000000012</v>
      </c>
      <c r="CZ39">
        <f t="shared" si="82"/>
        <v>-40155.475500000008</v>
      </c>
      <c r="DB39">
        <v>16</v>
      </c>
      <c r="DC39" t="s">
        <v>3</v>
      </c>
      <c r="DD39" t="s">
        <v>45</v>
      </c>
      <c r="DE39" t="s">
        <v>46</v>
      </c>
      <c r="DF39" t="s">
        <v>46</v>
      </c>
      <c r="DG39" t="s">
        <v>46</v>
      </c>
      <c r="DH39" t="s">
        <v>3</v>
      </c>
      <c r="DI39" t="s">
        <v>46</v>
      </c>
      <c r="DJ39" t="s">
        <v>46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1013</v>
      </c>
      <c r="DV39" t="s">
        <v>33</v>
      </c>
      <c r="DW39" t="s">
        <v>33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59073703</v>
      </c>
      <c r="EF39">
        <v>40</v>
      </c>
      <c r="EG39" t="s">
        <v>26</v>
      </c>
      <c r="EH39">
        <v>0</v>
      </c>
      <c r="EI39" t="s">
        <v>3</v>
      </c>
      <c r="EJ39">
        <v>2</v>
      </c>
      <c r="EK39">
        <v>64</v>
      </c>
      <c r="EL39" t="s">
        <v>27</v>
      </c>
      <c r="EM39" t="s">
        <v>28</v>
      </c>
      <c r="EO39" t="s">
        <v>29</v>
      </c>
      <c r="EQ39">
        <v>0</v>
      </c>
      <c r="ER39">
        <v>408.44</v>
      </c>
      <c r="ES39">
        <v>58.8</v>
      </c>
      <c r="ET39">
        <v>34.82</v>
      </c>
      <c r="EU39">
        <v>2.61</v>
      </c>
      <c r="EV39">
        <v>314.82</v>
      </c>
      <c r="EW39">
        <v>23.2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92</v>
      </c>
      <c r="FY39">
        <v>49</v>
      </c>
      <c r="GA39" t="s">
        <v>3</v>
      </c>
      <c r="GD39">
        <v>1</v>
      </c>
      <c r="GF39">
        <v>-1647615880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83"/>
        <v>0</v>
      </c>
      <c r="GM39">
        <f t="shared" si="84"/>
        <v>-201409.18</v>
      </c>
      <c r="GN39">
        <f t="shared" si="85"/>
        <v>0</v>
      </c>
      <c r="GO39">
        <f t="shared" si="86"/>
        <v>-201409.18</v>
      </c>
      <c r="GP39">
        <f t="shared" si="87"/>
        <v>0</v>
      </c>
      <c r="GR39">
        <v>0</v>
      </c>
      <c r="GS39">
        <v>3</v>
      </c>
      <c r="GT39">
        <v>0</v>
      </c>
      <c r="GU39" t="s">
        <v>3</v>
      </c>
      <c r="GV39">
        <f t="shared" si="88"/>
        <v>0</v>
      </c>
      <c r="GW39">
        <v>1</v>
      </c>
      <c r="GX39">
        <f t="shared" si="89"/>
        <v>0</v>
      </c>
      <c r="HA39">
        <v>0</v>
      </c>
      <c r="HB39">
        <v>0</v>
      </c>
      <c r="HC39">
        <f t="shared" si="90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>
        <f>ROW(SmtRes!A15)</f>
        <v>15</v>
      </c>
      <c r="D40" s="2">
        <f>ROW(EtalonRes!A15)</f>
        <v>15</v>
      </c>
      <c r="E40" s="2" t="s">
        <v>51</v>
      </c>
      <c r="F40" s="2" t="s">
        <v>52</v>
      </c>
      <c r="G40" s="2" t="s">
        <v>53</v>
      </c>
      <c r="H40" s="2" t="s">
        <v>38</v>
      </c>
      <c r="I40" s="2">
        <f>ROUND((3.15+2.93-21),9)</f>
        <v>-14.92</v>
      </c>
      <c r="J40" s="2">
        <v>0</v>
      </c>
      <c r="K40" s="2">
        <f>ROUND((3.15+2.93-21),9)</f>
        <v>-14.92</v>
      </c>
      <c r="L40" s="2"/>
      <c r="M40" s="2"/>
      <c r="N40" s="2"/>
      <c r="O40" s="2">
        <f t="shared" si="56"/>
        <v>-1554.18</v>
      </c>
      <c r="P40" s="2">
        <f t="shared" si="57"/>
        <v>-9.66</v>
      </c>
      <c r="Q40" s="2">
        <f t="shared" si="58"/>
        <v>0</v>
      </c>
      <c r="R40" s="2">
        <f t="shared" si="59"/>
        <v>0</v>
      </c>
      <c r="S40" s="2">
        <f t="shared" si="60"/>
        <v>-1544.52</v>
      </c>
      <c r="T40" s="2">
        <f t="shared" si="61"/>
        <v>0</v>
      </c>
      <c r="U40" s="2">
        <f t="shared" si="62"/>
        <v>-113.82542600000001</v>
      </c>
      <c r="V40" s="2">
        <f t="shared" si="63"/>
        <v>0</v>
      </c>
      <c r="W40" s="2">
        <f t="shared" si="64"/>
        <v>0</v>
      </c>
      <c r="X40" s="2">
        <f t="shared" si="65"/>
        <v>-1420.96</v>
      </c>
      <c r="Y40" s="2">
        <f t="shared" si="65"/>
        <v>-756.81</v>
      </c>
      <c r="Z40" s="2"/>
      <c r="AA40" s="2">
        <v>59499003</v>
      </c>
      <c r="AB40" s="2">
        <f t="shared" si="66"/>
        <v>97.65</v>
      </c>
      <c r="AC40" s="2">
        <f t="shared" si="67"/>
        <v>0.63</v>
      </c>
      <c r="AD40" s="2">
        <f t="shared" si="68"/>
        <v>0</v>
      </c>
      <c r="AE40" s="2">
        <f t="shared" si="69"/>
        <v>0</v>
      </c>
      <c r="AF40" s="2">
        <f t="shared" si="69"/>
        <v>97.02</v>
      </c>
      <c r="AG40" s="2">
        <f t="shared" si="70"/>
        <v>0</v>
      </c>
      <c r="AH40" s="2">
        <f t="shared" si="71"/>
        <v>7.15</v>
      </c>
      <c r="AI40" s="2">
        <f t="shared" si="71"/>
        <v>0</v>
      </c>
      <c r="AJ40" s="2">
        <f t="shared" si="72"/>
        <v>0</v>
      </c>
      <c r="AK40" s="2">
        <v>88.83</v>
      </c>
      <c r="AL40" s="2">
        <v>0.63</v>
      </c>
      <c r="AM40" s="2">
        <v>0</v>
      </c>
      <c r="AN40" s="2">
        <v>0</v>
      </c>
      <c r="AO40" s="2">
        <v>88.2</v>
      </c>
      <c r="AP40" s="2">
        <v>0</v>
      </c>
      <c r="AQ40" s="2">
        <v>6.5</v>
      </c>
      <c r="AR40" s="2">
        <v>0</v>
      </c>
      <c r="AS40" s="2">
        <v>0</v>
      </c>
      <c r="AT40" s="2">
        <v>92</v>
      </c>
      <c r="AU40" s="2">
        <v>49</v>
      </c>
      <c r="AV40" s="2">
        <v>1.0669999999999999</v>
      </c>
      <c r="AW40" s="2">
        <v>1.028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54</v>
      </c>
      <c r="BK40" s="2"/>
      <c r="BL40" s="2"/>
      <c r="BM40" s="2">
        <v>64</v>
      </c>
      <c r="BN40" s="2">
        <v>59073636</v>
      </c>
      <c r="BO40" s="2" t="s">
        <v>52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92</v>
      </c>
      <c r="CA40" s="2">
        <v>49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149</v>
      </c>
      <c r="CO40" s="2">
        <v>0</v>
      </c>
      <c r="CP40" s="2">
        <f t="shared" si="73"/>
        <v>-1554.18</v>
      </c>
      <c r="CQ40" s="2">
        <f t="shared" si="74"/>
        <v>0.65</v>
      </c>
      <c r="CR40" s="2">
        <f t="shared" si="75"/>
        <v>0</v>
      </c>
      <c r="CS40" s="2">
        <f t="shared" si="76"/>
        <v>0</v>
      </c>
      <c r="CT40" s="2">
        <f t="shared" si="77"/>
        <v>103.52</v>
      </c>
      <c r="CU40" s="2">
        <f t="shared" si="78"/>
        <v>0</v>
      </c>
      <c r="CV40" s="2">
        <f t="shared" si="79"/>
        <v>7.6290500000000003</v>
      </c>
      <c r="CW40" s="2">
        <f t="shared" si="80"/>
        <v>0</v>
      </c>
      <c r="CX40" s="2">
        <f t="shared" si="80"/>
        <v>0</v>
      </c>
      <c r="CY40" s="2">
        <f t="shared" si="81"/>
        <v>-1420.9584</v>
      </c>
      <c r="CZ40" s="2">
        <f t="shared" si="82"/>
        <v>-756.81479999999999</v>
      </c>
      <c r="DA40" s="2"/>
      <c r="DB40" s="2">
        <v>17</v>
      </c>
      <c r="DC40" s="2" t="s">
        <v>3</v>
      </c>
      <c r="DD40" s="2" t="s">
        <v>45</v>
      </c>
      <c r="DE40" s="2" t="s">
        <v>46</v>
      </c>
      <c r="DF40" s="2" t="s">
        <v>46</v>
      </c>
      <c r="DG40" s="2" t="s">
        <v>46</v>
      </c>
      <c r="DH40" s="2" t="s">
        <v>3</v>
      </c>
      <c r="DI40" s="2" t="s">
        <v>46</v>
      </c>
      <c r="DJ40" s="2" t="s">
        <v>46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38</v>
      </c>
      <c r="DW40" s="2" t="s">
        <v>38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59073703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64</v>
      </c>
      <c r="EL40" s="2" t="s">
        <v>27</v>
      </c>
      <c r="EM40" s="2" t="s">
        <v>28</v>
      </c>
      <c r="EN40" s="2"/>
      <c r="EO40" s="2" t="s">
        <v>29</v>
      </c>
      <c r="EP40" s="2"/>
      <c r="EQ40" s="2">
        <v>0</v>
      </c>
      <c r="ER40" s="2">
        <v>88.83</v>
      </c>
      <c r="ES40" s="2">
        <v>0.63</v>
      </c>
      <c r="ET40" s="2">
        <v>0</v>
      </c>
      <c r="EU40" s="2">
        <v>0</v>
      </c>
      <c r="EV40" s="2">
        <v>88.2</v>
      </c>
      <c r="EW40" s="2">
        <v>6.5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92</v>
      </c>
      <c r="FY40" s="2">
        <v>49</v>
      </c>
      <c r="FZ40" s="2"/>
      <c r="GA40" s="2" t="s">
        <v>3</v>
      </c>
      <c r="GB40" s="2"/>
      <c r="GC40" s="2"/>
      <c r="GD40" s="2">
        <v>1</v>
      </c>
      <c r="GE40" s="2"/>
      <c r="GF40" s="2">
        <v>-887566346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83"/>
        <v>0</v>
      </c>
      <c r="GM40" s="2">
        <f t="shared" si="84"/>
        <v>-3731.95</v>
      </c>
      <c r="GN40" s="2">
        <f t="shared" si="85"/>
        <v>0</v>
      </c>
      <c r="GO40" s="2">
        <f t="shared" si="86"/>
        <v>-3731.95</v>
      </c>
      <c r="GP40" s="2">
        <f t="shared" si="87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88"/>
        <v>0</v>
      </c>
      <c r="GW40" s="2">
        <v>1</v>
      </c>
      <c r="GX40" s="2">
        <f t="shared" si="89"/>
        <v>0</v>
      </c>
      <c r="GY40" s="2"/>
      <c r="GZ40" s="2"/>
      <c r="HA40" s="2">
        <v>0</v>
      </c>
      <c r="HB40" s="2">
        <v>0</v>
      </c>
      <c r="HC40" s="2">
        <f t="shared" si="90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C41">
        <f>ROW(SmtRes!A16)</f>
        <v>16</v>
      </c>
      <c r="D41">
        <f>ROW(EtalonRes!A16)</f>
        <v>16</v>
      </c>
      <c r="E41" t="s">
        <v>51</v>
      </c>
      <c r="F41" t="s">
        <v>52</v>
      </c>
      <c r="G41" t="s">
        <v>53</v>
      </c>
      <c r="H41" t="s">
        <v>38</v>
      </c>
      <c r="I41">
        <f>ROUND((3.15+2.93-21),9)</f>
        <v>-14.92</v>
      </c>
      <c r="J41">
        <v>0</v>
      </c>
      <c r="K41">
        <f>ROUND((3.15+2.93-21),9)</f>
        <v>-14.92</v>
      </c>
      <c r="O41">
        <f t="shared" si="56"/>
        <v>-85028.69</v>
      </c>
      <c r="P41">
        <f t="shared" si="57"/>
        <v>-95.54</v>
      </c>
      <c r="Q41">
        <f t="shared" si="58"/>
        <v>0</v>
      </c>
      <c r="R41">
        <f t="shared" si="59"/>
        <v>0</v>
      </c>
      <c r="S41">
        <f t="shared" si="60"/>
        <v>-84933.15</v>
      </c>
      <c r="T41">
        <f t="shared" si="61"/>
        <v>0</v>
      </c>
      <c r="U41">
        <f t="shared" si="62"/>
        <v>-113.82542600000001</v>
      </c>
      <c r="V41">
        <f t="shared" si="63"/>
        <v>0</v>
      </c>
      <c r="W41">
        <f t="shared" si="64"/>
        <v>0</v>
      </c>
      <c r="X41">
        <f t="shared" si="65"/>
        <v>-78138.5</v>
      </c>
      <c r="Y41">
        <f t="shared" si="65"/>
        <v>-41617.24</v>
      </c>
      <c r="AA41">
        <v>59499000</v>
      </c>
      <c r="AB41">
        <f t="shared" si="66"/>
        <v>97.65</v>
      </c>
      <c r="AC41">
        <f t="shared" si="67"/>
        <v>0.63</v>
      </c>
      <c r="AD41">
        <f t="shared" si="68"/>
        <v>0</v>
      </c>
      <c r="AE41">
        <f t="shared" si="69"/>
        <v>0</v>
      </c>
      <c r="AF41">
        <f t="shared" si="69"/>
        <v>97.02</v>
      </c>
      <c r="AG41">
        <f t="shared" si="70"/>
        <v>0</v>
      </c>
      <c r="AH41">
        <f t="shared" si="71"/>
        <v>7.15</v>
      </c>
      <c r="AI41">
        <f t="shared" si="71"/>
        <v>0</v>
      </c>
      <c r="AJ41">
        <f t="shared" si="72"/>
        <v>0</v>
      </c>
      <c r="AK41">
        <v>88.83</v>
      </c>
      <c r="AL41">
        <v>0.63</v>
      </c>
      <c r="AM41">
        <v>0</v>
      </c>
      <c r="AN41">
        <v>0</v>
      </c>
      <c r="AO41">
        <v>88.2</v>
      </c>
      <c r="AP41">
        <v>0</v>
      </c>
      <c r="AQ41">
        <v>6.5</v>
      </c>
      <c r="AR41">
        <v>0</v>
      </c>
      <c r="AS41">
        <v>0</v>
      </c>
      <c r="AT41">
        <v>92</v>
      </c>
      <c r="AU41">
        <v>49</v>
      </c>
      <c r="AV41">
        <v>1.0669999999999999</v>
      </c>
      <c r="AW41">
        <v>1.028</v>
      </c>
      <c r="AZ41">
        <v>1</v>
      </c>
      <c r="BA41">
        <v>54.99</v>
      </c>
      <c r="BB41">
        <v>1</v>
      </c>
      <c r="BC41">
        <v>9.89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54</v>
      </c>
      <c r="BM41">
        <v>64</v>
      </c>
      <c r="BN41">
        <v>59073636</v>
      </c>
      <c r="BO41" t="s">
        <v>52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92</v>
      </c>
      <c r="CA41">
        <v>49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149</v>
      </c>
      <c r="CO41">
        <v>0</v>
      </c>
      <c r="CP41">
        <f t="shared" si="73"/>
        <v>-85028.689999999988</v>
      </c>
      <c r="CQ41">
        <f t="shared" si="74"/>
        <v>6.43</v>
      </c>
      <c r="CR41">
        <f t="shared" si="75"/>
        <v>0</v>
      </c>
      <c r="CS41">
        <f t="shared" si="76"/>
        <v>0</v>
      </c>
      <c r="CT41">
        <f t="shared" si="77"/>
        <v>5692.56</v>
      </c>
      <c r="CU41">
        <f t="shared" si="78"/>
        <v>0</v>
      </c>
      <c r="CV41">
        <f t="shared" si="79"/>
        <v>7.6290500000000003</v>
      </c>
      <c r="CW41">
        <f t="shared" si="80"/>
        <v>0</v>
      </c>
      <c r="CX41">
        <f t="shared" si="80"/>
        <v>0</v>
      </c>
      <c r="CY41">
        <f t="shared" si="81"/>
        <v>-78138.497999999992</v>
      </c>
      <c r="CZ41">
        <f t="shared" si="82"/>
        <v>-41617.243499999997</v>
      </c>
      <c r="DB41">
        <v>18</v>
      </c>
      <c r="DC41" t="s">
        <v>3</v>
      </c>
      <c r="DD41" t="s">
        <v>45</v>
      </c>
      <c r="DE41" t="s">
        <v>46</v>
      </c>
      <c r="DF41" t="s">
        <v>46</v>
      </c>
      <c r="DG41" t="s">
        <v>46</v>
      </c>
      <c r="DH41" t="s">
        <v>3</v>
      </c>
      <c r="DI41" t="s">
        <v>46</v>
      </c>
      <c r="DJ41" t="s">
        <v>46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38</v>
      </c>
      <c r="DW41" t="s">
        <v>38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59073703</v>
      </c>
      <c r="EF41">
        <v>40</v>
      </c>
      <c r="EG41" t="s">
        <v>26</v>
      </c>
      <c r="EH41">
        <v>0</v>
      </c>
      <c r="EI41" t="s">
        <v>3</v>
      </c>
      <c r="EJ41">
        <v>2</v>
      </c>
      <c r="EK41">
        <v>64</v>
      </c>
      <c r="EL41" t="s">
        <v>27</v>
      </c>
      <c r="EM41" t="s">
        <v>28</v>
      </c>
      <c r="EO41" t="s">
        <v>29</v>
      </c>
      <c r="EQ41">
        <v>0</v>
      </c>
      <c r="ER41">
        <v>88.83</v>
      </c>
      <c r="ES41">
        <v>0.63</v>
      </c>
      <c r="ET41">
        <v>0</v>
      </c>
      <c r="EU41">
        <v>0</v>
      </c>
      <c r="EV41">
        <v>88.2</v>
      </c>
      <c r="EW41">
        <v>6.5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92</v>
      </c>
      <c r="FY41">
        <v>49</v>
      </c>
      <c r="GA41" t="s">
        <v>3</v>
      </c>
      <c r="GD41">
        <v>1</v>
      </c>
      <c r="GF41">
        <v>-887566346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83"/>
        <v>0</v>
      </c>
      <c r="GM41">
        <f t="shared" si="84"/>
        <v>-204784.43</v>
      </c>
      <c r="GN41">
        <f t="shared" si="85"/>
        <v>0</v>
      </c>
      <c r="GO41">
        <f t="shared" si="86"/>
        <v>-204784.43</v>
      </c>
      <c r="GP41">
        <f t="shared" si="87"/>
        <v>0</v>
      </c>
      <c r="GR41">
        <v>0</v>
      </c>
      <c r="GS41">
        <v>3</v>
      </c>
      <c r="GT41">
        <v>0</v>
      </c>
      <c r="GU41" t="s">
        <v>3</v>
      </c>
      <c r="GV41">
        <f t="shared" si="88"/>
        <v>0</v>
      </c>
      <c r="GW41">
        <v>1</v>
      </c>
      <c r="GX41">
        <f t="shared" si="89"/>
        <v>0</v>
      </c>
      <c r="HA41">
        <v>0</v>
      </c>
      <c r="HB41">
        <v>0</v>
      </c>
      <c r="HC41">
        <f t="shared" si="90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19</v>
      </c>
      <c r="B42" s="2">
        <v>1</v>
      </c>
      <c r="C42" s="2"/>
      <c r="D42" s="2"/>
      <c r="E42" s="2"/>
      <c r="F42" s="2" t="s">
        <v>3</v>
      </c>
      <c r="G42" s="2" t="s">
        <v>55</v>
      </c>
      <c r="H42" s="2" t="s">
        <v>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>
        <v>1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2">
        <v>17</v>
      </c>
      <c r="B43" s="2">
        <v>1</v>
      </c>
      <c r="C43" s="2"/>
      <c r="D43" s="2"/>
      <c r="E43" s="2" t="s">
        <v>56</v>
      </c>
      <c r="F43" s="2" t="s">
        <v>57</v>
      </c>
      <c r="G43" s="2" t="s">
        <v>58</v>
      </c>
      <c r="H43" s="2" t="s">
        <v>59</v>
      </c>
      <c r="I43" s="2">
        <v>1</v>
      </c>
      <c r="J43" s="2">
        <v>0</v>
      </c>
      <c r="K43" s="2">
        <v>1</v>
      </c>
      <c r="L43" s="2"/>
      <c r="M43" s="2"/>
      <c r="N43" s="2"/>
      <c r="O43" s="2">
        <f>ROUND(CP43,2)</f>
        <v>48761.4</v>
      </c>
      <c r="P43" s="2">
        <f>ROUND((ROUND((AC43*I43),2)*BC43),2)</f>
        <v>48761.4</v>
      </c>
      <c r="Q43" s="2">
        <f>(ROUND((ROUND(((ET43)*AV43*I43),2)*BB43),2)+ROUND((ROUND(((AE43-(EU43))*AV43*I43),2)*BS43),2))</f>
        <v>0</v>
      </c>
      <c r="R43" s="2">
        <f>ROUND((ROUND((AE43*AV43*I43),2)*BS43),2)</f>
        <v>0</v>
      </c>
      <c r="S43" s="2">
        <f>ROUND((ROUND((AF43*AV43*I43),2)*BA43),2)</f>
        <v>0</v>
      </c>
      <c r="T43" s="2">
        <f>ROUND(CU43*I43,2)</f>
        <v>0</v>
      </c>
      <c r="U43" s="2">
        <f>CV43*I43</f>
        <v>0</v>
      </c>
      <c r="V43" s="2">
        <f>CW43*I43</f>
        <v>0</v>
      </c>
      <c r="W43" s="2">
        <f>ROUND(CX43*I43,2)</f>
        <v>0</v>
      </c>
      <c r="X43" s="2">
        <f>ROUND(CY43,2)</f>
        <v>0</v>
      </c>
      <c r="Y43" s="2">
        <f>ROUND(CZ43,2)</f>
        <v>0</v>
      </c>
      <c r="Z43" s="2"/>
      <c r="AA43" s="2">
        <v>59499003</v>
      </c>
      <c r="AB43" s="2">
        <f>ROUND((AC43+AD43+AF43),6)</f>
        <v>48761.4</v>
      </c>
      <c r="AC43" s="2">
        <f>ROUND((ES43),6)</f>
        <v>48761.4</v>
      </c>
      <c r="AD43" s="2">
        <f>ROUND((((ET43)-(EU43))+AE43),6)</f>
        <v>0</v>
      </c>
      <c r="AE43" s="2">
        <f>ROUND((EU43),6)</f>
        <v>0</v>
      </c>
      <c r="AF43" s="2">
        <f>ROUND((EV43),6)</f>
        <v>0</v>
      </c>
      <c r="AG43" s="2">
        <f>ROUND((AP43),6)</f>
        <v>0</v>
      </c>
      <c r="AH43" s="2">
        <f>(EW43)</f>
        <v>0</v>
      </c>
      <c r="AI43" s="2">
        <f>(EX43)</f>
        <v>0</v>
      </c>
      <c r="AJ43" s="2">
        <f>(AS43)</f>
        <v>0</v>
      </c>
      <c r="AK43" s="2">
        <v>48761.399999999994</v>
      </c>
      <c r="AL43" s="2">
        <v>48761.399999999994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1</v>
      </c>
      <c r="AX43" s="2"/>
      <c r="AY43" s="2"/>
      <c r="AZ43" s="2">
        <v>1</v>
      </c>
      <c r="BA43" s="2">
        <v>1</v>
      </c>
      <c r="BB43" s="2">
        <v>1</v>
      </c>
      <c r="BC43" s="2">
        <v>1</v>
      </c>
      <c r="BD43" s="2" t="s">
        <v>3</v>
      </c>
      <c r="BE43" s="2" t="s">
        <v>3</v>
      </c>
      <c r="BF43" s="2" t="s">
        <v>3</v>
      </c>
      <c r="BG43" s="2" t="s">
        <v>3</v>
      </c>
      <c r="BH43" s="2">
        <v>3</v>
      </c>
      <c r="BI43" s="2">
        <v>3</v>
      </c>
      <c r="BJ43" s="2" t="s">
        <v>3</v>
      </c>
      <c r="BK43" s="2"/>
      <c r="BL43" s="2"/>
      <c r="BM43" s="2">
        <v>746</v>
      </c>
      <c r="BN43" s="2">
        <v>0</v>
      </c>
      <c r="BO43" s="2" t="s">
        <v>3</v>
      </c>
      <c r="BP43" s="2">
        <v>0</v>
      </c>
      <c r="BQ43" s="2">
        <v>130</v>
      </c>
      <c r="BR43" s="2">
        <v>0</v>
      </c>
      <c r="BS43" s="2">
        <v>1</v>
      </c>
      <c r="BT43" s="2">
        <v>1</v>
      </c>
      <c r="BU43" s="2">
        <v>1</v>
      </c>
      <c r="BV43" s="2">
        <v>1</v>
      </c>
      <c r="BW43" s="2">
        <v>1</v>
      </c>
      <c r="BX43" s="2">
        <v>1</v>
      </c>
      <c r="BY43" s="2" t="s">
        <v>3</v>
      </c>
      <c r="BZ43" s="2">
        <v>0</v>
      </c>
      <c r="CA43" s="2">
        <v>0</v>
      </c>
      <c r="CB43" s="2" t="s">
        <v>3</v>
      </c>
      <c r="CC43" s="2"/>
      <c r="CD43" s="2"/>
      <c r="CE43" s="2">
        <v>30</v>
      </c>
      <c r="CF43" s="2">
        <v>0</v>
      </c>
      <c r="CG43" s="2">
        <v>0</v>
      </c>
      <c r="CH43" s="2"/>
      <c r="CI43" s="2"/>
      <c r="CJ43" s="2"/>
      <c r="CK43" s="2"/>
      <c r="CL43" s="2"/>
      <c r="CM43" s="2">
        <v>0</v>
      </c>
      <c r="CN43" s="2" t="s">
        <v>3</v>
      </c>
      <c r="CO43" s="2">
        <v>0</v>
      </c>
      <c r="CP43" s="2">
        <f>(P43+Q43+S43)</f>
        <v>48761.4</v>
      </c>
      <c r="CQ43" s="2">
        <f>ROUND((ROUND((AC43*1),2)*BC43),2)</f>
        <v>48761.4</v>
      </c>
      <c r="CR43" s="2">
        <f>(ROUND((ROUND(((ET43)*AV43*1),2)*BB43),2)+ROUND((ROUND(((AE43-(EU43))*AV43*1),2)*BS43),2))</f>
        <v>0</v>
      </c>
      <c r="CS43" s="2">
        <f>ROUND((ROUND((AE43*AV43*1),2)*BS43),2)</f>
        <v>0</v>
      </c>
      <c r="CT43" s="2">
        <f>ROUND((ROUND((AF43*AV43*1),2)*BA43),2)</f>
        <v>0</v>
      </c>
      <c r="CU43" s="2">
        <f>AG43</f>
        <v>0</v>
      </c>
      <c r="CV43" s="2">
        <f>(AH43*AV43)</f>
        <v>0</v>
      </c>
      <c r="CW43" s="2">
        <f>AI43</f>
        <v>0</v>
      </c>
      <c r="CX43" s="2">
        <f>AJ43</f>
        <v>0</v>
      </c>
      <c r="CY43" s="2">
        <f>(((S43+R43)*AT43)/100)</f>
        <v>0</v>
      </c>
      <c r="CZ43" s="2">
        <f>(((S43+R43)*AU43)/100)</f>
        <v>0</v>
      </c>
      <c r="DA43" s="2"/>
      <c r="DB43" s="2"/>
      <c r="DC43" s="2" t="s">
        <v>3</v>
      </c>
      <c r="DD43" s="2" t="s">
        <v>3</v>
      </c>
      <c r="DE43" s="2" t="s">
        <v>3</v>
      </c>
      <c r="DF43" s="2" t="s">
        <v>3</v>
      </c>
      <c r="DG43" s="2" t="s">
        <v>3</v>
      </c>
      <c r="DH43" s="2" t="s">
        <v>3</v>
      </c>
      <c r="DI43" s="2" t="s">
        <v>3</v>
      </c>
      <c r="DJ43" s="2" t="s">
        <v>3</v>
      </c>
      <c r="DK43" s="2" t="s">
        <v>3</v>
      </c>
      <c r="DL43" s="2" t="s">
        <v>3</v>
      </c>
      <c r="DM43" s="2" t="s">
        <v>3</v>
      </c>
      <c r="DN43" s="2">
        <v>0</v>
      </c>
      <c r="DO43" s="2">
        <v>0</v>
      </c>
      <c r="DP43" s="2">
        <v>1</v>
      </c>
      <c r="DQ43" s="2">
        <v>1</v>
      </c>
      <c r="DR43" s="2"/>
      <c r="DS43" s="2"/>
      <c r="DT43" s="2"/>
      <c r="DU43" s="2">
        <v>1010</v>
      </c>
      <c r="DV43" s="2" t="s">
        <v>59</v>
      </c>
      <c r="DW43" s="2" t="s">
        <v>59</v>
      </c>
      <c r="DX43" s="2">
        <v>1</v>
      </c>
      <c r="DY43" s="2"/>
      <c r="DZ43" s="2" t="s">
        <v>3</v>
      </c>
      <c r="EA43" s="2" t="s">
        <v>3</v>
      </c>
      <c r="EB43" s="2" t="s">
        <v>3</v>
      </c>
      <c r="EC43" s="2" t="s">
        <v>3</v>
      </c>
      <c r="ED43" s="2"/>
      <c r="EE43" s="2">
        <v>59073827</v>
      </c>
      <c r="EF43" s="2">
        <v>130</v>
      </c>
      <c r="EG43" s="2" t="s">
        <v>60</v>
      </c>
      <c r="EH43" s="2">
        <v>0</v>
      </c>
      <c r="EI43" s="2" t="s">
        <v>3</v>
      </c>
      <c r="EJ43" s="2">
        <v>3</v>
      </c>
      <c r="EK43" s="2">
        <v>746</v>
      </c>
      <c r="EL43" s="2" t="s">
        <v>61</v>
      </c>
      <c r="EM43" s="2" t="s">
        <v>62</v>
      </c>
      <c r="EN43" s="2"/>
      <c r="EO43" s="2" t="s">
        <v>3</v>
      </c>
      <c r="EP43" s="2"/>
      <c r="EQ43" s="2">
        <v>0</v>
      </c>
      <c r="ER43" s="2">
        <v>0</v>
      </c>
      <c r="ES43" s="2">
        <v>48761.399999999994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>
        <v>0</v>
      </c>
      <c r="FR43" s="2">
        <f>P43</f>
        <v>48761.4</v>
      </c>
      <c r="FS43" s="2">
        <v>0</v>
      </c>
      <c r="FT43" s="2"/>
      <c r="FU43" s="2"/>
      <c r="FV43" s="2"/>
      <c r="FW43" s="2"/>
      <c r="FX43" s="2">
        <v>0</v>
      </c>
      <c r="FY43" s="2">
        <v>0</v>
      </c>
      <c r="FZ43" s="2"/>
      <c r="GA43" s="2" t="s">
        <v>63</v>
      </c>
      <c r="GB43" s="2"/>
      <c r="GC43" s="2"/>
      <c r="GD43" s="2">
        <v>1</v>
      </c>
      <c r="GE43" s="2"/>
      <c r="GF43" s="2">
        <v>1287371177</v>
      </c>
      <c r="GG43" s="2">
        <v>2</v>
      </c>
      <c r="GH43" s="2">
        <v>4</v>
      </c>
      <c r="GI43" s="2">
        <v>-2</v>
      </c>
      <c r="GJ43" s="2">
        <v>0</v>
      </c>
      <c r="GK43" s="2">
        <v>0</v>
      </c>
      <c r="GL43" s="2">
        <f>ROUND(IF(AND(BH43=3,BI43=3,FS43&lt;&gt;0),P43,0),2)</f>
        <v>0</v>
      </c>
      <c r="GM43" s="2">
        <f>ROUND(O43+X43+Y43,2)+GX43</f>
        <v>48761.4</v>
      </c>
      <c r="GN43" s="2">
        <f>IF(OR(BI43=0,BI43=1),GM43-GX43,0)</f>
        <v>0</v>
      </c>
      <c r="GO43" s="2">
        <f>IF(BI43=2,GM43-GX43,0)</f>
        <v>0</v>
      </c>
      <c r="GP43" s="2">
        <f>IF(BI43=4,GM43-GX43,0)</f>
        <v>0</v>
      </c>
      <c r="GQ43" s="2"/>
      <c r="GR43" s="2">
        <v>0</v>
      </c>
      <c r="GS43" s="2">
        <v>2</v>
      </c>
      <c r="GT43" s="2">
        <v>0</v>
      </c>
      <c r="GU43" s="2" t="s">
        <v>3</v>
      </c>
      <c r="GV43" s="2">
        <f>ROUND((GT43),6)</f>
        <v>0</v>
      </c>
      <c r="GW43" s="2">
        <v>1</v>
      </c>
      <c r="GX43" s="2">
        <f>ROUND(HC43*I43,2)</f>
        <v>0</v>
      </c>
      <c r="GY43" s="2"/>
      <c r="GZ43" s="2"/>
      <c r="HA43" s="2">
        <v>0</v>
      </c>
      <c r="HB43" s="2">
        <v>0</v>
      </c>
      <c r="HC43" s="2">
        <f>GV43*GW43</f>
        <v>0</v>
      </c>
      <c r="HD43" s="2"/>
      <c r="HE43" s="2" t="s">
        <v>35</v>
      </c>
      <c r="HF43" s="2" t="s">
        <v>64</v>
      </c>
      <c r="HG43" s="2"/>
      <c r="HH43" s="2"/>
      <c r="HI43" s="2"/>
      <c r="HJ43" s="2"/>
      <c r="HK43" s="2"/>
      <c r="HL43" s="2"/>
      <c r="HM43" s="2" t="s">
        <v>3</v>
      </c>
      <c r="HN43" s="2" t="s">
        <v>3</v>
      </c>
      <c r="HO43" s="2" t="s">
        <v>3</v>
      </c>
      <c r="HP43" s="2" t="s">
        <v>3</v>
      </c>
      <c r="HQ43" s="2" t="s">
        <v>3</v>
      </c>
      <c r="HR43" s="2"/>
      <c r="HS43" s="2">
        <v>0</v>
      </c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>
        <v>0</v>
      </c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pans="1:255" x14ac:dyDescent="0.2">
      <c r="A44">
        <v>17</v>
      </c>
      <c r="B44">
        <v>1</v>
      </c>
      <c r="E44" t="s">
        <v>56</v>
      </c>
      <c r="F44" t="s">
        <v>57</v>
      </c>
      <c r="G44" t="s">
        <v>58</v>
      </c>
      <c r="H44" t="s">
        <v>59</v>
      </c>
      <c r="I44">
        <v>1</v>
      </c>
      <c r="J44">
        <v>0</v>
      </c>
      <c r="K44">
        <v>1</v>
      </c>
      <c r="O44">
        <f>ROUND(CP44,2)</f>
        <v>373512.32</v>
      </c>
      <c r="P44">
        <f>ROUND((ROUND((AC44*I44),2)*BC44),2)</f>
        <v>373512.32</v>
      </c>
      <c r="Q44">
        <f>(ROUND((ROUND(((ET44)*AV44*I44),2)*BB44),2)+ROUND((ROUND(((AE44-(EU44))*AV44*I44),2)*BS44),2))</f>
        <v>0</v>
      </c>
      <c r="R44">
        <f>ROUND((ROUND((AE44*AV44*I44),2)*BS44),2)</f>
        <v>0</v>
      </c>
      <c r="S44">
        <f>ROUND((ROUND((AF44*AV44*I44),2)*BA44),2)</f>
        <v>0</v>
      </c>
      <c r="T44">
        <f>ROUND(CU44*I44,2)</f>
        <v>0</v>
      </c>
      <c r="U44">
        <f>CV44*I44</f>
        <v>0</v>
      </c>
      <c r="V44">
        <f>CW44*I44</f>
        <v>0</v>
      </c>
      <c r="W44">
        <f>ROUND(CX44*I44,2)</f>
        <v>0</v>
      </c>
      <c r="X44">
        <f>ROUND(CY44,2)</f>
        <v>0</v>
      </c>
      <c r="Y44">
        <f>ROUND(CZ44,2)</f>
        <v>0</v>
      </c>
      <c r="AA44">
        <v>59499000</v>
      </c>
      <c r="AB44">
        <f>ROUND((AC44+AD44+AF44),6)</f>
        <v>48761.4</v>
      </c>
      <c r="AC44">
        <f>ROUND((ES44),6)</f>
        <v>48761.4</v>
      </c>
      <c r="AD44">
        <f>ROUND((((ET44)-(EU44))+AE44),6)</f>
        <v>0</v>
      </c>
      <c r="AE44">
        <f>ROUND((EU44),6)</f>
        <v>0</v>
      </c>
      <c r="AF44">
        <f>ROUND((EV44),6)</f>
        <v>0</v>
      </c>
      <c r="AG44">
        <f>ROUND((AP44),6)</f>
        <v>0</v>
      </c>
      <c r="AH44">
        <f>(EW44)</f>
        <v>0</v>
      </c>
      <c r="AI44">
        <f>(EX44)</f>
        <v>0</v>
      </c>
      <c r="AJ44">
        <f>(AS44)</f>
        <v>0</v>
      </c>
      <c r="AK44">
        <v>48761.399999999994</v>
      </c>
      <c r="AL44">
        <v>48761.399999999994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Z44">
        <v>1</v>
      </c>
      <c r="BA44">
        <v>1</v>
      </c>
      <c r="BB44">
        <v>1</v>
      </c>
      <c r="BC44">
        <v>7.66</v>
      </c>
      <c r="BD44" t="s">
        <v>3</v>
      </c>
      <c r="BE44" t="s">
        <v>3</v>
      </c>
      <c r="BF44" t="s">
        <v>3</v>
      </c>
      <c r="BG44" t="s">
        <v>3</v>
      </c>
      <c r="BH44">
        <v>3</v>
      </c>
      <c r="BI44">
        <v>3</v>
      </c>
      <c r="BJ44" t="s">
        <v>3</v>
      </c>
      <c r="BM44">
        <v>746</v>
      </c>
      <c r="BN44">
        <v>0</v>
      </c>
      <c r="BO44" t="s">
        <v>3</v>
      </c>
      <c r="BP44">
        <v>0</v>
      </c>
      <c r="BQ44">
        <v>130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 t="s">
        <v>3</v>
      </c>
      <c r="BZ44">
        <v>0</v>
      </c>
      <c r="CA44">
        <v>0</v>
      </c>
      <c r="CB44" t="s">
        <v>3</v>
      </c>
      <c r="CE44">
        <v>30</v>
      </c>
      <c r="CF44">
        <v>0</v>
      </c>
      <c r="CG44">
        <v>0</v>
      </c>
      <c r="CM44">
        <v>0</v>
      </c>
      <c r="CN44" t="s">
        <v>3</v>
      </c>
      <c r="CO44">
        <v>0</v>
      </c>
      <c r="CP44">
        <f>(P44+Q44+S44)</f>
        <v>373512.32</v>
      </c>
      <c r="CQ44">
        <f>ROUND((ROUND((AC44*1),2)*BC44),2)</f>
        <v>373512.32</v>
      </c>
      <c r="CR44">
        <f>(ROUND((ROUND(((ET44)*AV44*1),2)*BB44),2)+ROUND((ROUND(((AE44-(EU44))*AV44*1),2)*BS44),2))</f>
        <v>0</v>
      </c>
      <c r="CS44">
        <f>ROUND((ROUND((AE44*AV44*1),2)*BS44),2)</f>
        <v>0</v>
      </c>
      <c r="CT44">
        <f>ROUND((ROUND((AF44*AV44*1),2)*BA44),2)</f>
        <v>0</v>
      </c>
      <c r="CU44">
        <f>AG44</f>
        <v>0</v>
      </c>
      <c r="CV44">
        <f>(AH44*AV44)</f>
        <v>0</v>
      </c>
      <c r="CW44">
        <f>AI44</f>
        <v>0</v>
      </c>
      <c r="CX44">
        <f>AJ44</f>
        <v>0</v>
      </c>
      <c r="CY44">
        <f>(((S44+R44)*AT44)/100)</f>
        <v>0</v>
      </c>
      <c r="CZ44">
        <f>(((S44+R44)*AU44)/100)</f>
        <v>0</v>
      </c>
      <c r="DC44" t="s">
        <v>3</v>
      </c>
      <c r="DD44" t="s">
        <v>3</v>
      </c>
      <c r="DE44" t="s">
        <v>3</v>
      </c>
      <c r="DF44" t="s">
        <v>3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  <c r="DN44">
        <v>0</v>
      </c>
      <c r="DO44">
        <v>0</v>
      </c>
      <c r="DP44">
        <v>1</v>
      </c>
      <c r="DQ44">
        <v>1</v>
      </c>
      <c r="DU44">
        <v>1010</v>
      </c>
      <c r="DV44" t="s">
        <v>59</v>
      </c>
      <c r="DW44" t="s">
        <v>59</v>
      </c>
      <c r="DX44">
        <v>1</v>
      </c>
      <c r="DZ44" t="s">
        <v>3</v>
      </c>
      <c r="EA44" t="s">
        <v>3</v>
      </c>
      <c r="EB44" t="s">
        <v>3</v>
      </c>
      <c r="EC44" t="s">
        <v>3</v>
      </c>
      <c r="EE44">
        <v>59073827</v>
      </c>
      <c r="EF44">
        <v>130</v>
      </c>
      <c r="EG44" t="s">
        <v>60</v>
      </c>
      <c r="EH44">
        <v>0</v>
      </c>
      <c r="EI44" t="s">
        <v>3</v>
      </c>
      <c r="EJ44">
        <v>3</v>
      </c>
      <c r="EK44">
        <v>746</v>
      </c>
      <c r="EL44" t="s">
        <v>61</v>
      </c>
      <c r="EM44" t="s">
        <v>62</v>
      </c>
      <c r="EO44" t="s">
        <v>3</v>
      </c>
      <c r="EQ44">
        <v>0</v>
      </c>
      <c r="ER44">
        <v>48761.399999999994</v>
      </c>
      <c r="ES44">
        <v>48761.399999999994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5</v>
      </c>
      <c r="FC44">
        <v>1</v>
      </c>
      <c r="FD44">
        <v>18</v>
      </c>
      <c r="FF44">
        <v>430000</v>
      </c>
      <c r="FQ44">
        <v>0</v>
      </c>
      <c r="FR44">
        <f>P44</f>
        <v>373512.32</v>
      </c>
      <c r="FS44">
        <v>0</v>
      </c>
      <c r="FX44">
        <v>0</v>
      </c>
      <c r="FY44">
        <v>0</v>
      </c>
      <c r="GA44" t="s">
        <v>63</v>
      </c>
      <c r="GD44">
        <v>1</v>
      </c>
      <c r="GF44">
        <v>1287371177</v>
      </c>
      <c r="GG44">
        <v>2</v>
      </c>
      <c r="GH44">
        <v>3</v>
      </c>
      <c r="GI44">
        <v>3</v>
      </c>
      <c r="GJ44">
        <v>0</v>
      </c>
      <c r="GK44">
        <v>0</v>
      </c>
      <c r="GL44">
        <f>ROUND(IF(AND(BH44=3,BI44=3,FS44&lt;&gt;0),P44,0),2)</f>
        <v>0</v>
      </c>
      <c r="GM44">
        <f>ROUND(O44+X44+Y44,2)+GX44</f>
        <v>373512.32</v>
      </c>
      <c r="GN44">
        <f>IF(OR(BI44=0,BI44=1),GM44-GX44,0)</f>
        <v>0</v>
      </c>
      <c r="GO44">
        <f>IF(BI44=2,GM44-GX44,0)</f>
        <v>0</v>
      </c>
      <c r="GP44">
        <f>IF(BI44=4,GM44-GX44,0)</f>
        <v>0</v>
      </c>
      <c r="GR44">
        <v>1</v>
      </c>
      <c r="GS44">
        <v>1</v>
      </c>
      <c r="GT44">
        <v>0</v>
      </c>
      <c r="GU44" t="s">
        <v>3</v>
      </c>
      <c r="GV44">
        <f>ROUND((GT44),6)</f>
        <v>0</v>
      </c>
      <c r="GW44">
        <v>1</v>
      </c>
      <c r="GX44">
        <f>ROUND(HC44*I44,2)</f>
        <v>0</v>
      </c>
      <c r="HA44">
        <v>0</v>
      </c>
      <c r="HB44">
        <v>0</v>
      </c>
      <c r="HC44">
        <f>GV44*GW44</f>
        <v>0</v>
      </c>
      <c r="HE44" t="s">
        <v>35</v>
      </c>
      <c r="HF44" t="s">
        <v>64</v>
      </c>
      <c r="HM44" t="s">
        <v>3</v>
      </c>
      <c r="HN44" t="s">
        <v>3</v>
      </c>
      <c r="HO44" t="s">
        <v>3</v>
      </c>
      <c r="HP44" t="s">
        <v>3</v>
      </c>
      <c r="HQ44" t="s">
        <v>3</v>
      </c>
      <c r="HS44">
        <v>0</v>
      </c>
      <c r="IK44">
        <v>0</v>
      </c>
    </row>
    <row r="46" spans="1:255" x14ac:dyDescent="0.2">
      <c r="A46" s="3">
        <v>51</v>
      </c>
      <c r="B46" s="3">
        <f>B24</f>
        <v>1</v>
      </c>
      <c r="C46" s="3">
        <f>A24</f>
        <v>4</v>
      </c>
      <c r="D46" s="3">
        <f>ROW(A24)</f>
        <v>24</v>
      </c>
      <c r="E46" s="3"/>
      <c r="F46" s="3" t="str">
        <f>IF(F24&lt;&gt;"",F24,"")</f>
        <v/>
      </c>
      <c r="G46" s="3" t="str">
        <f>IF(G24&lt;&gt;"",G24,"")</f>
        <v>Подъемник грузовой консольный в осях «Ж-И/4-5»</v>
      </c>
      <c r="H46" s="3">
        <v>0</v>
      </c>
      <c r="I46" s="3"/>
      <c r="J46" s="3"/>
      <c r="K46" s="3"/>
      <c r="L46" s="3"/>
      <c r="M46" s="3"/>
      <c r="N46" s="3"/>
      <c r="O46" s="3">
        <f t="shared" ref="O46:T46" si="91">ROUND(AB46,2)</f>
        <v>53199.99</v>
      </c>
      <c r="P46" s="3">
        <f t="shared" si="91"/>
        <v>49495.8</v>
      </c>
      <c r="Q46" s="3">
        <f t="shared" si="91"/>
        <v>303.70999999999998</v>
      </c>
      <c r="R46" s="3">
        <f t="shared" si="91"/>
        <v>21.01</v>
      </c>
      <c r="S46" s="3">
        <f t="shared" si="91"/>
        <v>3400.48</v>
      </c>
      <c r="T46" s="3">
        <f t="shared" si="91"/>
        <v>0</v>
      </c>
      <c r="U46" s="3">
        <f>AH46</f>
        <v>252.13564244000003</v>
      </c>
      <c r="V46" s="3">
        <f>AI46</f>
        <v>0</v>
      </c>
      <c r="W46" s="3">
        <f>ROUND(AJ46,2)</f>
        <v>0</v>
      </c>
      <c r="X46" s="3">
        <f>ROUND(AK46,2)</f>
        <v>3147.77</v>
      </c>
      <c r="Y46" s="3">
        <f>ROUND(AL46,2)</f>
        <v>1676.53</v>
      </c>
      <c r="Z46" s="3"/>
      <c r="AA46" s="3"/>
      <c r="AB46" s="3">
        <f>ROUND(SUMIF(AA28:AA44,"=59499003",O28:O44),2)</f>
        <v>53199.99</v>
      </c>
      <c r="AC46" s="3">
        <f>ROUND(SUMIF(AA28:AA44,"=59499003",P28:P44),2)</f>
        <v>49495.8</v>
      </c>
      <c r="AD46" s="3">
        <f>ROUND(SUMIF(AA28:AA44,"=59499003",Q28:Q44),2)</f>
        <v>303.70999999999998</v>
      </c>
      <c r="AE46" s="3">
        <f>ROUND(SUMIF(AA28:AA44,"=59499003",R28:R44),2)</f>
        <v>21.01</v>
      </c>
      <c r="AF46" s="3">
        <f>ROUND(SUMIF(AA28:AA44,"=59499003",S28:S44),2)</f>
        <v>3400.48</v>
      </c>
      <c r="AG46" s="3">
        <f>ROUND(SUMIF(AA28:AA44,"=59499003",T28:T44),2)</f>
        <v>0</v>
      </c>
      <c r="AH46" s="3">
        <f>SUMIF(AA28:AA44,"=59499003",U28:U44)</f>
        <v>252.13564244000003</v>
      </c>
      <c r="AI46" s="3">
        <f>SUMIF(AA28:AA44,"=59499003",V28:V44)</f>
        <v>0</v>
      </c>
      <c r="AJ46" s="3">
        <f>ROUND(SUMIF(AA28:AA44,"=59499003",W28:W44),2)</f>
        <v>0</v>
      </c>
      <c r="AK46" s="3">
        <f>ROUND(SUMIF(AA28:AA44,"=59499003",X28:X44),2)</f>
        <v>3147.77</v>
      </c>
      <c r="AL46" s="3">
        <f>ROUND(SUMIF(AA28:AA44,"=59499003",Y28:Y44),2)</f>
        <v>1676.53</v>
      </c>
      <c r="AM46" s="3"/>
      <c r="AN46" s="3"/>
      <c r="AO46" s="3">
        <f t="shared" ref="AO46:BD46" si="92">ROUND(BX46,2)</f>
        <v>0</v>
      </c>
      <c r="AP46" s="3">
        <f t="shared" si="92"/>
        <v>48761.4</v>
      </c>
      <c r="AQ46" s="3">
        <f t="shared" si="92"/>
        <v>0</v>
      </c>
      <c r="AR46" s="3">
        <f t="shared" si="92"/>
        <v>58024.29</v>
      </c>
      <c r="AS46" s="3">
        <f t="shared" si="92"/>
        <v>0</v>
      </c>
      <c r="AT46" s="3">
        <f t="shared" si="92"/>
        <v>9262.89</v>
      </c>
      <c r="AU46" s="3">
        <f t="shared" si="92"/>
        <v>0</v>
      </c>
      <c r="AV46" s="3">
        <f t="shared" si="92"/>
        <v>49495.8</v>
      </c>
      <c r="AW46" s="3">
        <f t="shared" si="92"/>
        <v>734.4</v>
      </c>
      <c r="AX46" s="3">
        <f t="shared" si="92"/>
        <v>0</v>
      </c>
      <c r="AY46" s="3">
        <f t="shared" si="92"/>
        <v>734.4</v>
      </c>
      <c r="AZ46" s="3">
        <f t="shared" si="92"/>
        <v>48761.4</v>
      </c>
      <c r="BA46" s="3">
        <f t="shared" si="92"/>
        <v>0</v>
      </c>
      <c r="BB46" s="3">
        <f t="shared" si="92"/>
        <v>0</v>
      </c>
      <c r="BC46" s="3">
        <f t="shared" si="92"/>
        <v>0</v>
      </c>
      <c r="BD46" s="3">
        <f t="shared" si="92"/>
        <v>0</v>
      </c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>
        <f>ROUND(SUMIF(AA28:AA44,"=59499003",FQ28:FQ44),2)</f>
        <v>0</v>
      </c>
      <c r="BY46" s="3">
        <f>ROUND(SUMIF(AA28:AA44,"=59499003",FR28:FR44),2)</f>
        <v>48761.4</v>
      </c>
      <c r="BZ46" s="3">
        <f>ROUND(SUMIF(AA28:AA44,"=59499003",GL28:GL44),2)</f>
        <v>0</v>
      </c>
      <c r="CA46" s="3">
        <f>ROUND(SUMIF(AA28:AA44,"=59499003",GM28:GM44),2)</f>
        <v>58024.29</v>
      </c>
      <c r="CB46" s="3">
        <f>ROUND(SUMIF(AA28:AA44,"=59499003",GN28:GN44),2)</f>
        <v>0</v>
      </c>
      <c r="CC46" s="3">
        <f>ROUND(SUMIF(AA28:AA44,"=59499003",GO28:GO44),2)</f>
        <v>9262.89</v>
      </c>
      <c r="CD46" s="3">
        <f>ROUND(SUMIF(AA28:AA44,"=59499003",GP28:GP44),2)</f>
        <v>0</v>
      </c>
      <c r="CE46" s="3">
        <f>AC46-BX46</f>
        <v>49495.8</v>
      </c>
      <c r="CF46" s="3">
        <f>AC46-BY46</f>
        <v>734.40000000000146</v>
      </c>
      <c r="CG46" s="3">
        <f>BX46-BZ46</f>
        <v>0</v>
      </c>
      <c r="CH46" s="3">
        <f>AC46-BX46-BY46+BZ46</f>
        <v>734.40000000000146</v>
      </c>
      <c r="CI46" s="3">
        <f>BY46-BZ46</f>
        <v>48761.4</v>
      </c>
      <c r="CJ46" s="3">
        <f>ROUND(SUMIF(AA28:AA44,"=59499003",GX28:GX44),2)</f>
        <v>0</v>
      </c>
      <c r="CK46" s="3">
        <f>ROUND(SUMIF(AA28:AA44,"=59499003",GY28:GY44),2)</f>
        <v>0</v>
      </c>
      <c r="CL46" s="3">
        <f>ROUND(SUMIF(AA28:AA44,"=59499003",GZ28:GZ44),2)</f>
        <v>0</v>
      </c>
      <c r="CM46" s="3">
        <f>ROUND(SUMIF(AA28:AA44,"=59499003",HD28:HD44),2)</f>
        <v>0</v>
      </c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4">
        <f t="shared" ref="DG46:DL46" si="93">ROUND(DT46,2)</f>
        <v>571763.25</v>
      </c>
      <c r="DH46" s="4">
        <f t="shared" si="93"/>
        <v>380775.54</v>
      </c>
      <c r="DI46" s="4">
        <f t="shared" si="93"/>
        <v>3995.31</v>
      </c>
      <c r="DJ46" s="4">
        <f t="shared" si="93"/>
        <v>1155.3399999999999</v>
      </c>
      <c r="DK46" s="4">
        <f t="shared" si="93"/>
        <v>186992.4</v>
      </c>
      <c r="DL46" s="4">
        <f t="shared" si="93"/>
        <v>0</v>
      </c>
      <c r="DM46" s="4">
        <f>DZ46</f>
        <v>252.13564244000003</v>
      </c>
      <c r="DN46" s="4">
        <f>EA46</f>
        <v>0</v>
      </c>
      <c r="DO46" s="4">
        <f>ROUND(EB46,2)</f>
        <v>0</v>
      </c>
      <c r="DP46" s="4">
        <f>ROUND(EC46,2)</f>
        <v>173095.92</v>
      </c>
      <c r="DQ46" s="4">
        <f>ROUND(ED46,2)</f>
        <v>92192.4</v>
      </c>
      <c r="DR46" s="4"/>
      <c r="DS46" s="4"/>
      <c r="DT46" s="4">
        <f>ROUND(SUMIF(AA28:AA44,"=59499000",O28:O44),2)</f>
        <v>571763.25</v>
      </c>
      <c r="DU46" s="4">
        <f>ROUND(SUMIF(AA28:AA44,"=59499000",P28:P44),2)</f>
        <v>380775.54</v>
      </c>
      <c r="DV46" s="4">
        <f>ROUND(SUMIF(AA28:AA44,"=59499000",Q28:Q44),2)</f>
        <v>3995.31</v>
      </c>
      <c r="DW46" s="4">
        <f>ROUND(SUMIF(AA28:AA44,"=59499000",R28:R44),2)</f>
        <v>1155.3399999999999</v>
      </c>
      <c r="DX46" s="4">
        <f>ROUND(SUMIF(AA28:AA44,"=59499000",S28:S44),2)</f>
        <v>186992.4</v>
      </c>
      <c r="DY46" s="4">
        <f>ROUND(SUMIF(AA28:AA44,"=59499000",T28:T44),2)</f>
        <v>0</v>
      </c>
      <c r="DZ46" s="4">
        <f>SUMIF(AA28:AA44,"=59499000",U28:U44)</f>
        <v>252.13564244000003</v>
      </c>
      <c r="EA46" s="4">
        <f>SUMIF(AA28:AA44,"=59499000",V28:V44)</f>
        <v>0</v>
      </c>
      <c r="EB46" s="4">
        <f>ROUND(SUMIF(AA28:AA44,"=59499000",W28:W44),2)</f>
        <v>0</v>
      </c>
      <c r="EC46" s="4">
        <f>ROUND(SUMIF(AA28:AA44,"=59499000",X28:X44),2)</f>
        <v>173095.92</v>
      </c>
      <c r="ED46" s="4">
        <f>ROUND(SUMIF(AA28:AA44,"=59499000",Y28:Y44),2)</f>
        <v>92192.4</v>
      </c>
      <c r="EE46" s="4"/>
      <c r="EF46" s="4"/>
      <c r="EG46" s="4">
        <f t="shared" ref="EG46:EV46" si="94">ROUND(FP46,2)</f>
        <v>0</v>
      </c>
      <c r="EH46" s="4">
        <f t="shared" si="94"/>
        <v>373512.32</v>
      </c>
      <c r="EI46" s="4">
        <f t="shared" si="94"/>
        <v>0</v>
      </c>
      <c r="EJ46" s="4">
        <f t="shared" si="94"/>
        <v>837051.57</v>
      </c>
      <c r="EK46" s="4">
        <f t="shared" si="94"/>
        <v>0</v>
      </c>
      <c r="EL46" s="4">
        <f t="shared" si="94"/>
        <v>463539.25</v>
      </c>
      <c r="EM46" s="4">
        <f t="shared" si="94"/>
        <v>0</v>
      </c>
      <c r="EN46" s="4">
        <f t="shared" si="94"/>
        <v>380775.54</v>
      </c>
      <c r="EO46" s="4">
        <f t="shared" si="94"/>
        <v>7263.22</v>
      </c>
      <c r="EP46" s="4">
        <f t="shared" si="94"/>
        <v>0</v>
      </c>
      <c r="EQ46" s="4">
        <f t="shared" si="94"/>
        <v>7263.22</v>
      </c>
      <c r="ER46" s="4">
        <f t="shared" si="94"/>
        <v>373512.32</v>
      </c>
      <c r="ES46" s="4">
        <f t="shared" si="94"/>
        <v>0</v>
      </c>
      <c r="ET46" s="4">
        <f t="shared" si="94"/>
        <v>0</v>
      </c>
      <c r="EU46" s="4">
        <f t="shared" si="94"/>
        <v>0</v>
      </c>
      <c r="EV46" s="4">
        <f t="shared" si="94"/>
        <v>0</v>
      </c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>
        <f>ROUND(SUMIF(AA28:AA44,"=59499000",FQ28:FQ44),2)</f>
        <v>0</v>
      </c>
      <c r="FQ46" s="4">
        <f>ROUND(SUMIF(AA28:AA44,"=59499000",FR28:FR44),2)</f>
        <v>373512.32</v>
      </c>
      <c r="FR46" s="4">
        <f>ROUND(SUMIF(AA28:AA44,"=59499000",GL28:GL44),2)</f>
        <v>0</v>
      </c>
      <c r="FS46" s="4">
        <f>ROUND(SUMIF(AA28:AA44,"=59499000",GM28:GM44),2)</f>
        <v>837051.57</v>
      </c>
      <c r="FT46" s="4">
        <f>ROUND(SUMIF(AA28:AA44,"=59499000",GN28:GN44),2)</f>
        <v>0</v>
      </c>
      <c r="FU46" s="4">
        <f>ROUND(SUMIF(AA28:AA44,"=59499000",GO28:GO44),2)</f>
        <v>463539.25</v>
      </c>
      <c r="FV46" s="4">
        <f>ROUND(SUMIF(AA28:AA44,"=59499000",GP28:GP44),2)</f>
        <v>0</v>
      </c>
      <c r="FW46" s="4">
        <f>DU46-FP46</f>
        <v>380775.54</v>
      </c>
      <c r="FX46" s="4">
        <f>DU46-FQ46</f>
        <v>7263.2199999999721</v>
      </c>
      <c r="FY46" s="4">
        <f>FP46-FR46</f>
        <v>0</v>
      </c>
      <c r="FZ46" s="4">
        <f>DU46-FP46-FQ46+FR46</f>
        <v>7263.2199999999721</v>
      </c>
      <c r="GA46" s="4">
        <f>FQ46-FR46</f>
        <v>373512.32</v>
      </c>
      <c r="GB46" s="4">
        <f>ROUND(SUMIF(AA28:AA44,"=59499000",GX28:GX44),2)</f>
        <v>0</v>
      </c>
      <c r="GC46" s="4">
        <f>ROUND(SUMIF(AA28:AA44,"=59499000",GY28:GY44),2)</f>
        <v>0</v>
      </c>
      <c r="GD46" s="4">
        <f>ROUND(SUMIF(AA28:AA44,"=59499000",GZ28:GZ44),2)</f>
        <v>0</v>
      </c>
      <c r="GE46" s="4">
        <f>ROUND(SUMIF(AA28:AA44,"=59499000",HD28:HD44),2)</f>
        <v>0</v>
      </c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>
        <v>0</v>
      </c>
    </row>
    <row r="48" spans="1:255" x14ac:dyDescent="0.2">
      <c r="A48" s="5">
        <v>50</v>
      </c>
      <c r="B48" s="5">
        <v>0</v>
      </c>
      <c r="C48" s="5">
        <v>0</v>
      </c>
      <c r="D48" s="5">
        <v>1</v>
      </c>
      <c r="E48" s="5">
        <v>201</v>
      </c>
      <c r="F48" s="5">
        <f>ROUND(Source!O46,O48)</f>
        <v>53199.99</v>
      </c>
      <c r="G48" s="5" t="s">
        <v>65</v>
      </c>
      <c r="H48" s="5" t="s">
        <v>66</v>
      </c>
      <c r="I48" s="5"/>
      <c r="J48" s="5"/>
      <c r="K48" s="5">
        <v>201</v>
      </c>
      <c r="L48" s="5">
        <v>1</v>
      </c>
      <c r="M48" s="5">
        <v>3</v>
      </c>
      <c r="N48" s="5" t="s">
        <v>3</v>
      </c>
      <c r="O48" s="5">
        <v>2</v>
      </c>
      <c r="P48" s="5">
        <f>ROUND(Source!DG46,O48)</f>
        <v>571763.25</v>
      </c>
      <c r="Q48" s="5"/>
      <c r="R48" s="5"/>
      <c r="S48" s="5"/>
      <c r="T48" s="5"/>
      <c r="U48" s="5"/>
      <c r="V48" s="5"/>
      <c r="W48" s="5">
        <v>53199.99</v>
      </c>
      <c r="X48" s="5">
        <v>1</v>
      </c>
      <c r="Y48" s="5">
        <v>53199.99</v>
      </c>
      <c r="Z48" s="5">
        <v>571763.25</v>
      </c>
      <c r="AA48" s="5">
        <v>1</v>
      </c>
      <c r="AB48" s="5">
        <v>571763.25</v>
      </c>
    </row>
    <row r="49" spans="1:28" x14ac:dyDescent="0.2">
      <c r="A49" s="5">
        <v>50</v>
      </c>
      <c r="B49" s="5">
        <v>0</v>
      </c>
      <c r="C49" s="5">
        <v>0</v>
      </c>
      <c r="D49" s="5">
        <v>1</v>
      </c>
      <c r="E49" s="5">
        <v>202</v>
      </c>
      <c r="F49" s="5">
        <f>ROUND(Source!P46,O49)</f>
        <v>49495.8</v>
      </c>
      <c r="G49" s="5" t="s">
        <v>67</v>
      </c>
      <c r="H49" s="5" t="s">
        <v>68</v>
      </c>
      <c r="I49" s="5"/>
      <c r="J49" s="5"/>
      <c r="K49" s="5">
        <v>202</v>
      </c>
      <c r="L49" s="5">
        <v>2</v>
      </c>
      <c r="M49" s="5">
        <v>3</v>
      </c>
      <c r="N49" s="5" t="s">
        <v>3</v>
      </c>
      <c r="O49" s="5">
        <v>2</v>
      </c>
      <c r="P49" s="5">
        <f>ROUND(Source!DH46,O49)</f>
        <v>380775.54</v>
      </c>
      <c r="Q49" s="5"/>
      <c r="R49" s="5"/>
      <c r="S49" s="5"/>
      <c r="T49" s="5"/>
      <c r="U49" s="5"/>
      <c r="V49" s="5"/>
      <c r="W49" s="5">
        <v>49495.8</v>
      </c>
      <c r="X49" s="5">
        <v>1</v>
      </c>
      <c r="Y49" s="5">
        <v>49495.8</v>
      </c>
      <c r="Z49" s="5">
        <v>380775.54</v>
      </c>
      <c r="AA49" s="5">
        <v>1</v>
      </c>
      <c r="AB49" s="5">
        <v>380775.54</v>
      </c>
    </row>
    <row r="50" spans="1:28" x14ac:dyDescent="0.2">
      <c r="A50" s="5">
        <v>50</v>
      </c>
      <c r="B50" s="5">
        <v>0</v>
      </c>
      <c r="C50" s="5">
        <v>0</v>
      </c>
      <c r="D50" s="5">
        <v>1</v>
      </c>
      <c r="E50" s="5">
        <v>222</v>
      </c>
      <c r="F50" s="5">
        <f>ROUND(Source!AO46,O50)</f>
        <v>0</v>
      </c>
      <c r="G50" s="5" t="s">
        <v>69</v>
      </c>
      <c r="H50" s="5" t="s">
        <v>70</v>
      </c>
      <c r="I50" s="5"/>
      <c r="J50" s="5"/>
      <c r="K50" s="5">
        <v>222</v>
      </c>
      <c r="L50" s="5">
        <v>3</v>
      </c>
      <c r="M50" s="5">
        <v>3</v>
      </c>
      <c r="N50" s="5" t="s">
        <v>3</v>
      </c>
      <c r="O50" s="5">
        <v>2</v>
      </c>
      <c r="P50" s="5">
        <f>ROUND(Source!EG46,O50)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8" x14ac:dyDescent="0.2">
      <c r="A51" s="5">
        <v>50</v>
      </c>
      <c r="B51" s="5">
        <v>0</v>
      </c>
      <c r="C51" s="5">
        <v>0</v>
      </c>
      <c r="D51" s="5">
        <v>1</v>
      </c>
      <c r="E51" s="5">
        <v>225</v>
      </c>
      <c r="F51" s="5">
        <f>ROUND(Source!AV46,O51)</f>
        <v>49495.8</v>
      </c>
      <c r="G51" s="5" t="s">
        <v>71</v>
      </c>
      <c r="H51" s="5" t="s">
        <v>72</v>
      </c>
      <c r="I51" s="5"/>
      <c r="J51" s="5"/>
      <c r="K51" s="5">
        <v>225</v>
      </c>
      <c r="L51" s="5">
        <v>4</v>
      </c>
      <c r="M51" s="5">
        <v>3</v>
      </c>
      <c r="N51" s="5" t="s">
        <v>3</v>
      </c>
      <c r="O51" s="5">
        <v>2</v>
      </c>
      <c r="P51" s="5">
        <f>ROUND(Source!EN46,O51)</f>
        <v>380775.54</v>
      </c>
      <c r="Q51" s="5"/>
      <c r="R51" s="5"/>
      <c r="S51" s="5"/>
      <c r="T51" s="5"/>
      <c r="U51" s="5"/>
      <c r="V51" s="5"/>
      <c r="W51" s="5">
        <v>49495.8</v>
      </c>
      <c r="X51" s="5">
        <v>1</v>
      </c>
      <c r="Y51" s="5">
        <v>49495.8</v>
      </c>
      <c r="Z51" s="5">
        <v>380775.54</v>
      </c>
      <c r="AA51" s="5">
        <v>1</v>
      </c>
      <c r="AB51" s="5">
        <v>380775.54</v>
      </c>
    </row>
    <row r="52" spans="1:28" x14ac:dyDescent="0.2">
      <c r="A52" s="5">
        <v>50</v>
      </c>
      <c r="B52" s="5">
        <v>0</v>
      </c>
      <c r="C52" s="5">
        <v>0</v>
      </c>
      <c r="D52" s="5">
        <v>1</v>
      </c>
      <c r="E52" s="5">
        <v>226</v>
      </c>
      <c r="F52" s="5">
        <f>ROUND(Source!AW46,O52)</f>
        <v>734.4</v>
      </c>
      <c r="G52" s="5" t="s">
        <v>73</v>
      </c>
      <c r="H52" s="5" t="s">
        <v>74</v>
      </c>
      <c r="I52" s="5"/>
      <c r="J52" s="5"/>
      <c r="K52" s="5">
        <v>226</v>
      </c>
      <c r="L52" s="5">
        <v>5</v>
      </c>
      <c r="M52" s="5">
        <v>3</v>
      </c>
      <c r="N52" s="5" t="s">
        <v>3</v>
      </c>
      <c r="O52" s="5">
        <v>2</v>
      </c>
      <c r="P52" s="5">
        <f>ROUND(Source!EO46,O52)</f>
        <v>7263.22</v>
      </c>
      <c r="Q52" s="5"/>
      <c r="R52" s="5"/>
      <c r="S52" s="5"/>
      <c r="T52" s="5"/>
      <c r="U52" s="5"/>
      <c r="V52" s="5"/>
      <c r="W52" s="5">
        <v>734.4</v>
      </c>
      <c r="X52" s="5">
        <v>1</v>
      </c>
      <c r="Y52" s="5">
        <v>734.4</v>
      </c>
      <c r="Z52" s="5">
        <v>7263.22</v>
      </c>
      <c r="AA52" s="5">
        <v>1</v>
      </c>
      <c r="AB52" s="5">
        <v>7263.22</v>
      </c>
    </row>
    <row r="53" spans="1:28" x14ac:dyDescent="0.2">
      <c r="A53" s="5">
        <v>50</v>
      </c>
      <c r="B53" s="5">
        <v>0</v>
      </c>
      <c r="C53" s="5">
        <v>0</v>
      </c>
      <c r="D53" s="5">
        <v>1</v>
      </c>
      <c r="E53" s="5">
        <v>227</v>
      </c>
      <c r="F53" s="5">
        <f>ROUND(Source!AX46,O53)</f>
        <v>0</v>
      </c>
      <c r="G53" s="5" t="s">
        <v>75</v>
      </c>
      <c r="H53" s="5" t="s">
        <v>76</v>
      </c>
      <c r="I53" s="5"/>
      <c r="J53" s="5"/>
      <c r="K53" s="5">
        <v>227</v>
      </c>
      <c r="L53" s="5">
        <v>6</v>
      </c>
      <c r="M53" s="5">
        <v>3</v>
      </c>
      <c r="N53" s="5" t="s">
        <v>3</v>
      </c>
      <c r="O53" s="5">
        <v>2</v>
      </c>
      <c r="P53" s="5">
        <f>ROUND(Source!EP46,O53)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8" x14ac:dyDescent="0.2">
      <c r="A54" s="5">
        <v>50</v>
      </c>
      <c r="B54" s="5">
        <v>0</v>
      </c>
      <c r="C54" s="5">
        <v>0</v>
      </c>
      <c r="D54" s="5">
        <v>1</v>
      </c>
      <c r="E54" s="5">
        <v>228</v>
      </c>
      <c r="F54" s="5">
        <f>ROUND(Source!AY46,O54)</f>
        <v>734.4</v>
      </c>
      <c r="G54" s="5" t="s">
        <v>77</v>
      </c>
      <c r="H54" s="5" t="s">
        <v>78</v>
      </c>
      <c r="I54" s="5"/>
      <c r="J54" s="5"/>
      <c r="K54" s="5">
        <v>228</v>
      </c>
      <c r="L54" s="5">
        <v>7</v>
      </c>
      <c r="M54" s="5">
        <v>3</v>
      </c>
      <c r="N54" s="5" t="s">
        <v>3</v>
      </c>
      <c r="O54" s="5">
        <v>2</v>
      </c>
      <c r="P54" s="5">
        <f>ROUND(Source!EQ46,O54)</f>
        <v>7263.22</v>
      </c>
      <c r="Q54" s="5"/>
      <c r="R54" s="5"/>
      <c r="S54" s="5"/>
      <c r="T54" s="5"/>
      <c r="U54" s="5"/>
      <c r="V54" s="5"/>
      <c r="W54" s="5">
        <v>734.4</v>
      </c>
      <c r="X54" s="5">
        <v>1</v>
      </c>
      <c r="Y54" s="5">
        <v>734.4</v>
      </c>
      <c r="Z54" s="5">
        <v>7263.22</v>
      </c>
      <c r="AA54" s="5">
        <v>1</v>
      </c>
      <c r="AB54" s="5">
        <v>7263.22</v>
      </c>
    </row>
    <row r="55" spans="1:28" x14ac:dyDescent="0.2">
      <c r="A55" s="5">
        <v>50</v>
      </c>
      <c r="B55" s="5">
        <v>0</v>
      </c>
      <c r="C55" s="5">
        <v>0</v>
      </c>
      <c r="D55" s="5">
        <v>1</v>
      </c>
      <c r="E55" s="5">
        <v>216</v>
      </c>
      <c r="F55" s="5">
        <f>ROUND(Source!AP46,O55)</f>
        <v>48761.4</v>
      </c>
      <c r="G55" s="5" t="s">
        <v>79</v>
      </c>
      <c r="H55" s="5" t="s">
        <v>80</v>
      </c>
      <c r="I55" s="5"/>
      <c r="J55" s="5"/>
      <c r="K55" s="5">
        <v>216</v>
      </c>
      <c r="L55" s="5">
        <v>8</v>
      </c>
      <c r="M55" s="5">
        <v>3</v>
      </c>
      <c r="N55" s="5" t="s">
        <v>3</v>
      </c>
      <c r="O55" s="5">
        <v>2</v>
      </c>
      <c r="P55" s="5">
        <f>ROUND(Source!EH46,O55)</f>
        <v>373512.32</v>
      </c>
      <c r="Q55" s="5"/>
      <c r="R55" s="5"/>
      <c r="S55" s="5"/>
      <c r="T55" s="5"/>
      <c r="U55" s="5"/>
      <c r="V55" s="5"/>
      <c r="W55" s="5">
        <v>48761.4</v>
      </c>
      <c r="X55" s="5">
        <v>1</v>
      </c>
      <c r="Y55" s="5">
        <v>48761.4</v>
      </c>
      <c r="Z55" s="5">
        <v>373512.32</v>
      </c>
      <c r="AA55" s="5">
        <v>1</v>
      </c>
      <c r="AB55" s="5">
        <v>373512.32</v>
      </c>
    </row>
    <row r="56" spans="1:28" x14ac:dyDescent="0.2">
      <c r="A56" s="5">
        <v>50</v>
      </c>
      <c r="B56" s="5">
        <v>0</v>
      </c>
      <c r="C56" s="5">
        <v>0</v>
      </c>
      <c r="D56" s="5">
        <v>1</v>
      </c>
      <c r="E56" s="5">
        <v>223</v>
      </c>
      <c r="F56" s="5">
        <f>ROUND(Source!AQ46,O56)</f>
        <v>0</v>
      </c>
      <c r="G56" s="5" t="s">
        <v>81</v>
      </c>
      <c r="H56" s="5" t="s">
        <v>82</v>
      </c>
      <c r="I56" s="5"/>
      <c r="J56" s="5"/>
      <c r="K56" s="5">
        <v>223</v>
      </c>
      <c r="L56" s="5">
        <v>9</v>
      </c>
      <c r="M56" s="5">
        <v>3</v>
      </c>
      <c r="N56" s="5" t="s">
        <v>3</v>
      </c>
      <c r="O56" s="5">
        <v>2</v>
      </c>
      <c r="P56" s="5">
        <f>ROUND(Source!EI46,O56)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8" x14ac:dyDescent="0.2">
      <c r="A57" s="5">
        <v>50</v>
      </c>
      <c r="B57" s="5">
        <v>0</v>
      </c>
      <c r="C57" s="5">
        <v>0</v>
      </c>
      <c r="D57" s="5">
        <v>1</v>
      </c>
      <c r="E57" s="5">
        <v>229</v>
      </c>
      <c r="F57" s="5">
        <f>ROUND(Source!AZ46,O57)</f>
        <v>48761.4</v>
      </c>
      <c r="G57" s="5" t="s">
        <v>83</v>
      </c>
      <c r="H57" s="5" t="s">
        <v>84</v>
      </c>
      <c r="I57" s="5"/>
      <c r="J57" s="5"/>
      <c r="K57" s="5">
        <v>229</v>
      </c>
      <c r="L57" s="5">
        <v>10</v>
      </c>
      <c r="M57" s="5">
        <v>3</v>
      </c>
      <c r="N57" s="5" t="s">
        <v>3</v>
      </c>
      <c r="O57" s="5">
        <v>2</v>
      </c>
      <c r="P57" s="5">
        <f>ROUND(Source!ER46,O57)</f>
        <v>373512.32</v>
      </c>
      <c r="Q57" s="5"/>
      <c r="R57" s="5"/>
      <c r="S57" s="5"/>
      <c r="T57" s="5"/>
      <c r="U57" s="5"/>
      <c r="V57" s="5"/>
      <c r="W57" s="5">
        <v>48761.4</v>
      </c>
      <c r="X57" s="5">
        <v>1</v>
      </c>
      <c r="Y57" s="5">
        <v>48761.4</v>
      </c>
      <c r="Z57" s="5">
        <v>373512.32</v>
      </c>
      <c r="AA57" s="5">
        <v>1</v>
      </c>
      <c r="AB57" s="5">
        <v>373512.32</v>
      </c>
    </row>
    <row r="58" spans="1:28" x14ac:dyDescent="0.2">
      <c r="A58" s="5">
        <v>50</v>
      </c>
      <c r="B58" s="5">
        <v>0</v>
      </c>
      <c r="C58" s="5">
        <v>0</v>
      </c>
      <c r="D58" s="5">
        <v>1</v>
      </c>
      <c r="E58" s="5">
        <v>203</v>
      </c>
      <c r="F58" s="5">
        <f>ROUND(Source!Q46,O58)</f>
        <v>303.70999999999998</v>
      </c>
      <c r="G58" s="5" t="s">
        <v>85</v>
      </c>
      <c r="H58" s="5" t="s">
        <v>86</v>
      </c>
      <c r="I58" s="5"/>
      <c r="J58" s="5"/>
      <c r="K58" s="5">
        <v>203</v>
      </c>
      <c r="L58" s="5">
        <v>11</v>
      </c>
      <c r="M58" s="5">
        <v>3</v>
      </c>
      <c r="N58" s="5" t="s">
        <v>3</v>
      </c>
      <c r="O58" s="5">
        <v>2</v>
      </c>
      <c r="P58" s="5">
        <f>ROUND(Source!DI46,O58)</f>
        <v>3995.31</v>
      </c>
      <c r="Q58" s="5"/>
      <c r="R58" s="5"/>
      <c r="S58" s="5"/>
      <c r="T58" s="5"/>
      <c r="U58" s="5"/>
      <c r="V58" s="5"/>
      <c r="W58" s="5">
        <v>303.70999999999998</v>
      </c>
      <c r="X58" s="5">
        <v>1</v>
      </c>
      <c r="Y58" s="5">
        <v>303.70999999999998</v>
      </c>
      <c r="Z58" s="5">
        <v>3995.31</v>
      </c>
      <c r="AA58" s="5">
        <v>1</v>
      </c>
      <c r="AB58" s="5">
        <v>3995.31</v>
      </c>
    </row>
    <row r="59" spans="1:28" x14ac:dyDescent="0.2">
      <c r="A59" s="5">
        <v>50</v>
      </c>
      <c r="B59" s="5">
        <v>0</v>
      </c>
      <c r="C59" s="5">
        <v>0</v>
      </c>
      <c r="D59" s="5">
        <v>1</v>
      </c>
      <c r="E59" s="5">
        <v>231</v>
      </c>
      <c r="F59" s="5">
        <f>ROUND(Source!BB46,O59)</f>
        <v>0</v>
      </c>
      <c r="G59" s="5" t="s">
        <v>87</v>
      </c>
      <c r="H59" s="5" t="s">
        <v>88</v>
      </c>
      <c r="I59" s="5"/>
      <c r="J59" s="5"/>
      <c r="K59" s="5">
        <v>231</v>
      </c>
      <c r="L59" s="5">
        <v>12</v>
      </c>
      <c r="M59" s="5">
        <v>3</v>
      </c>
      <c r="N59" s="5" t="s">
        <v>3</v>
      </c>
      <c r="O59" s="5">
        <v>2</v>
      </c>
      <c r="P59" s="5">
        <f>ROUND(Source!ET46,O59)</f>
        <v>0</v>
      </c>
      <c r="Q59" s="5"/>
      <c r="R59" s="5"/>
      <c r="S59" s="5"/>
      <c r="T59" s="5"/>
      <c r="U59" s="5"/>
      <c r="V59" s="5"/>
      <c r="W59" s="5">
        <v>0</v>
      </c>
      <c r="X59" s="5">
        <v>1</v>
      </c>
      <c r="Y59" s="5">
        <v>0</v>
      </c>
      <c r="Z59" s="5">
        <v>0</v>
      </c>
      <c r="AA59" s="5">
        <v>1</v>
      </c>
      <c r="AB59" s="5">
        <v>0</v>
      </c>
    </row>
    <row r="60" spans="1:28" x14ac:dyDescent="0.2">
      <c r="A60" s="5">
        <v>50</v>
      </c>
      <c r="B60" s="5">
        <v>0</v>
      </c>
      <c r="C60" s="5">
        <v>0</v>
      </c>
      <c r="D60" s="5">
        <v>1</v>
      </c>
      <c r="E60" s="5">
        <v>204</v>
      </c>
      <c r="F60" s="5">
        <f>ROUND(Source!R46,O60)</f>
        <v>21.01</v>
      </c>
      <c r="G60" s="5" t="s">
        <v>89</v>
      </c>
      <c r="H60" s="5" t="s">
        <v>90</v>
      </c>
      <c r="I60" s="5"/>
      <c r="J60" s="5"/>
      <c r="K60" s="5">
        <v>204</v>
      </c>
      <c r="L60" s="5">
        <v>13</v>
      </c>
      <c r="M60" s="5">
        <v>3</v>
      </c>
      <c r="N60" s="5" t="s">
        <v>3</v>
      </c>
      <c r="O60" s="5">
        <v>2</v>
      </c>
      <c r="P60" s="5">
        <f>ROUND(Source!DJ46,O60)</f>
        <v>1155.3399999999999</v>
      </c>
      <c r="Q60" s="5"/>
      <c r="R60" s="5"/>
      <c r="S60" s="5"/>
      <c r="T60" s="5"/>
      <c r="U60" s="5"/>
      <c r="V60" s="5"/>
      <c r="W60" s="5">
        <v>21.01</v>
      </c>
      <c r="X60" s="5">
        <v>1</v>
      </c>
      <c r="Y60" s="5">
        <v>21.01</v>
      </c>
      <c r="Z60" s="5">
        <v>1155.3399999999999</v>
      </c>
      <c r="AA60" s="5">
        <v>1</v>
      </c>
      <c r="AB60" s="5">
        <v>1155.3399999999999</v>
      </c>
    </row>
    <row r="61" spans="1:28" x14ac:dyDescent="0.2">
      <c r="A61" s="5">
        <v>50</v>
      </c>
      <c r="B61" s="5">
        <v>0</v>
      </c>
      <c r="C61" s="5">
        <v>0</v>
      </c>
      <c r="D61" s="5">
        <v>1</v>
      </c>
      <c r="E61" s="5">
        <v>205</v>
      </c>
      <c r="F61" s="5">
        <f>ROUND(Source!S46,O61)</f>
        <v>3400.48</v>
      </c>
      <c r="G61" s="5" t="s">
        <v>91</v>
      </c>
      <c r="H61" s="5" t="s">
        <v>92</v>
      </c>
      <c r="I61" s="5"/>
      <c r="J61" s="5"/>
      <c r="K61" s="5">
        <v>205</v>
      </c>
      <c r="L61" s="5">
        <v>14</v>
      </c>
      <c r="M61" s="5">
        <v>3</v>
      </c>
      <c r="N61" s="5" t="s">
        <v>3</v>
      </c>
      <c r="O61" s="5">
        <v>2</v>
      </c>
      <c r="P61" s="5">
        <f>ROUND(Source!DK46,O61)</f>
        <v>186992.4</v>
      </c>
      <c r="Q61" s="5"/>
      <c r="R61" s="5"/>
      <c r="S61" s="5"/>
      <c r="T61" s="5"/>
      <c r="U61" s="5"/>
      <c r="V61" s="5"/>
      <c r="W61" s="5">
        <v>3400.48</v>
      </c>
      <c r="X61" s="5">
        <v>1</v>
      </c>
      <c r="Y61" s="5">
        <v>3400.48</v>
      </c>
      <c r="Z61" s="5">
        <v>186992.4</v>
      </c>
      <c r="AA61" s="5">
        <v>1</v>
      </c>
      <c r="AB61" s="5">
        <v>186992.4</v>
      </c>
    </row>
    <row r="62" spans="1:28" x14ac:dyDescent="0.2">
      <c r="A62" s="5">
        <v>50</v>
      </c>
      <c r="B62" s="5">
        <v>0</v>
      </c>
      <c r="C62" s="5">
        <v>0</v>
      </c>
      <c r="D62" s="5">
        <v>1</v>
      </c>
      <c r="E62" s="5">
        <v>232</v>
      </c>
      <c r="F62" s="5">
        <f>ROUND(Source!BC46,O62)</f>
        <v>0</v>
      </c>
      <c r="G62" s="5" t="s">
        <v>93</v>
      </c>
      <c r="H62" s="5" t="s">
        <v>94</v>
      </c>
      <c r="I62" s="5"/>
      <c r="J62" s="5"/>
      <c r="K62" s="5">
        <v>232</v>
      </c>
      <c r="L62" s="5">
        <v>15</v>
      </c>
      <c r="M62" s="5">
        <v>3</v>
      </c>
      <c r="N62" s="5" t="s">
        <v>3</v>
      </c>
      <c r="O62" s="5">
        <v>2</v>
      </c>
      <c r="P62" s="5">
        <f>ROUND(Source!EU46,O62)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x14ac:dyDescent="0.2">
      <c r="A63" s="5">
        <v>50</v>
      </c>
      <c r="B63" s="5">
        <v>0</v>
      </c>
      <c r="C63" s="5">
        <v>0</v>
      </c>
      <c r="D63" s="5">
        <v>1</v>
      </c>
      <c r="E63" s="5">
        <v>214</v>
      </c>
      <c r="F63" s="5">
        <f>ROUND(Source!AS46,O63)</f>
        <v>0</v>
      </c>
      <c r="G63" s="5" t="s">
        <v>95</v>
      </c>
      <c r="H63" s="5" t="s">
        <v>96</v>
      </c>
      <c r="I63" s="5"/>
      <c r="J63" s="5"/>
      <c r="K63" s="5">
        <v>214</v>
      </c>
      <c r="L63" s="5">
        <v>16</v>
      </c>
      <c r="M63" s="5">
        <v>3</v>
      </c>
      <c r="N63" s="5" t="s">
        <v>3</v>
      </c>
      <c r="O63" s="5">
        <v>2</v>
      </c>
      <c r="P63" s="5">
        <f>ROUND(Source!EK46,O63)</f>
        <v>0</v>
      </c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</row>
    <row r="64" spans="1:28" x14ac:dyDescent="0.2">
      <c r="A64" s="5">
        <v>50</v>
      </c>
      <c r="B64" s="5">
        <v>0</v>
      </c>
      <c r="C64" s="5">
        <v>0</v>
      </c>
      <c r="D64" s="5">
        <v>1</v>
      </c>
      <c r="E64" s="5">
        <v>215</v>
      </c>
      <c r="F64" s="5">
        <f>ROUND(Source!AT46,O64)</f>
        <v>9262.89</v>
      </c>
      <c r="G64" s="5" t="s">
        <v>97</v>
      </c>
      <c r="H64" s="5" t="s">
        <v>98</v>
      </c>
      <c r="I64" s="5"/>
      <c r="J64" s="5"/>
      <c r="K64" s="5">
        <v>215</v>
      </c>
      <c r="L64" s="5">
        <v>17</v>
      </c>
      <c r="M64" s="5">
        <v>3</v>
      </c>
      <c r="N64" s="5" t="s">
        <v>3</v>
      </c>
      <c r="O64" s="5">
        <v>2</v>
      </c>
      <c r="P64" s="5">
        <f>ROUND(Source!EL46,O64)</f>
        <v>463539.25</v>
      </c>
      <c r="Q64" s="5"/>
      <c r="R64" s="5"/>
      <c r="S64" s="5"/>
      <c r="T64" s="5"/>
      <c r="U64" s="5"/>
      <c r="V64" s="5"/>
      <c r="W64" s="5">
        <v>9262.89</v>
      </c>
      <c r="X64" s="5">
        <v>1</v>
      </c>
      <c r="Y64" s="5">
        <v>9262.89</v>
      </c>
      <c r="Z64" s="5">
        <v>463539.25</v>
      </c>
      <c r="AA64" s="5">
        <v>1</v>
      </c>
      <c r="AB64" s="5">
        <v>463539.25</v>
      </c>
    </row>
    <row r="65" spans="1:206" x14ac:dyDescent="0.2">
      <c r="A65" s="5">
        <v>50</v>
      </c>
      <c r="B65" s="5">
        <v>0</v>
      </c>
      <c r="C65" s="5">
        <v>0</v>
      </c>
      <c r="D65" s="5">
        <v>1</v>
      </c>
      <c r="E65" s="5">
        <v>217</v>
      </c>
      <c r="F65" s="5">
        <f>ROUND(Source!AU46,O65)</f>
        <v>0</v>
      </c>
      <c r="G65" s="5" t="s">
        <v>99</v>
      </c>
      <c r="H65" s="5" t="s">
        <v>100</v>
      </c>
      <c r="I65" s="5"/>
      <c r="J65" s="5"/>
      <c r="K65" s="5">
        <v>217</v>
      </c>
      <c r="L65" s="5">
        <v>18</v>
      </c>
      <c r="M65" s="5">
        <v>3</v>
      </c>
      <c r="N65" s="5" t="s">
        <v>3</v>
      </c>
      <c r="O65" s="5">
        <v>2</v>
      </c>
      <c r="P65" s="5">
        <f>ROUND(Source!EM46,O65)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06" x14ac:dyDescent="0.2">
      <c r="A66" s="5">
        <v>50</v>
      </c>
      <c r="B66" s="5">
        <v>0</v>
      </c>
      <c r="C66" s="5">
        <v>0</v>
      </c>
      <c r="D66" s="5">
        <v>1</v>
      </c>
      <c r="E66" s="5">
        <v>230</v>
      </c>
      <c r="F66" s="5">
        <f>ROUND(Source!BA46,O66)</f>
        <v>0</v>
      </c>
      <c r="G66" s="5" t="s">
        <v>101</v>
      </c>
      <c r="H66" s="5" t="s">
        <v>102</v>
      </c>
      <c r="I66" s="5"/>
      <c r="J66" s="5"/>
      <c r="K66" s="5">
        <v>230</v>
      </c>
      <c r="L66" s="5">
        <v>19</v>
      </c>
      <c r="M66" s="5">
        <v>3</v>
      </c>
      <c r="N66" s="5" t="s">
        <v>3</v>
      </c>
      <c r="O66" s="5">
        <v>2</v>
      </c>
      <c r="P66" s="5">
        <f>ROUND(Source!ES46,O66)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06" x14ac:dyDescent="0.2">
      <c r="A67" s="5">
        <v>50</v>
      </c>
      <c r="B67" s="5">
        <v>0</v>
      </c>
      <c r="C67" s="5">
        <v>0</v>
      </c>
      <c r="D67" s="5">
        <v>1</v>
      </c>
      <c r="E67" s="5">
        <v>206</v>
      </c>
      <c r="F67" s="5">
        <f>ROUND(Source!T46,O67)</f>
        <v>0</v>
      </c>
      <c r="G67" s="5" t="s">
        <v>103</v>
      </c>
      <c r="H67" s="5" t="s">
        <v>104</v>
      </c>
      <c r="I67" s="5"/>
      <c r="J67" s="5"/>
      <c r="K67" s="5">
        <v>206</v>
      </c>
      <c r="L67" s="5">
        <v>20</v>
      </c>
      <c r="M67" s="5">
        <v>3</v>
      </c>
      <c r="N67" s="5" t="s">
        <v>3</v>
      </c>
      <c r="O67" s="5">
        <v>2</v>
      </c>
      <c r="P67" s="5">
        <f>ROUND(Source!DL46,O67)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06" x14ac:dyDescent="0.2">
      <c r="A68" s="5">
        <v>50</v>
      </c>
      <c r="B68" s="5">
        <v>0</v>
      </c>
      <c r="C68" s="5">
        <v>0</v>
      </c>
      <c r="D68" s="5">
        <v>1</v>
      </c>
      <c r="E68" s="5">
        <v>207</v>
      </c>
      <c r="F68" s="5">
        <f>Source!U46</f>
        <v>252.13564244000003</v>
      </c>
      <c r="G68" s="5" t="s">
        <v>105</v>
      </c>
      <c r="H68" s="5" t="s">
        <v>106</v>
      </c>
      <c r="I68" s="5"/>
      <c r="J68" s="5"/>
      <c r="K68" s="5">
        <v>207</v>
      </c>
      <c r="L68" s="5">
        <v>21</v>
      </c>
      <c r="M68" s="5">
        <v>3</v>
      </c>
      <c r="N68" s="5" t="s">
        <v>3</v>
      </c>
      <c r="O68" s="5">
        <v>-1</v>
      </c>
      <c r="P68" s="5">
        <f>Source!DM46</f>
        <v>252.13564244000003</v>
      </c>
      <c r="Q68" s="5"/>
      <c r="R68" s="5"/>
      <c r="S68" s="5"/>
      <c r="T68" s="5"/>
      <c r="U68" s="5"/>
      <c r="V68" s="5"/>
      <c r="W68" s="5">
        <v>252.13564244</v>
      </c>
      <c r="X68" s="5">
        <v>1</v>
      </c>
      <c r="Y68" s="5">
        <v>252.13564244</v>
      </c>
      <c r="Z68" s="5">
        <v>252.13564244</v>
      </c>
      <c r="AA68" s="5">
        <v>1</v>
      </c>
      <c r="AB68" s="5">
        <v>252.13564244</v>
      </c>
    </row>
    <row r="69" spans="1:206" x14ac:dyDescent="0.2">
      <c r="A69" s="5">
        <v>50</v>
      </c>
      <c r="B69" s="5">
        <v>0</v>
      </c>
      <c r="C69" s="5">
        <v>0</v>
      </c>
      <c r="D69" s="5">
        <v>1</v>
      </c>
      <c r="E69" s="5">
        <v>208</v>
      </c>
      <c r="F69" s="5">
        <f>Source!V46</f>
        <v>0</v>
      </c>
      <c r="G69" s="5" t="s">
        <v>107</v>
      </c>
      <c r="H69" s="5" t="s">
        <v>108</v>
      </c>
      <c r="I69" s="5"/>
      <c r="J69" s="5"/>
      <c r="K69" s="5">
        <v>208</v>
      </c>
      <c r="L69" s="5">
        <v>22</v>
      </c>
      <c r="M69" s="5">
        <v>3</v>
      </c>
      <c r="N69" s="5" t="s">
        <v>3</v>
      </c>
      <c r="O69" s="5">
        <v>-1</v>
      </c>
      <c r="P69" s="5">
        <f>Source!DN46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06" x14ac:dyDescent="0.2">
      <c r="A70" s="5">
        <v>50</v>
      </c>
      <c r="B70" s="5">
        <v>0</v>
      </c>
      <c r="C70" s="5">
        <v>0</v>
      </c>
      <c r="D70" s="5">
        <v>1</v>
      </c>
      <c r="E70" s="5">
        <v>209</v>
      </c>
      <c r="F70" s="5">
        <f>ROUND(Source!W46,O70)</f>
        <v>0</v>
      </c>
      <c r="G70" s="5" t="s">
        <v>109</v>
      </c>
      <c r="H70" s="5" t="s">
        <v>110</v>
      </c>
      <c r="I70" s="5"/>
      <c r="J70" s="5"/>
      <c r="K70" s="5">
        <v>209</v>
      </c>
      <c r="L70" s="5">
        <v>23</v>
      </c>
      <c r="M70" s="5">
        <v>3</v>
      </c>
      <c r="N70" s="5" t="s">
        <v>3</v>
      </c>
      <c r="O70" s="5">
        <v>2</v>
      </c>
      <c r="P70" s="5">
        <f>ROUND(Source!DO46,O70)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06" x14ac:dyDescent="0.2">
      <c r="A71" s="5">
        <v>50</v>
      </c>
      <c r="B71" s="5">
        <v>0</v>
      </c>
      <c r="C71" s="5">
        <v>0</v>
      </c>
      <c r="D71" s="5">
        <v>1</v>
      </c>
      <c r="E71" s="5">
        <v>233</v>
      </c>
      <c r="F71" s="5">
        <f>ROUND(Source!BD46,O71)</f>
        <v>0</v>
      </c>
      <c r="G71" s="5" t="s">
        <v>111</v>
      </c>
      <c r="H71" s="5" t="s">
        <v>112</v>
      </c>
      <c r="I71" s="5"/>
      <c r="J71" s="5"/>
      <c r="K71" s="5">
        <v>233</v>
      </c>
      <c r="L71" s="5">
        <v>24</v>
      </c>
      <c r="M71" s="5">
        <v>3</v>
      </c>
      <c r="N71" s="5" t="s">
        <v>3</v>
      </c>
      <c r="O71" s="5">
        <v>2</v>
      </c>
      <c r="P71" s="5">
        <f>ROUND(Source!EV46,O71)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06" x14ac:dyDescent="0.2">
      <c r="A72" s="5">
        <v>50</v>
      </c>
      <c r="B72" s="5">
        <v>0</v>
      </c>
      <c r="C72" s="5">
        <v>0</v>
      </c>
      <c r="D72" s="5">
        <v>1</v>
      </c>
      <c r="E72" s="5">
        <v>210</v>
      </c>
      <c r="F72" s="5">
        <f>ROUND(Source!X46,O72)</f>
        <v>3147.77</v>
      </c>
      <c r="G72" s="5" t="s">
        <v>113</v>
      </c>
      <c r="H72" s="5" t="s">
        <v>114</v>
      </c>
      <c r="I72" s="5"/>
      <c r="J72" s="5"/>
      <c r="K72" s="5">
        <v>210</v>
      </c>
      <c r="L72" s="5">
        <v>25</v>
      </c>
      <c r="M72" s="5">
        <v>3</v>
      </c>
      <c r="N72" s="5" t="s">
        <v>3</v>
      </c>
      <c r="O72" s="5">
        <v>2</v>
      </c>
      <c r="P72" s="5">
        <f>ROUND(Source!DP46,O72)</f>
        <v>173095.92</v>
      </c>
      <c r="Q72" s="5"/>
      <c r="R72" s="5"/>
      <c r="S72" s="5"/>
      <c r="T72" s="5"/>
      <c r="U72" s="5"/>
      <c r="V72" s="5"/>
      <c r="W72" s="5">
        <v>3147.77</v>
      </c>
      <c r="X72" s="5">
        <v>1</v>
      </c>
      <c r="Y72" s="5">
        <v>3147.77</v>
      </c>
      <c r="Z72" s="5">
        <v>173095.92</v>
      </c>
      <c r="AA72" s="5">
        <v>1</v>
      </c>
      <c r="AB72" s="5">
        <v>173095.92</v>
      </c>
    </row>
    <row r="73" spans="1:206" x14ac:dyDescent="0.2">
      <c r="A73" s="5">
        <v>50</v>
      </c>
      <c r="B73" s="5">
        <v>0</v>
      </c>
      <c r="C73" s="5">
        <v>0</v>
      </c>
      <c r="D73" s="5">
        <v>1</v>
      </c>
      <c r="E73" s="5">
        <v>211</v>
      </c>
      <c r="F73" s="5">
        <f>ROUND(Source!Y46,O73)</f>
        <v>1676.53</v>
      </c>
      <c r="G73" s="5" t="s">
        <v>115</v>
      </c>
      <c r="H73" s="5" t="s">
        <v>116</v>
      </c>
      <c r="I73" s="5"/>
      <c r="J73" s="5"/>
      <c r="K73" s="5">
        <v>211</v>
      </c>
      <c r="L73" s="5">
        <v>26</v>
      </c>
      <c r="M73" s="5">
        <v>3</v>
      </c>
      <c r="N73" s="5" t="s">
        <v>3</v>
      </c>
      <c r="O73" s="5">
        <v>2</v>
      </c>
      <c r="P73" s="5">
        <f>ROUND(Source!DQ46,O73)</f>
        <v>92192.4</v>
      </c>
      <c r="Q73" s="5"/>
      <c r="R73" s="5"/>
      <c r="S73" s="5"/>
      <c r="T73" s="5"/>
      <c r="U73" s="5"/>
      <c r="V73" s="5"/>
      <c r="W73" s="5">
        <v>1676.53</v>
      </c>
      <c r="X73" s="5">
        <v>1</v>
      </c>
      <c r="Y73" s="5">
        <v>1676.53</v>
      </c>
      <c r="Z73" s="5">
        <v>92192.4</v>
      </c>
      <c r="AA73" s="5">
        <v>1</v>
      </c>
      <c r="AB73" s="5">
        <v>92192.4</v>
      </c>
    </row>
    <row r="74" spans="1:206" x14ac:dyDescent="0.2">
      <c r="A74" s="5">
        <v>50</v>
      </c>
      <c r="B74" s="5">
        <v>0</v>
      </c>
      <c r="C74" s="5">
        <v>0</v>
      </c>
      <c r="D74" s="5">
        <v>1</v>
      </c>
      <c r="E74" s="5">
        <v>224</v>
      </c>
      <c r="F74" s="5">
        <f>ROUND(Source!AR46,O74)</f>
        <v>58024.29</v>
      </c>
      <c r="G74" s="5" t="s">
        <v>117</v>
      </c>
      <c r="H74" s="5" t="s">
        <v>118</v>
      </c>
      <c r="I74" s="5"/>
      <c r="J74" s="5"/>
      <c r="K74" s="5">
        <v>224</v>
      </c>
      <c r="L74" s="5">
        <v>27</v>
      </c>
      <c r="M74" s="5">
        <v>3</v>
      </c>
      <c r="N74" s="5" t="s">
        <v>3</v>
      </c>
      <c r="O74" s="5">
        <v>2</v>
      </c>
      <c r="P74" s="5">
        <f>ROUND(Source!EJ46,O74)</f>
        <v>837051.57</v>
      </c>
      <c r="Q74" s="5"/>
      <c r="R74" s="5"/>
      <c r="S74" s="5"/>
      <c r="T74" s="5"/>
      <c r="U74" s="5"/>
      <c r="V74" s="5"/>
      <c r="W74" s="5">
        <v>58024.29</v>
      </c>
      <c r="X74" s="5">
        <v>1</v>
      </c>
      <c r="Y74" s="5">
        <v>58024.29</v>
      </c>
      <c r="Z74" s="5">
        <v>837051.57</v>
      </c>
      <c r="AA74" s="5">
        <v>1</v>
      </c>
      <c r="AB74" s="5">
        <v>837051.57</v>
      </c>
    </row>
    <row r="76" spans="1:206" x14ac:dyDescent="0.2">
      <c r="A76" s="3">
        <v>51</v>
      </c>
      <c r="B76" s="3">
        <f>B20</f>
        <v>1</v>
      </c>
      <c r="C76" s="3">
        <f>A20</f>
        <v>3</v>
      </c>
      <c r="D76" s="3">
        <f>ROW(A20)</f>
        <v>20</v>
      </c>
      <c r="E76" s="3"/>
      <c r="F76" s="3" t="str">
        <f>IF(F20&lt;&gt;"",F20,"")</f>
        <v>02-01-19</v>
      </c>
      <c r="G76" s="3" t="str">
        <f>IF(G20&lt;&gt;"",G20,"")</f>
        <v>Вертикальный транспорт</v>
      </c>
      <c r="H76" s="3">
        <v>0</v>
      </c>
      <c r="I76" s="3"/>
      <c r="J76" s="3"/>
      <c r="K76" s="3"/>
      <c r="L76" s="3"/>
      <c r="M76" s="3"/>
      <c r="N76" s="3"/>
      <c r="O76" s="3">
        <f t="shared" ref="O76:T76" si="95">ROUND(O46+AB76,2)</f>
        <v>53199.99</v>
      </c>
      <c r="P76" s="3">
        <f t="shared" si="95"/>
        <v>49495.8</v>
      </c>
      <c r="Q76" s="3">
        <f t="shared" si="95"/>
        <v>303.70999999999998</v>
      </c>
      <c r="R76" s="3">
        <f t="shared" si="95"/>
        <v>21.01</v>
      </c>
      <c r="S76" s="3">
        <f t="shared" si="95"/>
        <v>3400.48</v>
      </c>
      <c r="T76" s="3">
        <f t="shared" si="95"/>
        <v>0</v>
      </c>
      <c r="U76" s="3">
        <f>U46+AH76</f>
        <v>252.13564244000003</v>
      </c>
      <c r="V76" s="3">
        <f>V46+AI76</f>
        <v>0</v>
      </c>
      <c r="W76" s="3">
        <f>ROUND(W46+AJ76,2)</f>
        <v>0</v>
      </c>
      <c r="X76" s="3">
        <f>ROUND(X46+AK76,2)</f>
        <v>3147.77</v>
      </c>
      <c r="Y76" s="3">
        <f>ROUND(Y46+AL76,2)</f>
        <v>1676.53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f t="shared" ref="AO76:BD76" si="96">ROUND(AO46+BX76,2)</f>
        <v>0</v>
      </c>
      <c r="AP76" s="3">
        <f t="shared" si="96"/>
        <v>48761.4</v>
      </c>
      <c r="AQ76" s="3">
        <f t="shared" si="96"/>
        <v>0</v>
      </c>
      <c r="AR76" s="3">
        <f t="shared" si="96"/>
        <v>58024.29</v>
      </c>
      <c r="AS76" s="3">
        <f t="shared" si="96"/>
        <v>0</v>
      </c>
      <c r="AT76" s="3">
        <f t="shared" si="96"/>
        <v>9262.89</v>
      </c>
      <c r="AU76" s="3">
        <f t="shared" si="96"/>
        <v>0</v>
      </c>
      <c r="AV76" s="3">
        <f t="shared" si="96"/>
        <v>49495.8</v>
      </c>
      <c r="AW76" s="3">
        <f t="shared" si="96"/>
        <v>734.4</v>
      </c>
      <c r="AX76" s="3">
        <f t="shared" si="96"/>
        <v>0</v>
      </c>
      <c r="AY76" s="3">
        <f t="shared" si="96"/>
        <v>734.4</v>
      </c>
      <c r="AZ76" s="3">
        <f t="shared" si="96"/>
        <v>48761.4</v>
      </c>
      <c r="BA76" s="3">
        <f t="shared" si="96"/>
        <v>0</v>
      </c>
      <c r="BB76" s="3">
        <f t="shared" si="96"/>
        <v>0</v>
      </c>
      <c r="BC76" s="3">
        <f t="shared" si="96"/>
        <v>0</v>
      </c>
      <c r="BD76" s="3">
        <f t="shared" si="96"/>
        <v>0</v>
      </c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4">
        <f t="shared" ref="DG76:DL76" si="97">ROUND(DG46+DT76,2)</f>
        <v>571763.25</v>
      </c>
      <c r="DH76" s="4">
        <f t="shared" si="97"/>
        <v>380775.54</v>
      </c>
      <c r="DI76" s="4">
        <f t="shared" si="97"/>
        <v>3995.31</v>
      </c>
      <c r="DJ76" s="4">
        <f t="shared" si="97"/>
        <v>1155.3399999999999</v>
      </c>
      <c r="DK76" s="4">
        <f t="shared" si="97"/>
        <v>186992.4</v>
      </c>
      <c r="DL76" s="4">
        <f t="shared" si="97"/>
        <v>0</v>
      </c>
      <c r="DM76" s="4">
        <f>DM46+DZ76</f>
        <v>252.13564244000003</v>
      </c>
      <c r="DN76" s="4">
        <f>DN46+EA76</f>
        <v>0</v>
      </c>
      <c r="DO76" s="4">
        <f>ROUND(DO46+EB76,2)</f>
        <v>0</v>
      </c>
      <c r="DP76" s="4">
        <f>ROUND(DP46+EC76,2)</f>
        <v>173095.92</v>
      </c>
      <c r="DQ76" s="4">
        <f>ROUND(DQ46+ED76,2)</f>
        <v>92192.4</v>
      </c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>
        <f t="shared" ref="EG76:EV76" si="98">ROUND(EG46+FP76,2)</f>
        <v>0</v>
      </c>
      <c r="EH76" s="4">
        <f t="shared" si="98"/>
        <v>373512.32</v>
      </c>
      <c r="EI76" s="4">
        <f t="shared" si="98"/>
        <v>0</v>
      </c>
      <c r="EJ76" s="4">
        <f t="shared" si="98"/>
        <v>837051.57</v>
      </c>
      <c r="EK76" s="4">
        <f t="shared" si="98"/>
        <v>0</v>
      </c>
      <c r="EL76" s="4">
        <f t="shared" si="98"/>
        <v>463539.25</v>
      </c>
      <c r="EM76" s="4">
        <f t="shared" si="98"/>
        <v>0</v>
      </c>
      <c r="EN76" s="4">
        <f t="shared" si="98"/>
        <v>380775.54</v>
      </c>
      <c r="EO76" s="4">
        <f t="shared" si="98"/>
        <v>7263.22</v>
      </c>
      <c r="EP76" s="4">
        <f t="shared" si="98"/>
        <v>0</v>
      </c>
      <c r="EQ76" s="4">
        <f t="shared" si="98"/>
        <v>7263.22</v>
      </c>
      <c r="ER76" s="4">
        <f t="shared" si="98"/>
        <v>373512.32</v>
      </c>
      <c r="ES76" s="4">
        <f t="shared" si="98"/>
        <v>0</v>
      </c>
      <c r="ET76" s="4">
        <f t="shared" si="98"/>
        <v>0</v>
      </c>
      <c r="EU76" s="4">
        <f t="shared" si="98"/>
        <v>0</v>
      </c>
      <c r="EV76" s="4">
        <f t="shared" si="98"/>
        <v>0</v>
      </c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>
        <v>0</v>
      </c>
    </row>
    <row r="78" spans="1:206" x14ac:dyDescent="0.2">
      <c r="A78" s="5">
        <v>50</v>
      </c>
      <c r="B78" s="5">
        <v>0</v>
      </c>
      <c r="C78" s="5">
        <v>0</v>
      </c>
      <c r="D78" s="5">
        <v>1</v>
      </c>
      <c r="E78" s="5">
        <v>201</v>
      </c>
      <c r="F78" s="5">
        <f>ROUND(Source!O76,O78)</f>
        <v>53199.99</v>
      </c>
      <c r="G78" s="5" t="s">
        <v>65</v>
      </c>
      <c r="H78" s="5" t="s">
        <v>66</v>
      </c>
      <c r="I78" s="5"/>
      <c r="J78" s="5"/>
      <c r="K78" s="5">
        <v>201</v>
      </c>
      <c r="L78" s="5">
        <v>1</v>
      </c>
      <c r="M78" s="5">
        <v>3</v>
      </c>
      <c r="N78" s="5" t="s">
        <v>3</v>
      </c>
      <c r="O78" s="5">
        <v>2</v>
      </c>
      <c r="P78" s="5">
        <f>ROUND(Source!DG76,O78)</f>
        <v>571763.25</v>
      </c>
      <c r="Q78" s="5"/>
      <c r="R78" s="5"/>
      <c r="S78" s="5"/>
      <c r="T78" s="5"/>
      <c r="U78" s="5"/>
      <c r="V78" s="5"/>
      <c r="W78" s="5">
        <v>53199.99</v>
      </c>
      <c r="X78" s="5">
        <v>1</v>
      </c>
      <c r="Y78" s="5">
        <v>53199.99</v>
      </c>
      <c r="Z78" s="5">
        <v>571763.25</v>
      </c>
      <c r="AA78" s="5">
        <v>1</v>
      </c>
      <c r="AB78" s="5">
        <v>571763.25</v>
      </c>
    </row>
    <row r="79" spans="1:206" x14ac:dyDescent="0.2">
      <c r="A79" s="5">
        <v>50</v>
      </c>
      <c r="B79" s="5">
        <v>0</v>
      </c>
      <c r="C79" s="5">
        <v>0</v>
      </c>
      <c r="D79" s="5">
        <v>1</v>
      </c>
      <c r="E79" s="5">
        <v>202</v>
      </c>
      <c r="F79" s="5">
        <f>ROUND(Source!P76,O79)</f>
        <v>49495.8</v>
      </c>
      <c r="G79" s="5" t="s">
        <v>67</v>
      </c>
      <c r="H79" s="5" t="s">
        <v>68</v>
      </c>
      <c r="I79" s="5"/>
      <c r="J79" s="5"/>
      <c r="K79" s="5">
        <v>202</v>
      </c>
      <c r="L79" s="5">
        <v>2</v>
      </c>
      <c r="M79" s="5">
        <v>3</v>
      </c>
      <c r="N79" s="5" t="s">
        <v>3</v>
      </c>
      <c r="O79" s="5">
        <v>2</v>
      </c>
      <c r="P79" s="5">
        <f>ROUND(Source!DH76,O79)</f>
        <v>380775.54</v>
      </c>
      <c r="Q79" s="5"/>
      <c r="R79" s="5"/>
      <c r="S79" s="5"/>
      <c r="T79" s="5"/>
      <c r="U79" s="5"/>
      <c r="V79" s="5"/>
      <c r="W79" s="5">
        <v>49495.8</v>
      </c>
      <c r="X79" s="5">
        <v>1</v>
      </c>
      <c r="Y79" s="5">
        <v>49495.8</v>
      </c>
      <c r="Z79" s="5">
        <v>380775.54</v>
      </c>
      <c r="AA79" s="5">
        <v>1</v>
      </c>
      <c r="AB79" s="5">
        <v>380775.54</v>
      </c>
    </row>
    <row r="80" spans="1:206" x14ac:dyDescent="0.2">
      <c r="A80" s="5">
        <v>50</v>
      </c>
      <c r="B80" s="5">
        <v>0</v>
      </c>
      <c r="C80" s="5">
        <v>0</v>
      </c>
      <c r="D80" s="5">
        <v>1</v>
      </c>
      <c r="E80" s="5">
        <v>222</v>
      </c>
      <c r="F80" s="5">
        <f>ROUND(Source!AO76,O80)</f>
        <v>0</v>
      </c>
      <c r="G80" s="5" t="s">
        <v>69</v>
      </c>
      <c r="H80" s="5" t="s">
        <v>70</v>
      </c>
      <c r="I80" s="5"/>
      <c r="J80" s="5"/>
      <c r="K80" s="5">
        <v>222</v>
      </c>
      <c r="L80" s="5">
        <v>3</v>
      </c>
      <c r="M80" s="5">
        <v>3</v>
      </c>
      <c r="N80" s="5" t="s">
        <v>3</v>
      </c>
      <c r="O80" s="5">
        <v>2</v>
      </c>
      <c r="P80" s="5">
        <f>ROUND(Source!EG76,O80)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8" x14ac:dyDescent="0.2">
      <c r="A81" s="5">
        <v>50</v>
      </c>
      <c r="B81" s="5">
        <v>0</v>
      </c>
      <c r="C81" s="5">
        <v>0</v>
      </c>
      <c r="D81" s="5">
        <v>1</v>
      </c>
      <c r="E81" s="5">
        <v>225</v>
      </c>
      <c r="F81" s="5">
        <f>ROUND(Source!AV76,O81)</f>
        <v>49495.8</v>
      </c>
      <c r="G81" s="5" t="s">
        <v>71</v>
      </c>
      <c r="H81" s="5" t="s">
        <v>72</v>
      </c>
      <c r="I81" s="5"/>
      <c r="J81" s="5"/>
      <c r="K81" s="5">
        <v>225</v>
      </c>
      <c r="L81" s="5">
        <v>4</v>
      </c>
      <c r="M81" s="5">
        <v>3</v>
      </c>
      <c r="N81" s="5" t="s">
        <v>3</v>
      </c>
      <c r="O81" s="5">
        <v>2</v>
      </c>
      <c r="P81" s="5">
        <f>ROUND(Source!EN76,O81)</f>
        <v>380775.54</v>
      </c>
      <c r="Q81" s="5"/>
      <c r="R81" s="5"/>
      <c r="S81" s="5"/>
      <c r="T81" s="5"/>
      <c r="U81" s="5"/>
      <c r="V81" s="5"/>
      <c r="W81" s="5">
        <v>49495.8</v>
      </c>
      <c r="X81" s="5">
        <v>1</v>
      </c>
      <c r="Y81" s="5">
        <v>49495.8</v>
      </c>
      <c r="Z81" s="5">
        <v>380775.54</v>
      </c>
      <c r="AA81" s="5">
        <v>1</v>
      </c>
      <c r="AB81" s="5">
        <v>380775.54</v>
      </c>
    </row>
    <row r="82" spans="1:28" x14ac:dyDescent="0.2">
      <c r="A82" s="5">
        <v>50</v>
      </c>
      <c r="B82" s="5">
        <v>0</v>
      </c>
      <c r="C82" s="5">
        <v>0</v>
      </c>
      <c r="D82" s="5">
        <v>1</v>
      </c>
      <c r="E82" s="5">
        <v>226</v>
      </c>
      <c r="F82" s="5">
        <f>ROUND(Source!AW76,O82)</f>
        <v>734.4</v>
      </c>
      <c r="G82" s="5" t="s">
        <v>73</v>
      </c>
      <c r="H82" s="5" t="s">
        <v>74</v>
      </c>
      <c r="I82" s="5"/>
      <c r="J82" s="5"/>
      <c r="K82" s="5">
        <v>226</v>
      </c>
      <c r="L82" s="5">
        <v>5</v>
      </c>
      <c r="M82" s="5">
        <v>3</v>
      </c>
      <c r="N82" s="5" t="s">
        <v>3</v>
      </c>
      <c r="O82" s="5">
        <v>2</v>
      </c>
      <c r="P82" s="5">
        <f>ROUND(Source!EO76,O82)</f>
        <v>7263.22</v>
      </c>
      <c r="Q82" s="5"/>
      <c r="R82" s="5"/>
      <c r="S82" s="5"/>
      <c r="T82" s="5"/>
      <c r="U82" s="5"/>
      <c r="V82" s="5"/>
      <c r="W82" s="5">
        <v>734.4</v>
      </c>
      <c r="X82" s="5">
        <v>1</v>
      </c>
      <c r="Y82" s="5">
        <v>734.4</v>
      </c>
      <c r="Z82" s="5">
        <v>7263.22</v>
      </c>
      <c r="AA82" s="5">
        <v>1</v>
      </c>
      <c r="AB82" s="5">
        <v>7263.22</v>
      </c>
    </row>
    <row r="83" spans="1:28" x14ac:dyDescent="0.2">
      <c r="A83" s="5">
        <v>50</v>
      </c>
      <c r="B83" s="5">
        <v>0</v>
      </c>
      <c r="C83" s="5">
        <v>0</v>
      </c>
      <c r="D83" s="5">
        <v>1</v>
      </c>
      <c r="E83" s="5">
        <v>227</v>
      </c>
      <c r="F83" s="5">
        <f>ROUND(Source!AX76,O83)</f>
        <v>0</v>
      </c>
      <c r="G83" s="5" t="s">
        <v>75</v>
      </c>
      <c r="H83" s="5" t="s">
        <v>76</v>
      </c>
      <c r="I83" s="5"/>
      <c r="J83" s="5"/>
      <c r="K83" s="5">
        <v>227</v>
      </c>
      <c r="L83" s="5">
        <v>6</v>
      </c>
      <c r="M83" s="5">
        <v>3</v>
      </c>
      <c r="N83" s="5" t="s">
        <v>3</v>
      </c>
      <c r="O83" s="5">
        <v>2</v>
      </c>
      <c r="P83" s="5">
        <f>ROUND(Source!EP76,O83)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8" x14ac:dyDescent="0.2">
      <c r="A84" s="5">
        <v>50</v>
      </c>
      <c r="B84" s="5">
        <v>0</v>
      </c>
      <c r="C84" s="5">
        <v>0</v>
      </c>
      <c r="D84" s="5">
        <v>1</v>
      </c>
      <c r="E84" s="5">
        <v>228</v>
      </c>
      <c r="F84" s="5">
        <f>ROUND(Source!AY76,O84)</f>
        <v>734.4</v>
      </c>
      <c r="G84" s="5" t="s">
        <v>77</v>
      </c>
      <c r="H84" s="5" t="s">
        <v>78</v>
      </c>
      <c r="I84" s="5"/>
      <c r="J84" s="5"/>
      <c r="K84" s="5">
        <v>228</v>
      </c>
      <c r="L84" s="5">
        <v>7</v>
      </c>
      <c r="M84" s="5">
        <v>3</v>
      </c>
      <c r="N84" s="5" t="s">
        <v>3</v>
      </c>
      <c r="O84" s="5">
        <v>2</v>
      </c>
      <c r="P84" s="5">
        <f>ROUND(Source!EQ76,O84)</f>
        <v>7263.22</v>
      </c>
      <c r="Q84" s="5"/>
      <c r="R84" s="5"/>
      <c r="S84" s="5"/>
      <c r="T84" s="5"/>
      <c r="U84" s="5"/>
      <c r="V84" s="5"/>
      <c r="W84" s="5">
        <v>734.4</v>
      </c>
      <c r="X84" s="5">
        <v>1</v>
      </c>
      <c r="Y84" s="5">
        <v>734.4</v>
      </c>
      <c r="Z84" s="5">
        <v>7263.22</v>
      </c>
      <c r="AA84" s="5">
        <v>1</v>
      </c>
      <c r="AB84" s="5">
        <v>7263.22</v>
      </c>
    </row>
    <row r="85" spans="1:28" x14ac:dyDescent="0.2">
      <c r="A85" s="5">
        <v>50</v>
      </c>
      <c r="B85" s="5">
        <v>0</v>
      </c>
      <c r="C85" s="5">
        <v>0</v>
      </c>
      <c r="D85" s="5">
        <v>1</v>
      </c>
      <c r="E85" s="5">
        <v>216</v>
      </c>
      <c r="F85" s="5">
        <f>ROUND(Source!AP76,O85)</f>
        <v>48761.4</v>
      </c>
      <c r="G85" s="5" t="s">
        <v>79</v>
      </c>
      <c r="H85" s="5" t="s">
        <v>80</v>
      </c>
      <c r="I85" s="5"/>
      <c r="J85" s="5"/>
      <c r="K85" s="5">
        <v>216</v>
      </c>
      <c r="L85" s="5">
        <v>8</v>
      </c>
      <c r="M85" s="5">
        <v>3</v>
      </c>
      <c r="N85" s="5" t="s">
        <v>3</v>
      </c>
      <c r="O85" s="5">
        <v>2</v>
      </c>
      <c r="P85" s="5">
        <f>ROUND(Source!EH76,O85)</f>
        <v>373512.32</v>
      </c>
      <c r="Q85" s="5"/>
      <c r="R85" s="5"/>
      <c r="S85" s="5"/>
      <c r="T85" s="5"/>
      <c r="U85" s="5"/>
      <c r="V85" s="5"/>
      <c r="W85" s="5">
        <v>48761.4</v>
      </c>
      <c r="X85" s="5">
        <v>1</v>
      </c>
      <c r="Y85" s="5">
        <v>48761.4</v>
      </c>
      <c r="Z85" s="5">
        <v>373512.32</v>
      </c>
      <c r="AA85" s="5">
        <v>1</v>
      </c>
      <c r="AB85" s="5">
        <v>373512.32</v>
      </c>
    </row>
    <row r="86" spans="1:28" x14ac:dyDescent="0.2">
      <c r="A86" s="5">
        <v>50</v>
      </c>
      <c r="B86" s="5">
        <v>0</v>
      </c>
      <c r="C86" s="5">
        <v>0</v>
      </c>
      <c r="D86" s="5">
        <v>1</v>
      </c>
      <c r="E86" s="5">
        <v>223</v>
      </c>
      <c r="F86" s="5">
        <f>ROUND(Source!AQ76,O86)</f>
        <v>0</v>
      </c>
      <c r="G86" s="5" t="s">
        <v>81</v>
      </c>
      <c r="H86" s="5" t="s">
        <v>82</v>
      </c>
      <c r="I86" s="5"/>
      <c r="J86" s="5"/>
      <c r="K86" s="5">
        <v>223</v>
      </c>
      <c r="L86" s="5">
        <v>9</v>
      </c>
      <c r="M86" s="5">
        <v>3</v>
      </c>
      <c r="N86" s="5" t="s">
        <v>3</v>
      </c>
      <c r="O86" s="5">
        <v>2</v>
      </c>
      <c r="P86" s="5">
        <f>ROUND(Source!EI76,O86)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8" x14ac:dyDescent="0.2">
      <c r="A87" s="5">
        <v>50</v>
      </c>
      <c r="B87" s="5">
        <v>0</v>
      </c>
      <c r="C87" s="5">
        <v>0</v>
      </c>
      <c r="D87" s="5">
        <v>1</v>
      </c>
      <c r="E87" s="5">
        <v>229</v>
      </c>
      <c r="F87" s="5">
        <f>ROUND(Source!AZ76,O87)</f>
        <v>48761.4</v>
      </c>
      <c r="G87" s="5" t="s">
        <v>83</v>
      </c>
      <c r="H87" s="5" t="s">
        <v>84</v>
      </c>
      <c r="I87" s="5"/>
      <c r="J87" s="5"/>
      <c r="K87" s="5">
        <v>229</v>
      </c>
      <c r="L87" s="5">
        <v>10</v>
      </c>
      <c r="M87" s="5">
        <v>3</v>
      </c>
      <c r="N87" s="5" t="s">
        <v>3</v>
      </c>
      <c r="O87" s="5">
        <v>2</v>
      </c>
      <c r="P87" s="5">
        <f>ROUND(Source!ER76,O87)</f>
        <v>373512.32</v>
      </c>
      <c r="Q87" s="5"/>
      <c r="R87" s="5"/>
      <c r="S87" s="5"/>
      <c r="T87" s="5"/>
      <c r="U87" s="5"/>
      <c r="V87" s="5"/>
      <c r="W87" s="5">
        <v>48761.4</v>
      </c>
      <c r="X87" s="5">
        <v>1</v>
      </c>
      <c r="Y87" s="5">
        <v>48761.4</v>
      </c>
      <c r="Z87" s="5">
        <v>373512.32</v>
      </c>
      <c r="AA87" s="5">
        <v>1</v>
      </c>
      <c r="AB87" s="5">
        <v>373512.32</v>
      </c>
    </row>
    <row r="88" spans="1:28" x14ac:dyDescent="0.2">
      <c r="A88" s="5">
        <v>50</v>
      </c>
      <c r="B88" s="5">
        <v>0</v>
      </c>
      <c r="C88" s="5">
        <v>0</v>
      </c>
      <c r="D88" s="5">
        <v>1</v>
      </c>
      <c r="E88" s="5">
        <v>203</v>
      </c>
      <c r="F88" s="5">
        <f>ROUND(Source!Q76,O88)</f>
        <v>303.70999999999998</v>
      </c>
      <c r="G88" s="5" t="s">
        <v>85</v>
      </c>
      <c r="H88" s="5" t="s">
        <v>86</v>
      </c>
      <c r="I88" s="5"/>
      <c r="J88" s="5"/>
      <c r="K88" s="5">
        <v>203</v>
      </c>
      <c r="L88" s="5">
        <v>11</v>
      </c>
      <c r="M88" s="5">
        <v>3</v>
      </c>
      <c r="N88" s="5" t="s">
        <v>3</v>
      </c>
      <c r="O88" s="5">
        <v>2</v>
      </c>
      <c r="P88" s="5">
        <f>ROUND(Source!DI76,O88)</f>
        <v>3995.31</v>
      </c>
      <c r="Q88" s="5"/>
      <c r="R88" s="5"/>
      <c r="S88" s="5"/>
      <c r="T88" s="5"/>
      <c r="U88" s="5"/>
      <c r="V88" s="5"/>
      <c r="W88" s="5">
        <v>303.70999999999998</v>
      </c>
      <c r="X88" s="5">
        <v>1</v>
      </c>
      <c r="Y88" s="5">
        <v>303.70999999999998</v>
      </c>
      <c r="Z88" s="5">
        <v>3995.31</v>
      </c>
      <c r="AA88" s="5">
        <v>1</v>
      </c>
      <c r="AB88" s="5">
        <v>3995.31</v>
      </c>
    </row>
    <row r="89" spans="1:28" x14ac:dyDescent="0.2">
      <c r="A89" s="5">
        <v>50</v>
      </c>
      <c r="B89" s="5">
        <v>0</v>
      </c>
      <c r="C89" s="5">
        <v>0</v>
      </c>
      <c r="D89" s="5">
        <v>1</v>
      </c>
      <c r="E89" s="5">
        <v>231</v>
      </c>
      <c r="F89" s="5">
        <f>ROUND(Source!BB76,O89)</f>
        <v>0</v>
      </c>
      <c r="G89" s="5" t="s">
        <v>87</v>
      </c>
      <c r="H89" s="5" t="s">
        <v>88</v>
      </c>
      <c r="I89" s="5"/>
      <c r="J89" s="5"/>
      <c r="K89" s="5">
        <v>231</v>
      </c>
      <c r="L89" s="5">
        <v>12</v>
      </c>
      <c r="M89" s="5">
        <v>3</v>
      </c>
      <c r="N89" s="5" t="s">
        <v>3</v>
      </c>
      <c r="O89" s="5">
        <v>2</v>
      </c>
      <c r="P89" s="5">
        <f>ROUND(Source!ET76,O89)</f>
        <v>0</v>
      </c>
      <c r="Q89" s="5"/>
      <c r="R89" s="5"/>
      <c r="S89" s="5"/>
      <c r="T89" s="5"/>
      <c r="U89" s="5"/>
      <c r="V89" s="5"/>
      <c r="W89" s="5">
        <v>0</v>
      </c>
      <c r="X89" s="5">
        <v>1</v>
      </c>
      <c r="Y89" s="5">
        <v>0</v>
      </c>
      <c r="Z89" s="5">
        <v>0</v>
      </c>
      <c r="AA89" s="5">
        <v>1</v>
      </c>
      <c r="AB89" s="5">
        <v>0</v>
      </c>
    </row>
    <row r="90" spans="1:28" x14ac:dyDescent="0.2">
      <c r="A90" s="5">
        <v>50</v>
      </c>
      <c r="B90" s="5">
        <v>0</v>
      </c>
      <c r="C90" s="5">
        <v>0</v>
      </c>
      <c r="D90" s="5">
        <v>1</v>
      </c>
      <c r="E90" s="5">
        <v>204</v>
      </c>
      <c r="F90" s="5">
        <f>ROUND(Source!R76,O90)</f>
        <v>21.01</v>
      </c>
      <c r="G90" s="5" t="s">
        <v>89</v>
      </c>
      <c r="H90" s="5" t="s">
        <v>90</v>
      </c>
      <c r="I90" s="5"/>
      <c r="J90" s="5"/>
      <c r="K90" s="5">
        <v>204</v>
      </c>
      <c r="L90" s="5">
        <v>13</v>
      </c>
      <c r="M90" s="5">
        <v>3</v>
      </c>
      <c r="N90" s="5" t="s">
        <v>3</v>
      </c>
      <c r="O90" s="5">
        <v>2</v>
      </c>
      <c r="P90" s="5">
        <f>ROUND(Source!DJ76,O90)</f>
        <v>1155.3399999999999</v>
      </c>
      <c r="Q90" s="5"/>
      <c r="R90" s="5"/>
      <c r="S90" s="5"/>
      <c r="T90" s="5"/>
      <c r="U90" s="5"/>
      <c r="V90" s="5"/>
      <c r="W90" s="5">
        <v>21.01</v>
      </c>
      <c r="X90" s="5">
        <v>1</v>
      </c>
      <c r="Y90" s="5">
        <v>21.01</v>
      </c>
      <c r="Z90" s="5">
        <v>1155.3399999999999</v>
      </c>
      <c r="AA90" s="5">
        <v>1</v>
      </c>
      <c r="AB90" s="5">
        <v>1155.3399999999999</v>
      </c>
    </row>
    <row r="91" spans="1:28" x14ac:dyDescent="0.2">
      <c r="A91" s="5">
        <v>50</v>
      </c>
      <c r="B91" s="5">
        <v>0</v>
      </c>
      <c r="C91" s="5">
        <v>0</v>
      </c>
      <c r="D91" s="5">
        <v>1</v>
      </c>
      <c r="E91" s="5">
        <v>205</v>
      </c>
      <c r="F91" s="5">
        <f>ROUND(Source!S76,O91)</f>
        <v>3400.48</v>
      </c>
      <c r="G91" s="5" t="s">
        <v>91</v>
      </c>
      <c r="H91" s="5" t="s">
        <v>92</v>
      </c>
      <c r="I91" s="5"/>
      <c r="J91" s="5"/>
      <c r="K91" s="5">
        <v>205</v>
      </c>
      <c r="L91" s="5">
        <v>14</v>
      </c>
      <c r="M91" s="5">
        <v>3</v>
      </c>
      <c r="N91" s="5" t="s">
        <v>3</v>
      </c>
      <c r="O91" s="5">
        <v>2</v>
      </c>
      <c r="P91" s="5">
        <f>ROUND(Source!DK76,O91)</f>
        <v>186992.4</v>
      </c>
      <c r="Q91" s="5"/>
      <c r="R91" s="5"/>
      <c r="S91" s="5"/>
      <c r="T91" s="5"/>
      <c r="U91" s="5"/>
      <c r="V91" s="5"/>
      <c r="W91" s="5">
        <v>3400.48</v>
      </c>
      <c r="X91" s="5">
        <v>1</v>
      </c>
      <c r="Y91" s="5">
        <v>3400.48</v>
      </c>
      <c r="Z91" s="5">
        <v>186992.4</v>
      </c>
      <c r="AA91" s="5">
        <v>1</v>
      </c>
      <c r="AB91" s="5">
        <v>186992.4</v>
      </c>
    </row>
    <row r="92" spans="1:28" x14ac:dyDescent="0.2">
      <c r="A92" s="5">
        <v>50</v>
      </c>
      <c r="B92" s="5">
        <v>0</v>
      </c>
      <c r="C92" s="5">
        <v>0</v>
      </c>
      <c r="D92" s="5">
        <v>1</v>
      </c>
      <c r="E92" s="5">
        <v>232</v>
      </c>
      <c r="F92" s="5">
        <f>ROUND(Source!BC76,O92)</f>
        <v>0</v>
      </c>
      <c r="G92" s="5" t="s">
        <v>93</v>
      </c>
      <c r="H92" s="5" t="s">
        <v>94</v>
      </c>
      <c r="I92" s="5"/>
      <c r="J92" s="5"/>
      <c r="K92" s="5">
        <v>232</v>
      </c>
      <c r="L92" s="5">
        <v>15</v>
      </c>
      <c r="M92" s="5">
        <v>3</v>
      </c>
      <c r="N92" s="5" t="s">
        <v>3</v>
      </c>
      <c r="O92" s="5">
        <v>2</v>
      </c>
      <c r="P92" s="5">
        <f>ROUND(Source!EU76,O92)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8" x14ac:dyDescent="0.2">
      <c r="A93" s="5">
        <v>50</v>
      </c>
      <c r="B93" s="5">
        <v>0</v>
      </c>
      <c r="C93" s="5">
        <v>0</v>
      </c>
      <c r="D93" s="5">
        <v>1</v>
      </c>
      <c r="E93" s="5">
        <v>214</v>
      </c>
      <c r="F93" s="5">
        <f>ROUND(Source!AS76,O93)</f>
        <v>0</v>
      </c>
      <c r="G93" s="5" t="s">
        <v>95</v>
      </c>
      <c r="H93" s="5" t="s">
        <v>96</v>
      </c>
      <c r="I93" s="5"/>
      <c r="J93" s="5"/>
      <c r="K93" s="5">
        <v>214</v>
      </c>
      <c r="L93" s="5">
        <v>16</v>
      </c>
      <c r="M93" s="5">
        <v>3</v>
      </c>
      <c r="N93" s="5" t="s">
        <v>3</v>
      </c>
      <c r="O93" s="5">
        <v>2</v>
      </c>
      <c r="P93" s="5">
        <f>ROUND(Source!EK76,O93)</f>
        <v>0</v>
      </c>
      <c r="Q93" s="5"/>
      <c r="R93" s="5"/>
      <c r="S93" s="5"/>
      <c r="T93" s="5"/>
      <c r="U93" s="5"/>
      <c r="V93" s="5"/>
      <c r="W93" s="5">
        <v>0</v>
      </c>
      <c r="X93" s="5">
        <v>1</v>
      </c>
      <c r="Y93" s="5">
        <v>0</v>
      </c>
      <c r="Z93" s="5">
        <v>0</v>
      </c>
      <c r="AA93" s="5">
        <v>1</v>
      </c>
      <c r="AB93" s="5">
        <v>0</v>
      </c>
    </row>
    <row r="94" spans="1:28" x14ac:dyDescent="0.2">
      <c r="A94" s="5">
        <v>50</v>
      </c>
      <c r="B94" s="5">
        <v>0</v>
      </c>
      <c r="C94" s="5">
        <v>0</v>
      </c>
      <c r="D94" s="5">
        <v>1</v>
      </c>
      <c r="E94" s="5">
        <v>215</v>
      </c>
      <c r="F94" s="5">
        <f>ROUND(Source!AT76,O94)</f>
        <v>9262.89</v>
      </c>
      <c r="G94" s="5" t="s">
        <v>97</v>
      </c>
      <c r="H94" s="5" t="s">
        <v>98</v>
      </c>
      <c r="I94" s="5"/>
      <c r="J94" s="5"/>
      <c r="K94" s="5">
        <v>215</v>
      </c>
      <c r="L94" s="5">
        <v>17</v>
      </c>
      <c r="M94" s="5">
        <v>3</v>
      </c>
      <c r="N94" s="5" t="s">
        <v>3</v>
      </c>
      <c r="O94" s="5">
        <v>2</v>
      </c>
      <c r="P94" s="5">
        <f>ROUND(Source!EL76,O94)</f>
        <v>463539.25</v>
      </c>
      <c r="Q94" s="5"/>
      <c r="R94" s="5"/>
      <c r="S94" s="5"/>
      <c r="T94" s="5"/>
      <c r="U94" s="5"/>
      <c r="V94" s="5"/>
      <c r="W94" s="5">
        <v>9262.89</v>
      </c>
      <c r="X94" s="5">
        <v>1</v>
      </c>
      <c r="Y94" s="5">
        <v>9262.89</v>
      </c>
      <c r="Z94" s="5">
        <v>463539.25</v>
      </c>
      <c r="AA94" s="5">
        <v>1</v>
      </c>
      <c r="AB94" s="5">
        <v>463539.25</v>
      </c>
    </row>
    <row r="95" spans="1:28" x14ac:dyDescent="0.2">
      <c r="A95" s="5">
        <v>50</v>
      </c>
      <c r="B95" s="5">
        <v>0</v>
      </c>
      <c r="C95" s="5">
        <v>0</v>
      </c>
      <c r="D95" s="5">
        <v>1</v>
      </c>
      <c r="E95" s="5">
        <v>217</v>
      </c>
      <c r="F95" s="5">
        <f>ROUND(Source!AU76,O95)</f>
        <v>0</v>
      </c>
      <c r="G95" s="5" t="s">
        <v>99</v>
      </c>
      <c r="H95" s="5" t="s">
        <v>100</v>
      </c>
      <c r="I95" s="5"/>
      <c r="J95" s="5"/>
      <c r="K95" s="5">
        <v>217</v>
      </c>
      <c r="L95" s="5">
        <v>18</v>
      </c>
      <c r="M95" s="5">
        <v>3</v>
      </c>
      <c r="N95" s="5" t="s">
        <v>3</v>
      </c>
      <c r="O95" s="5">
        <v>2</v>
      </c>
      <c r="P95" s="5">
        <f>ROUND(Source!EM76,O95)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8" x14ac:dyDescent="0.2">
      <c r="A96" s="5">
        <v>50</v>
      </c>
      <c r="B96" s="5">
        <v>0</v>
      </c>
      <c r="C96" s="5">
        <v>0</v>
      </c>
      <c r="D96" s="5">
        <v>1</v>
      </c>
      <c r="E96" s="5">
        <v>230</v>
      </c>
      <c r="F96" s="5">
        <f>ROUND(Source!BA76,O96)</f>
        <v>0</v>
      </c>
      <c r="G96" s="5" t="s">
        <v>101</v>
      </c>
      <c r="H96" s="5" t="s">
        <v>102</v>
      </c>
      <c r="I96" s="5"/>
      <c r="J96" s="5"/>
      <c r="K96" s="5">
        <v>230</v>
      </c>
      <c r="L96" s="5">
        <v>19</v>
      </c>
      <c r="M96" s="5">
        <v>3</v>
      </c>
      <c r="N96" s="5" t="s">
        <v>3</v>
      </c>
      <c r="O96" s="5">
        <v>2</v>
      </c>
      <c r="P96" s="5">
        <f>ROUND(Source!ES76,O96)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06" x14ac:dyDescent="0.2">
      <c r="A97" s="5">
        <v>50</v>
      </c>
      <c r="B97" s="5">
        <v>0</v>
      </c>
      <c r="C97" s="5">
        <v>0</v>
      </c>
      <c r="D97" s="5">
        <v>1</v>
      </c>
      <c r="E97" s="5">
        <v>206</v>
      </c>
      <c r="F97" s="5">
        <f>ROUND(Source!T76,O97)</f>
        <v>0</v>
      </c>
      <c r="G97" s="5" t="s">
        <v>103</v>
      </c>
      <c r="H97" s="5" t="s">
        <v>104</v>
      </c>
      <c r="I97" s="5"/>
      <c r="J97" s="5"/>
      <c r="K97" s="5">
        <v>206</v>
      </c>
      <c r="L97" s="5">
        <v>20</v>
      </c>
      <c r="M97" s="5">
        <v>3</v>
      </c>
      <c r="N97" s="5" t="s">
        <v>3</v>
      </c>
      <c r="O97" s="5">
        <v>2</v>
      </c>
      <c r="P97" s="5">
        <f>ROUND(Source!DL76,O97)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06" x14ac:dyDescent="0.2">
      <c r="A98" s="5">
        <v>50</v>
      </c>
      <c r="B98" s="5">
        <v>0</v>
      </c>
      <c r="C98" s="5">
        <v>0</v>
      </c>
      <c r="D98" s="5">
        <v>1</v>
      </c>
      <c r="E98" s="5">
        <v>207</v>
      </c>
      <c r="F98" s="5">
        <f>Source!U76</f>
        <v>252.13564244000003</v>
      </c>
      <c r="G98" s="5" t="s">
        <v>105</v>
      </c>
      <c r="H98" s="5" t="s">
        <v>106</v>
      </c>
      <c r="I98" s="5"/>
      <c r="J98" s="5"/>
      <c r="K98" s="5">
        <v>207</v>
      </c>
      <c r="L98" s="5">
        <v>21</v>
      </c>
      <c r="M98" s="5">
        <v>3</v>
      </c>
      <c r="N98" s="5" t="s">
        <v>3</v>
      </c>
      <c r="O98" s="5">
        <v>-1</v>
      </c>
      <c r="P98" s="5">
        <f>Source!DM76</f>
        <v>252.13564244000003</v>
      </c>
      <c r="Q98" s="5"/>
      <c r="R98" s="5"/>
      <c r="S98" s="5"/>
      <c r="T98" s="5"/>
      <c r="U98" s="5"/>
      <c r="V98" s="5"/>
      <c r="W98" s="5">
        <v>252.13564244</v>
      </c>
      <c r="X98" s="5">
        <v>1</v>
      </c>
      <c r="Y98" s="5">
        <v>252.13564244</v>
      </c>
      <c r="Z98" s="5">
        <v>252.13564244</v>
      </c>
      <c r="AA98" s="5">
        <v>1</v>
      </c>
      <c r="AB98" s="5">
        <v>252.13564244</v>
      </c>
    </row>
    <row r="99" spans="1:206" x14ac:dyDescent="0.2">
      <c r="A99" s="5">
        <v>50</v>
      </c>
      <c r="B99" s="5">
        <v>0</v>
      </c>
      <c r="C99" s="5">
        <v>0</v>
      </c>
      <c r="D99" s="5">
        <v>1</v>
      </c>
      <c r="E99" s="5">
        <v>208</v>
      </c>
      <c r="F99" s="5">
        <f>Source!V76</f>
        <v>0</v>
      </c>
      <c r="G99" s="5" t="s">
        <v>107</v>
      </c>
      <c r="H99" s="5" t="s">
        <v>108</v>
      </c>
      <c r="I99" s="5"/>
      <c r="J99" s="5"/>
      <c r="K99" s="5">
        <v>208</v>
      </c>
      <c r="L99" s="5">
        <v>22</v>
      </c>
      <c r="M99" s="5">
        <v>3</v>
      </c>
      <c r="N99" s="5" t="s">
        <v>3</v>
      </c>
      <c r="O99" s="5">
        <v>-1</v>
      </c>
      <c r="P99" s="5">
        <f>Source!DN76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06" x14ac:dyDescent="0.2">
      <c r="A100" s="5">
        <v>50</v>
      </c>
      <c r="B100" s="5">
        <v>0</v>
      </c>
      <c r="C100" s="5">
        <v>0</v>
      </c>
      <c r="D100" s="5">
        <v>1</v>
      </c>
      <c r="E100" s="5">
        <v>209</v>
      </c>
      <c r="F100" s="5">
        <f>ROUND(Source!W76,O100)</f>
        <v>0</v>
      </c>
      <c r="G100" s="5" t="s">
        <v>109</v>
      </c>
      <c r="H100" s="5" t="s">
        <v>110</v>
      </c>
      <c r="I100" s="5"/>
      <c r="J100" s="5"/>
      <c r="K100" s="5">
        <v>209</v>
      </c>
      <c r="L100" s="5">
        <v>23</v>
      </c>
      <c r="M100" s="5">
        <v>3</v>
      </c>
      <c r="N100" s="5" t="s">
        <v>3</v>
      </c>
      <c r="O100" s="5">
        <v>2</v>
      </c>
      <c r="P100" s="5">
        <f>ROUND(Source!DO76,O100)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06" x14ac:dyDescent="0.2">
      <c r="A101" s="5">
        <v>50</v>
      </c>
      <c r="B101" s="5">
        <v>0</v>
      </c>
      <c r="C101" s="5">
        <v>0</v>
      </c>
      <c r="D101" s="5">
        <v>1</v>
      </c>
      <c r="E101" s="5">
        <v>233</v>
      </c>
      <c r="F101" s="5">
        <f>ROUND(Source!BD76,O101)</f>
        <v>0</v>
      </c>
      <c r="G101" s="5" t="s">
        <v>111</v>
      </c>
      <c r="H101" s="5" t="s">
        <v>112</v>
      </c>
      <c r="I101" s="5"/>
      <c r="J101" s="5"/>
      <c r="K101" s="5">
        <v>233</v>
      </c>
      <c r="L101" s="5">
        <v>24</v>
      </c>
      <c r="M101" s="5">
        <v>3</v>
      </c>
      <c r="N101" s="5" t="s">
        <v>3</v>
      </c>
      <c r="O101" s="5">
        <v>2</v>
      </c>
      <c r="P101" s="5">
        <f>ROUND(Source!EV76,O101)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06" x14ac:dyDescent="0.2">
      <c r="A102" s="5">
        <v>50</v>
      </c>
      <c r="B102" s="5">
        <v>0</v>
      </c>
      <c r="C102" s="5">
        <v>0</v>
      </c>
      <c r="D102" s="5">
        <v>1</v>
      </c>
      <c r="E102" s="5">
        <v>210</v>
      </c>
      <c r="F102" s="5">
        <f>ROUND(Source!X76,O102)</f>
        <v>3147.77</v>
      </c>
      <c r="G102" s="5" t="s">
        <v>113</v>
      </c>
      <c r="H102" s="5" t="s">
        <v>114</v>
      </c>
      <c r="I102" s="5"/>
      <c r="J102" s="5"/>
      <c r="K102" s="5">
        <v>210</v>
      </c>
      <c r="L102" s="5">
        <v>25</v>
      </c>
      <c r="M102" s="5">
        <v>3</v>
      </c>
      <c r="N102" s="5" t="s">
        <v>3</v>
      </c>
      <c r="O102" s="5">
        <v>2</v>
      </c>
      <c r="P102" s="5">
        <f>ROUND(Source!DP76,O102)</f>
        <v>173095.92</v>
      </c>
      <c r="Q102" s="5"/>
      <c r="R102" s="5"/>
      <c r="S102" s="5"/>
      <c r="T102" s="5"/>
      <c r="U102" s="5"/>
      <c r="V102" s="5"/>
      <c r="W102" s="5">
        <v>3147.77</v>
      </c>
      <c r="X102" s="5">
        <v>1</v>
      </c>
      <c r="Y102" s="5">
        <v>3147.77</v>
      </c>
      <c r="Z102" s="5">
        <v>173095.92</v>
      </c>
      <c r="AA102" s="5">
        <v>1</v>
      </c>
      <c r="AB102" s="5">
        <v>173095.92</v>
      </c>
    </row>
    <row r="103" spans="1:206" x14ac:dyDescent="0.2">
      <c r="A103" s="5">
        <v>50</v>
      </c>
      <c r="B103" s="5">
        <v>0</v>
      </c>
      <c r="C103" s="5">
        <v>0</v>
      </c>
      <c r="D103" s="5">
        <v>1</v>
      </c>
      <c r="E103" s="5">
        <v>211</v>
      </c>
      <c r="F103" s="5">
        <f>ROUND(Source!Y76,O103)</f>
        <v>1676.53</v>
      </c>
      <c r="G103" s="5" t="s">
        <v>115</v>
      </c>
      <c r="H103" s="5" t="s">
        <v>116</v>
      </c>
      <c r="I103" s="5"/>
      <c r="J103" s="5"/>
      <c r="K103" s="5">
        <v>211</v>
      </c>
      <c r="L103" s="5">
        <v>26</v>
      </c>
      <c r="M103" s="5">
        <v>3</v>
      </c>
      <c r="N103" s="5" t="s">
        <v>3</v>
      </c>
      <c r="O103" s="5">
        <v>2</v>
      </c>
      <c r="P103" s="5">
        <f>ROUND(Source!DQ76,O103)</f>
        <v>92192.4</v>
      </c>
      <c r="Q103" s="5"/>
      <c r="R103" s="5"/>
      <c r="S103" s="5"/>
      <c r="T103" s="5"/>
      <c r="U103" s="5"/>
      <c r="V103" s="5"/>
      <c r="W103" s="5">
        <v>1676.53</v>
      </c>
      <c r="X103" s="5">
        <v>1</v>
      </c>
      <c r="Y103" s="5">
        <v>1676.53</v>
      </c>
      <c r="Z103" s="5">
        <v>92192.4</v>
      </c>
      <c r="AA103" s="5">
        <v>1</v>
      </c>
      <c r="AB103" s="5">
        <v>92192.4</v>
      </c>
    </row>
    <row r="104" spans="1:206" x14ac:dyDescent="0.2">
      <c r="A104" s="5">
        <v>50</v>
      </c>
      <c r="B104" s="5">
        <v>0</v>
      </c>
      <c r="C104" s="5">
        <v>0</v>
      </c>
      <c r="D104" s="5">
        <v>1</v>
      </c>
      <c r="E104" s="5">
        <v>224</v>
      </c>
      <c r="F104" s="5">
        <f>ROUND(Source!AR76,O104)</f>
        <v>58024.29</v>
      </c>
      <c r="G104" s="5" t="s">
        <v>117</v>
      </c>
      <c r="H104" s="5" t="s">
        <v>118</v>
      </c>
      <c r="I104" s="5"/>
      <c r="J104" s="5"/>
      <c r="K104" s="5">
        <v>224</v>
      </c>
      <c r="L104" s="5">
        <v>27</v>
      </c>
      <c r="M104" s="5">
        <v>3</v>
      </c>
      <c r="N104" s="5" t="s">
        <v>3</v>
      </c>
      <c r="O104" s="5">
        <v>2</v>
      </c>
      <c r="P104" s="5">
        <f>ROUND(Source!EJ76,O104)</f>
        <v>837051.57</v>
      </c>
      <c r="Q104" s="5"/>
      <c r="R104" s="5"/>
      <c r="S104" s="5"/>
      <c r="T104" s="5"/>
      <c r="U104" s="5"/>
      <c r="V104" s="5"/>
      <c r="W104" s="5">
        <v>58024.29</v>
      </c>
      <c r="X104" s="5">
        <v>1</v>
      </c>
      <c r="Y104" s="5">
        <v>58024.29</v>
      </c>
      <c r="Z104" s="5">
        <v>837051.57</v>
      </c>
      <c r="AA104" s="5">
        <v>1</v>
      </c>
      <c r="AB104" s="5">
        <v>837051.57</v>
      </c>
    </row>
    <row r="106" spans="1:206" x14ac:dyDescent="0.2">
      <c r="A106" s="3">
        <v>51</v>
      </c>
      <c r="B106" s="3">
        <f>B12</f>
        <v>145</v>
      </c>
      <c r="C106" s="3">
        <f>A12</f>
        <v>1</v>
      </c>
      <c r="D106" s="3">
        <f>ROW(A12)</f>
        <v>12</v>
      </c>
      <c r="E106" s="3"/>
      <c r="F106" s="3" t="str">
        <f>IF(F12&lt;&gt;"",F12,"")</f>
        <v>02-01-19</v>
      </c>
      <c r="G106" s="3" t="str">
        <f>IF(G12&lt;&gt;"",G12,"")</f>
        <v>02-01-19 Вертикальный транспорт</v>
      </c>
      <c r="H106" s="3">
        <v>0</v>
      </c>
      <c r="I106" s="3"/>
      <c r="J106" s="3"/>
      <c r="K106" s="3"/>
      <c r="L106" s="3"/>
      <c r="M106" s="3"/>
      <c r="N106" s="3"/>
      <c r="O106" s="3">
        <f t="shared" ref="O106:T106" si="99">ROUND(O76,2)</f>
        <v>53199.99</v>
      </c>
      <c r="P106" s="3">
        <f t="shared" si="99"/>
        <v>49495.8</v>
      </c>
      <c r="Q106" s="3">
        <f t="shared" si="99"/>
        <v>303.70999999999998</v>
      </c>
      <c r="R106" s="3">
        <f t="shared" si="99"/>
        <v>21.01</v>
      </c>
      <c r="S106" s="3">
        <f t="shared" si="99"/>
        <v>3400.48</v>
      </c>
      <c r="T106" s="3">
        <f t="shared" si="99"/>
        <v>0</v>
      </c>
      <c r="U106" s="3">
        <f>U76</f>
        <v>252.13564244000003</v>
      </c>
      <c r="V106" s="3">
        <f>V76</f>
        <v>0</v>
      </c>
      <c r="W106" s="3">
        <f>ROUND(W76,2)</f>
        <v>0</v>
      </c>
      <c r="X106" s="3">
        <f>ROUND(X76,2)</f>
        <v>3147.77</v>
      </c>
      <c r="Y106" s="3">
        <f>ROUND(Y76,2)</f>
        <v>1676.53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f t="shared" ref="AO106:BD106" si="100">ROUND(AO76,2)</f>
        <v>0</v>
      </c>
      <c r="AP106" s="3">
        <f t="shared" si="100"/>
        <v>48761.4</v>
      </c>
      <c r="AQ106" s="3">
        <f t="shared" si="100"/>
        <v>0</v>
      </c>
      <c r="AR106" s="3">
        <f t="shared" si="100"/>
        <v>58024.29</v>
      </c>
      <c r="AS106" s="3">
        <f t="shared" si="100"/>
        <v>0</v>
      </c>
      <c r="AT106" s="3">
        <f t="shared" si="100"/>
        <v>9262.89</v>
      </c>
      <c r="AU106" s="3">
        <f t="shared" si="100"/>
        <v>0</v>
      </c>
      <c r="AV106" s="3">
        <f t="shared" si="100"/>
        <v>49495.8</v>
      </c>
      <c r="AW106" s="3">
        <f t="shared" si="100"/>
        <v>734.4</v>
      </c>
      <c r="AX106" s="3">
        <f t="shared" si="100"/>
        <v>0</v>
      </c>
      <c r="AY106" s="3">
        <f t="shared" si="100"/>
        <v>734.4</v>
      </c>
      <c r="AZ106" s="3">
        <f t="shared" si="100"/>
        <v>48761.4</v>
      </c>
      <c r="BA106" s="3">
        <f t="shared" si="100"/>
        <v>0</v>
      </c>
      <c r="BB106" s="3">
        <f t="shared" si="100"/>
        <v>0</v>
      </c>
      <c r="BC106" s="3">
        <f t="shared" si="100"/>
        <v>0</v>
      </c>
      <c r="BD106" s="3">
        <f t="shared" si="100"/>
        <v>0</v>
      </c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4">
        <f t="shared" ref="DG106:DL106" si="101">ROUND(DG76,2)</f>
        <v>571763.25</v>
      </c>
      <c r="DH106" s="4">
        <f t="shared" si="101"/>
        <v>380775.54</v>
      </c>
      <c r="DI106" s="4">
        <f t="shared" si="101"/>
        <v>3995.31</v>
      </c>
      <c r="DJ106" s="4">
        <f t="shared" si="101"/>
        <v>1155.3399999999999</v>
      </c>
      <c r="DK106" s="4">
        <f t="shared" si="101"/>
        <v>186992.4</v>
      </c>
      <c r="DL106" s="4">
        <f t="shared" si="101"/>
        <v>0</v>
      </c>
      <c r="DM106" s="4">
        <f>DM76</f>
        <v>252.13564244000003</v>
      </c>
      <c r="DN106" s="4">
        <f>DN76</f>
        <v>0</v>
      </c>
      <c r="DO106" s="4">
        <f>ROUND(DO76,2)</f>
        <v>0</v>
      </c>
      <c r="DP106" s="4">
        <f>ROUND(DP76,2)</f>
        <v>173095.92</v>
      </c>
      <c r="DQ106" s="4">
        <f>ROUND(DQ76,2)</f>
        <v>92192.4</v>
      </c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>
        <f t="shared" ref="EG106:EV106" si="102">ROUND(EG76,2)</f>
        <v>0</v>
      </c>
      <c r="EH106" s="4">
        <f t="shared" si="102"/>
        <v>373512.32</v>
      </c>
      <c r="EI106" s="4">
        <f t="shared" si="102"/>
        <v>0</v>
      </c>
      <c r="EJ106" s="4">
        <f t="shared" si="102"/>
        <v>837051.57</v>
      </c>
      <c r="EK106" s="4">
        <f t="shared" si="102"/>
        <v>0</v>
      </c>
      <c r="EL106" s="4">
        <f t="shared" si="102"/>
        <v>463539.25</v>
      </c>
      <c r="EM106" s="4">
        <f t="shared" si="102"/>
        <v>0</v>
      </c>
      <c r="EN106" s="4">
        <f t="shared" si="102"/>
        <v>380775.54</v>
      </c>
      <c r="EO106" s="4">
        <f t="shared" si="102"/>
        <v>7263.22</v>
      </c>
      <c r="EP106" s="4">
        <f t="shared" si="102"/>
        <v>0</v>
      </c>
      <c r="EQ106" s="4">
        <f t="shared" si="102"/>
        <v>7263.22</v>
      </c>
      <c r="ER106" s="4">
        <f t="shared" si="102"/>
        <v>373512.32</v>
      </c>
      <c r="ES106" s="4">
        <f t="shared" si="102"/>
        <v>0</v>
      </c>
      <c r="ET106" s="4">
        <f t="shared" si="102"/>
        <v>0</v>
      </c>
      <c r="EU106" s="4">
        <f t="shared" si="102"/>
        <v>0</v>
      </c>
      <c r="EV106" s="4">
        <f t="shared" si="102"/>
        <v>0</v>
      </c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>
        <v>0</v>
      </c>
    </row>
    <row r="108" spans="1:206" x14ac:dyDescent="0.2">
      <c r="A108" s="5">
        <v>50</v>
      </c>
      <c r="B108" s="5">
        <v>0</v>
      </c>
      <c r="C108" s="5">
        <v>0</v>
      </c>
      <c r="D108" s="5">
        <v>1</v>
      </c>
      <c r="E108" s="5">
        <v>201</v>
      </c>
      <c r="F108" s="5">
        <f>ROUND(Source!O106,O108)</f>
        <v>53199.99</v>
      </c>
      <c r="G108" s="5" t="s">
        <v>65</v>
      </c>
      <c r="H108" s="5" t="s">
        <v>66</v>
      </c>
      <c r="I108" s="5"/>
      <c r="J108" s="5"/>
      <c r="K108" s="5">
        <v>201</v>
      </c>
      <c r="L108" s="5">
        <v>1</v>
      </c>
      <c r="M108" s="5">
        <v>3</v>
      </c>
      <c r="N108" s="5" t="s">
        <v>3</v>
      </c>
      <c r="O108" s="5">
        <v>2</v>
      </c>
      <c r="P108" s="5">
        <f>ROUND(Source!DG106,O108)</f>
        <v>571763.25</v>
      </c>
      <c r="Q108" s="5"/>
      <c r="R108" s="5"/>
      <c r="S108" s="5"/>
      <c r="T108" s="5"/>
      <c r="U108" s="5"/>
      <c r="V108" s="5"/>
      <c r="W108" s="5">
        <v>53199.99</v>
      </c>
      <c r="X108" s="5">
        <v>1</v>
      </c>
      <c r="Y108" s="5">
        <v>53199.99</v>
      </c>
      <c r="Z108" s="5">
        <v>571763.25</v>
      </c>
      <c r="AA108" s="5">
        <v>1</v>
      </c>
      <c r="AB108" s="5">
        <v>571763.25</v>
      </c>
    </row>
    <row r="109" spans="1:206" x14ac:dyDescent="0.2">
      <c r="A109" s="5">
        <v>50</v>
      </c>
      <c r="B109" s="5">
        <v>0</v>
      </c>
      <c r="C109" s="5">
        <v>0</v>
      </c>
      <c r="D109" s="5">
        <v>1</v>
      </c>
      <c r="E109" s="5">
        <v>202</v>
      </c>
      <c r="F109" s="5">
        <f>ROUND(Source!P106,O109)</f>
        <v>49495.8</v>
      </c>
      <c r="G109" s="5" t="s">
        <v>67</v>
      </c>
      <c r="H109" s="5" t="s">
        <v>68</v>
      </c>
      <c r="I109" s="5"/>
      <c r="J109" s="5"/>
      <c r="K109" s="5">
        <v>202</v>
      </c>
      <c r="L109" s="5">
        <v>2</v>
      </c>
      <c r="M109" s="5">
        <v>3</v>
      </c>
      <c r="N109" s="5" t="s">
        <v>3</v>
      </c>
      <c r="O109" s="5">
        <v>2</v>
      </c>
      <c r="P109" s="5">
        <f>ROUND(Source!DH106,O109)</f>
        <v>380775.54</v>
      </c>
      <c r="Q109" s="5"/>
      <c r="R109" s="5"/>
      <c r="S109" s="5"/>
      <c r="T109" s="5"/>
      <c r="U109" s="5"/>
      <c r="V109" s="5"/>
      <c r="W109" s="5">
        <v>49495.8</v>
      </c>
      <c r="X109" s="5">
        <v>1</v>
      </c>
      <c r="Y109" s="5">
        <v>49495.8</v>
      </c>
      <c r="Z109" s="5">
        <v>380775.54</v>
      </c>
      <c r="AA109" s="5">
        <v>1</v>
      </c>
      <c r="AB109" s="5">
        <v>380775.54</v>
      </c>
    </row>
    <row r="110" spans="1:206" x14ac:dyDescent="0.2">
      <c r="A110" s="5">
        <v>50</v>
      </c>
      <c r="B110" s="5">
        <v>0</v>
      </c>
      <c r="C110" s="5">
        <v>0</v>
      </c>
      <c r="D110" s="5">
        <v>1</v>
      </c>
      <c r="E110" s="5">
        <v>222</v>
      </c>
      <c r="F110" s="5">
        <f>ROUND(Source!AO106,O110)</f>
        <v>0</v>
      </c>
      <c r="G110" s="5" t="s">
        <v>69</v>
      </c>
      <c r="H110" s="5" t="s">
        <v>70</v>
      </c>
      <c r="I110" s="5"/>
      <c r="J110" s="5"/>
      <c r="K110" s="5">
        <v>222</v>
      </c>
      <c r="L110" s="5">
        <v>3</v>
      </c>
      <c r="M110" s="5">
        <v>3</v>
      </c>
      <c r="N110" s="5" t="s">
        <v>3</v>
      </c>
      <c r="O110" s="5">
        <v>2</v>
      </c>
      <c r="P110" s="5">
        <f>ROUND(Source!EG106,O110)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06" x14ac:dyDescent="0.2">
      <c r="A111" s="5">
        <v>50</v>
      </c>
      <c r="B111" s="5">
        <v>0</v>
      </c>
      <c r="C111" s="5">
        <v>0</v>
      </c>
      <c r="D111" s="5">
        <v>1</v>
      </c>
      <c r="E111" s="5">
        <v>225</v>
      </c>
      <c r="F111" s="5">
        <f>ROUND(Source!AV106,O111)</f>
        <v>49495.8</v>
      </c>
      <c r="G111" s="5" t="s">
        <v>71</v>
      </c>
      <c r="H111" s="5" t="s">
        <v>72</v>
      </c>
      <c r="I111" s="5"/>
      <c r="J111" s="5"/>
      <c r="K111" s="5">
        <v>225</v>
      </c>
      <c r="L111" s="5">
        <v>4</v>
      </c>
      <c r="M111" s="5">
        <v>3</v>
      </c>
      <c r="N111" s="5" t="s">
        <v>3</v>
      </c>
      <c r="O111" s="5">
        <v>2</v>
      </c>
      <c r="P111" s="5">
        <f>ROUND(Source!EN106,O111)</f>
        <v>380775.54</v>
      </c>
      <c r="Q111" s="5"/>
      <c r="R111" s="5"/>
      <c r="S111" s="5"/>
      <c r="T111" s="5"/>
      <c r="U111" s="5"/>
      <c r="V111" s="5"/>
      <c r="W111" s="5">
        <v>49495.8</v>
      </c>
      <c r="X111" s="5">
        <v>1</v>
      </c>
      <c r="Y111" s="5">
        <v>49495.8</v>
      </c>
      <c r="Z111" s="5">
        <v>380775.54</v>
      </c>
      <c r="AA111" s="5">
        <v>1</v>
      </c>
      <c r="AB111" s="5">
        <v>380775.54</v>
      </c>
    </row>
    <row r="112" spans="1:206" x14ac:dyDescent="0.2">
      <c r="A112" s="5">
        <v>50</v>
      </c>
      <c r="B112" s="5">
        <v>0</v>
      </c>
      <c r="C112" s="5">
        <v>0</v>
      </c>
      <c r="D112" s="5">
        <v>1</v>
      </c>
      <c r="E112" s="5">
        <v>226</v>
      </c>
      <c r="F112" s="5">
        <f>ROUND(Source!AW106,O112)</f>
        <v>734.4</v>
      </c>
      <c r="G112" s="5" t="s">
        <v>73</v>
      </c>
      <c r="H112" s="5" t="s">
        <v>74</v>
      </c>
      <c r="I112" s="5"/>
      <c r="J112" s="5"/>
      <c r="K112" s="5">
        <v>226</v>
      </c>
      <c r="L112" s="5">
        <v>5</v>
      </c>
      <c r="M112" s="5">
        <v>3</v>
      </c>
      <c r="N112" s="5" t="s">
        <v>3</v>
      </c>
      <c r="O112" s="5">
        <v>2</v>
      </c>
      <c r="P112" s="5">
        <f>ROUND(Source!EO106,O112)</f>
        <v>7263.22</v>
      </c>
      <c r="Q112" s="5"/>
      <c r="R112" s="5"/>
      <c r="S112" s="5"/>
      <c r="T112" s="5"/>
      <c r="U112" s="5"/>
      <c r="V112" s="5"/>
      <c r="W112" s="5">
        <v>734.4</v>
      </c>
      <c r="X112" s="5">
        <v>1</v>
      </c>
      <c r="Y112" s="5">
        <v>734.4</v>
      </c>
      <c r="Z112" s="5">
        <v>7263.22</v>
      </c>
      <c r="AA112" s="5">
        <v>1</v>
      </c>
      <c r="AB112" s="5">
        <v>7263.22</v>
      </c>
    </row>
    <row r="113" spans="1:28" x14ac:dyDescent="0.2">
      <c r="A113" s="5">
        <v>50</v>
      </c>
      <c r="B113" s="5">
        <v>0</v>
      </c>
      <c r="C113" s="5">
        <v>0</v>
      </c>
      <c r="D113" s="5">
        <v>1</v>
      </c>
      <c r="E113" s="5">
        <v>227</v>
      </c>
      <c r="F113" s="5">
        <f>ROUND(Source!AX106,O113)</f>
        <v>0</v>
      </c>
      <c r="G113" s="5" t="s">
        <v>75</v>
      </c>
      <c r="H113" s="5" t="s">
        <v>76</v>
      </c>
      <c r="I113" s="5"/>
      <c r="J113" s="5"/>
      <c r="K113" s="5">
        <v>227</v>
      </c>
      <c r="L113" s="5">
        <v>6</v>
      </c>
      <c r="M113" s="5">
        <v>3</v>
      </c>
      <c r="N113" s="5" t="s">
        <v>3</v>
      </c>
      <c r="O113" s="5">
        <v>2</v>
      </c>
      <c r="P113" s="5">
        <f>ROUND(Source!EP106,O113)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8" x14ac:dyDescent="0.2">
      <c r="A114" s="5">
        <v>50</v>
      </c>
      <c r="B114" s="5">
        <v>0</v>
      </c>
      <c r="C114" s="5">
        <v>0</v>
      </c>
      <c r="D114" s="5">
        <v>1</v>
      </c>
      <c r="E114" s="5">
        <v>228</v>
      </c>
      <c r="F114" s="5">
        <f>ROUND(Source!AY106,O114)</f>
        <v>734.4</v>
      </c>
      <c r="G114" s="5" t="s">
        <v>77</v>
      </c>
      <c r="H114" s="5" t="s">
        <v>78</v>
      </c>
      <c r="I114" s="5"/>
      <c r="J114" s="5"/>
      <c r="K114" s="5">
        <v>228</v>
      </c>
      <c r="L114" s="5">
        <v>7</v>
      </c>
      <c r="M114" s="5">
        <v>3</v>
      </c>
      <c r="N114" s="5" t="s">
        <v>3</v>
      </c>
      <c r="O114" s="5">
        <v>2</v>
      </c>
      <c r="P114" s="5">
        <f>ROUND(Source!EQ106,O114)</f>
        <v>7263.22</v>
      </c>
      <c r="Q114" s="5"/>
      <c r="R114" s="5"/>
      <c r="S114" s="5"/>
      <c r="T114" s="5"/>
      <c r="U114" s="5"/>
      <c r="V114" s="5"/>
      <c r="W114" s="5">
        <v>734.4</v>
      </c>
      <c r="X114" s="5">
        <v>1</v>
      </c>
      <c r="Y114" s="5">
        <v>734.4</v>
      </c>
      <c r="Z114" s="5">
        <v>7263.22</v>
      </c>
      <c r="AA114" s="5">
        <v>1</v>
      </c>
      <c r="AB114" s="5">
        <v>7263.22</v>
      </c>
    </row>
    <row r="115" spans="1:28" x14ac:dyDescent="0.2">
      <c r="A115" s="5">
        <v>50</v>
      </c>
      <c r="B115" s="5">
        <v>0</v>
      </c>
      <c r="C115" s="5">
        <v>0</v>
      </c>
      <c r="D115" s="5">
        <v>1</v>
      </c>
      <c r="E115" s="5">
        <v>216</v>
      </c>
      <c r="F115" s="5">
        <f>ROUND(Source!AP106,O115)</f>
        <v>48761.4</v>
      </c>
      <c r="G115" s="5" t="s">
        <v>79</v>
      </c>
      <c r="H115" s="5" t="s">
        <v>80</v>
      </c>
      <c r="I115" s="5"/>
      <c r="J115" s="5"/>
      <c r="K115" s="5">
        <v>216</v>
      </c>
      <c r="L115" s="5">
        <v>8</v>
      </c>
      <c r="M115" s="5">
        <v>3</v>
      </c>
      <c r="N115" s="5" t="s">
        <v>3</v>
      </c>
      <c r="O115" s="5">
        <v>2</v>
      </c>
      <c r="P115" s="5">
        <f>ROUND(Source!EH106,O115)</f>
        <v>373512.32</v>
      </c>
      <c r="Q115" s="5"/>
      <c r="R115" s="5"/>
      <c r="S115" s="5"/>
      <c r="T115" s="5"/>
      <c r="U115" s="5"/>
      <c r="V115" s="5"/>
      <c r="W115" s="5">
        <v>48761.4</v>
      </c>
      <c r="X115" s="5">
        <v>1</v>
      </c>
      <c r="Y115" s="5">
        <v>48761.4</v>
      </c>
      <c r="Z115" s="5">
        <v>373512.32</v>
      </c>
      <c r="AA115" s="5">
        <v>1</v>
      </c>
      <c r="AB115" s="5">
        <v>373512.32</v>
      </c>
    </row>
    <row r="116" spans="1:28" x14ac:dyDescent="0.2">
      <c r="A116" s="5">
        <v>50</v>
      </c>
      <c r="B116" s="5">
        <v>0</v>
      </c>
      <c r="C116" s="5">
        <v>0</v>
      </c>
      <c r="D116" s="5">
        <v>1</v>
      </c>
      <c r="E116" s="5">
        <v>223</v>
      </c>
      <c r="F116" s="5">
        <f>ROUND(Source!AQ106,O116)</f>
        <v>0</v>
      </c>
      <c r="G116" s="5" t="s">
        <v>81</v>
      </c>
      <c r="H116" s="5" t="s">
        <v>82</v>
      </c>
      <c r="I116" s="5"/>
      <c r="J116" s="5"/>
      <c r="K116" s="5">
        <v>223</v>
      </c>
      <c r="L116" s="5">
        <v>9</v>
      </c>
      <c r="M116" s="5">
        <v>3</v>
      </c>
      <c r="N116" s="5" t="s">
        <v>3</v>
      </c>
      <c r="O116" s="5">
        <v>2</v>
      </c>
      <c r="P116" s="5">
        <f>ROUND(Source!EI106,O116)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8" x14ac:dyDescent="0.2">
      <c r="A117" s="5">
        <v>50</v>
      </c>
      <c r="B117" s="5">
        <v>0</v>
      </c>
      <c r="C117" s="5">
        <v>0</v>
      </c>
      <c r="D117" s="5">
        <v>1</v>
      </c>
      <c r="E117" s="5">
        <v>229</v>
      </c>
      <c r="F117" s="5">
        <f>ROUND(Source!AZ106,O117)</f>
        <v>48761.4</v>
      </c>
      <c r="G117" s="5" t="s">
        <v>83</v>
      </c>
      <c r="H117" s="5" t="s">
        <v>84</v>
      </c>
      <c r="I117" s="5"/>
      <c r="J117" s="5"/>
      <c r="K117" s="5">
        <v>229</v>
      </c>
      <c r="L117" s="5">
        <v>10</v>
      </c>
      <c r="M117" s="5">
        <v>3</v>
      </c>
      <c r="N117" s="5" t="s">
        <v>3</v>
      </c>
      <c r="O117" s="5">
        <v>2</v>
      </c>
      <c r="P117" s="5">
        <f>ROUND(Source!ER106,O117)</f>
        <v>373512.32</v>
      </c>
      <c r="Q117" s="5"/>
      <c r="R117" s="5"/>
      <c r="S117" s="5"/>
      <c r="T117" s="5"/>
      <c r="U117" s="5"/>
      <c r="V117" s="5"/>
      <c r="W117" s="5">
        <v>48761.4</v>
      </c>
      <c r="X117" s="5">
        <v>1</v>
      </c>
      <c r="Y117" s="5">
        <v>48761.4</v>
      </c>
      <c r="Z117" s="5">
        <v>373512.32</v>
      </c>
      <c r="AA117" s="5">
        <v>1</v>
      </c>
      <c r="AB117" s="5">
        <v>373512.32</v>
      </c>
    </row>
    <row r="118" spans="1:28" x14ac:dyDescent="0.2">
      <c r="A118" s="5">
        <v>50</v>
      </c>
      <c r="B118" s="5">
        <v>0</v>
      </c>
      <c r="C118" s="5">
        <v>0</v>
      </c>
      <c r="D118" s="5">
        <v>1</v>
      </c>
      <c r="E118" s="5">
        <v>203</v>
      </c>
      <c r="F118" s="5">
        <f>ROUND(Source!Q106,O118)</f>
        <v>303.70999999999998</v>
      </c>
      <c r="G118" s="5" t="s">
        <v>85</v>
      </c>
      <c r="H118" s="5" t="s">
        <v>86</v>
      </c>
      <c r="I118" s="5"/>
      <c r="J118" s="5"/>
      <c r="K118" s="5">
        <v>203</v>
      </c>
      <c r="L118" s="5">
        <v>11</v>
      </c>
      <c r="M118" s="5">
        <v>3</v>
      </c>
      <c r="N118" s="5" t="s">
        <v>3</v>
      </c>
      <c r="O118" s="5">
        <v>2</v>
      </c>
      <c r="P118" s="5">
        <f>ROUND(Source!DI106,O118)</f>
        <v>3995.31</v>
      </c>
      <c r="Q118" s="5"/>
      <c r="R118" s="5"/>
      <c r="S118" s="5"/>
      <c r="T118" s="5"/>
      <c r="U118" s="5"/>
      <c r="V118" s="5"/>
      <c r="W118" s="5">
        <v>303.70999999999998</v>
      </c>
      <c r="X118" s="5">
        <v>1</v>
      </c>
      <c r="Y118" s="5">
        <v>303.70999999999998</v>
      </c>
      <c r="Z118" s="5">
        <v>3995.31</v>
      </c>
      <c r="AA118" s="5">
        <v>1</v>
      </c>
      <c r="AB118" s="5">
        <v>3995.31</v>
      </c>
    </row>
    <row r="119" spans="1:28" x14ac:dyDescent="0.2">
      <c r="A119" s="5">
        <v>50</v>
      </c>
      <c r="B119" s="5">
        <v>0</v>
      </c>
      <c r="C119" s="5">
        <v>0</v>
      </c>
      <c r="D119" s="5">
        <v>1</v>
      </c>
      <c r="E119" s="5">
        <v>231</v>
      </c>
      <c r="F119" s="5">
        <f>ROUND(Source!BB106,O119)</f>
        <v>0</v>
      </c>
      <c r="G119" s="5" t="s">
        <v>87</v>
      </c>
      <c r="H119" s="5" t="s">
        <v>88</v>
      </c>
      <c r="I119" s="5"/>
      <c r="J119" s="5"/>
      <c r="K119" s="5">
        <v>231</v>
      </c>
      <c r="L119" s="5">
        <v>12</v>
      </c>
      <c r="M119" s="5">
        <v>3</v>
      </c>
      <c r="N119" s="5" t="s">
        <v>3</v>
      </c>
      <c r="O119" s="5">
        <v>2</v>
      </c>
      <c r="P119" s="5">
        <f>ROUND(Source!ET106,O119)</f>
        <v>0</v>
      </c>
      <c r="Q119" s="5"/>
      <c r="R119" s="5"/>
      <c r="S119" s="5"/>
      <c r="T119" s="5"/>
      <c r="U119" s="5"/>
      <c r="V119" s="5"/>
      <c r="W119" s="5">
        <v>0</v>
      </c>
      <c r="X119" s="5">
        <v>1</v>
      </c>
      <c r="Y119" s="5">
        <v>0</v>
      </c>
      <c r="Z119" s="5">
        <v>0</v>
      </c>
      <c r="AA119" s="5">
        <v>1</v>
      </c>
      <c r="AB119" s="5">
        <v>0</v>
      </c>
    </row>
    <row r="120" spans="1:28" x14ac:dyDescent="0.2">
      <c r="A120" s="5">
        <v>50</v>
      </c>
      <c r="B120" s="5">
        <v>0</v>
      </c>
      <c r="C120" s="5">
        <v>0</v>
      </c>
      <c r="D120" s="5">
        <v>1</v>
      </c>
      <c r="E120" s="5">
        <v>204</v>
      </c>
      <c r="F120" s="5">
        <f>ROUND(Source!R106,O120)</f>
        <v>21.01</v>
      </c>
      <c r="G120" s="5" t="s">
        <v>89</v>
      </c>
      <c r="H120" s="5" t="s">
        <v>90</v>
      </c>
      <c r="I120" s="5"/>
      <c r="J120" s="5"/>
      <c r="K120" s="5">
        <v>204</v>
      </c>
      <c r="L120" s="5">
        <v>13</v>
      </c>
      <c r="M120" s="5">
        <v>3</v>
      </c>
      <c r="N120" s="5" t="s">
        <v>3</v>
      </c>
      <c r="O120" s="5">
        <v>2</v>
      </c>
      <c r="P120" s="5">
        <f>ROUND(Source!DJ106,O120)</f>
        <v>1155.3399999999999</v>
      </c>
      <c r="Q120" s="5"/>
      <c r="R120" s="5"/>
      <c r="S120" s="5"/>
      <c r="T120" s="5"/>
      <c r="U120" s="5"/>
      <c r="V120" s="5"/>
      <c r="W120" s="5">
        <v>21.01</v>
      </c>
      <c r="X120" s="5">
        <v>1</v>
      </c>
      <c r="Y120" s="5">
        <v>21.01</v>
      </c>
      <c r="Z120" s="5">
        <v>1155.3399999999999</v>
      </c>
      <c r="AA120" s="5">
        <v>1</v>
      </c>
      <c r="AB120" s="5">
        <v>1155.3399999999999</v>
      </c>
    </row>
    <row r="121" spans="1:28" x14ac:dyDescent="0.2">
      <c r="A121" s="5">
        <v>50</v>
      </c>
      <c r="B121" s="5">
        <v>0</v>
      </c>
      <c r="C121" s="5">
        <v>0</v>
      </c>
      <c r="D121" s="5">
        <v>1</v>
      </c>
      <c r="E121" s="5">
        <v>205</v>
      </c>
      <c r="F121" s="5">
        <f>ROUND(Source!S106,O121)</f>
        <v>3400.48</v>
      </c>
      <c r="G121" s="5" t="s">
        <v>91</v>
      </c>
      <c r="H121" s="5" t="s">
        <v>92</v>
      </c>
      <c r="I121" s="5"/>
      <c r="J121" s="5"/>
      <c r="K121" s="5">
        <v>205</v>
      </c>
      <c r="L121" s="5">
        <v>14</v>
      </c>
      <c r="M121" s="5">
        <v>3</v>
      </c>
      <c r="N121" s="5" t="s">
        <v>3</v>
      </c>
      <c r="O121" s="5">
        <v>2</v>
      </c>
      <c r="P121" s="5">
        <f>ROUND(Source!DK106,O121)</f>
        <v>186992.4</v>
      </c>
      <c r="Q121" s="5"/>
      <c r="R121" s="5"/>
      <c r="S121" s="5"/>
      <c r="T121" s="5"/>
      <c r="U121" s="5"/>
      <c r="V121" s="5"/>
      <c r="W121" s="5">
        <v>3400.48</v>
      </c>
      <c r="X121" s="5">
        <v>1</v>
      </c>
      <c r="Y121" s="5">
        <v>3400.48</v>
      </c>
      <c r="Z121" s="5">
        <v>186992.4</v>
      </c>
      <c r="AA121" s="5">
        <v>1</v>
      </c>
      <c r="AB121" s="5">
        <v>186992.4</v>
      </c>
    </row>
    <row r="122" spans="1:28" x14ac:dyDescent="0.2">
      <c r="A122" s="5">
        <v>50</v>
      </c>
      <c r="B122" s="5">
        <v>0</v>
      </c>
      <c r="C122" s="5">
        <v>0</v>
      </c>
      <c r="D122" s="5">
        <v>1</v>
      </c>
      <c r="E122" s="5">
        <v>232</v>
      </c>
      <c r="F122" s="5">
        <f>ROUND(Source!BC106,O122)</f>
        <v>0</v>
      </c>
      <c r="G122" s="5" t="s">
        <v>93</v>
      </c>
      <c r="H122" s="5" t="s">
        <v>94</v>
      </c>
      <c r="I122" s="5"/>
      <c r="J122" s="5"/>
      <c r="K122" s="5">
        <v>232</v>
      </c>
      <c r="L122" s="5">
        <v>15</v>
      </c>
      <c r="M122" s="5">
        <v>3</v>
      </c>
      <c r="N122" s="5" t="s">
        <v>3</v>
      </c>
      <c r="O122" s="5">
        <v>2</v>
      </c>
      <c r="P122" s="5">
        <f>ROUND(Source!EU106,O122)</f>
        <v>0</v>
      </c>
      <c r="Q122" s="5"/>
      <c r="R122" s="5"/>
      <c r="S122" s="5"/>
      <c r="T122" s="5"/>
      <c r="U122" s="5"/>
      <c r="V122" s="5"/>
      <c r="W122" s="5">
        <v>0</v>
      </c>
      <c r="X122" s="5">
        <v>1</v>
      </c>
      <c r="Y122" s="5">
        <v>0</v>
      </c>
      <c r="Z122" s="5">
        <v>0</v>
      </c>
      <c r="AA122" s="5">
        <v>1</v>
      </c>
      <c r="AB122" s="5">
        <v>0</v>
      </c>
    </row>
    <row r="123" spans="1:28" x14ac:dyDescent="0.2">
      <c r="A123" s="5">
        <v>50</v>
      </c>
      <c r="B123" s="5">
        <v>0</v>
      </c>
      <c r="C123" s="5">
        <v>0</v>
      </c>
      <c r="D123" s="5">
        <v>1</v>
      </c>
      <c r="E123" s="5">
        <v>214</v>
      </c>
      <c r="F123" s="5">
        <f>ROUND(Source!AS106,O123)</f>
        <v>0</v>
      </c>
      <c r="G123" s="5" t="s">
        <v>95</v>
      </c>
      <c r="H123" s="5" t="s">
        <v>96</v>
      </c>
      <c r="I123" s="5"/>
      <c r="J123" s="5"/>
      <c r="K123" s="5">
        <v>214</v>
      </c>
      <c r="L123" s="5">
        <v>16</v>
      </c>
      <c r="M123" s="5">
        <v>3</v>
      </c>
      <c r="N123" s="5" t="s">
        <v>3</v>
      </c>
      <c r="O123" s="5">
        <v>2</v>
      </c>
      <c r="P123" s="5">
        <f>ROUND(Source!EK106,O123)</f>
        <v>0</v>
      </c>
      <c r="Q123" s="5"/>
      <c r="R123" s="5"/>
      <c r="S123" s="5"/>
      <c r="T123" s="5"/>
      <c r="U123" s="5"/>
      <c r="V123" s="5"/>
      <c r="W123" s="5">
        <v>0</v>
      </c>
      <c r="X123" s="5">
        <v>1</v>
      </c>
      <c r="Y123" s="5">
        <v>0</v>
      </c>
      <c r="Z123" s="5">
        <v>0</v>
      </c>
      <c r="AA123" s="5">
        <v>1</v>
      </c>
      <c r="AB123" s="5">
        <v>0</v>
      </c>
    </row>
    <row r="124" spans="1:28" x14ac:dyDescent="0.2">
      <c r="A124" s="5">
        <v>50</v>
      </c>
      <c r="B124" s="5">
        <v>0</v>
      </c>
      <c r="C124" s="5">
        <v>0</v>
      </c>
      <c r="D124" s="5">
        <v>1</v>
      </c>
      <c r="E124" s="5">
        <v>215</v>
      </c>
      <c r="F124" s="5">
        <f>ROUND(Source!AT106,O124)</f>
        <v>9262.89</v>
      </c>
      <c r="G124" s="5" t="s">
        <v>97</v>
      </c>
      <c r="H124" s="5" t="s">
        <v>98</v>
      </c>
      <c r="I124" s="5"/>
      <c r="J124" s="5"/>
      <c r="K124" s="5">
        <v>215</v>
      </c>
      <c r="L124" s="5">
        <v>17</v>
      </c>
      <c r="M124" s="5">
        <v>3</v>
      </c>
      <c r="N124" s="5" t="s">
        <v>3</v>
      </c>
      <c r="O124" s="5">
        <v>2</v>
      </c>
      <c r="P124" s="5">
        <f>ROUND(Source!EL106,O124)</f>
        <v>463539.25</v>
      </c>
      <c r="Q124" s="5"/>
      <c r="R124" s="5"/>
      <c r="S124" s="5"/>
      <c r="T124" s="5"/>
      <c r="U124" s="5"/>
      <c r="V124" s="5"/>
      <c r="W124" s="5">
        <v>9262.89</v>
      </c>
      <c r="X124" s="5">
        <v>1</v>
      </c>
      <c r="Y124" s="5">
        <v>9262.89</v>
      </c>
      <c r="Z124" s="5">
        <v>463539.25</v>
      </c>
      <c r="AA124" s="5">
        <v>1</v>
      </c>
      <c r="AB124" s="5">
        <v>463539.25</v>
      </c>
    </row>
    <row r="125" spans="1:28" x14ac:dyDescent="0.2">
      <c r="A125" s="5">
        <v>50</v>
      </c>
      <c r="B125" s="5">
        <v>0</v>
      </c>
      <c r="C125" s="5">
        <v>0</v>
      </c>
      <c r="D125" s="5">
        <v>1</v>
      </c>
      <c r="E125" s="5">
        <v>217</v>
      </c>
      <c r="F125" s="5">
        <f>ROUND(Source!AU106,O125)</f>
        <v>0</v>
      </c>
      <c r="G125" s="5" t="s">
        <v>99</v>
      </c>
      <c r="H125" s="5" t="s">
        <v>100</v>
      </c>
      <c r="I125" s="5"/>
      <c r="J125" s="5"/>
      <c r="K125" s="5">
        <v>217</v>
      </c>
      <c r="L125" s="5">
        <v>18</v>
      </c>
      <c r="M125" s="5">
        <v>3</v>
      </c>
      <c r="N125" s="5" t="s">
        <v>3</v>
      </c>
      <c r="O125" s="5">
        <v>2</v>
      </c>
      <c r="P125" s="5">
        <f>ROUND(Source!EM106,O125)</f>
        <v>0</v>
      </c>
      <c r="Q125" s="5"/>
      <c r="R125" s="5"/>
      <c r="S125" s="5"/>
      <c r="T125" s="5"/>
      <c r="U125" s="5"/>
      <c r="V125" s="5"/>
      <c r="W125" s="5">
        <v>0</v>
      </c>
      <c r="X125" s="5">
        <v>1</v>
      </c>
      <c r="Y125" s="5">
        <v>0</v>
      </c>
      <c r="Z125" s="5">
        <v>0</v>
      </c>
      <c r="AA125" s="5">
        <v>1</v>
      </c>
      <c r="AB125" s="5">
        <v>0</v>
      </c>
    </row>
    <row r="126" spans="1:28" x14ac:dyDescent="0.2">
      <c r="A126" s="5">
        <v>50</v>
      </c>
      <c r="B126" s="5">
        <v>0</v>
      </c>
      <c r="C126" s="5">
        <v>0</v>
      </c>
      <c r="D126" s="5">
        <v>1</v>
      </c>
      <c r="E126" s="5">
        <v>230</v>
      </c>
      <c r="F126" s="5">
        <f>ROUND(Source!BA106,O126)</f>
        <v>0</v>
      </c>
      <c r="G126" s="5" t="s">
        <v>101</v>
      </c>
      <c r="H126" s="5" t="s">
        <v>102</v>
      </c>
      <c r="I126" s="5"/>
      <c r="J126" s="5"/>
      <c r="K126" s="5">
        <v>230</v>
      </c>
      <c r="L126" s="5">
        <v>19</v>
      </c>
      <c r="M126" s="5">
        <v>3</v>
      </c>
      <c r="N126" s="5" t="s">
        <v>3</v>
      </c>
      <c r="O126" s="5">
        <v>2</v>
      </c>
      <c r="P126" s="5">
        <f>ROUND(Source!ES106,O126)</f>
        <v>0</v>
      </c>
      <c r="Q126" s="5"/>
      <c r="R126" s="5"/>
      <c r="S126" s="5"/>
      <c r="T126" s="5"/>
      <c r="U126" s="5"/>
      <c r="V126" s="5"/>
      <c r="W126" s="5">
        <v>0</v>
      </c>
      <c r="X126" s="5">
        <v>1</v>
      </c>
      <c r="Y126" s="5">
        <v>0</v>
      </c>
      <c r="Z126" s="5">
        <v>0</v>
      </c>
      <c r="AA126" s="5">
        <v>1</v>
      </c>
      <c r="AB126" s="5">
        <v>0</v>
      </c>
    </row>
    <row r="127" spans="1:28" x14ac:dyDescent="0.2">
      <c r="A127" s="5">
        <v>50</v>
      </c>
      <c r="B127" s="5">
        <v>0</v>
      </c>
      <c r="C127" s="5">
        <v>0</v>
      </c>
      <c r="D127" s="5">
        <v>1</v>
      </c>
      <c r="E127" s="5">
        <v>206</v>
      </c>
      <c r="F127" s="5">
        <f>ROUND(Source!T106,O127)</f>
        <v>0</v>
      </c>
      <c r="G127" s="5" t="s">
        <v>103</v>
      </c>
      <c r="H127" s="5" t="s">
        <v>104</v>
      </c>
      <c r="I127" s="5"/>
      <c r="J127" s="5"/>
      <c r="K127" s="5">
        <v>206</v>
      </c>
      <c r="L127" s="5">
        <v>20</v>
      </c>
      <c r="M127" s="5">
        <v>3</v>
      </c>
      <c r="N127" s="5" t="s">
        <v>3</v>
      </c>
      <c r="O127" s="5">
        <v>2</v>
      </c>
      <c r="P127" s="5">
        <f>ROUND(Source!DL106,O127)</f>
        <v>0</v>
      </c>
      <c r="Q127" s="5"/>
      <c r="R127" s="5"/>
      <c r="S127" s="5"/>
      <c r="T127" s="5"/>
      <c r="U127" s="5"/>
      <c r="V127" s="5"/>
      <c r="W127" s="5">
        <v>0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</row>
    <row r="128" spans="1:28" x14ac:dyDescent="0.2">
      <c r="A128" s="5">
        <v>50</v>
      </c>
      <c r="B128" s="5">
        <v>0</v>
      </c>
      <c r="C128" s="5">
        <v>0</v>
      </c>
      <c r="D128" s="5">
        <v>1</v>
      </c>
      <c r="E128" s="5">
        <v>207</v>
      </c>
      <c r="F128" s="5">
        <f>Source!U106</f>
        <v>252.13564244000003</v>
      </c>
      <c r="G128" s="5" t="s">
        <v>105</v>
      </c>
      <c r="H128" s="5" t="s">
        <v>106</v>
      </c>
      <c r="I128" s="5"/>
      <c r="J128" s="5"/>
      <c r="K128" s="5">
        <v>207</v>
      </c>
      <c r="L128" s="5">
        <v>21</v>
      </c>
      <c r="M128" s="5">
        <v>3</v>
      </c>
      <c r="N128" s="5" t="s">
        <v>3</v>
      </c>
      <c r="O128" s="5">
        <v>-1</v>
      </c>
      <c r="P128" s="5">
        <f>Source!DM106</f>
        <v>252.13564244000003</v>
      </c>
      <c r="Q128" s="5"/>
      <c r="R128" s="5"/>
      <c r="S128" s="5"/>
      <c r="T128" s="5"/>
      <c r="U128" s="5"/>
      <c r="V128" s="5"/>
      <c r="W128" s="5">
        <v>252.13564244</v>
      </c>
      <c r="X128" s="5">
        <v>1</v>
      </c>
      <c r="Y128" s="5">
        <v>252.13564244</v>
      </c>
      <c r="Z128" s="5">
        <v>252.13564244</v>
      </c>
      <c r="AA128" s="5">
        <v>1</v>
      </c>
      <c r="AB128" s="5">
        <v>252.13564244</v>
      </c>
    </row>
    <row r="129" spans="1:28" x14ac:dyDescent="0.2">
      <c r="A129" s="5">
        <v>50</v>
      </c>
      <c r="B129" s="5">
        <v>0</v>
      </c>
      <c r="C129" s="5">
        <v>0</v>
      </c>
      <c r="D129" s="5">
        <v>1</v>
      </c>
      <c r="E129" s="5">
        <v>208</v>
      </c>
      <c r="F129" s="5">
        <f>Source!V106</f>
        <v>0</v>
      </c>
      <c r="G129" s="5" t="s">
        <v>107</v>
      </c>
      <c r="H129" s="5" t="s">
        <v>108</v>
      </c>
      <c r="I129" s="5"/>
      <c r="J129" s="5"/>
      <c r="K129" s="5">
        <v>208</v>
      </c>
      <c r="L129" s="5">
        <v>22</v>
      </c>
      <c r="M129" s="5">
        <v>3</v>
      </c>
      <c r="N129" s="5" t="s">
        <v>3</v>
      </c>
      <c r="O129" s="5">
        <v>-1</v>
      </c>
      <c r="P129" s="5">
        <f>Source!DN106</f>
        <v>0</v>
      </c>
      <c r="Q129" s="5"/>
      <c r="R129" s="5"/>
      <c r="S129" s="5"/>
      <c r="T129" s="5"/>
      <c r="U129" s="5"/>
      <c r="V129" s="5"/>
      <c r="W129" s="5">
        <v>0</v>
      </c>
      <c r="X129" s="5">
        <v>1</v>
      </c>
      <c r="Y129" s="5">
        <v>0</v>
      </c>
      <c r="Z129" s="5">
        <v>0</v>
      </c>
      <c r="AA129" s="5">
        <v>1</v>
      </c>
      <c r="AB129" s="5">
        <v>0</v>
      </c>
    </row>
    <row r="130" spans="1:28" x14ac:dyDescent="0.2">
      <c r="A130" s="5">
        <v>50</v>
      </c>
      <c r="B130" s="5">
        <v>0</v>
      </c>
      <c r="C130" s="5">
        <v>0</v>
      </c>
      <c r="D130" s="5">
        <v>1</v>
      </c>
      <c r="E130" s="5">
        <v>209</v>
      </c>
      <c r="F130" s="5">
        <f>ROUND(Source!W106,O130)</f>
        <v>0</v>
      </c>
      <c r="G130" s="5" t="s">
        <v>109</v>
      </c>
      <c r="H130" s="5" t="s">
        <v>110</v>
      </c>
      <c r="I130" s="5"/>
      <c r="J130" s="5"/>
      <c r="K130" s="5">
        <v>209</v>
      </c>
      <c r="L130" s="5">
        <v>23</v>
      </c>
      <c r="M130" s="5">
        <v>3</v>
      </c>
      <c r="N130" s="5" t="s">
        <v>3</v>
      </c>
      <c r="O130" s="5">
        <v>2</v>
      </c>
      <c r="P130" s="5">
        <f>ROUND(Source!DO106,O130)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28" x14ac:dyDescent="0.2">
      <c r="A131" s="5">
        <v>50</v>
      </c>
      <c r="B131" s="5">
        <v>0</v>
      </c>
      <c r="C131" s="5">
        <v>0</v>
      </c>
      <c r="D131" s="5">
        <v>1</v>
      </c>
      <c r="E131" s="5">
        <v>233</v>
      </c>
      <c r="F131" s="5">
        <f>ROUND(Source!BD106,O131)</f>
        <v>0</v>
      </c>
      <c r="G131" s="5" t="s">
        <v>111</v>
      </c>
      <c r="H131" s="5" t="s">
        <v>112</v>
      </c>
      <c r="I131" s="5"/>
      <c r="J131" s="5"/>
      <c r="K131" s="5">
        <v>233</v>
      </c>
      <c r="L131" s="5">
        <v>24</v>
      </c>
      <c r="M131" s="5">
        <v>3</v>
      </c>
      <c r="N131" s="5" t="s">
        <v>3</v>
      </c>
      <c r="O131" s="5">
        <v>2</v>
      </c>
      <c r="P131" s="5">
        <f>ROUND(Source!EV106,O131)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28" x14ac:dyDescent="0.2">
      <c r="A132" s="5">
        <v>50</v>
      </c>
      <c r="B132" s="5">
        <v>0</v>
      </c>
      <c r="C132" s="5">
        <v>0</v>
      </c>
      <c r="D132" s="5">
        <v>1</v>
      </c>
      <c r="E132" s="5">
        <v>210</v>
      </c>
      <c r="F132" s="5">
        <f>ROUND(Source!X106,O132)</f>
        <v>3147.77</v>
      </c>
      <c r="G132" s="5" t="s">
        <v>113</v>
      </c>
      <c r="H132" s="5" t="s">
        <v>114</v>
      </c>
      <c r="I132" s="5"/>
      <c r="J132" s="5"/>
      <c r="K132" s="5">
        <v>210</v>
      </c>
      <c r="L132" s="5">
        <v>25</v>
      </c>
      <c r="M132" s="5">
        <v>3</v>
      </c>
      <c r="N132" s="5" t="s">
        <v>3</v>
      </c>
      <c r="O132" s="5">
        <v>2</v>
      </c>
      <c r="P132" s="5">
        <f>ROUND(Source!DP106,O132)</f>
        <v>173095.92</v>
      </c>
      <c r="Q132" s="5"/>
      <c r="R132" s="5"/>
      <c r="S132" s="5"/>
      <c r="T132" s="5"/>
      <c r="U132" s="5"/>
      <c r="V132" s="5"/>
      <c r="W132" s="5">
        <v>3147.77</v>
      </c>
      <c r="X132" s="5">
        <v>1</v>
      </c>
      <c r="Y132" s="5">
        <v>3147.77</v>
      </c>
      <c r="Z132" s="5">
        <v>173095.92</v>
      </c>
      <c r="AA132" s="5">
        <v>1</v>
      </c>
      <c r="AB132" s="5">
        <v>173095.92</v>
      </c>
    </row>
    <row r="133" spans="1:28" x14ac:dyDescent="0.2">
      <c r="A133" s="5">
        <v>50</v>
      </c>
      <c r="B133" s="5">
        <v>0</v>
      </c>
      <c r="C133" s="5">
        <v>0</v>
      </c>
      <c r="D133" s="5">
        <v>1</v>
      </c>
      <c r="E133" s="5">
        <v>211</v>
      </c>
      <c r="F133" s="5">
        <f>ROUND(Source!Y106,O133)</f>
        <v>1676.53</v>
      </c>
      <c r="G133" s="5" t="s">
        <v>115</v>
      </c>
      <c r="H133" s="5" t="s">
        <v>116</v>
      </c>
      <c r="I133" s="5"/>
      <c r="J133" s="5"/>
      <c r="K133" s="5">
        <v>211</v>
      </c>
      <c r="L133" s="5">
        <v>26</v>
      </c>
      <c r="M133" s="5">
        <v>3</v>
      </c>
      <c r="N133" s="5" t="s">
        <v>3</v>
      </c>
      <c r="O133" s="5">
        <v>2</v>
      </c>
      <c r="P133" s="5">
        <f>ROUND(Source!DQ106,O133)</f>
        <v>92192.4</v>
      </c>
      <c r="Q133" s="5"/>
      <c r="R133" s="5"/>
      <c r="S133" s="5"/>
      <c r="T133" s="5"/>
      <c r="U133" s="5"/>
      <c r="V133" s="5"/>
      <c r="W133" s="5">
        <v>1676.53</v>
      </c>
      <c r="X133" s="5">
        <v>1</v>
      </c>
      <c r="Y133" s="5">
        <v>1676.53</v>
      </c>
      <c r="Z133" s="5">
        <v>92192.4</v>
      </c>
      <c r="AA133" s="5">
        <v>1</v>
      </c>
      <c r="AB133" s="5">
        <v>92192.4</v>
      </c>
    </row>
    <row r="134" spans="1:28" x14ac:dyDescent="0.2">
      <c r="A134" s="5">
        <v>50</v>
      </c>
      <c r="B134" s="5">
        <v>0</v>
      </c>
      <c r="C134" s="5">
        <v>0</v>
      </c>
      <c r="D134" s="5">
        <v>1</v>
      </c>
      <c r="E134" s="5">
        <v>224</v>
      </c>
      <c r="F134" s="5">
        <f>ROUND(Source!AR106,O134)</f>
        <v>58024.29</v>
      </c>
      <c r="G134" s="5" t="s">
        <v>117</v>
      </c>
      <c r="H134" s="5" t="s">
        <v>118</v>
      </c>
      <c r="I134" s="5"/>
      <c r="J134" s="5"/>
      <c r="K134" s="5">
        <v>224</v>
      </c>
      <c r="L134" s="5">
        <v>27</v>
      </c>
      <c r="M134" s="5">
        <v>3</v>
      </c>
      <c r="N134" s="5" t="s">
        <v>3</v>
      </c>
      <c r="O134" s="5">
        <v>2</v>
      </c>
      <c r="P134" s="5">
        <f>ROUND(Source!EJ106,O134)</f>
        <v>837051.57</v>
      </c>
      <c r="Q134" s="5"/>
      <c r="R134" s="5"/>
      <c r="S134" s="5"/>
      <c r="T134" s="5"/>
      <c r="U134" s="5"/>
      <c r="V134" s="5"/>
      <c r="W134" s="5">
        <v>58024.29</v>
      </c>
      <c r="X134" s="5">
        <v>1</v>
      </c>
      <c r="Y134" s="5">
        <v>58024.29</v>
      </c>
      <c r="Z134" s="5">
        <v>837051.57</v>
      </c>
      <c r="AA134" s="5">
        <v>1</v>
      </c>
      <c r="AB134" s="5">
        <v>837051.57</v>
      </c>
    </row>
    <row r="137" spans="1:28" x14ac:dyDescent="0.2">
      <c r="A137">
        <v>70</v>
      </c>
      <c r="B137">
        <v>1</v>
      </c>
      <c r="D137">
        <v>1</v>
      </c>
      <c r="E137" t="s">
        <v>119</v>
      </c>
      <c r="F137" t="s">
        <v>120</v>
      </c>
      <c r="G137">
        <v>0</v>
      </c>
      <c r="H137">
        <v>0</v>
      </c>
      <c r="I137" t="s">
        <v>3</v>
      </c>
      <c r="J137">
        <v>1</v>
      </c>
      <c r="K137">
        <v>0</v>
      </c>
      <c r="L137" t="s">
        <v>3</v>
      </c>
      <c r="M137" t="s">
        <v>3</v>
      </c>
      <c r="N137">
        <v>0</v>
      </c>
      <c r="O137">
        <v>0</v>
      </c>
      <c r="P137" t="s">
        <v>3</v>
      </c>
    </row>
    <row r="138" spans="1:28" x14ac:dyDescent="0.2">
      <c r="A138">
        <v>70</v>
      </c>
      <c r="B138">
        <v>1</v>
      </c>
      <c r="D138">
        <v>2</v>
      </c>
      <c r="E138" t="s">
        <v>121</v>
      </c>
      <c r="F138" t="s">
        <v>122</v>
      </c>
      <c r="G138">
        <v>1</v>
      </c>
      <c r="H138">
        <v>0</v>
      </c>
      <c r="I138" t="s">
        <v>3</v>
      </c>
      <c r="J138">
        <v>1</v>
      </c>
      <c r="K138">
        <v>0</v>
      </c>
      <c r="L138" t="s">
        <v>3</v>
      </c>
      <c r="M138" t="s">
        <v>3</v>
      </c>
      <c r="N138">
        <v>0</v>
      </c>
      <c r="O138">
        <v>1</v>
      </c>
      <c r="P138" t="s">
        <v>3</v>
      </c>
    </row>
    <row r="139" spans="1:28" x14ac:dyDescent="0.2">
      <c r="A139">
        <v>70</v>
      </c>
      <c r="B139">
        <v>1</v>
      </c>
      <c r="D139">
        <v>3</v>
      </c>
      <c r="E139" t="s">
        <v>123</v>
      </c>
      <c r="F139" t="s">
        <v>124</v>
      </c>
      <c r="G139">
        <v>1</v>
      </c>
      <c r="H139">
        <v>0</v>
      </c>
      <c r="I139" t="s">
        <v>3</v>
      </c>
      <c r="J139">
        <v>0</v>
      </c>
      <c r="K139">
        <v>0</v>
      </c>
      <c r="L139" t="s">
        <v>3</v>
      </c>
      <c r="M139" t="s">
        <v>3</v>
      </c>
      <c r="N139">
        <v>0</v>
      </c>
      <c r="O139">
        <v>1</v>
      </c>
      <c r="P139" t="s">
        <v>3</v>
      </c>
    </row>
    <row r="140" spans="1:28" x14ac:dyDescent="0.2">
      <c r="A140">
        <v>70</v>
      </c>
      <c r="B140">
        <v>1</v>
      </c>
      <c r="D140">
        <v>4</v>
      </c>
      <c r="E140" t="s">
        <v>125</v>
      </c>
      <c r="F140" t="s">
        <v>126</v>
      </c>
      <c r="G140">
        <v>1</v>
      </c>
      <c r="H140">
        <v>0</v>
      </c>
      <c r="I140" t="s">
        <v>3</v>
      </c>
      <c r="J140">
        <v>0</v>
      </c>
      <c r="K140">
        <v>0</v>
      </c>
      <c r="L140" t="s">
        <v>3</v>
      </c>
      <c r="M140" t="s">
        <v>3</v>
      </c>
      <c r="N140">
        <v>0</v>
      </c>
      <c r="O140">
        <v>1</v>
      </c>
      <c r="P140" t="s">
        <v>3</v>
      </c>
    </row>
    <row r="141" spans="1:28" x14ac:dyDescent="0.2">
      <c r="A141">
        <v>70</v>
      </c>
      <c r="B141">
        <v>1</v>
      </c>
      <c r="D141">
        <v>5</v>
      </c>
      <c r="E141" t="s">
        <v>127</v>
      </c>
      <c r="F141" t="s">
        <v>128</v>
      </c>
      <c r="G141">
        <v>0</v>
      </c>
      <c r="H141">
        <v>0</v>
      </c>
      <c r="I141" t="s">
        <v>3</v>
      </c>
      <c r="J141">
        <v>0</v>
      </c>
      <c r="K141">
        <v>0</v>
      </c>
      <c r="L141" t="s">
        <v>3</v>
      </c>
      <c r="M141" t="s">
        <v>3</v>
      </c>
      <c r="N141">
        <v>0</v>
      </c>
      <c r="O141">
        <v>0</v>
      </c>
      <c r="P141" t="s">
        <v>3</v>
      </c>
    </row>
    <row r="143" spans="1:28" x14ac:dyDescent="0.2">
      <c r="A143">
        <v>-1</v>
      </c>
    </row>
    <row r="145" spans="1:50" x14ac:dyDescent="0.2">
      <c r="A145" s="4">
        <v>75</v>
      </c>
      <c r="B145" s="4" t="s">
        <v>129</v>
      </c>
      <c r="C145" s="4">
        <v>2025</v>
      </c>
      <c r="D145" s="4">
        <v>0</v>
      </c>
      <c r="E145" s="4">
        <v>9</v>
      </c>
      <c r="F145" s="4"/>
      <c r="G145" s="4">
        <v>0</v>
      </c>
      <c r="H145" s="4">
        <v>1</v>
      </c>
      <c r="I145" s="4">
        <v>1</v>
      </c>
      <c r="J145" s="4">
        <v>3</v>
      </c>
      <c r="K145" s="4">
        <v>0</v>
      </c>
      <c r="L145" s="4">
        <v>0</v>
      </c>
      <c r="M145" s="4">
        <v>1</v>
      </c>
      <c r="N145" s="4">
        <v>59499000</v>
      </c>
      <c r="O145" s="4">
        <v>1</v>
      </c>
    </row>
    <row r="146" spans="1:50" x14ac:dyDescent="0.2">
      <c r="A146" s="6">
        <v>1</v>
      </c>
      <c r="B146" s="6" t="s">
        <v>130</v>
      </c>
      <c r="C146" s="6" t="s">
        <v>131</v>
      </c>
      <c r="D146" s="6">
        <v>2025</v>
      </c>
      <c r="E146" s="6">
        <v>9</v>
      </c>
      <c r="F146" s="6">
        <v>1</v>
      </c>
      <c r="G146" s="6">
        <v>1</v>
      </c>
      <c r="H146" s="6">
        <v>0</v>
      </c>
      <c r="I146" s="6">
        <v>2</v>
      </c>
      <c r="J146" s="6">
        <v>1</v>
      </c>
      <c r="K146" s="6">
        <v>9.8800000000000008</v>
      </c>
      <c r="L146" s="6">
        <v>7.66</v>
      </c>
      <c r="M146" s="6">
        <v>1</v>
      </c>
      <c r="N146" s="6">
        <v>1</v>
      </c>
      <c r="O146" s="6">
        <v>9.8800000000000008</v>
      </c>
      <c r="P146" s="6">
        <v>7.66</v>
      </c>
      <c r="Q146" s="6">
        <v>1</v>
      </c>
      <c r="R146" s="6" t="s">
        <v>3</v>
      </c>
      <c r="S146" s="6" t="s">
        <v>3</v>
      </c>
      <c r="T146" s="6" t="s">
        <v>3</v>
      </c>
      <c r="U146" s="6" t="s">
        <v>3</v>
      </c>
      <c r="V146" s="6" t="s">
        <v>3</v>
      </c>
      <c r="W146" s="6" t="s">
        <v>3</v>
      </c>
      <c r="X146" s="6" t="s">
        <v>3</v>
      </c>
      <c r="Y146" s="6" t="s">
        <v>3</v>
      </c>
      <c r="Z146" s="6" t="s">
        <v>3</v>
      </c>
      <c r="AA146" s="6" t="s">
        <v>132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>
        <v>59499001</v>
      </c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x14ac:dyDescent="0.2">
      <c r="A147" s="6">
        <v>1</v>
      </c>
      <c r="B147" s="6" t="s">
        <v>130</v>
      </c>
      <c r="C147" s="6" t="s">
        <v>133</v>
      </c>
      <c r="D147" s="6">
        <v>2025</v>
      </c>
      <c r="E147" s="6">
        <v>7</v>
      </c>
      <c r="F147" s="6">
        <v>1</v>
      </c>
      <c r="G147" s="6">
        <v>1</v>
      </c>
      <c r="H147" s="6">
        <v>0</v>
      </c>
      <c r="I147" s="6">
        <v>2</v>
      </c>
      <c r="J147" s="6">
        <v>1</v>
      </c>
      <c r="K147" s="6">
        <v>1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 t="s">
        <v>3</v>
      </c>
      <c r="S147" s="6" t="s">
        <v>3</v>
      </c>
      <c r="T147" s="6" t="s">
        <v>3</v>
      </c>
      <c r="U147" s="6" t="s">
        <v>3</v>
      </c>
      <c r="V147" s="6" t="s">
        <v>3</v>
      </c>
      <c r="W147" s="6" t="s">
        <v>3</v>
      </c>
      <c r="X147" s="6" t="s">
        <v>3</v>
      </c>
      <c r="Y147" s="6" t="s">
        <v>3</v>
      </c>
      <c r="Z147" s="6" t="s">
        <v>3</v>
      </c>
      <c r="AA147" s="6" t="s">
        <v>134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>
        <v>59499002</v>
      </c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x14ac:dyDescent="0.2">
      <c r="A148" s="4">
        <v>75</v>
      </c>
      <c r="B148" s="4" t="s">
        <v>135</v>
      </c>
      <c r="C148" s="4">
        <v>2000</v>
      </c>
      <c r="D148" s="4">
        <v>0</v>
      </c>
      <c r="E148" s="4">
        <v>1</v>
      </c>
      <c r="F148" s="4"/>
      <c r="G148" s="4">
        <v>0</v>
      </c>
      <c r="H148" s="4">
        <v>1</v>
      </c>
      <c r="I148" s="4">
        <v>1</v>
      </c>
      <c r="J148" s="4">
        <v>3</v>
      </c>
      <c r="K148" s="4">
        <v>0</v>
      </c>
      <c r="L148" s="4">
        <v>0</v>
      </c>
      <c r="M148" s="4">
        <v>0</v>
      </c>
      <c r="N148" s="4">
        <v>59499003</v>
      </c>
      <c r="O148" s="4">
        <v>2</v>
      </c>
    </row>
    <row r="149" spans="1:50" x14ac:dyDescent="0.2">
      <c r="A149" s="6">
        <v>1</v>
      </c>
      <c r="B149" s="6" t="s">
        <v>130</v>
      </c>
      <c r="C149" s="6" t="s">
        <v>131</v>
      </c>
      <c r="D149" s="6">
        <v>2000</v>
      </c>
      <c r="E149" s="6">
        <v>1</v>
      </c>
      <c r="F149" s="6">
        <v>1</v>
      </c>
      <c r="G149" s="6">
        <v>1</v>
      </c>
      <c r="H149" s="6">
        <v>0</v>
      </c>
      <c r="I149" s="6">
        <v>2</v>
      </c>
      <c r="J149" s="6">
        <v>1</v>
      </c>
      <c r="K149" s="6">
        <v>1</v>
      </c>
      <c r="L149" s="6">
        <v>1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 t="s">
        <v>3</v>
      </c>
      <c r="S149" s="6" t="s">
        <v>3</v>
      </c>
      <c r="T149" s="6" t="s">
        <v>3</v>
      </c>
      <c r="U149" s="6" t="s">
        <v>3</v>
      </c>
      <c r="V149" s="6" t="s">
        <v>3</v>
      </c>
      <c r="W149" s="6" t="s">
        <v>3</v>
      </c>
      <c r="X149" s="6" t="s">
        <v>3</v>
      </c>
      <c r="Y149" s="6" t="s">
        <v>3</v>
      </c>
      <c r="Z149" s="6" t="s">
        <v>3</v>
      </c>
      <c r="AA149" s="6" t="s">
        <v>136</v>
      </c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>
        <v>59499004</v>
      </c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3" spans="1:50" x14ac:dyDescent="0.2">
      <c r="A153">
        <v>65</v>
      </c>
      <c r="C153">
        <v>1</v>
      </c>
      <c r="D153">
        <v>0</v>
      </c>
      <c r="E15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137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74561</v>
      </c>
      <c r="M1">
        <v>10</v>
      </c>
      <c r="N1">
        <v>11</v>
      </c>
      <c r="O1">
        <v>15</v>
      </c>
      <c r="P1">
        <v>0</v>
      </c>
      <c r="Q1">
        <v>2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10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59499000</v>
      </c>
      <c r="E14" s="1">
        <v>59499003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ROUND((Source!P93)/1000,2)</f>
        <v>0</v>
      </c>
      <c r="F16" s="8">
        <f>ROUND((Source!P94)/1000,2)</f>
        <v>463.54</v>
      </c>
      <c r="G16" s="8">
        <f>ROUND((Source!P85)/1000,2)</f>
        <v>373.51</v>
      </c>
      <c r="H16" s="8">
        <f>ROUND((Source!P95)/1000+(Source!P96)/1000,2)</f>
        <v>0</v>
      </c>
      <c r="I16" s="8">
        <f>E16+F16+G16+H16</f>
        <v>837.05</v>
      </c>
      <c r="J16" s="8">
        <f>ROUND((Source!P91+Source!P90)/1000,2)</f>
        <v>188.15</v>
      </c>
      <c r="K16" s="8">
        <v>952.54</v>
      </c>
      <c r="L16" s="8">
        <v>0</v>
      </c>
      <c r="M16" s="8">
        <v>0</v>
      </c>
      <c r="N16" s="8">
        <f>I16+L16+M16</f>
        <v>837.05</v>
      </c>
      <c r="T16" s="9">
        <f>ROUND((Source!F93)/1000,2)</f>
        <v>0</v>
      </c>
      <c r="U16" s="9">
        <f>ROUND((Source!F94)/1000,2)</f>
        <v>9.26</v>
      </c>
      <c r="V16" s="9">
        <f>ROUND((Source!F85)/1000,2)</f>
        <v>48.76</v>
      </c>
      <c r="W16" s="9">
        <f>ROUND((Source!F95)/1000+(Source!F96)/1000,2)</f>
        <v>0</v>
      </c>
      <c r="X16" s="9">
        <f>T16+U16+V16+W16</f>
        <v>58.019999999999996</v>
      </c>
      <c r="Y16" s="9">
        <f>ROUND((Source!F91+Source!F90)/1000,2)</f>
        <v>3.42</v>
      </c>
      <c r="Z16" s="9">
        <v>102.7</v>
      </c>
      <c r="AA16" s="9">
        <v>0</v>
      </c>
      <c r="AB16" s="9">
        <v>0</v>
      </c>
      <c r="AC16" s="9">
        <f>X16+AA16+AB16</f>
        <v>58.019999999999996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571763.25</v>
      </c>
      <c r="AU16" s="8">
        <v>380775.54</v>
      </c>
      <c r="AV16" s="8">
        <v>0</v>
      </c>
      <c r="AW16" s="8">
        <v>373512.32</v>
      </c>
      <c r="AX16" s="8">
        <v>0</v>
      </c>
      <c r="AY16" s="8">
        <v>3995.31</v>
      </c>
      <c r="AZ16" s="8">
        <v>1155.3399999999999</v>
      </c>
      <c r="BA16" s="8">
        <v>186992.4</v>
      </c>
      <c r="BB16" s="8">
        <v>0</v>
      </c>
      <c r="BC16" s="8">
        <v>463539.25</v>
      </c>
      <c r="BD16" s="8">
        <v>0</v>
      </c>
      <c r="BE16" s="8">
        <v>0</v>
      </c>
      <c r="BF16" s="8">
        <v>252.13564244</v>
      </c>
      <c r="BG16" s="8">
        <v>0</v>
      </c>
      <c r="BH16" s="8">
        <v>0</v>
      </c>
      <c r="BI16" s="8">
        <v>173095.92</v>
      </c>
      <c r="BJ16" s="8">
        <v>92192.4</v>
      </c>
      <c r="BK16" s="8">
        <v>837051.57</v>
      </c>
      <c r="BR16" s="9">
        <v>53199.99</v>
      </c>
      <c r="BS16" s="9">
        <v>49495.8</v>
      </c>
      <c r="BT16" s="9">
        <v>0</v>
      </c>
      <c r="BU16" s="9">
        <v>48761.4</v>
      </c>
      <c r="BV16" s="9">
        <v>0</v>
      </c>
      <c r="BW16" s="9">
        <v>303.70999999999998</v>
      </c>
      <c r="BX16" s="9">
        <v>21.01</v>
      </c>
      <c r="BY16" s="9">
        <v>3400.48</v>
      </c>
      <c r="BZ16" s="9">
        <v>0</v>
      </c>
      <c r="CA16" s="9">
        <v>9262.89</v>
      </c>
      <c r="CB16" s="9">
        <v>0</v>
      </c>
      <c r="CC16" s="9">
        <v>0</v>
      </c>
      <c r="CD16" s="9">
        <v>252.13564244</v>
      </c>
      <c r="CE16" s="9">
        <v>0</v>
      </c>
      <c r="CF16" s="9">
        <v>0</v>
      </c>
      <c r="CG16" s="9">
        <v>3147.77</v>
      </c>
      <c r="CH16" s="9">
        <v>1676.53</v>
      </c>
      <c r="CI16" s="9">
        <v>58024.29</v>
      </c>
    </row>
    <row r="18" spans="1:29" x14ac:dyDescent="0.2">
      <c r="A18">
        <v>51</v>
      </c>
      <c r="E18">
        <v>0</v>
      </c>
      <c r="F18">
        <v>463.54</v>
      </c>
      <c r="G18">
        <v>373.51</v>
      </c>
      <c r="H18">
        <v>0</v>
      </c>
      <c r="I18">
        <v>837.05</v>
      </c>
      <c r="J18">
        <v>188.15</v>
      </c>
      <c r="K18">
        <v>952.54</v>
      </c>
      <c r="L18">
        <v>0</v>
      </c>
      <c r="M18">
        <v>0</v>
      </c>
      <c r="N18">
        <v>837.05</v>
      </c>
      <c r="T18">
        <v>0</v>
      </c>
      <c r="U18">
        <v>9.26</v>
      </c>
      <c r="V18">
        <v>48.76</v>
      </c>
      <c r="W18">
        <v>0</v>
      </c>
      <c r="X18">
        <v>58.02</v>
      </c>
      <c r="Y18">
        <v>3.42</v>
      </c>
      <c r="Z18">
        <v>102.7</v>
      </c>
      <c r="AA18">
        <v>0</v>
      </c>
      <c r="AB18">
        <v>0</v>
      </c>
      <c r="AC18">
        <v>58.02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571763.25</v>
      </c>
      <c r="G20" s="5" t="s">
        <v>65</v>
      </c>
      <c r="H20" s="5" t="s">
        <v>66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53199.99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380775.54</v>
      </c>
      <c r="G21" s="5" t="s">
        <v>67</v>
      </c>
      <c r="H21" s="5" t="s">
        <v>68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49495.8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69</v>
      </c>
      <c r="H22" s="5" t="s">
        <v>70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380775.54</v>
      </c>
      <c r="G23" s="5" t="s">
        <v>71</v>
      </c>
      <c r="H23" s="5" t="s">
        <v>72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49495.8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7263.22</v>
      </c>
      <c r="G24" s="5" t="s">
        <v>73</v>
      </c>
      <c r="H24" s="5" t="s">
        <v>74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734.4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75</v>
      </c>
      <c r="H25" s="5" t="s">
        <v>76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7263.22</v>
      </c>
      <c r="G26" s="5" t="s">
        <v>77</v>
      </c>
      <c r="H26" s="5" t="s">
        <v>78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734.4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373512.32</v>
      </c>
      <c r="G27" s="5" t="s">
        <v>79</v>
      </c>
      <c r="H27" s="5" t="s">
        <v>80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48761.4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81</v>
      </c>
      <c r="H28" s="5" t="s">
        <v>82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373512.32</v>
      </c>
      <c r="G29" s="5" t="s">
        <v>83</v>
      </c>
      <c r="H29" s="5" t="s">
        <v>84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48761.4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3995.31</v>
      </c>
      <c r="G30" s="5" t="s">
        <v>85</v>
      </c>
      <c r="H30" s="5" t="s">
        <v>86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303.70999999999998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87</v>
      </c>
      <c r="H31" s="5" t="s">
        <v>88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1155.3399999999999</v>
      </c>
      <c r="G32" s="5" t="s">
        <v>89</v>
      </c>
      <c r="H32" s="5" t="s">
        <v>90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21.01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186992.4</v>
      </c>
      <c r="G33" s="5" t="s">
        <v>91</v>
      </c>
      <c r="H33" s="5" t="s">
        <v>92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3400.48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93</v>
      </c>
      <c r="H34" s="5" t="s">
        <v>94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95</v>
      </c>
      <c r="H35" s="5" t="s">
        <v>96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463539.25</v>
      </c>
      <c r="G36" s="5" t="s">
        <v>97</v>
      </c>
      <c r="H36" s="5" t="s">
        <v>98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9262.89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99</v>
      </c>
      <c r="H37" s="5" t="s">
        <v>100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101</v>
      </c>
      <c r="H38" s="5" t="s">
        <v>102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103</v>
      </c>
      <c r="H39" s="5" t="s">
        <v>104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252.13564244</v>
      </c>
      <c r="G40" s="5" t="s">
        <v>105</v>
      </c>
      <c r="H40" s="5" t="s">
        <v>106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252.13564244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107</v>
      </c>
      <c r="H41" s="5" t="s">
        <v>108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109</v>
      </c>
      <c r="H42" s="5" t="s">
        <v>110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111</v>
      </c>
      <c r="H43" s="5" t="s">
        <v>112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173095.92</v>
      </c>
      <c r="G44" s="5" t="s">
        <v>113</v>
      </c>
      <c r="H44" s="5" t="s">
        <v>114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3147.77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92192.4</v>
      </c>
      <c r="G45" s="5" t="s">
        <v>115</v>
      </c>
      <c r="H45" s="5" t="s">
        <v>116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1676.53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837051.57</v>
      </c>
      <c r="G46" s="5" t="s">
        <v>117</v>
      </c>
      <c r="H46" s="5" t="s">
        <v>118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58024.29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129</v>
      </c>
      <c r="C51" s="4">
        <v>2025</v>
      </c>
      <c r="D51" s="4">
        <v>0</v>
      </c>
      <c r="E51" s="4">
        <v>9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59499000</v>
      </c>
      <c r="O51" s="4">
        <v>1</v>
      </c>
    </row>
    <row r="52" spans="1:50" x14ac:dyDescent="0.2">
      <c r="A52" s="6">
        <v>1</v>
      </c>
      <c r="B52" s="6" t="s">
        <v>130</v>
      </c>
      <c r="C52" s="6" t="s">
        <v>131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132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59499001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130</v>
      </c>
      <c r="C53" s="6" t="s">
        <v>133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134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59499002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135</v>
      </c>
      <c r="C54" s="4">
        <v>2000</v>
      </c>
      <c r="D54" s="4">
        <v>0</v>
      </c>
      <c r="E54" s="4">
        <v>1</v>
      </c>
      <c r="F54" s="4"/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59499003</v>
      </c>
      <c r="O54" s="4">
        <v>2</v>
      </c>
    </row>
    <row r="55" spans="1:50" x14ac:dyDescent="0.2">
      <c r="A55" s="6">
        <v>1</v>
      </c>
      <c r="B55" s="6" t="s">
        <v>130</v>
      </c>
      <c r="C55" s="6" t="s">
        <v>131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136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59499004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ROW(Source!A29)</f>
        <v>29</v>
      </c>
      <c r="B1">
        <v>59499003</v>
      </c>
      <c r="C1">
        <v>59499118</v>
      </c>
      <c r="D1">
        <v>58532980</v>
      </c>
      <c r="E1">
        <v>1080</v>
      </c>
      <c r="F1">
        <v>1</v>
      </c>
      <c r="G1">
        <v>1080</v>
      </c>
      <c r="H1">
        <v>1</v>
      </c>
      <c r="I1" t="s">
        <v>138</v>
      </c>
      <c r="J1" t="s">
        <v>3</v>
      </c>
      <c r="K1" t="s">
        <v>139</v>
      </c>
      <c r="L1">
        <v>1191</v>
      </c>
      <c r="N1">
        <v>1013</v>
      </c>
      <c r="O1" t="s">
        <v>140</v>
      </c>
      <c r="P1" t="s">
        <v>140</v>
      </c>
      <c r="Q1">
        <v>1</v>
      </c>
      <c r="W1">
        <v>0</v>
      </c>
      <c r="X1">
        <v>476480486</v>
      </c>
      <c r="Y1">
        <f>((AT1*0.3)*1.1)</f>
        <v>114.18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346</v>
      </c>
      <c r="AU1" t="s">
        <v>25</v>
      </c>
      <c r="AV1">
        <v>1</v>
      </c>
      <c r="AW1">
        <v>2</v>
      </c>
      <c r="AX1">
        <v>59499143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ROUND(AT1*Source!I29*AH1*AL1,2)</f>
        <v>0</v>
      </c>
      <c r="CV1">
        <f>ROUND(Y1*Source!I29,9)</f>
        <v>114.18</v>
      </c>
      <c r="CW1">
        <v>0</v>
      </c>
      <c r="CX1">
        <f>ROUND(Y1*Source!I29,9)</f>
        <v>114.18</v>
      </c>
      <c r="CY1">
        <f>AD1</f>
        <v>0</v>
      </c>
      <c r="CZ1">
        <f>AH1</f>
        <v>0</v>
      </c>
      <c r="DA1">
        <f>AL1</f>
        <v>1</v>
      </c>
      <c r="DB1">
        <f>ROUND(((ROUND(AT1*CZ1,2)*0.3)*1.1),6)</f>
        <v>0</v>
      </c>
      <c r="DC1">
        <f>ROUND(((ROUND(AT1*AG1,2)*0.3)*1.1),6)</f>
        <v>0</v>
      </c>
      <c r="DD1" t="s">
        <v>3</v>
      </c>
      <c r="DE1" t="s">
        <v>3</v>
      </c>
      <c r="DF1">
        <f>ROUND(ROUND(AE1,2)*CX1,2)</f>
        <v>0</v>
      </c>
      <c r="DG1">
        <f t="shared" ref="DG1:DG16" si="0">ROUND(ROUND(AF1,2)*CX1,2)</f>
        <v>0</v>
      </c>
      <c r="DH1">
        <f t="shared" ref="DH1:DH16" si="1">ROUND(ROUND(AG1,2)*CX1,2)</f>
        <v>0</v>
      </c>
      <c r="DI1">
        <f t="shared" ref="DI1:DI16" si="2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59499003</v>
      </c>
      <c r="C2">
        <v>59499118</v>
      </c>
      <c r="D2">
        <v>58537982</v>
      </c>
      <c r="E2">
        <v>1080</v>
      </c>
      <c r="F2">
        <v>1</v>
      </c>
      <c r="G2">
        <v>1080</v>
      </c>
      <c r="H2">
        <v>3</v>
      </c>
      <c r="I2" t="s">
        <v>141</v>
      </c>
      <c r="J2" t="s">
        <v>3</v>
      </c>
      <c r="K2" t="s">
        <v>142</v>
      </c>
      <c r="L2">
        <v>1348</v>
      </c>
      <c r="N2">
        <v>1009</v>
      </c>
      <c r="O2" t="s">
        <v>143</v>
      </c>
      <c r="P2" t="s">
        <v>143</v>
      </c>
      <c r="Q2">
        <v>1000</v>
      </c>
      <c r="W2">
        <v>0</v>
      </c>
      <c r="X2">
        <v>-783086922</v>
      </c>
      <c r="Y2">
        <f>((AT2*0)*1)</f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1.5</v>
      </c>
      <c r="AU2" t="s">
        <v>24</v>
      </c>
      <c r="AV2">
        <v>0</v>
      </c>
      <c r="AW2">
        <v>2</v>
      </c>
      <c r="AX2">
        <v>59499144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ROUND(Y2*Source!I29,9)</f>
        <v>0</v>
      </c>
      <c r="CY2">
        <f>AA2</f>
        <v>0</v>
      </c>
      <c r="CZ2">
        <f>AE2</f>
        <v>0</v>
      </c>
      <c r="DA2">
        <f>AI2</f>
        <v>1</v>
      </c>
      <c r="DB2">
        <f>ROUND(((ROUND(AT2*CZ2,2)*0)*1),6)</f>
        <v>0</v>
      </c>
      <c r="DC2">
        <f>ROUND(((ROUND(AT2*AG2,2)*0)*1),6)</f>
        <v>0</v>
      </c>
      <c r="DD2" t="s">
        <v>3</v>
      </c>
      <c r="DE2" t="s">
        <v>3</v>
      </c>
      <c r="DF2">
        <f>ROUND(ROUND(AE2,2)*CX2,2)</f>
        <v>0</v>
      </c>
      <c r="DG2">
        <f t="shared" si="0"/>
        <v>0</v>
      </c>
      <c r="DH2">
        <f t="shared" si="1"/>
        <v>0</v>
      </c>
      <c r="DI2">
        <f t="shared" si="2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59499000</v>
      </c>
      <c r="C3">
        <v>59499118</v>
      </c>
      <c r="D3">
        <v>58532980</v>
      </c>
      <c r="E3">
        <v>1080</v>
      </c>
      <c r="F3">
        <v>1</v>
      </c>
      <c r="G3">
        <v>1080</v>
      </c>
      <c r="H3">
        <v>1</v>
      </c>
      <c r="I3" t="s">
        <v>138</v>
      </c>
      <c r="J3" t="s">
        <v>3</v>
      </c>
      <c r="K3" t="s">
        <v>139</v>
      </c>
      <c r="L3">
        <v>1191</v>
      </c>
      <c r="N3">
        <v>1013</v>
      </c>
      <c r="O3" t="s">
        <v>140</v>
      </c>
      <c r="P3" t="s">
        <v>140</v>
      </c>
      <c r="Q3">
        <v>1</v>
      </c>
      <c r="W3">
        <v>0</v>
      </c>
      <c r="X3">
        <v>476480486</v>
      </c>
      <c r="Y3">
        <f>((AT3*0.3)*1.1)</f>
        <v>114.18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346</v>
      </c>
      <c r="AU3" t="s">
        <v>25</v>
      </c>
      <c r="AV3">
        <v>1</v>
      </c>
      <c r="AW3">
        <v>2</v>
      </c>
      <c r="AX3">
        <v>59499143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114.18</v>
      </c>
      <c r="CW3">
        <v>0</v>
      </c>
      <c r="CX3">
        <f>ROUND(Y3*Source!I30,9)</f>
        <v>114.18</v>
      </c>
      <c r="CY3">
        <f>AD3</f>
        <v>0</v>
      </c>
      <c r="CZ3">
        <f>AH3</f>
        <v>0</v>
      </c>
      <c r="DA3">
        <f>AL3</f>
        <v>1</v>
      </c>
      <c r="DB3">
        <f>ROUND(((ROUND(AT3*CZ3,2)*0.3)*1.1),6)</f>
        <v>0</v>
      </c>
      <c r="DC3">
        <f>ROUND(((ROUND(AT3*AG3,2)*0.3)*1.1),6)</f>
        <v>0</v>
      </c>
      <c r="DD3" t="s">
        <v>3</v>
      </c>
      <c r="DE3" t="s">
        <v>3</v>
      </c>
      <c r="DF3">
        <f>ROUND(ROUND(AE3,2)*CX3,2)</f>
        <v>0</v>
      </c>
      <c r="DG3">
        <f t="shared" si="0"/>
        <v>0</v>
      </c>
      <c r="DH3">
        <f t="shared" si="1"/>
        <v>0</v>
      </c>
      <c r="DI3">
        <f t="shared" si="2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ROW(Source!A30)</f>
        <v>30</v>
      </c>
      <c r="B4">
        <v>59499000</v>
      </c>
      <c r="C4">
        <v>59499118</v>
      </c>
      <c r="D4">
        <v>58537982</v>
      </c>
      <c r="E4">
        <v>1080</v>
      </c>
      <c r="F4">
        <v>1</v>
      </c>
      <c r="G4">
        <v>1080</v>
      </c>
      <c r="H4">
        <v>3</v>
      </c>
      <c r="I4" t="s">
        <v>141</v>
      </c>
      <c r="J4" t="s">
        <v>3</v>
      </c>
      <c r="K4" t="s">
        <v>142</v>
      </c>
      <c r="L4">
        <v>1348</v>
      </c>
      <c r="N4">
        <v>1009</v>
      </c>
      <c r="O4" t="s">
        <v>143</v>
      </c>
      <c r="P4" t="s">
        <v>143</v>
      </c>
      <c r="Q4">
        <v>1000</v>
      </c>
      <c r="W4">
        <v>0</v>
      </c>
      <c r="X4">
        <v>-783086922</v>
      </c>
      <c r="Y4">
        <f>((AT4*0)*1)</f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9.8800000000000008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1.5</v>
      </c>
      <c r="AU4" t="s">
        <v>24</v>
      </c>
      <c r="AV4">
        <v>0</v>
      </c>
      <c r="AW4">
        <v>2</v>
      </c>
      <c r="AX4">
        <v>59499144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ROUND(Y4*Source!I30,9)</f>
        <v>0</v>
      </c>
      <c r="CY4">
        <f>AA4</f>
        <v>0</v>
      </c>
      <c r="CZ4">
        <f>AE4</f>
        <v>0</v>
      </c>
      <c r="DA4">
        <f>AI4</f>
        <v>9.8800000000000008</v>
      </c>
      <c r="DB4">
        <f>ROUND(((ROUND(AT4*CZ4,2)*0)*1),6)</f>
        <v>0</v>
      </c>
      <c r="DC4">
        <f>ROUND(((ROUND(AT4*AG4,2)*0)*1),6)</f>
        <v>0</v>
      </c>
      <c r="DD4" t="s">
        <v>3</v>
      </c>
      <c r="DE4" t="s">
        <v>3</v>
      </c>
      <c r="DF4">
        <f>ROUND(ROUND(AE4*AI4,2)*CX4,2)</f>
        <v>0</v>
      </c>
      <c r="DG4">
        <f t="shared" si="0"/>
        <v>0</v>
      </c>
      <c r="DH4">
        <f t="shared" si="1"/>
        <v>0</v>
      </c>
      <c r="DI4">
        <f t="shared" si="2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ROW(Source!A31)</f>
        <v>31</v>
      </c>
      <c r="B5">
        <v>59499003</v>
      </c>
      <c r="C5">
        <v>59499123</v>
      </c>
      <c r="D5">
        <v>58532980</v>
      </c>
      <c r="E5">
        <v>1080</v>
      </c>
      <c r="F5">
        <v>1</v>
      </c>
      <c r="G5">
        <v>1080</v>
      </c>
      <c r="H5">
        <v>1</v>
      </c>
      <c r="I5" t="s">
        <v>138</v>
      </c>
      <c r="J5" t="s">
        <v>3</v>
      </c>
      <c r="K5" t="s">
        <v>139</v>
      </c>
      <c r="L5">
        <v>1191</v>
      </c>
      <c r="N5">
        <v>1013</v>
      </c>
      <c r="O5" t="s">
        <v>140</v>
      </c>
      <c r="P5" t="s">
        <v>140</v>
      </c>
      <c r="Q5">
        <v>1</v>
      </c>
      <c r="W5">
        <v>0</v>
      </c>
      <c r="X5">
        <v>476480486</v>
      </c>
      <c r="Y5">
        <f>((AT5*0.3)*1.1)</f>
        <v>7.4250000000000007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22.5</v>
      </c>
      <c r="AU5" t="s">
        <v>25</v>
      </c>
      <c r="AV5">
        <v>1</v>
      </c>
      <c r="AW5">
        <v>2</v>
      </c>
      <c r="AX5">
        <v>59499145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ROUND(AT5*Source!I31*AH5*AL5,2)</f>
        <v>0</v>
      </c>
      <c r="CV5">
        <f>ROUND(Y5*Source!I31,9)</f>
        <v>-29.7</v>
      </c>
      <c r="CW5">
        <v>0</v>
      </c>
      <c r="CX5">
        <f>ROUND(Y5*Source!I31,9)</f>
        <v>-29.7</v>
      </c>
      <c r="CY5">
        <f>AD5</f>
        <v>0</v>
      </c>
      <c r="CZ5">
        <f>AH5</f>
        <v>0</v>
      </c>
      <c r="DA5">
        <f>AL5</f>
        <v>1</v>
      </c>
      <c r="DB5">
        <f>ROUND(((ROUND(AT5*CZ5,2)*0.3)*1.1),6)</f>
        <v>0</v>
      </c>
      <c r="DC5">
        <f>ROUND(((ROUND(AT5*AG5,2)*0.3)*1.1),6)</f>
        <v>0</v>
      </c>
      <c r="DD5" t="s">
        <v>3</v>
      </c>
      <c r="DE5" t="s">
        <v>3</v>
      </c>
      <c r="DF5">
        <f t="shared" ref="DF5:DF11" si="3">ROUND(ROUND(AE5,2)*CX5,2)</f>
        <v>0</v>
      </c>
      <c r="DG5">
        <f t="shared" si="0"/>
        <v>0</v>
      </c>
      <c r="DH5">
        <f t="shared" si="1"/>
        <v>0</v>
      </c>
      <c r="DI5">
        <f t="shared" si="2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ROW(Source!A32)</f>
        <v>32</v>
      </c>
      <c r="B6">
        <v>59499000</v>
      </c>
      <c r="C6">
        <v>59499123</v>
      </c>
      <c r="D6">
        <v>58532980</v>
      </c>
      <c r="E6">
        <v>1080</v>
      </c>
      <c r="F6">
        <v>1</v>
      </c>
      <c r="G6">
        <v>1080</v>
      </c>
      <c r="H6">
        <v>1</v>
      </c>
      <c r="I6" t="s">
        <v>138</v>
      </c>
      <c r="J6" t="s">
        <v>3</v>
      </c>
      <c r="K6" t="s">
        <v>139</v>
      </c>
      <c r="L6">
        <v>1191</v>
      </c>
      <c r="N6">
        <v>1013</v>
      </c>
      <c r="O6" t="s">
        <v>140</v>
      </c>
      <c r="P6" t="s">
        <v>140</v>
      </c>
      <c r="Q6">
        <v>1</v>
      </c>
      <c r="W6">
        <v>0</v>
      </c>
      <c r="X6">
        <v>476480486</v>
      </c>
      <c r="Y6">
        <f>((AT6*0.3)*1.1)</f>
        <v>7.4250000000000007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22.5</v>
      </c>
      <c r="AU6" t="s">
        <v>25</v>
      </c>
      <c r="AV6">
        <v>1</v>
      </c>
      <c r="AW6">
        <v>2</v>
      </c>
      <c r="AX6">
        <v>59499145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ROUND(AT6*Source!I32*AH6*AL6,2)</f>
        <v>0</v>
      </c>
      <c r="CV6">
        <f>ROUND(Y6*Source!I32,9)</f>
        <v>-29.7</v>
      </c>
      <c r="CW6">
        <v>0</v>
      </c>
      <c r="CX6">
        <f>ROUND(Y6*Source!I32,9)</f>
        <v>-29.7</v>
      </c>
      <c r="CY6">
        <f>AD6</f>
        <v>0</v>
      </c>
      <c r="CZ6">
        <f>AH6</f>
        <v>0</v>
      </c>
      <c r="DA6">
        <f>AL6</f>
        <v>1</v>
      </c>
      <c r="DB6">
        <f>ROUND(((ROUND(AT6*CZ6,2)*0.3)*1.1),6)</f>
        <v>0</v>
      </c>
      <c r="DC6">
        <f>ROUND(((ROUND(AT6*AG6,2)*0.3)*1.1),6)</f>
        <v>0</v>
      </c>
      <c r="DD6" t="s">
        <v>3</v>
      </c>
      <c r="DE6" t="s">
        <v>3</v>
      </c>
      <c r="DF6">
        <f t="shared" si="3"/>
        <v>0</v>
      </c>
      <c r="DG6">
        <f t="shared" si="0"/>
        <v>0</v>
      </c>
      <c r="DH6">
        <f t="shared" si="1"/>
        <v>0</v>
      </c>
      <c r="DI6">
        <f t="shared" si="2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ROW(Source!A33)</f>
        <v>33</v>
      </c>
      <c r="B7">
        <v>59499003</v>
      </c>
      <c r="C7">
        <v>59499126</v>
      </c>
      <c r="D7">
        <v>58532980</v>
      </c>
      <c r="E7">
        <v>1080</v>
      </c>
      <c r="F7">
        <v>1</v>
      </c>
      <c r="G7">
        <v>1080</v>
      </c>
      <c r="H7">
        <v>1</v>
      </c>
      <c r="I7" t="s">
        <v>138</v>
      </c>
      <c r="J7" t="s">
        <v>3</v>
      </c>
      <c r="K7" t="s">
        <v>139</v>
      </c>
      <c r="L7">
        <v>1191</v>
      </c>
      <c r="N7">
        <v>1013</v>
      </c>
      <c r="O7" t="s">
        <v>140</v>
      </c>
      <c r="P7" t="s">
        <v>140</v>
      </c>
      <c r="Q7">
        <v>1</v>
      </c>
      <c r="W7">
        <v>0</v>
      </c>
      <c r="X7">
        <v>476480486</v>
      </c>
      <c r="Y7">
        <f>((AT7*0.3)*1.1)</f>
        <v>2.0790000000000002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6.3</v>
      </c>
      <c r="AU7" t="s">
        <v>25</v>
      </c>
      <c r="AV7">
        <v>1</v>
      </c>
      <c r="AW7">
        <v>2</v>
      </c>
      <c r="AX7">
        <v>59499146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ROUND(AT7*Source!I33*AH7*AL7,2)</f>
        <v>0</v>
      </c>
      <c r="CV7">
        <f>ROUND(Y7*Source!I33,9)</f>
        <v>-31.01868</v>
      </c>
      <c r="CW7">
        <v>0</v>
      </c>
      <c r="CX7">
        <f>ROUND(Y7*Source!I33,9)</f>
        <v>-31.01868</v>
      </c>
      <c r="CY7">
        <f>AD7</f>
        <v>0</v>
      </c>
      <c r="CZ7">
        <f>AH7</f>
        <v>0</v>
      </c>
      <c r="DA7">
        <f>AL7</f>
        <v>1</v>
      </c>
      <c r="DB7">
        <f>ROUND(((ROUND(AT7*CZ7,2)*0.3)*1.1),6)</f>
        <v>0</v>
      </c>
      <c r="DC7">
        <f>ROUND(((ROUND(AT7*AG7,2)*0.3)*1.1),6)</f>
        <v>0</v>
      </c>
      <c r="DD7" t="s">
        <v>3</v>
      </c>
      <c r="DE7" t="s">
        <v>3</v>
      </c>
      <c r="DF7">
        <f t="shared" si="3"/>
        <v>0</v>
      </c>
      <c r="DG7">
        <f t="shared" si="0"/>
        <v>0</v>
      </c>
      <c r="DH7">
        <f t="shared" si="1"/>
        <v>0</v>
      </c>
      <c r="DI7">
        <f t="shared" si="2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ROW(Source!A34)</f>
        <v>34</v>
      </c>
      <c r="B8">
        <v>59499000</v>
      </c>
      <c r="C8">
        <v>59499126</v>
      </c>
      <c r="D8">
        <v>58532980</v>
      </c>
      <c r="E8">
        <v>1080</v>
      </c>
      <c r="F8">
        <v>1</v>
      </c>
      <c r="G8">
        <v>1080</v>
      </c>
      <c r="H8">
        <v>1</v>
      </c>
      <c r="I8" t="s">
        <v>138</v>
      </c>
      <c r="J8" t="s">
        <v>3</v>
      </c>
      <c r="K8" t="s">
        <v>139</v>
      </c>
      <c r="L8">
        <v>1191</v>
      </c>
      <c r="N8">
        <v>1013</v>
      </c>
      <c r="O8" t="s">
        <v>140</v>
      </c>
      <c r="P8" t="s">
        <v>140</v>
      </c>
      <c r="Q8">
        <v>1</v>
      </c>
      <c r="W8">
        <v>0</v>
      </c>
      <c r="X8">
        <v>476480486</v>
      </c>
      <c r="Y8">
        <f>((AT8*0.3)*1.1)</f>
        <v>2.0790000000000002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5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6.3</v>
      </c>
      <c r="AU8" t="s">
        <v>25</v>
      </c>
      <c r="AV8">
        <v>1</v>
      </c>
      <c r="AW8">
        <v>2</v>
      </c>
      <c r="AX8">
        <v>59499146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U8">
        <f>ROUND(AT8*Source!I34*AH8*AL8,2)</f>
        <v>0</v>
      </c>
      <c r="CV8">
        <f>ROUND(Y8*Source!I34,9)</f>
        <v>-31.01868</v>
      </c>
      <c r="CW8">
        <v>0</v>
      </c>
      <c r="CX8">
        <f>ROUND(Y8*Source!I34,9)</f>
        <v>-31.01868</v>
      </c>
      <c r="CY8">
        <f>AD8</f>
        <v>0</v>
      </c>
      <c r="CZ8">
        <f>AH8</f>
        <v>0</v>
      </c>
      <c r="DA8">
        <f>AL8</f>
        <v>1</v>
      </c>
      <c r="DB8">
        <f>ROUND(((ROUND(AT8*CZ8,2)*0.3)*1.1),6)</f>
        <v>0</v>
      </c>
      <c r="DC8">
        <f>ROUND(((ROUND(AT8*AG8,2)*0.3)*1.1),6)</f>
        <v>0</v>
      </c>
      <c r="DD8" t="s">
        <v>3</v>
      </c>
      <c r="DE8" t="s">
        <v>3</v>
      </c>
      <c r="DF8">
        <f t="shared" si="3"/>
        <v>0</v>
      </c>
      <c r="DG8">
        <f t="shared" si="0"/>
        <v>0</v>
      </c>
      <c r="DH8">
        <f t="shared" si="1"/>
        <v>0</v>
      </c>
      <c r="DI8">
        <f t="shared" si="2"/>
        <v>0</v>
      </c>
      <c r="DJ8">
        <f>DI8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ROW(Source!A36)</f>
        <v>36</v>
      </c>
      <c r="B9">
        <v>59499003</v>
      </c>
      <c r="C9">
        <v>59499130</v>
      </c>
      <c r="D9">
        <v>58532980</v>
      </c>
      <c r="E9">
        <v>1080</v>
      </c>
      <c r="F9">
        <v>1</v>
      </c>
      <c r="G9">
        <v>1080</v>
      </c>
      <c r="H9">
        <v>1</v>
      </c>
      <c r="I9" t="s">
        <v>138</v>
      </c>
      <c r="J9" t="s">
        <v>3</v>
      </c>
      <c r="K9" t="s">
        <v>139</v>
      </c>
      <c r="L9">
        <v>1191</v>
      </c>
      <c r="N9">
        <v>1013</v>
      </c>
      <c r="O9" t="s">
        <v>140</v>
      </c>
      <c r="P9" t="s">
        <v>140</v>
      </c>
      <c r="Q9">
        <v>1</v>
      </c>
      <c r="W9">
        <v>0</v>
      </c>
      <c r="X9">
        <v>476480486</v>
      </c>
      <c r="Y9">
        <f>(AT9*1.1)</f>
        <v>380.6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346</v>
      </c>
      <c r="AU9" t="s">
        <v>46</v>
      </c>
      <c r="AV9">
        <v>1</v>
      </c>
      <c r="AW9">
        <v>2</v>
      </c>
      <c r="AX9">
        <v>59499147</v>
      </c>
      <c r="AY9">
        <v>1</v>
      </c>
      <c r="AZ9">
        <v>6144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ROUND(AT9*Source!I36*AH9*AL9,2)</f>
        <v>0</v>
      </c>
      <c r="CV9">
        <f>ROUND(Y9*Source!I36,9)</f>
        <v>380.6</v>
      </c>
      <c r="CW9">
        <v>0</v>
      </c>
      <c r="CX9">
        <f>ROUND(Y9*Source!I36,9)</f>
        <v>380.6</v>
      </c>
      <c r="CY9">
        <f>AD9</f>
        <v>0</v>
      </c>
      <c r="CZ9">
        <f>AH9</f>
        <v>0</v>
      </c>
      <c r="DA9">
        <f>AL9</f>
        <v>1</v>
      </c>
      <c r="DB9">
        <f>ROUND((ROUND(AT9*CZ9,2)*1.1),6)</f>
        <v>0</v>
      </c>
      <c r="DC9">
        <f>ROUND((ROUND(AT9*AG9,2)*1.1),6)</f>
        <v>0</v>
      </c>
      <c r="DD9" t="s">
        <v>3</v>
      </c>
      <c r="DE9" t="s">
        <v>3</v>
      </c>
      <c r="DF9">
        <f t="shared" si="3"/>
        <v>0</v>
      </c>
      <c r="DG9">
        <f t="shared" si="0"/>
        <v>0</v>
      </c>
      <c r="DH9">
        <f t="shared" si="1"/>
        <v>0</v>
      </c>
      <c r="DI9">
        <f t="shared" si="2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ROW(Source!A36)</f>
        <v>36</v>
      </c>
      <c r="B10">
        <v>59499003</v>
      </c>
      <c r="C10">
        <v>59499130</v>
      </c>
      <c r="D10">
        <v>58537982</v>
      </c>
      <c r="E10">
        <v>1080</v>
      </c>
      <c r="F10">
        <v>1</v>
      </c>
      <c r="G10">
        <v>1080</v>
      </c>
      <c r="H10">
        <v>3</v>
      </c>
      <c r="I10" t="s">
        <v>141</v>
      </c>
      <c r="J10" t="s">
        <v>3</v>
      </c>
      <c r="K10" t="s">
        <v>142</v>
      </c>
      <c r="L10">
        <v>1348</v>
      </c>
      <c r="N10">
        <v>1009</v>
      </c>
      <c r="O10" t="s">
        <v>143</v>
      </c>
      <c r="P10" t="s">
        <v>143</v>
      </c>
      <c r="Q10">
        <v>1000</v>
      </c>
      <c r="W10">
        <v>0</v>
      </c>
      <c r="X10">
        <v>-783086922</v>
      </c>
      <c r="Y10">
        <f>(AT10*1)</f>
        <v>1.5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1.5</v>
      </c>
      <c r="AU10" t="s">
        <v>45</v>
      </c>
      <c r="AV10">
        <v>0</v>
      </c>
      <c r="AW10">
        <v>2</v>
      </c>
      <c r="AX10">
        <v>59499148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ROUND(Y10*Source!I36,9)</f>
        <v>1.5</v>
      </c>
      <c r="CY10">
        <f>AA10</f>
        <v>0</v>
      </c>
      <c r="CZ10">
        <f>AE10</f>
        <v>0</v>
      </c>
      <c r="DA10">
        <f>AI10</f>
        <v>1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 t="shared" si="3"/>
        <v>0</v>
      </c>
      <c r="DG10">
        <f t="shared" si="0"/>
        <v>0</v>
      </c>
      <c r="DH10">
        <f t="shared" si="1"/>
        <v>0</v>
      </c>
      <c r="DI10">
        <f t="shared" si="2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ROW(Source!A37)</f>
        <v>37</v>
      </c>
      <c r="B11">
        <v>59499000</v>
      </c>
      <c r="C11">
        <v>59499130</v>
      </c>
      <c r="D11">
        <v>58532980</v>
      </c>
      <c r="E11">
        <v>1080</v>
      </c>
      <c r="F11">
        <v>1</v>
      </c>
      <c r="G11">
        <v>1080</v>
      </c>
      <c r="H11">
        <v>1</v>
      </c>
      <c r="I11" t="s">
        <v>138</v>
      </c>
      <c r="J11" t="s">
        <v>3</v>
      </c>
      <c r="K11" t="s">
        <v>139</v>
      </c>
      <c r="L11">
        <v>1191</v>
      </c>
      <c r="N11">
        <v>1013</v>
      </c>
      <c r="O11" t="s">
        <v>140</v>
      </c>
      <c r="P11" t="s">
        <v>140</v>
      </c>
      <c r="Q11">
        <v>1</v>
      </c>
      <c r="W11">
        <v>0</v>
      </c>
      <c r="X11">
        <v>476480486</v>
      </c>
      <c r="Y11">
        <f>(AT11*1.1)</f>
        <v>380.6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5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346</v>
      </c>
      <c r="AU11" t="s">
        <v>46</v>
      </c>
      <c r="AV11">
        <v>1</v>
      </c>
      <c r="AW11">
        <v>2</v>
      </c>
      <c r="AX11">
        <v>59499147</v>
      </c>
      <c r="AY11">
        <v>1</v>
      </c>
      <c r="AZ11">
        <v>6144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ROUND(AT11*Source!I37*AH11*AL11,2)</f>
        <v>0</v>
      </c>
      <c r="CV11">
        <f>ROUND(Y11*Source!I37,9)</f>
        <v>380.6</v>
      </c>
      <c r="CW11">
        <v>0</v>
      </c>
      <c r="CX11">
        <f>ROUND(Y11*Source!I37,9)</f>
        <v>380.6</v>
      </c>
      <c r="CY11">
        <f>AD11</f>
        <v>0</v>
      </c>
      <c r="CZ11">
        <f>AH11</f>
        <v>0</v>
      </c>
      <c r="DA11">
        <f>AL11</f>
        <v>1</v>
      </c>
      <c r="DB11">
        <f>ROUND((ROUND(AT11*CZ11,2)*1.1),6)</f>
        <v>0</v>
      </c>
      <c r="DC11">
        <f>ROUND((ROUND(AT11*AG11,2)*1.1),6)</f>
        <v>0</v>
      </c>
      <c r="DD11" t="s">
        <v>3</v>
      </c>
      <c r="DE11" t="s">
        <v>3</v>
      </c>
      <c r="DF11">
        <f t="shared" si="3"/>
        <v>0</v>
      </c>
      <c r="DG11">
        <f t="shared" si="0"/>
        <v>0</v>
      </c>
      <c r="DH11">
        <f t="shared" si="1"/>
        <v>0</v>
      </c>
      <c r="DI11">
        <f t="shared" si="2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ROW(Source!A37)</f>
        <v>37</v>
      </c>
      <c r="B12">
        <v>59499000</v>
      </c>
      <c r="C12">
        <v>59499130</v>
      </c>
      <c r="D12">
        <v>58537982</v>
      </c>
      <c r="E12">
        <v>1080</v>
      </c>
      <c r="F12">
        <v>1</v>
      </c>
      <c r="G12">
        <v>1080</v>
      </c>
      <c r="H12">
        <v>3</v>
      </c>
      <c r="I12" t="s">
        <v>141</v>
      </c>
      <c r="J12" t="s">
        <v>3</v>
      </c>
      <c r="K12" t="s">
        <v>142</v>
      </c>
      <c r="L12">
        <v>1348</v>
      </c>
      <c r="N12">
        <v>1009</v>
      </c>
      <c r="O12" t="s">
        <v>143</v>
      </c>
      <c r="P12" t="s">
        <v>143</v>
      </c>
      <c r="Q12">
        <v>1000</v>
      </c>
      <c r="W12">
        <v>0</v>
      </c>
      <c r="X12">
        <v>-783086922</v>
      </c>
      <c r="Y12">
        <f>(AT12*1)</f>
        <v>1.5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9.8800000000000008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1.5</v>
      </c>
      <c r="AU12" t="s">
        <v>45</v>
      </c>
      <c r="AV12">
        <v>0</v>
      </c>
      <c r="AW12">
        <v>2</v>
      </c>
      <c r="AX12">
        <v>59499148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ROUND(Y12*Source!I37,9)</f>
        <v>1.5</v>
      </c>
      <c r="CY12">
        <f>AA12</f>
        <v>0</v>
      </c>
      <c r="CZ12">
        <f>AE12</f>
        <v>0</v>
      </c>
      <c r="DA12">
        <f>AI12</f>
        <v>9.8800000000000008</v>
      </c>
      <c r="DB12">
        <f>ROUND((ROUND(AT12*CZ12,2)*1),6)</f>
        <v>0</v>
      </c>
      <c r="DC12">
        <f>ROUND((ROUND(AT12*AG12,2)*1),6)</f>
        <v>0</v>
      </c>
      <c r="DD12" t="s">
        <v>3</v>
      </c>
      <c r="DE12" t="s">
        <v>3</v>
      </c>
      <c r="DF12">
        <f>ROUND(ROUND(AE12*AI12,2)*CX12,2)</f>
        <v>0</v>
      </c>
      <c r="DG12">
        <f t="shared" si="0"/>
        <v>0</v>
      </c>
      <c r="DH12">
        <f t="shared" si="1"/>
        <v>0</v>
      </c>
      <c r="DI12">
        <f t="shared" si="2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ROW(Source!A38)</f>
        <v>38</v>
      </c>
      <c r="B13">
        <v>59499003</v>
      </c>
      <c r="C13">
        <v>59499135</v>
      </c>
      <c r="D13">
        <v>58532980</v>
      </c>
      <c r="E13">
        <v>1080</v>
      </c>
      <c r="F13">
        <v>1</v>
      </c>
      <c r="G13">
        <v>1080</v>
      </c>
      <c r="H13">
        <v>1</v>
      </c>
      <c r="I13" t="s">
        <v>138</v>
      </c>
      <c r="J13" t="s">
        <v>3</v>
      </c>
      <c r="K13" t="s">
        <v>139</v>
      </c>
      <c r="L13">
        <v>1191</v>
      </c>
      <c r="N13">
        <v>1013</v>
      </c>
      <c r="O13" t="s">
        <v>140</v>
      </c>
      <c r="P13" t="s">
        <v>140</v>
      </c>
      <c r="Q13">
        <v>1</v>
      </c>
      <c r="W13">
        <v>0</v>
      </c>
      <c r="X13">
        <v>476480486</v>
      </c>
      <c r="Y13">
        <f>(AT13*1.1)</f>
        <v>24.750000000000004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22.5</v>
      </c>
      <c r="AU13" t="s">
        <v>46</v>
      </c>
      <c r="AV13">
        <v>1</v>
      </c>
      <c r="AW13">
        <v>2</v>
      </c>
      <c r="AX13">
        <v>59499149</v>
      </c>
      <c r="AY13">
        <v>1</v>
      </c>
      <c r="AZ13">
        <v>6144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ROUND(AT13*Source!I38*AH13*AL13,2)</f>
        <v>0</v>
      </c>
      <c r="CV13">
        <f>ROUND(Y13*Source!I38,9)</f>
        <v>-99</v>
      </c>
      <c r="CW13">
        <v>0</v>
      </c>
      <c r="CX13">
        <f>ROUND(Y13*Source!I38,9)</f>
        <v>-99</v>
      </c>
      <c r="CY13">
        <f>AD13</f>
        <v>0</v>
      </c>
      <c r="CZ13">
        <f>AH13</f>
        <v>0</v>
      </c>
      <c r="DA13">
        <f>AL13</f>
        <v>1</v>
      </c>
      <c r="DB13">
        <f>ROUND((ROUND(AT13*CZ13,2)*1.1),6)</f>
        <v>0</v>
      </c>
      <c r="DC13">
        <f>ROUND((ROUND(AT13*AG13,2)*1.1),6)</f>
        <v>0</v>
      </c>
      <c r="DD13" t="s">
        <v>3</v>
      </c>
      <c r="DE13" t="s">
        <v>3</v>
      </c>
      <c r="DF13">
        <f>ROUND(ROUND(AE13,2)*CX13,2)</f>
        <v>0</v>
      </c>
      <c r="DG13">
        <f t="shared" si="0"/>
        <v>0</v>
      </c>
      <c r="DH13">
        <f t="shared" si="1"/>
        <v>0</v>
      </c>
      <c r="DI13">
        <f t="shared" si="2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ROW(Source!A39)</f>
        <v>39</v>
      </c>
      <c r="B14">
        <v>59499000</v>
      </c>
      <c r="C14">
        <v>59499135</v>
      </c>
      <c r="D14">
        <v>58532980</v>
      </c>
      <c r="E14">
        <v>1080</v>
      </c>
      <c r="F14">
        <v>1</v>
      </c>
      <c r="G14">
        <v>1080</v>
      </c>
      <c r="H14">
        <v>1</v>
      </c>
      <c r="I14" t="s">
        <v>138</v>
      </c>
      <c r="J14" t="s">
        <v>3</v>
      </c>
      <c r="K14" t="s">
        <v>139</v>
      </c>
      <c r="L14">
        <v>1191</v>
      </c>
      <c r="N14">
        <v>1013</v>
      </c>
      <c r="O14" t="s">
        <v>140</v>
      </c>
      <c r="P14" t="s">
        <v>140</v>
      </c>
      <c r="Q14">
        <v>1</v>
      </c>
      <c r="W14">
        <v>0</v>
      </c>
      <c r="X14">
        <v>476480486</v>
      </c>
      <c r="Y14">
        <f>(AT14*1.1)</f>
        <v>24.750000000000004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22.5</v>
      </c>
      <c r="AU14" t="s">
        <v>46</v>
      </c>
      <c r="AV14">
        <v>1</v>
      </c>
      <c r="AW14">
        <v>2</v>
      </c>
      <c r="AX14">
        <v>59499149</v>
      </c>
      <c r="AY14">
        <v>1</v>
      </c>
      <c r="AZ14">
        <v>6144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ROUND(AT14*Source!I39*AH14*AL14,2)</f>
        <v>0</v>
      </c>
      <c r="CV14">
        <f>ROUND(Y14*Source!I39,9)</f>
        <v>-99</v>
      </c>
      <c r="CW14">
        <v>0</v>
      </c>
      <c r="CX14">
        <f>ROUND(Y14*Source!I39,9)</f>
        <v>-99</v>
      </c>
      <c r="CY14">
        <f>AD14</f>
        <v>0</v>
      </c>
      <c r="CZ14">
        <f>AH14</f>
        <v>0</v>
      </c>
      <c r="DA14">
        <f>AL14</f>
        <v>1</v>
      </c>
      <c r="DB14">
        <f>ROUND((ROUND(AT14*CZ14,2)*1.1),6)</f>
        <v>0</v>
      </c>
      <c r="DC14">
        <f>ROUND((ROUND(AT14*AG14,2)*1.1),6)</f>
        <v>0</v>
      </c>
      <c r="DD14" t="s">
        <v>3</v>
      </c>
      <c r="DE14" t="s">
        <v>3</v>
      </c>
      <c r="DF14">
        <f>ROUND(ROUND(AE14,2)*CX14,2)</f>
        <v>0</v>
      </c>
      <c r="DG14">
        <f t="shared" si="0"/>
        <v>0</v>
      </c>
      <c r="DH14">
        <f t="shared" si="1"/>
        <v>0</v>
      </c>
      <c r="DI14">
        <f t="shared" si="2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ROW(Source!A40)</f>
        <v>40</v>
      </c>
      <c r="B15">
        <v>59499003</v>
      </c>
      <c r="C15">
        <v>59499138</v>
      </c>
      <c r="D15">
        <v>58532980</v>
      </c>
      <c r="E15">
        <v>1080</v>
      </c>
      <c r="F15">
        <v>1</v>
      </c>
      <c r="G15">
        <v>1080</v>
      </c>
      <c r="H15">
        <v>1</v>
      </c>
      <c r="I15" t="s">
        <v>138</v>
      </c>
      <c r="J15" t="s">
        <v>3</v>
      </c>
      <c r="K15" t="s">
        <v>139</v>
      </c>
      <c r="L15">
        <v>1191</v>
      </c>
      <c r="N15">
        <v>1013</v>
      </c>
      <c r="O15" t="s">
        <v>140</v>
      </c>
      <c r="P15" t="s">
        <v>140</v>
      </c>
      <c r="Q15">
        <v>1</v>
      </c>
      <c r="W15">
        <v>0</v>
      </c>
      <c r="X15">
        <v>476480486</v>
      </c>
      <c r="Y15">
        <f>(AT15*1.1)</f>
        <v>6.9300000000000006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6.3</v>
      </c>
      <c r="AU15" t="s">
        <v>46</v>
      </c>
      <c r="AV15">
        <v>1</v>
      </c>
      <c r="AW15">
        <v>2</v>
      </c>
      <c r="AX15">
        <v>59499150</v>
      </c>
      <c r="AY15">
        <v>1</v>
      </c>
      <c r="AZ15">
        <v>6144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ROUND(AT15*Source!I40*AH15*AL15,2)</f>
        <v>0</v>
      </c>
      <c r="CV15">
        <f>ROUND(Y15*Source!I40,9)</f>
        <v>-103.3956</v>
      </c>
      <c r="CW15">
        <v>0</v>
      </c>
      <c r="CX15">
        <f>ROUND(Y15*Source!I40,9)</f>
        <v>-103.3956</v>
      </c>
      <c r="CY15">
        <f>AD15</f>
        <v>0</v>
      </c>
      <c r="CZ15">
        <f>AH15</f>
        <v>0</v>
      </c>
      <c r="DA15">
        <f>AL15</f>
        <v>1</v>
      </c>
      <c r="DB15">
        <f>ROUND((ROUND(AT15*CZ15,2)*1.1),6)</f>
        <v>0</v>
      </c>
      <c r="DC15">
        <f>ROUND((ROUND(AT15*AG15,2)*1.1),6)</f>
        <v>0</v>
      </c>
      <c r="DD15" t="s">
        <v>3</v>
      </c>
      <c r="DE15" t="s">
        <v>3</v>
      </c>
      <c r="DF15">
        <f>ROUND(ROUND(AE15,2)*CX15,2)</f>
        <v>0</v>
      </c>
      <c r="DG15">
        <f t="shared" si="0"/>
        <v>0</v>
      </c>
      <c r="DH15">
        <f t="shared" si="1"/>
        <v>0</v>
      </c>
      <c r="DI15">
        <f t="shared" si="2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ROW(Source!A41)</f>
        <v>41</v>
      </c>
      <c r="B16">
        <v>59499000</v>
      </c>
      <c r="C16">
        <v>59499138</v>
      </c>
      <c r="D16">
        <v>58532980</v>
      </c>
      <c r="E16">
        <v>1080</v>
      </c>
      <c r="F16">
        <v>1</v>
      </c>
      <c r="G16">
        <v>1080</v>
      </c>
      <c r="H16">
        <v>1</v>
      </c>
      <c r="I16" t="s">
        <v>138</v>
      </c>
      <c r="J16" t="s">
        <v>3</v>
      </c>
      <c r="K16" t="s">
        <v>139</v>
      </c>
      <c r="L16">
        <v>1191</v>
      </c>
      <c r="N16">
        <v>1013</v>
      </c>
      <c r="O16" t="s">
        <v>140</v>
      </c>
      <c r="P16" t="s">
        <v>140</v>
      </c>
      <c r="Q16">
        <v>1</v>
      </c>
      <c r="W16">
        <v>0</v>
      </c>
      <c r="X16">
        <v>476480486</v>
      </c>
      <c r="Y16">
        <f>(AT16*1.1)</f>
        <v>6.9300000000000006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6.3</v>
      </c>
      <c r="AU16" t="s">
        <v>46</v>
      </c>
      <c r="AV16">
        <v>1</v>
      </c>
      <c r="AW16">
        <v>2</v>
      </c>
      <c r="AX16">
        <v>59499150</v>
      </c>
      <c r="AY16">
        <v>1</v>
      </c>
      <c r="AZ16">
        <v>6144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ROUND(AT16*Source!I41*AH16*AL16,2)</f>
        <v>0</v>
      </c>
      <c r="CV16">
        <f>ROUND(Y16*Source!I41,9)</f>
        <v>-103.3956</v>
      </c>
      <c r="CW16">
        <v>0</v>
      </c>
      <c r="CX16">
        <f>ROUND(Y16*Source!I41,9)</f>
        <v>-103.3956</v>
      </c>
      <c r="CY16">
        <f>AD16</f>
        <v>0</v>
      </c>
      <c r="CZ16">
        <f>AH16</f>
        <v>0</v>
      </c>
      <c r="DA16">
        <f>AL16</f>
        <v>1</v>
      </c>
      <c r="DB16">
        <f>ROUND((ROUND(AT16*CZ16,2)*1.1),6)</f>
        <v>0</v>
      </c>
      <c r="DC16">
        <f>ROUND((ROUND(AT16*AG16,2)*1.1),6)</f>
        <v>0</v>
      </c>
      <c r="DD16" t="s">
        <v>3</v>
      </c>
      <c r="DE16" t="s">
        <v>3</v>
      </c>
      <c r="DF16">
        <f>ROUND(ROUND(AE16,2)*CX16,2)</f>
        <v>0</v>
      </c>
      <c r="DG16">
        <f t="shared" si="0"/>
        <v>0</v>
      </c>
      <c r="DH16">
        <f t="shared" si="1"/>
        <v>0</v>
      </c>
      <c r="DI16">
        <f t="shared" si="2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ROW(Source!A29)</f>
        <v>29</v>
      </c>
      <c r="B1">
        <v>59499143</v>
      </c>
      <c r="C1">
        <v>59499118</v>
      </c>
      <c r="D1">
        <v>58532980</v>
      </c>
      <c r="E1">
        <v>1080</v>
      </c>
      <c r="F1">
        <v>1</v>
      </c>
      <c r="G1">
        <v>1080</v>
      </c>
      <c r="H1">
        <v>1</v>
      </c>
      <c r="I1" t="s">
        <v>138</v>
      </c>
      <c r="J1" t="s">
        <v>3</v>
      </c>
      <c r="K1" t="s">
        <v>139</v>
      </c>
      <c r="L1">
        <v>1191</v>
      </c>
      <c r="N1">
        <v>1013</v>
      </c>
      <c r="O1" t="s">
        <v>140</v>
      </c>
      <c r="P1" t="s">
        <v>140</v>
      </c>
      <c r="Q1">
        <v>1</v>
      </c>
      <c r="X1">
        <v>346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114.18</v>
      </c>
      <c r="AH1">
        <v>2</v>
      </c>
      <c r="AI1">
        <v>59499119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59499144</v>
      </c>
      <c r="C2">
        <v>59499118</v>
      </c>
      <c r="D2">
        <v>58537982</v>
      </c>
      <c r="E2">
        <v>1080</v>
      </c>
      <c r="F2">
        <v>1</v>
      </c>
      <c r="G2">
        <v>1080</v>
      </c>
      <c r="H2">
        <v>3</v>
      </c>
      <c r="I2" t="s">
        <v>141</v>
      </c>
      <c r="J2" t="s">
        <v>3</v>
      </c>
      <c r="K2" t="s">
        <v>142</v>
      </c>
      <c r="L2">
        <v>1348</v>
      </c>
      <c r="N2">
        <v>1009</v>
      </c>
      <c r="O2" t="s">
        <v>143</v>
      </c>
      <c r="P2" t="s">
        <v>143</v>
      </c>
      <c r="Q2">
        <v>1000</v>
      </c>
      <c r="X2">
        <v>1.5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0</v>
      </c>
      <c r="AH2">
        <v>2</v>
      </c>
      <c r="AI2">
        <v>59499120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59499143</v>
      </c>
      <c r="C3">
        <v>59499118</v>
      </c>
      <c r="D3">
        <v>58532980</v>
      </c>
      <c r="E3">
        <v>1080</v>
      </c>
      <c r="F3">
        <v>1</v>
      </c>
      <c r="G3">
        <v>1080</v>
      </c>
      <c r="H3">
        <v>1</v>
      </c>
      <c r="I3" t="s">
        <v>138</v>
      </c>
      <c r="J3" t="s">
        <v>3</v>
      </c>
      <c r="K3" t="s">
        <v>139</v>
      </c>
      <c r="L3">
        <v>1191</v>
      </c>
      <c r="N3">
        <v>1013</v>
      </c>
      <c r="O3" t="s">
        <v>140</v>
      </c>
      <c r="P3" t="s">
        <v>140</v>
      </c>
      <c r="Q3">
        <v>1</v>
      </c>
      <c r="X3">
        <v>346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25</v>
      </c>
      <c r="AG3">
        <v>114.18</v>
      </c>
      <c r="AH3">
        <v>2</v>
      </c>
      <c r="AI3">
        <v>59499119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59499144</v>
      </c>
      <c r="C4">
        <v>59499118</v>
      </c>
      <c r="D4">
        <v>58537982</v>
      </c>
      <c r="E4">
        <v>1080</v>
      </c>
      <c r="F4">
        <v>1</v>
      </c>
      <c r="G4">
        <v>1080</v>
      </c>
      <c r="H4">
        <v>3</v>
      </c>
      <c r="I4" t="s">
        <v>141</v>
      </c>
      <c r="J4" t="s">
        <v>3</v>
      </c>
      <c r="K4" t="s">
        <v>142</v>
      </c>
      <c r="L4">
        <v>1348</v>
      </c>
      <c r="N4">
        <v>1009</v>
      </c>
      <c r="O4" t="s">
        <v>143</v>
      </c>
      <c r="P4" t="s">
        <v>143</v>
      </c>
      <c r="Q4">
        <v>1000</v>
      </c>
      <c r="X4">
        <v>1.5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59499120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ROW(Source!A31)</f>
        <v>31</v>
      </c>
      <c r="B5">
        <v>59499145</v>
      </c>
      <c r="C5">
        <v>59499123</v>
      </c>
      <c r="D5">
        <v>58532980</v>
      </c>
      <c r="E5">
        <v>1080</v>
      </c>
      <c r="F5">
        <v>1</v>
      </c>
      <c r="G5">
        <v>1080</v>
      </c>
      <c r="H5">
        <v>1</v>
      </c>
      <c r="I5" t="s">
        <v>138</v>
      </c>
      <c r="J5" t="s">
        <v>3</v>
      </c>
      <c r="K5" t="s">
        <v>139</v>
      </c>
      <c r="L5">
        <v>1191</v>
      </c>
      <c r="N5">
        <v>1013</v>
      </c>
      <c r="O5" t="s">
        <v>140</v>
      </c>
      <c r="P5" t="s">
        <v>140</v>
      </c>
      <c r="Q5">
        <v>1</v>
      </c>
      <c r="X5">
        <v>22.5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25</v>
      </c>
      <c r="AG5">
        <v>7.4250000000000007</v>
      </c>
      <c r="AH5">
        <v>2</v>
      </c>
      <c r="AI5">
        <v>59499124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ROW(Source!A32)</f>
        <v>32</v>
      </c>
      <c r="B6">
        <v>59499145</v>
      </c>
      <c r="C6">
        <v>59499123</v>
      </c>
      <c r="D6">
        <v>58532980</v>
      </c>
      <c r="E6">
        <v>1080</v>
      </c>
      <c r="F6">
        <v>1</v>
      </c>
      <c r="G6">
        <v>1080</v>
      </c>
      <c r="H6">
        <v>1</v>
      </c>
      <c r="I6" t="s">
        <v>138</v>
      </c>
      <c r="J6" t="s">
        <v>3</v>
      </c>
      <c r="K6" t="s">
        <v>139</v>
      </c>
      <c r="L6">
        <v>1191</v>
      </c>
      <c r="N6">
        <v>1013</v>
      </c>
      <c r="O6" t="s">
        <v>140</v>
      </c>
      <c r="P6" t="s">
        <v>140</v>
      </c>
      <c r="Q6">
        <v>1</v>
      </c>
      <c r="X6">
        <v>22.5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25</v>
      </c>
      <c r="AG6">
        <v>7.4250000000000007</v>
      </c>
      <c r="AH6">
        <v>2</v>
      </c>
      <c r="AI6">
        <v>59499124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ROW(Source!A33)</f>
        <v>33</v>
      </c>
      <c r="B7">
        <v>59499146</v>
      </c>
      <c r="C7">
        <v>59499126</v>
      </c>
      <c r="D7">
        <v>58532980</v>
      </c>
      <c r="E7">
        <v>1080</v>
      </c>
      <c r="F7">
        <v>1</v>
      </c>
      <c r="G7">
        <v>1080</v>
      </c>
      <c r="H7">
        <v>1</v>
      </c>
      <c r="I7" t="s">
        <v>138</v>
      </c>
      <c r="J7" t="s">
        <v>3</v>
      </c>
      <c r="K7" t="s">
        <v>139</v>
      </c>
      <c r="L7">
        <v>1191</v>
      </c>
      <c r="N7">
        <v>1013</v>
      </c>
      <c r="O7" t="s">
        <v>140</v>
      </c>
      <c r="P7" t="s">
        <v>140</v>
      </c>
      <c r="Q7">
        <v>1</v>
      </c>
      <c r="X7">
        <v>6.3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25</v>
      </c>
      <c r="AG7">
        <v>2.0790000000000002</v>
      </c>
      <c r="AH7">
        <v>2</v>
      </c>
      <c r="AI7">
        <v>59499127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ROW(Source!A34)</f>
        <v>34</v>
      </c>
      <c r="B8">
        <v>59499146</v>
      </c>
      <c r="C8">
        <v>59499126</v>
      </c>
      <c r="D8">
        <v>58532980</v>
      </c>
      <c r="E8">
        <v>1080</v>
      </c>
      <c r="F8">
        <v>1</v>
      </c>
      <c r="G8">
        <v>1080</v>
      </c>
      <c r="H8">
        <v>1</v>
      </c>
      <c r="I8" t="s">
        <v>138</v>
      </c>
      <c r="J8" t="s">
        <v>3</v>
      </c>
      <c r="K8" t="s">
        <v>139</v>
      </c>
      <c r="L8">
        <v>1191</v>
      </c>
      <c r="N8">
        <v>1013</v>
      </c>
      <c r="O8" t="s">
        <v>140</v>
      </c>
      <c r="P8" t="s">
        <v>140</v>
      </c>
      <c r="Q8">
        <v>1</v>
      </c>
      <c r="X8">
        <v>6.3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25</v>
      </c>
      <c r="AG8">
        <v>2.0790000000000002</v>
      </c>
      <c r="AH8">
        <v>2</v>
      </c>
      <c r="AI8">
        <v>59499127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ROW(Source!A36)</f>
        <v>36</v>
      </c>
      <c r="B9">
        <v>59499147</v>
      </c>
      <c r="C9">
        <v>59499130</v>
      </c>
      <c r="D9">
        <v>58532980</v>
      </c>
      <c r="E9">
        <v>1080</v>
      </c>
      <c r="F9">
        <v>1</v>
      </c>
      <c r="G9">
        <v>1080</v>
      </c>
      <c r="H9">
        <v>1</v>
      </c>
      <c r="I9" t="s">
        <v>138</v>
      </c>
      <c r="J9" t="s">
        <v>3</v>
      </c>
      <c r="K9" t="s">
        <v>139</v>
      </c>
      <c r="L9">
        <v>1191</v>
      </c>
      <c r="N9">
        <v>1013</v>
      </c>
      <c r="O9" t="s">
        <v>140</v>
      </c>
      <c r="P9" t="s">
        <v>140</v>
      </c>
      <c r="Q9">
        <v>1</v>
      </c>
      <c r="X9">
        <v>356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46</v>
      </c>
      <c r="AG9">
        <v>391.6</v>
      </c>
      <c r="AH9">
        <v>2</v>
      </c>
      <c r="AI9">
        <v>59499131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ROW(Source!A36)</f>
        <v>36</v>
      </c>
      <c r="B10">
        <v>59499148</v>
      </c>
      <c r="C10">
        <v>59499130</v>
      </c>
      <c r="D10">
        <v>58537982</v>
      </c>
      <c r="E10">
        <v>1080</v>
      </c>
      <c r="F10">
        <v>1</v>
      </c>
      <c r="G10">
        <v>1080</v>
      </c>
      <c r="H10">
        <v>3</v>
      </c>
      <c r="I10" t="s">
        <v>141</v>
      </c>
      <c r="J10" t="s">
        <v>3</v>
      </c>
      <c r="K10" t="s">
        <v>142</v>
      </c>
      <c r="L10">
        <v>1348</v>
      </c>
      <c r="N10">
        <v>1009</v>
      </c>
      <c r="O10" t="s">
        <v>143</v>
      </c>
      <c r="P10" t="s">
        <v>143</v>
      </c>
      <c r="Q10">
        <v>1000</v>
      </c>
      <c r="X10">
        <v>1.5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45</v>
      </c>
      <c r="AG10">
        <v>1.5</v>
      </c>
      <c r="AH10">
        <v>2</v>
      </c>
      <c r="AI10">
        <v>59499132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ROW(Source!A37)</f>
        <v>37</v>
      </c>
      <c r="B11">
        <v>59499147</v>
      </c>
      <c r="C11">
        <v>59499130</v>
      </c>
      <c r="D11">
        <v>58532980</v>
      </c>
      <c r="E11">
        <v>1080</v>
      </c>
      <c r="F11">
        <v>1</v>
      </c>
      <c r="G11">
        <v>1080</v>
      </c>
      <c r="H11">
        <v>1</v>
      </c>
      <c r="I11" t="s">
        <v>138</v>
      </c>
      <c r="J11" t="s">
        <v>3</v>
      </c>
      <c r="K11" t="s">
        <v>139</v>
      </c>
      <c r="L11">
        <v>1191</v>
      </c>
      <c r="N11">
        <v>1013</v>
      </c>
      <c r="O11" t="s">
        <v>140</v>
      </c>
      <c r="P11" t="s">
        <v>140</v>
      </c>
      <c r="Q11">
        <v>1</v>
      </c>
      <c r="X11">
        <v>356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46</v>
      </c>
      <c r="AG11">
        <v>391.6</v>
      </c>
      <c r="AH11">
        <v>2</v>
      </c>
      <c r="AI11">
        <v>59499131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ROW(Source!A37)</f>
        <v>37</v>
      </c>
      <c r="B12">
        <v>59499148</v>
      </c>
      <c r="C12">
        <v>59499130</v>
      </c>
      <c r="D12">
        <v>58537982</v>
      </c>
      <c r="E12">
        <v>1080</v>
      </c>
      <c r="F12">
        <v>1</v>
      </c>
      <c r="G12">
        <v>1080</v>
      </c>
      <c r="H12">
        <v>3</v>
      </c>
      <c r="I12" t="s">
        <v>141</v>
      </c>
      <c r="J12" t="s">
        <v>3</v>
      </c>
      <c r="K12" t="s">
        <v>142</v>
      </c>
      <c r="L12">
        <v>1348</v>
      </c>
      <c r="N12">
        <v>1009</v>
      </c>
      <c r="O12" t="s">
        <v>143</v>
      </c>
      <c r="P12" t="s">
        <v>143</v>
      </c>
      <c r="Q12">
        <v>1000</v>
      </c>
      <c r="X12">
        <v>1.5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45</v>
      </c>
      <c r="AG12">
        <v>1.5</v>
      </c>
      <c r="AH12">
        <v>2</v>
      </c>
      <c r="AI12">
        <v>59499132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ROW(Source!A38)</f>
        <v>38</v>
      </c>
      <c r="B13">
        <v>59499149</v>
      </c>
      <c r="C13">
        <v>59499135</v>
      </c>
      <c r="D13">
        <v>58532980</v>
      </c>
      <c r="E13">
        <v>1080</v>
      </c>
      <c r="F13">
        <v>1</v>
      </c>
      <c r="G13">
        <v>1080</v>
      </c>
      <c r="H13">
        <v>1</v>
      </c>
      <c r="I13" t="s">
        <v>138</v>
      </c>
      <c r="J13" t="s">
        <v>3</v>
      </c>
      <c r="K13" t="s">
        <v>139</v>
      </c>
      <c r="L13">
        <v>1191</v>
      </c>
      <c r="N13">
        <v>1013</v>
      </c>
      <c r="O13" t="s">
        <v>140</v>
      </c>
      <c r="P13" t="s">
        <v>140</v>
      </c>
      <c r="Q13">
        <v>1</v>
      </c>
      <c r="X13">
        <v>23.2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46</v>
      </c>
      <c r="AG13">
        <v>25.52</v>
      </c>
      <c r="AH13">
        <v>2</v>
      </c>
      <c r="AI13">
        <v>59499136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ROW(Source!A39)</f>
        <v>39</v>
      </c>
      <c r="B14">
        <v>59499149</v>
      </c>
      <c r="C14">
        <v>59499135</v>
      </c>
      <c r="D14">
        <v>58532980</v>
      </c>
      <c r="E14">
        <v>1080</v>
      </c>
      <c r="F14">
        <v>1</v>
      </c>
      <c r="G14">
        <v>1080</v>
      </c>
      <c r="H14">
        <v>1</v>
      </c>
      <c r="I14" t="s">
        <v>138</v>
      </c>
      <c r="J14" t="s">
        <v>3</v>
      </c>
      <c r="K14" t="s">
        <v>139</v>
      </c>
      <c r="L14">
        <v>1191</v>
      </c>
      <c r="N14">
        <v>1013</v>
      </c>
      <c r="O14" t="s">
        <v>140</v>
      </c>
      <c r="P14" t="s">
        <v>140</v>
      </c>
      <c r="Q14">
        <v>1</v>
      </c>
      <c r="X14">
        <v>23.2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46</v>
      </c>
      <c r="AG14">
        <v>25.52</v>
      </c>
      <c r="AH14">
        <v>2</v>
      </c>
      <c r="AI14">
        <v>59499136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ROW(Source!A40)</f>
        <v>40</v>
      </c>
      <c r="B15">
        <v>59499150</v>
      </c>
      <c r="C15">
        <v>59499138</v>
      </c>
      <c r="D15">
        <v>58532980</v>
      </c>
      <c r="E15">
        <v>1080</v>
      </c>
      <c r="F15">
        <v>1</v>
      </c>
      <c r="G15">
        <v>1080</v>
      </c>
      <c r="H15">
        <v>1</v>
      </c>
      <c r="I15" t="s">
        <v>138</v>
      </c>
      <c r="J15" t="s">
        <v>3</v>
      </c>
      <c r="K15" t="s">
        <v>139</v>
      </c>
      <c r="L15">
        <v>1191</v>
      </c>
      <c r="N15">
        <v>1013</v>
      </c>
      <c r="O15" t="s">
        <v>140</v>
      </c>
      <c r="P15" t="s">
        <v>140</v>
      </c>
      <c r="Q15">
        <v>1</v>
      </c>
      <c r="X15">
        <v>6.5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46</v>
      </c>
      <c r="AG15">
        <v>7.15</v>
      </c>
      <c r="AH15">
        <v>2</v>
      </c>
      <c r="AI15">
        <v>59499139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ROW(Source!A41)</f>
        <v>41</v>
      </c>
      <c r="B16">
        <v>59499150</v>
      </c>
      <c r="C16">
        <v>59499138</v>
      </c>
      <c r="D16">
        <v>58532980</v>
      </c>
      <c r="E16">
        <v>1080</v>
      </c>
      <c r="F16">
        <v>1</v>
      </c>
      <c r="G16">
        <v>1080</v>
      </c>
      <c r="H16">
        <v>1</v>
      </c>
      <c r="I16" t="s">
        <v>138</v>
      </c>
      <c r="J16" t="s">
        <v>3</v>
      </c>
      <c r="K16" t="s">
        <v>139</v>
      </c>
      <c r="L16">
        <v>1191</v>
      </c>
      <c r="N16">
        <v>1013</v>
      </c>
      <c r="O16" t="s">
        <v>140</v>
      </c>
      <c r="P16" t="s">
        <v>140</v>
      </c>
      <c r="Q16">
        <v>1</v>
      </c>
      <c r="X16">
        <v>6.5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46</v>
      </c>
      <c r="AG16">
        <v>7.15</v>
      </c>
      <c r="AH16">
        <v>2</v>
      </c>
      <c r="AI16">
        <v>59499139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29</v>
      </c>
      <c r="B1">
        <v>1</v>
      </c>
      <c r="C1" t="s">
        <v>3</v>
      </c>
      <c r="D1" t="s">
        <v>144</v>
      </c>
      <c r="E1" t="s">
        <v>145</v>
      </c>
      <c r="F1" t="s">
        <v>145</v>
      </c>
      <c r="G1" t="s">
        <v>145</v>
      </c>
      <c r="H1" t="s">
        <v>3</v>
      </c>
      <c r="I1" t="s">
        <v>145</v>
      </c>
      <c r="J1" t="s">
        <v>145</v>
      </c>
      <c r="K1" t="s">
        <v>3</v>
      </c>
      <c r="L1" t="s">
        <v>3</v>
      </c>
      <c r="M1" t="s">
        <v>3</v>
      </c>
      <c r="N1" t="s">
        <v>144</v>
      </c>
      <c r="O1" t="s">
        <v>145</v>
      </c>
      <c r="P1" t="s">
        <v>3</v>
      </c>
      <c r="Q1" t="s">
        <v>3</v>
      </c>
      <c r="R1" t="s">
        <v>3</v>
      </c>
      <c r="S1" t="s">
        <v>3</v>
      </c>
      <c r="T1" t="s">
        <v>3</v>
      </c>
    </row>
    <row r="2" spans="1:21" x14ac:dyDescent="0.2">
      <c r="A2">
        <v>29</v>
      </c>
      <c r="B2">
        <v>1</v>
      </c>
      <c r="C2" t="s">
        <v>3</v>
      </c>
      <c r="D2" t="s">
        <v>45</v>
      </c>
      <c r="E2" t="s">
        <v>46</v>
      </c>
      <c r="F2" t="s">
        <v>46</v>
      </c>
      <c r="G2" t="s">
        <v>46</v>
      </c>
      <c r="H2" t="s">
        <v>3</v>
      </c>
      <c r="I2" t="s">
        <v>46</v>
      </c>
      <c r="J2" t="s">
        <v>46</v>
      </c>
      <c r="K2" t="s">
        <v>3</v>
      </c>
      <c r="L2" t="s">
        <v>3</v>
      </c>
      <c r="M2" t="s">
        <v>3</v>
      </c>
      <c r="N2" t="s">
        <v>45</v>
      </c>
      <c r="O2" t="s">
        <v>46</v>
      </c>
      <c r="P2" t="s">
        <v>3</v>
      </c>
      <c r="Q2" t="s">
        <v>3</v>
      </c>
      <c r="R2" t="s">
        <v>3</v>
      </c>
      <c r="S2" t="s">
        <v>146</v>
      </c>
      <c r="T2" t="s">
        <v>148</v>
      </c>
      <c r="U2" t="s">
        <v>147</v>
      </c>
    </row>
    <row r="3" spans="1:21" x14ac:dyDescent="0.2">
      <c r="A3">
        <v>30</v>
      </c>
      <c r="B3">
        <v>1</v>
      </c>
      <c r="C3" t="s">
        <v>3</v>
      </c>
      <c r="D3" t="s">
        <v>144</v>
      </c>
      <c r="E3" t="s">
        <v>145</v>
      </c>
      <c r="F3" t="s">
        <v>145</v>
      </c>
      <c r="G3" t="s">
        <v>145</v>
      </c>
      <c r="H3" t="s">
        <v>3</v>
      </c>
      <c r="I3" t="s">
        <v>145</v>
      </c>
      <c r="J3" t="s">
        <v>145</v>
      </c>
      <c r="K3" t="s">
        <v>3</v>
      </c>
      <c r="L3" t="s">
        <v>3</v>
      </c>
      <c r="M3" t="s">
        <v>3</v>
      </c>
      <c r="N3" t="s">
        <v>144</v>
      </c>
      <c r="O3" t="s">
        <v>145</v>
      </c>
      <c r="P3" t="s">
        <v>3</v>
      </c>
      <c r="Q3" t="s">
        <v>3</v>
      </c>
      <c r="R3" t="s">
        <v>3</v>
      </c>
      <c r="S3" t="s">
        <v>3</v>
      </c>
      <c r="T3" t="s">
        <v>3</v>
      </c>
    </row>
    <row r="4" spans="1:21" x14ac:dyDescent="0.2">
      <c r="A4">
        <v>30</v>
      </c>
      <c r="B4">
        <v>1</v>
      </c>
      <c r="C4" t="s">
        <v>3</v>
      </c>
      <c r="D4" t="s">
        <v>45</v>
      </c>
      <c r="E4" t="s">
        <v>46</v>
      </c>
      <c r="F4" t="s">
        <v>46</v>
      </c>
      <c r="G4" t="s">
        <v>46</v>
      </c>
      <c r="H4" t="s">
        <v>3</v>
      </c>
      <c r="I4" t="s">
        <v>46</v>
      </c>
      <c r="J4" t="s">
        <v>46</v>
      </c>
      <c r="K4" t="s">
        <v>3</v>
      </c>
      <c r="L4" t="s">
        <v>3</v>
      </c>
      <c r="M4" t="s">
        <v>3</v>
      </c>
      <c r="N4" t="s">
        <v>45</v>
      </c>
      <c r="O4" t="s">
        <v>46</v>
      </c>
      <c r="P4" t="s">
        <v>3</v>
      </c>
      <c r="Q4" t="s">
        <v>3</v>
      </c>
      <c r="R4" t="s">
        <v>3</v>
      </c>
      <c r="S4" t="s">
        <v>146</v>
      </c>
      <c r="T4" t="s">
        <v>148</v>
      </c>
      <c r="U4" t="s">
        <v>147</v>
      </c>
    </row>
    <row r="5" spans="1:21" x14ac:dyDescent="0.2">
      <c r="A5">
        <v>31</v>
      </c>
      <c r="B5">
        <v>1</v>
      </c>
      <c r="C5" t="s">
        <v>3</v>
      </c>
      <c r="D5" t="s">
        <v>144</v>
      </c>
      <c r="E5" t="s">
        <v>145</v>
      </c>
      <c r="F5" t="s">
        <v>145</v>
      </c>
      <c r="G5" t="s">
        <v>145</v>
      </c>
      <c r="H5" t="s">
        <v>3</v>
      </c>
      <c r="I5" t="s">
        <v>145</v>
      </c>
      <c r="J5" t="s">
        <v>145</v>
      </c>
      <c r="K5" t="s">
        <v>3</v>
      </c>
      <c r="L5" t="s">
        <v>3</v>
      </c>
      <c r="M5" t="s">
        <v>3</v>
      </c>
      <c r="N5" t="s">
        <v>144</v>
      </c>
      <c r="O5" t="s">
        <v>145</v>
      </c>
      <c r="P5" t="s">
        <v>3</v>
      </c>
      <c r="Q5" t="s">
        <v>3</v>
      </c>
      <c r="R5" t="s">
        <v>3</v>
      </c>
      <c r="S5" t="s">
        <v>3</v>
      </c>
      <c r="T5" t="s">
        <v>3</v>
      </c>
    </row>
    <row r="6" spans="1:21" x14ac:dyDescent="0.2">
      <c r="A6">
        <v>31</v>
      </c>
      <c r="B6">
        <v>1</v>
      </c>
      <c r="C6" t="s">
        <v>3</v>
      </c>
      <c r="D6" t="s">
        <v>45</v>
      </c>
      <c r="E6" t="s">
        <v>46</v>
      </c>
      <c r="F6" t="s">
        <v>46</v>
      </c>
      <c r="G6" t="s">
        <v>46</v>
      </c>
      <c r="H6" t="s">
        <v>3</v>
      </c>
      <c r="I6" t="s">
        <v>46</v>
      </c>
      <c r="J6" t="s">
        <v>46</v>
      </c>
      <c r="K6" t="s">
        <v>3</v>
      </c>
      <c r="L6" t="s">
        <v>3</v>
      </c>
      <c r="M6" t="s">
        <v>3</v>
      </c>
      <c r="N6" t="s">
        <v>45</v>
      </c>
      <c r="O6" t="s">
        <v>46</v>
      </c>
      <c r="P6" t="s">
        <v>3</v>
      </c>
      <c r="Q6" t="s">
        <v>3</v>
      </c>
      <c r="R6" t="s">
        <v>3</v>
      </c>
      <c r="S6" t="s">
        <v>146</v>
      </c>
      <c r="T6" t="s">
        <v>148</v>
      </c>
      <c r="U6" t="s">
        <v>147</v>
      </c>
    </row>
    <row r="7" spans="1:21" x14ac:dyDescent="0.2">
      <c r="A7">
        <v>32</v>
      </c>
      <c r="B7">
        <v>1</v>
      </c>
      <c r="C7" t="s">
        <v>3</v>
      </c>
      <c r="D7" t="s">
        <v>144</v>
      </c>
      <c r="E7" t="s">
        <v>145</v>
      </c>
      <c r="F7" t="s">
        <v>145</v>
      </c>
      <c r="G7" t="s">
        <v>145</v>
      </c>
      <c r="H7" t="s">
        <v>3</v>
      </c>
      <c r="I7" t="s">
        <v>145</v>
      </c>
      <c r="J7" t="s">
        <v>145</v>
      </c>
      <c r="K7" t="s">
        <v>3</v>
      </c>
      <c r="L7" t="s">
        <v>3</v>
      </c>
      <c r="M7" t="s">
        <v>3</v>
      </c>
      <c r="N7" t="s">
        <v>144</v>
      </c>
      <c r="O7" t="s">
        <v>145</v>
      </c>
      <c r="P7" t="s">
        <v>3</v>
      </c>
      <c r="Q7" t="s">
        <v>3</v>
      </c>
      <c r="R7" t="s">
        <v>3</v>
      </c>
      <c r="S7" t="s">
        <v>3</v>
      </c>
      <c r="T7" t="s">
        <v>3</v>
      </c>
    </row>
    <row r="8" spans="1:21" x14ac:dyDescent="0.2">
      <c r="A8">
        <v>32</v>
      </c>
      <c r="B8">
        <v>1</v>
      </c>
      <c r="C8" t="s">
        <v>3</v>
      </c>
      <c r="D8" t="s">
        <v>45</v>
      </c>
      <c r="E8" t="s">
        <v>46</v>
      </c>
      <c r="F8" t="s">
        <v>46</v>
      </c>
      <c r="G8" t="s">
        <v>46</v>
      </c>
      <c r="H8" t="s">
        <v>3</v>
      </c>
      <c r="I8" t="s">
        <v>46</v>
      </c>
      <c r="J8" t="s">
        <v>46</v>
      </c>
      <c r="K8" t="s">
        <v>3</v>
      </c>
      <c r="L8" t="s">
        <v>3</v>
      </c>
      <c r="M8" t="s">
        <v>3</v>
      </c>
      <c r="N8" t="s">
        <v>45</v>
      </c>
      <c r="O8" t="s">
        <v>46</v>
      </c>
      <c r="P8" t="s">
        <v>3</v>
      </c>
      <c r="Q8" t="s">
        <v>3</v>
      </c>
      <c r="R8" t="s">
        <v>3</v>
      </c>
      <c r="S8" t="s">
        <v>146</v>
      </c>
      <c r="T8" t="s">
        <v>148</v>
      </c>
      <c r="U8" t="s">
        <v>147</v>
      </c>
    </row>
    <row r="9" spans="1:21" x14ac:dyDescent="0.2">
      <c r="A9">
        <v>33</v>
      </c>
      <c r="B9">
        <v>1</v>
      </c>
      <c r="C9" t="s">
        <v>3</v>
      </c>
      <c r="D9" t="s">
        <v>144</v>
      </c>
      <c r="E9" t="s">
        <v>145</v>
      </c>
      <c r="F9" t="s">
        <v>145</v>
      </c>
      <c r="G9" t="s">
        <v>145</v>
      </c>
      <c r="H9" t="s">
        <v>3</v>
      </c>
      <c r="I9" t="s">
        <v>145</v>
      </c>
      <c r="J9" t="s">
        <v>145</v>
      </c>
      <c r="K9" t="s">
        <v>3</v>
      </c>
      <c r="L9" t="s">
        <v>3</v>
      </c>
      <c r="M9" t="s">
        <v>3</v>
      </c>
      <c r="N9" t="s">
        <v>144</v>
      </c>
      <c r="O9" t="s">
        <v>145</v>
      </c>
      <c r="P9" t="s">
        <v>3</v>
      </c>
      <c r="Q9" t="s">
        <v>3</v>
      </c>
      <c r="R9" t="s">
        <v>3</v>
      </c>
      <c r="S9" t="s">
        <v>3</v>
      </c>
      <c r="T9" t="s">
        <v>3</v>
      </c>
    </row>
    <row r="10" spans="1:21" x14ac:dyDescent="0.2">
      <c r="A10">
        <v>33</v>
      </c>
      <c r="B10">
        <v>1</v>
      </c>
      <c r="C10" t="s">
        <v>3</v>
      </c>
      <c r="D10" t="s">
        <v>45</v>
      </c>
      <c r="E10" t="s">
        <v>46</v>
      </c>
      <c r="F10" t="s">
        <v>46</v>
      </c>
      <c r="G10" t="s">
        <v>46</v>
      </c>
      <c r="H10" t="s">
        <v>3</v>
      </c>
      <c r="I10" t="s">
        <v>46</v>
      </c>
      <c r="J10" t="s">
        <v>46</v>
      </c>
      <c r="K10" t="s">
        <v>3</v>
      </c>
      <c r="L10" t="s">
        <v>3</v>
      </c>
      <c r="M10" t="s">
        <v>3</v>
      </c>
      <c r="N10" t="s">
        <v>45</v>
      </c>
      <c r="O10" t="s">
        <v>46</v>
      </c>
      <c r="P10" t="s">
        <v>3</v>
      </c>
      <c r="Q10" t="s">
        <v>3</v>
      </c>
      <c r="R10" t="s">
        <v>3</v>
      </c>
      <c r="S10" t="s">
        <v>146</v>
      </c>
      <c r="T10" t="s">
        <v>148</v>
      </c>
      <c r="U10" t="s">
        <v>147</v>
      </c>
    </row>
    <row r="11" spans="1:21" x14ac:dyDescent="0.2">
      <c r="A11">
        <v>34</v>
      </c>
      <c r="B11">
        <v>1</v>
      </c>
      <c r="C11" t="s">
        <v>3</v>
      </c>
      <c r="D11" t="s">
        <v>144</v>
      </c>
      <c r="E11" t="s">
        <v>145</v>
      </c>
      <c r="F11" t="s">
        <v>145</v>
      </c>
      <c r="G11" t="s">
        <v>145</v>
      </c>
      <c r="H11" t="s">
        <v>3</v>
      </c>
      <c r="I11" t="s">
        <v>145</v>
      </c>
      <c r="J11" t="s">
        <v>145</v>
      </c>
      <c r="K11" t="s">
        <v>3</v>
      </c>
      <c r="L11" t="s">
        <v>3</v>
      </c>
      <c r="M11" t="s">
        <v>3</v>
      </c>
      <c r="N11" t="s">
        <v>144</v>
      </c>
      <c r="O11" t="s">
        <v>145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</row>
    <row r="12" spans="1:21" x14ac:dyDescent="0.2">
      <c r="A12">
        <v>34</v>
      </c>
      <c r="B12">
        <v>1</v>
      </c>
      <c r="C12" t="s">
        <v>3</v>
      </c>
      <c r="D12" t="s">
        <v>45</v>
      </c>
      <c r="E12" t="s">
        <v>46</v>
      </c>
      <c r="F12" t="s">
        <v>46</v>
      </c>
      <c r="G12" t="s">
        <v>46</v>
      </c>
      <c r="H12" t="s">
        <v>3</v>
      </c>
      <c r="I12" t="s">
        <v>46</v>
      </c>
      <c r="J12" t="s">
        <v>46</v>
      </c>
      <c r="K12" t="s">
        <v>3</v>
      </c>
      <c r="L12" t="s">
        <v>3</v>
      </c>
      <c r="M12" t="s">
        <v>3</v>
      </c>
      <c r="N12" t="s">
        <v>45</v>
      </c>
      <c r="O12" t="s">
        <v>46</v>
      </c>
      <c r="P12" t="s">
        <v>3</v>
      </c>
      <c r="Q12" t="s">
        <v>3</v>
      </c>
      <c r="R12" t="s">
        <v>3</v>
      </c>
      <c r="S12" t="s">
        <v>146</v>
      </c>
      <c r="T12" t="s">
        <v>148</v>
      </c>
      <c r="U12" t="s">
        <v>147</v>
      </c>
    </row>
    <row r="13" spans="1:21" x14ac:dyDescent="0.2">
      <c r="A13">
        <v>36</v>
      </c>
      <c r="B13">
        <v>1</v>
      </c>
      <c r="C13" t="s">
        <v>3</v>
      </c>
      <c r="D13" t="s">
        <v>45</v>
      </c>
      <c r="E13" t="s">
        <v>46</v>
      </c>
      <c r="F13" t="s">
        <v>46</v>
      </c>
      <c r="G13" t="s">
        <v>46</v>
      </c>
      <c r="H13" t="s">
        <v>3</v>
      </c>
      <c r="I13" t="s">
        <v>46</v>
      </c>
      <c r="J13" t="s">
        <v>46</v>
      </c>
      <c r="K13" t="s">
        <v>3</v>
      </c>
      <c r="L13" t="s">
        <v>3</v>
      </c>
      <c r="M13" t="s">
        <v>3</v>
      </c>
      <c r="N13" t="s">
        <v>45</v>
      </c>
      <c r="O13" t="s">
        <v>46</v>
      </c>
      <c r="P13" t="s">
        <v>3</v>
      </c>
      <c r="Q13" t="s">
        <v>3</v>
      </c>
      <c r="R13" t="s">
        <v>3</v>
      </c>
      <c r="S13" t="s">
        <v>146</v>
      </c>
      <c r="T13" t="s">
        <v>148</v>
      </c>
      <c r="U13" t="s">
        <v>147</v>
      </c>
    </row>
    <row r="14" spans="1:21" x14ac:dyDescent="0.2">
      <c r="A14">
        <v>37</v>
      </c>
      <c r="B14">
        <v>1</v>
      </c>
      <c r="C14" t="s">
        <v>3</v>
      </c>
      <c r="D14" t="s">
        <v>45</v>
      </c>
      <c r="E14" t="s">
        <v>46</v>
      </c>
      <c r="F14" t="s">
        <v>46</v>
      </c>
      <c r="G14" t="s">
        <v>46</v>
      </c>
      <c r="H14" t="s">
        <v>3</v>
      </c>
      <c r="I14" t="s">
        <v>46</v>
      </c>
      <c r="J14" t="s">
        <v>46</v>
      </c>
      <c r="K14" t="s">
        <v>3</v>
      </c>
      <c r="L14" t="s">
        <v>3</v>
      </c>
      <c r="M14" t="s">
        <v>3</v>
      </c>
      <c r="N14" t="s">
        <v>45</v>
      </c>
      <c r="O14" t="s">
        <v>46</v>
      </c>
      <c r="P14" t="s">
        <v>3</v>
      </c>
      <c r="Q14" t="s">
        <v>3</v>
      </c>
      <c r="R14" t="s">
        <v>3</v>
      </c>
      <c r="S14" t="s">
        <v>146</v>
      </c>
      <c r="T14" t="s">
        <v>148</v>
      </c>
      <c r="U14" t="s">
        <v>147</v>
      </c>
    </row>
    <row r="15" spans="1:21" x14ac:dyDescent="0.2">
      <c r="A15">
        <v>38</v>
      </c>
      <c r="B15">
        <v>1</v>
      </c>
      <c r="C15" t="s">
        <v>3</v>
      </c>
      <c r="D15" t="s">
        <v>45</v>
      </c>
      <c r="E15" t="s">
        <v>46</v>
      </c>
      <c r="F15" t="s">
        <v>46</v>
      </c>
      <c r="G15" t="s">
        <v>46</v>
      </c>
      <c r="H15" t="s">
        <v>3</v>
      </c>
      <c r="I15" t="s">
        <v>46</v>
      </c>
      <c r="J15" t="s">
        <v>46</v>
      </c>
      <c r="K15" t="s">
        <v>3</v>
      </c>
      <c r="L15" t="s">
        <v>3</v>
      </c>
      <c r="M15" t="s">
        <v>3</v>
      </c>
      <c r="N15" t="s">
        <v>45</v>
      </c>
      <c r="O15" t="s">
        <v>46</v>
      </c>
      <c r="P15" t="s">
        <v>3</v>
      </c>
      <c r="Q15" t="s">
        <v>3</v>
      </c>
      <c r="R15" t="s">
        <v>3</v>
      </c>
      <c r="S15" t="s">
        <v>146</v>
      </c>
      <c r="T15" t="s">
        <v>148</v>
      </c>
      <c r="U15" t="s">
        <v>147</v>
      </c>
    </row>
    <row r="16" spans="1:21" x14ac:dyDescent="0.2">
      <c r="A16">
        <v>39</v>
      </c>
      <c r="B16">
        <v>1</v>
      </c>
      <c r="C16" t="s">
        <v>3</v>
      </c>
      <c r="D16" t="s">
        <v>45</v>
      </c>
      <c r="E16" t="s">
        <v>46</v>
      </c>
      <c r="F16" t="s">
        <v>46</v>
      </c>
      <c r="G16" t="s">
        <v>46</v>
      </c>
      <c r="H16" t="s">
        <v>3</v>
      </c>
      <c r="I16" t="s">
        <v>46</v>
      </c>
      <c r="J16" t="s">
        <v>46</v>
      </c>
      <c r="K16" t="s">
        <v>3</v>
      </c>
      <c r="L16" t="s">
        <v>3</v>
      </c>
      <c r="M16" t="s">
        <v>3</v>
      </c>
      <c r="N16" t="s">
        <v>45</v>
      </c>
      <c r="O16" t="s">
        <v>46</v>
      </c>
      <c r="P16" t="s">
        <v>3</v>
      </c>
      <c r="Q16" t="s">
        <v>3</v>
      </c>
      <c r="R16" t="s">
        <v>3</v>
      </c>
      <c r="S16" t="s">
        <v>146</v>
      </c>
      <c r="T16" t="s">
        <v>148</v>
      </c>
      <c r="U16" t="s">
        <v>147</v>
      </c>
    </row>
    <row r="17" spans="1:21" x14ac:dyDescent="0.2">
      <c r="A17">
        <v>40</v>
      </c>
      <c r="B17">
        <v>1</v>
      </c>
      <c r="C17" t="s">
        <v>3</v>
      </c>
      <c r="D17" t="s">
        <v>45</v>
      </c>
      <c r="E17" t="s">
        <v>46</v>
      </c>
      <c r="F17" t="s">
        <v>46</v>
      </c>
      <c r="G17" t="s">
        <v>46</v>
      </c>
      <c r="H17" t="s">
        <v>3</v>
      </c>
      <c r="I17" t="s">
        <v>46</v>
      </c>
      <c r="J17" t="s">
        <v>46</v>
      </c>
      <c r="K17" t="s">
        <v>3</v>
      </c>
      <c r="L17" t="s">
        <v>3</v>
      </c>
      <c r="M17" t="s">
        <v>3</v>
      </c>
      <c r="N17" t="s">
        <v>45</v>
      </c>
      <c r="O17" t="s">
        <v>46</v>
      </c>
      <c r="P17" t="s">
        <v>3</v>
      </c>
      <c r="Q17" t="s">
        <v>3</v>
      </c>
      <c r="R17" t="s">
        <v>3</v>
      </c>
      <c r="S17" t="s">
        <v>146</v>
      </c>
      <c r="T17" t="s">
        <v>148</v>
      </c>
      <c r="U17" t="s">
        <v>147</v>
      </c>
    </row>
    <row r="18" spans="1:21" x14ac:dyDescent="0.2">
      <c r="A18">
        <v>41</v>
      </c>
      <c r="B18">
        <v>1</v>
      </c>
      <c r="C18" t="s">
        <v>3</v>
      </c>
      <c r="D18" t="s">
        <v>45</v>
      </c>
      <c r="E18" t="s">
        <v>46</v>
      </c>
      <c r="F18" t="s">
        <v>46</v>
      </c>
      <c r="G18" t="s">
        <v>46</v>
      </c>
      <c r="H18" t="s">
        <v>3</v>
      </c>
      <c r="I18" t="s">
        <v>46</v>
      </c>
      <c r="J18" t="s">
        <v>46</v>
      </c>
      <c r="K18" t="s">
        <v>3</v>
      </c>
      <c r="L18" t="s">
        <v>3</v>
      </c>
      <c r="M18" t="s">
        <v>3</v>
      </c>
      <c r="N18" t="s">
        <v>45</v>
      </c>
      <c r="O18" t="s">
        <v>46</v>
      </c>
      <c r="P18" t="s">
        <v>3</v>
      </c>
      <c r="Q18" t="s">
        <v>3</v>
      </c>
      <c r="R18" t="s">
        <v>3</v>
      </c>
      <c r="S18" t="s">
        <v>146</v>
      </c>
      <c r="T18" t="s">
        <v>148</v>
      </c>
      <c r="U18" t="s">
        <v>147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74561</v>
      </c>
      <c r="M1">
        <v>10</v>
      </c>
      <c r="N1">
        <v>11</v>
      </c>
      <c r="O1">
        <v>15</v>
      </c>
      <c r="P1">
        <v>0</v>
      </c>
      <c r="Q1">
        <v>2</v>
      </c>
    </row>
    <row r="12" spans="1:103" x14ac:dyDescent="0.2">
      <c r="F12" t="str">
        <f>Source!F12</f>
        <v>02-01-19</v>
      </c>
      <c r="G12" t="str">
        <f>Source!G12</f>
        <v>02-01-19 Вертикальный транспорт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02-01-19</vt:lpstr>
      <vt:lpstr>02-01-19_1</vt:lpstr>
      <vt:lpstr>Source</vt:lpstr>
      <vt:lpstr>SourceObSm</vt:lpstr>
      <vt:lpstr>SmtRes</vt:lpstr>
      <vt:lpstr>EtalonRes</vt:lpstr>
      <vt:lpstr>SrcPoprs</vt:lpstr>
      <vt:lpstr>SrcKA</vt:lpstr>
      <vt:lpstr>'02-01-19'!Заголовки_для_печати</vt:lpstr>
      <vt:lpstr>'02-01-19_1'!Заголовки_для_печати</vt:lpstr>
      <vt:lpstr>'02-01-19'!Область_печати</vt:lpstr>
      <vt:lpstr>'02-01-19_1'!Область_печати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Елена Семеновна</cp:lastModifiedBy>
  <dcterms:created xsi:type="dcterms:W3CDTF">2026-02-27T08:29:46Z</dcterms:created>
  <dcterms:modified xsi:type="dcterms:W3CDTF">2026-02-27T08:36:55Z</dcterms:modified>
</cp:coreProperties>
</file>