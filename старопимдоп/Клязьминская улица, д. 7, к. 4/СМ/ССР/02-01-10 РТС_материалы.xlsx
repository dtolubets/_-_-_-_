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из смету ру\"/>
    </mc:Choice>
  </mc:AlternateContent>
  <bookViews>
    <workbookView xWindow="0" yWindow="0" windowWidth="13665" windowHeight="7125"/>
  </bookViews>
  <sheets>
    <sheet name="02-01-10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'02-01-10'!$27:$27</definedName>
    <definedName name="_xlnm.Print_Titles" localSheetId="1">'Ведомость объемов работ'!$9:$9</definedName>
    <definedName name="_xlnm.Print_Area" localSheetId="0">'02-01-10'!$A$1:$K$312</definedName>
    <definedName name="_xlnm.Print_Area" localSheetId="1">'Ведомость объемов работ'!$A$1:$H$51</definedName>
  </definedNames>
  <calcPr calcId="162913" iterate="1"/>
</workbook>
</file>

<file path=xl/calcChain.xml><?xml version="1.0" encoding="utf-8"?>
<calcChain xmlns="http://schemas.openxmlformats.org/spreadsheetml/2006/main">
  <c r="D49" i="8" l="1"/>
  <c r="D47" i="8"/>
  <c r="G44" i="8"/>
  <c r="F44" i="8"/>
  <c r="E44" i="8"/>
  <c r="C44" i="8"/>
  <c r="B44" i="8"/>
  <c r="G43" i="8"/>
  <c r="F43" i="8"/>
  <c r="E43" i="8"/>
  <c r="C43" i="8"/>
  <c r="B43" i="8"/>
  <c r="G42" i="8"/>
  <c r="F42" i="8"/>
  <c r="E42" i="8"/>
  <c r="C42" i="8"/>
  <c r="B42" i="8"/>
  <c r="G41" i="8"/>
  <c r="F41" i="8"/>
  <c r="E41" i="8"/>
  <c r="C41" i="8"/>
  <c r="B41" i="8"/>
  <c r="G40" i="8"/>
  <c r="F40" i="8"/>
  <c r="E40" i="8"/>
  <c r="C40" i="8"/>
  <c r="B40" i="8"/>
  <c r="G39" i="8"/>
  <c r="F39" i="8"/>
  <c r="E39" i="8"/>
  <c r="C39" i="8"/>
  <c r="B39" i="8"/>
  <c r="G38" i="8"/>
  <c r="F38" i="8"/>
  <c r="E38" i="8"/>
  <c r="C38" i="8"/>
  <c r="B38" i="8"/>
  <c r="G37" i="8"/>
  <c r="F37" i="8"/>
  <c r="E37" i="8"/>
  <c r="C37" i="8"/>
  <c r="B37" i="8"/>
  <c r="G36" i="8"/>
  <c r="F36" i="8"/>
  <c r="E36" i="8"/>
  <c r="C36" i="8"/>
  <c r="B36" i="8"/>
  <c r="G35" i="8"/>
  <c r="F35" i="8"/>
  <c r="E35" i="8"/>
  <c r="C35" i="8"/>
  <c r="B35" i="8"/>
  <c r="G34" i="8"/>
  <c r="F34" i="8"/>
  <c r="E34" i="8"/>
  <c r="C34" i="8"/>
  <c r="B34" i="8"/>
  <c r="G33" i="8"/>
  <c r="F33" i="8"/>
  <c r="E33" i="8"/>
  <c r="C33" i="8"/>
  <c r="B33" i="8"/>
  <c r="G32" i="8"/>
  <c r="F32" i="8"/>
  <c r="E32" i="8"/>
  <c r="C32" i="8"/>
  <c r="B32" i="8"/>
  <c r="G31" i="8"/>
  <c r="F31" i="8"/>
  <c r="E31" i="8"/>
  <c r="C31" i="8"/>
  <c r="B31" i="8"/>
  <c r="A30" i="8"/>
  <c r="G29" i="8"/>
  <c r="F29" i="8"/>
  <c r="E29" i="8"/>
  <c r="C29" i="8"/>
  <c r="B29" i="8"/>
  <c r="G28" i="8"/>
  <c r="F28" i="8"/>
  <c r="E28" i="8"/>
  <c r="C28" i="8"/>
  <c r="B28" i="8"/>
  <c r="G27" i="8"/>
  <c r="F27" i="8"/>
  <c r="E27" i="8"/>
  <c r="C27" i="8"/>
  <c r="B27" i="8"/>
  <c r="G26" i="8"/>
  <c r="F26" i="8"/>
  <c r="E26" i="8"/>
  <c r="C26" i="8"/>
  <c r="B26" i="8"/>
  <c r="G25" i="8"/>
  <c r="F25" i="8"/>
  <c r="E25" i="8"/>
  <c r="C25" i="8"/>
  <c r="B25" i="8"/>
  <c r="G24" i="8"/>
  <c r="F24" i="8"/>
  <c r="E24" i="8"/>
  <c r="C24" i="8"/>
  <c r="B24" i="8"/>
  <c r="G23" i="8"/>
  <c r="F23" i="8"/>
  <c r="E23" i="8"/>
  <c r="C23" i="8"/>
  <c r="B23" i="8"/>
  <c r="G22" i="8"/>
  <c r="F22" i="8"/>
  <c r="E22" i="8"/>
  <c r="C22" i="8"/>
  <c r="B22" i="8"/>
  <c r="G21" i="8"/>
  <c r="F21" i="8"/>
  <c r="E21" i="8"/>
  <c r="C21" i="8"/>
  <c r="B21" i="8"/>
  <c r="G20" i="8"/>
  <c r="F20" i="8"/>
  <c r="E20" i="8"/>
  <c r="C20" i="8"/>
  <c r="B20" i="8"/>
  <c r="G19" i="8"/>
  <c r="F19" i="8"/>
  <c r="E19" i="8"/>
  <c r="C19" i="8"/>
  <c r="B19" i="8"/>
  <c r="G18" i="8"/>
  <c r="F18" i="8"/>
  <c r="E18" i="8"/>
  <c r="C18" i="8"/>
  <c r="B18" i="8"/>
  <c r="A17" i="8"/>
  <c r="G16" i="8"/>
  <c r="F16" i="8"/>
  <c r="E16" i="8"/>
  <c r="C16" i="8"/>
  <c r="B16" i="8"/>
  <c r="G15" i="8"/>
  <c r="F15" i="8"/>
  <c r="E15" i="8"/>
  <c r="C15" i="8"/>
  <c r="B15" i="8"/>
  <c r="G14" i="8"/>
  <c r="F14" i="8"/>
  <c r="E14" i="8"/>
  <c r="C14" i="8"/>
  <c r="B14" i="8"/>
  <c r="G13" i="8"/>
  <c r="F13" i="8"/>
  <c r="E13" i="8"/>
  <c r="C13" i="8"/>
  <c r="B13" i="8"/>
  <c r="G12" i="8"/>
  <c r="F12" i="8"/>
  <c r="E12" i="8"/>
  <c r="C12" i="8"/>
  <c r="B12" i="8"/>
  <c r="A11" i="8"/>
  <c r="A10" i="8"/>
  <c r="B5" i="8"/>
  <c r="B4" i="8"/>
  <c r="A1" i="8"/>
  <c r="H310" i="7"/>
  <c r="H307" i="7"/>
  <c r="C310" i="7"/>
  <c r="C307" i="7"/>
  <c r="I304" i="7"/>
  <c r="J304" i="7"/>
  <c r="I303" i="7"/>
  <c r="J303" i="7"/>
  <c r="A302" i="7"/>
  <c r="J22" i="7"/>
  <c r="J19" i="7"/>
  <c r="J18" i="7"/>
  <c r="J17" i="7"/>
  <c r="J16" i="7"/>
  <c r="J15" i="7"/>
  <c r="J14" i="7" s="1"/>
  <c r="I22" i="7"/>
  <c r="I20" i="7"/>
  <c r="I19" i="7"/>
  <c r="I18" i="7"/>
  <c r="I17" i="7"/>
  <c r="I16" i="7"/>
  <c r="I15" i="7"/>
  <c r="I14" i="7" s="1"/>
  <c r="I300" i="7"/>
  <c r="J300" i="7"/>
  <c r="I299" i="7"/>
  <c r="J299" i="7"/>
  <c r="A298" i="7"/>
  <c r="I296" i="7"/>
  <c r="J296" i="7"/>
  <c r="I295" i="7"/>
  <c r="J295" i="7"/>
  <c r="A294" i="7"/>
  <c r="H290" i="7"/>
  <c r="I288" i="7"/>
  <c r="H288" i="7"/>
  <c r="G288" i="7"/>
  <c r="E288" i="7"/>
  <c r="K287" i="7"/>
  <c r="J287" i="7"/>
  <c r="E287" i="7"/>
  <c r="J286" i="7"/>
  <c r="E286" i="7"/>
  <c r="K285" i="7"/>
  <c r="J290" i="7" s="1"/>
  <c r="J285" i="7"/>
  <c r="H285" i="7"/>
  <c r="I285" i="7"/>
  <c r="F285" i="7"/>
  <c r="V285" i="7"/>
  <c r="T285" i="7"/>
  <c r="R285" i="7"/>
  <c r="U285" i="7"/>
  <c r="S285" i="7"/>
  <c r="Q285" i="7"/>
  <c r="I286" i="7" s="1"/>
  <c r="E285" i="7"/>
  <c r="D285" i="7"/>
  <c r="B285" i="7"/>
  <c r="K284" i="7"/>
  <c r="J284" i="7"/>
  <c r="I284" i="7"/>
  <c r="O291" i="7" s="1"/>
  <c r="H284" i="7"/>
  <c r="G284" i="7"/>
  <c r="F284" i="7"/>
  <c r="K283" i="7"/>
  <c r="J283" i="7"/>
  <c r="I283" i="7"/>
  <c r="H283" i="7"/>
  <c r="G283" i="7"/>
  <c r="F283" i="7"/>
  <c r="V282" i="7"/>
  <c r="T282" i="7"/>
  <c r="R282" i="7"/>
  <c r="K286" i="7" s="1"/>
  <c r="U282" i="7"/>
  <c r="S282" i="7"/>
  <c r="I287" i="7" s="1"/>
  <c r="Q282" i="7"/>
  <c r="E282" i="7"/>
  <c r="D282" i="7"/>
  <c r="B282" i="7"/>
  <c r="O280" i="7"/>
  <c r="H280" i="7"/>
  <c r="J280" i="7"/>
  <c r="K279" i="7"/>
  <c r="P280" i="7" s="1"/>
  <c r="J279" i="7"/>
  <c r="I279" i="7"/>
  <c r="H279" i="7"/>
  <c r="G279" i="7"/>
  <c r="F279" i="7"/>
  <c r="V279" i="7"/>
  <c r="T279" i="7"/>
  <c r="R279" i="7"/>
  <c r="U279" i="7"/>
  <c r="S279" i="7"/>
  <c r="Q279" i="7"/>
  <c r="E279" i="7"/>
  <c r="D279" i="7"/>
  <c r="B279" i="7"/>
  <c r="P277" i="7"/>
  <c r="K276" i="7"/>
  <c r="J277" i="7" s="1"/>
  <c r="J276" i="7"/>
  <c r="I276" i="7"/>
  <c r="O277" i="7" s="1"/>
  <c r="H276" i="7"/>
  <c r="G276" i="7"/>
  <c r="F276" i="7"/>
  <c r="V276" i="7"/>
  <c r="T276" i="7"/>
  <c r="R276" i="7"/>
  <c r="U276" i="7"/>
  <c r="S276" i="7"/>
  <c r="Q276" i="7"/>
  <c r="E276" i="7"/>
  <c r="D276" i="7"/>
  <c r="B276" i="7"/>
  <c r="J274" i="7"/>
  <c r="C273" i="7"/>
  <c r="K272" i="7"/>
  <c r="P274" i="7" s="1"/>
  <c r="J272" i="7"/>
  <c r="I272" i="7"/>
  <c r="O274" i="7" s="1"/>
  <c r="H272" i="7"/>
  <c r="G272" i="7"/>
  <c r="F272" i="7"/>
  <c r="V272" i="7"/>
  <c r="T272" i="7"/>
  <c r="R272" i="7"/>
  <c r="U272" i="7"/>
  <c r="S272" i="7"/>
  <c r="Q272" i="7"/>
  <c r="E272" i="7"/>
  <c r="D272" i="7"/>
  <c r="B272" i="7"/>
  <c r="H270" i="7"/>
  <c r="P270" i="7"/>
  <c r="J270" i="7"/>
  <c r="K269" i="7"/>
  <c r="J269" i="7"/>
  <c r="I269" i="7"/>
  <c r="O270" i="7" s="1"/>
  <c r="H269" i="7"/>
  <c r="G269" i="7"/>
  <c r="F269" i="7"/>
  <c r="V269" i="7"/>
  <c r="T269" i="7"/>
  <c r="R269" i="7"/>
  <c r="U269" i="7"/>
  <c r="S269" i="7"/>
  <c r="Q269" i="7"/>
  <c r="E269" i="7"/>
  <c r="D269" i="7"/>
  <c r="B269" i="7"/>
  <c r="H266" i="7"/>
  <c r="I264" i="7"/>
  <c r="H264" i="7"/>
  <c r="G264" i="7"/>
  <c r="E264" i="7"/>
  <c r="K263" i="7"/>
  <c r="J263" i="7"/>
  <c r="E263" i="7"/>
  <c r="J262" i="7"/>
  <c r="E262" i="7"/>
  <c r="K261" i="7"/>
  <c r="J266" i="7" s="1"/>
  <c r="J261" i="7"/>
  <c r="H261" i="7"/>
  <c r="I261" i="7"/>
  <c r="F261" i="7"/>
  <c r="V261" i="7"/>
  <c r="T261" i="7"/>
  <c r="R261" i="7"/>
  <c r="U261" i="7"/>
  <c r="S261" i="7"/>
  <c r="Q261" i="7"/>
  <c r="I262" i="7" s="1"/>
  <c r="E261" i="7"/>
  <c r="D261" i="7"/>
  <c r="B261" i="7"/>
  <c r="K260" i="7"/>
  <c r="J260" i="7"/>
  <c r="I260" i="7"/>
  <c r="H260" i="7"/>
  <c r="G260" i="7"/>
  <c r="F260" i="7"/>
  <c r="K259" i="7"/>
  <c r="J259" i="7"/>
  <c r="I259" i="7"/>
  <c r="H259" i="7"/>
  <c r="G259" i="7"/>
  <c r="F259" i="7"/>
  <c r="V258" i="7"/>
  <c r="T258" i="7"/>
  <c r="R258" i="7"/>
  <c r="K262" i="7" s="1"/>
  <c r="U258" i="7"/>
  <c r="S258" i="7"/>
  <c r="I263" i="7" s="1"/>
  <c r="Q258" i="7"/>
  <c r="E258" i="7"/>
  <c r="D258" i="7"/>
  <c r="B258" i="7"/>
  <c r="H256" i="7"/>
  <c r="P256" i="7"/>
  <c r="J256" i="7"/>
  <c r="K255" i="7"/>
  <c r="J255" i="7"/>
  <c r="I255" i="7"/>
  <c r="O256" i="7" s="1"/>
  <c r="H255" i="7"/>
  <c r="G255" i="7"/>
  <c r="F255" i="7"/>
  <c r="V255" i="7"/>
  <c r="T255" i="7"/>
  <c r="R255" i="7"/>
  <c r="U255" i="7"/>
  <c r="S255" i="7"/>
  <c r="Q255" i="7"/>
  <c r="E255" i="7"/>
  <c r="D255" i="7"/>
  <c r="B255" i="7"/>
  <c r="P253" i="7"/>
  <c r="K252" i="7"/>
  <c r="J253" i="7" s="1"/>
  <c r="J252" i="7"/>
  <c r="I252" i="7"/>
  <c r="O253" i="7" s="1"/>
  <c r="H252" i="7"/>
  <c r="G252" i="7"/>
  <c r="F252" i="7"/>
  <c r="V252" i="7"/>
  <c r="T252" i="7"/>
  <c r="R252" i="7"/>
  <c r="U252" i="7"/>
  <c r="S252" i="7"/>
  <c r="Q252" i="7"/>
  <c r="E252" i="7"/>
  <c r="D252" i="7"/>
  <c r="B252" i="7"/>
  <c r="H250" i="7"/>
  <c r="J250" i="7"/>
  <c r="K249" i="7"/>
  <c r="P250" i="7" s="1"/>
  <c r="J249" i="7"/>
  <c r="I249" i="7"/>
  <c r="O250" i="7" s="1"/>
  <c r="H249" i="7"/>
  <c r="G249" i="7"/>
  <c r="F249" i="7"/>
  <c r="V249" i="7"/>
  <c r="T249" i="7"/>
  <c r="R249" i="7"/>
  <c r="U249" i="7"/>
  <c r="S249" i="7"/>
  <c r="Q249" i="7"/>
  <c r="E249" i="7"/>
  <c r="D249" i="7"/>
  <c r="B249" i="7"/>
  <c r="H246" i="7"/>
  <c r="J246" i="7"/>
  <c r="I244" i="7"/>
  <c r="H244" i="7"/>
  <c r="G244" i="7"/>
  <c r="E244" i="7"/>
  <c r="J243" i="7"/>
  <c r="I243" i="7"/>
  <c r="E243" i="7"/>
  <c r="K242" i="7"/>
  <c r="J242" i="7"/>
  <c r="E242" i="7"/>
  <c r="K241" i="7"/>
  <c r="J241" i="7"/>
  <c r="I241" i="7"/>
  <c r="H241" i="7"/>
  <c r="G241" i="7"/>
  <c r="F241" i="7"/>
  <c r="K240" i="7"/>
  <c r="J240" i="7"/>
  <c r="I240" i="7"/>
  <c r="H240" i="7"/>
  <c r="G240" i="7"/>
  <c r="F240" i="7"/>
  <c r="K239" i="7"/>
  <c r="J247" i="7" s="1"/>
  <c r="J239" i="7"/>
  <c r="I239" i="7"/>
  <c r="H239" i="7"/>
  <c r="G239" i="7"/>
  <c r="F239" i="7"/>
  <c r="C238" i="7"/>
  <c r="V237" i="7"/>
  <c r="T237" i="7"/>
  <c r="K243" i="7" s="1"/>
  <c r="R237" i="7"/>
  <c r="U237" i="7"/>
  <c r="S237" i="7"/>
  <c r="Q237" i="7"/>
  <c r="I242" i="7" s="1"/>
  <c r="E237" i="7"/>
  <c r="D237" i="7"/>
  <c r="B237" i="7"/>
  <c r="H234" i="7"/>
  <c r="I232" i="7"/>
  <c r="H232" i="7"/>
  <c r="G232" i="7"/>
  <c r="E232" i="7"/>
  <c r="K231" i="7"/>
  <c r="J231" i="7"/>
  <c r="E231" i="7"/>
  <c r="J230" i="7"/>
  <c r="E230" i="7"/>
  <c r="K229" i="7"/>
  <c r="J234" i="7" s="1"/>
  <c r="J229" i="7"/>
  <c r="H229" i="7"/>
  <c r="I229" i="7"/>
  <c r="F229" i="7"/>
  <c r="V229" i="7"/>
  <c r="T229" i="7"/>
  <c r="R229" i="7"/>
  <c r="U229" i="7"/>
  <c r="S229" i="7"/>
  <c r="Q229" i="7"/>
  <c r="I230" i="7" s="1"/>
  <c r="E229" i="7"/>
  <c r="D229" i="7"/>
  <c r="B229" i="7"/>
  <c r="K228" i="7"/>
  <c r="J228" i="7"/>
  <c r="I228" i="7"/>
  <c r="H228" i="7"/>
  <c r="G228" i="7"/>
  <c r="F228" i="7"/>
  <c r="K227" i="7"/>
  <c r="J227" i="7"/>
  <c r="I227" i="7"/>
  <c r="H227" i="7"/>
  <c r="G227" i="7"/>
  <c r="F227" i="7"/>
  <c r="V226" i="7"/>
  <c r="T226" i="7"/>
  <c r="R226" i="7"/>
  <c r="K230" i="7" s="1"/>
  <c r="U226" i="7"/>
  <c r="S226" i="7"/>
  <c r="I231" i="7" s="1"/>
  <c r="Q226" i="7"/>
  <c r="E226" i="7"/>
  <c r="D226" i="7"/>
  <c r="B226" i="7"/>
  <c r="J223" i="7"/>
  <c r="I221" i="7"/>
  <c r="H221" i="7"/>
  <c r="G221" i="7"/>
  <c r="E221" i="7"/>
  <c r="J220" i="7"/>
  <c r="E220" i="7"/>
  <c r="J219" i="7"/>
  <c r="E219" i="7"/>
  <c r="K218" i="7"/>
  <c r="J218" i="7"/>
  <c r="H218" i="7"/>
  <c r="I218" i="7"/>
  <c r="H223" i="7" s="1"/>
  <c r="F218" i="7"/>
  <c r="V218" i="7"/>
  <c r="T218" i="7"/>
  <c r="R218" i="7"/>
  <c r="U218" i="7"/>
  <c r="S218" i="7"/>
  <c r="Q218" i="7"/>
  <c r="E218" i="7"/>
  <c r="D218" i="7"/>
  <c r="B218" i="7"/>
  <c r="K217" i="7"/>
  <c r="J217" i="7"/>
  <c r="I217" i="7"/>
  <c r="H217" i="7"/>
  <c r="G217" i="7"/>
  <c r="F217" i="7"/>
  <c r="K216" i="7"/>
  <c r="J216" i="7"/>
  <c r="I216" i="7"/>
  <c r="H216" i="7"/>
  <c r="G216" i="7"/>
  <c r="F216" i="7"/>
  <c r="V215" i="7"/>
  <c r="T215" i="7"/>
  <c r="K220" i="7" s="1"/>
  <c r="R215" i="7"/>
  <c r="K219" i="7" s="1"/>
  <c r="U215" i="7"/>
  <c r="S215" i="7"/>
  <c r="I220" i="7" s="1"/>
  <c r="Q215" i="7"/>
  <c r="I219" i="7" s="1"/>
  <c r="E215" i="7"/>
  <c r="D215" i="7"/>
  <c r="B215" i="7"/>
  <c r="H212" i="7"/>
  <c r="J212" i="7"/>
  <c r="I210" i="7"/>
  <c r="H210" i="7"/>
  <c r="G210" i="7"/>
  <c r="E210" i="7"/>
  <c r="J209" i="7"/>
  <c r="I209" i="7"/>
  <c r="E209" i="7"/>
  <c r="K208" i="7"/>
  <c r="J208" i="7"/>
  <c r="E208" i="7"/>
  <c r="K207" i="7"/>
  <c r="J207" i="7"/>
  <c r="H207" i="7"/>
  <c r="I207" i="7"/>
  <c r="F207" i="7"/>
  <c r="V207" i="7"/>
  <c r="T207" i="7"/>
  <c r="R207" i="7"/>
  <c r="U207" i="7"/>
  <c r="S207" i="7"/>
  <c r="Q207" i="7"/>
  <c r="I208" i="7" s="1"/>
  <c r="E207" i="7"/>
  <c r="D207" i="7"/>
  <c r="B207" i="7"/>
  <c r="K206" i="7"/>
  <c r="J206" i="7"/>
  <c r="I206" i="7"/>
  <c r="H206" i="7"/>
  <c r="G206" i="7"/>
  <c r="F206" i="7"/>
  <c r="K205" i="7"/>
  <c r="J205" i="7"/>
  <c r="I205" i="7"/>
  <c r="H211" i="7" s="1"/>
  <c r="H205" i="7"/>
  <c r="G205" i="7"/>
  <c r="F205" i="7"/>
  <c r="C204" i="7"/>
  <c r="V203" i="7"/>
  <c r="T203" i="7"/>
  <c r="K209" i="7" s="1"/>
  <c r="R203" i="7"/>
  <c r="U203" i="7"/>
  <c r="S203" i="7"/>
  <c r="Q203" i="7"/>
  <c r="E203" i="7"/>
  <c r="D203" i="7"/>
  <c r="B203" i="7"/>
  <c r="H200" i="7"/>
  <c r="J200" i="7"/>
  <c r="I198" i="7"/>
  <c r="H198" i="7"/>
  <c r="G198" i="7"/>
  <c r="E198" i="7"/>
  <c r="J197" i="7"/>
  <c r="I197" i="7"/>
  <c r="E197" i="7"/>
  <c r="K196" i="7"/>
  <c r="J196" i="7"/>
  <c r="E196" i="7"/>
  <c r="K195" i="7"/>
  <c r="J195" i="7"/>
  <c r="H195" i="7"/>
  <c r="I195" i="7"/>
  <c r="F195" i="7"/>
  <c r="V195" i="7"/>
  <c r="T195" i="7"/>
  <c r="R195" i="7"/>
  <c r="U195" i="7"/>
  <c r="S195" i="7"/>
  <c r="Q195" i="7"/>
  <c r="I196" i="7" s="1"/>
  <c r="E195" i="7"/>
  <c r="D195" i="7"/>
  <c r="B195" i="7"/>
  <c r="K194" i="7"/>
  <c r="J194" i="7"/>
  <c r="I194" i="7"/>
  <c r="H194" i="7"/>
  <c r="G194" i="7"/>
  <c r="F194" i="7"/>
  <c r="K193" i="7"/>
  <c r="J193" i="7"/>
  <c r="I193" i="7"/>
  <c r="H199" i="7" s="1"/>
  <c r="H193" i="7"/>
  <c r="G193" i="7"/>
  <c r="F193" i="7"/>
  <c r="C192" i="7"/>
  <c r="V191" i="7"/>
  <c r="T191" i="7"/>
  <c r="K197" i="7" s="1"/>
  <c r="R191" i="7"/>
  <c r="U191" i="7"/>
  <c r="S191" i="7"/>
  <c r="Q191" i="7"/>
  <c r="E191" i="7"/>
  <c r="D191" i="7"/>
  <c r="B191" i="7"/>
  <c r="A190" i="7"/>
  <c r="I188" i="7"/>
  <c r="J188" i="7"/>
  <c r="I187" i="7"/>
  <c r="J187" i="7"/>
  <c r="A186" i="7"/>
  <c r="O183" i="7"/>
  <c r="P183" i="7"/>
  <c r="J183" i="7"/>
  <c r="C182" i="7"/>
  <c r="K181" i="7"/>
  <c r="J181" i="7"/>
  <c r="I181" i="7"/>
  <c r="H183" i="7" s="1"/>
  <c r="H181" i="7"/>
  <c r="G181" i="7"/>
  <c r="F181" i="7"/>
  <c r="V181" i="7"/>
  <c r="T181" i="7"/>
  <c r="R181" i="7"/>
  <c r="U181" i="7"/>
  <c r="S181" i="7"/>
  <c r="Q181" i="7"/>
  <c r="E181" i="7"/>
  <c r="D181" i="7"/>
  <c r="B181" i="7"/>
  <c r="O179" i="7"/>
  <c r="P179" i="7"/>
  <c r="J179" i="7"/>
  <c r="C178" i="7"/>
  <c r="K177" i="7"/>
  <c r="J177" i="7"/>
  <c r="I177" i="7"/>
  <c r="H179" i="7" s="1"/>
  <c r="H177" i="7"/>
  <c r="G177" i="7"/>
  <c r="F177" i="7"/>
  <c r="V177" i="7"/>
  <c r="T177" i="7"/>
  <c r="R177" i="7"/>
  <c r="U177" i="7"/>
  <c r="S177" i="7"/>
  <c r="Q177" i="7"/>
  <c r="E177" i="7"/>
  <c r="D177" i="7"/>
  <c r="B177" i="7"/>
  <c r="O175" i="7"/>
  <c r="P175" i="7"/>
  <c r="J175" i="7"/>
  <c r="C174" i="7"/>
  <c r="K173" i="7"/>
  <c r="J173" i="7"/>
  <c r="I173" i="7"/>
  <c r="H175" i="7" s="1"/>
  <c r="H173" i="7"/>
  <c r="G173" i="7"/>
  <c r="F173" i="7"/>
  <c r="V173" i="7"/>
  <c r="T173" i="7"/>
  <c r="R173" i="7"/>
  <c r="U173" i="7"/>
  <c r="S173" i="7"/>
  <c r="Q173" i="7"/>
  <c r="E173" i="7"/>
  <c r="D173" i="7"/>
  <c r="B173" i="7"/>
  <c r="O171" i="7"/>
  <c r="P171" i="7"/>
  <c r="J171" i="7"/>
  <c r="C170" i="7"/>
  <c r="K169" i="7"/>
  <c r="J169" i="7"/>
  <c r="I169" i="7"/>
  <c r="H171" i="7" s="1"/>
  <c r="H169" i="7"/>
  <c r="G169" i="7"/>
  <c r="F169" i="7"/>
  <c r="V169" i="7"/>
  <c r="T169" i="7"/>
  <c r="R169" i="7"/>
  <c r="U169" i="7"/>
  <c r="S169" i="7"/>
  <c r="Q169" i="7"/>
  <c r="E169" i="7"/>
  <c r="D169" i="7"/>
  <c r="B169" i="7"/>
  <c r="O167" i="7"/>
  <c r="P167" i="7"/>
  <c r="J167" i="7"/>
  <c r="C166" i="7"/>
  <c r="K165" i="7"/>
  <c r="J165" i="7"/>
  <c r="I165" i="7"/>
  <c r="H167" i="7" s="1"/>
  <c r="H165" i="7"/>
  <c r="G165" i="7"/>
  <c r="F165" i="7"/>
  <c r="V165" i="7"/>
  <c r="T165" i="7"/>
  <c r="R165" i="7"/>
  <c r="U165" i="7"/>
  <c r="S165" i="7"/>
  <c r="Q165" i="7"/>
  <c r="E165" i="7"/>
  <c r="D165" i="7"/>
  <c r="B165" i="7"/>
  <c r="O163" i="7"/>
  <c r="P163" i="7"/>
  <c r="J163" i="7"/>
  <c r="C162" i="7"/>
  <c r="K161" i="7"/>
  <c r="J161" i="7"/>
  <c r="I161" i="7"/>
  <c r="H163" i="7" s="1"/>
  <c r="H161" i="7"/>
  <c r="G161" i="7"/>
  <c r="F161" i="7"/>
  <c r="V161" i="7"/>
  <c r="T161" i="7"/>
  <c r="R161" i="7"/>
  <c r="U161" i="7"/>
  <c r="S161" i="7"/>
  <c r="Q161" i="7"/>
  <c r="E161" i="7"/>
  <c r="D161" i="7"/>
  <c r="B161" i="7"/>
  <c r="O159" i="7"/>
  <c r="P159" i="7"/>
  <c r="J159" i="7"/>
  <c r="C158" i="7"/>
  <c r="K157" i="7"/>
  <c r="J157" i="7"/>
  <c r="I157" i="7"/>
  <c r="H159" i="7" s="1"/>
  <c r="H157" i="7"/>
  <c r="G157" i="7"/>
  <c r="F157" i="7"/>
  <c r="V157" i="7"/>
  <c r="T157" i="7"/>
  <c r="R157" i="7"/>
  <c r="U157" i="7"/>
  <c r="S157" i="7"/>
  <c r="Q157" i="7"/>
  <c r="E157" i="7"/>
  <c r="D157" i="7"/>
  <c r="B157" i="7"/>
  <c r="O155" i="7"/>
  <c r="P155" i="7"/>
  <c r="J155" i="7"/>
  <c r="C154" i="7"/>
  <c r="K153" i="7"/>
  <c r="J153" i="7"/>
  <c r="I153" i="7"/>
  <c r="H155" i="7" s="1"/>
  <c r="H153" i="7"/>
  <c r="G153" i="7"/>
  <c r="F153" i="7"/>
  <c r="V153" i="7"/>
  <c r="T153" i="7"/>
  <c r="R153" i="7"/>
  <c r="U153" i="7"/>
  <c r="S153" i="7"/>
  <c r="Q153" i="7"/>
  <c r="E153" i="7"/>
  <c r="D153" i="7"/>
  <c r="B153" i="7"/>
  <c r="H150" i="7"/>
  <c r="J150" i="7"/>
  <c r="I148" i="7"/>
  <c r="H148" i="7"/>
  <c r="G148" i="7"/>
  <c r="E148" i="7"/>
  <c r="J147" i="7"/>
  <c r="I147" i="7"/>
  <c r="E147" i="7"/>
  <c r="K146" i="7"/>
  <c r="J146" i="7"/>
  <c r="E146" i="7"/>
  <c r="K145" i="7"/>
  <c r="J145" i="7"/>
  <c r="I145" i="7"/>
  <c r="H145" i="7"/>
  <c r="G145" i="7"/>
  <c r="F145" i="7"/>
  <c r="K144" i="7"/>
  <c r="J144" i="7"/>
  <c r="I144" i="7"/>
  <c r="H144" i="7"/>
  <c r="G144" i="7"/>
  <c r="F144" i="7"/>
  <c r="K143" i="7"/>
  <c r="J143" i="7"/>
  <c r="I143" i="7"/>
  <c r="H143" i="7"/>
  <c r="G143" i="7"/>
  <c r="F143" i="7"/>
  <c r="K142" i="7"/>
  <c r="J149" i="7" s="1"/>
  <c r="J142" i="7"/>
  <c r="I142" i="7"/>
  <c r="H142" i="7"/>
  <c r="G142" i="7"/>
  <c r="F142" i="7"/>
  <c r="C141" i="7"/>
  <c r="V140" i="7"/>
  <c r="T140" i="7"/>
  <c r="K147" i="7" s="1"/>
  <c r="R140" i="7"/>
  <c r="U140" i="7"/>
  <c r="S140" i="7"/>
  <c r="Q140" i="7"/>
  <c r="I146" i="7" s="1"/>
  <c r="E140" i="7"/>
  <c r="D140" i="7"/>
  <c r="B140" i="7"/>
  <c r="H137" i="7"/>
  <c r="J137" i="7"/>
  <c r="I135" i="7"/>
  <c r="H135" i="7"/>
  <c r="G135" i="7"/>
  <c r="E135" i="7"/>
  <c r="K134" i="7"/>
  <c r="J134" i="7"/>
  <c r="I134" i="7"/>
  <c r="E134" i="7"/>
  <c r="K133" i="7"/>
  <c r="J133" i="7"/>
  <c r="E133" i="7"/>
  <c r="K132" i="7"/>
  <c r="J132" i="7"/>
  <c r="I132" i="7"/>
  <c r="H132" i="7"/>
  <c r="G132" i="7"/>
  <c r="F132" i="7"/>
  <c r="K131" i="7"/>
  <c r="J131" i="7"/>
  <c r="I131" i="7"/>
  <c r="H131" i="7"/>
  <c r="G131" i="7"/>
  <c r="F131" i="7"/>
  <c r="K130" i="7"/>
  <c r="P138" i="7" s="1"/>
  <c r="J130" i="7"/>
  <c r="I130" i="7"/>
  <c r="H130" i="7"/>
  <c r="G130" i="7"/>
  <c r="F130" i="7"/>
  <c r="K129" i="7"/>
  <c r="J138" i="7" s="1"/>
  <c r="J129" i="7"/>
  <c r="I129" i="7"/>
  <c r="H129" i="7"/>
  <c r="G129" i="7"/>
  <c r="F129" i="7"/>
  <c r="C128" i="7"/>
  <c r="V127" i="7"/>
  <c r="T127" i="7"/>
  <c r="R127" i="7"/>
  <c r="U127" i="7"/>
  <c r="S127" i="7"/>
  <c r="Q127" i="7"/>
  <c r="I133" i="7" s="1"/>
  <c r="E127" i="7"/>
  <c r="D127" i="7"/>
  <c r="B127" i="7"/>
  <c r="H124" i="7"/>
  <c r="J124" i="7"/>
  <c r="I122" i="7"/>
  <c r="H122" i="7"/>
  <c r="G122" i="7"/>
  <c r="E122" i="7"/>
  <c r="J121" i="7"/>
  <c r="I121" i="7"/>
  <c r="E121" i="7"/>
  <c r="K120" i="7"/>
  <c r="J120" i="7"/>
  <c r="E120" i="7"/>
  <c r="K119" i="7"/>
  <c r="J119" i="7"/>
  <c r="H119" i="7"/>
  <c r="I119" i="7"/>
  <c r="F119" i="7"/>
  <c r="V119" i="7"/>
  <c r="T119" i="7"/>
  <c r="R119" i="7"/>
  <c r="U119" i="7"/>
  <c r="S119" i="7"/>
  <c r="Q119" i="7"/>
  <c r="I120" i="7" s="1"/>
  <c r="E119" i="7"/>
  <c r="D119" i="7"/>
  <c r="B119" i="7"/>
  <c r="K118" i="7"/>
  <c r="J118" i="7"/>
  <c r="I118" i="7"/>
  <c r="H118" i="7"/>
  <c r="G118" i="7"/>
  <c r="F118" i="7"/>
  <c r="K117" i="7"/>
  <c r="J117" i="7"/>
  <c r="I117" i="7"/>
  <c r="H117" i="7"/>
  <c r="G117" i="7"/>
  <c r="F117" i="7"/>
  <c r="K116" i="7"/>
  <c r="J116" i="7"/>
  <c r="I116" i="7"/>
  <c r="H116" i="7"/>
  <c r="G116" i="7"/>
  <c r="F116" i="7"/>
  <c r="K115" i="7"/>
  <c r="J115" i="7"/>
  <c r="I115" i="7"/>
  <c r="H123" i="7" s="1"/>
  <c r="H115" i="7"/>
  <c r="G115" i="7"/>
  <c r="F115" i="7"/>
  <c r="C114" i="7"/>
  <c r="V113" i="7"/>
  <c r="T113" i="7"/>
  <c r="K121" i="7" s="1"/>
  <c r="R113" i="7"/>
  <c r="U113" i="7"/>
  <c r="S113" i="7"/>
  <c r="Q113" i="7"/>
  <c r="E113" i="7"/>
  <c r="D113" i="7"/>
  <c r="B113" i="7"/>
  <c r="H110" i="7"/>
  <c r="J110" i="7"/>
  <c r="I108" i="7"/>
  <c r="H108" i="7"/>
  <c r="G108" i="7"/>
  <c r="E108" i="7"/>
  <c r="J107" i="7"/>
  <c r="I107" i="7"/>
  <c r="E107" i="7"/>
  <c r="K106" i="7"/>
  <c r="J106" i="7"/>
  <c r="E106" i="7"/>
  <c r="K105" i="7"/>
  <c r="J105" i="7"/>
  <c r="H105" i="7"/>
  <c r="I105" i="7"/>
  <c r="F105" i="7"/>
  <c r="V105" i="7"/>
  <c r="T105" i="7"/>
  <c r="R105" i="7"/>
  <c r="U105" i="7"/>
  <c r="S105" i="7"/>
  <c r="Q105" i="7"/>
  <c r="I106" i="7" s="1"/>
  <c r="E105" i="7"/>
  <c r="D105" i="7"/>
  <c r="B105" i="7"/>
  <c r="K104" i="7"/>
  <c r="J104" i="7"/>
  <c r="I104" i="7"/>
  <c r="H104" i="7"/>
  <c r="G104" i="7"/>
  <c r="F104" i="7"/>
  <c r="K103" i="7"/>
  <c r="J103" i="7"/>
  <c r="I103" i="7"/>
  <c r="H103" i="7"/>
  <c r="G103" i="7"/>
  <c r="F103" i="7"/>
  <c r="K102" i="7"/>
  <c r="J102" i="7"/>
  <c r="I102" i="7"/>
  <c r="H102" i="7"/>
  <c r="G102" i="7"/>
  <c r="F102" i="7"/>
  <c r="K101" i="7"/>
  <c r="J109" i="7" s="1"/>
  <c r="J101" i="7"/>
  <c r="I101" i="7"/>
  <c r="H109" i="7" s="1"/>
  <c r="H101" i="7"/>
  <c r="G101" i="7"/>
  <c r="F101" i="7"/>
  <c r="C100" i="7"/>
  <c r="V99" i="7"/>
  <c r="T99" i="7"/>
  <c r="K107" i="7" s="1"/>
  <c r="R99" i="7"/>
  <c r="U99" i="7"/>
  <c r="S99" i="7"/>
  <c r="Q99" i="7"/>
  <c r="E99" i="7"/>
  <c r="D99" i="7"/>
  <c r="B99" i="7"/>
  <c r="A98" i="7"/>
  <c r="I96" i="7"/>
  <c r="J96" i="7"/>
  <c r="I95" i="7"/>
  <c r="J95" i="7"/>
  <c r="A94" i="7"/>
  <c r="H90" i="7"/>
  <c r="J90" i="7"/>
  <c r="I88" i="7"/>
  <c r="H88" i="7"/>
  <c r="G88" i="7"/>
  <c r="E88" i="7"/>
  <c r="J87" i="7"/>
  <c r="I87" i="7"/>
  <c r="E87" i="7"/>
  <c r="K86" i="7"/>
  <c r="J86" i="7"/>
  <c r="E86" i="7"/>
  <c r="K85" i="7"/>
  <c r="J85" i="7"/>
  <c r="H85" i="7"/>
  <c r="I85" i="7"/>
  <c r="F85" i="7"/>
  <c r="V85" i="7"/>
  <c r="T85" i="7"/>
  <c r="R85" i="7"/>
  <c r="U85" i="7"/>
  <c r="S85" i="7"/>
  <c r="Q85" i="7"/>
  <c r="I86" i="7" s="1"/>
  <c r="E85" i="7"/>
  <c r="D85" i="7"/>
  <c r="B85" i="7"/>
  <c r="K84" i="7"/>
  <c r="J84" i="7"/>
  <c r="H84" i="7"/>
  <c r="I84" i="7"/>
  <c r="F84" i="7"/>
  <c r="V84" i="7"/>
  <c r="T84" i="7"/>
  <c r="R84" i="7"/>
  <c r="U84" i="7"/>
  <c r="S84" i="7"/>
  <c r="Q84" i="7"/>
  <c r="E84" i="7"/>
  <c r="D84" i="7"/>
  <c r="B84" i="7"/>
  <c r="K83" i="7"/>
  <c r="J83" i="7"/>
  <c r="I83" i="7"/>
  <c r="H83" i="7"/>
  <c r="G83" i="7"/>
  <c r="F83" i="7"/>
  <c r="K82" i="7"/>
  <c r="J82" i="7"/>
  <c r="I82" i="7"/>
  <c r="H82" i="7"/>
  <c r="G82" i="7"/>
  <c r="F82" i="7"/>
  <c r="K81" i="7"/>
  <c r="J81" i="7"/>
  <c r="I81" i="7"/>
  <c r="H89" i="7" s="1"/>
  <c r="H81" i="7"/>
  <c r="G81" i="7"/>
  <c r="F81" i="7"/>
  <c r="C80" i="7"/>
  <c r="V79" i="7"/>
  <c r="T79" i="7"/>
  <c r="K87" i="7" s="1"/>
  <c r="R79" i="7"/>
  <c r="U79" i="7"/>
  <c r="S79" i="7"/>
  <c r="Q79" i="7"/>
  <c r="E79" i="7"/>
  <c r="D79" i="7"/>
  <c r="B79" i="7"/>
  <c r="H76" i="7"/>
  <c r="J76" i="7"/>
  <c r="I74" i="7"/>
  <c r="H74" i="7"/>
  <c r="G74" i="7"/>
  <c r="E74" i="7"/>
  <c r="J73" i="7"/>
  <c r="E73" i="7"/>
  <c r="J72" i="7"/>
  <c r="E72" i="7"/>
  <c r="K71" i="7"/>
  <c r="J71" i="7"/>
  <c r="H71" i="7"/>
  <c r="I71" i="7"/>
  <c r="F71" i="7"/>
  <c r="V71" i="7"/>
  <c r="T71" i="7"/>
  <c r="K73" i="7" s="1"/>
  <c r="R71" i="7"/>
  <c r="U71" i="7"/>
  <c r="S71" i="7"/>
  <c r="Q71" i="7"/>
  <c r="I72" i="7" s="1"/>
  <c r="E71" i="7"/>
  <c r="D71" i="7"/>
  <c r="B71" i="7"/>
  <c r="K70" i="7"/>
  <c r="J70" i="7"/>
  <c r="I70" i="7"/>
  <c r="H70" i="7"/>
  <c r="G70" i="7"/>
  <c r="F70" i="7"/>
  <c r="K69" i="7"/>
  <c r="J69" i="7"/>
  <c r="I69" i="7"/>
  <c r="H69" i="7"/>
  <c r="G69" i="7"/>
  <c r="F69" i="7"/>
  <c r="V68" i="7"/>
  <c r="T68" i="7"/>
  <c r="R68" i="7"/>
  <c r="K72" i="7" s="1"/>
  <c r="U68" i="7"/>
  <c r="S68" i="7"/>
  <c r="I73" i="7" s="1"/>
  <c r="Q68" i="7"/>
  <c r="E68" i="7"/>
  <c r="D68" i="7"/>
  <c r="B68" i="7"/>
  <c r="I63" i="7"/>
  <c r="H63" i="7"/>
  <c r="G63" i="7"/>
  <c r="E63" i="7"/>
  <c r="J62" i="7"/>
  <c r="E62" i="7"/>
  <c r="J61" i="7"/>
  <c r="E61" i="7"/>
  <c r="K60" i="7"/>
  <c r="J65" i="7" s="1"/>
  <c r="J60" i="7"/>
  <c r="H60" i="7"/>
  <c r="I60" i="7"/>
  <c r="H65" i="7" s="1"/>
  <c r="F60" i="7"/>
  <c r="V60" i="7"/>
  <c r="T60" i="7"/>
  <c r="R60" i="7"/>
  <c r="U60" i="7"/>
  <c r="S60" i="7"/>
  <c r="Q60" i="7"/>
  <c r="E60" i="7"/>
  <c r="D60" i="7"/>
  <c r="B60" i="7"/>
  <c r="K59" i="7"/>
  <c r="J59" i="7"/>
  <c r="I59" i="7"/>
  <c r="H59" i="7"/>
  <c r="G59" i="7"/>
  <c r="F59" i="7"/>
  <c r="K58" i="7"/>
  <c r="J58" i="7"/>
  <c r="I58" i="7"/>
  <c r="H58" i="7"/>
  <c r="G58" i="7"/>
  <c r="F58" i="7"/>
  <c r="K57" i="7"/>
  <c r="J57" i="7"/>
  <c r="I57" i="7"/>
  <c r="H57" i="7"/>
  <c r="G57" i="7"/>
  <c r="F57" i="7"/>
  <c r="K56" i="7"/>
  <c r="J56" i="7"/>
  <c r="I56" i="7"/>
  <c r="H56" i="7"/>
  <c r="G56" i="7"/>
  <c r="F56" i="7"/>
  <c r="V55" i="7"/>
  <c r="T55" i="7"/>
  <c r="K62" i="7" s="1"/>
  <c r="R55" i="7"/>
  <c r="K61" i="7" s="1"/>
  <c r="U55" i="7"/>
  <c r="S55" i="7"/>
  <c r="I62" i="7" s="1"/>
  <c r="Q55" i="7"/>
  <c r="I61" i="7" s="1"/>
  <c r="E55" i="7"/>
  <c r="D55" i="7"/>
  <c r="B55" i="7"/>
  <c r="H52" i="7"/>
  <c r="I50" i="7"/>
  <c r="H50" i="7"/>
  <c r="G50" i="7"/>
  <c r="E50" i="7"/>
  <c r="K49" i="7"/>
  <c r="J49" i="7"/>
  <c r="E49" i="7"/>
  <c r="K48" i="7"/>
  <c r="J48" i="7"/>
  <c r="E48" i="7"/>
  <c r="K47" i="7"/>
  <c r="J52" i="7" s="1"/>
  <c r="J47" i="7"/>
  <c r="H47" i="7"/>
  <c r="I47" i="7"/>
  <c r="F47" i="7"/>
  <c r="V47" i="7"/>
  <c r="T47" i="7"/>
  <c r="R47" i="7"/>
  <c r="U47" i="7"/>
  <c r="S47" i="7"/>
  <c r="Q47" i="7"/>
  <c r="I48" i="7" s="1"/>
  <c r="E47" i="7"/>
  <c r="D47" i="7"/>
  <c r="B47" i="7"/>
  <c r="K46" i="7"/>
  <c r="J46" i="7"/>
  <c r="I46" i="7"/>
  <c r="H46" i="7"/>
  <c r="G46" i="7"/>
  <c r="F46" i="7"/>
  <c r="K45" i="7"/>
  <c r="P53" i="7" s="1"/>
  <c r="J45" i="7"/>
  <c r="I45" i="7"/>
  <c r="H45" i="7"/>
  <c r="G45" i="7"/>
  <c r="F45" i="7"/>
  <c r="K44" i="7"/>
  <c r="J53" i="7" s="1"/>
  <c r="J44" i="7"/>
  <c r="I44" i="7"/>
  <c r="H44" i="7"/>
  <c r="G44" i="7"/>
  <c r="F44" i="7"/>
  <c r="V43" i="7"/>
  <c r="T43" i="7"/>
  <c r="R43" i="7"/>
  <c r="U43" i="7"/>
  <c r="S43" i="7"/>
  <c r="I49" i="7" s="1"/>
  <c r="Q43" i="7"/>
  <c r="E43" i="7"/>
  <c r="D43" i="7"/>
  <c r="B43" i="7"/>
  <c r="J40" i="7"/>
  <c r="I38" i="7"/>
  <c r="H38" i="7"/>
  <c r="G38" i="7"/>
  <c r="E38" i="7"/>
  <c r="J37" i="7"/>
  <c r="E37" i="7"/>
  <c r="J36" i="7"/>
  <c r="E36" i="7"/>
  <c r="K35" i="7"/>
  <c r="J35" i="7"/>
  <c r="H35" i="7"/>
  <c r="I35" i="7"/>
  <c r="H40" i="7" s="1"/>
  <c r="F35" i="7"/>
  <c r="V35" i="7"/>
  <c r="T35" i="7"/>
  <c r="R35" i="7"/>
  <c r="U35" i="7"/>
  <c r="S35" i="7"/>
  <c r="Q35" i="7"/>
  <c r="E35" i="7"/>
  <c r="D35" i="7"/>
  <c r="B35" i="7"/>
  <c r="K34" i="7"/>
  <c r="J34" i="7"/>
  <c r="I34" i="7"/>
  <c r="H34" i="7"/>
  <c r="G34" i="7"/>
  <c r="F34" i="7"/>
  <c r="K33" i="7"/>
  <c r="J33" i="7"/>
  <c r="I33" i="7"/>
  <c r="H33" i="7"/>
  <c r="G33" i="7"/>
  <c r="F33" i="7"/>
  <c r="K32" i="7"/>
  <c r="J32" i="7"/>
  <c r="I32" i="7"/>
  <c r="H32" i="7"/>
  <c r="G32" i="7"/>
  <c r="F32" i="7"/>
  <c r="K31" i="7"/>
  <c r="J31" i="7"/>
  <c r="I31" i="7"/>
  <c r="H31" i="7"/>
  <c r="G31" i="7"/>
  <c r="F31" i="7"/>
  <c r="V30" i="7"/>
  <c r="T30" i="7"/>
  <c r="K37" i="7" s="1"/>
  <c r="R30" i="7"/>
  <c r="K36" i="7" s="1"/>
  <c r="U30" i="7"/>
  <c r="S30" i="7"/>
  <c r="I37" i="7" s="1"/>
  <c r="Q30" i="7"/>
  <c r="I36" i="7" s="1"/>
  <c r="E30" i="7"/>
  <c r="D30" i="7"/>
  <c r="B30" i="7"/>
  <c r="A29" i="7"/>
  <c r="A11" i="7"/>
  <c r="A8" i="7"/>
  <c r="A6" i="7"/>
  <c r="A1" i="7"/>
  <c r="H53" i="7" l="1"/>
  <c r="J75" i="7"/>
  <c r="O224" i="7"/>
  <c r="H235" i="7"/>
  <c r="O247" i="7"/>
  <c r="H267" i="7"/>
  <c r="J291" i="7"/>
  <c r="J39" i="7"/>
  <c r="J41" i="7"/>
  <c r="P41" i="7"/>
  <c r="J64" i="7"/>
  <c r="J66" i="7"/>
  <c r="P66" i="7"/>
  <c r="H149" i="7"/>
  <c r="O41" i="7"/>
  <c r="O66" i="7"/>
  <c r="J199" i="7"/>
  <c r="J211" i="7"/>
  <c r="H222" i="7"/>
  <c r="H224" i="7"/>
  <c r="J123" i="7"/>
  <c r="H41" i="7"/>
  <c r="H39" i="7"/>
  <c r="H66" i="7"/>
  <c r="H64" i="7"/>
  <c r="H75" i="7"/>
  <c r="J89" i="7"/>
  <c r="H138" i="7"/>
  <c r="J222" i="7"/>
  <c r="J224" i="7"/>
  <c r="P224" i="7"/>
  <c r="J235" i="7"/>
  <c r="O235" i="7"/>
  <c r="H247" i="7"/>
  <c r="J267" i="7"/>
  <c r="O267" i="7"/>
  <c r="H291" i="7"/>
  <c r="P267" i="7"/>
  <c r="J51" i="7"/>
  <c r="H51" i="7"/>
  <c r="J77" i="7"/>
  <c r="H77" i="7"/>
  <c r="J91" i="7"/>
  <c r="H91" i="7"/>
  <c r="J111" i="7"/>
  <c r="H111" i="7"/>
  <c r="J125" i="7"/>
  <c r="H125" i="7"/>
  <c r="J136" i="7"/>
  <c r="H136" i="7"/>
  <c r="J151" i="7"/>
  <c r="H151" i="7"/>
  <c r="J201" i="7"/>
  <c r="H201" i="7"/>
  <c r="J213" i="7"/>
  <c r="H213" i="7"/>
  <c r="J233" i="7"/>
  <c r="H233" i="7"/>
  <c r="J245" i="7"/>
  <c r="H245" i="7"/>
  <c r="H253" i="7"/>
  <c r="J265" i="7"/>
  <c r="H265" i="7"/>
  <c r="H277" i="7"/>
  <c r="J289" i="7"/>
  <c r="H289" i="7"/>
  <c r="O138" i="7"/>
  <c r="P291" i="7"/>
  <c r="P77" i="7"/>
  <c r="O77" i="7"/>
  <c r="P91" i="7"/>
  <c r="O91" i="7"/>
  <c r="P111" i="7"/>
  <c r="O111" i="7"/>
  <c r="P125" i="7"/>
  <c r="O125" i="7"/>
  <c r="P151" i="7"/>
  <c r="O151" i="7"/>
  <c r="P201" i="7"/>
  <c r="O201" i="7"/>
  <c r="H294" i="7" s="1"/>
  <c r="P213" i="7"/>
  <c r="O213" i="7"/>
  <c r="H274" i="7"/>
  <c r="O53" i="7"/>
  <c r="P235" i="7"/>
  <c r="P247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1" i="3"/>
  <c r="Y1" i="3"/>
  <c r="CV1" i="3" s="1"/>
  <c r="CU1" i="3"/>
  <c r="CY1" i="3"/>
  <c r="CZ1" i="3"/>
  <c r="DA1" i="3"/>
  <c r="DB1" i="3"/>
  <c r="DC1" i="3"/>
  <c r="A2" i="3"/>
  <c r="Y2" i="3"/>
  <c r="CX2" i="3" s="1"/>
  <c r="DF2" i="3" s="1"/>
  <c r="CY2" i="3"/>
  <c r="CZ2" i="3"/>
  <c r="DB2" i="3" s="1"/>
  <c r="DA2" i="3"/>
  <c r="DC2" i="3"/>
  <c r="A3" i="3"/>
  <c r="Y3" i="3"/>
  <c r="CW3" i="3" s="1"/>
  <c r="CX3" i="3"/>
  <c r="CY3" i="3"/>
  <c r="CZ3" i="3"/>
  <c r="DA3" i="3"/>
  <c r="DB3" i="3"/>
  <c r="DC3" i="3"/>
  <c r="DH3" i="3"/>
  <c r="DI3" i="3"/>
  <c r="A4" i="3"/>
  <c r="Y4" i="3"/>
  <c r="CX4" i="3" s="1"/>
  <c r="DF4" i="3" s="1"/>
  <c r="CY4" i="3"/>
  <c r="CZ4" i="3"/>
  <c r="DB4" i="3" s="1"/>
  <c r="DA4" i="3"/>
  <c r="DC4" i="3"/>
  <c r="A5" i="3"/>
  <c r="Y5" i="3"/>
  <c r="CX5" i="3" s="1"/>
  <c r="DF5" i="3" s="1"/>
  <c r="DJ5" i="3" s="1"/>
  <c r="CY5" i="3"/>
  <c r="CZ5" i="3"/>
  <c r="DB5" i="3" s="1"/>
  <c r="DA5" i="3"/>
  <c r="DC5" i="3"/>
  <c r="DI5" i="3"/>
  <c r="A6" i="3"/>
  <c r="Y6" i="3"/>
  <c r="CX6" i="3"/>
  <c r="DH6" i="3" s="1"/>
  <c r="CY6" i="3"/>
  <c r="CZ6" i="3"/>
  <c r="DA6" i="3"/>
  <c r="DB6" i="3"/>
  <c r="DC6" i="3"/>
  <c r="A7" i="3"/>
  <c r="Y7" i="3"/>
  <c r="CX7" i="3"/>
  <c r="CY7" i="3"/>
  <c r="CZ7" i="3"/>
  <c r="DA7" i="3"/>
  <c r="DB7" i="3"/>
  <c r="DC7" i="3"/>
  <c r="DG7" i="3"/>
  <c r="A8" i="3"/>
  <c r="Y8" i="3"/>
  <c r="CX8" i="3" s="1"/>
  <c r="CY8" i="3"/>
  <c r="CZ8" i="3"/>
  <c r="DB8" i="3" s="1"/>
  <c r="DA8" i="3"/>
  <c r="DC8" i="3"/>
  <c r="DF8" i="3"/>
  <c r="DJ8" i="3" s="1"/>
  <c r="DG8" i="3"/>
  <c r="A9" i="3"/>
  <c r="Y9" i="3"/>
  <c r="CX9" i="3" s="1"/>
  <c r="DF9" i="3" s="1"/>
  <c r="DJ9" i="3" s="1"/>
  <c r="CY9" i="3"/>
  <c r="CZ9" i="3"/>
  <c r="DB9" i="3" s="1"/>
  <c r="DA9" i="3"/>
  <c r="DC9" i="3"/>
  <c r="A10" i="3"/>
  <c r="Y10" i="3"/>
  <c r="CX10" i="3"/>
  <c r="CY10" i="3"/>
  <c r="CZ10" i="3"/>
  <c r="DA10" i="3"/>
  <c r="DB10" i="3"/>
  <c r="DC10" i="3"/>
  <c r="DH10" i="3"/>
  <c r="A11" i="3"/>
  <c r="Y11" i="3"/>
  <c r="CX11" i="3"/>
  <c r="DG11" i="3" s="1"/>
  <c r="CY11" i="3"/>
  <c r="CZ11" i="3"/>
  <c r="DA11" i="3"/>
  <c r="DB11" i="3"/>
  <c r="DC11" i="3"/>
  <c r="A12" i="3"/>
  <c r="Y12" i="3"/>
  <c r="CX12" i="3" s="1"/>
  <c r="DG12" i="3" s="1"/>
  <c r="CY12" i="3"/>
  <c r="CZ12" i="3"/>
  <c r="DB12" i="3" s="1"/>
  <c r="DA12" i="3"/>
  <c r="DC12" i="3"/>
  <c r="DF12" i="3"/>
  <c r="DJ12" i="3"/>
  <c r="A13" i="3"/>
  <c r="Y13" i="3"/>
  <c r="CU13" i="3"/>
  <c r="CV13" i="3"/>
  <c r="CX13" i="3"/>
  <c r="DG13" i="3" s="1"/>
  <c r="CY13" i="3"/>
  <c r="CZ13" i="3"/>
  <c r="DA13" i="3"/>
  <c r="DB13" i="3"/>
  <c r="DC13" i="3"/>
  <c r="DH13" i="3"/>
  <c r="A14" i="3"/>
  <c r="Y14" i="3"/>
  <c r="CY14" i="3"/>
  <c r="CZ14" i="3"/>
  <c r="DB14" i="3" s="1"/>
  <c r="DA14" i="3"/>
  <c r="DC14" i="3"/>
  <c r="A15" i="3"/>
  <c r="Y15" i="3"/>
  <c r="CW15" i="3"/>
  <c r="CX15" i="3"/>
  <c r="DG15" i="3" s="1"/>
  <c r="DJ15" i="3" s="1"/>
  <c r="CY15" i="3"/>
  <c r="CZ15" i="3"/>
  <c r="DA15" i="3"/>
  <c r="DB15" i="3"/>
  <c r="DC15" i="3"/>
  <c r="DH15" i="3"/>
  <c r="A16" i="3"/>
  <c r="Y16" i="3"/>
  <c r="CY16" i="3"/>
  <c r="CZ16" i="3"/>
  <c r="DB16" i="3" s="1"/>
  <c r="DA16" i="3"/>
  <c r="DC16" i="3"/>
  <c r="A17" i="3"/>
  <c r="Y17" i="3"/>
  <c r="CX17" i="3"/>
  <c r="DH17" i="3" s="1"/>
  <c r="CY17" i="3"/>
  <c r="CZ17" i="3"/>
  <c r="DA17" i="3"/>
  <c r="DB17" i="3"/>
  <c r="DC17" i="3"/>
  <c r="A18" i="3"/>
  <c r="Y18" i="3"/>
  <c r="CX18" i="3"/>
  <c r="CY18" i="3"/>
  <c r="CZ18" i="3"/>
  <c r="DA18" i="3"/>
  <c r="DB18" i="3"/>
  <c r="DC18" i="3"/>
  <c r="DG18" i="3"/>
  <c r="A19" i="3"/>
  <c r="Y19" i="3"/>
  <c r="CX19" i="3" s="1"/>
  <c r="CY19" i="3"/>
  <c r="CZ19" i="3"/>
  <c r="DB19" i="3" s="1"/>
  <c r="DA19" i="3"/>
  <c r="DC19" i="3"/>
  <c r="DF19" i="3"/>
  <c r="DJ19" i="3" s="1"/>
  <c r="DG19" i="3"/>
  <c r="A20" i="3"/>
  <c r="Y20" i="3"/>
  <c r="CX20" i="3" s="1"/>
  <c r="DF20" i="3" s="1"/>
  <c r="DJ20" i="3" s="1"/>
  <c r="CY20" i="3"/>
  <c r="CZ20" i="3"/>
  <c r="DB20" i="3" s="1"/>
  <c r="DA20" i="3"/>
  <c r="DC20" i="3"/>
  <c r="A21" i="3"/>
  <c r="Y21" i="3"/>
  <c r="CX21" i="3"/>
  <c r="CY21" i="3"/>
  <c r="CZ21" i="3"/>
  <c r="DA21" i="3"/>
  <c r="DB21" i="3"/>
  <c r="DC21" i="3"/>
  <c r="DH21" i="3"/>
  <c r="A22" i="3"/>
  <c r="Y22" i="3"/>
  <c r="CX22" i="3"/>
  <c r="DG22" i="3" s="1"/>
  <c r="CY22" i="3"/>
  <c r="CZ22" i="3"/>
  <c r="DA22" i="3"/>
  <c r="DB22" i="3"/>
  <c r="DC22" i="3"/>
  <c r="A23" i="3"/>
  <c r="Y23" i="3"/>
  <c r="CX23" i="3" s="1"/>
  <c r="DG23" i="3" s="1"/>
  <c r="CY23" i="3"/>
  <c r="CZ23" i="3"/>
  <c r="DB23" i="3" s="1"/>
  <c r="DA23" i="3"/>
  <c r="DC23" i="3"/>
  <c r="DF23" i="3"/>
  <c r="DJ23" i="3"/>
  <c r="A24" i="3"/>
  <c r="Y24" i="3"/>
  <c r="CX24" i="3" s="1"/>
  <c r="DF24" i="3" s="1"/>
  <c r="DJ24" i="3" s="1"/>
  <c r="CY24" i="3"/>
  <c r="CZ24" i="3"/>
  <c r="DB24" i="3" s="1"/>
  <c r="DA24" i="3"/>
  <c r="DC24" i="3"/>
  <c r="DI24" i="3"/>
  <c r="A25" i="3"/>
  <c r="Y25" i="3"/>
  <c r="CU25" i="3"/>
  <c r="CV25" i="3"/>
  <c r="CX25" i="3"/>
  <c r="DI25" i="3" s="1"/>
  <c r="CY25" i="3"/>
  <c r="CZ25" i="3"/>
  <c r="DB25" i="3" s="1"/>
  <c r="DA25" i="3"/>
  <c r="DC25" i="3"/>
  <c r="DF25" i="3"/>
  <c r="DG25" i="3"/>
  <c r="DH25" i="3"/>
  <c r="DJ25" i="3"/>
  <c r="A26" i="3"/>
  <c r="Y26" i="3"/>
  <c r="CW26" i="3" s="1"/>
  <c r="CX26" i="3"/>
  <c r="DH26" i="3" s="1"/>
  <c r="CY26" i="3"/>
  <c r="CZ26" i="3"/>
  <c r="DA26" i="3"/>
  <c r="DB26" i="3"/>
  <c r="DC26" i="3"/>
  <c r="DI26" i="3"/>
  <c r="A27" i="3"/>
  <c r="Y27" i="3"/>
  <c r="CX27" i="3" s="1"/>
  <c r="CY27" i="3"/>
  <c r="CZ27" i="3"/>
  <c r="DA27" i="3"/>
  <c r="DB27" i="3"/>
  <c r="DC27" i="3"/>
  <c r="A28" i="3"/>
  <c r="Y28" i="3"/>
  <c r="CV28" i="3" s="1"/>
  <c r="CU28" i="3"/>
  <c r="CY28" i="3"/>
  <c r="CZ28" i="3"/>
  <c r="DA28" i="3"/>
  <c r="DB28" i="3"/>
  <c r="DC28" i="3"/>
  <c r="A29" i="3"/>
  <c r="Y29" i="3"/>
  <c r="CX29" i="3" s="1"/>
  <c r="CW29" i="3"/>
  <c r="CY29" i="3"/>
  <c r="CZ29" i="3"/>
  <c r="DB29" i="3" s="1"/>
  <c r="DA29" i="3"/>
  <c r="DC29" i="3"/>
  <c r="DF29" i="3"/>
  <c r="DG29" i="3"/>
  <c r="DJ29" i="3" s="1"/>
  <c r="A30" i="3"/>
  <c r="Y30" i="3"/>
  <c r="CX30" i="3"/>
  <c r="DG30" i="3" s="1"/>
  <c r="CY30" i="3"/>
  <c r="CZ30" i="3"/>
  <c r="DB30" i="3" s="1"/>
  <c r="DA30" i="3"/>
  <c r="DC30" i="3"/>
  <c r="DF30" i="3"/>
  <c r="DH30" i="3"/>
  <c r="DI30" i="3"/>
  <c r="DJ30" i="3"/>
  <c r="A31" i="3"/>
  <c r="Y31" i="3"/>
  <c r="CX31" i="3" s="1"/>
  <c r="DF31" i="3" s="1"/>
  <c r="CU31" i="3"/>
  <c r="CV31" i="3"/>
  <c r="CY31" i="3"/>
  <c r="CZ31" i="3"/>
  <c r="DB31" i="3" s="1"/>
  <c r="DA31" i="3"/>
  <c r="DC31" i="3"/>
  <c r="DG31" i="3"/>
  <c r="A32" i="3"/>
  <c r="Y32" i="3"/>
  <c r="CW32" i="3"/>
  <c r="CX32" i="3"/>
  <c r="DH32" i="3" s="1"/>
  <c r="CY32" i="3"/>
  <c r="CZ32" i="3"/>
  <c r="DA32" i="3"/>
  <c r="DB32" i="3"/>
  <c r="DC32" i="3"/>
  <c r="DI32" i="3"/>
  <c r="A33" i="3"/>
  <c r="Y33" i="3"/>
  <c r="CX33" i="3" s="1"/>
  <c r="CY33" i="3"/>
  <c r="CZ33" i="3"/>
  <c r="DB33" i="3" s="1"/>
  <c r="DA33" i="3"/>
  <c r="DC33" i="3"/>
  <c r="DF33" i="3"/>
  <c r="A34" i="3"/>
  <c r="Y34" i="3"/>
  <c r="CW34" i="3"/>
  <c r="CX34" i="3"/>
  <c r="CY34" i="3"/>
  <c r="CZ34" i="3"/>
  <c r="DA34" i="3"/>
  <c r="DB34" i="3"/>
  <c r="DC34" i="3"/>
  <c r="DH34" i="3"/>
  <c r="A35" i="3"/>
  <c r="Y35" i="3"/>
  <c r="CX35" i="3"/>
  <c r="DG35" i="3" s="1"/>
  <c r="CY35" i="3"/>
  <c r="CZ35" i="3"/>
  <c r="DA35" i="3"/>
  <c r="DB35" i="3"/>
  <c r="DC35" i="3"/>
  <c r="A36" i="3"/>
  <c r="Y36" i="3"/>
  <c r="CX36" i="3" s="1"/>
  <c r="DG36" i="3" s="1"/>
  <c r="CY36" i="3"/>
  <c r="CZ36" i="3"/>
  <c r="DB36" i="3" s="1"/>
  <c r="DA36" i="3"/>
  <c r="DC36" i="3"/>
  <c r="DF36" i="3"/>
  <c r="DJ36" i="3"/>
  <c r="A37" i="3"/>
  <c r="Y37" i="3"/>
  <c r="CX37" i="3"/>
  <c r="DG37" i="3" s="1"/>
  <c r="CY37" i="3"/>
  <c r="CZ37" i="3"/>
  <c r="DB37" i="3" s="1"/>
  <c r="DA37" i="3"/>
  <c r="DC37" i="3"/>
  <c r="DF37" i="3"/>
  <c r="DJ37" i="3" s="1"/>
  <c r="DH37" i="3"/>
  <c r="DI37" i="3"/>
  <c r="A38" i="3"/>
  <c r="Y38" i="3"/>
  <c r="CX38" i="3"/>
  <c r="CY38" i="3"/>
  <c r="CZ38" i="3"/>
  <c r="DA38" i="3"/>
  <c r="DB38" i="3"/>
  <c r="DC38" i="3"/>
  <c r="DH38" i="3"/>
  <c r="A39" i="3"/>
  <c r="Y39" i="3"/>
  <c r="CX39" i="3"/>
  <c r="DG39" i="3" s="1"/>
  <c r="CY39" i="3"/>
  <c r="CZ39" i="3"/>
  <c r="DA39" i="3"/>
  <c r="DB39" i="3"/>
  <c r="DC39" i="3"/>
  <c r="A40" i="3"/>
  <c r="Y40" i="3"/>
  <c r="CX40" i="3" s="1"/>
  <c r="DG40" i="3" s="1"/>
  <c r="CY40" i="3"/>
  <c r="CZ40" i="3"/>
  <c r="DB40" i="3" s="1"/>
  <c r="DA40" i="3"/>
  <c r="DC40" i="3"/>
  <c r="DF40" i="3"/>
  <c r="DJ40" i="3"/>
  <c r="A41" i="3"/>
  <c r="Y41" i="3"/>
  <c r="CX41" i="3"/>
  <c r="DG41" i="3" s="1"/>
  <c r="CY41" i="3"/>
  <c r="CZ41" i="3"/>
  <c r="DB41" i="3" s="1"/>
  <c r="DA41" i="3"/>
  <c r="DC41" i="3"/>
  <c r="DF41" i="3"/>
  <c r="DJ41" i="3" s="1"/>
  <c r="DH41" i="3"/>
  <c r="DI41" i="3"/>
  <c r="A42" i="3"/>
  <c r="Y42" i="3"/>
  <c r="CX42" i="3"/>
  <c r="CY42" i="3"/>
  <c r="CZ42" i="3"/>
  <c r="DA42" i="3"/>
  <c r="DB42" i="3"/>
  <c r="DC42" i="3"/>
  <c r="DH42" i="3"/>
  <c r="A43" i="3"/>
  <c r="Y43" i="3"/>
  <c r="CU43" i="3"/>
  <c r="CY43" i="3"/>
  <c r="CZ43" i="3"/>
  <c r="DB43" i="3" s="1"/>
  <c r="DA43" i="3"/>
  <c r="DC43" i="3"/>
  <c r="A44" i="3"/>
  <c r="Y44" i="3"/>
  <c r="CW44" i="3"/>
  <c r="CX44" i="3"/>
  <c r="CY44" i="3"/>
  <c r="CZ44" i="3"/>
  <c r="DA44" i="3"/>
  <c r="DB44" i="3"/>
  <c r="DC44" i="3"/>
  <c r="DG44" i="3"/>
  <c r="DJ44" i="3" s="1"/>
  <c r="DH44" i="3"/>
  <c r="A45" i="3"/>
  <c r="Y45" i="3"/>
  <c r="CY45" i="3"/>
  <c r="CZ45" i="3"/>
  <c r="DB45" i="3" s="1"/>
  <c r="DA45" i="3"/>
  <c r="DC45" i="3"/>
  <c r="A46" i="3"/>
  <c r="Y46" i="3"/>
  <c r="CW46" i="3" s="1"/>
  <c r="CX46" i="3"/>
  <c r="CY46" i="3"/>
  <c r="CZ46" i="3"/>
  <c r="DA46" i="3"/>
  <c r="DB46" i="3"/>
  <c r="DC46" i="3"/>
  <c r="DH46" i="3"/>
  <c r="A47" i="3"/>
  <c r="Y47" i="3"/>
  <c r="CX47" i="3" s="1"/>
  <c r="CY47" i="3"/>
  <c r="CZ47" i="3"/>
  <c r="DB47" i="3" s="1"/>
  <c r="DA47" i="3"/>
  <c r="DC47" i="3"/>
  <c r="DF47" i="3"/>
  <c r="DG47" i="3"/>
  <c r="DH47" i="3"/>
  <c r="DI47" i="3"/>
  <c r="DJ47" i="3"/>
  <c r="A48" i="3"/>
  <c r="Y48" i="3"/>
  <c r="CX48" i="3"/>
  <c r="CY48" i="3"/>
  <c r="CZ48" i="3"/>
  <c r="DA48" i="3"/>
  <c r="DB48" i="3"/>
  <c r="DC48" i="3"/>
  <c r="DH48" i="3"/>
  <c r="A49" i="3"/>
  <c r="Y49" i="3"/>
  <c r="CX49" i="3" s="1"/>
  <c r="CY49" i="3"/>
  <c r="CZ49" i="3"/>
  <c r="DA49" i="3"/>
  <c r="DB49" i="3"/>
  <c r="DC49" i="3"/>
  <c r="DG49" i="3"/>
  <c r="A50" i="3"/>
  <c r="Y50" i="3"/>
  <c r="CX50" i="3"/>
  <c r="DG50" i="3" s="1"/>
  <c r="CY50" i="3"/>
  <c r="CZ50" i="3"/>
  <c r="DB50" i="3" s="1"/>
  <c r="DA50" i="3"/>
  <c r="DC50" i="3"/>
  <c r="DF50" i="3"/>
  <c r="DJ50" i="3" s="1"/>
  <c r="DH50" i="3"/>
  <c r="A51" i="3"/>
  <c r="Y51" i="3"/>
  <c r="CX51" i="3" s="1"/>
  <c r="DI51" i="3" s="1"/>
  <c r="CY51" i="3"/>
  <c r="CZ51" i="3"/>
  <c r="DB51" i="3" s="1"/>
  <c r="DA51" i="3"/>
  <c r="DC51" i="3"/>
  <c r="A52" i="3"/>
  <c r="Y52" i="3"/>
  <c r="CX52" i="3"/>
  <c r="DH52" i="3" s="1"/>
  <c r="CY52" i="3"/>
  <c r="CZ52" i="3"/>
  <c r="DA52" i="3"/>
  <c r="DB52" i="3"/>
  <c r="DC52" i="3"/>
  <c r="A53" i="3"/>
  <c r="Y53" i="3"/>
  <c r="CX53" i="3" s="1"/>
  <c r="DG53" i="3" s="1"/>
  <c r="CY53" i="3"/>
  <c r="CZ53" i="3"/>
  <c r="DA53" i="3"/>
  <c r="DB53" i="3"/>
  <c r="DC53" i="3"/>
  <c r="A54" i="3"/>
  <c r="Y54" i="3"/>
  <c r="CX54" i="3"/>
  <c r="DG54" i="3" s="1"/>
  <c r="CY54" i="3"/>
  <c r="CZ54" i="3"/>
  <c r="DB54" i="3" s="1"/>
  <c r="DA54" i="3"/>
  <c r="DC54" i="3"/>
  <c r="DF54" i="3"/>
  <c r="DH54" i="3"/>
  <c r="DJ54" i="3"/>
  <c r="A55" i="3"/>
  <c r="Y55" i="3"/>
  <c r="CX55" i="3" s="1"/>
  <c r="CU55" i="3"/>
  <c r="CV55" i="3"/>
  <c r="CY55" i="3"/>
  <c r="CZ55" i="3"/>
  <c r="DA55" i="3"/>
  <c r="DB55" i="3"/>
  <c r="DC55" i="3"/>
  <c r="DG55" i="3"/>
  <c r="A56" i="3"/>
  <c r="Y56" i="3"/>
  <c r="CX56" i="3"/>
  <c r="DG56" i="3" s="1"/>
  <c r="CY56" i="3"/>
  <c r="CZ56" i="3"/>
  <c r="DB56" i="3" s="1"/>
  <c r="DA56" i="3"/>
  <c r="DC56" i="3"/>
  <c r="DF56" i="3"/>
  <c r="DH56" i="3"/>
  <c r="DJ56" i="3"/>
  <c r="A57" i="3"/>
  <c r="Y57" i="3"/>
  <c r="CX57" i="3" s="1"/>
  <c r="DI57" i="3" s="1"/>
  <c r="CY57" i="3"/>
  <c r="CZ57" i="3"/>
  <c r="DB57" i="3" s="1"/>
  <c r="DA57" i="3"/>
  <c r="DC57" i="3"/>
  <c r="A58" i="3"/>
  <c r="Y58" i="3"/>
  <c r="CX58" i="3"/>
  <c r="CY58" i="3"/>
  <c r="CZ58" i="3"/>
  <c r="DA58" i="3"/>
  <c r="DB58" i="3"/>
  <c r="DC58" i="3"/>
  <c r="DH58" i="3"/>
  <c r="A59" i="3"/>
  <c r="Y59" i="3"/>
  <c r="CX59" i="3" s="1"/>
  <c r="CY59" i="3"/>
  <c r="CZ59" i="3"/>
  <c r="DA59" i="3"/>
  <c r="DB59" i="3"/>
  <c r="DC59" i="3"/>
  <c r="DG59" i="3"/>
  <c r="A60" i="3"/>
  <c r="Y60" i="3"/>
  <c r="CX60" i="3"/>
  <c r="DG60" i="3" s="1"/>
  <c r="CY60" i="3"/>
  <c r="CZ60" i="3"/>
  <c r="DB60" i="3" s="1"/>
  <c r="DA60" i="3"/>
  <c r="DC60" i="3"/>
  <c r="DF60" i="3"/>
  <c r="DJ60" i="3" s="1"/>
  <c r="DH60" i="3"/>
  <c r="A61" i="3"/>
  <c r="Y61" i="3"/>
  <c r="CX61" i="3" s="1"/>
  <c r="DI61" i="3" s="1"/>
  <c r="CY61" i="3"/>
  <c r="CZ61" i="3"/>
  <c r="DB61" i="3" s="1"/>
  <c r="DA61" i="3"/>
  <c r="DC61" i="3"/>
  <c r="A62" i="3"/>
  <c r="Y62" i="3"/>
  <c r="CX62" i="3"/>
  <c r="DH62" i="3" s="1"/>
  <c r="CY62" i="3"/>
  <c r="CZ62" i="3"/>
  <c r="DA62" i="3"/>
  <c r="DB62" i="3"/>
  <c r="DC62" i="3"/>
  <c r="A63" i="3"/>
  <c r="Y63" i="3"/>
  <c r="CU63" i="3"/>
  <c r="CY63" i="3"/>
  <c r="CZ63" i="3"/>
  <c r="DB63" i="3" s="1"/>
  <c r="DA63" i="3"/>
  <c r="DC63" i="3"/>
  <c r="A64" i="3"/>
  <c r="Y64" i="3"/>
  <c r="CX64" i="3"/>
  <c r="CY64" i="3"/>
  <c r="CZ64" i="3"/>
  <c r="DA64" i="3"/>
  <c r="DB64" i="3"/>
  <c r="DC64" i="3"/>
  <c r="DH64" i="3"/>
  <c r="A65" i="3"/>
  <c r="Y65" i="3"/>
  <c r="CX65" i="3" s="1"/>
  <c r="CY65" i="3"/>
  <c r="CZ65" i="3"/>
  <c r="DA65" i="3"/>
  <c r="DB65" i="3"/>
  <c r="DC65" i="3"/>
  <c r="DG65" i="3"/>
  <c r="DI65" i="3"/>
  <c r="A66" i="3"/>
  <c r="Y66" i="3"/>
  <c r="CX66" i="3"/>
  <c r="CY66" i="3"/>
  <c r="CZ66" i="3"/>
  <c r="DA66" i="3"/>
  <c r="DB66" i="3"/>
  <c r="DC66" i="3"/>
  <c r="DH66" i="3"/>
  <c r="A67" i="3"/>
  <c r="Y67" i="3"/>
  <c r="CX67" i="3" s="1"/>
  <c r="CY67" i="3"/>
  <c r="CZ67" i="3"/>
  <c r="DB67" i="3" s="1"/>
  <c r="DA67" i="3"/>
  <c r="DC67" i="3"/>
  <c r="DG67" i="3"/>
  <c r="DI67" i="3"/>
  <c r="A68" i="3"/>
  <c r="Y68" i="3"/>
  <c r="CX68" i="3"/>
  <c r="CY68" i="3"/>
  <c r="CZ68" i="3"/>
  <c r="DB68" i="3" s="1"/>
  <c r="DA68" i="3"/>
  <c r="DC68" i="3"/>
  <c r="DF68" i="3"/>
  <c r="DJ68" i="3" s="1"/>
  <c r="A69" i="3"/>
  <c r="Y69" i="3"/>
  <c r="CX69" i="3" s="1"/>
  <c r="DG69" i="3" s="1"/>
  <c r="CY69" i="3"/>
  <c r="CZ69" i="3"/>
  <c r="DA69" i="3"/>
  <c r="DB69" i="3"/>
  <c r="DC69" i="3"/>
  <c r="A70" i="3"/>
  <c r="Y70" i="3"/>
  <c r="CX70" i="3"/>
  <c r="CY70" i="3"/>
  <c r="CZ70" i="3"/>
  <c r="DB70" i="3" s="1"/>
  <c r="DA70" i="3"/>
  <c r="DC70" i="3"/>
  <c r="DF70" i="3"/>
  <c r="DJ70" i="3" s="1"/>
  <c r="A71" i="3"/>
  <c r="Y71" i="3"/>
  <c r="CY71" i="3"/>
  <c r="CZ71" i="3"/>
  <c r="DA71" i="3"/>
  <c r="DB71" i="3"/>
  <c r="DC71" i="3"/>
  <c r="A72" i="3"/>
  <c r="Y72" i="3"/>
  <c r="CY72" i="3"/>
  <c r="CZ72" i="3"/>
  <c r="DB72" i="3" s="1"/>
  <c r="DA72" i="3"/>
  <c r="DC72" i="3"/>
  <c r="A73" i="3"/>
  <c r="Y73" i="3"/>
  <c r="CY73" i="3"/>
  <c r="CZ73" i="3"/>
  <c r="DA73" i="3"/>
  <c r="DB73" i="3"/>
  <c r="DC73" i="3"/>
  <c r="A74" i="3"/>
  <c r="Y74" i="3"/>
  <c r="CY74" i="3"/>
  <c r="CZ74" i="3"/>
  <c r="DA74" i="3"/>
  <c r="DB74" i="3"/>
  <c r="DC74" i="3"/>
  <c r="A75" i="3"/>
  <c r="Y75" i="3"/>
  <c r="CY75" i="3"/>
  <c r="CZ75" i="3"/>
  <c r="DB75" i="3" s="1"/>
  <c r="DA75" i="3"/>
  <c r="DC75" i="3"/>
  <c r="A76" i="3"/>
  <c r="Y76" i="3"/>
  <c r="CY76" i="3"/>
  <c r="CZ76" i="3"/>
  <c r="DA76" i="3"/>
  <c r="DB76" i="3"/>
  <c r="DC76" i="3"/>
  <c r="A77" i="3"/>
  <c r="Y77" i="3"/>
  <c r="CY77" i="3"/>
  <c r="CZ77" i="3"/>
  <c r="DB77" i="3" s="1"/>
  <c r="DA77" i="3"/>
  <c r="DC77" i="3"/>
  <c r="A78" i="3"/>
  <c r="Y78" i="3"/>
  <c r="CY78" i="3"/>
  <c r="CZ78" i="3"/>
  <c r="DB78" i="3" s="1"/>
  <c r="DA78" i="3"/>
  <c r="DC78" i="3"/>
  <c r="A79" i="3"/>
  <c r="Y79" i="3"/>
  <c r="CY79" i="3"/>
  <c r="CZ79" i="3"/>
  <c r="DB79" i="3" s="1"/>
  <c r="DA79" i="3"/>
  <c r="DC79" i="3"/>
  <c r="A80" i="3"/>
  <c r="Y80" i="3"/>
  <c r="CY80" i="3"/>
  <c r="CZ80" i="3"/>
  <c r="DB80" i="3" s="1"/>
  <c r="DA80" i="3"/>
  <c r="DC80" i="3"/>
  <c r="A81" i="3"/>
  <c r="Y81" i="3"/>
  <c r="CY81" i="3"/>
  <c r="CZ81" i="3"/>
  <c r="DA81" i="3"/>
  <c r="DB81" i="3"/>
  <c r="DC81" i="3"/>
  <c r="A82" i="3"/>
  <c r="Y82" i="3"/>
  <c r="CY82" i="3"/>
  <c r="CZ82" i="3"/>
  <c r="DB82" i="3" s="1"/>
  <c r="DA82" i="3"/>
  <c r="DC82" i="3"/>
  <c r="A83" i="3"/>
  <c r="Y83" i="3"/>
  <c r="CY83" i="3"/>
  <c r="CZ83" i="3"/>
  <c r="DA83" i="3"/>
  <c r="DB83" i="3"/>
  <c r="DC83" i="3"/>
  <c r="A84" i="3"/>
  <c r="Y84" i="3"/>
  <c r="CY84" i="3"/>
  <c r="CZ84" i="3"/>
  <c r="DA84" i="3"/>
  <c r="DB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B86" i="3" s="1"/>
  <c r="DA86" i="3"/>
  <c r="DC86" i="3"/>
  <c r="A87" i="3"/>
  <c r="Y87" i="3"/>
  <c r="CY87" i="3"/>
  <c r="CZ87" i="3"/>
  <c r="DA87" i="3"/>
  <c r="DB87" i="3"/>
  <c r="DC87" i="3"/>
  <c r="A88" i="3"/>
  <c r="Y88" i="3"/>
  <c r="CY88" i="3"/>
  <c r="CZ88" i="3"/>
  <c r="DB88" i="3" s="1"/>
  <c r="DA88" i="3"/>
  <c r="DC88" i="3"/>
  <c r="A89" i="3"/>
  <c r="Y89" i="3"/>
  <c r="CY89" i="3"/>
  <c r="CZ89" i="3"/>
  <c r="DB89" i="3" s="1"/>
  <c r="DA89" i="3"/>
  <c r="DC89" i="3"/>
  <c r="A90" i="3"/>
  <c r="Y90" i="3"/>
  <c r="CY90" i="3"/>
  <c r="CZ90" i="3"/>
  <c r="DA90" i="3"/>
  <c r="DB90" i="3"/>
  <c r="DC90" i="3"/>
  <c r="A91" i="3"/>
  <c r="Y91" i="3"/>
  <c r="CY91" i="3"/>
  <c r="CZ91" i="3"/>
  <c r="DA91" i="3"/>
  <c r="DB91" i="3"/>
  <c r="DC91" i="3"/>
  <c r="A92" i="3"/>
  <c r="Y92" i="3"/>
  <c r="CY92" i="3"/>
  <c r="CZ92" i="3"/>
  <c r="DB92" i="3" s="1"/>
  <c r="DA92" i="3"/>
  <c r="DC92" i="3"/>
  <c r="A93" i="3"/>
  <c r="Y93" i="3"/>
  <c r="CY93" i="3"/>
  <c r="CZ93" i="3"/>
  <c r="DB93" i="3" s="1"/>
  <c r="DA93" i="3"/>
  <c r="DC93" i="3"/>
  <c r="A94" i="3"/>
  <c r="Y94" i="3"/>
  <c r="CY94" i="3"/>
  <c r="CZ94" i="3"/>
  <c r="DA94" i="3"/>
  <c r="DB94" i="3"/>
  <c r="DC94" i="3"/>
  <c r="A95" i="3"/>
  <c r="Y95" i="3"/>
  <c r="CY95" i="3"/>
  <c r="CZ95" i="3"/>
  <c r="DA95" i="3"/>
  <c r="DB95" i="3"/>
  <c r="DC95" i="3"/>
  <c r="A96" i="3"/>
  <c r="Y96" i="3"/>
  <c r="CY96" i="3"/>
  <c r="CZ96" i="3"/>
  <c r="DB96" i="3" s="1"/>
  <c r="DA96" i="3"/>
  <c r="DC96" i="3"/>
  <c r="A97" i="3"/>
  <c r="Y97" i="3"/>
  <c r="CY97" i="3"/>
  <c r="CZ97" i="3"/>
  <c r="DA97" i="3"/>
  <c r="DB97" i="3"/>
  <c r="DC97" i="3"/>
  <c r="A98" i="3"/>
  <c r="Y98" i="3"/>
  <c r="CY98" i="3"/>
  <c r="CZ98" i="3"/>
  <c r="DB98" i="3" s="1"/>
  <c r="DA98" i="3"/>
  <c r="DC98" i="3"/>
  <c r="A99" i="3"/>
  <c r="Y99" i="3"/>
  <c r="CY99" i="3"/>
  <c r="CZ99" i="3"/>
  <c r="DA99" i="3"/>
  <c r="DB99" i="3"/>
  <c r="DC99" i="3"/>
  <c r="A100" i="3"/>
  <c r="Y100" i="3"/>
  <c r="CY100" i="3"/>
  <c r="CZ100" i="3"/>
  <c r="DB100" i="3" s="1"/>
  <c r="DA100" i="3"/>
  <c r="DC100" i="3"/>
  <c r="A101" i="3"/>
  <c r="Y101" i="3"/>
  <c r="CY101" i="3"/>
  <c r="CZ101" i="3"/>
  <c r="DA101" i="3"/>
  <c r="DB101" i="3"/>
  <c r="DC101" i="3"/>
  <c r="A102" i="3"/>
  <c r="Y102" i="3"/>
  <c r="CY102" i="3"/>
  <c r="CZ102" i="3"/>
  <c r="DA102" i="3"/>
  <c r="DB102" i="3"/>
  <c r="DC102" i="3"/>
  <c r="A103" i="3"/>
  <c r="Y103" i="3"/>
  <c r="CY103" i="3"/>
  <c r="CZ103" i="3"/>
  <c r="DB103" i="3" s="1"/>
  <c r="DA103" i="3"/>
  <c r="DC103" i="3"/>
  <c r="A104" i="3"/>
  <c r="Y104" i="3"/>
  <c r="CY104" i="3"/>
  <c r="CZ104" i="3"/>
  <c r="DB104" i="3" s="1"/>
  <c r="DA104" i="3"/>
  <c r="DC104" i="3"/>
  <c r="A105" i="3"/>
  <c r="Y105" i="3"/>
  <c r="CY105" i="3"/>
  <c r="CZ105" i="3"/>
  <c r="DA105" i="3"/>
  <c r="DB105" i="3"/>
  <c r="DC105" i="3"/>
  <c r="A106" i="3"/>
  <c r="Y106" i="3"/>
  <c r="CY106" i="3"/>
  <c r="CZ106" i="3"/>
  <c r="DA106" i="3"/>
  <c r="DB106" i="3"/>
  <c r="DC106" i="3"/>
  <c r="A107" i="3"/>
  <c r="Y107" i="3"/>
  <c r="CY107" i="3"/>
  <c r="CZ107" i="3"/>
  <c r="DA107" i="3"/>
  <c r="DB107" i="3"/>
  <c r="DC107" i="3"/>
  <c r="A108" i="3"/>
  <c r="Y108" i="3"/>
  <c r="CY108" i="3"/>
  <c r="CZ108" i="3"/>
  <c r="DB108" i="3" s="1"/>
  <c r="DA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A110" i="3"/>
  <c r="DB110" i="3"/>
  <c r="DC110" i="3"/>
  <c r="A111" i="3"/>
  <c r="Y111" i="3"/>
  <c r="CY111" i="3"/>
  <c r="CZ111" i="3"/>
  <c r="DB111" i="3" s="1"/>
  <c r="DA111" i="3"/>
  <c r="DC111" i="3"/>
  <c r="A112" i="3"/>
  <c r="Y112" i="3"/>
  <c r="CY112" i="3"/>
  <c r="CZ112" i="3"/>
  <c r="DB112" i="3" s="1"/>
  <c r="DA112" i="3"/>
  <c r="DC112" i="3"/>
  <c r="A113" i="3"/>
  <c r="Y113" i="3"/>
  <c r="CY113" i="3"/>
  <c r="CZ113" i="3"/>
  <c r="DA113" i="3"/>
  <c r="DB113" i="3"/>
  <c r="DC113" i="3"/>
  <c r="A114" i="3"/>
  <c r="Y114" i="3"/>
  <c r="CY114" i="3"/>
  <c r="CZ114" i="3"/>
  <c r="DA114" i="3"/>
  <c r="DB114" i="3"/>
  <c r="DC114" i="3"/>
  <c r="A115" i="3"/>
  <c r="Y115" i="3"/>
  <c r="CY115" i="3"/>
  <c r="CZ115" i="3"/>
  <c r="DA115" i="3"/>
  <c r="DB115" i="3"/>
  <c r="DC115" i="3"/>
  <c r="A116" i="3"/>
  <c r="Y116" i="3"/>
  <c r="CY116" i="3"/>
  <c r="CZ116" i="3"/>
  <c r="DB116" i="3" s="1"/>
  <c r="DA116" i="3"/>
  <c r="DC116" i="3"/>
  <c r="A117" i="3"/>
  <c r="Y117" i="3"/>
  <c r="CY117" i="3"/>
  <c r="CZ117" i="3"/>
  <c r="DB117" i="3" s="1"/>
  <c r="DA117" i="3"/>
  <c r="DC117" i="3"/>
  <c r="A118" i="3"/>
  <c r="Y118" i="3"/>
  <c r="CY118" i="3"/>
  <c r="CZ118" i="3"/>
  <c r="DB118" i="3" s="1"/>
  <c r="DA118" i="3"/>
  <c r="DC118" i="3"/>
  <c r="A119" i="3"/>
  <c r="Y119" i="3"/>
  <c r="CY119" i="3"/>
  <c r="CZ119" i="3"/>
  <c r="DA119" i="3"/>
  <c r="DB119" i="3"/>
  <c r="DC119" i="3"/>
  <c r="A120" i="3"/>
  <c r="Y120" i="3"/>
  <c r="CY120" i="3"/>
  <c r="CZ120" i="3"/>
  <c r="DB120" i="3" s="1"/>
  <c r="DA120" i="3"/>
  <c r="DC120" i="3"/>
  <c r="A121" i="3"/>
  <c r="Y121" i="3"/>
  <c r="CY121" i="3"/>
  <c r="CZ121" i="3"/>
  <c r="DA121" i="3"/>
  <c r="DB121" i="3"/>
  <c r="DC121" i="3"/>
  <c r="A122" i="3"/>
  <c r="Y122" i="3"/>
  <c r="CY122" i="3"/>
  <c r="CZ122" i="3"/>
  <c r="DA122" i="3"/>
  <c r="DB122" i="3"/>
  <c r="DC122" i="3"/>
  <c r="A123" i="3"/>
  <c r="Y123" i="3"/>
  <c r="CY123" i="3"/>
  <c r="CZ123" i="3"/>
  <c r="DB123" i="3" s="1"/>
  <c r="DA123" i="3"/>
  <c r="DC123" i="3"/>
  <c r="A124" i="3"/>
  <c r="Y124" i="3"/>
  <c r="CY124" i="3"/>
  <c r="CZ124" i="3"/>
  <c r="DB124" i="3" s="1"/>
  <c r="DA124" i="3"/>
  <c r="DC124" i="3"/>
  <c r="A125" i="3"/>
  <c r="Y125" i="3"/>
  <c r="CY125" i="3"/>
  <c r="CZ125" i="3"/>
  <c r="DA125" i="3"/>
  <c r="DB125" i="3"/>
  <c r="DC125" i="3"/>
  <c r="A126" i="3"/>
  <c r="Y126" i="3"/>
  <c r="CY126" i="3"/>
  <c r="CZ126" i="3"/>
  <c r="DA126" i="3"/>
  <c r="DB126" i="3"/>
  <c r="DC126" i="3"/>
  <c r="A127" i="3"/>
  <c r="Y127" i="3"/>
  <c r="CY127" i="3"/>
  <c r="CZ127" i="3"/>
  <c r="DA127" i="3"/>
  <c r="DB127" i="3"/>
  <c r="DC127" i="3"/>
  <c r="A128" i="3"/>
  <c r="Y128" i="3"/>
  <c r="CY128" i="3"/>
  <c r="CZ128" i="3"/>
  <c r="DB128" i="3" s="1"/>
  <c r="DA128" i="3"/>
  <c r="DC128" i="3"/>
  <c r="A129" i="3"/>
  <c r="Y129" i="3"/>
  <c r="CY129" i="3"/>
  <c r="CZ129" i="3"/>
  <c r="DA129" i="3"/>
  <c r="DB129" i="3"/>
  <c r="DC129" i="3"/>
  <c r="A130" i="3"/>
  <c r="Y130" i="3"/>
  <c r="CY130" i="3"/>
  <c r="CZ130" i="3"/>
  <c r="DA130" i="3"/>
  <c r="DB130" i="3"/>
  <c r="DC130" i="3"/>
  <c r="A131" i="3"/>
  <c r="Y131" i="3"/>
  <c r="CY131" i="3"/>
  <c r="CZ131" i="3"/>
  <c r="DB131" i="3" s="1"/>
  <c r="DA131" i="3"/>
  <c r="DC131" i="3"/>
  <c r="A132" i="3"/>
  <c r="Y132" i="3"/>
  <c r="CY132" i="3"/>
  <c r="CZ132" i="3"/>
  <c r="DB132" i="3" s="1"/>
  <c r="DA132" i="3"/>
  <c r="DC132" i="3"/>
  <c r="A133" i="3"/>
  <c r="Y133" i="3"/>
  <c r="CY133" i="3"/>
  <c r="CZ133" i="3"/>
  <c r="DA133" i="3"/>
  <c r="DB133" i="3"/>
  <c r="DC133" i="3"/>
  <c r="A134" i="3"/>
  <c r="Y134" i="3"/>
  <c r="CY134" i="3"/>
  <c r="CZ134" i="3"/>
  <c r="DA134" i="3"/>
  <c r="DB134" i="3"/>
  <c r="DC134" i="3"/>
  <c r="A135" i="3"/>
  <c r="Y135" i="3"/>
  <c r="CY135" i="3"/>
  <c r="CZ135" i="3"/>
  <c r="DA135" i="3"/>
  <c r="DB135" i="3"/>
  <c r="DC135" i="3"/>
  <c r="A136" i="3"/>
  <c r="Y136" i="3"/>
  <c r="CY136" i="3"/>
  <c r="CZ136" i="3"/>
  <c r="DB136" i="3" s="1"/>
  <c r="DA136" i="3"/>
  <c r="DC136" i="3"/>
  <c r="A137" i="3"/>
  <c r="Y137" i="3"/>
  <c r="CY137" i="3"/>
  <c r="CZ137" i="3"/>
  <c r="DA137" i="3"/>
  <c r="DB137" i="3"/>
  <c r="DC137" i="3"/>
  <c r="A138" i="3"/>
  <c r="Y138" i="3"/>
  <c r="CY138" i="3"/>
  <c r="CZ138" i="3"/>
  <c r="DA138" i="3"/>
  <c r="DB138" i="3"/>
  <c r="DC138" i="3"/>
  <c r="A139" i="3"/>
  <c r="Y139" i="3"/>
  <c r="CY139" i="3"/>
  <c r="CZ139" i="3"/>
  <c r="DB139" i="3" s="1"/>
  <c r="DA139" i="3"/>
  <c r="DC139" i="3"/>
  <c r="A140" i="3"/>
  <c r="Y140" i="3"/>
  <c r="CY140" i="3"/>
  <c r="CZ140" i="3"/>
  <c r="DB140" i="3" s="1"/>
  <c r="DA140" i="3"/>
  <c r="DC140" i="3"/>
  <c r="A141" i="3"/>
  <c r="Y141" i="3"/>
  <c r="CY141" i="3"/>
  <c r="CZ141" i="3"/>
  <c r="DA141" i="3"/>
  <c r="DB141" i="3"/>
  <c r="DC141" i="3"/>
  <c r="A142" i="3"/>
  <c r="Y142" i="3"/>
  <c r="CY142" i="3"/>
  <c r="CZ142" i="3"/>
  <c r="DA142" i="3"/>
  <c r="DB142" i="3"/>
  <c r="DC142" i="3"/>
  <c r="A143" i="3"/>
  <c r="Y143" i="3"/>
  <c r="CY143" i="3"/>
  <c r="CZ143" i="3"/>
  <c r="DA143" i="3"/>
  <c r="DB143" i="3"/>
  <c r="DC143" i="3"/>
  <c r="A144" i="3"/>
  <c r="Y144" i="3"/>
  <c r="CY144" i="3"/>
  <c r="CZ144" i="3"/>
  <c r="DA144" i="3"/>
  <c r="DB144" i="3"/>
  <c r="DC144" i="3"/>
  <c r="A145" i="3"/>
  <c r="Y145" i="3"/>
  <c r="CY145" i="3"/>
  <c r="CZ145" i="3"/>
  <c r="DB145" i="3" s="1"/>
  <c r="DA145" i="3"/>
  <c r="DC145" i="3"/>
  <c r="A146" i="3"/>
  <c r="Y146" i="3"/>
  <c r="CY146" i="3"/>
  <c r="CZ146" i="3"/>
  <c r="DB146" i="3" s="1"/>
  <c r="DA146" i="3"/>
  <c r="DC146" i="3"/>
  <c r="A147" i="3"/>
  <c r="Y147" i="3"/>
  <c r="CY147" i="3"/>
  <c r="CZ147" i="3"/>
  <c r="DA147" i="3"/>
  <c r="DB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A149" i="3"/>
  <c r="DB149" i="3"/>
  <c r="DC149" i="3"/>
  <c r="A150" i="3"/>
  <c r="Y150" i="3"/>
  <c r="CY150" i="3"/>
  <c r="CZ150" i="3"/>
  <c r="DA150" i="3"/>
  <c r="DB150" i="3"/>
  <c r="DC150" i="3"/>
  <c r="A151" i="3"/>
  <c r="Y151" i="3"/>
  <c r="CY151" i="3"/>
  <c r="CZ151" i="3"/>
  <c r="DB151" i="3" s="1"/>
  <c r="DA151" i="3"/>
  <c r="DC151" i="3"/>
  <c r="A152" i="3"/>
  <c r="Y152" i="3"/>
  <c r="CY152" i="3"/>
  <c r="CZ152" i="3"/>
  <c r="DB152" i="3" s="1"/>
  <c r="DA152" i="3"/>
  <c r="DC152" i="3"/>
  <c r="A153" i="3"/>
  <c r="Y153" i="3"/>
  <c r="CY153" i="3"/>
  <c r="CZ153" i="3"/>
  <c r="DA153" i="3"/>
  <c r="DB153" i="3"/>
  <c r="DC153" i="3"/>
  <c r="A154" i="3"/>
  <c r="Y154" i="3"/>
  <c r="CY154" i="3"/>
  <c r="CZ154" i="3"/>
  <c r="DA154" i="3"/>
  <c r="DB154" i="3"/>
  <c r="DC154" i="3"/>
  <c r="A155" i="3"/>
  <c r="Y155" i="3"/>
  <c r="CY155" i="3"/>
  <c r="CZ155" i="3"/>
  <c r="DA155" i="3"/>
  <c r="DB155" i="3"/>
  <c r="DC155" i="3"/>
  <c r="A156" i="3"/>
  <c r="Y156" i="3"/>
  <c r="CY156" i="3"/>
  <c r="CZ156" i="3"/>
  <c r="DA156" i="3"/>
  <c r="DB156" i="3"/>
  <c r="DC156" i="3"/>
  <c r="A157" i="3"/>
  <c r="Y157" i="3"/>
  <c r="CY157" i="3"/>
  <c r="CZ157" i="3"/>
  <c r="DB157" i="3" s="1"/>
  <c r="DA157" i="3"/>
  <c r="DC157" i="3"/>
  <c r="A158" i="3"/>
  <c r="Y158" i="3"/>
  <c r="CY158" i="3"/>
  <c r="CZ158" i="3"/>
  <c r="DB158" i="3" s="1"/>
  <c r="DA158" i="3"/>
  <c r="DC158" i="3"/>
  <c r="A159" i="3"/>
  <c r="Y159" i="3"/>
  <c r="CY159" i="3"/>
  <c r="CZ159" i="3"/>
  <c r="DA159" i="3"/>
  <c r="DB159" i="3"/>
  <c r="DC159" i="3"/>
  <c r="A160" i="3"/>
  <c r="Y160" i="3"/>
  <c r="CY160" i="3"/>
  <c r="CZ160" i="3"/>
  <c r="DA160" i="3"/>
  <c r="DB160" i="3"/>
  <c r="DC160" i="3"/>
  <c r="A161" i="3"/>
  <c r="Y161" i="3"/>
  <c r="CY161" i="3"/>
  <c r="CZ161" i="3"/>
  <c r="DA161" i="3"/>
  <c r="DB161" i="3"/>
  <c r="DC161" i="3"/>
  <c r="A162" i="3"/>
  <c r="Y162" i="3"/>
  <c r="CY162" i="3"/>
  <c r="CZ162" i="3"/>
  <c r="DA162" i="3"/>
  <c r="DB162" i="3"/>
  <c r="DC162" i="3"/>
  <c r="A163" i="3"/>
  <c r="Y163" i="3"/>
  <c r="CY163" i="3"/>
  <c r="CZ163" i="3"/>
  <c r="DB163" i="3" s="1"/>
  <c r="DA163" i="3"/>
  <c r="DC163" i="3"/>
  <c r="A164" i="3"/>
  <c r="Y164" i="3"/>
  <c r="CY164" i="3"/>
  <c r="CZ164" i="3"/>
  <c r="DB164" i="3" s="1"/>
  <c r="DA164" i="3"/>
  <c r="DC164" i="3"/>
  <c r="A165" i="3"/>
  <c r="Y165" i="3"/>
  <c r="CY165" i="3"/>
  <c r="CZ165" i="3"/>
  <c r="DA165" i="3"/>
  <c r="DB165" i="3"/>
  <c r="DC165" i="3"/>
  <c r="A166" i="3"/>
  <c r="Y166" i="3"/>
  <c r="CY166" i="3"/>
  <c r="CZ166" i="3"/>
  <c r="DA166" i="3"/>
  <c r="DB166" i="3"/>
  <c r="DC166" i="3"/>
  <c r="A167" i="3"/>
  <c r="Y167" i="3"/>
  <c r="CV167" i="3" s="1"/>
  <c r="CU167" i="3"/>
  <c r="CX167" i="3"/>
  <c r="CY167" i="3"/>
  <c r="CZ167" i="3"/>
  <c r="DA167" i="3"/>
  <c r="DB167" i="3"/>
  <c r="DC167" i="3"/>
  <c r="DH167" i="3"/>
  <c r="A168" i="3"/>
  <c r="Y168" i="3"/>
  <c r="CX168" i="3" s="1"/>
  <c r="CY168" i="3"/>
  <c r="CZ168" i="3"/>
  <c r="DA168" i="3"/>
  <c r="DB168" i="3"/>
  <c r="DC168" i="3"/>
  <c r="DG168" i="3"/>
  <c r="A169" i="3"/>
  <c r="Y169" i="3"/>
  <c r="CV169" i="3" s="1"/>
  <c r="CU169" i="3"/>
  <c r="CX169" i="3"/>
  <c r="DH169" i="3" s="1"/>
  <c r="CY169" i="3"/>
  <c r="CZ169" i="3"/>
  <c r="DA169" i="3"/>
  <c r="DB169" i="3"/>
  <c r="DC169" i="3"/>
  <c r="A170" i="3"/>
  <c r="Y170" i="3"/>
  <c r="CX170" i="3" s="1"/>
  <c r="DG170" i="3" s="1"/>
  <c r="CY170" i="3"/>
  <c r="CZ170" i="3"/>
  <c r="DA170" i="3"/>
  <c r="DB170" i="3"/>
  <c r="DC170" i="3"/>
  <c r="A171" i="3"/>
  <c r="Y171" i="3"/>
  <c r="CV171" i="3" s="1"/>
  <c r="CU171" i="3"/>
  <c r="CX171" i="3"/>
  <c r="CY171" i="3"/>
  <c r="CZ171" i="3"/>
  <c r="DA171" i="3"/>
  <c r="DB171" i="3"/>
  <c r="DC171" i="3"/>
  <c r="DH171" i="3"/>
  <c r="A172" i="3"/>
  <c r="Y172" i="3"/>
  <c r="CX172" i="3" s="1"/>
  <c r="CY172" i="3"/>
  <c r="CZ172" i="3"/>
  <c r="DA172" i="3"/>
  <c r="DB172" i="3"/>
  <c r="DC172" i="3"/>
  <c r="DG172" i="3"/>
  <c r="A173" i="3"/>
  <c r="Y173" i="3"/>
  <c r="CV173" i="3" s="1"/>
  <c r="CU173" i="3"/>
  <c r="CX173" i="3"/>
  <c r="DH173" i="3" s="1"/>
  <c r="CY173" i="3"/>
  <c r="CZ173" i="3"/>
  <c r="DA173" i="3"/>
  <c r="DB173" i="3"/>
  <c r="DC173" i="3"/>
  <c r="A174" i="3"/>
  <c r="Y174" i="3"/>
  <c r="CX174" i="3" s="1"/>
  <c r="DG174" i="3" s="1"/>
  <c r="CY174" i="3"/>
  <c r="CZ174" i="3"/>
  <c r="DA174" i="3"/>
  <c r="DB174" i="3"/>
  <c r="DC174" i="3"/>
  <c r="A175" i="3"/>
  <c r="Y175" i="3"/>
  <c r="CY175" i="3"/>
  <c r="CZ175" i="3"/>
  <c r="DA175" i="3"/>
  <c r="DB175" i="3"/>
  <c r="DC175" i="3"/>
  <c r="A176" i="3"/>
  <c r="Y176" i="3"/>
  <c r="CY176" i="3"/>
  <c r="CZ176" i="3"/>
  <c r="DB176" i="3" s="1"/>
  <c r="DA176" i="3"/>
  <c r="DC176" i="3"/>
  <c r="A177" i="3"/>
  <c r="Y177" i="3"/>
  <c r="CU177" i="3"/>
  <c r="CV177" i="3"/>
  <c r="CX177" i="3"/>
  <c r="DI177" i="3" s="1"/>
  <c r="CY177" i="3"/>
  <c r="CZ177" i="3"/>
  <c r="DB177" i="3" s="1"/>
  <c r="DA177" i="3"/>
  <c r="DC177" i="3"/>
  <c r="DF177" i="3"/>
  <c r="DG177" i="3"/>
  <c r="DH177" i="3"/>
  <c r="DJ177" i="3"/>
  <c r="A178" i="3"/>
  <c r="Y178" i="3"/>
  <c r="CX178" i="3" s="1"/>
  <c r="CY178" i="3"/>
  <c r="CZ178" i="3"/>
  <c r="DB178" i="3" s="1"/>
  <c r="DA178" i="3"/>
  <c r="DC178" i="3"/>
  <c r="DI178" i="3"/>
  <c r="A179" i="3"/>
  <c r="Y179" i="3"/>
  <c r="CX179" i="3"/>
  <c r="CY179" i="3"/>
  <c r="CZ179" i="3"/>
  <c r="DA179" i="3"/>
  <c r="DB179" i="3"/>
  <c r="DC179" i="3"/>
  <c r="DH179" i="3"/>
  <c r="A180" i="3"/>
  <c r="Y180" i="3"/>
  <c r="CX180" i="3" s="1"/>
  <c r="CY180" i="3"/>
  <c r="CZ180" i="3"/>
  <c r="DA180" i="3"/>
  <c r="DB180" i="3"/>
  <c r="DC180" i="3"/>
  <c r="DG180" i="3"/>
  <c r="A181" i="3"/>
  <c r="Y181" i="3"/>
  <c r="CX181" i="3" s="1"/>
  <c r="CY181" i="3"/>
  <c r="CZ181" i="3"/>
  <c r="DB181" i="3" s="1"/>
  <c r="DA181" i="3"/>
  <c r="DC181" i="3"/>
  <c r="DF181" i="3"/>
  <c r="DJ181" i="3"/>
  <c r="A182" i="3"/>
  <c r="Y182" i="3"/>
  <c r="CX182" i="3" s="1"/>
  <c r="CY182" i="3"/>
  <c r="CZ182" i="3"/>
  <c r="DB182" i="3" s="1"/>
  <c r="DA182" i="3"/>
  <c r="DC182" i="3"/>
  <c r="DF182" i="3"/>
  <c r="DI182" i="3"/>
  <c r="DJ182" i="3"/>
  <c r="A183" i="3"/>
  <c r="Y183" i="3"/>
  <c r="CX183" i="3"/>
  <c r="DH183" i="3" s="1"/>
  <c r="CY183" i="3"/>
  <c r="CZ183" i="3"/>
  <c r="DA183" i="3"/>
  <c r="DB183" i="3"/>
  <c r="DC183" i="3"/>
  <c r="A184" i="3"/>
  <c r="Y184" i="3"/>
  <c r="CX184" i="3"/>
  <c r="DG184" i="3" s="1"/>
  <c r="CY184" i="3"/>
  <c r="CZ184" i="3"/>
  <c r="DB184" i="3" s="1"/>
  <c r="DA184" i="3"/>
  <c r="DC184" i="3"/>
  <c r="DF184" i="3"/>
  <c r="DH184" i="3"/>
  <c r="DI184" i="3"/>
  <c r="DJ184" i="3"/>
  <c r="A185" i="3"/>
  <c r="Y185" i="3"/>
  <c r="CX185" i="3"/>
  <c r="DI185" i="3" s="1"/>
  <c r="CY185" i="3"/>
  <c r="CZ185" i="3"/>
  <c r="DA185" i="3"/>
  <c r="DB185" i="3"/>
  <c r="DC185" i="3"/>
  <c r="DH185" i="3"/>
  <c r="A186" i="3"/>
  <c r="Y186" i="3"/>
  <c r="CX186" i="3" s="1"/>
  <c r="CY186" i="3"/>
  <c r="CZ186" i="3"/>
  <c r="DA186" i="3"/>
  <c r="DB186" i="3"/>
  <c r="DC186" i="3"/>
  <c r="A187" i="3"/>
  <c r="Y187" i="3"/>
  <c r="CX187" i="3" s="1"/>
  <c r="CY187" i="3"/>
  <c r="CZ187" i="3"/>
  <c r="DB187" i="3" s="1"/>
  <c r="DA187" i="3"/>
  <c r="DC187" i="3"/>
  <c r="A188" i="3"/>
  <c r="Y188" i="3"/>
  <c r="CX188" i="3"/>
  <c r="DG188" i="3" s="1"/>
  <c r="CY188" i="3"/>
  <c r="CZ188" i="3"/>
  <c r="DB188" i="3" s="1"/>
  <c r="DA188" i="3"/>
  <c r="DC188" i="3"/>
  <c r="DF188" i="3"/>
  <c r="DH188" i="3"/>
  <c r="DI188" i="3"/>
  <c r="DJ188" i="3"/>
  <c r="A189" i="3"/>
  <c r="Y189" i="3"/>
  <c r="CX189" i="3"/>
  <c r="DI189" i="3" s="1"/>
  <c r="CY189" i="3"/>
  <c r="CZ189" i="3"/>
  <c r="DA189" i="3"/>
  <c r="DB189" i="3"/>
  <c r="DC189" i="3"/>
  <c r="DH189" i="3"/>
  <c r="A190" i="3"/>
  <c r="Y190" i="3"/>
  <c r="CX190" i="3" s="1"/>
  <c r="CY190" i="3"/>
  <c r="CZ190" i="3"/>
  <c r="DA190" i="3"/>
  <c r="DB190" i="3"/>
  <c r="DC190" i="3"/>
  <c r="A191" i="3"/>
  <c r="Y191" i="3"/>
  <c r="CX191" i="3" s="1"/>
  <c r="CY191" i="3"/>
  <c r="CZ191" i="3"/>
  <c r="DB191" i="3" s="1"/>
  <c r="DA191" i="3"/>
  <c r="DC191" i="3"/>
  <c r="A192" i="3"/>
  <c r="Y192" i="3"/>
  <c r="CX192" i="3"/>
  <c r="DG192" i="3" s="1"/>
  <c r="CY192" i="3"/>
  <c r="CZ192" i="3"/>
  <c r="DB192" i="3" s="1"/>
  <c r="DA192" i="3"/>
  <c r="DC192" i="3"/>
  <c r="DF192" i="3"/>
  <c r="DH192" i="3"/>
  <c r="DI192" i="3"/>
  <c r="DJ192" i="3"/>
  <c r="A193" i="3"/>
  <c r="Y193" i="3"/>
  <c r="CX193" i="3" s="1"/>
  <c r="CU193" i="3"/>
  <c r="CV193" i="3"/>
  <c r="CY193" i="3"/>
  <c r="CZ193" i="3"/>
  <c r="DB193" i="3" s="1"/>
  <c r="DA193" i="3"/>
  <c r="DC193" i="3"/>
  <c r="A194" i="3"/>
  <c r="Y194" i="3"/>
  <c r="CX194" i="3"/>
  <c r="DG194" i="3" s="1"/>
  <c r="CY194" i="3"/>
  <c r="CZ194" i="3"/>
  <c r="DB194" i="3" s="1"/>
  <c r="DA194" i="3"/>
  <c r="DC194" i="3"/>
  <c r="DF194" i="3"/>
  <c r="DH194" i="3"/>
  <c r="DI194" i="3"/>
  <c r="DJ194" i="3"/>
  <c r="A195" i="3"/>
  <c r="Y195" i="3"/>
  <c r="CX195" i="3"/>
  <c r="DI195" i="3" s="1"/>
  <c r="CY195" i="3"/>
  <c r="CZ195" i="3"/>
  <c r="DA195" i="3"/>
  <c r="DB195" i="3"/>
  <c r="DC195" i="3"/>
  <c r="DH195" i="3"/>
  <c r="A196" i="3"/>
  <c r="Y196" i="3"/>
  <c r="CX196" i="3" s="1"/>
  <c r="CY196" i="3"/>
  <c r="CZ196" i="3"/>
  <c r="DA196" i="3"/>
  <c r="DB196" i="3"/>
  <c r="DC196" i="3"/>
  <c r="A197" i="3"/>
  <c r="Y197" i="3"/>
  <c r="CX197" i="3" s="1"/>
  <c r="CY197" i="3"/>
  <c r="CZ197" i="3"/>
  <c r="DB197" i="3" s="1"/>
  <c r="DA197" i="3"/>
  <c r="DC197" i="3"/>
  <c r="A198" i="3"/>
  <c r="Y198" i="3"/>
  <c r="CX198" i="3"/>
  <c r="DG198" i="3" s="1"/>
  <c r="CY198" i="3"/>
  <c r="CZ198" i="3"/>
  <c r="DB198" i="3" s="1"/>
  <c r="DA198" i="3"/>
  <c r="DC198" i="3"/>
  <c r="DF198" i="3"/>
  <c r="DH198" i="3"/>
  <c r="DI198" i="3"/>
  <c r="DJ198" i="3"/>
  <c r="A199" i="3"/>
  <c r="Y199" i="3"/>
  <c r="CX199" i="3"/>
  <c r="DI199" i="3" s="1"/>
  <c r="CY199" i="3"/>
  <c r="CZ199" i="3"/>
  <c r="DA199" i="3"/>
  <c r="DB199" i="3"/>
  <c r="DC199" i="3"/>
  <c r="DH199" i="3"/>
  <c r="A200" i="3"/>
  <c r="Y200" i="3"/>
  <c r="CX200" i="3" s="1"/>
  <c r="CY200" i="3"/>
  <c r="CZ200" i="3"/>
  <c r="DA200" i="3"/>
  <c r="DB200" i="3"/>
  <c r="DC200" i="3"/>
  <c r="A201" i="3"/>
  <c r="Y201" i="3"/>
  <c r="CX201" i="3" s="1"/>
  <c r="CY201" i="3"/>
  <c r="CZ201" i="3"/>
  <c r="DB201" i="3" s="1"/>
  <c r="DA201" i="3"/>
  <c r="DC201" i="3"/>
  <c r="A202" i="3"/>
  <c r="Y202" i="3"/>
  <c r="CX202" i="3"/>
  <c r="DG202" i="3" s="1"/>
  <c r="CY202" i="3"/>
  <c r="CZ202" i="3"/>
  <c r="DB202" i="3" s="1"/>
  <c r="DA202" i="3"/>
  <c r="DC202" i="3"/>
  <c r="DF202" i="3"/>
  <c r="DH202" i="3"/>
  <c r="DI202" i="3"/>
  <c r="DJ202" i="3"/>
  <c r="A203" i="3"/>
  <c r="Y203" i="3"/>
  <c r="CX203" i="3"/>
  <c r="DI203" i="3" s="1"/>
  <c r="CY203" i="3"/>
  <c r="CZ203" i="3"/>
  <c r="DA203" i="3"/>
  <c r="DB203" i="3"/>
  <c r="DC203" i="3"/>
  <c r="DH203" i="3"/>
  <c r="A204" i="3"/>
  <c r="Y204" i="3"/>
  <c r="CX204" i="3" s="1"/>
  <c r="CY204" i="3"/>
  <c r="CZ204" i="3"/>
  <c r="DA204" i="3"/>
  <c r="DB204" i="3"/>
  <c r="DC204" i="3"/>
  <c r="A205" i="3"/>
  <c r="Y205" i="3"/>
  <c r="CX205" i="3" s="1"/>
  <c r="CY205" i="3"/>
  <c r="CZ205" i="3"/>
  <c r="DB205" i="3" s="1"/>
  <c r="DA205" i="3"/>
  <c r="DC205" i="3"/>
  <c r="A206" i="3"/>
  <c r="Y206" i="3"/>
  <c r="CX206" i="3"/>
  <c r="DG206" i="3" s="1"/>
  <c r="CY206" i="3"/>
  <c r="CZ206" i="3"/>
  <c r="DB206" i="3" s="1"/>
  <c r="DA206" i="3"/>
  <c r="DC206" i="3"/>
  <c r="DF206" i="3"/>
  <c r="DH206" i="3"/>
  <c r="DI206" i="3"/>
  <c r="DJ206" i="3"/>
  <c r="A207" i="3"/>
  <c r="Y207" i="3"/>
  <c r="CX207" i="3"/>
  <c r="DI207" i="3" s="1"/>
  <c r="CY207" i="3"/>
  <c r="CZ207" i="3"/>
  <c r="DA207" i="3"/>
  <c r="DB207" i="3"/>
  <c r="DC207" i="3"/>
  <c r="DH207" i="3"/>
  <c r="A208" i="3"/>
  <c r="Y208" i="3"/>
  <c r="CX208" i="3" s="1"/>
  <c r="CY208" i="3"/>
  <c r="CZ208" i="3"/>
  <c r="DA208" i="3"/>
  <c r="DB208" i="3"/>
  <c r="DC208" i="3"/>
  <c r="A209" i="3"/>
  <c r="Y209" i="3"/>
  <c r="CV209" i="3" s="1"/>
  <c r="CU209" i="3"/>
  <c r="CX209" i="3"/>
  <c r="DI209" i="3" s="1"/>
  <c r="DJ209" i="3" s="1"/>
  <c r="CY209" i="3"/>
  <c r="CZ209" i="3"/>
  <c r="DA209" i="3"/>
  <c r="DB209" i="3"/>
  <c r="DC209" i="3"/>
  <c r="DH209" i="3"/>
  <c r="A210" i="3"/>
  <c r="Y210" i="3"/>
  <c r="CX210" i="3" s="1"/>
  <c r="CY210" i="3"/>
  <c r="CZ210" i="3"/>
  <c r="DA210" i="3"/>
  <c r="DB210" i="3"/>
  <c r="DC210" i="3"/>
  <c r="A211" i="3"/>
  <c r="Y211" i="3"/>
  <c r="CX211" i="3" s="1"/>
  <c r="CY211" i="3"/>
  <c r="CZ211" i="3"/>
  <c r="DB211" i="3" s="1"/>
  <c r="DA211" i="3"/>
  <c r="DC211" i="3"/>
  <c r="A212" i="3"/>
  <c r="Y212" i="3"/>
  <c r="CX212" i="3"/>
  <c r="DG212" i="3" s="1"/>
  <c r="CY212" i="3"/>
  <c r="CZ212" i="3"/>
  <c r="DB212" i="3" s="1"/>
  <c r="DA212" i="3"/>
  <c r="DC212" i="3"/>
  <c r="DF212" i="3"/>
  <c r="DH212" i="3"/>
  <c r="DI212" i="3"/>
  <c r="DJ212" i="3"/>
  <c r="A213" i="3"/>
  <c r="Y213" i="3"/>
  <c r="CX213" i="3"/>
  <c r="DI213" i="3" s="1"/>
  <c r="CY213" i="3"/>
  <c r="CZ213" i="3"/>
  <c r="DA213" i="3"/>
  <c r="DB213" i="3"/>
  <c r="DC213" i="3"/>
  <c r="DH213" i="3"/>
  <c r="A214" i="3"/>
  <c r="Y214" i="3"/>
  <c r="CX214" i="3" s="1"/>
  <c r="CY214" i="3"/>
  <c r="CZ214" i="3"/>
  <c r="DA214" i="3"/>
  <c r="DB214" i="3"/>
  <c r="DC214" i="3"/>
  <c r="A215" i="3"/>
  <c r="Y215" i="3"/>
  <c r="CX215" i="3" s="1"/>
  <c r="CY215" i="3"/>
  <c r="CZ215" i="3"/>
  <c r="DB215" i="3" s="1"/>
  <c r="DA215" i="3"/>
  <c r="DC215" i="3"/>
  <c r="A216" i="3"/>
  <c r="Y216" i="3"/>
  <c r="CX216" i="3"/>
  <c r="DG216" i="3" s="1"/>
  <c r="CY216" i="3"/>
  <c r="CZ216" i="3"/>
  <c r="DB216" i="3" s="1"/>
  <c r="DA216" i="3"/>
  <c r="DC216" i="3"/>
  <c r="DF216" i="3"/>
  <c r="DH216" i="3"/>
  <c r="DI216" i="3"/>
  <c r="DJ216" i="3"/>
  <c r="A217" i="3"/>
  <c r="Y217" i="3"/>
  <c r="CX217" i="3"/>
  <c r="DI217" i="3" s="1"/>
  <c r="CY217" i="3"/>
  <c r="CZ217" i="3"/>
  <c r="DA217" i="3"/>
  <c r="DB217" i="3"/>
  <c r="DC217" i="3"/>
  <c r="DH217" i="3"/>
  <c r="A218" i="3"/>
  <c r="Y218" i="3"/>
  <c r="CX218" i="3" s="1"/>
  <c r="CY218" i="3"/>
  <c r="CZ218" i="3"/>
  <c r="DA218" i="3"/>
  <c r="DB218" i="3"/>
  <c r="DC218" i="3"/>
  <c r="A219" i="3"/>
  <c r="Y219" i="3"/>
  <c r="CX219" i="3" s="1"/>
  <c r="CY219" i="3"/>
  <c r="CZ219" i="3"/>
  <c r="DB219" i="3" s="1"/>
  <c r="DA219" i="3"/>
  <c r="DC219" i="3"/>
  <c r="A220" i="3"/>
  <c r="Y220" i="3"/>
  <c r="CX220" i="3"/>
  <c r="DG220" i="3" s="1"/>
  <c r="CY220" i="3"/>
  <c r="CZ220" i="3"/>
  <c r="DB220" i="3" s="1"/>
  <c r="DA220" i="3"/>
  <c r="DC220" i="3"/>
  <c r="DF220" i="3"/>
  <c r="DH220" i="3"/>
  <c r="DI220" i="3"/>
  <c r="DJ220" i="3"/>
  <c r="A221" i="3"/>
  <c r="Y221" i="3"/>
  <c r="CX221" i="3"/>
  <c r="DI221" i="3" s="1"/>
  <c r="CY221" i="3"/>
  <c r="CZ221" i="3"/>
  <c r="DA221" i="3"/>
  <c r="DB221" i="3"/>
  <c r="DC221" i="3"/>
  <c r="DH221" i="3"/>
  <c r="A222" i="3"/>
  <c r="Y222" i="3"/>
  <c r="CX222" i="3" s="1"/>
  <c r="CY222" i="3"/>
  <c r="CZ222" i="3"/>
  <c r="DA222" i="3"/>
  <c r="DB222" i="3"/>
  <c r="DC222" i="3"/>
  <c r="A223" i="3"/>
  <c r="Y223" i="3"/>
  <c r="CX223" i="3" s="1"/>
  <c r="CY223" i="3"/>
  <c r="CZ223" i="3"/>
  <c r="DB223" i="3" s="1"/>
  <c r="DA223" i="3"/>
  <c r="DC223" i="3"/>
  <c r="A224" i="3"/>
  <c r="Y224" i="3"/>
  <c r="CX224" i="3"/>
  <c r="DG224" i="3" s="1"/>
  <c r="CY224" i="3"/>
  <c r="CZ224" i="3"/>
  <c r="DB224" i="3" s="1"/>
  <c r="DA224" i="3"/>
  <c r="DC224" i="3"/>
  <c r="DF224" i="3"/>
  <c r="DH224" i="3"/>
  <c r="DI224" i="3"/>
  <c r="DJ224" i="3"/>
  <c r="A225" i="3"/>
  <c r="Y225" i="3"/>
  <c r="CX225" i="3" s="1"/>
  <c r="CU225" i="3"/>
  <c r="CV225" i="3"/>
  <c r="CY225" i="3"/>
  <c r="CZ225" i="3"/>
  <c r="DB225" i="3" s="1"/>
  <c r="DA225" i="3"/>
  <c r="DC225" i="3"/>
  <c r="A226" i="3"/>
  <c r="Y226" i="3"/>
  <c r="CX226" i="3"/>
  <c r="DG226" i="3" s="1"/>
  <c r="CY226" i="3"/>
  <c r="CZ226" i="3"/>
  <c r="DB226" i="3" s="1"/>
  <c r="DA226" i="3"/>
  <c r="DC226" i="3"/>
  <c r="DF226" i="3"/>
  <c r="DH226" i="3"/>
  <c r="DI226" i="3"/>
  <c r="DJ226" i="3"/>
  <c r="A227" i="3"/>
  <c r="Y227" i="3"/>
  <c r="CX227" i="3"/>
  <c r="DI227" i="3" s="1"/>
  <c r="CY227" i="3"/>
  <c r="CZ227" i="3"/>
  <c r="DA227" i="3"/>
  <c r="DB227" i="3"/>
  <c r="DC227" i="3"/>
  <c r="DH227" i="3"/>
  <c r="A228" i="3"/>
  <c r="Y228" i="3"/>
  <c r="CX228" i="3" s="1"/>
  <c r="CY228" i="3"/>
  <c r="CZ228" i="3"/>
  <c r="DA228" i="3"/>
  <c r="DB228" i="3"/>
  <c r="DC228" i="3"/>
  <c r="A229" i="3"/>
  <c r="Y229" i="3"/>
  <c r="CX229" i="3" s="1"/>
  <c r="CY229" i="3"/>
  <c r="CZ229" i="3"/>
  <c r="DB229" i="3" s="1"/>
  <c r="DA229" i="3"/>
  <c r="DC229" i="3"/>
  <c r="A230" i="3"/>
  <c r="Y230" i="3"/>
  <c r="CX230" i="3"/>
  <c r="DG230" i="3" s="1"/>
  <c r="CY230" i="3"/>
  <c r="CZ230" i="3"/>
  <c r="DB230" i="3" s="1"/>
  <c r="DA230" i="3"/>
  <c r="DC230" i="3"/>
  <c r="DF230" i="3"/>
  <c r="DH230" i="3"/>
  <c r="DI230" i="3"/>
  <c r="DJ230" i="3"/>
  <c r="A231" i="3"/>
  <c r="Y231" i="3"/>
  <c r="CX231" i="3"/>
  <c r="DI231" i="3" s="1"/>
  <c r="CY231" i="3"/>
  <c r="CZ231" i="3"/>
  <c r="DA231" i="3"/>
  <c r="DB231" i="3"/>
  <c r="DC231" i="3"/>
  <c r="DH231" i="3"/>
  <c r="A232" i="3"/>
  <c r="Y232" i="3"/>
  <c r="CX232" i="3" s="1"/>
  <c r="CY232" i="3"/>
  <c r="CZ232" i="3"/>
  <c r="DA232" i="3"/>
  <c r="DB232" i="3"/>
  <c r="DC232" i="3"/>
  <c r="A233" i="3"/>
  <c r="Y233" i="3"/>
  <c r="CX233" i="3" s="1"/>
  <c r="CY233" i="3"/>
  <c r="CZ233" i="3"/>
  <c r="DB233" i="3" s="1"/>
  <c r="DA233" i="3"/>
  <c r="DC233" i="3"/>
  <c r="A234" i="3"/>
  <c r="Y234" i="3"/>
  <c r="CX234" i="3"/>
  <c r="DG234" i="3" s="1"/>
  <c r="CY234" i="3"/>
  <c r="CZ234" i="3"/>
  <c r="DB234" i="3" s="1"/>
  <c r="DA234" i="3"/>
  <c r="DC234" i="3"/>
  <c r="DF234" i="3"/>
  <c r="DH234" i="3"/>
  <c r="DI234" i="3"/>
  <c r="DJ234" i="3"/>
  <c r="A235" i="3"/>
  <c r="Y235" i="3"/>
  <c r="CX235" i="3"/>
  <c r="DI235" i="3" s="1"/>
  <c r="CY235" i="3"/>
  <c r="CZ235" i="3"/>
  <c r="DA235" i="3"/>
  <c r="DB235" i="3"/>
  <c r="DC235" i="3"/>
  <c r="DH235" i="3"/>
  <c r="A236" i="3"/>
  <c r="Y236" i="3"/>
  <c r="CX236" i="3" s="1"/>
  <c r="CY236" i="3"/>
  <c r="CZ236" i="3"/>
  <c r="DA236" i="3"/>
  <c r="DB236" i="3"/>
  <c r="DC236" i="3"/>
  <c r="A237" i="3"/>
  <c r="Y237" i="3"/>
  <c r="CX237" i="3" s="1"/>
  <c r="CY237" i="3"/>
  <c r="CZ237" i="3"/>
  <c r="DB237" i="3" s="1"/>
  <c r="DA237" i="3"/>
  <c r="DC237" i="3"/>
  <c r="A238" i="3"/>
  <c r="Y238" i="3"/>
  <c r="CX238" i="3"/>
  <c r="DG238" i="3" s="1"/>
  <c r="CY238" i="3"/>
  <c r="CZ238" i="3"/>
  <c r="DB238" i="3" s="1"/>
  <c r="DA238" i="3"/>
  <c r="DC238" i="3"/>
  <c r="DF238" i="3"/>
  <c r="DH238" i="3"/>
  <c r="DI238" i="3"/>
  <c r="DJ238" i="3"/>
  <c r="A239" i="3"/>
  <c r="Y239" i="3"/>
  <c r="CX239" i="3"/>
  <c r="DI239" i="3" s="1"/>
  <c r="CY239" i="3"/>
  <c r="CZ239" i="3"/>
  <c r="DA239" i="3"/>
  <c r="DB239" i="3"/>
  <c r="DC239" i="3"/>
  <c r="DH239" i="3"/>
  <c r="A240" i="3"/>
  <c r="Y240" i="3"/>
  <c r="CX240" i="3" s="1"/>
  <c r="CY240" i="3"/>
  <c r="CZ240" i="3"/>
  <c r="DA240" i="3"/>
  <c r="DB240" i="3"/>
  <c r="DC240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S28" i="1"/>
  <c r="X28" i="1" s="1"/>
  <c r="AC28" i="1"/>
  <c r="P28" i="1" s="1"/>
  <c r="AD28" i="1"/>
  <c r="AE28" i="1"/>
  <c r="Q28" i="1" s="1"/>
  <c r="AF28" i="1"/>
  <c r="AG28" i="1"/>
  <c r="CU28" i="1" s="1"/>
  <c r="T28" i="1" s="1"/>
  <c r="AH28" i="1"/>
  <c r="CV28" i="1" s="1"/>
  <c r="U28" i="1" s="1"/>
  <c r="AI28" i="1"/>
  <c r="CW28" i="1" s="1"/>
  <c r="V28" i="1" s="1"/>
  <c r="AJ28" i="1"/>
  <c r="CR28" i="1"/>
  <c r="CT28" i="1"/>
  <c r="CX28" i="1"/>
  <c r="W28" i="1" s="1"/>
  <c r="GL28" i="1"/>
  <c r="GN28" i="1"/>
  <c r="GP28" i="1"/>
  <c r="GV28" i="1"/>
  <c r="HC28" i="1" s="1"/>
  <c r="GX28" i="1" s="1"/>
  <c r="CJ51" i="1" s="1"/>
  <c r="C29" i="1"/>
  <c r="D29" i="1"/>
  <c r="R29" i="1"/>
  <c r="AC29" i="1"/>
  <c r="P29" i="1" s="1"/>
  <c r="AE29" i="1"/>
  <c r="AD29" i="1" s="1"/>
  <c r="AB29" i="1" s="1"/>
  <c r="AF29" i="1"/>
  <c r="S29" i="1" s="1"/>
  <c r="AG29" i="1"/>
  <c r="CU29" i="1" s="1"/>
  <c r="T29" i="1" s="1"/>
  <c r="AH29" i="1"/>
  <c r="AI29" i="1"/>
  <c r="AJ29" i="1"/>
  <c r="CX29" i="1" s="1"/>
  <c r="W29" i="1" s="1"/>
  <c r="CR29" i="1"/>
  <c r="CS29" i="1"/>
  <c r="CV29" i="1"/>
  <c r="U29" i="1" s="1"/>
  <c r="CW29" i="1"/>
  <c r="V29" i="1" s="1"/>
  <c r="GL29" i="1"/>
  <c r="GN29" i="1"/>
  <c r="GP29" i="1"/>
  <c r="GV29" i="1"/>
  <c r="HC29" i="1" s="1"/>
  <c r="GX29" i="1" s="1"/>
  <c r="I30" i="1"/>
  <c r="Q30" i="1" s="1"/>
  <c r="R30" i="1"/>
  <c r="AC30" i="1"/>
  <c r="P30" i="1" s="1"/>
  <c r="AE30" i="1"/>
  <c r="AD30" i="1" s="1"/>
  <c r="AB30" i="1" s="1"/>
  <c r="AF30" i="1"/>
  <c r="S30" i="1" s="1"/>
  <c r="AG30" i="1"/>
  <c r="CU30" i="1" s="1"/>
  <c r="T30" i="1" s="1"/>
  <c r="AH30" i="1"/>
  <c r="AI30" i="1"/>
  <c r="AJ30" i="1"/>
  <c r="CX30" i="1" s="1"/>
  <c r="W30" i="1" s="1"/>
  <c r="CR30" i="1"/>
  <c r="CS30" i="1"/>
  <c r="CV30" i="1"/>
  <c r="U30" i="1" s="1"/>
  <c r="CW30" i="1"/>
  <c r="V30" i="1" s="1"/>
  <c r="GL30" i="1"/>
  <c r="GN30" i="1"/>
  <c r="GO30" i="1"/>
  <c r="GP30" i="1"/>
  <c r="GV30" i="1"/>
  <c r="HC30" i="1"/>
  <c r="GX30" i="1" s="1"/>
  <c r="I31" i="1"/>
  <c r="P31" i="1" s="1"/>
  <c r="AC31" i="1"/>
  <c r="AE31" i="1"/>
  <c r="Q31" i="1" s="1"/>
  <c r="AF31" i="1"/>
  <c r="S31" i="1" s="1"/>
  <c r="AG31" i="1"/>
  <c r="AH31" i="1"/>
  <c r="AI31" i="1"/>
  <c r="CW31" i="1" s="1"/>
  <c r="V31" i="1" s="1"/>
  <c r="AJ31" i="1"/>
  <c r="CX31" i="1" s="1"/>
  <c r="W31" i="1" s="1"/>
  <c r="CQ31" i="1"/>
  <c r="CR31" i="1"/>
  <c r="CU31" i="1"/>
  <c r="T31" i="1" s="1"/>
  <c r="CV31" i="1"/>
  <c r="U31" i="1" s="1"/>
  <c r="GL31" i="1"/>
  <c r="GN31" i="1"/>
  <c r="GO31" i="1"/>
  <c r="GP31" i="1"/>
  <c r="GV31" i="1"/>
  <c r="GX31" i="1"/>
  <c r="HC31" i="1"/>
  <c r="C32" i="1"/>
  <c r="D32" i="1"/>
  <c r="S32" i="1"/>
  <c r="X32" i="1" s="1"/>
  <c r="AC32" i="1"/>
  <c r="P32" i="1" s="1"/>
  <c r="CP32" i="1" s="1"/>
  <c r="O32" i="1" s="1"/>
  <c r="AD32" i="1"/>
  <c r="AE32" i="1"/>
  <c r="Q32" i="1" s="1"/>
  <c r="AF32" i="1"/>
  <c r="AG32" i="1"/>
  <c r="CU32" i="1" s="1"/>
  <c r="T32" i="1" s="1"/>
  <c r="AH32" i="1"/>
  <c r="CV32" i="1" s="1"/>
  <c r="U32" i="1" s="1"/>
  <c r="AI32" i="1"/>
  <c r="AJ32" i="1"/>
  <c r="CR32" i="1"/>
  <c r="CS32" i="1"/>
  <c r="CT32" i="1"/>
  <c r="CW32" i="1"/>
  <c r="V32" i="1" s="1"/>
  <c r="CX32" i="1"/>
  <c r="W32" i="1" s="1"/>
  <c r="GL32" i="1"/>
  <c r="GN32" i="1"/>
  <c r="GP32" i="1"/>
  <c r="GV32" i="1"/>
  <c r="HC32" i="1" s="1"/>
  <c r="GX32" i="1" s="1"/>
  <c r="C33" i="1"/>
  <c r="D33" i="1"/>
  <c r="R33" i="1"/>
  <c r="AC33" i="1"/>
  <c r="P33" i="1" s="1"/>
  <c r="AE33" i="1"/>
  <c r="AD33" i="1" s="1"/>
  <c r="AB33" i="1" s="1"/>
  <c r="AF33" i="1"/>
  <c r="S33" i="1" s="1"/>
  <c r="AG33" i="1"/>
  <c r="CU33" i="1" s="1"/>
  <c r="T33" i="1" s="1"/>
  <c r="AH33" i="1"/>
  <c r="AI33" i="1"/>
  <c r="AJ33" i="1"/>
  <c r="CX33" i="1" s="1"/>
  <c r="W33" i="1" s="1"/>
  <c r="CR33" i="1"/>
  <c r="CS33" i="1"/>
  <c r="CV33" i="1"/>
  <c r="U33" i="1" s="1"/>
  <c r="CW33" i="1"/>
  <c r="V33" i="1" s="1"/>
  <c r="GL33" i="1"/>
  <c r="GN33" i="1"/>
  <c r="GP33" i="1"/>
  <c r="GV33" i="1"/>
  <c r="HC33" i="1" s="1"/>
  <c r="GX33" i="1" s="1"/>
  <c r="I34" i="1"/>
  <c r="Q34" i="1" s="1"/>
  <c r="R34" i="1"/>
  <c r="AC34" i="1"/>
  <c r="P34" i="1" s="1"/>
  <c r="AE34" i="1"/>
  <c r="AD34" i="1" s="1"/>
  <c r="AB34" i="1" s="1"/>
  <c r="AF34" i="1"/>
  <c r="S34" i="1" s="1"/>
  <c r="AG34" i="1"/>
  <c r="CU34" i="1" s="1"/>
  <c r="T34" i="1" s="1"/>
  <c r="AH34" i="1"/>
  <c r="AI34" i="1"/>
  <c r="AJ34" i="1"/>
  <c r="CX34" i="1" s="1"/>
  <c r="W34" i="1" s="1"/>
  <c r="CR34" i="1"/>
  <c r="CS34" i="1"/>
  <c r="CV34" i="1"/>
  <c r="U34" i="1" s="1"/>
  <c r="CW34" i="1"/>
  <c r="V34" i="1" s="1"/>
  <c r="GL34" i="1"/>
  <c r="GN34" i="1"/>
  <c r="GO34" i="1"/>
  <c r="GP34" i="1"/>
  <c r="GV34" i="1"/>
  <c r="HC34" i="1"/>
  <c r="GX34" i="1" s="1"/>
  <c r="I35" i="1"/>
  <c r="P35" i="1" s="1"/>
  <c r="AC35" i="1"/>
  <c r="AE35" i="1"/>
  <c r="Q35" i="1" s="1"/>
  <c r="AF35" i="1"/>
  <c r="S35" i="1" s="1"/>
  <c r="AG35" i="1"/>
  <c r="AH35" i="1"/>
  <c r="AI35" i="1"/>
  <c r="CW35" i="1" s="1"/>
  <c r="V35" i="1" s="1"/>
  <c r="AJ35" i="1"/>
  <c r="CX35" i="1" s="1"/>
  <c r="W35" i="1" s="1"/>
  <c r="CQ35" i="1"/>
  <c r="CR35" i="1"/>
  <c r="CU35" i="1"/>
  <c r="T35" i="1" s="1"/>
  <c r="CV35" i="1"/>
  <c r="U35" i="1" s="1"/>
  <c r="GL35" i="1"/>
  <c r="GN35" i="1"/>
  <c r="GO35" i="1"/>
  <c r="GP35" i="1"/>
  <c r="GV35" i="1"/>
  <c r="GX35" i="1"/>
  <c r="HC35" i="1"/>
  <c r="C36" i="1"/>
  <c r="D36" i="1"/>
  <c r="R36" i="1"/>
  <c r="S36" i="1"/>
  <c r="X36" i="1" s="1"/>
  <c r="AC36" i="1"/>
  <c r="P36" i="1" s="1"/>
  <c r="CP36" i="1" s="1"/>
  <c r="O36" i="1" s="1"/>
  <c r="AD36" i="1"/>
  <c r="AE36" i="1"/>
  <c r="Q36" i="1" s="1"/>
  <c r="AF36" i="1"/>
  <c r="AG36" i="1"/>
  <c r="CU36" i="1" s="1"/>
  <c r="T36" i="1" s="1"/>
  <c r="AH36" i="1"/>
  <c r="CV36" i="1" s="1"/>
  <c r="U36" i="1" s="1"/>
  <c r="AI36" i="1"/>
  <c r="AJ36" i="1"/>
  <c r="CR36" i="1"/>
  <c r="CS36" i="1"/>
  <c r="CT36" i="1"/>
  <c r="CW36" i="1"/>
  <c r="V36" i="1" s="1"/>
  <c r="CX36" i="1"/>
  <c r="W36" i="1" s="1"/>
  <c r="GL36" i="1"/>
  <c r="GN36" i="1"/>
  <c r="GP36" i="1"/>
  <c r="GV36" i="1"/>
  <c r="HC36" i="1" s="1"/>
  <c r="GX36" i="1" s="1"/>
  <c r="C37" i="1"/>
  <c r="D37" i="1"/>
  <c r="R37" i="1"/>
  <c r="AC37" i="1"/>
  <c r="P37" i="1" s="1"/>
  <c r="AE37" i="1"/>
  <c r="AD37" i="1" s="1"/>
  <c r="AB37" i="1" s="1"/>
  <c r="AF37" i="1"/>
  <c r="S37" i="1" s="1"/>
  <c r="AG37" i="1"/>
  <c r="CU37" i="1" s="1"/>
  <c r="T37" i="1" s="1"/>
  <c r="AH37" i="1"/>
  <c r="AI37" i="1"/>
  <c r="AJ37" i="1"/>
  <c r="CX37" i="1" s="1"/>
  <c r="W37" i="1" s="1"/>
  <c r="CR37" i="1"/>
  <c r="CS37" i="1"/>
  <c r="CV37" i="1"/>
  <c r="U37" i="1" s="1"/>
  <c r="CW37" i="1"/>
  <c r="V37" i="1" s="1"/>
  <c r="GL37" i="1"/>
  <c r="GN37" i="1"/>
  <c r="GP37" i="1"/>
  <c r="GV37" i="1"/>
  <c r="HC37" i="1"/>
  <c r="GX37" i="1" s="1"/>
  <c r="I38" i="1"/>
  <c r="Q38" i="1" s="1"/>
  <c r="R38" i="1"/>
  <c r="AC38" i="1"/>
  <c r="P38" i="1" s="1"/>
  <c r="AE38" i="1"/>
  <c r="AD38" i="1" s="1"/>
  <c r="AB38" i="1" s="1"/>
  <c r="AF38" i="1"/>
  <c r="S38" i="1" s="1"/>
  <c r="AG38" i="1"/>
  <c r="CU38" i="1" s="1"/>
  <c r="T38" i="1" s="1"/>
  <c r="AH38" i="1"/>
  <c r="AI38" i="1"/>
  <c r="AJ38" i="1"/>
  <c r="CX38" i="1" s="1"/>
  <c r="W38" i="1" s="1"/>
  <c r="CR38" i="1"/>
  <c r="CS38" i="1"/>
  <c r="CV38" i="1"/>
  <c r="U38" i="1" s="1"/>
  <c r="CW38" i="1"/>
  <c r="V38" i="1" s="1"/>
  <c r="GL38" i="1"/>
  <c r="GN38" i="1"/>
  <c r="GO38" i="1"/>
  <c r="GP38" i="1"/>
  <c r="GV38" i="1"/>
  <c r="HC38" i="1"/>
  <c r="GX38" i="1" s="1"/>
  <c r="I39" i="1"/>
  <c r="P39" i="1"/>
  <c r="FR39" i="1" s="1"/>
  <c r="AC39" i="1"/>
  <c r="AE39" i="1"/>
  <c r="Q39" i="1" s="1"/>
  <c r="AF39" i="1"/>
  <c r="S39" i="1" s="1"/>
  <c r="AG39" i="1"/>
  <c r="AH39" i="1"/>
  <c r="AI39" i="1"/>
  <c r="CW39" i="1" s="1"/>
  <c r="V39" i="1" s="1"/>
  <c r="AJ39" i="1"/>
  <c r="CX39" i="1" s="1"/>
  <c r="W39" i="1" s="1"/>
  <c r="CQ39" i="1"/>
  <c r="CR39" i="1"/>
  <c r="CU39" i="1"/>
  <c r="T39" i="1" s="1"/>
  <c r="CV39" i="1"/>
  <c r="U39" i="1" s="1"/>
  <c r="GL39" i="1"/>
  <c r="GN39" i="1"/>
  <c r="GO39" i="1"/>
  <c r="GP39" i="1"/>
  <c r="GV39" i="1"/>
  <c r="HC39" i="1" s="1"/>
  <c r="GX39" i="1" s="1"/>
  <c r="C40" i="1"/>
  <c r="D40" i="1"/>
  <c r="R40" i="1"/>
  <c r="S40" i="1"/>
  <c r="X40" i="1" s="1"/>
  <c r="AC40" i="1"/>
  <c r="P40" i="1" s="1"/>
  <c r="AE40" i="1"/>
  <c r="AD40" i="1" s="1"/>
  <c r="AF40" i="1"/>
  <c r="AG40" i="1"/>
  <c r="CU40" i="1" s="1"/>
  <c r="T40" i="1" s="1"/>
  <c r="AH40" i="1"/>
  <c r="AI40" i="1"/>
  <c r="AJ40" i="1"/>
  <c r="CR40" i="1"/>
  <c r="CS40" i="1"/>
  <c r="CT40" i="1"/>
  <c r="CV40" i="1"/>
  <c r="U40" i="1" s="1"/>
  <c r="CW40" i="1"/>
  <c r="V40" i="1" s="1"/>
  <c r="CX40" i="1"/>
  <c r="W40" i="1" s="1"/>
  <c r="GL40" i="1"/>
  <c r="GN40" i="1"/>
  <c r="GP40" i="1"/>
  <c r="GV40" i="1"/>
  <c r="HC40" i="1" s="1"/>
  <c r="GX40" i="1" s="1"/>
  <c r="C41" i="1"/>
  <c r="D41" i="1"/>
  <c r="P41" i="1"/>
  <c r="R41" i="1"/>
  <c r="AC41" i="1"/>
  <c r="AE41" i="1"/>
  <c r="AD41" i="1" s="1"/>
  <c r="AB41" i="1" s="1"/>
  <c r="AF41" i="1"/>
  <c r="S41" i="1" s="1"/>
  <c r="AG41" i="1"/>
  <c r="AH41" i="1"/>
  <c r="AI41" i="1"/>
  <c r="AJ41" i="1"/>
  <c r="CX41" i="1" s="1"/>
  <c r="W41" i="1" s="1"/>
  <c r="CQ41" i="1"/>
  <c r="CR41" i="1"/>
  <c r="CS41" i="1"/>
  <c r="CU41" i="1"/>
  <c r="T41" i="1" s="1"/>
  <c r="CV41" i="1"/>
  <c r="U41" i="1" s="1"/>
  <c r="CW41" i="1"/>
  <c r="V41" i="1" s="1"/>
  <c r="GL41" i="1"/>
  <c r="GN41" i="1"/>
  <c r="GP41" i="1"/>
  <c r="GV41" i="1"/>
  <c r="HC41" i="1"/>
  <c r="GX41" i="1" s="1"/>
  <c r="I42" i="1"/>
  <c r="P42" i="1" s="1"/>
  <c r="R42" i="1"/>
  <c r="AC42" i="1"/>
  <c r="AE42" i="1"/>
  <c r="AD42" i="1" s="1"/>
  <c r="AB42" i="1" s="1"/>
  <c r="AF42" i="1"/>
  <c r="S42" i="1" s="1"/>
  <c r="AG42" i="1"/>
  <c r="AH42" i="1"/>
  <c r="AI42" i="1"/>
  <c r="AJ42" i="1"/>
  <c r="CX42" i="1" s="1"/>
  <c r="W42" i="1" s="1"/>
  <c r="CQ42" i="1"/>
  <c r="CR42" i="1"/>
  <c r="CS42" i="1"/>
  <c r="CU42" i="1"/>
  <c r="T42" i="1" s="1"/>
  <c r="CV42" i="1"/>
  <c r="U42" i="1" s="1"/>
  <c r="CW42" i="1"/>
  <c r="V42" i="1" s="1"/>
  <c r="GL42" i="1"/>
  <c r="GN42" i="1"/>
  <c r="GO42" i="1"/>
  <c r="GP42" i="1"/>
  <c r="GV42" i="1"/>
  <c r="HC42" i="1"/>
  <c r="GX42" i="1" s="1"/>
  <c r="I43" i="1"/>
  <c r="P43" i="1"/>
  <c r="FR43" i="1" s="1"/>
  <c r="S43" i="1"/>
  <c r="AC43" i="1"/>
  <c r="AE43" i="1"/>
  <c r="Q43" i="1" s="1"/>
  <c r="AF43" i="1"/>
  <c r="AG43" i="1"/>
  <c r="AH43" i="1"/>
  <c r="AI43" i="1"/>
  <c r="CW43" i="1" s="1"/>
  <c r="V43" i="1" s="1"/>
  <c r="AJ43" i="1"/>
  <c r="CQ43" i="1"/>
  <c r="CR43" i="1"/>
  <c r="CT43" i="1"/>
  <c r="CU43" i="1"/>
  <c r="T43" i="1" s="1"/>
  <c r="CV43" i="1"/>
  <c r="U43" i="1" s="1"/>
  <c r="CX43" i="1"/>
  <c r="W43" i="1" s="1"/>
  <c r="CZ43" i="1"/>
  <c r="GL43" i="1"/>
  <c r="GN43" i="1"/>
  <c r="GO43" i="1"/>
  <c r="GP43" i="1"/>
  <c r="GV43" i="1"/>
  <c r="HC43" i="1" s="1"/>
  <c r="GX43" i="1" s="1"/>
  <c r="C44" i="1"/>
  <c r="D44" i="1"/>
  <c r="I44" i="1"/>
  <c r="R44" i="1" s="1"/>
  <c r="K44" i="1"/>
  <c r="AC44" i="1"/>
  <c r="AE44" i="1"/>
  <c r="Q44" i="1" s="1"/>
  <c r="AF44" i="1"/>
  <c r="AG44" i="1"/>
  <c r="AH44" i="1"/>
  <c r="AI44" i="1"/>
  <c r="CW44" i="1" s="1"/>
  <c r="V44" i="1" s="1"/>
  <c r="AJ44" i="1"/>
  <c r="CQ44" i="1"/>
  <c r="CR44" i="1"/>
  <c r="CT44" i="1"/>
  <c r="CU44" i="1"/>
  <c r="T44" i="1" s="1"/>
  <c r="CV44" i="1"/>
  <c r="U44" i="1" s="1"/>
  <c r="CX44" i="1"/>
  <c r="W44" i="1" s="1"/>
  <c r="GL44" i="1"/>
  <c r="GN44" i="1"/>
  <c r="GP44" i="1"/>
  <c r="GV44" i="1"/>
  <c r="HC44" i="1"/>
  <c r="GX44" i="1" s="1"/>
  <c r="C45" i="1"/>
  <c r="D45" i="1"/>
  <c r="I45" i="1"/>
  <c r="K45" i="1"/>
  <c r="R45" i="1"/>
  <c r="AC45" i="1"/>
  <c r="AE45" i="1"/>
  <c r="AD45" i="1" s="1"/>
  <c r="AB45" i="1" s="1"/>
  <c r="AF45" i="1"/>
  <c r="S45" i="1" s="1"/>
  <c r="AG45" i="1"/>
  <c r="AH45" i="1"/>
  <c r="AI45" i="1"/>
  <c r="AJ45" i="1"/>
  <c r="CX45" i="1" s="1"/>
  <c r="W45" i="1" s="1"/>
  <c r="CQ45" i="1"/>
  <c r="CR45" i="1"/>
  <c r="CS45" i="1"/>
  <c r="CU45" i="1"/>
  <c r="T45" i="1" s="1"/>
  <c r="CV45" i="1"/>
  <c r="U45" i="1" s="1"/>
  <c r="CW45" i="1"/>
  <c r="V45" i="1" s="1"/>
  <c r="GL45" i="1"/>
  <c r="GN45" i="1"/>
  <c r="GP45" i="1"/>
  <c r="GV45" i="1"/>
  <c r="HC45" i="1"/>
  <c r="GX45" i="1" s="1"/>
  <c r="I46" i="1"/>
  <c r="P46" i="1" s="1"/>
  <c r="R46" i="1"/>
  <c r="AC46" i="1"/>
  <c r="AE46" i="1"/>
  <c r="AD46" i="1" s="1"/>
  <c r="AB46" i="1" s="1"/>
  <c r="AF46" i="1"/>
  <c r="S46" i="1" s="1"/>
  <c r="AG46" i="1"/>
  <c r="AH46" i="1"/>
  <c r="AI46" i="1"/>
  <c r="AJ46" i="1"/>
  <c r="CX46" i="1" s="1"/>
  <c r="W46" i="1" s="1"/>
  <c r="CQ46" i="1"/>
  <c r="CR46" i="1"/>
  <c r="CS46" i="1"/>
  <c r="CU46" i="1"/>
  <c r="T46" i="1" s="1"/>
  <c r="CV46" i="1"/>
  <c r="U46" i="1" s="1"/>
  <c r="CW46" i="1"/>
  <c r="V46" i="1" s="1"/>
  <c r="GL46" i="1"/>
  <c r="GN46" i="1"/>
  <c r="GP46" i="1"/>
  <c r="GV46" i="1"/>
  <c r="HC46" i="1"/>
  <c r="GX46" i="1" s="1"/>
  <c r="I47" i="1"/>
  <c r="R47" i="1" s="1"/>
  <c r="AB47" i="1"/>
  <c r="AC47" i="1"/>
  <c r="AE47" i="1"/>
  <c r="AD47" i="1" s="1"/>
  <c r="AF47" i="1"/>
  <c r="AG47" i="1"/>
  <c r="AH47" i="1"/>
  <c r="AI47" i="1"/>
  <c r="AJ47" i="1"/>
  <c r="CX47" i="1" s="1"/>
  <c r="CQ47" i="1"/>
  <c r="CR47" i="1"/>
  <c r="CS47" i="1"/>
  <c r="CU47" i="1"/>
  <c r="CV47" i="1"/>
  <c r="U47" i="1" s="1"/>
  <c r="CW47" i="1"/>
  <c r="V47" i="1" s="1"/>
  <c r="GL47" i="1"/>
  <c r="GN47" i="1"/>
  <c r="GP47" i="1"/>
  <c r="FV51" i="1" s="1"/>
  <c r="GV47" i="1"/>
  <c r="HC47" i="1"/>
  <c r="I48" i="1"/>
  <c r="R48" i="1"/>
  <c r="V48" i="1"/>
  <c r="AC48" i="1"/>
  <c r="AE48" i="1"/>
  <c r="AD48" i="1" s="1"/>
  <c r="AB48" i="1" s="1"/>
  <c r="AF48" i="1"/>
  <c r="AG48" i="1"/>
  <c r="AH48" i="1"/>
  <c r="AI48" i="1"/>
  <c r="AJ48" i="1"/>
  <c r="CX48" i="1" s="1"/>
  <c r="W48" i="1" s="1"/>
  <c r="CQ48" i="1"/>
  <c r="CR48" i="1"/>
  <c r="CS48" i="1"/>
  <c r="CU48" i="1"/>
  <c r="T48" i="1" s="1"/>
  <c r="CV48" i="1"/>
  <c r="U48" i="1" s="1"/>
  <c r="CW48" i="1"/>
  <c r="GL48" i="1"/>
  <c r="BZ51" i="1" s="1"/>
  <c r="GN48" i="1"/>
  <c r="GP48" i="1"/>
  <c r="GV48" i="1"/>
  <c r="HC48" i="1"/>
  <c r="GX48" i="1" s="1"/>
  <c r="I49" i="1"/>
  <c r="R49" i="1" s="1"/>
  <c r="AB49" i="1"/>
  <c r="AC49" i="1"/>
  <c r="AE49" i="1"/>
  <c r="AD49" i="1" s="1"/>
  <c r="AF49" i="1"/>
  <c r="AG49" i="1"/>
  <c r="AH49" i="1"/>
  <c r="AI49" i="1"/>
  <c r="AJ49" i="1"/>
  <c r="CX49" i="1" s="1"/>
  <c r="CQ49" i="1"/>
  <c r="CR49" i="1"/>
  <c r="CS49" i="1"/>
  <c r="CU49" i="1"/>
  <c r="CV49" i="1"/>
  <c r="U49" i="1" s="1"/>
  <c r="CW49" i="1"/>
  <c r="V49" i="1" s="1"/>
  <c r="GL49" i="1"/>
  <c r="GN49" i="1"/>
  <c r="GP49" i="1"/>
  <c r="GV49" i="1"/>
  <c r="HC49" i="1"/>
  <c r="B51" i="1"/>
  <c r="B26" i="1" s="1"/>
  <c r="C51" i="1"/>
  <c r="C26" i="1" s="1"/>
  <c r="D51" i="1"/>
  <c r="D26" i="1" s="1"/>
  <c r="F51" i="1"/>
  <c r="F26" i="1" s="1"/>
  <c r="G51" i="1"/>
  <c r="G26" i="1" s="1"/>
  <c r="AJ51" i="1"/>
  <c r="BX51" i="1"/>
  <c r="BX26" i="1" s="1"/>
  <c r="CB51" i="1"/>
  <c r="CB26" i="1" s="1"/>
  <c r="CD51" i="1"/>
  <c r="CD26" i="1" s="1"/>
  <c r="CK51" i="1"/>
  <c r="CK26" i="1" s="1"/>
  <c r="CL51" i="1"/>
  <c r="CL26" i="1" s="1"/>
  <c r="CM51" i="1"/>
  <c r="CM26" i="1" s="1"/>
  <c r="DZ51" i="1"/>
  <c r="DZ26" i="1" s="1"/>
  <c r="FP51" i="1"/>
  <c r="FP26" i="1" s="1"/>
  <c r="FR51" i="1"/>
  <c r="FR26" i="1" s="1"/>
  <c r="FT51" i="1"/>
  <c r="FT26" i="1" s="1"/>
  <c r="GC51" i="1"/>
  <c r="GC26" i="1" s="1"/>
  <c r="GD51" i="1"/>
  <c r="GD26" i="1" s="1"/>
  <c r="GE51" i="1"/>
  <c r="GE26" i="1" s="1"/>
  <c r="D81" i="1"/>
  <c r="E83" i="1"/>
  <c r="Z83" i="1"/>
  <c r="AA83" i="1"/>
  <c r="AM83" i="1"/>
  <c r="AN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R83" i="1"/>
  <c r="DS83" i="1"/>
  <c r="EE83" i="1"/>
  <c r="EF83" i="1"/>
  <c r="EW83" i="1"/>
  <c r="EX83" i="1"/>
  <c r="EY83" i="1"/>
  <c r="EZ83" i="1"/>
  <c r="FA83" i="1"/>
  <c r="FB83" i="1"/>
  <c r="FC83" i="1"/>
  <c r="FD83" i="1"/>
  <c r="FE83" i="1"/>
  <c r="FF83" i="1"/>
  <c r="FG83" i="1"/>
  <c r="FH83" i="1"/>
  <c r="FI83" i="1"/>
  <c r="FJ83" i="1"/>
  <c r="FK83" i="1"/>
  <c r="FL83" i="1"/>
  <c r="FM83" i="1"/>
  <c r="FN83" i="1"/>
  <c r="FO83" i="1"/>
  <c r="GF83" i="1"/>
  <c r="GG83" i="1"/>
  <c r="GH83" i="1"/>
  <c r="GI83" i="1"/>
  <c r="GJ83" i="1"/>
  <c r="GK83" i="1"/>
  <c r="GL83" i="1"/>
  <c r="GM83" i="1"/>
  <c r="GN83" i="1"/>
  <c r="GO83" i="1"/>
  <c r="GP83" i="1"/>
  <c r="GQ83" i="1"/>
  <c r="GR83" i="1"/>
  <c r="GS83" i="1"/>
  <c r="GT83" i="1"/>
  <c r="GU83" i="1"/>
  <c r="GV83" i="1"/>
  <c r="GW83" i="1"/>
  <c r="GX83" i="1"/>
  <c r="C85" i="1"/>
  <c r="D85" i="1"/>
  <c r="I85" i="1"/>
  <c r="R85" i="1" s="1"/>
  <c r="K85" i="1"/>
  <c r="AC85" i="1"/>
  <c r="P85" i="1" s="1"/>
  <c r="AE85" i="1"/>
  <c r="Q85" i="1" s="1"/>
  <c r="AF85" i="1"/>
  <c r="S85" i="1" s="1"/>
  <c r="AG85" i="1"/>
  <c r="CU85" i="1" s="1"/>
  <c r="T85" i="1" s="1"/>
  <c r="AH85" i="1"/>
  <c r="AI85" i="1"/>
  <c r="CW85" i="1" s="1"/>
  <c r="V85" i="1" s="1"/>
  <c r="AJ85" i="1"/>
  <c r="CX85" i="1" s="1"/>
  <c r="W85" i="1" s="1"/>
  <c r="CR85" i="1"/>
  <c r="CV85" i="1"/>
  <c r="U85" i="1" s="1"/>
  <c r="GL85" i="1"/>
  <c r="GN85" i="1"/>
  <c r="GP85" i="1"/>
  <c r="GV85" i="1"/>
  <c r="HC85" i="1"/>
  <c r="GX85" i="1" s="1"/>
  <c r="C86" i="1"/>
  <c r="D86" i="1"/>
  <c r="I86" i="1"/>
  <c r="K86" i="1"/>
  <c r="R86" i="1"/>
  <c r="AC86" i="1"/>
  <c r="P86" i="1" s="1"/>
  <c r="AD86" i="1"/>
  <c r="AE86" i="1"/>
  <c r="Q86" i="1" s="1"/>
  <c r="AF86" i="1"/>
  <c r="AB86" i="1" s="1"/>
  <c r="AG86" i="1"/>
  <c r="CU86" i="1" s="1"/>
  <c r="T86" i="1" s="1"/>
  <c r="AH86" i="1"/>
  <c r="CV86" i="1" s="1"/>
  <c r="U86" i="1" s="1"/>
  <c r="AI86" i="1"/>
  <c r="AJ86" i="1"/>
  <c r="CX86" i="1" s="1"/>
  <c r="W86" i="1" s="1"/>
  <c r="CR86" i="1"/>
  <c r="CS86" i="1"/>
  <c r="CW86" i="1"/>
  <c r="V86" i="1" s="1"/>
  <c r="GL86" i="1"/>
  <c r="GN86" i="1"/>
  <c r="GP86" i="1"/>
  <c r="GV86" i="1"/>
  <c r="HC86" i="1" s="1"/>
  <c r="GX86" i="1" s="1"/>
  <c r="I87" i="1"/>
  <c r="Q87" i="1" s="1"/>
  <c r="R87" i="1"/>
  <c r="AC87" i="1"/>
  <c r="P87" i="1" s="1"/>
  <c r="AD87" i="1"/>
  <c r="AE87" i="1"/>
  <c r="AF87" i="1"/>
  <c r="AB87" i="1" s="1"/>
  <c r="AG87" i="1"/>
  <c r="CU87" i="1" s="1"/>
  <c r="T87" i="1" s="1"/>
  <c r="AH87" i="1"/>
  <c r="CV87" i="1" s="1"/>
  <c r="U87" i="1" s="1"/>
  <c r="AI87" i="1"/>
  <c r="AJ87" i="1"/>
  <c r="CX87" i="1" s="1"/>
  <c r="W87" i="1" s="1"/>
  <c r="CR87" i="1"/>
  <c r="CS87" i="1"/>
  <c r="CW87" i="1"/>
  <c r="V87" i="1" s="1"/>
  <c r="GL87" i="1"/>
  <c r="GN87" i="1"/>
  <c r="GP87" i="1"/>
  <c r="GV87" i="1"/>
  <c r="HC87" i="1" s="1"/>
  <c r="GX87" i="1" s="1"/>
  <c r="I88" i="1"/>
  <c r="Q88" i="1" s="1"/>
  <c r="R88" i="1"/>
  <c r="AC88" i="1"/>
  <c r="P88" i="1" s="1"/>
  <c r="AD88" i="1"/>
  <c r="AE88" i="1"/>
  <c r="AF88" i="1"/>
  <c r="AB88" i="1" s="1"/>
  <c r="AG88" i="1"/>
  <c r="CU88" i="1" s="1"/>
  <c r="T88" i="1" s="1"/>
  <c r="AH88" i="1"/>
  <c r="AI88" i="1"/>
  <c r="AJ88" i="1"/>
  <c r="CX88" i="1" s="1"/>
  <c r="W88" i="1" s="1"/>
  <c r="CR88" i="1"/>
  <c r="CS88" i="1"/>
  <c r="CV88" i="1"/>
  <c r="U88" i="1" s="1"/>
  <c r="CW88" i="1"/>
  <c r="V88" i="1" s="1"/>
  <c r="GL88" i="1"/>
  <c r="GN88" i="1"/>
  <c r="GP88" i="1"/>
  <c r="GV88" i="1"/>
  <c r="HC88" i="1" s="1"/>
  <c r="GX88" i="1" s="1"/>
  <c r="I89" i="1"/>
  <c r="Q89" i="1" s="1"/>
  <c r="R89" i="1"/>
  <c r="AC89" i="1"/>
  <c r="P89" i="1" s="1"/>
  <c r="AD89" i="1"/>
  <c r="AE89" i="1"/>
  <c r="AF89" i="1"/>
  <c r="AB89" i="1" s="1"/>
  <c r="AG89" i="1"/>
  <c r="CU89" i="1" s="1"/>
  <c r="T89" i="1" s="1"/>
  <c r="AH89" i="1"/>
  <c r="AI89" i="1"/>
  <c r="AJ89" i="1"/>
  <c r="CX89" i="1" s="1"/>
  <c r="W89" i="1" s="1"/>
  <c r="CR89" i="1"/>
  <c r="CS89" i="1"/>
  <c r="CV89" i="1"/>
  <c r="U89" i="1" s="1"/>
  <c r="CW89" i="1"/>
  <c r="V89" i="1" s="1"/>
  <c r="GL89" i="1"/>
  <c r="GN89" i="1"/>
  <c r="GP89" i="1"/>
  <c r="GV89" i="1"/>
  <c r="HC89" i="1" s="1"/>
  <c r="GX89" i="1" s="1"/>
  <c r="I90" i="1"/>
  <c r="Q90" i="1" s="1"/>
  <c r="R90" i="1"/>
  <c r="AC90" i="1"/>
  <c r="P90" i="1" s="1"/>
  <c r="CP90" i="1" s="1"/>
  <c r="O90" i="1" s="1"/>
  <c r="AE90" i="1"/>
  <c r="AD90" i="1" s="1"/>
  <c r="AB90" i="1" s="1"/>
  <c r="AF90" i="1"/>
  <c r="S90" i="1" s="1"/>
  <c r="AG90" i="1"/>
  <c r="CU90" i="1" s="1"/>
  <c r="T90" i="1" s="1"/>
  <c r="AH90" i="1"/>
  <c r="AI90" i="1"/>
  <c r="AJ90" i="1"/>
  <c r="CX90" i="1" s="1"/>
  <c r="W90" i="1" s="1"/>
  <c r="CR90" i="1"/>
  <c r="CS90" i="1"/>
  <c r="CV90" i="1"/>
  <c r="U90" i="1" s="1"/>
  <c r="CW90" i="1"/>
  <c r="V90" i="1" s="1"/>
  <c r="GL90" i="1"/>
  <c r="GN90" i="1"/>
  <c r="GP90" i="1"/>
  <c r="GV90" i="1"/>
  <c r="HC90" i="1" s="1"/>
  <c r="GX90" i="1" s="1"/>
  <c r="C91" i="1"/>
  <c r="D91" i="1"/>
  <c r="I91" i="1"/>
  <c r="K91" i="1"/>
  <c r="S91" i="1"/>
  <c r="X91" i="1" s="1"/>
  <c r="AC91" i="1"/>
  <c r="P91" i="1" s="1"/>
  <c r="CP91" i="1" s="1"/>
  <c r="O91" i="1" s="1"/>
  <c r="AD91" i="1"/>
  <c r="AE91" i="1"/>
  <c r="Q91" i="1" s="1"/>
  <c r="AF91" i="1"/>
  <c r="AG91" i="1"/>
  <c r="CU91" i="1" s="1"/>
  <c r="T91" i="1" s="1"/>
  <c r="AH91" i="1"/>
  <c r="CV91" i="1" s="1"/>
  <c r="U91" i="1" s="1"/>
  <c r="AI91" i="1"/>
  <c r="AJ91" i="1"/>
  <c r="CR91" i="1"/>
  <c r="CS91" i="1"/>
  <c r="CT91" i="1"/>
  <c r="CW91" i="1"/>
  <c r="V91" i="1" s="1"/>
  <c r="CX91" i="1"/>
  <c r="W91" i="1" s="1"/>
  <c r="GL91" i="1"/>
  <c r="GN91" i="1"/>
  <c r="GP91" i="1"/>
  <c r="GV91" i="1"/>
  <c r="HC91" i="1" s="1"/>
  <c r="GX91" i="1" s="1"/>
  <c r="C92" i="1"/>
  <c r="D92" i="1"/>
  <c r="I92" i="1"/>
  <c r="R92" i="1" s="1"/>
  <c r="K92" i="1"/>
  <c r="P92" i="1"/>
  <c r="AC92" i="1"/>
  <c r="AB92" i="1" s="1"/>
  <c r="AD92" i="1"/>
  <c r="AE92" i="1"/>
  <c r="Q92" i="1" s="1"/>
  <c r="AF92" i="1"/>
  <c r="S92" i="1" s="1"/>
  <c r="AG92" i="1"/>
  <c r="AH92" i="1"/>
  <c r="CV92" i="1" s="1"/>
  <c r="U92" i="1" s="1"/>
  <c r="AI92" i="1"/>
  <c r="CW92" i="1" s="1"/>
  <c r="V92" i="1" s="1"/>
  <c r="AJ92" i="1"/>
  <c r="CQ92" i="1"/>
  <c r="CR92" i="1"/>
  <c r="CT92" i="1"/>
  <c r="CU92" i="1"/>
  <c r="T92" i="1" s="1"/>
  <c r="CX92" i="1"/>
  <c r="W92" i="1" s="1"/>
  <c r="GL92" i="1"/>
  <c r="GN92" i="1"/>
  <c r="GP92" i="1"/>
  <c r="GV92" i="1"/>
  <c r="GX92" i="1"/>
  <c r="HC92" i="1"/>
  <c r="I93" i="1"/>
  <c r="P93" i="1"/>
  <c r="AC93" i="1"/>
  <c r="AB93" i="1" s="1"/>
  <c r="AD93" i="1"/>
  <c r="AE93" i="1"/>
  <c r="Q93" i="1" s="1"/>
  <c r="AF93" i="1"/>
  <c r="S93" i="1" s="1"/>
  <c r="CY93" i="1" s="1"/>
  <c r="AG93" i="1"/>
  <c r="AH93" i="1"/>
  <c r="CV93" i="1" s="1"/>
  <c r="U93" i="1" s="1"/>
  <c r="AI93" i="1"/>
  <c r="CW93" i="1" s="1"/>
  <c r="V93" i="1" s="1"/>
  <c r="AJ93" i="1"/>
  <c r="CQ93" i="1"/>
  <c r="CR93" i="1"/>
  <c r="CT93" i="1"/>
  <c r="CU93" i="1"/>
  <c r="T93" i="1" s="1"/>
  <c r="CX93" i="1"/>
  <c r="W93" i="1" s="1"/>
  <c r="GL93" i="1"/>
  <c r="GN93" i="1"/>
  <c r="GP93" i="1"/>
  <c r="GV93" i="1"/>
  <c r="GX93" i="1"/>
  <c r="HC93" i="1"/>
  <c r="AC94" i="1"/>
  <c r="AD94" i="1"/>
  <c r="AE94" i="1"/>
  <c r="CS94" i="1" s="1"/>
  <c r="AF94" i="1"/>
  <c r="AG94" i="1"/>
  <c r="AH94" i="1"/>
  <c r="CV94" i="1" s="1"/>
  <c r="AI94" i="1"/>
  <c r="CW94" i="1" s="1"/>
  <c r="AJ94" i="1"/>
  <c r="CQ94" i="1"/>
  <c r="CR94" i="1"/>
  <c r="CT94" i="1"/>
  <c r="CU94" i="1"/>
  <c r="CX94" i="1"/>
  <c r="GL94" i="1"/>
  <c r="GN94" i="1"/>
  <c r="GP94" i="1"/>
  <c r="GV94" i="1"/>
  <c r="HC94" i="1"/>
  <c r="C95" i="1"/>
  <c r="D95" i="1"/>
  <c r="I95" i="1"/>
  <c r="K95" i="1"/>
  <c r="AC95" i="1"/>
  <c r="AE95" i="1"/>
  <c r="CR95" i="1" s="1"/>
  <c r="AF95" i="1"/>
  <c r="S95" i="1" s="1"/>
  <c r="Y95" i="1" s="1"/>
  <c r="AG95" i="1"/>
  <c r="AH95" i="1"/>
  <c r="AI95" i="1"/>
  <c r="CW95" i="1" s="1"/>
  <c r="V95" i="1" s="1"/>
  <c r="AJ95" i="1"/>
  <c r="CX95" i="1" s="1"/>
  <c r="W95" i="1" s="1"/>
  <c r="CQ95" i="1"/>
  <c r="CU95" i="1"/>
  <c r="T95" i="1" s="1"/>
  <c r="CV95" i="1"/>
  <c r="U95" i="1" s="1"/>
  <c r="GL95" i="1"/>
  <c r="GN95" i="1"/>
  <c r="GP95" i="1"/>
  <c r="GV95" i="1"/>
  <c r="HC95" i="1"/>
  <c r="GX95" i="1" s="1"/>
  <c r="C96" i="1"/>
  <c r="D96" i="1"/>
  <c r="I96" i="1"/>
  <c r="K96" i="1"/>
  <c r="R96" i="1"/>
  <c r="AC96" i="1"/>
  <c r="P96" i="1" s="1"/>
  <c r="AE96" i="1"/>
  <c r="AD96" i="1" s="1"/>
  <c r="AB96" i="1" s="1"/>
  <c r="AF96" i="1"/>
  <c r="AG96" i="1"/>
  <c r="CU96" i="1" s="1"/>
  <c r="T96" i="1" s="1"/>
  <c r="AH96" i="1"/>
  <c r="AI96" i="1"/>
  <c r="AJ96" i="1"/>
  <c r="CX96" i="1" s="1"/>
  <c r="W96" i="1" s="1"/>
  <c r="CR96" i="1"/>
  <c r="CS96" i="1"/>
  <c r="CV96" i="1"/>
  <c r="U96" i="1" s="1"/>
  <c r="CW96" i="1"/>
  <c r="V96" i="1" s="1"/>
  <c r="GL96" i="1"/>
  <c r="GN96" i="1"/>
  <c r="GP96" i="1"/>
  <c r="GV96" i="1"/>
  <c r="HC96" i="1" s="1"/>
  <c r="GX96" i="1" s="1"/>
  <c r="C97" i="1"/>
  <c r="D97" i="1"/>
  <c r="I97" i="1"/>
  <c r="K97" i="1"/>
  <c r="R97" i="1"/>
  <c r="S97" i="1"/>
  <c r="AC97" i="1"/>
  <c r="AD97" i="1"/>
  <c r="AE97" i="1"/>
  <c r="Q97" i="1" s="1"/>
  <c r="AF97" i="1"/>
  <c r="AG97" i="1"/>
  <c r="CU97" i="1" s="1"/>
  <c r="T97" i="1" s="1"/>
  <c r="AH97" i="1"/>
  <c r="CV97" i="1" s="1"/>
  <c r="U97" i="1" s="1"/>
  <c r="AI97" i="1"/>
  <c r="AJ97" i="1"/>
  <c r="CR97" i="1"/>
  <c r="CS97" i="1"/>
  <c r="CT97" i="1"/>
  <c r="CW97" i="1"/>
  <c r="V97" i="1" s="1"/>
  <c r="CX97" i="1"/>
  <c r="W97" i="1" s="1"/>
  <c r="GL97" i="1"/>
  <c r="GN97" i="1"/>
  <c r="GP97" i="1"/>
  <c r="GV97" i="1"/>
  <c r="HC97" i="1" s="1"/>
  <c r="GX97" i="1" s="1"/>
  <c r="C98" i="1"/>
  <c r="D98" i="1"/>
  <c r="I98" i="1"/>
  <c r="R98" i="1" s="1"/>
  <c r="K98" i="1"/>
  <c r="P98" i="1"/>
  <c r="AC98" i="1"/>
  <c r="AB98" i="1" s="1"/>
  <c r="AD98" i="1"/>
  <c r="AE98" i="1"/>
  <c r="Q98" i="1" s="1"/>
  <c r="AF98" i="1"/>
  <c r="AG98" i="1"/>
  <c r="AH98" i="1"/>
  <c r="CV98" i="1" s="1"/>
  <c r="U98" i="1" s="1"/>
  <c r="AI98" i="1"/>
  <c r="CW98" i="1" s="1"/>
  <c r="V98" i="1" s="1"/>
  <c r="AJ98" i="1"/>
  <c r="CQ98" i="1"/>
  <c r="CR98" i="1"/>
  <c r="CT98" i="1"/>
  <c r="CU98" i="1"/>
  <c r="T98" i="1" s="1"/>
  <c r="CX98" i="1"/>
  <c r="W98" i="1" s="1"/>
  <c r="GL98" i="1"/>
  <c r="GN98" i="1"/>
  <c r="GP98" i="1"/>
  <c r="GV98" i="1"/>
  <c r="GX98" i="1"/>
  <c r="HC98" i="1"/>
  <c r="I99" i="1"/>
  <c r="K99" i="1"/>
  <c r="R99" i="1"/>
  <c r="S99" i="1"/>
  <c r="AC99" i="1"/>
  <c r="AD99" i="1"/>
  <c r="AE99" i="1"/>
  <c r="Q99" i="1" s="1"/>
  <c r="AF99" i="1"/>
  <c r="AG99" i="1"/>
  <c r="CU99" i="1" s="1"/>
  <c r="T99" i="1" s="1"/>
  <c r="AH99" i="1"/>
  <c r="CV99" i="1" s="1"/>
  <c r="U99" i="1" s="1"/>
  <c r="AI99" i="1"/>
  <c r="AJ99" i="1"/>
  <c r="CR99" i="1"/>
  <c r="CS99" i="1"/>
  <c r="CT99" i="1"/>
  <c r="CW99" i="1"/>
  <c r="V99" i="1" s="1"/>
  <c r="CX99" i="1"/>
  <c r="W99" i="1" s="1"/>
  <c r="GL99" i="1"/>
  <c r="GN99" i="1"/>
  <c r="GP99" i="1"/>
  <c r="GV99" i="1"/>
  <c r="HC99" i="1" s="1"/>
  <c r="GX99" i="1" s="1"/>
  <c r="I100" i="1"/>
  <c r="K100" i="1"/>
  <c r="R100" i="1"/>
  <c r="AC100" i="1"/>
  <c r="P100" i="1" s="1"/>
  <c r="AE100" i="1"/>
  <c r="AD100" i="1" s="1"/>
  <c r="AB100" i="1" s="1"/>
  <c r="AF100" i="1"/>
  <c r="AG100" i="1"/>
  <c r="CU100" i="1" s="1"/>
  <c r="T100" i="1" s="1"/>
  <c r="AH100" i="1"/>
  <c r="AI100" i="1"/>
  <c r="AJ100" i="1"/>
  <c r="CX100" i="1" s="1"/>
  <c r="W100" i="1" s="1"/>
  <c r="CR100" i="1"/>
  <c r="CS100" i="1"/>
  <c r="CV100" i="1"/>
  <c r="U100" i="1" s="1"/>
  <c r="CW100" i="1"/>
  <c r="V100" i="1" s="1"/>
  <c r="GL100" i="1"/>
  <c r="GN100" i="1"/>
  <c r="GP100" i="1"/>
  <c r="GV100" i="1"/>
  <c r="HC100" i="1" s="1"/>
  <c r="GX100" i="1" s="1"/>
  <c r="I101" i="1"/>
  <c r="P101" i="1" s="1"/>
  <c r="K101" i="1"/>
  <c r="Q101" i="1"/>
  <c r="AC101" i="1"/>
  <c r="AE101" i="1"/>
  <c r="AD101" i="1" s="1"/>
  <c r="AB101" i="1" s="1"/>
  <c r="AF101" i="1"/>
  <c r="AG101" i="1"/>
  <c r="AH101" i="1"/>
  <c r="AI101" i="1"/>
  <c r="CW101" i="1" s="1"/>
  <c r="V101" i="1" s="1"/>
  <c r="AJ101" i="1"/>
  <c r="CX101" i="1" s="1"/>
  <c r="W101" i="1" s="1"/>
  <c r="CQ101" i="1"/>
  <c r="CS101" i="1"/>
  <c r="CU101" i="1"/>
  <c r="T101" i="1" s="1"/>
  <c r="CV101" i="1"/>
  <c r="U101" i="1" s="1"/>
  <c r="GL101" i="1"/>
  <c r="BZ116" i="1" s="1"/>
  <c r="GN101" i="1"/>
  <c r="GP101" i="1"/>
  <c r="GV101" i="1"/>
  <c r="HC101" i="1"/>
  <c r="GX101" i="1" s="1"/>
  <c r="I102" i="1"/>
  <c r="K102" i="1"/>
  <c r="P102" i="1"/>
  <c r="T102" i="1"/>
  <c r="AC102" i="1"/>
  <c r="AE102" i="1"/>
  <c r="CS102" i="1" s="1"/>
  <c r="AF102" i="1"/>
  <c r="AG102" i="1"/>
  <c r="AH102" i="1"/>
  <c r="CV102" i="1" s="1"/>
  <c r="U102" i="1" s="1"/>
  <c r="AI102" i="1"/>
  <c r="CW102" i="1" s="1"/>
  <c r="V102" i="1" s="1"/>
  <c r="AJ102" i="1"/>
  <c r="CQ102" i="1"/>
  <c r="CT102" i="1"/>
  <c r="CU102" i="1"/>
  <c r="CX102" i="1"/>
  <c r="W102" i="1" s="1"/>
  <c r="GL102" i="1"/>
  <c r="GN102" i="1"/>
  <c r="GP102" i="1"/>
  <c r="GV102" i="1"/>
  <c r="HC102" i="1"/>
  <c r="GX102" i="1" s="1"/>
  <c r="I103" i="1"/>
  <c r="K103" i="1"/>
  <c r="P103" i="1"/>
  <c r="CP103" i="1" s="1"/>
  <c r="O103" i="1" s="1"/>
  <c r="R103" i="1"/>
  <c r="S103" i="1"/>
  <c r="W103" i="1"/>
  <c r="AC103" i="1"/>
  <c r="AD103" i="1"/>
  <c r="AE103" i="1"/>
  <c r="Q103" i="1" s="1"/>
  <c r="AF103" i="1"/>
  <c r="AG103" i="1"/>
  <c r="AH103" i="1"/>
  <c r="CV103" i="1" s="1"/>
  <c r="U103" i="1" s="1"/>
  <c r="AI103" i="1"/>
  <c r="AJ103" i="1"/>
  <c r="CQ103" i="1"/>
  <c r="CR103" i="1"/>
  <c r="CS103" i="1"/>
  <c r="CT103" i="1"/>
  <c r="CU103" i="1"/>
  <c r="T103" i="1" s="1"/>
  <c r="CW103" i="1"/>
  <c r="V103" i="1" s="1"/>
  <c r="CX103" i="1"/>
  <c r="CY103" i="1"/>
  <c r="GL103" i="1"/>
  <c r="GN103" i="1"/>
  <c r="GP103" i="1"/>
  <c r="GV103" i="1"/>
  <c r="HC103" i="1" s="1"/>
  <c r="GX103" i="1"/>
  <c r="I104" i="1"/>
  <c r="K104" i="1"/>
  <c r="R104" i="1"/>
  <c r="AC104" i="1"/>
  <c r="AE104" i="1"/>
  <c r="CR104" i="1" s="1"/>
  <c r="AF104" i="1"/>
  <c r="S104" i="1" s="1"/>
  <c r="AG104" i="1"/>
  <c r="CU104" i="1" s="1"/>
  <c r="T104" i="1" s="1"/>
  <c r="AH104" i="1"/>
  <c r="AI104" i="1"/>
  <c r="CW104" i="1" s="1"/>
  <c r="V104" i="1" s="1"/>
  <c r="AJ104" i="1"/>
  <c r="CX104" i="1" s="1"/>
  <c r="W104" i="1" s="1"/>
  <c r="CS104" i="1"/>
  <c r="CT104" i="1"/>
  <c r="CV104" i="1"/>
  <c r="U104" i="1" s="1"/>
  <c r="GL104" i="1"/>
  <c r="GN104" i="1"/>
  <c r="GP104" i="1"/>
  <c r="GV104" i="1"/>
  <c r="HC104" i="1"/>
  <c r="GX104" i="1" s="1"/>
  <c r="I105" i="1"/>
  <c r="Q105" i="1" s="1"/>
  <c r="K105" i="1"/>
  <c r="R105" i="1"/>
  <c r="AC105" i="1"/>
  <c r="AD105" i="1"/>
  <c r="AB105" i="1" s="1"/>
  <c r="AE105" i="1"/>
  <c r="AF105" i="1"/>
  <c r="AG105" i="1"/>
  <c r="AH105" i="1"/>
  <c r="CV105" i="1" s="1"/>
  <c r="U105" i="1" s="1"/>
  <c r="AI105" i="1"/>
  <c r="AJ105" i="1"/>
  <c r="CX105" i="1" s="1"/>
  <c r="CQ105" i="1"/>
  <c r="CR105" i="1"/>
  <c r="CS105" i="1"/>
  <c r="CU105" i="1"/>
  <c r="T105" i="1" s="1"/>
  <c r="CW105" i="1"/>
  <c r="V105" i="1" s="1"/>
  <c r="GL105" i="1"/>
  <c r="GN105" i="1"/>
  <c r="GP105" i="1"/>
  <c r="CD116" i="1" s="1"/>
  <c r="GV105" i="1"/>
  <c r="HC105" i="1" s="1"/>
  <c r="GX105" i="1" s="1"/>
  <c r="I106" i="1"/>
  <c r="P106" i="1" s="1"/>
  <c r="K106" i="1"/>
  <c r="R106" i="1"/>
  <c r="AC106" i="1"/>
  <c r="AE106" i="1"/>
  <c r="Q106" i="1" s="1"/>
  <c r="AF106" i="1"/>
  <c r="S106" i="1" s="1"/>
  <c r="AG106" i="1"/>
  <c r="AH106" i="1"/>
  <c r="AI106" i="1"/>
  <c r="AJ106" i="1"/>
  <c r="CX106" i="1" s="1"/>
  <c r="W106" i="1" s="1"/>
  <c r="CQ106" i="1"/>
  <c r="CR106" i="1"/>
  <c r="CS106" i="1"/>
  <c r="CU106" i="1"/>
  <c r="T106" i="1" s="1"/>
  <c r="CV106" i="1"/>
  <c r="U106" i="1" s="1"/>
  <c r="CW106" i="1"/>
  <c r="V106" i="1" s="1"/>
  <c r="GL106" i="1"/>
  <c r="GN106" i="1"/>
  <c r="GP106" i="1"/>
  <c r="GV106" i="1"/>
  <c r="HC106" i="1"/>
  <c r="GX106" i="1" s="1"/>
  <c r="I107" i="1"/>
  <c r="P107" i="1" s="1"/>
  <c r="K107" i="1"/>
  <c r="AC107" i="1"/>
  <c r="AE107" i="1"/>
  <c r="AD107" i="1" s="1"/>
  <c r="AF107" i="1"/>
  <c r="AG107" i="1"/>
  <c r="AH107" i="1"/>
  <c r="AI107" i="1"/>
  <c r="CW107" i="1" s="1"/>
  <c r="V107" i="1" s="1"/>
  <c r="AJ107" i="1"/>
  <c r="CQ107" i="1"/>
  <c r="CR107" i="1"/>
  <c r="CT107" i="1"/>
  <c r="CU107" i="1"/>
  <c r="T107" i="1" s="1"/>
  <c r="CV107" i="1"/>
  <c r="U107" i="1" s="1"/>
  <c r="CX107" i="1"/>
  <c r="W107" i="1" s="1"/>
  <c r="GL107" i="1"/>
  <c r="GN107" i="1"/>
  <c r="GP107" i="1"/>
  <c r="GV107" i="1"/>
  <c r="HC107" i="1"/>
  <c r="GX107" i="1" s="1"/>
  <c r="I108" i="1"/>
  <c r="K108" i="1"/>
  <c r="P108" i="1"/>
  <c r="CP108" i="1" s="1"/>
  <c r="O108" i="1" s="1"/>
  <c r="GM108" i="1" s="1"/>
  <c r="GO108" i="1" s="1"/>
  <c r="R108" i="1"/>
  <c r="S108" i="1"/>
  <c r="Y108" i="1" s="1"/>
  <c r="X108" i="1"/>
  <c r="AC108" i="1"/>
  <c r="AB108" i="1" s="1"/>
  <c r="AD108" i="1"/>
  <c r="AE108" i="1"/>
  <c r="Q108" i="1" s="1"/>
  <c r="AF108" i="1"/>
  <c r="AG108" i="1"/>
  <c r="AH108" i="1"/>
  <c r="CV108" i="1" s="1"/>
  <c r="U108" i="1" s="1"/>
  <c r="AI108" i="1"/>
  <c r="AJ108" i="1"/>
  <c r="CQ108" i="1"/>
  <c r="CR108" i="1"/>
  <c r="CS108" i="1"/>
  <c r="CT108" i="1"/>
  <c r="CU108" i="1"/>
  <c r="T108" i="1" s="1"/>
  <c r="CW108" i="1"/>
  <c r="V108" i="1" s="1"/>
  <c r="CX108" i="1"/>
  <c r="W108" i="1" s="1"/>
  <c r="CY108" i="1"/>
  <c r="GL108" i="1"/>
  <c r="GN108" i="1"/>
  <c r="FT116" i="1" s="1"/>
  <c r="GP108" i="1"/>
  <c r="GV108" i="1"/>
  <c r="HC108" i="1" s="1"/>
  <c r="GX108" i="1" s="1"/>
  <c r="I109" i="1"/>
  <c r="K109" i="1"/>
  <c r="R109" i="1"/>
  <c r="S109" i="1"/>
  <c r="X109" i="1" s="1"/>
  <c r="AC109" i="1"/>
  <c r="AE109" i="1"/>
  <c r="AD109" i="1" s="1"/>
  <c r="AF109" i="1"/>
  <c r="AG109" i="1"/>
  <c r="CU109" i="1" s="1"/>
  <c r="T109" i="1" s="1"/>
  <c r="AH109" i="1"/>
  <c r="AI109" i="1"/>
  <c r="AJ109" i="1"/>
  <c r="CR109" i="1"/>
  <c r="CS109" i="1"/>
  <c r="CT109" i="1"/>
  <c r="CV109" i="1"/>
  <c r="U109" i="1" s="1"/>
  <c r="CW109" i="1"/>
  <c r="V109" i="1" s="1"/>
  <c r="CX109" i="1"/>
  <c r="W109" i="1" s="1"/>
  <c r="GL109" i="1"/>
  <c r="GN109" i="1"/>
  <c r="GP109" i="1"/>
  <c r="GV109" i="1"/>
  <c r="HC109" i="1" s="1"/>
  <c r="GX109" i="1" s="1"/>
  <c r="I110" i="1"/>
  <c r="P110" i="1" s="1"/>
  <c r="K110" i="1"/>
  <c r="R110" i="1"/>
  <c r="AC110" i="1"/>
  <c r="AE110" i="1"/>
  <c r="Q110" i="1" s="1"/>
  <c r="AF110" i="1"/>
  <c r="S110" i="1" s="1"/>
  <c r="AG110" i="1"/>
  <c r="AH110" i="1"/>
  <c r="AI110" i="1"/>
  <c r="AJ110" i="1"/>
  <c r="CX110" i="1" s="1"/>
  <c r="W110" i="1" s="1"/>
  <c r="CQ110" i="1"/>
  <c r="CR110" i="1"/>
  <c r="CS110" i="1"/>
  <c r="CU110" i="1"/>
  <c r="T110" i="1" s="1"/>
  <c r="CV110" i="1"/>
  <c r="U110" i="1" s="1"/>
  <c r="CW110" i="1"/>
  <c r="V110" i="1" s="1"/>
  <c r="GL110" i="1"/>
  <c r="GN110" i="1"/>
  <c r="GP110" i="1"/>
  <c r="GV110" i="1"/>
  <c r="HC110" i="1"/>
  <c r="GX110" i="1" s="1"/>
  <c r="I111" i="1"/>
  <c r="P111" i="1" s="1"/>
  <c r="K111" i="1"/>
  <c r="AC111" i="1"/>
  <c r="AE111" i="1"/>
  <c r="AD111" i="1" s="1"/>
  <c r="AF111" i="1"/>
  <c r="AG111" i="1"/>
  <c r="AH111" i="1"/>
  <c r="AI111" i="1"/>
  <c r="CW111" i="1" s="1"/>
  <c r="V111" i="1" s="1"/>
  <c r="AJ111" i="1"/>
  <c r="CQ111" i="1"/>
  <c r="CR111" i="1"/>
  <c r="CT111" i="1"/>
  <c r="CU111" i="1"/>
  <c r="T111" i="1" s="1"/>
  <c r="CV111" i="1"/>
  <c r="U111" i="1" s="1"/>
  <c r="CX111" i="1"/>
  <c r="W111" i="1" s="1"/>
  <c r="GL111" i="1"/>
  <c r="GN111" i="1"/>
  <c r="GP111" i="1"/>
  <c r="GV111" i="1"/>
  <c r="HC111" i="1"/>
  <c r="GX111" i="1" s="1"/>
  <c r="I112" i="1"/>
  <c r="K112" i="1"/>
  <c r="P112" i="1"/>
  <c r="CP112" i="1" s="1"/>
  <c r="O112" i="1" s="1"/>
  <c r="GM112" i="1" s="1"/>
  <c r="GO112" i="1" s="1"/>
  <c r="R112" i="1"/>
  <c r="S112" i="1"/>
  <c r="Y112" i="1" s="1"/>
  <c r="X112" i="1"/>
  <c r="AC112" i="1"/>
  <c r="AB112" i="1" s="1"/>
  <c r="AD112" i="1"/>
  <c r="AE112" i="1"/>
  <c r="Q112" i="1" s="1"/>
  <c r="AF112" i="1"/>
  <c r="AG112" i="1"/>
  <c r="AH112" i="1"/>
  <c r="CV112" i="1" s="1"/>
  <c r="U112" i="1" s="1"/>
  <c r="AI112" i="1"/>
  <c r="AJ112" i="1"/>
  <c r="CQ112" i="1"/>
  <c r="CR112" i="1"/>
  <c r="CS112" i="1"/>
  <c r="CT112" i="1"/>
  <c r="CU112" i="1"/>
  <c r="T112" i="1" s="1"/>
  <c r="CW112" i="1"/>
  <c r="V112" i="1" s="1"/>
  <c r="CX112" i="1"/>
  <c r="W112" i="1" s="1"/>
  <c r="CY112" i="1"/>
  <c r="GL112" i="1"/>
  <c r="GN112" i="1"/>
  <c r="GP112" i="1"/>
  <c r="GV112" i="1"/>
  <c r="HC112" i="1" s="1"/>
  <c r="GX112" i="1" s="1"/>
  <c r="I113" i="1"/>
  <c r="K113" i="1"/>
  <c r="R113" i="1"/>
  <c r="S113" i="1"/>
  <c r="X113" i="1" s="1"/>
  <c r="AC113" i="1"/>
  <c r="AE113" i="1"/>
  <c r="AD113" i="1" s="1"/>
  <c r="AF113" i="1"/>
  <c r="AG113" i="1"/>
  <c r="CU113" i="1" s="1"/>
  <c r="T113" i="1" s="1"/>
  <c r="AH113" i="1"/>
  <c r="AI113" i="1"/>
  <c r="AJ113" i="1"/>
  <c r="CR113" i="1"/>
  <c r="CS113" i="1"/>
  <c r="CT113" i="1"/>
  <c r="CV113" i="1"/>
  <c r="U113" i="1" s="1"/>
  <c r="CW113" i="1"/>
  <c r="V113" i="1" s="1"/>
  <c r="CX113" i="1"/>
  <c r="W113" i="1" s="1"/>
  <c r="GL113" i="1"/>
  <c r="GN113" i="1"/>
  <c r="GP113" i="1"/>
  <c r="GV113" i="1"/>
  <c r="HC113" i="1" s="1"/>
  <c r="GX113" i="1" s="1"/>
  <c r="I114" i="1"/>
  <c r="P114" i="1" s="1"/>
  <c r="K114" i="1"/>
  <c r="R114" i="1"/>
  <c r="AC114" i="1"/>
  <c r="AE114" i="1"/>
  <c r="Q114" i="1" s="1"/>
  <c r="AF114" i="1"/>
  <c r="S114" i="1" s="1"/>
  <c r="AG114" i="1"/>
  <c r="AH114" i="1"/>
  <c r="AI114" i="1"/>
  <c r="AJ114" i="1"/>
  <c r="CX114" i="1" s="1"/>
  <c r="W114" i="1" s="1"/>
  <c r="CQ114" i="1"/>
  <c r="CR114" i="1"/>
  <c r="CS114" i="1"/>
  <c r="CU114" i="1"/>
  <c r="T114" i="1" s="1"/>
  <c r="CV114" i="1"/>
  <c r="U114" i="1" s="1"/>
  <c r="CW114" i="1"/>
  <c r="V114" i="1" s="1"/>
  <c r="GL114" i="1"/>
  <c r="GN114" i="1"/>
  <c r="GP114" i="1"/>
  <c r="GV114" i="1"/>
  <c r="HC114" i="1"/>
  <c r="GX114" i="1" s="1"/>
  <c r="B116" i="1"/>
  <c r="B83" i="1" s="1"/>
  <c r="C116" i="1"/>
  <c r="C83" i="1" s="1"/>
  <c r="D116" i="1"/>
  <c r="D83" i="1" s="1"/>
  <c r="F116" i="1"/>
  <c r="F83" i="1" s="1"/>
  <c r="G116" i="1"/>
  <c r="G83" i="1" s="1"/>
  <c r="BX116" i="1"/>
  <c r="BX83" i="1" s="1"/>
  <c r="BY116" i="1"/>
  <c r="BY83" i="1" s="1"/>
  <c r="CB116" i="1"/>
  <c r="CB83" i="1" s="1"/>
  <c r="CK116" i="1"/>
  <c r="CK83" i="1" s="1"/>
  <c r="CL116" i="1"/>
  <c r="CL83" i="1" s="1"/>
  <c r="CM116" i="1"/>
  <c r="CM83" i="1" s="1"/>
  <c r="FP116" i="1"/>
  <c r="FP83" i="1" s="1"/>
  <c r="FQ116" i="1"/>
  <c r="FQ83" i="1" s="1"/>
  <c r="FR116" i="1"/>
  <c r="FR83" i="1" s="1"/>
  <c r="FV116" i="1"/>
  <c r="FV83" i="1" s="1"/>
  <c r="GA116" i="1"/>
  <c r="GA83" i="1" s="1"/>
  <c r="GC116" i="1"/>
  <c r="GC83" i="1" s="1"/>
  <c r="GD116" i="1"/>
  <c r="GD83" i="1" s="1"/>
  <c r="GE116" i="1"/>
  <c r="GE83" i="1" s="1"/>
  <c r="D146" i="1"/>
  <c r="E148" i="1"/>
  <c r="Z148" i="1"/>
  <c r="AA148" i="1"/>
  <c r="AM148" i="1"/>
  <c r="AN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CN148" i="1"/>
  <c r="CO148" i="1"/>
  <c r="CP148" i="1"/>
  <c r="CQ148" i="1"/>
  <c r="CR148" i="1"/>
  <c r="CS148" i="1"/>
  <c r="CT148" i="1"/>
  <c r="CU148" i="1"/>
  <c r="CV148" i="1"/>
  <c r="CW148" i="1"/>
  <c r="CX148" i="1"/>
  <c r="CY148" i="1"/>
  <c r="CZ148" i="1"/>
  <c r="DA148" i="1"/>
  <c r="DB148" i="1"/>
  <c r="DC148" i="1"/>
  <c r="DD148" i="1"/>
  <c r="DE148" i="1"/>
  <c r="DF148" i="1"/>
  <c r="DR148" i="1"/>
  <c r="DS148" i="1"/>
  <c r="EE148" i="1"/>
  <c r="EF148" i="1"/>
  <c r="EW148" i="1"/>
  <c r="EX148" i="1"/>
  <c r="EY148" i="1"/>
  <c r="EZ148" i="1"/>
  <c r="FA148" i="1"/>
  <c r="FB148" i="1"/>
  <c r="FC148" i="1"/>
  <c r="FD148" i="1"/>
  <c r="FE148" i="1"/>
  <c r="FF148" i="1"/>
  <c r="FG148" i="1"/>
  <c r="FH148" i="1"/>
  <c r="FI148" i="1"/>
  <c r="FJ148" i="1"/>
  <c r="FK148" i="1"/>
  <c r="FL148" i="1"/>
  <c r="FM148" i="1"/>
  <c r="FN148" i="1"/>
  <c r="FO148" i="1"/>
  <c r="GF148" i="1"/>
  <c r="GG148" i="1"/>
  <c r="GH148" i="1"/>
  <c r="GI148" i="1"/>
  <c r="GJ148" i="1"/>
  <c r="GK148" i="1"/>
  <c r="GL148" i="1"/>
  <c r="GM148" i="1"/>
  <c r="GN148" i="1"/>
  <c r="GO148" i="1"/>
  <c r="GP148" i="1"/>
  <c r="GQ148" i="1"/>
  <c r="GR148" i="1"/>
  <c r="GS148" i="1"/>
  <c r="GT148" i="1"/>
  <c r="GU148" i="1"/>
  <c r="GV148" i="1"/>
  <c r="GW148" i="1"/>
  <c r="GX148" i="1"/>
  <c r="C150" i="1"/>
  <c r="D150" i="1"/>
  <c r="I150" i="1"/>
  <c r="R150" i="1" s="1"/>
  <c r="K150" i="1"/>
  <c r="AC150" i="1"/>
  <c r="AE150" i="1"/>
  <c r="AD150" i="1" s="1"/>
  <c r="AF150" i="1"/>
  <c r="S150" i="1" s="1"/>
  <c r="AG150" i="1"/>
  <c r="AH150" i="1"/>
  <c r="AI150" i="1"/>
  <c r="CW150" i="1" s="1"/>
  <c r="V150" i="1" s="1"/>
  <c r="AJ150" i="1"/>
  <c r="CQ150" i="1"/>
  <c r="CR150" i="1"/>
  <c r="CT150" i="1"/>
  <c r="CU150" i="1"/>
  <c r="T150" i="1" s="1"/>
  <c r="CV150" i="1"/>
  <c r="U150" i="1" s="1"/>
  <c r="CX150" i="1"/>
  <c r="W150" i="1" s="1"/>
  <c r="GL150" i="1"/>
  <c r="GN150" i="1"/>
  <c r="GP150" i="1"/>
  <c r="GV150" i="1"/>
  <c r="HC150" i="1"/>
  <c r="GX150" i="1" s="1"/>
  <c r="C151" i="1"/>
  <c r="D151" i="1"/>
  <c r="I151" i="1"/>
  <c r="K151" i="1"/>
  <c r="R151" i="1"/>
  <c r="AC151" i="1"/>
  <c r="P151" i="1" s="1"/>
  <c r="AE151" i="1"/>
  <c r="Q151" i="1" s="1"/>
  <c r="AF151" i="1"/>
  <c r="S151" i="1" s="1"/>
  <c r="AG151" i="1"/>
  <c r="AH151" i="1"/>
  <c r="AI151" i="1"/>
  <c r="AJ151" i="1"/>
  <c r="CX151" i="1" s="1"/>
  <c r="W151" i="1" s="1"/>
  <c r="CQ151" i="1"/>
  <c r="CR151" i="1"/>
  <c r="CS151" i="1"/>
  <c r="CU151" i="1"/>
  <c r="T151" i="1" s="1"/>
  <c r="CV151" i="1"/>
  <c r="U151" i="1" s="1"/>
  <c r="CW151" i="1"/>
  <c r="V151" i="1" s="1"/>
  <c r="GL151" i="1"/>
  <c r="GN151" i="1"/>
  <c r="GP151" i="1"/>
  <c r="GV151" i="1"/>
  <c r="HC151" i="1"/>
  <c r="GX151" i="1" s="1"/>
  <c r="I152" i="1"/>
  <c r="Q152" i="1" s="1"/>
  <c r="R152" i="1"/>
  <c r="AC152" i="1"/>
  <c r="AE152" i="1"/>
  <c r="AD152" i="1" s="1"/>
  <c r="AB152" i="1" s="1"/>
  <c r="AF152" i="1"/>
  <c r="S152" i="1" s="1"/>
  <c r="AG152" i="1"/>
  <c r="AH152" i="1"/>
  <c r="AI152" i="1"/>
  <c r="AJ152" i="1"/>
  <c r="CX152" i="1" s="1"/>
  <c r="W152" i="1" s="1"/>
  <c r="CQ152" i="1"/>
  <c r="CR152" i="1"/>
  <c r="CS152" i="1"/>
  <c r="CU152" i="1"/>
  <c r="T152" i="1" s="1"/>
  <c r="CV152" i="1"/>
  <c r="U152" i="1" s="1"/>
  <c r="CW152" i="1"/>
  <c r="V152" i="1" s="1"/>
  <c r="GL152" i="1"/>
  <c r="GN152" i="1"/>
  <c r="GP152" i="1"/>
  <c r="GV152" i="1"/>
  <c r="HC152" i="1"/>
  <c r="GX152" i="1" s="1"/>
  <c r="I153" i="1"/>
  <c r="Q153" i="1" s="1"/>
  <c r="R153" i="1"/>
  <c r="AC153" i="1"/>
  <c r="AE153" i="1"/>
  <c r="AD153" i="1" s="1"/>
  <c r="AB153" i="1" s="1"/>
  <c r="AF153" i="1"/>
  <c r="S153" i="1" s="1"/>
  <c r="AG153" i="1"/>
  <c r="AH153" i="1"/>
  <c r="AI153" i="1"/>
  <c r="AJ153" i="1"/>
  <c r="CX153" i="1" s="1"/>
  <c r="W153" i="1" s="1"/>
  <c r="CQ153" i="1"/>
  <c r="CR153" i="1"/>
  <c r="CS153" i="1"/>
  <c r="CU153" i="1"/>
  <c r="T153" i="1" s="1"/>
  <c r="CV153" i="1"/>
  <c r="U153" i="1" s="1"/>
  <c r="CW153" i="1"/>
  <c r="V153" i="1" s="1"/>
  <c r="GL153" i="1"/>
  <c r="GN153" i="1"/>
  <c r="GP153" i="1"/>
  <c r="GV153" i="1"/>
  <c r="HC153" i="1"/>
  <c r="GX153" i="1" s="1"/>
  <c r="C154" i="1"/>
  <c r="D154" i="1"/>
  <c r="I154" i="1"/>
  <c r="K154" i="1"/>
  <c r="R154" i="1"/>
  <c r="S154" i="1"/>
  <c r="X154" i="1" s="1"/>
  <c r="AC154" i="1"/>
  <c r="AB154" i="1" s="1"/>
  <c r="AE154" i="1"/>
  <c r="AD154" i="1" s="1"/>
  <c r="AF154" i="1"/>
  <c r="AG154" i="1"/>
  <c r="CU154" i="1" s="1"/>
  <c r="T154" i="1" s="1"/>
  <c r="AH154" i="1"/>
  <c r="AI154" i="1"/>
  <c r="AJ154" i="1"/>
  <c r="CR154" i="1"/>
  <c r="CS154" i="1"/>
  <c r="CT154" i="1"/>
  <c r="CV154" i="1"/>
  <c r="U154" i="1" s="1"/>
  <c r="CW154" i="1"/>
  <c r="V154" i="1" s="1"/>
  <c r="CX154" i="1"/>
  <c r="W154" i="1" s="1"/>
  <c r="GL154" i="1"/>
  <c r="GN154" i="1"/>
  <c r="GP154" i="1"/>
  <c r="GV154" i="1"/>
  <c r="HC154" i="1" s="1"/>
  <c r="GX154" i="1" s="1"/>
  <c r="C155" i="1"/>
  <c r="D155" i="1"/>
  <c r="I155" i="1"/>
  <c r="K155" i="1"/>
  <c r="P155" i="1"/>
  <c r="R155" i="1"/>
  <c r="S155" i="1"/>
  <c r="Y155" i="1" s="1"/>
  <c r="X155" i="1"/>
  <c r="AC155" i="1"/>
  <c r="AB155" i="1" s="1"/>
  <c r="AD155" i="1"/>
  <c r="AE155" i="1"/>
  <c r="Q155" i="1" s="1"/>
  <c r="AF155" i="1"/>
  <c r="AG155" i="1"/>
  <c r="AH155" i="1"/>
  <c r="CV155" i="1" s="1"/>
  <c r="U155" i="1" s="1"/>
  <c r="AI155" i="1"/>
  <c r="AJ155" i="1"/>
  <c r="CQ155" i="1"/>
  <c r="CR155" i="1"/>
  <c r="CS155" i="1"/>
  <c r="CT155" i="1"/>
  <c r="CU155" i="1"/>
  <c r="T155" i="1" s="1"/>
  <c r="CW155" i="1"/>
  <c r="V155" i="1" s="1"/>
  <c r="CX155" i="1"/>
  <c r="W155" i="1" s="1"/>
  <c r="CY155" i="1"/>
  <c r="GL155" i="1"/>
  <c r="GN155" i="1"/>
  <c r="GP155" i="1"/>
  <c r="GV155" i="1"/>
  <c r="HC155" i="1" s="1"/>
  <c r="GX155" i="1" s="1"/>
  <c r="I156" i="1"/>
  <c r="Q156" i="1" s="1"/>
  <c r="P156" i="1"/>
  <c r="CP156" i="1" s="1"/>
  <c r="O156" i="1" s="1"/>
  <c r="R156" i="1"/>
  <c r="S156" i="1"/>
  <c r="Y156" i="1" s="1"/>
  <c r="T156" i="1"/>
  <c r="X156" i="1"/>
  <c r="AC156" i="1"/>
  <c r="AB156" i="1" s="1"/>
  <c r="AD156" i="1"/>
  <c r="AE156" i="1"/>
  <c r="AF156" i="1"/>
  <c r="AG156" i="1"/>
  <c r="AH156" i="1"/>
  <c r="CV156" i="1" s="1"/>
  <c r="U156" i="1" s="1"/>
  <c r="AI156" i="1"/>
  <c r="AJ156" i="1"/>
  <c r="CQ156" i="1"/>
  <c r="CR156" i="1"/>
  <c r="CS156" i="1"/>
  <c r="CT156" i="1"/>
  <c r="CU156" i="1"/>
  <c r="CW156" i="1"/>
  <c r="V156" i="1" s="1"/>
  <c r="CX156" i="1"/>
  <c r="W156" i="1" s="1"/>
  <c r="CY156" i="1"/>
  <c r="GL156" i="1"/>
  <c r="GN156" i="1"/>
  <c r="GP156" i="1"/>
  <c r="GV156" i="1"/>
  <c r="HC156" i="1" s="1"/>
  <c r="GX156" i="1" s="1"/>
  <c r="I157" i="1"/>
  <c r="Q157" i="1" s="1"/>
  <c r="P157" i="1"/>
  <c r="CP157" i="1" s="1"/>
  <c r="O157" i="1" s="1"/>
  <c r="R157" i="1"/>
  <c r="S157" i="1"/>
  <c r="Y157" i="1" s="1"/>
  <c r="X157" i="1"/>
  <c r="AC157" i="1"/>
  <c r="AB157" i="1" s="1"/>
  <c r="AD157" i="1"/>
  <c r="AE157" i="1"/>
  <c r="AF157" i="1"/>
  <c r="AG157" i="1"/>
  <c r="AH157" i="1"/>
  <c r="CV157" i="1" s="1"/>
  <c r="U157" i="1" s="1"/>
  <c r="AI157" i="1"/>
  <c r="AJ157" i="1"/>
  <c r="CQ157" i="1"/>
  <c r="CR157" i="1"/>
  <c r="CS157" i="1"/>
  <c r="CT157" i="1"/>
  <c r="CU157" i="1"/>
  <c r="T157" i="1" s="1"/>
  <c r="CW157" i="1"/>
  <c r="V157" i="1" s="1"/>
  <c r="CX157" i="1"/>
  <c r="W157" i="1" s="1"/>
  <c r="CY157" i="1"/>
  <c r="GL157" i="1"/>
  <c r="GN157" i="1"/>
  <c r="GP157" i="1"/>
  <c r="GV157" i="1"/>
  <c r="HC157" i="1" s="1"/>
  <c r="GX157" i="1"/>
  <c r="C158" i="1"/>
  <c r="D158" i="1"/>
  <c r="R158" i="1"/>
  <c r="S158" i="1"/>
  <c r="AC158" i="1"/>
  <c r="AE158" i="1"/>
  <c r="AD158" i="1" s="1"/>
  <c r="AF158" i="1"/>
  <c r="AG158" i="1"/>
  <c r="CU158" i="1" s="1"/>
  <c r="T158" i="1" s="1"/>
  <c r="AH158" i="1"/>
  <c r="AI158" i="1"/>
  <c r="AJ158" i="1"/>
  <c r="CR158" i="1"/>
  <c r="CS158" i="1"/>
  <c r="CT158" i="1"/>
  <c r="CV158" i="1"/>
  <c r="U158" i="1" s="1"/>
  <c r="CW158" i="1"/>
  <c r="V158" i="1" s="1"/>
  <c r="CX158" i="1"/>
  <c r="W158" i="1" s="1"/>
  <c r="GL158" i="1"/>
  <c r="GN158" i="1"/>
  <c r="GP158" i="1"/>
  <c r="GV158" i="1"/>
  <c r="HC158" i="1" s="1"/>
  <c r="GX158" i="1" s="1"/>
  <c r="C159" i="1"/>
  <c r="D159" i="1"/>
  <c r="P159" i="1"/>
  <c r="U159" i="1"/>
  <c r="AC159" i="1"/>
  <c r="AE159" i="1"/>
  <c r="AD159" i="1" s="1"/>
  <c r="AB159" i="1" s="1"/>
  <c r="AF159" i="1"/>
  <c r="AG159" i="1"/>
  <c r="AH159" i="1"/>
  <c r="AI159" i="1"/>
  <c r="CW159" i="1" s="1"/>
  <c r="V159" i="1" s="1"/>
  <c r="AJ159" i="1"/>
  <c r="CX159" i="1" s="1"/>
  <c r="W159" i="1" s="1"/>
  <c r="CQ159" i="1"/>
  <c r="CS159" i="1"/>
  <c r="CU159" i="1"/>
  <c r="T159" i="1" s="1"/>
  <c r="CV159" i="1"/>
  <c r="GL159" i="1"/>
  <c r="GN159" i="1"/>
  <c r="GP159" i="1"/>
  <c r="GV159" i="1"/>
  <c r="HC159" i="1"/>
  <c r="GX159" i="1" s="1"/>
  <c r="I160" i="1"/>
  <c r="P160" i="1" s="1"/>
  <c r="Q160" i="1"/>
  <c r="AC160" i="1"/>
  <c r="AE160" i="1"/>
  <c r="AD160" i="1" s="1"/>
  <c r="AB160" i="1" s="1"/>
  <c r="AF160" i="1"/>
  <c r="AG160" i="1"/>
  <c r="AH160" i="1"/>
  <c r="AI160" i="1"/>
  <c r="CW160" i="1" s="1"/>
  <c r="V160" i="1" s="1"/>
  <c r="AJ160" i="1"/>
  <c r="CX160" i="1" s="1"/>
  <c r="W160" i="1" s="1"/>
  <c r="CQ160" i="1"/>
  <c r="CS160" i="1"/>
  <c r="CU160" i="1"/>
  <c r="T160" i="1" s="1"/>
  <c r="CV160" i="1"/>
  <c r="U160" i="1" s="1"/>
  <c r="FR160" i="1"/>
  <c r="GL160" i="1"/>
  <c r="GN160" i="1"/>
  <c r="GO160" i="1"/>
  <c r="GP160" i="1"/>
  <c r="GV160" i="1"/>
  <c r="HC160" i="1"/>
  <c r="GX160" i="1" s="1"/>
  <c r="I161" i="1"/>
  <c r="P161" i="1"/>
  <c r="S161" i="1"/>
  <c r="T161" i="1"/>
  <c r="Y161" i="1"/>
  <c r="AC161" i="1"/>
  <c r="AB161" i="1" s="1"/>
  <c r="AD161" i="1"/>
  <c r="AE161" i="1"/>
  <c r="AF161" i="1"/>
  <c r="AG161" i="1"/>
  <c r="AH161" i="1"/>
  <c r="AI161" i="1"/>
  <c r="CW161" i="1" s="1"/>
  <c r="V161" i="1" s="1"/>
  <c r="AJ161" i="1"/>
  <c r="CQ161" i="1"/>
  <c r="CR161" i="1"/>
  <c r="CT161" i="1"/>
  <c r="CU161" i="1"/>
  <c r="CV161" i="1"/>
  <c r="U161" i="1" s="1"/>
  <c r="CX161" i="1"/>
  <c r="W161" i="1" s="1"/>
  <c r="CY161" i="1"/>
  <c r="CZ161" i="1"/>
  <c r="GL161" i="1"/>
  <c r="GN161" i="1"/>
  <c r="GO161" i="1"/>
  <c r="GP161" i="1"/>
  <c r="GV161" i="1"/>
  <c r="HC161" i="1" s="1"/>
  <c r="GX161" i="1" s="1"/>
  <c r="C162" i="1"/>
  <c r="D162" i="1"/>
  <c r="R162" i="1"/>
  <c r="S162" i="1"/>
  <c r="V162" i="1"/>
  <c r="AC162" i="1"/>
  <c r="AB162" i="1" s="1"/>
  <c r="AE162" i="1"/>
  <c r="AD162" i="1" s="1"/>
  <c r="AF162" i="1"/>
  <c r="AG162" i="1"/>
  <c r="CU162" i="1" s="1"/>
  <c r="T162" i="1" s="1"/>
  <c r="AH162" i="1"/>
  <c r="AI162" i="1"/>
  <c r="AJ162" i="1"/>
  <c r="CR162" i="1"/>
  <c r="CS162" i="1"/>
  <c r="CT162" i="1"/>
  <c r="CV162" i="1"/>
  <c r="U162" i="1" s="1"/>
  <c r="CW162" i="1"/>
  <c r="CX162" i="1"/>
  <c r="W162" i="1" s="1"/>
  <c r="GL162" i="1"/>
  <c r="GN162" i="1"/>
  <c r="GP162" i="1"/>
  <c r="GV162" i="1"/>
  <c r="HC162" i="1" s="1"/>
  <c r="GX162" i="1" s="1"/>
  <c r="C163" i="1"/>
  <c r="D163" i="1"/>
  <c r="P163" i="1"/>
  <c r="U163" i="1"/>
  <c r="AC163" i="1"/>
  <c r="AE163" i="1"/>
  <c r="AD163" i="1" s="1"/>
  <c r="AB163" i="1" s="1"/>
  <c r="AF163" i="1"/>
  <c r="AG163" i="1"/>
  <c r="AH163" i="1"/>
  <c r="AI163" i="1"/>
  <c r="CW163" i="1" s="1"/>
  <c r="V163" i="1" s="1"/>
  <c r="AJ163" i="1"/>
  <c r="CX163" i="1" s="1"/>
  <c r="W163" i="1" s="1"/>
  <c r="CQ163" i="1"/>
  <c r="CS163" i="1"/>
  <c r="CU163" i="1"/>
  <c r="T163" i="1" s="1"/>
  <c r="CV163" i="1"/>
  <c r="GL163" i="1"/>
  <c r="GN163" i="1"/>
  <c r="GP163" i="1"/>
  <c r="GV163" i="1"/>
  <c r="HC163" i="1"/>
  <c r="GX163" i="1" s="1"/>
  <c r="I164" i="1"/>
  <c r="P164" i="1" s="1"/>
  <c r="Q164" i="1"/>
  <c r="AC164" i="1"/>
  <c r="AE164" i="1"/>
  <c r="AD164" i="1" s="1"/>
  <c r="AB164" i="1" s="1"/>
  <c r="AF164" i="1"/>
  <c r="AG164" i="1"/>
  <c r="AH164" i="1"/>
  <c r="AI164" i="1"/>
  <c r="CW164" i="1" s="1"/>
  <c r="V164" i="1" s="1"/>
  <c r="AJ164" i="1"/>
  <c r="CX164" i="1" s="1"/>
  <c r="W164" i="1" s="1"/>
  <c r="CQ164" i="1"/>
  <c r="CS164" i="1"/>
  <c r="CU164" i="1"/>
  <c r="T164" i="1" s="1"/>
  <c r="CV164" i="1"/>
  <c r="U164" i="1" s="1"/>
  <c r="FR164" i="1"/>
  <c r="GL164" i="1"/>
  <c r="GN164" i="1"/>
  <c r="GO164" i="1"/>
  <c r="GP164" i="1"/>
  <c r="GV164" i="1"/>
  <c r="HC164" i="1"/>
  <c r="GX164" i="1" s="1"/>
  <c r="I165" i="1"/>
  <c r="P165" i="1"/>
  <c r="S165" i="1"/>
  <c r="T165" i="1"/>
  <c r="Y165" i="1"/>
  <c r="AC165" i="1"/>
  <c r="AB165" i="1" s="1"/>
  <c r="AD165" i="1"/>
  <c r="AE165" i="1"/>
  <c r="AF165" i="1"/>
  <c r="AG165" i="1"/>
  <c r="AH165" i="1"/>
  <c r="AI165" i="1"/>
  <c r="CW165" i="1" s="1"/>
  <c r="V165" i="1" s="1"/>
  <c r="AJ165" i="1"/>
  <c r="CQ165" i="1"/>
  <c r="CR165" i="1"/>
  <c r="CT165" i="1"/>
  <c r="CU165" i="1"/>
  <c r="CV165" i="1"/>
  <c r="U165" i="1" s="1"/>
  <c r="CX165" i="1"/>
  <c r="W165" i="1" s="1"/>
  <c r="CY165" i="1"/>
  <c r="CZ165" i="1"/>
  <c r="GL165" i="1"/>
  <c r="GN165" i="1"/>
  <c r="GO165" i="1"/>
  <c r="GP165" i="1"/>
  <c r="GV165" i="1"/>
  <c r="HC165" i="1" s="1"/>
  <c r="GX165" i="1" s="1"/>
  <c r="C166" i="1"/>
  <c r="D166" i="1"/>
  <c r="I166" i="1"/>
  <c r="K166" i="1"/>
  <c r="P166" i="1"/>
  <c r="Q166" i="1"/>
  <c r="AC166" i="1"/>
  <c r="AE166" i="1"/>
  <c r="CS166" i="1" s="1"/>
  <c r="AF166" i="1"/>
  <c r="AG166" i="1"/>
  <c r="AH166" i="1"/>
  <c r="AI166" i="1"/>
  <c r="CW166" i="1" s="1"/>
  <c r="V166" i="1" s="1"/>
  <c r="AJ166" i="1"/>
  <c r="CQ166" i="1"/>
  <c r="CT166" i="1"/>
  <c r="CU166" i="1"/>
  <c r="T166" i="1" s="1"/>
  <c r="CV166" i="1"/>
  <c r="U166" i="1" s="1"/>
  <c r="CX166" i="1"/>
  <c r="GL166" i="1"/>
  <c r="GN166" i="1"/>
  <c r="GP166" i="1"/>
  <c r="GV166" i="1"/>
  <c r="HC166" i="1"/>
  <c r="GX166" i="1" s="1"/>
  <c r="C167" i="1"/>
  <c r="D167" i="1"/>
  <c r="I167" i="1"/>
  <c r="K167" i="1"/>
  <c r="Q167" i="1"/>
  <c r="AC167" i="1"/>
  <c r="AE167" i="1"/>
  <c r="AD167" i="1" s="1"/>
  <c r="AB167" i="1" s="1"/>
  <c r="AF167" i="1"/>
  <c r="AG167" i="1"/>
  <c r="AH167" i="1"/>
  <c r="AI167" i="1"/>
  <c r="CW167" i="1" s="1"/>
  <c r="V167" i="1" s="1"/>
  <c r="AJ167" i="1"/>
  <c r="CX167" i="1" s="1"/>
  <c r="W167" i="1" s="1"/>
  <c r="CQ167" i="1"/>
  <c r="CS167" i="1"/>
  <c r="CU167" i="1"/>
  <c r="T167" i="1" s="1"/>
  <c r="CV167" i="1"/>
  <c r="U167" i="1" s="1"/>
  <c r="GL167" i="1"/>
  <c r="GN167" i="1"/>
  <c r="GP167" i="1"/>
  <c r="GV167" i="1"/>
  <c r="HC167" i="1"/>
  <c r="GX167" i="1" s="1"/>
  <c r="R168" i="1"/>
  <c r="S168" i="1"/>
  <c r="AC168" i="1"/>
  <c r="AE168" i="1"/>
  <c r="AD168" i="1" s="1"/>
  <c r="AF168" i="1"/>
  <c r="AG168" i="1"/>
  <c r="CU168" i="1" s="1"/>
  <c r="T168" i="1" s="1"/>
  <c r="AH168" i="1"/>
  <c r="AI168" i="1"/>
  <c r="AJ168" i="1"/>
  <c r="CR168" i="1"/>
  <c r="CS168" i="1"/>
  <c r="CT168" i="1"/>
  <c r="CV168" i="1"/>
  <c r="U168" i="1" s="1"/>
  <c r="CW168" i="1"/>
  <c r="V168" i="1" s="1"/>
  <c r="CX168" i="1"/>
  <c r="W168" i="1" s="1"/>
  <c r="GL168" i="1"/>
  <c r="GN168" i="1"/>
  <c r="GO168" i="1"/>
  <c r="GP168" i="1"/>
  <c r="GV168" i="1"/>
  <c r="HC168" i="1"/>
  <c r="GX168" i="1" s="1"/>
  <c r="R169" i="1"/>
  <c r="S169" i="1"/>
  <c r="V169" i="1"/>
  <c r="AC169" i="1"/>
  <c r="AB169" i="1" s="1"/>
  <c r="AE169" i="1"/>
  <c r="AD169" i="1" s="1"/>
  <c r="AF169" i="1"/>
  <c r="AG169" i="1"/>
  <c r="CU169" i="1" s="1"/>
  <c r="T169" i="1" s="1"/>
  <c r="AH169" i="1"/>
  <c r="AI169" i="1"/>
  <c r="AJ169" i="1"/>
  <c r="CR169" i="1"/>
  <c r="CS169" i="1"/>
  <c r="CT169" i="1"/>
  <c r="CV169" i="1"/>
  <c r="U169" i="1" s="1"/>
  <c r="CW169" i="1"/>
  <c r="CX169" i="1"/>
  <c r="W169" i="1" s="1"/>
  <c r="GL169" i="1"/>
  <c r="GN169" i="1"/>
  <c r="GO169" i="1"/>
  <c r="GP169" i="1"/>
  <c r="GV169" i="1"/>
  <c r="HC169" i="1"/>
  <c r="GX169" i="1" s="1"/>
  <c r="R170" i="1"/>
  <c r="V170" i="1"/>
  <c r="AC170" i="1"/>
  <c r="AE170" i="1"/>
  <c r="AD170" i="1" s="1"/>
  <c r="AB170" i="1" s="1"/>
  <c r="AF170" i="1"/>
  <c r="S170" i="1" s="1"/>
  <c r="AG170" i="1"/>
  <c r="CU170" i="1" s="1"/>
  <c r="T170" i="1" s="1"/>
  <c r="AH170" i="1"/>
  <c r="AI170" i="1"/>
  <c r="AJ170" i="1"/>
  <c r="CX170" i="1" s="1"/>
  <c r="W170" i="1" s="1"/>
  <c r="CR170" i="1"/>
  <c r="CS170" i="1"/>
  <c r="CT170" i="1"/>
  <c r="CV170" i="1"/>
  <c r="U170" i="1" s="1"/>
  <c r="CW170" i="1"/>
  <c r="GL170" i="1"/>
  <c r="GN170" i="1"/>
  <c r="GP170" i="1"/>
  <c r="GV170" i="1"/>
  <c r="HC170" i="1" s="1"/>
  <c r="GX170" i="1" s="1"/>
  <c r="R171" i="1"/>
  <c r="S171" i="1"/>
  <c r="AC171" i="1"/>
  <c r="AB171" i="1" s="1"/>
  <c r="AD171" i="1"/>
  <c r="AE171" i="1"/>
  <c r="Q171" i="1" s="1"/>
  <c r="AF171" i="1"/>
  <c r="AG171" i="1"/>
  <c r="CU171" i="1" s="1"/>
  <c r="T171" i="1" s="1"/>
  <c r="AH171" i="1"/>
  <c r="CV171" i="1" s="1"/>
  <c r="U171" i="1" s="1"/>
  <c r="AI171" i="1"/>
  <c r="AJ171" i="1"/>
  <c r="CR171" i="1"/>
  <c r="CS171" i="1"/>
  <c r="CT171" i="1"/>
  <c r="CW171" i="1"/>
  <c r="V171" i="1" s="1"/>
  <c r="CX171" i="1"/>
  <c r="W171" i="1" s="1"/>
  <c r="CY171" i="1"/>
  <c r="GL171" i="1"/>
  <c r="GN171" i="1"/>
  <c r="GP171" i="1"/>
  <c r="GV171" i="1"/>
  <c r="HC171" i="1" s="1"/>
  <c r="GX171" i="1" s="1"/>
  <c r="P172" i="1"/>
  <c r="S172" i="1"/>
  <c r="AC172" i="1"/>
  <c r="AE172" i="1"/>
  <c r="Y172" i="1" s="1"/>
  <c r="AF172" i="1"/>
  <c r="AG172" i="1"/>
  <c r="AH172" i="1"/>
  <c r="CV172" i="1" s="1"/>
  <c r="U172" i="1" s="1"/>
  <c r="AI172" i="1"/>
  <c r="CW172" i="1" s="1"/>
  <c r="V172" i="1" s="1"/>
  <c r="AJ172" i="1"/>
  <c r="CQ172" i="1"/>
  <c r="CT172" i="1"/>
  <c r="CU172" i="1"/>
  <c r="T172" i="1" s="1"/>
  <c r="CX172" i="1"/>
  <c r="W172" i="1" s="1"/>
  <c r="CY172" i="1"/>
  <c r="GL172" i="1"/>
  <c r="GN172" i="1"/>
  <c r="GP172" i="1"/>
  <c r="GV172" i="1"/>
  <c r="HC172" i="1"/>
  <c r="GX172" i="1" s="1"/>
  <c r="P173" i="1"/>
  <c r="R173" i="1"/>
  <c r="U173" i="1"/>
  <c r="AB173" i="1"/>
  <c r="AC173" i="1"/>
  <c r="AE173" i="1"/>
  <c r="AD173" i="1" s="1"/>
  <c r="AF173" i="1"/>
  <c r="AG173" i="1"/>
  <c r="AH173" i="1"/>
  <c r="AI173" i="1"/>
  <c r="AJ173" i="1"/>
  <c r="CX173" i="1" s="1"/>
  <c r="W173" i="1" s="1"/>
  <c r="CQ173" i="1"/>
  <c r="CR173" i="1"/>
  <c r="CS173" i="1"/>
  <c r="CU173" i="1"/>
  <c r="T173" i="1" s="1"/>
  <c r="CV173" i="1"/>
  <c r="CW173" i="1"/>
  <c r="V173" i="1" s="1"/>
  <c r="GL173" i="1"/>
  <c r="GN173" i="1"/>
  <c r="GP173" i="1"/>
  <c r="GV173" i="1"/>
  <c r="GX173" i="1"/>
  <c r="HC173" i="1"/>
  <c r="C174" i="1"/>
  <c r="D174" i="1"/>
  <c r="S174" i="1"/>
  <c r="CZ174" i="1" s="1"/>
  <c r="T174" i="1"/>
  <c r="U174" i="1"/>
  <c r="Y174" i="1"/>
  <c r="AC174" i="1"/>
  <c r="CQ174" i="1" s="1"/>
  <c r="AE174" i="1"/>
  <c r="Q174" i="1" s="1"/>
  <c r="AF174" i="1"/>
  <c r="AG174" i="1"/>
  <c r="AH174" i="1"/>
  <c r="AI174" i="1"/>
  <c r="CW174" i="1" s="1"/>
  <c r="V174" i="1" s="1"/>
  <c r="AJ174" i="1"/>
  <c r="CR174" i="1"/>
  <c r="CT174" i="1"/>
  <c r="CU174" i="1"/>
  <c r="CV174" i="1"/>
  <c r="CX174" i="1"/>
  <c r="W174" i="1" s="1"/>
  <c r="CY174" i="1"/>
  <c r="GL174" i="1"/>
  <c r="GN174" i="1"/>
  <c r="CB191" i="1" s="1"/>
  <c r="GP174" i="1"/>
  <c r="GV174" i="1"/>
  <c r="HC174" i="1" s="1"/>
  <c r="GX174" i="1" s="1"/>
  <c r="C175" i="1"/>
  <c r="D175" i="1"/>
  <c r="R175" i="1"/>
  <c r="AC175" i="1"/>
  <c r="P175" i="1" s="1"/>
  <c r="CP175" i="1" s="1"/>
  <c r="O175" i="1" s="1"/>
  <c r="AD175" i="1"/>
  <c r="AE175" i="1"/>
  <c r="Q175" i="1" s="1"/>
  <c r="AF175" i="1"/>
  <c r="S175" i="1" s="1"/>
  <c r="AG175" i="1"/>
  <c r="CU175" i="1" s="1"/>
  <c r="T175" i="1" s="1"/>
  <c r="AH175" i="1"/>
  <c r="CV175" i="1" s="1"/>
  <c r="U175" i="1" s="1"/>
  <c r="AI175" i="1"/>
  <c r="AJ175" i="1"/>
  <c r="CR175" i="1"/>
  <c r="CS175" i="1"/>
  <c r="CW175" i="1"/>
  <c r="V175" i="1" s="1"/>
  <c r="CX175" i="1"/>
  <c r="W175" i="1" s="1"/>
  <c r="GL175" i="1"/>
  <c r="GN175" i="1"/>
  <c r="GP175" i="1"/>
  <c r="GV175" i="1"/>
  <c r="HC175" i="1" s="1"/>
  <c r="GX175" i="1"/>
  <c r="I176" i="1"/>
  <c r="S176" i="1"/>
  <c r="AC176" i="1"/>
  <c r="P176" i="1" s="1"/>
  <c r="AE176" i="1"/>
  <c r="AD176" i="1" s="1"/>
  <c r="AB176" i="1" s="1"/>
  <c r="AF176" i="1"/>
  <c r="CT176" i="1" s="1"/>
  <c r="AG176" i="1"/>
  <c r="AH176" i="1"/>
  <c r="AI176" i="1"/>
  <c r="CW176" i="1" s="1"/>
  <c r="V176" i="1" s="1"/>
  <c r="AJ176" i="1"/>
  <c r="CX176" i="1" s="1"/>
  <c r="W176" i="1" s="1"/>
  <c r="CQ176" i="1"/>
  <c r="CR176" i="1"/>
  <c r="CU176" i="1"/>
  <c r="T176" i="1" s="1"/>
  <c r="CV176" i="1"/>
  <c r="U176" i="1" s="1"/>
  <c r="CZ176" i="1"/>
  <c r="GL176" i="1"/>
  <c r="GN176" i="1"/>
  <c r="GO176" i="1"/>
  <c r="GP176" i="1"/>
  <c r="GV176" i="1"/>
  <c r="HC176" i="1" s="1"/>
  <c r="GX176" i="1" s="1"/>
  <c r="I177" i="1"/>
  <c r="P177" i="1"/>
  <c r="CP177" i="1" s="1"/>
  <c r="O177" i="1" s="1"/>
  <c r="S177" i="1"/>
  <c r="Y177" i="1" s="1"/>
  <c r="X177" i="1"/>
  <c r="AC177" i="1"/>
  <c r="AB177" i="1" s="1"/>
  <c r="AD177" i="1"/>
  <c r="AE177" i="1"/>
  <c r="Q177" i="1" s="1"/>
  <c r="AF177" i="1"/>
  <c r="AG177" i="1"/>
  <c r="AH177" i="1"/>
  <c r="CV177" i="1" s="1"/>
  <c r="U177" i="1" s="1"/>
  <c r="AI177" i="1"/>
  <c r="CW177" i="1" s="1"/>
  <c r="V177" i="1" s="1"/>
  <c r="AJ177" i="1"/>
  <c r="CQ177" i="1"/>
  <c r="CR177" i="1"/>
  <c r="CT177" i="1"/>
  <c r="CU177" i="1"/>
  <c r="T177" i="1" s="1"/>
  <c r="CX177" i="1"/>
  <c r="W177" i="1" s="1"/>
  <c r="CY177" i="1"/>
  <c r="GL177" i="1"/>
  <c r="FR191" i="1" s="1"/>
  <c r="GN177" i="1"/>
  <c r="GO177" i="1"/>
  <c r="GP177" i="1"/>
  <c r="GV177" i="1"/>
  <c r="HC177" i="1" s="1"/>
  <c r="GX177" i="1" s="1"/>
  <c r="P178" i="1"/>
  <c r="S178" i="1"/>
  <c r="Y178" i="1" s="1"/>
  <c r="X178" i="1"/>
  <c r="AC178" i="1"/>
  <c r="AB178" i="1" s="1"/>
  <c r="AD178" i="1"/>
  <c r="AE178" i="1"/>
  <c r="Q178" i="1" s="1"/>
  <c r="AF178" i="1"/>
  <c r="AG178" i="1"/>
  <c r="AH178" i="1"/>
  <c r="CV178" i="1" s="1"/>
  <c r="U178" i="1" s="1"/>
  <c r="AI178" i="1"/>
  <c r="CW178" i="1" s="1"/>
  <c r="V178" i="1" s="1"/>
  <c r="AJ178" i="1"/>
  <c r="CQ178" i="1"/>
  <c r="CR178" i="1"/>
  <c r="CT178" i="1"/>
  <c r="CU178" i="1"/>
  <c r="T178" i="1" s="1"/>
  <c r="CX178" i="1"/>
  <c r="W178" i="1" s="1"/>
  <c r="CY178" i="1"/>
  <c r="GL178" i="1"/>
  <c r="GN178" i="1"/>
  <c r="GP178" i="1"/>
  <c r="GV178" i="1"/>
  <c r="HC178" i="1" s="1"/>
  <c r="GX178" i="1" s="1"/>
  <c r="P179" i="1"/>
  <c r="AC179" i="1"/>
  <c r="AE179" i="1"/>
  <c r="AD179" i="1" s="1"/>
  <c r="AB179" i="1" s="1"/>
  <c r="AF179" i="1"/>
  <c r="S179" i="1" s="1"/>
  <c r="AG179" i="1"/>
  <c r="AH179" i="1"/>
  <c r="AI179" i="1"/>
  <c r="CW179" i="1" s="1"/>
  <c r="V179" i="1" s="1"/>
  <c r="AJ179" i="1"/>
  <c r="CX179" i="1" s="1"/>
  <c r="W179" i="1" s="1"/>
  <c r="CQ179" i="1"/>
  <c r="CR179" i="1"/>
  <c r="CU179" i="1"/>
  <c r="T179" i="1" s="1"/>
  <c r="CV179" i="1"/>
  <c r="U179" i="1" s="1"/>
  <c r="GL179" i="1"/>
  <c r="GN179" i="1"/>
  <c r="GP179" i="1"/>
  <c r="GV179" i="1"/>
  <c r="HC179" i="1"/>
  <c r="GX179" i="1" s="1"/>
  <c r="I180" i="1"/>
  <c r="R180" i="1" s="1"/>
  <c r="K180" i="1"/>
  <c r="P180" i="1"/>
  <c r="S180" i="1"/>
  <c r="Y180" i="1" s="1"/>
  <c r="X180" i="1"/>
  <c r="AC180" i="1"/>
  <c r="AB180" i="1" s="1"/>
  <c r="AD180" i="1"/>
  <c r="AE180" i="1"/>
  <c r="Q180" i="1" s="1"/>
  <c r="AF180" i="1"/>
  <c r="AG180" i="1"/>
  <c r="AH180" i="1"/>
  <c r="CV180" i="1" s="1"/>
  <c r="U180" i="1" s="1"/>
  <c r="AI180" i="1"/>
  <c r="CW180" i="1" s="1"/>
  <c r="V180" i="1" s="1"/>
  <c r="AJ180" i="1"/>
  <c r="CQ180" i="1"/>
  <c r="CR180" i="1"/>
  <c r="CT180" i="1"/>
  <c r="CU180" i="1"/>
  <c r="T180" i="1" s="1"/>
  <c r="CX180" i="1"/>
  <c r="W180" i="1" s="1"/>
  <c r="CY180" i="1"/>
  <c r="GL180" i="1"/>
  <c r="GN180" i="1"/>
  <c r="GP180" i="1"/>
  <c r="GV180" i="1"/>
  <c r="HC180" i="1" s="1"/>
  <c r="GX180" i="1" s="1"/>
  <c r="I181" i="1"/>
  <c r="K181" i="1"/>
  <c r="R181" i="1"/>
  <c r="S181" i="1"/>
  <c r="X181" i="1" s="1"/>
  <c r="AC181" i="1"/>
  <c r="AB181" i="1" s="1"/>
  <c r="AD181" i="1"/>
  <c r="AE181" i="1"/>
  <c r="Q181" i="1" s="1"/>
  <c r="AF181" i="1"/>
  <c r="AG181" i="1"/>
  <c r="CU181" i="1" s="1"/>
  <c r="T181" i="1" s="1"/>
  <c r="AH181" i="1"/>
  <c r="CV181" i="1" s="1"/>
  <c r="U181" i="1" s="1"/>
  <c r="AI181" i="1"/>
  <c r="AJ181" i="1"/>
  <c r="CR181" i="1"/>
  <c r="CS181" i="1"/>
  <c r="CT181" i="1"/>
  <c r="CW181" i="1"/>
  <c r="V181" i="1" s="1"/>
  <c r="CX181" i="1"/>
  <c r="W181" i="1" s="1"/>
  <c r="GL181" i="1"/>
  <c r="GN181" i="1"/>
  <c r="GP181" i="1"/>
  <c r="FV191" i="1" s="1"/>
  <c r="GV181" i="1"/>
  <c r="HC181" i="1" s="1"/>
  <c r="GX181" i="1" s="1"/>
  <c r="P182" i="1"/>
  <c r="S182" i="1"/>
  <c r="Y182" i="1" s="1"/>
  <c r="X182" i="1"/>
  <c r="AC182" i="1"/>
  <c r="AB182" i="1" s="1"/>
  <c r="AD182" i="1"/>
  <c r="AE182" i="1"/>
  <c r="Q182" i="1" s="1"/>
  <c r="AF182" i="1"/>
  <c r="AG182" i="1"/>
  <c r="AH182" i="1"/>
  <c r="CV182" i="1" s="1"/>
  <c r="U182" i="1" s="1"/>
  <c r="AI182" i="1"/>
  <c r="CW182" i="1" s="1"/>
  <c r="V182" i="1" s="1"/>
  <c r="AJ182" i="1"/>
  <c r="CQ182" i="1"/>
  <c r="CR182" i="1"/>
  <c r="CT182" i="1"/>
  <c r="CU182" i="1"/>
  <c r="T182" i="1" s="1"/>
  <c r="CX182" i="1"/>
  <c r="W182" i="1" s="1"/>
  <c r="CY182" i="1"/>
  <c r="GL182" i="1"/>
  <c r="GN182" i="1"/>
  <c r="GP182" i="1"/>
  <c r="GV182" i="1"/>
  <c r="HC182" i="1" s="1"/>
  <c r="GX182" i="1" s="1"/>
  <c r="P183" i="1"/>
  <c r="AC183" i="1"/>
  <c r="AE183" i="1"/>
  <c r="AD183" i="1" s="1"/>
  <c r="AB183" i="1" s="1"/>
  <c r="AF183" i="1"/>
  <c r="S183" i="1" s="1"/>
  <c r="AG183" i="1"/>
  <c r="AH183" i="1"/>
  <c r="AI183" i="1"/>
  <c r="CW183" i="1" s="1"/>
  <c r="V183" i="1" s="1"/>
  <c r="AJ183" i="1"/>
  <c r="CX183" i="1" s="1"/>
  <c r="W183" i="1" s="1"/>
  <c r="CQ183" i="1"/>
  <c r="CR183" i="1"/>
  <c r="CU183" i="1"/>
  <c r="T183" i="1" s="1"/>
  <c r="CV183" i="1"/>
  <c r="U183" i="1" s="1"/>
  <c r="GL183" i="1"/>
  <c r="GN183" i="1"/>
  <c r="GP183" i="1"/>
  <c r="GV183" i="1"/>
  <c r="HC183" i="1"/>
  <c r="GX183" i="1" s="1"/>
  <c r="R184" i="1"/>
  <c r="V184" i="1"/>
  <c r="AC184" i="1"/>
  <c r="P184" i="1" s="1"/>
  <c r="AE184" i="1"/>
  <c r="Q184" i="1" s="1"/>
  <c r="AF184" i="1"/>
  <c r="S184" i="1" s="1"/>
  <c r="AG184" i="1"/>
  <c r="CU184" i="1" s="1"/>
  <c r="T184" i="1" s="1"/>
  <c r="AH184" i="1"/>
  <c r="AI184" i="1"/>
  <c r="AJ184" i="1"/>
  <c r="CX184" i="1" s="1"/>
  <c r="W184" i="1" s="1"/>
  <c r="CR184" i="1"/>
  <c r="CS184" i="1"/>
  <c r="CV184" i="1"/>
  <c r="U184" i="1" s="1"/>
  <c r="CW184" i="1"/>
  <c r="GL184" i="1"/>
  <c r="GN184" i="1"/>
  <c r="GP184" i="1"/>
  <c r="GV184" i="1"/>
  <c r="HC184" i="1"/>
  <c r="GX184" i="1" s="1"/>
  <c r="R185" i="1"/>
  <c r="S185" i="1"/>
  <c r="X185" i="1" s="1"/>
  <c r="V185" i="1"/>
  <c r="AC185" i="1"/>
  <c r="AB185" i="1" s="1"/>
  <c r="AD185" i="1"/>
  <c r="AE185" i="1"/>
  <c r="Q185" i="1" s="1"/>
  <c r="AF185" i="1"/>
  <c r="AG185" i="1"/>
  <c r="CU185" i="1" s="1"/>
  <c r="T185" i="1" s="1"/>
  <c r="AH185" i="1"/>
  <c r="CV185" i="1" s="1"/>
  <c r="U185" i="1" s="1"/>
  <c r="AI185" i="1"/>
  <c r="AJ185" i="1"/>
  <c r="CR185" i="1"/>
  <c r="CS185" i="1"/>
  <c r="CT185" i="1"/>
  <c r="CW185" i="1"/>
  <c r="CX185" i="1"/>
  <c r="W185" i="1" s="1"/>
  <c r="GL185" i="1"/>
  <c r="GN185" i="1"/>
  <c r="GP185" i="1"/>
  <c r="GV185" i="1"/>
  <c r="HC185" i="1" s="1"/>
  <c r="GX185" i="1" s="1"/>
  <c r="C186" i="1"/>
  <c r="D186" i="1"/>
  <c r="R186" i="1"/>
  <c r="AC186" i="1"/>
  <c r="P186" i="1" s="1"/>
  <c r="AE186" i="1"/>
  <c r="Q186" i="1" s="1"/>
  <c r="AF186" i="1"/>
  <c r="S186" i="1" s="1"/>
  <c r="AG186" i="1"/>
  <c r="CU186" i="1" s="1"/>
  <c r="T186" i="1" s="1"/>
  <c r="AH186" i="1"/>
  <c r="AI186" i="1"/>
  <c r="AJ186" i="1"/>
  <c r="CX186" i="1" s="1"/>
  <c r="W186" i="1" s="1"/>
  <c r="CR186" i="1"/>
  <c r="CS186" i="1"/>
  <c r="CV186" i="1"/>
  <c r="U186" i="1" s="1"/>
  <c r="CW186" i="1"/>
  <c r="V186" i="1" s="1"/>
  <c r="GL186" i="1"/>
  <c r="GN186" i="1"/>
  <c r="GP186" i="1"/>
  <c r="GV186" i="1"/>
  <c r="HC186" i="1"/>
  <c r="GX186" i="1" s="1"/>
  <c r="C187" i="1"/>
  <c r="D187" i="1"/>
  <c r="P187" i="1"/>
  <c r="AC187" i="1"/>
  <c r="AE187" i="1"/>
  <c r="AD187" i="1" s="1"/>
  <c r="AB187" i="1" s="1"/>
  <c r="AF187" i="1"/>
  <c r="S187" i="1" s="1"/>
  <c r="AG187" i="1"/>
  <c r="AH187" i="1"/>
  <c r="AI187" i="1"/>
  <c r="CW187" i="1" s="1"/>
  <c r="V187" i="1" s="1"/>
  <c r="AJ187" i="1"/>
  <c r="CX187" i="1" s="1"/>
  <c r="W187" i="1" s="1"/>
  <c r="CQ187" i="1"/>
  <c r="CR187" i="1"/>
  <c r="CU187" i="1"/>
  <c r="T187" i="1" s="1"/>
  <c r="CV187" i="1"/>
  <c r="U187" i="1" s="1"/>
  <c r="GL187" i="1"/>
  <c r="GN187" i="1"/>
  <c r="GP187" i="1"/>
  <c r="GV187" i="1"/>
  <c r="HC187" i="1"/>
  <c r="GX187" i="1" s="1"/>
  <c r="I188" i="1"/>
  <c r="P188" i="1"/>
  <c r="FR188" i="1" s="1"/>
  <c r="AC188" i="1"/>
  <c r="AE188" i="1"/>
  <c r="AD188" i="1" s="1"/>
  <c r="AB188" i="1" s="1"/>
  <c r="AF188" i="1"/>
  <c r="S188" i="1" s="1"/>
  <c r="AG188" i="1"/>
  <c r="AH188" i="1"/>
  <c r="AI188" i="1"/>
  <c r="CW188" i="1" s="1"/>
  <c r="V188" i="1" s="1"/>
  <c r="AJ188" i="1"/>
  <c r="CX188" i="1" s="1"/>
  <c r="W188" i="1" s="1"/>
  <c r="CQ188" i="1"/>
  <c r="CR188" i="1"/>
  <c r="CU188" i="1"/>
  <c r="T188" i="1" s="1"/>
  <c r="CV188" i="1"/>
  <c r="U188" i="1" s="1"/>
  <c r="GL188" i="1"/>
  <c r="GN188" i="1"/>
  <c r="GO188" i="1"/>
  <c r="GP188" i="1"/>
  <c r="GV188" i="1"/>
  <c r="HC188" i="1" s="1"/>
  <c r="GX188" i="1" s="1"/>
  <c r="I189" i="1"/>
  <c r="P189" i="1"/>
  <c r="CP189" i="1" s="1"/>
  <c r="O189" i="1" s="1"/>
  <c r="GM189" i="1" s="1"/>
  <c r="S189" i="1"/>
  <c r="Y189" i="1" s="1"/>
  <c r="X189" i="1"/>
  <c r="AC189" i="1"/>
  <c r="AB189" i="1" s="1"/>
  <c r="AD189" i="1"/>
  <c r="AE189" i="1"/>
  <c r="Q189" i="1" s="1"/>
  <c r="AF189" i="1"/>
  <c r="AG189" i="1"/>
  <c r="AH189" i="1"/>
  <c r="CV189" i="1" s="1"/>
  <c r="U189" i="1" s="1"/>
  <c r="AI189" i="1"/>
  <c r="CW189" i="1" s="1"/>
  <c r="V189" i="1" s="1"/>
  <c r="AJ189" i="1"/>
  <c r="CQ189" i="1"/>
  <c r="CR189" i="1"/>
  <c r="CT189" i="1"/>
  <c r="CU189" i="1"/>
  <c r="T189" i="1" s="1"/>
  <c r="CX189" i="1"/>
  <c r="W189" i="1" s="1"/>
  <c r="CY189" i="1"/>
  <c r="GL189" i="1"/>
  <c r="GN189" i="1"/>
  <c r="GO189" i="1"/>
  <c r="GP189" i="1"/>
  <c r="GV189" i="1"/>
  <c r="HC189" i="1" s="1"/>
  <c r="GX189" i="1" s="1"/>
  <c r="B191" i="1"/>
  <c r="B148" i="1" s="1"/>
  <c r="C191" i="1"/>
  <c r="C148" i="1" s="1"/>
  <c r="D191" i="1"/>
  <c r="D148" i="1" s="1"/>
  <c r="F191" i="1"/>
  <c r="F148" i="1" s="1"/>
  <c r="G191" i="1"/>
  <c r="G148" i="1" s="1"/>
  <c r="BX191" i="1"/>
  <c r="BX148" i="1" s="1"/>
  <c r="BZ191" i="1"/>
  <c r="BZ148" i="1" s="1"/>
  <c r="CD191" i="1"/>
  <c r="CD148" i="1" s="1"/>
  <c r="CK191" i="1"/>
  <c r="CK148" i="1" s="1"/>
  <c r="CL191" i="1"/>
  <c r="CL148" i="1" s="1"/>
  <c r="CM191" i="1"/>
  <c r="CM148" i="1" s="1"/>
  <c r="FP191" i="1"/>
  <c r="FP148" i="1" s="1"/>
  <c r="FT191" i="1"/>
  <c r="FT148" i="1" s="1"/>
  <c r="GC191" i="1"/>
  <c r="GC148" i="1" s="1"/>
  <c r="GD191" i="1"/>
  <c r="GD148" i="1" s="1"/>
  <c r="GE191" i="1"/>
  <c r="GE148" i="1" s="1"/>
  <c r="B221" i="1"/>
  <c r="B22" i="1" s="1"/>
  <c r="C221" i="1"/>
  <c r="C22" i="1" s="1"/>
  <c r="D221" i="1"/>
  <c r="D22" i="1" s="1"/>
  <c r="F221" i="1"/>
  <c r="F22" i="1" s="1"/>
  <c r="G221" i="1"/>
  <c r="G22" i="1" s="1"/>
  <c r="B251" i="1"/>
  <c r="B18" i="1" s="1"/>
  <c r="C251" i="1"/>
  <c r="C18" i="1" s="1"/>
  <c r="D251" i="1"/>
  <c r="D18" i="1" s="1"/>
  <c r="F251" i="1"/>
  <c r="F18" i="1" s="1"/>
  <c r="G251" i="1"/>
  <c r="G18" i="1" s="1"/>
  <c r="F12" i="6"/>
  <c r="G12" i="6"/>
  <c r="J294" i="7" l="1"/>
  <c r="H298" i="7"/>
  <c r="H302" i="7"/>
  <c r="H94" i="7"/>
  <c r="H186" i="7"/>
  <c r="J302" i="7"/>
  <c r="J298" i="7"/>
  <c r="J94" i="7"/>
  <c r="J186" i="7"/>
  <c r="CP186" i="1"/>
  <c r="O186" i="1" s="1"/>
  <c r="AI191" i="1"/>
  <c r="X188" i="1"/>
  <c r="Y188" i="1"/>
  <c r="CZ188" i="1"/>
  <c r="CY188" i="1"/>
  <c r="Y184" i="1"/>
  <c r="CZ184" i="1"/>
  <c r="X184" i="1"/>
  <c r="CY184" i="1"/>
  <c r="FV148" i="1"/>
  <c r="EM191" i="1"/>
  <c r="CP180" i="1"/>
  <c r="O180" i="1" s="1"/>
  <c r="GM180" i="1" s="1"/>
  <c r="GO180" i="1" s="1"/>
  <c r="X179" i="1"/>
  <c r="CY179" i="1"/>
  <c r="Y179" i="1"/>
  <c r="CZ179" i="1"/>
  <c r="CP178" i="1"/>
  <c r="O178" i="1" s="1"/>
  <c r="GM178" i="1" s="1"/>
  <c r="GO178" i="1" s="1"/>
  <c r="FR176" i="1"/>
  <c r="Y175" i="1"/>
  <c r="CZ175" i="1"/>
  <c r="X175" i="1"/>
  <c r="GM175" i="1" s="1"/>
  <c r="GO175" i="1" s="1"/>
  <c r="CY175" i="1"/>
  <c r="EB191" i="1"/>
  <c r="DY191" i="1"/>
  <c r="GB191" i="1"/>
  <c r="Y186" i="1"/>
  <c r="X186" i="1"/>
  <c r="CY186" i="1"/>
  <c r="CZ186" i="1"/>
  <c r="FR148" i="1"/>
  <c r="EI191" i="1"/>
  <c r="CB148" i="1"/>
  <c r="AS191" i="1"/>
  <c r="X170" i="1"/>
  <c r="CY170" i="1"/>
  <c r="Y170" i="1"/>
  <c r="CZ170" i="1"/>
  <c r="AG191" i="1"/>
  <c r="DZ191" i="1"/>
  <c r="EA191" i="1"/>
  <c r="X187" i="1"/>
  <c r="CY187" i="1"/>
  <c r="Y187" i="1"/>
  <c r="CZ187" i="1"/>
  <c r="CP184" i="1"/>
  <c r="O184" i="1" s="1"/>
  <c r="GM184" i="1" s="1"/>
  <c r="GO184" i="1" s="1"/>
  <c r="X183" i="1"/>
  <c r="CY183" i="1"/>
  <c r="Y183" i="1"/>
  <c r="CZ183" i="1"/>
  <c r="CP182" i="1"/>
  <c r="O182" i="1" s="1"/>
  <c r="GM182" i="1" s="1"/>
  <c r="GO182" i="1" s="1"/>
  <c r="GM177" i="1"/>
  <c r="AH191" i="1"/>
  <c r="CJ191" i="1"/>
  <c r="EK191" i="1"/>
  <c r="EV191" i="1"/>
  <c r="BB191" i="1"/>
  <c r="EU191" i="1"/>
  <c r="AO191" i="1"/>
  <c r="FR189" i="1"/>
  <c r="CS189" i="1"/>
  <c r="R189" i="1"/>
  <c r="CT188" i="1"/>
  <c r="CT187" i="1"/>
  <c r="CQ186" i="1"/>
  <c r="AD186" i="1"/>
  <c r="AB186" i="1" s="1"/>
  <c r="CZ185" i="1"/>
  <c r="Y185" i="1"/>
  <c r="CQ184" i="1"/>
  <c r="AD184" i="1"/>
  <c r="AB184" i="1" s="1"/>
  <c r="CT183" i="1"/>
  <c r="CS182" i="1"/>
  <c r="R182" i="1"/>
  <c r="CZ181" i="1"/>
  <c r="Y181" i="1"/>
  <c r="CS180" i="1"/>
  <c r="CT179" i="1"/>
  <c r="CS178" i="1"/>
  <c r="R178" i="1"/>
  <c r="FR177" i="1"/>
  <c r="CS177" i="1"/>
  <c r="R177" i="1"/>
  <c r="CQ175" i="1"/>
  <c r="AD174" i="1"/>
  <c r="S173" i="1"/>
  <c r="CT173" i="1"/>
  <c r="Q173" i="1"/>
  <c r="P171" i="1"/>
  <c r="CP171" i="1" s="1"/>
  <c r="O171" i="1" s="1"/>
  <c r="P170" i="1"/>
  <c r="CQ170" i="1"/>
  <c r="CR167" i="1"/>
  <c r="CU176" i="3"/>
  <c r="P167" i="1"/>
  <c r="W166" i="1"/>
  <c r="AJ191" i="1" s="1"/>
  <c r="CR166" i="1"/>
  <c r="AD166" i="1"/>
  <c r="R165" i="1"/>
  <c r="CS165" i="1"/>
  <c r="X165" i="1"/>
  <c r="Q165" i="1"/>
  <c r="CR164" i="1"/>
  <c r="R163" i="1"/>
  <c r="R161" i="1"/>
  <c r="CS161" i="1"/>
  <c r="X161" i="1"/>
  <c r="Q161" i="1"/>
  <c r="CR160" i="1"/>
  <c r="R159" i="1"/>
  <c r="CP155" i="1"/>
  <c r="O155" i="1" s="1"/>
  <c r="GM155" i="1" s="1"/>
  <c r="GO155" i="1" s="1"/>
  <c r="AB150" i="1"/>
  <c r="CD83" i="1"/>
  <c r="AU116" i="1"/>
  <c r="BZ83" i="1"/>
  <c r="CG116" i="1"/>
  <c r="AQ116" i="1"/>
  <c r="EG191" i="1"/>
  <c r="AU191" i="1"/>
  <c r="Q188" i="1"/>
  <c r="CP188" i="1" s="1"/>
  <c r="O188" i="1" s="1"/>
  <c r="GM188" i="1" s="1"/>
  <c r="CG191" i="1"/>
  <c r="FY191" i="1"/>
  <c r="ET191" i="1"/>
  <c r="BD191" i="1"/>
  <c r="CZ189" i="1"/>
  <c r="CS188" i="1"/>
  <c r="R188" i="1"/>
  <c r="CS187" i="1"/>
  <c r="R187" i="1"/>
  <c r="CT186" i="1"/>
  <c r="CY185" i="1"/>
  <c r="CQ185" i="1"/>
  <c r="P185" i="1"/>
  <c r="CP185" i="1" s="1"/>
  <c r="O185" i="1" s="1"/>
  <c r="GM185" i="1" s="1"/>
  <c r="GO185" i="1" s="1"/>
  <c r="CT184" i="1"/>
  <c r="CS183" i="1"/>
  <c r="R183" i="1"/>
  <c r="CZ182" i="1"/>
  <c r="CY181" i="1"/>
  <c r="CQ181" i="1"/>
  <c r="P181" i="1"/>
  <c r="CP181" i="1" s="1"/>
  <c r="O181" i="1" s="1"/>
  <c r="GM181" i="1" s="1"/>
  <c r="GO181" i="1" s="1"/>
  <c r="CZ180" i="1"/>
  <c r="CS179" i="1"/>
  <c r="R179" i="1"/>
  <c r="CZ178" i="1"/>
  <c r="CZ177" i="1"/>
  <c r="CS176" i="1"/>
  <c r="CT175" i="1"/>
  <c r="AB174" i="1"/>
  <c r="P174" i="1"/>
  <c r="CP174" i="1" s="1"/>
  <c r="O174" i="1" s="1"/>
  <c r="CP173" i="1"/>
  <c r="O173" i="1" s="1"/>
  <c r="CZ172" i="1"/>
  <c r="CQ171" i="1"/>
  <c r="R167" i="1"/>
  <c r="AB166" i="1"/>
  <c r="CU175" i="3"/>
  <c r="CX175" i="3"/>
  <c r="R166" i="1"/>
  <c r="S166" i="1"/>
  <c r="FR165" i="1"/>
  <c r="CP165" i="1"/>
  <c r="O165" i="1" s="1"/>
  <c r="GM165" i="1" s="1"/>
  <c r="R164" i="1"/>
  <c r="S163" i="1"/>
  <c r="CT163" i="1"/>
  <c r="Q163" i="1"/>
  <c r="FR161" i="1"/>
  <c r="CP161" i="1"/>
  <c r="O161" i="1" s="1"/>
  <c r="GM161" i="1" s="1"/>
  <c r="R160" i="1"/>
  <c r="S159" i="1"/>
  <c r="CT159" i="1"/>
  <c r="Q159" i="1"/>
  <c r="X158" i="1"/>
  <c r="CY158" i="1"/>
  <c r="Y158" i="1"/>
  <c r="CZ158" i="1"/>
  <c r="CP151" i="1"/>
  <c r="O151" i="1" s="1"/>
  <c r="Y114" i="1"/>
  <c r="CZ114" i="1"/>
  <c r="X114" i="1"/>
  <c r="CY114" i="1"/>
  <c r="Y110" i="1"/>
  <c r="CZ110" i="1"/>
  <c r="X110" i="1"/>
  <c r="CY110" i="1"/>
  <c r="Y106" i="1"/>
  <c r="CZ106" i="1"/>
  <c r="X106" i="1"/>
  <c r="CY106" i="1"/>
  <c r="AG116" i="1"/>
  <c r="BC191" i="1"/>
  <c r="AQ191" i="1"/>
  <c r="Q187" i="1"/>
  <c r="CP187" i="1" s="1"/>
  <c r="O187" i="1" s="1"/>
  <c r="GM187" i="1" s="1"/>
  <c r="GO187" i="1" s="1"/>
  <c r="Q183" i="1"/>
  <c r="CP183" i="1" s="1"/>
  <c r="O183" i="1" s="1"/>
  <c r="GM183" i="1" s="1"/>
  <c r="GO183" i="1" s="1"/>
  <c r="Q179" i="1"/>
  <c r="CP179" i="1" s="1"/>
  <c r="O179" i="1" s="1"/>
  <c r="GM179" i="1" s="1"/>
  <c r="GO179" i="1" s="1"/>
  <c r="X176" i="1"/>
  <c r="Y176" i="1"/>
  <c r="Q176" i="1"/>
  <c r="CP176" i="1" s="1"/>
  <c r="O176" i="1" s="1"/>
  <c r="GM176" i="1" s="1"/>
  <c r="AB175" i="1"/>
  <c r="R172" i="1"/>
  <c r="CS172" i="1"/>
  <c r="X172" i="1"/>
  <c r="Q172" i="1"/>
  <c r="Y171" i="1"/>
  <c r="CZ171" i="1"/>
  <c r="P168" i="1"/>
  <c r="CQ168" i="1"/>
  <c r="X168" i="1"/>
  <c r="CY168" i="1"/>
  <c r="Y168" i="1"/>
  <c r="CZ168" i="1"/>
  <c r="S167" i="1"/>
  <c r="CT167" i="1"/>
  <c r="S164" i="1"/>
  <c r="CT164" i="1"/>
  <c r="CP163" i="1"/>
  <c r="O163" i="1" s="1"/>
  <c r="S160" i="1"/>
  <c r="CT160" i="1"/>
  <c r="CP159" i="1"/>
  <c r="O159" i="1" s="1"/>
  <c r="GM156" i="1"/>
  <c r="GO156" i="1" s="1"/>
  <c r="X150" i="1"/>
  <c r="CY150" i="1"/>
  <c r="Y150" i="1"/>
  <c r="CZ150" i="1"/>
  <c r="CP114" i="1"/>
  <c r="O114" i="1" s="1"/>
  <c r="GM114" i="1" s="1"/>
  <c r="GO114" i="1" s="1"/>
  <c r="CP110" i="1"/>
  <c r="O110" i="1" s="1"/>
  <c r="GM110" i="1" s="1"/>
  <c r="GO110" i="1" s="1"/>
  <c r="FT83" i="1"/>
  <c r="EK116" i="1"/>
  <c r="CP106" i="1"/>
  <c r="O106" i="1" s="1"/>
  <c r="GM106" i="1" s="1"/>
  <c r="GO106" i="1" s="1"/>
  <c r="AI116" i="1"/>
  <c r="AH116" i="1"/>
  <c r="CY176" i="1"/>
  <c r="R176" i="1"/>
  <c r="R174" i="1"/>
  <c r="CS174" i="1"/>
  <c r="X174" i="1"/>
  <c r="CR172" i="1"/>
  <c r="AD172" i="1"/>
  <c r="AB172" i="1" s="1"/>
  <c r="CP172" i="1"/>
  <c r="O172" i="1" s="1"/>
  <c r="GM172" i="1" s="1"/>
  <c r="GO172" i="1" s="1"/>
  <c r="X171" i="1"/>
  <c r="P169" i="1"/>
  <c r="CQ169" i="1"/>
  <c r="X169" i="1"/>
  <c r="CY169" i="1"/>
  <c r="Y169" i="1"/>
  <c r="CZ169" i="1"/>
  <c r="AB168" i="1"/>
  <c r="CP166" i="1"/>
  <c r="O166" i="1" s="1"/>
  <c r="CP164" i="1"/>
  <c r="O164" i="1" s="1"/>
  <c r="CR163" i="1"/>
  <c r="P162" i="1"/>
  <c r="CQ162" i="1"/>
  <c r="X162" i="1"/>
  <c r="CY162" i="1"/>
  <c r="Y162" i="1"/>
  <c r="CZ162" i="1"/>
  <c r="CP160" i="1"/>
  <c r="O160" i="1" s="1"/>
  <c r="CR159" i="1"/>
  <c r="AB158" i="1"/>
  <c r="P158" i="1"/>
  <c r="CQ158" i="1"/>
  <c r="GM157" i="1"/>
  <c r="GO157" i="1" s="1"/>
  <c r="Y153" i="1"/>
  <c r="CZ153" i="1"/>
  <c r="X153" i="1"/>
  <c r="CY153" i="1"/>
  <c r="Y152" i="1"/>
  <c r="CZ152" i="1"/>
  <c r="X152" i="1"/>
  <c r="CY152" i="1"/>
  <c r="Y151" i="1"/>
  <c r="CZ151" i="1"/>
  <c r="X151" i="1"/>
  <c r="CY151" i="1"/>
  <c r="AB113" i="1"/>
  <c r="AB111" i="1"/>
  <c r="AB109" i="1"/>
  <c r="AB107" i="1"/>
  <c r="CJ116" i="1"/>
  <c r="X104" i="1"/>
  <c r="CY104" i="1"/>
  <c r="Y104" i="1"/>
  <c r="CZ104" i="1"/>
  <c r="Q170" i="1"/>
  <c r="Q169" i="1"/>
  <c r="Q168" i="1"/>
  <c r="Q162" i="1"/>
  <c r="Q158" i="1"/>
  <c r="CZ154" i="1"/>
  <c r="Y154" i="1"/>
  <c r="Q154" i="1"/>
  <c r="CX155" i="3"/>
  <c r="CU155" i="3"/>
  <c r="CX159" i="3"/>
  <c r="P153" i="1"/>
  <c r="P152" i="1"/>
  <c r="CP152" i="1" s="1"/>
  <c r="O152" i="1" s="1"/>
  <c r="GM152" i="1" s="1"/>
  <c r="GO152" i="1" s="1"/>
  <c r="AD151" i="1"/>
  <c r="AB151" i="1" s="1"/>
  <c r="FY116" i="1"/>
  <c r="ET116" i="1"/>
  <c r="EH116" i="1"/>
  <c r="CI116" i="1"/>
  <c r="BD116" i="1"/>
  <c r="AD114" i="1"/>
  <c r="AB114" i="1" s="1"/>
  <c r="CZ113" i="1"/>
  <c r="Y113" i="1"/>
  <c r="Q113" i="1"/>
  <c r="S111" i="1"/>
  <c r="AD110" i="1"/>
  <c r="AB110" i="1" s="1"/>
  <c r="CZ109" i="1"/>
  <c r="Y109" i="1"/>
  <c r="Q109" i="1"/>
  <c r="S107" i="1"/>
  <c r="AD106" i="1"/>
  <c r="AB106" i="1" s="1"/>
  <c r="W105" i="1"/>
  <c r="AJ116" i="1" s="1"/>
  <c r="S105" i="1"/>
  <c r="CT105" i="1"/>
  <c r="P105" i="1"/>
  <c r="CP105" i="1" s="1"/>
  <c r="O105" i="1" s="1"/>
  <c r="P104" i="1"/>
  <c r="CQ104" i="1"/>
  <c r="AB103" i="1"/>
  <c r="Y103" i="1"/>
  <c r="CZ103" i="1"/>
  <c r="R102" i="1"/>
  <c r="S102" i="1"/>
  <c r="CR101" i="1"/>
  <c r="P99" i="1"/>
  <c r="CP99" i="1" s="1"/>
  <c r="O99" i="1" s="1"/>
  <c r="CQ99" i="1"/>
  <c r="AB99" i="1"/>
  <c r="P97" i="1"/>
  <c r="CP97" i="1" s="1"/>
  <c r="O97" i="1" s="1"/>
  <c r="CQ97" i="1"/>
  <c r="AB97" i="1"/>
  <c r="P95" i="1"/>
  <c r="CP85" i="1"/>
  <c r="O85" i="1" s="1"/>
  <c r="EA51" i="1"/>
  <c r="CZ157" i="1"/>
  <c r="CZ156" i="1"/>
  <c r="CZ155" i="1"/>
  <c r="CU161" i="3"/>
  <c r="CX161" i="3"/>
  <c r="CX165" i="3"/>
  <c r="CY154" i="1"/>
  <c r="CQ154" i="1"/>
  <c r="P154" i="1"/>
  <c r="CP154" i="1" s="1"/>
  <c r="O154" i="1" s="1"/>
  <c r="GM154" i="1" s="1"/>
  <c r="GO154" i="1" s="1"/>
  <c r="CT153" i="1"/>
  <c r="CT152" i="1"/>
  <c r="CT151" i="1"/>
  <c r="CS150" i="1"/>
  <c r="EG116" i="1"/>
  <c r="BC116" i="1"/>
  <c r="CT114" i="1"/>
  <c r="CY113" i="1"/>
  <c r="CQ113" i="1"/>
  <c r="P113" i="1"/>
  <c r="CP113" i="1" s="1"/>
  <c r="O113" i="1" s="1"/>
  <c r="CZ112" i="1"/>
  <c r="CS111" i="1"/>
  <c r="R111" i="1"/>
  <c r="CT110" i="1"/>
  <c r="CY109" i="1"/>
  <c r="CQ109" i="1"/>
  <c r="P109" i="1"/>
  <c r="CP109" i="1" s="1"/>
  <c r="O109" i="1" s="1"/>
  <c r="GM109" i="1" s="1"/>
  <c r="GO109" i="1" s="1"/>
  <c r="CZ108" i="1"/>
  <c r="CS107" i="1"/>
  <c r="R107" i="1"/>
  <c r="CT106" i="1"/>
  <c r="X103" i="1"/>
  <c r="GM103" i="1" s="1"/>
  <c r="GO103" i="1" s="1"/>
  <c r="Q102" i="1"/>
  <c r="R101" i="1"/>
  <c r="S96" i="1"/>
  <c r="CT96" i="1"/>
  <c r="CZ95" i="1"/>
  <c r="CX109" i="3"/>
  <c r="CX112" i="3"/>
  <c r="CU109" i="3"/>
  <c r="CV109" i="3"/>
  <c r="CW111" i="3"/>
  <c r="CX114" i="3"/>
  <c r="R95" i="1"/>
  <c r="CP93" i="1"/>
  <c r="O93" i="1" s="1"/>
  <c r="X90" i="1"/>
  <c r="CY90" i="1"/>
  <c r="Y90" i="1"/>
  <c r="CZ90" i="1"/>
  <c r="FV26" i="1"/>
  <c r="EM51" i="1"/>
  <c r="Q150" i="1"/>
  <c r="AD191" i="1" s="1"/>
  <c r="CX143" i="3"/>
  <c r="CX147" i="3"/>
  <c r="CU143" i="3"/>
  <c r="EV116" i="1"/>
  <c r="ER116" i="1"/>
  <c r="BB116" i="1"/>
  <c r="AP116" i="1"/>
  <c r="Q111" i="1"/>
  <c r="CP111" i="1" s="1"/>
  <c r="O111" i="1" s="1"/>
  <c r="Q107" i="1"/>
  <c r="CP107" i="1" s="1"/>
  <c r="O107" i="1" s="1"/>
  <c r="CP102" i="1"/>
  <c r="O102" i="1" s="1"/>
  <c r="S101" i="1"/>
  <c r="CP101" i="1" s="1"/>
  <c r="O101" i="1" s="1"/>
  <c r="CT101" i="1"/>
  <c r="S100" i="1"/>
  <c r="CT100" i="1"/>
  <c r="X99" i="1"/>
  <c r="CY99" i="1"/>
  <c r="Y99" i="1"/>
  <c r="CZ99" i="1"/>
  <c r="X97" i="1"/>
  <c r="CY97" i="1"/>
  <c r="Y97" i="1"/>
  <c r="CZ97" i="1"/>
  <c r="X95" i="1"/>
  <c r="CY95" i="1"/>
  <c r="X92" i="1"/>
  <c r="CY92" i="1"/>
  <c r="Y92" i="1"/>
  <c r="CZ92" i="1"/>
  <c r="CP92" i="1"/>
  <c r="O92" i="1" s="1"/>
  <c r="GM92" i="1" s="1"/>
  <c r="GO92" i="1" s="1"/>
  <c r="Y85" i="1"/>
  <c r="CZ85" i="1"/>
  <c r="X85" i="1"/>
  <c r="CY85" i="1"/>
  <c r="BZ26" i="1"/>
  <c r="CG51" i="1"/>
  <c r="AQ51" i="1"/>
  <c r="CX149" i="3"/>
  <c r="CX153" i="3"/>
  <c r="CU149" i="3"/>
  <c r="P150" i="1"/>
  <c r="EU116" i="1"/>
  <c r="EM116" i="1"/>
  <c r="EI116" i="1"/>
  <c r="AS116" i="1"/>
  <c r="AO116" i="1"/>
  <c r="AD104" i="1"/>
  <c r="AB104" i="1" s="1"/>
  <c r="Q104" i="1"/>
  <c r="CR102" i="1"/>
  <c r="AD102" i="1"/>
  <c r="AB102" i="1" s="1"/>
  <c r="CS95" i="1"/>
  <c r="AD95" i="1"/>
  <c r="AB95" i="1" s="1"/>
  <c r="Q95" i="1"/>
  <c r="AB94" i="1"/>
  <c r="Y93" i="1"/>
  <c r="CZ93" i="1"/>
  <c r="X93" i="1"/>
  <c r="GM90" i="1"/>
  <c r="GO90" i="1" s="1"/>
  <c r="CJ26" i="1"/>
  <c r="BA51" i="1"/>
  <c r="Q100" i="1"/>
  <c r="CP100" i="1" s="1"/>
  <c r="O100" i="1" s="1"/>
  <c r="S98" i="1"/>
  <c r="Q96" i="1"/>
  <c r="CP96" i="1" s="1"/>
  <c r="O96" i="1" s="1"/>
  <c r="CW119" i="3"/>
  <c r="CX121" i="3"/>
  <c r="CX125" i="3"/>
  <c r="CU118" i="3"/>
  <c r="CX119" i="3"/>
  <c r="CX124" i="3"/>
  <c r="AB91" i="1"/>
  <c r="R91" i="1"/>
  <c r="CX82" i="3"/>
  <c r="CX84" i="3"/>
  <c r="CU82" i="3"/>
  <c r="CQ85" i="1"/>
  <c r="AD85" i="1"/>
  <c r="AB85" i="1" s="1"/>
  <c r="EU51" i="1"/>
  <c r="EI51" i="1"/>
  <c r="AS51" i="1"/>
  <c r="AO51" i="1"/>
  <c r="T49" i="1"/>
  <c r="DY51" i="1" s="1"/>
  <c r="W49" i="1"/>
  <c r="S49" i="1"/>
  <c r="CT49" i="1"/>
  <c r="P48" i="1"/>
  <c r="Q48" i="1"/>
  <c r="T47" i="1"/>
  <c r="W47" i="1"/>
  <c r="EB51" i="1" s="1"/>
  <c r="S47" i="1"/>
  <c r="DX51" i="1" s="1"/>
  <c r="CT47" i="1"/>
  <c r="FR38" i="1"/>
  <c r="CP38" i="1"/>
  <c r="O38" i="1" s="1"/>
  <c r="X37" i="1"/>
  <c r="CY37" i="1"/>
  <c r="Y37" i="1"/>
  <c r="CZ37" i="1"/>
  <c r="X34" i="1"/>
  <c r="CY34" i="1"/>
  <c r="Y34" i="1"/>
  <c r="CZ34" i="1"/>
  <c r="X30" i="1"/>
  <c r="CY30" i="1"/>
  <c r="Y30" i="1"/>
  <c r="CZ30" i="1"/>
  <c r="AH51" i="1"/>
  <c r="CQ100" i="1"/>
  <c r="CS98" i="1"/>
  <c r="CX127" i="3"/>
  <c r="CX129" i="3"/>
  <c r="CX133" i="3"/>
  <c r="CU127" i="3"/>
  <c r="CW129" i="3"/>
  <c r="CX132" i="3"/>
  <c r="CQ96" i="1"/>
  <c r="CT95" i="1"/>
  <c r="I94" i="1"/>
  <c r="CS93" i="1"/>
  <c r="R93" i="1"/>
  <c r="CS92" i="1"/>
  <c r="CZ91" i="1"/>
  <c r="Y91" i="1"/>
  <c r="GM91" i="1" s="1"/>
  <c r="GO91" i="1" s="1"/>
  <c r="CU85" i="3"/>
  <c r="CW87" i="3"/>
  <c r="CX89" i="3"/>
  <c r="CX87" i="3"/>
  <c r="CX90" i="3"/>
  <c r="CX94" i="3"/>
  <c r="CW86" i="3"/>
  <c r="CW88" i="3"/>
  <c r="CX91" i="3"/>
  <c r="CX95" i="3"/>
  <c r="CQ90" i="1"/>
  <c r="CQ89" i="1"/>
  <c r="CQ88" i="1"/>
  <c r="CQ87" i="1"/>
  <c r="CQ86" i="1"/>
  <c r="CT85" i="1"/>
  <c r="FY51" i="1"/>
  <c r="ET51" i="1"/>
  <c r="BD51" i="1"/>
  <c r="GX49" i="1"/>
  <c r="GX47" i="1"/>
  <c r="FR35" i="1"/>
  <c r="CP35" i="1"/>
  <c r="O35" i="1" s="1"/>
  <c r="X33" i="1"/>
  <c r="CY33" i="1"/>
  <c r="Y33" i="1"/>
  <c r="CZ33" i="1"/>
  <c r="FR31" i="1"/>
  <c r="CP31" i="1"/>
  <c r="O31" i="1" s="1"/>
  <c r="X29" i="1"/>
  <c r="CY29" i="1"/>
  <c r="Y29" i="1"/>
  <c r="CZ29" i="1"/>
  <c r="AG51" i="1"/>
  <c r="CP28" i="1"/>
  <c r="O28" i="1" s="1"/>
  <c r="CX135" i="3"/>
  <c r="CX137" i="3"/>
  <c r="CX141" i="3"/>
  <c r="CU135" i="3"/>
  <c r="CU97" i="3"/>
  <c r="CV97" i="3"/>
  <c r="CX105" i="3"/>
  <c r="CX97" i="3"/>
  <c r="CX99" i="3"/>
  <c r="CX102" i="3"/>
  <c r="CX106" i="3"/>
  <c r="CY91" i="1"/>
  <c r="CQ91" i="1"/>
  <c r="CT90" i="1"/>
  <c r="CT89" i="1"/>
  <c r="S89" i="1"/>
  <c r="CP89" i="1" s="1"/>
  <c r="O89" i="1" s="1"/>
  <c r="CT88" i="1"/>
  <c r="S88" i="1"/>
  <c r="CT87" i="1"/>
  <c r="S87" i="1"/>
  <c r="CT86" i="1"/>
  <c r="S86" i="1"/>
  <c r="CS85" i="1"/>
  <c r="EK51" i="1"/>
  <c r="EG51" i="1"/>
  <c r="DM51" i="1"/>
  <c r="BC51" i="1"/>
  <c r="AU51" i="1"/>
  <c r="P49" i="1"/>
  <c r="Q49" i="1"/>
  <c r="S48" i="1"/>
  <c r="CT48" i="1"/>
  <c r="P47" i="1"/>
  <c r="Q47" i="1"/>
  <c r="X46" i="1"/>
  <c r="CY46" i="1"/>
  <c r="Y46" i="1"/>
  <c r="CZ46" i="1"/>
  <c r="X45" i="1"/>
  <c r="CY45" i="1"/>
  <c r="Y45" i="1"/>
  <c r="CZ45" i="1"/>
  <c r="X42" i="1"/>
  <c r="CY42" i="1"/>
  <c r="Y42" i="1"/>
  <c r="CZ42" i="1"/>
  <c r="FR42" i="1"/>
  <c r="CP42" i="1"/>
  <c r="O42" i="1" s="1"/>
  <c r="GM42" i="1" s="1"/>
  <c r="X41" i="1"/>
  <c r="CY41" i="1"/>
  <c r="Y41" i="1"/>
  <c r="CZ41" i="1"/>
  <c r="X38" i="1"/>
  <c r="CY38" i="1"/>
  <c r="Y38" i="1"/>
  <c r="CZ38" i="1"/>
  <c r="Y35" i="1"/>
  <c r="CZ35" i="1"/>
  <c r="X35" i="1"/>
  <c r="CY35" i="1"/>
  <c r="FR34" i="1"/>
  <c r="CP34" i="1"/>
  <c r="O34" i="1" s="1"/>
  <c r="GM34" i="1" s="1"/>
  <c r="Y31" i="1"/>
  <c r="CZ31" i="1"/>
  <c r="X31" i="1"/>
  <c r="CY31" i="1"/>
  <c r="FR30" i="1"/>
  <c r="CP30" i="1"/>
  <c r="O30" i="1" s="1"/>
  <c r="GM30" i="1" s="1"/>
  <c r="CX80" i="3"/>
  <c r="CU79" i="3"/>
  <c r="CV79" i="3"/>
  <c r="EV51" i="1"/>
  <c r="BB51" i="1"/>
  <c r="AJ26" i="1"/>
  <c r="W51" i="1"/>
  <c r="AB44" i="1"/>
  <c r="Y39" i="1"/>
  <c r="CZ39" i="1"/>
  <c r="X39" i="1"/>
  <c r="CY39" i="1"/>
  <c r="CP33" i="1"/>
  <c r="O33" i="1" s="1"/>
  <c r="GM33" i="1" s="1"/>
  <c r="GO33" i="1" s="1"/>
  <c r="AI51" i="1"/>
  <c r="AD51" i="1"/>
  <c r="Q46" i="1"/>
  <c r="CP46" i="1" s="1"/>
  <c r="O46" i="1" s="1"/>
  <c r="GM46" i="1" s="1"/>
  <c r="GO46" i="1" s="1"/>
  <c r="Q45" i="1"/>
  <c r="CX76" i="3"/>
  <c r="CU75" i="3"/>
  <c r="CX78" i="3"/>
  <c r="AD44" i="1"/>
  <c r="P44" i="1"/>
  <c r="CY43" i="1"/>
  <c r="AD43" i="1"/>
  <c r="AB43" i="1" s="1"/>
  <c r="X43" i="1"/>
  <c r="Q42" i="1"/>
  <c r="Q41" i="1"/>
  <c r="CP41" i="1" s="1"/>
  <c r="O41" i="1" s="1"/>
  <c r="GM41" i="1" s="1"/>
  <c r="GO41" i="1" s="1"/>
  <c r="AB40" i="1"/>
  <c r="AD39" i="1"/>
  <c r="AB39" i="1" s="1"/>
  <c r="Q37" i="1"/>
  <c r="CP37" i="1" s="1"/>
  <c r="O37" i="1" s="1"/>
  <c r="GM37" i="1" s="1"/>
  <c r="GO37" i="1" s="1"/>
  <c r="AB36" i="1"/>
  <c r="AD35" i="1"/>
  <c r="AB35" i="1" s="1"/>
  <c r="Q33" i="1"/>
  <c r="AB32" i="1"/>
  <c r="R32" i="1"/>
  <c r="AD31" i="1"/>
  <c r="AB31" i="1" s="1"/>
  <c r="Q29" i="1"/>
  <c r="CS28" i="1"/>
  <c r="AB28" i="1"/>
  <c r="R28" i="1"/>
  <c r="DG240" i="3"/>
  <c r="DH240" i="3"/>
  <c r="DI240" i="3"/>
  <c r="DF240" i="3"/>
  <c r="DJ240" i="3" s="1"/>
  <c r="DF229" i="3"/>
  <c r="DJ229" i="3" s="1"/>
  <c r="DG229" i="3"/>
  <c r="DH229" i="3"/>
  <c r="DI229" i="3"/>
  <c r="DF223" i="3"/>
  <c r="DJ223" i="3" s="1"/>
  <c r="DG223" i="3"/>
  <c r="DH223" i="3"/>
  <c r="DI223" i="3"/>
  <c r="DG218" i="3"/>
  <c r="DH218" i="3"/>
  <c r="DI218" i="3"/>
  <c r="DF218" i="3"/>
  <c r="DJ218" i="3" s="1"/>
  <c r="DG204" i="3"/>
  <c r="DH204" i="3"/>
  <c r="DI204" i="3"/>
  <c r="DF204" i="3"/>
  <c r="DJ204" i="3" s="1"/>
  <c r="DF187" i="3"/>
  <c r="DJ187" i="3" s="1"/>
  <c r="DG187" i="3"/>
  <c r="DH187" i="3"/>
  <c r="DI187" i="3"/>
  <c r="P45" i="1"/>
  <c r="CP45" i="1" s="1"/>
  <c r="O45" i="1" s="1"/>
  <c r="S44" i="1"/>
  <c r="CP43" i="1"/>
  <c r="O43" i="1" s="1"/>
  <c r="GM43" i="1" s="1"/>
  <c r="CZ40" i="1"/>
  <c r="Y40" i="1"/>
  <c r="Q40" i="1"/>
  <c r="CP40" i="1" s="1"/>
  <c r="O40" i="1" s="1"/>
  <c r="GM40" i="1" s="1"/>
  <c r="GO40" i="1" s="1"/>
  <c r="CT39" i="1"/>
  <c r="CP39" i="1"/>
  <c r="O39" i="1" s="1"/>
  <c r="GM39" i="1" s="1"/>
  <c r="CQ38" i="1"/>
  <c r="CQ37" i="1"/>
  <c r="CZ36" i="1"/>
  <c r="Y36" i="1"/>
  <c r="GM36" i="1" s="1"/>
  <c r="GO36" i="1" s="1"/>
  <c r="CT35" i="1"/>
  <c r="CQ34" i="1"/>
  <c r="CQ33" i="1"/>
  <c r="CZ32" i="1"/>
  <c r="Y32" i="1"/>
  <c r="GM32" i="1" s="1"/>
  <c r="GO32" i="1" s="1"/>
  <c r="CT31" i="1"/>
  <c r="CQ30" i="1"/>
  <c r="CQ29" i="1"/>
  <c r="CZ28" i="1"/>
  <c r="Y28" i="1"/>
  <c r="DG236" i="3"/>
  <c r="DH236" i="3"/>
  <c r="DI236" i="3"/>
  <c r="DF236" i="3"/>
  <c r="DJ236" i="3" s="1"/>
  <c r="DF219" i="3"/>
  <c r="DJ219" i="3" s="1"/>
  <c r="DG219" i="3"/>
  <c r="DH219" i="3"/>
  <c r="DI219" i="3"/>
  <c r="DG214" i="3"/>
  <c r="DH214" i="3"/>
  <c r="DI214" i="3"/>
  <c r="DF214" i="3"/>
  <c r="DJ214" i="3" s="1"/>
  <c r="DF205" i="3"/>
  <c r="DJ205" i="3" s="1"/>
  <c r="DG205" i="3"/>
  <c r="DH205" i="3"/>
  <c r="DI205" i="3"/>
  <c r="DG200" i="3"/>
  <c r="DH200" i="3"/>
  <c r="DI200" i="3"/>
  <c r="DF200" i="3"/>
  <c r="DJ200" i="3" s="1"/>
  <c r="CT46" i="1"/>
  <c r="CT45" i="1"/>
  <c r="CS44" i="1"/>
  <c r="CS43" i="1"/>
  <c r="R43" i="1"/>
  <c r="CT42" i="1"/>
  <c r="CT41" i="1"/>
  <c r="CY40" i="1"/>
  <c r="CQ40" i="1"/>
  <c r="CS39" i="1"/>
  <c r="R39" i="1"/>
  <c r="CT38" i="1"/>
  <c r="CT37" i="1"/>
  <c r="CY36" i="1"/>
  <c r="CQ36" i="1"/>
  <c r="CS35" i="1"/>
  <c r="R35" i="1"/>
  <c r="CT34" i="1"/>
  <c r="CT33" i="1"/>
  <c r="CY32" i="1"/>
  <c r="CQ32" i="1"/>
  <c r="CS31" i="1"/>
  <c r="R31" i="1"/>
  <c r="CT30" i="1"/>
  <c r="CT29" i="1"/>
  <c r="CY28" i="1"/>
  <c r="CQ28" i="1"/>
  <c r="DF237" i="3"/>
  <c r="DJ237" i="3" s="1"/>
  <c r="DG237" i="3"/>
  <c r="DH237" i="3"/>
  <c r="DI237" i="3"/>
  <c r="DG232" i="3"/>
  <c r="DH232" i="3"/>
  <c r="DI232" i="3"/>
  <c r="DF232" i="3"/>
  <c r="DJ232" i="3" s="1"/>
  <c r="DF215" i="3"/>
  <c r="DJ215" i="3" s="1"/>
  <c r="DG215" i="3"/>
  <c r="DH215" i="3"/>
  <c r="DI215" i="3"/>
  <c r="DG210" i="3"/>
  <c r="DH210" i="3"/>
  <c r="DI210" i="3"/>
  <c r="DF210" i="3"/>
  <c r="DJ210" i="3" s="1"/>
  <c r="DF201" i="3"/>
  <c r="DJ201" i="3" s="1"/>
  <c r="DG201" i="3"/>
  <c r="DH201" i="3"/>
  <c r="DI201" i="3"/>
  <c r="DG196" i="3"/>
  <c r="DH196" i="3"/>
  <c r="DI196" i="3"/>
  <c r="DF196" i="3"/>
  <c r="DJ196" i="3" s="1"/>
  <c r="DF193" i="3"/>
  <c r="DG193" i="3"/>
  <c r="DH193" i="3"/>
  <c r="DI193" i="3"/>
  <c r="DJ193" i="3" s="1"/>
  <c r="DG190" i="3"/>
  <c r="DH190" i="3"/>
  <c r="DI190" i="3"/>
  <c r="DF190" i="3"/>
  <c r="DJ190" i="3" s="1"/>
  <c r="CU71" i="3"/>
  <c r="CX73" i="3"/>
  <c r="CW72" i="3"/>
  <c r="Y43" i="1"/>
  <c r="DF233" i="3"/>
  <c r="DJ233" i="3" s="1"/>
  <c r="DG233" i="3"/>
  <c r="DH233" i="3"/>
  <c r="DI233" i="3"/>
  <c r="DG228" i="3"/>
  <c r="DH228" i="3"/>
  <c r="DI228" i="3"/>
  <c r="DF228" i="3"/>
  <c r="DJ228" i="3" s="1"/>
  <c r="DF225" i="3"/>
  <c r="DG225" i="3"/>
  <c r="DH225" i="3"/>
  <c r="DI225" i="3"/>
  <c r="DJ225" i="3" s="1"/>
  <c r="DG222" i="3"/>
  <c r="DH222" i="3"/>
  <c r="DI222" i="3"/>
  <c r="DF222" i="3"/>
  <c r="DJ222" i="3" s="1"/>
  <c r="DF211" i="3"/>
  <c r="DJ211" i="3" s="1"/>
  <c r="DG211" i="3"/>
  <c r="DH211" i="3"/>
  <c r="DI211" i="3"/>
  <c r="DG208" i="3"/>
  <c r="DH208" i="3"/>
  <c r="DI208" i="3"/>
  <c r="DF208" i="3"/>
  <c r="DJ208" i="3" s="1"/>
  <c r="DF197" i="3"/>
  <c r="DJ197" i="3" s="1"/>
  <c r="DG197" i="3"/>
  <c r="DH197" i="3"/>
  <c r="DI197" i="3"/>
  <c r="DF191" i="3"/>
  <c r="DJ191" i="3" s="1"/>
  <c r="DG191" i="3"/>
  <c r="DH191" i="3"/>
  <c r="DI191" i="3"/>
  <c r="DG186" i="3"/>
  <c r="DH186" i="3"/>
  <c r="DI186" i="3"/>
  <c r="DF186" i="3"/>
  <c r="DJ186" i="3" s="1"/>
  <c r="DG239" i="3"/>
  <c r="DG235" i="3"/>
  <c r="DG231" i="3"/>
  <c r="DG227" i="3"/>
  <c r="DG221" i="3"/>
  <c r="DG217" i="3"/>
  <c r="DG213" i="3"/>
  <c r="DG209" i="3"/>
  <c r="DG207" i="3"/>
  <c r="DG203" i="3"/>
  <c r="DG199" i="3"/>
  <c r="DG195" i="3"/>
  <c r="DG189" i="3"/>
  <c r="DG185" i="3"/>
  <c r="DI183" i="3"/>
  <c r="DH172" i="3"/>
  <c r="DI172" i="3"/>
  <c r="DF172" i="3"/>
  <c r="DJ172" i="3" s="1"/>
  <c r="DI171" i="3"/>
  <c r="DJ171" i="3" s="1"/>
  <c r="DF171" i="3"/>
  <c r="DG171" i="3"/>
  <c r="DH168" i="3"/>
  <c r="DI168" i="3"/>
  <c r="DF168" i="3"/>
  <c r="DJ168" i="3" s="1"/>
  <c r="DI167" i="3"/>
  <c r="DJ167" i="3" s="1"/>
  <c r="DF167" i="3"/>
  <c r="DG167" i="3"/>
  <c r="CX157" i="3"/>
  <c r="CX151" i="3"/>
  <c r="CX145" i="3"/>
  <c r="CX139" i="3"/>
  <c r="CW136" i="3"/>
  <c r="CX130" i="3"/>
  <c r="CV127" i="3"/>
  <c r="DF239" i="3"/>
  <c r="DJ239" i="3" s="1"/>
  <c r="DF235" i="3"/>
  <c r="DJ235" i="3" s="1"/>
  <c r="DF231" i="3"/>
  <c r="DJ231" i="3" s="1"/>
  <c r="DF227" i="3"/>
  <c r="DJ227" i="3" s="1"/>
  <c r="DF221" i="3"/>
  <c r="DJ221" i="3" s="1"/>
  <c r="DF217" i="3"/>
  <c r="DJ217" i="3" s="1"/>
  <c r="DF213" i="3"/>
  <c r="DJ213" i="3" s="1"/>
  <c r="DF209" i="3"/>
  <c r="DF207" i="3"/>
  <c r="DJ207" i="3" s="1"/>
  <c r="DF203" i="3"/>
  <c r="DJ203" i="3" s="1"/>
  <c r="DF199" i="3"/>
  <c r="DJ199" i="3" s="1"/>
  <c r="DF195" i="3"/>
  <c r="DJ195" i="3" s="1"/>
  <c r="DF189" i="3"/>
  <c r="DJ189" i="3" s="1"/>
  <c r="DF185" i="3"/>
  <c r="DJ185" i="3" s="1"/>
  <c r="DG182" i="3"/>
  <c r="DH182" i="3"/>
  <c r="DG181" i="3"/>
  <c r="DH181" i="3"/>
  <c r="DI181" i="3"/>
  <c r="DH180" i="3"/>
  <c r="DI180" i="3"/>
  <c r="DF180" i="3"/>
  <c r="DJ180" i="3" s="1"/>
  <c r="DI179" i="3"/>
  <c r="DF179" i="3"/>
  <c r="DJ179" i="3" s="1"/>
  <c r="DG179" i="3"/>
  <c r="DF178" i="3"/>
  <c r="DJ178" i="3" s="1"/>
  <c r="DG178" i="3"/>
  <c r="DH178" i="3"/>
  <c r="CV176" i="3"/>
  <c r="CX176" i="3"/>
  <c r="CX154" i="3"/>
  <c r="CX148" i="3"/>
  <c r="CX142" i="3"/>
  <c r="CX131" i="3"/>
  <c r="CW128" i="3"/>
  <c r="CX122" i="3"/>
  <c r="CV175" i="3"/>
  <c r="DH174" i="3"/>
  <c r="DI174" i="3"/>
  <c r="DF174" i="3"/>
  <c r="DJ174" i="3" s="1"/>
  <c r="DI173" i="3"/>
  <c r="DJ173" i="3" s="1"/>
  <c r="DF173" i="3"/>
  <c r="DG173" i="3"/>
  <c r="DH170" i="3"/>
  <c r="DI170" i="3"/>
  <c r="DF170" i="3"/>
  <c r="DJ170" i="3" s="1"/>
  <c r="DI169" i="3"/>
  <c r="DJ169" i="3" s="1"/>
  <c r="DF169" i="3"/>
  <c r="DG169" i="3"/>
  <c r="CX166" i="3"/>
  <c r="CX164" i="3"/>
  <c r="CX163" i="3"/>
  <c r="CX162" i="3"/>
  <c r="CX158" i="3"/>
  <c r="CV155" i="3"/>
  <c r="CX152" i="3"/>
  <c r="CV149" i="3"/>
  <c r="CX146" i="3"/>
  <c r="CV143" i="3"/>
  <c r="CX140" i="3"/>
  <c r="CW137" i="3"/>
  <c r="CX134" i="3"/>
  <c r="CX123" i="3"/>
  <c r="CW120" i="3"/>
  <c r="DF183" i="3"/>
  <c r="DJ183" i="3" s="1"/>
  <c r="DG183" i="3"/>
  <c r="CV161" i="3"/>
  <c r="CX160" i="3"/>
  <c r="CX156" i="3"/>
  <c r="CX150" i="3"/>
  <c r="CX144" i="3"/>
  <c r="CX138" i="3"/>
  <c r="CV135" i="3"/>
  <c r="CX126" i="3"/>
  <c r="CV118" i="3"/>
  <c r="CX120" i="3"/>
  <c r="CX118" i="3"/>
  <c r="CX108" i="3"/>
  <c r="CX107" i="3"/>
  <c r="CX103" i="3"/>
  <c r="CX83" i="3"/>
  <c r="CX136" i="3"/>
  <c r="CX128" i="3"/>
  <c r="CX104" i="3"/>
  <c r="CX101" i="3"/>
  <c r="CW100" i="3"/>
  <c r="CX100" i="3"/>
  <c r="CV82" i="3"/>
  <c r="CX81" i="3"/>
  <c r="CX79" i="3"/>
  <c r="CW76" i="3"/>
  <c r="CX117" i="3"/>
  <c r="CX116" i="3"/>
  <c r="CX115" i="3"/>
  <c r="CW99" i="3"/>
  <c r="CW98" i="3"/>
  <c r="CX98" i="3"/>
  <c r="CX96" i="3"/>
  <c r="CX92" i="3"/>
  <c r="CX77" i="3"/>
  <c r="CV71" i="3"/>
  <c r="CX113" i="3"/>
  <c r="CX111" i="3"/>
  <c r="CW110" i="3"/>
  <c r="CX93" i="3"/>
  <c r="CX88" i="3"/>
  <c r="CX86" i="3"/>
  <c r="CV85" i="3"/>
  <c r="CX85" i="3"/>
  <c r="CX75" i="3"/>
  <c r="CX110" i="3"/>
  <c r="DI69" i="3"/>
  <c r="DG66" i="3"/>
  <c r="DI66" i="3"/>
  <c r="CX74" i="3"/>
  <c r="CX72" i="3"/>
  <c r="DG70" i="3"/>
  <c r="DI70" i="3"/>
  <c r="DI68" i="3"/>
  <c r="DG68" i="3"/>
  <c r="DH59" i="3"/>
  <c r="DI59" i="3"/>
  <c r="DF59" i="3"/>
  <c r="DJ59" i="3" s="1"/>
  <c r="DI58" i="3"/>
  <c r="DF58" i="3"/>
  <c r="DJ58" i="3" s="1"/>
  <c r="DG58" i="3"/>
  <c r="DF57" i="3"/>
  <c r="DJ57" i="3" s="1"/>
  <c r="DG57" i="3"/>
  <c r="DH57" i="3"/>
  <c r="DH55" i="3"/>
  <c r="DI55" i="3"/>
  <c r="DJ55" i="3" s="1"/>
  <c r="DF55" i="3"/>
  <c r="DH49" i="3"/>
  <c r="DI49" i="3"/>
  <c r="DF49" i="3"/>
  <c r="DJ49" i="3" s="1"/>
  <c r="DI48" i="3"/>
  <c r="DF48" i="3"/>
  <c r="DJ48" i="3" s="1"/>
  <c r="DG48" i="3"/>
  <c r="DI46" i="3"/>
  <c r="DF46" i="3"/>
  <c r="DG46" i="3"/>
  <c r="DJ46" i="3" s="1"/>
  <c r="DH70" i="3"/>
  <c r="DH68" i="3"/>
  <c r="DF67" i="3"/>
  <c r="DJ67" i="3" s="1"/>
  <c r="DH67" i="3"/>
  <c r="DF66" i="3"/>
  <c r="DJ66" i="3" s="1"/>
  <c r="DH65" i="3"/>
  <c r="DF65" i="3"/>
  <c r="DJ65" i="3" s="1"/>
  <c r="DI64" i="3"/>
  <c r="DF64" i="3"/>
  <c r="DJ64" i="3" s="1"/>
  <c r="DG64" i="3"/>
  <c r="CV75" i="3"/>
  <c r="CX71" i="3"/>
  <c r="DH69" i="3"/>
  <c r="DF69" i="3"/>
  <c r="DJ69" i="3" s="1"/>
  <c r="CV63" i="3"/>
  <c r="CX63" i="3"/>
  <c r="DI62" i="3"/>
  <c r="DF62" i="3"/>
  <c r="DJ62" i="3" s="1"/>
  <c r="DG62" i="3"/>
  <c r="DF61" i="3"/>
  <c r="DJ61" i="3" s="1"/>
  <c r="DG61" i="3"/>
  <c r="DH61" i="3"/>
  <c r="DH53" i="3"/>
  <c r="DI53" i="3"/>
  <c r="DF53" i="3"/>
  <c r="DJ53" i="3" s="1"/>
  <c r="DI52" i="3"/>
  <c r="DF52" i="3"/>
  <c r="DJ52" i="3" s="1"/>
  <c r="DG52" i="3"/>
  <c r="DF51" i="3"/>
  <c r="DJ51" i="3" s="1"/>
  <c r="DG51" i="3"/>
  <c r="DH51" i="3"/>
  <c r="DI27" i="3"/>
  <c r="DF27" i="3"/>
  <c r="DJ27" i="3" s="1"/>
  <c r="DG27" i="3"/>
  <c r="DH27" i="3"/>
  <c r="DI60" i="3"/>
  <c r="DI56" i="3"/>
  <c r="DI54" i="3"/>
  <c r="DI50" i="3"/>
  <c r="DI44" i="3"/>
  <c r="DF44" i="3"/>
  <c r="CV43" i="3"/>
  <c r="CX43" i="3"/>
  <c r="DH39" i="3"/>
  <c r="DH35" i="3"/>
  <c r="CW33" i="3"/>
  <c r="DH29" i="3"/>
  <c r="DI29" i="3"/>
  <c r="DH22" i="3"/>
  <c r="DH19" i="3"/>
  <c r="DI19" i="3"/>
  <c r="DI17" i="3"/>
  <c r="DH11" i="3"/>
  <c r="DH8" i="3"/>
  <c r="DI8" i="3"/>
  <c r="DI6" i="3"/>
  <c r="DG4" i="3"/>
  <c r="DJ4" i="3" s="1"/>
  <c r="DF3" i="3"/>
  <c r="DG3" i="3"/>
  <c r="DJ3" i="3" s="1"/>
  <c r="DG2" i="3"/>
  <c r="DJ2" i="3" s="1"/>
  <c r="CX1" i="3"/>
  <c r="DF42" i="3"/>
  <c r="DJ42" i="3" s="1"/>
  <c r="DG42" i="3"/>
  <c r="DF38" i="3"/>
  <c r="DJ38" i="3" s="1"/>
  <c r="DG38" i="3"/>
  <c r="DF34" i="3"/>
  <c r="DG34" i="3"/>
  <c r="DJ34" i="3" s="1"/>
  <c r="DH33" i="3"/>
  <c r="DI33" i="3"/>
  <c r="CX28" i="3"/>
  <c r="DG24" i="3"/>
  <c r="DH24" i="3"/>
  <c r="DF21" i="3"/>
  <c r="DJ21" i="3" s="1"/>
  <c r="DG21" i="3"/>
  <c r="DI20" i="3"/>
  <c r="DI18" i="3"/>
  <c r="DF18" i="3"/>
  <c r="DJ18" i="3" s="1"/>
  <c r="CW16" i="3"/>
  <c r="CX16" i="3"/>
  <c r="CW14" i="3"/>
  <c r="CX14" i="3"/>
  <c r="DF10" i="3"/>
  <c r="DJ10" i="3" s="1"/>
  <c r="DG10" i="3"/>
  <c r="DI9" i="3"/>
  <c r="DI7" i="3"/>
  <c r="DF7" i="3"/>
  <c r="DJ7" i="3" s="1"/>
  <c r="DG5" i="3"/>
  <c r="DH5" i="3"/>
  <c r="DI42" i="3"/>
  <c r="DH40" i="3"/>
  <c r="DI40" i="3"/>
  <c r="DI38" i="3"/>
  <c r="DH36" i="3"/>
  <c r="DI36" i="3"/>
  <c r="DI34" i="3"/>
  <c r="DG33" i="3"/>
  <c r="DJ33" i="3" s="1"/>
  <c r="DF32" i="3"/>
  <c r="DG32" i="3"/>
  <c r="DJ32" i="3" s="1"/>
  <c r="DF26" i="3"/>
  <c r="DG26" i="3"/>
  <c r="DJ26" i="3" s="1"/>
  <c r="DH23" i="3"/>
  <c r="DI23" i="3"/>
  <c r="DI21" i="3"/>
  <c r="DH18" i="3"/>
  <c r="DI15" i="3"/>
  <c r="DF15" i="3"/>
  <c r="DI13" i="3"/>
  <c r="DJ13" i="3" s="1"/>
  <c r="DF13" i="3"/>
  <c r="DH12" i="3"/>
  <c r="DI12" i="3"/>
  <c r="DI10" i="3"/>
  <c r="DH7" i="3"/>
  <c r="CW4" i="3"/>
  <c r="CW2" i="3"/>
  <c r="CW45" i="3"/>
  <c r="CX45" i="3"/>
  <c r="DI39" i="3"/>
  <c r="DF39" i="3"/>
  <c r="DJ39" i="3" s="1"/>
  <c r="DI35" i="3"/>
  <c r="DF35" i="3"/>
  <c r="DJ35" i="3" s="1"/>
  <c r="DH31" i="3"/>
  <c r="DI31" i="3"/>
  <c r="DJ31" i="3" s="1"/>
  <c r="DI22" i="3"/>
  <c r="DF22" i="3"/>
  <c r="DJ22" i="3" s="1"/>
  <c r="DG20" i="3"/>
  <c r="DH20" i="3"/>
  <c r="DF17" i="3"/>
  <c r="DJ17" i="3" s="1"/>
  <c r="DG17" i="3"/>
  <c r="DI11" i="3"/>
  <c r="DF11" i="3"/>
  <c r="DJ11" i="3" s="1"/>
  <c r="DG9" i="3"/>
  <c r="DH9" i="3"/>
  <c r="DF6" i="3"/>
  <c r="DJ6" i="3" s="1"/>
  <c r="DG6" i="3"/>
  <c r="DH4" i="3"/>
  <c r="DI4" i="3"/>
  <c r="DH2" i="3"/>
  <c r="DI2" i="3"/>
  <c r="EB26" i="1" l="1"/>
  <c r="DO51" i="1"/>
  <c r="AJ83" i="1"/>
  <c r="W116" i="1"/>
  <c r="AJ148" i="1"/>
  <c r="W191" i="1"/>
  <c r="DX26" i="1"/>
  <c r="DK51" i="1"/>
  <c r="DY26" i="1"/>
  <c r="DL51" i="1"/>
  <c r="DF72" i="3"/>
  <c r="DH72" i="3"/>
  <c r="DG72" i="3"/>
  <c r="DJ72" i="3" s="1"/>
  <c r="DI72" i="3"/>
  <c r="DG77" i="3"/>
  <c r="DH77" i="3"/>
  <c r="DI77" i="3"/>
  <c r="DF77" i="3"/>
  <c r="DJ77" i="3" s="1"/>
  <c r="DH117" i="3"/>
  <c r="DI117" i="3"/>
  <c r="DF117" i="3"/>
  <c r="DJ117" i="3" s="1"/>
  <c r="DG117" i="3"/>
  <c r="DG104" i="3"/>
  <c r="DH104" i="3"/>
  <c r="DI104" i="3"/>
  <c r="DF104" i="3"/>
  <c r="DJ104" i="3" s="1"/>
  <c r="DH103" i="3"/>
  <c r="DI103" i="3"/>
  <c r="DF103" i="3"/>
  <c r="DJ103" i="3" s="1"/>
  <c r="DG103" i="3"/>
  <c r="DI120" i="3"/>
  <c r="DF120" i="3"/>
  <c r="DG120" i="3"/>
  <c r="DJ120" i="3" s="1"/>
  <c r="DH120" i="3"/>
  <c r="DG138" i="3"/>
  <c r="DH138" i="3"/>
  <c r="DI138" i="3"/>
  <c r="DF138" i="3"/>
  <c r="DJ138" i="3" s="1"/>
  <c r="DH160" i="3"/>
  <c r="DI160" i="3"/>
  <c r="DF160" i="3"/>
  <c r="DJ160" i="3" s="1"/>
  <c r="DG160" i="3"/>
  <c r="DI140" i="3"/>
  <c r="DF140" i="3"/>
  <c r="DJ140" i="3" s="1"/>
  <c r="DG140" i="3"/>
  <c r="DH140" i="3"/>
  <c r="DI152" i="3"/>
  <c r="DF152" i="3"/>
  <c r="DJ152" i="3" s="1"/>
  <c r="DG152" i="3"/>
  <c r="DH152" i="3"/>
  <c r="DG163" i="3"/>
  <c r="DH163" i="3"/>
  <c r="DI163" i="3"/>
  <c r="DF163" i="3"/>
  <c r="DJ163" i="3" s="1"/>
  <c r="DG122" i="3"/>
  <c r="DH122" i="3"/>
  <c r="DI122" i="3"/>
  <c r="DF122" i="3"/>
  <c r="DJ122" i="3" s="1"/>
  <c r="DG148" i="3"/>
  <c r="DH148" i="3"/>
  <c r="DI148" i="3"/>
  <c r="DF148" i="3"/>
  <c r="DJ148" i="3" s="1"/>
  <c r="DF145" i="3"/>
  <c r="DJ145" i="3" s="1"/>
  <c r="DG145" i="3"/>
  <c r="DH145" i="3"/>
  <c r="DI145" i="3"/>
  <c r="DI73" i="3"/>
  <c r="DG73" i="3"/>
  <c r="DF73" i="3"/>
  <c r="DJ73" i="3" s="1"/>
  <c r="DH73" i="3"/>
  <c r="AD26" i="1"/>
  <c r="Q51" i="1"/>
  <c r="BB26" i="1"/>
  <c r="F64" i="1"/>
  <c r="BB221" i="1"/>
  <c r="DG80" i="3"/>
  <c r="DH80" i="3"/>
  <c r="DI80" i="3"/>
  <c r="DF80" i="3"/>
  <c r="DJ80" i="3" s="1"/>
  <c r="DM26" i="1"/>
  <c r="P73" i="1"/>
  <c r="X86" i="1"/>
  <c r="CY86" i="1"/>
  <c r="Y86" i="1"/>
  <c r="CZ86" i="1"/>
  <c r="DX116" i="1"/>
  <c r="X88" i="1"/>
  <c r="CY88" i="1"/>
  <c r="Y88" i="1"/>
  <c r="CZ88" i="1"/>
  <c r="DI102" i="3"/>
  <c r="DF102" i="3"/>
  <c r="DJ102" i="3" s="1"/>
  <c r="DG102" i="3"/>
  <c r="DH102" i="3"/>
  <c r="DH137" i="3"/>
  <c r="DI137" i="3"/>
  <c r="DF137" i="3"/>
  <c r="DG137" i="3"/>
  <c r="DJ137" i="3" s="1"/>
  <c r="AG26" i="1"/>
  <c r="T51" i="1"/>
  <c r="BD26" i="1"/>
  <c r="F76" i="1"/>
  <c r="BD221" i="1"/>
  <c r="DG89" i="3"/>
  <c r="DH89" i="3"/>
  <c r="DI89" i="3"/>
  <c r="DF89" i="3"/>
  <c r="DJ89" i="3" s="1"/>
  <c r="Q94" i="1"/>
  <c r="DV116" i="1" s="1"/>
  <c r="R94" i="1"/>
  <c r="DW116" i="1" s="1"/>
  <c r="P94" i="1"/>
  <c r="T94" i="1"/>
  <c r="DY116" i="1" s="1"/>
  <c r="GX94" i="1"/>
  <c r="GB116" i="1" s="1"/>
  <c r="DH127" i="3"/>
  <c r="DI127" i="3"/>
  <c r="DJ127" i="3" s="1"/>
  <c r="DF127" i="3"/>
  <c r="DG127" i="3"/>
  <c r="GM38" i="1"/>
  <c r="AO26" i="1"/>
  <c r="F55" i="1"/>
  <c r="AO221" i="1"/>
  <c r="DG82" i="3"/>
  <c r="DH82" i="3"/>
  <c r="DI82" i="3"/>
  <c r="DJ82" i="3" s="1"/>
  <c r="DF82" i="3"/>
  <c r="DG119" i="3"/>
  <c r="DJ119" i="3" s="1"/>
  <c r="DH119" i="3"/>
  <c r="DI119" i="3"/>
  <c r="DF119" i="3"/>
  <c r="BA26" i="1"/>
  <c r="F71" i="1"/>
  <c r="EI83" i="1"/>
  <c r="P126" i="1"/>
  <c r="AQ26" i="1"/>
  <c r="F61" i="1"/>
  <c r="AQ221" i="1"/>
  <c r="U94" i="1"/>
  <c r="DZ116" i="1" s="1"/>
  <c r="X100" i="1"/>
  <c r="GM100" i="1" s="1"/>
  <c r="GO100" i="1" s="1"/>
  <c r="CY100" i="1"/>
  <c r="Y100" i="1"/>
  <c r="CZ100" i="1"/>
  <c r="ER83" i="1"/>
  <c r="P127" i="1"/>
  <c r="DH143" i="3"/>
  <c r="DI143" i="3"/>
  <c r="DJ143" i="3" s="1"/>
  <c r="DF143" i="3"/>
  <c r="DG143" i="3"/>
  <c r="CP86" i="1"/>
  <c r="O86" i="1" s="1"/>
  <c r="DI161" i="3"/>
  <c r="DJ161" i="3" s="1"/>
  <c r="DF161" i="3"/>
  <c r="DG161" i="3"/>
  <c r="DH161" i="3"/>
  <c r="S94" i="1"/>
  <c r="GM97" i="1"/>
  <c r="GO97" i="1" s="1"/>
  <c r="X107" i="1"/>
  <c r="GM107" i="1" s="1"/>
  <c r="GO107" i="1" s="1"/>
  <c r="CY107" i="1"/>
  <c r="Y107" i="1"/>
  <c r="CZ107" i="1"/>
  <c r="EH83" i="1"/>
  <c r="P125" i="1"/>
  <c r="DH155" i="3"/>
  <c r="DI155" i="3"/>
  <c r="DJ155" i="3" s="1"/>
  <c r="DF155" i="3"/>
  <c r="DG155" i="3"/>
  <c r="CP158" i="1"/>
  <c r="O158" i="1" s="1"/>
  <c r="GM158" i="1" s="1"/>
  <c r="GO158" i="1" s="1"/>
  <c r="X160" i="1"/>
  <c r="AK191" i="1" s="1"/>
  <c r="CY160" i="1"/>
  <c r="CZ160" i="1"/>
  <c r="AF191" i="1"/>
  <c r="Y160" i="1"/>
  <c r="DV191" i="1"/>
  <c r="X163" i="1"/>
  <c r="CY163" i="1"/>
  <c r="CZ163" i="1"/>
  <c r="Y163" i="1"/>
  <c r="X166" i="1"/>
  <c r="GM166" i="1" s="1"/>
  <c r="GO166" i="1" s="1"/>
  <c r="CY166" i="1"/>
  <c r="Y166" i="1"/>
  <c r="CZ166" i="1"/>
  <c r="FY148" i="1"/>
  <c r="EP191" i="1"/>
  <c r="EG148" i="1"/>
  <c r="P195" i="1"/>
  <c r="AU83" i="1"/>
  <c r="F135" i="1"/>
  <c r="DW191" i="1"/>
  <c r="GM171" i="1"/>
  <c r="GO171" i="1" s="1"/>
  <c r="X173" i="1"/>
  <c r="GM173" i="1" s="1"/>
  <c r="GO173" i="1" s="1"/>
  <c r="CY173" i="1"/>
  <c r="Y173" i="1"/>
  <c r="CZ173" i="1"/>
  <c r="EU148" i="1"/>
  <c r="P207" i="1"/>
  <c r="CJ148" i="1"/>
  <c r="BA191" i="1"/>
  <c r="AS148" i="1"/>
  <c r="F208" i="1"/>
  <c r="EB148" i="1"/>
  <c r="DO191" i="1"/>
  <c r="AI148" i="1"/>
  <c r="V191" i="1"/>
  <c r="DG16" i="3"/>
  <c r="DJ16" i="3" s="1"/>
  <c r="DH16" i="3"/>
  <c r="DI16" i="3"/>
  <c r="DF16" i="3"/>
  <c r="DF28" i="3"/>
  <c r="DG28" i="3"/>
  <c r="DH28" i="3"/>
  <c r="DI28" i="3"/>
  <c r="DJ28" i="3" s="1"/>
  <c r="DF74" i="3"/>
  <c r="DJ74" i="3" s="1"/>
  <c r="DG74" i="3"/>
  <c r="DH74" i="3"/>
  <c r="DI74" i="3"/>
  <c r="DF110" i="3"/>
  <c r="DG110" i="3"/>
  <c r="DJ110" i="3" s="1"/>
  <c r="DH110" i="3"/>
  <c r="DI110" i="3"/>
  <c r="DH86" i="3"/>
  <c r="DI86" i="3"/>
  <c r="DF86" i="3"/>
  <c r="DG86" i="3"/>
  <c r="DJ86" i="3" s="1"/>
  <c r="DH111" i="3"/>
  <c r="DI111" i="3"/>
  <c r="DF111" i="3"/>
  <c r="DG111" i="3"/>
  <c r="DJ111" i="3" s="1"/>
  <c r="DH92" i="3"/>
  <c r="DI92" i="3"/>
  <c r="DF92" i="3"/>
  <c r="DJ92" i="3" s="1"/>
  <c r="DG92" i="3"/>
  <c r="DG100" i="3"/>
  <c r="DJ100" i="3" s="1"/>
  <c r="DH100" i="3"/>
  <c r="DI100" i="3"/>
  <c r="DF100" i="3"/>
  <c r="DF128" i="3"/>
  <c r="DG128" i="3"/>
  <c r="DJ128" i="3" s="1"/>
  <c r="DH128" i="3"/>
  <c r="DI128" i="3"/>
  <c r="DH107" i="3"/>
  <c r="DI107" i="3"/>
  <c r="DF107" i="3"/>
  <c r="DJ107" i="3" s="1"/>
  <c r="DG107" i="3"/>
  <c r="DG144" i="3"/>
  <c r="DH144" i="3"/>
  <c r="DI144" i="3"/>
  <c r="DF144" i="3"/>
  <c r="DJ144" i="3" s="1"/>
  <c r="DF123" i="3"/>
  <c r="DJ123" i="3" s="1"/>
  <c r="DG123" i="3"/>
  <c r="DH123" i="3"/>
  <c r="DI123" i="3"/>
  <c r="DF164" i="3"/>
  <c r="DJ164" i="3" s="1"/>
  <c r="DG164" i="3"/>
  <c r="DH164" i="3"/>
  <c r="DI164" i="3"/>
  <c r="DG154" i="3"/>
  <c r="DH154" i="3"/>
  <c r="DI154" i="3"/>
  <c r="DF154" i="3"/>
  <c r="DJ154" i="3" s="1"/>
  <c r="DG130" i="3"/>
  <c r="DH130" i="3"/>
  <c r="DI130" i="3"/>
  <c r="DF130" i="3"/>
  <c r="DJ130" i="3" s="1"/>
  <c r="DF151" i="3"/>
  <c r="DJ151" i="3" s="1"/>
  <c r="DG151" i="3"/>
  <c r="DH151" i="3"/>
  <c r="DI151" i="3"/>
  <c r="Y44" i="1"/>
  <c r="CZ44" i="1"/>
  <c r="X44" i="1"/>
  <c r="CY44" i="1"/>
  <c r="CP44" i="1"/>
  <c r="O44" i="1" s="1"/>
  <c r="DH76" i="3"/>
  <c r="DI76" i="3"/>
  <c r="DF76" i="3"/>
  <c r="DG76" i="3"/>
  <c r="DJ76" i="3" s="1"/>
  <c r="AI26" i="1"/>
  <c r="V51" i="1"/>
  <c r="EV26" i="1"/>
  <c r="P76" i="1"/>
  <c r="EV221" i="1"/>
  <c r="CP47" i="1"/>
  <c r="O47" i="1" s="1"/>
  <c r="CP49" i="1"/>
  <c r="O49" i="1" s="1"/>
  <c r="EG26" i="1"/>
  <c r="P55" i="1"/>
  <c r="EG221" i="1"/>
  <c r="DI99" i="3"/>
  <c r="DF99" i="3"/>
  <c r="DG99" i="3"/>
  <c r="DJ99" i="3" s="1"/>
  <c r="DH99" i="3"/>
  <c r="DH135" i="3"/>
  <c r="DI135" i="3"/>
  <c r="DJ135" i="3" s="1"/>
  <c r="DF135" i="3"/>
  <c r="DG135" i="3"/>
  <c r="GM31" i="1"/>
  <c r="ET26" i="1"/>
  <c r="P64" i="1"/>
  <c r="ET221" i="1"/>
  <c r="DI95" i="3"/>
  <c r="DF95" i="3"/>
  <c r="DJ95" i="3" s="1"/>
  <c r="DG95" i="3"/>
  <c r="DH95" i="3"/>
  <c r="DF94" i="3"/>
  <c r="DJ94" i="3" s="1"/>
  <c r="DG94" i="3"/>
  <c r="DH94" i="3"/>
  <c r="DI94" i="3"/>
  <c r="X49" i="1"/>
  <c r="CY49" i="1"/>
  <c r="Y49" i="1"/>
  <c r="CZ49" i="1"/>
  <c r="AS26" i="1"/>
  <c r="F68" i="1"/>
  <c r="AS221" i="1"/>
  <c r="AE116" i="1"/>
  <c r="W94" i="1"/>
  <c r="EB116" i="1" s="1"/>
  <c r="EM83" i="1"/>
  <c r="P135" i="1"/>
  <c r="DH153" i="3"/>
  <c r="DI153" i="3"/>
  <c r="DF153" i="3"/>
  <c r="DJ153" i="3" s="1"/>
  <c r="DG153" i="3"/>
  <c r="CG26" i="1"/>
  <c r="AX51" i="1"/>
  <c r="EV83" i="1"/>
  <c r="P141" i="1"/>
  <c r="AD148" i="1"/>
  <c r="Q191" i="1"/>
  <c r="DI114" i="3"/>
  <c r="DF114" i="3"/>
  <c r="DJ114" i="3" s="1"/>
  <c r="DG114" i="3"/>
  <c r="DH114" i="3"/>
  <c r="DG112" i="3"/>
  <c r="DH112" i="3"/>
  <c r="DI112" i="3"/>
  <c r="DF112" i="3"/>
  <c r="DJ112" i="3" s="1"/>
  <c r="X96" i="1"/>
  <c r="GM96" i="1" s="1"/>
  <c r="GO96" i="1" s="1"/>
  <c r="CY96" i="1"/>
  <c r="Y96" i="1"/>
  <c r="CZ96" i="1"/>
  <c r="EA26" i="1"/>
  <c r="DN51" i="1"/>
  <c r="CP95" i="1"/>
  <c r="O95" i="1" s="1"/>
  <c r="GM95" i="1" s="1"/>
  <c r="GO95" i="1" s="1"/>
  <c r="AC116" i="1"/>
  <c r="X105" i="1"/>
  <c r="Y105" i="1"/>
  <c r="CY105" i="1"/>
  <c r="CZ105" i="1"/>
  <c r="X111" i="1"/>
  <c r="GM111" i="1" s="1"/>
  <c r="GO111" i="1" s="1"/>
  <c r="CY111" i="1"/>
  <c r="Y111" i="1"/>
  <c r="CZ111" i="1"/>
  <c r="ET83" i="1"/>
  <c r="P129" i="1"/>
  <c r="CP153" i="1"/>
  <c r="O153" i="1" s="1"/>
  <c r="GM153" i="1" s="1"/>
  <c r="GO153" i="1" s="1"/>
  <c r="DU191" i="1"/>
  <c r="CJ83" i="1"/>
  <c r="BA116" i="1"/>
  <c r="CP162" i="1"/>
  <c r="O162" i="1" s="1"/>
  <c r="GM162" i="1" s="1"/>
  <c r="GO162" i="1" s="1"/>
  <c r="AH83" i="1"/>
  <c r="U116" i="1"/>
  <c r="EK83" i="1"/>
  <c r="P133" i="1"/>
  <c r="GM163" i="1"/>
  <c r="GO163" i="1" s="1"/>
  <c r="X167" i="1"/>
  <c r="CY167" i="1"/>
  <c r="CZ167" i="1"/>
  <c r="Y167" i="1"/>
  <c r="AQ148" i="1"/>
  <c r="F201" i="1"/>
  <c r="GM174" i="1"/>
  <c r="GO174" i="1" s="1"/>
  <c r="CG148" i="1"/>
  <c r="AX191" i="1"/>
  <c r="AQ83" i="1"/>
  <c r="F126" i="1"/>
  <c r="BB148" i="1"/>
  <c r="F204" i="1"/>
  <c r="AH148" i="1"/>
  <c r="U191" i="1"/>
  <c r="EA148" i="1"/>
  <c r="DN191" i="1"/>
  <c r="EM148" i="1"/>
  <c r="P210" i="1"/>
  <c r="DG43" i="3"/>
  <c r="DH43" i="3"/>
  <c r="DF43" i="3"/>
  <c r="DI43" i="3"/>
  <c r="DJ43" i="3" s="1"/>
  <c r="DG14" i="3"/>
  <c r="DJ14" i="3" s="1"/>
  <c r="DH14" i="3"/>
  <c r="DI14" i="3"/>
  <c r="DF14" i="3"/>
  <c r="DF1" i="3"/>
  <c r="DG1" i="3"/>
  <c r="DH1" i="3"/>
  <c r="DI1" i="3"/>
  <c r="DJ1" i="3" s="1"/>
  <c r="DF75" i="3"/>
  <c r="DG75" i="3"/>
  <c r="DH75" i="3"/>
  <c r="DI75" i="3"/>
  <c r="DJ75" i="3" s="1"/>
  <c r="DH88" i="3"/>
  <c r="DI88" i="3"/>
  <c r="DF88" i="3"/>
  <c r="DG88" i="3"/>
  <c r="DJ88" i="3" s="1"/>
  <c r="DF113" i="3"/>
  <c r="DJ113" i="3" s="1"/>
  <c r="DG113" i="3"/>
  <c r="DH113" i="3"/>
  <c r="DI113" i="3"/>
  <c r="DH96" i="3"/>
  <c r="DI96" i="3"/>
  <c r="DF96" i="3"/>
  <c r="DJ96" i="3" s="1"/>
  <c r="DG96" i="3"/>
  <c r="DH115" i="3"/>
  <c r="DI115" i="3"/>
  <c r="DF115" i="3"/>
  <c r="DJ115" i="3" s="1"/>
  <c r="DG115" i="3"/>
  <c r="DH79" i="3"/>
  <c r="DI79" i="3"/>
  <c r="DJ79" i="3" s="1"/>
  <c r="DF79" i="3"/>
  <c r="DG79" i="3"/>
  <c r="DF136" i="3"/>
  <c r="DG136" i="3"/>
  <c r="DJ136" i="3" s="1"/>
  <c r="DH136" i="3"/>
  <c r="DI136" i="3"/>
  <c r="DG108" i="3"/>
  <c r="DH108" i="3"/>
  <c r="DI108" i="3"/>
  <c r="DF108" i="3"/>
  <c r="DJ108" i="3" s="1"/>
  <c r="DG126" i="3"/>
  <c r="DH126" i="3"/>
  <c r="DI126" i="3"/>
  <c r="DF126" i="3"/>
  <c r="DJ126" i="3" s="1"/>
  <c r="DG150" i="3"/>
  <c r="DH150" i="3"/>
  <c r="DI150" i="3"/>
  <c r="DF150" i="3"/>
  <c r="DJ150" i="3" s="1"/>
  <c r="DG134" i="3"/>
  <c r="DH134" i="3"/>
  <c r="DI134" i="3"/>
  <c r="DF134" i="3"/>
  <c r="DJ134" i="3" s="1"/>
  <c r="DI146" i="3"/>
  <c r="DF146" i="3"/>
  <c r="DJ146" i="3" s="1"/>
  <c r="DG146" i="3"/>
  <c r="DH146" i="3"/>
  <c r="DI158" i="3"/>
  <c r="DF158" i="3"/>
  <c r="DJ158" i="3" s="1"/>
  <c r="DG158" i="3"/>
  <c r="DH158" i="3"/>
  <c r="DH166" i="3"/>
  <c r="DI166" i="3"/>
  <c r="DF166" i="3"/>
  <c r="DJ166" i="3" s="1"/>
  <c r="DG166" i="3"/>
  <c r="DF131" i="3"/>
  <c r="DJ131" i="3" s="1"/>
  <c r="DG131" i="3"/>
  <c r="DH131" i="3"/>
  <c r="DI131" i="3"/>
  <c r="DF176" i="3"/>
  <c r="DG176" i="3"/>
  <c r="DH176" i="3"/>
  <c r="DI176" i="3"/>
  <c r="DJ176" i="3" s="1"/>
  <c r="DF157" i="3"/>
  <c r="DJ157" i="3" s="1"/>
  <c r="DG157" i="3"/>
  <c r="DH157" i="3"/>
  <c r="DI157" i="3"/>
  <c r="DW51" i="1"/>
  <c r="GM45" i="1"/>
  <c r="GO45" i="1" s="1"/>
  <c r="DV51" i="1"/>
  <c r="CP29" i="1"/>
  <c r="O29" i="1" s="1"/>
  <c r="W26" i="1"/>
  <c r="F75" i="1"/>
  <c r="W221" i="1"/>
  <c r="BY51" i="1"/>
  <c r="AU26" i="1"/>
  <c r="F70" i="1"/>
  <c r="AU221" i="1"/>
  <c r="EK26" i="1"/>
  <c r="P68" i="1"/>
  <c r="EK221" i="1"/>
  <c r="X87" i="1"/>
  <c r="AK116" i="1" s="1"/>
  <c r="CY87" i="1"/>
  <c r="Y87" i="1"/>
  <c r="CZ87" i="1"/>
  <c r="AF116" i="1"/>
  <c r="X89" i="1"/>
  <c r="GM89" i="1" s="1"/>
  <c r="GO89" i="1" s="1"/>
  <c r="CY89" i="1"/>
  <c r="Y89" i="1"/>
  <c r="AL116" i="1" s="1"/>
  <c r="CZ89" i="1"/>
  <c r="DI97" i="3"/>
  <c r="DJ97" i="3" s="1"/>
  <c r="DF97" i="3"/>
  <c r="DG97" i="3"/>
  <c r="DH97" i="3"/>
  <c r="AC51" i="1"/>
  <c r="FQ51" i="1"/>
  <c r="GB51" i="1"/>
  <c r="FY26" i="1"/>
  <c r="EP51" i="1"/>
  <c r="DI91" i="3"/>
  <c r="DF91" i="3"/>
  <c r="DJ91" i="3" s="1"/>
  <c r="DG91" i="3"/>
  <c r="DH91" i="3"/>
  <c r="DF90" i="3"/>
  <c r="DJ90" i="3" s="1"/>
  <c r="DG90" i="3"/>
  <c r="DH90" i="3"/>
  <c r="DI90" i="3"/>
  <c r="DH133" i="3"/>
  <c r="DI133" i="3"/>
  <c r="DF133" i="3"/>
  <c r="DJ133" i="3" s="1"/>
  <c r="DG133" i="3"/>
  <c r="EI26" i="1"/>
  <c r="P61" i="1"/>
  <c r="EI221" i="1"/>
  <c r="DH125" i="3"/>
  <c r="DI125" i="3"/>
  <c r="DF125" i="3"/>
  <c r="DJ125" i="3" s="1"/>
  <c r="DG125" i="3"/>
  <c r="Y98" i="1"/>
  <c r="CZ98" i="1"/>
  <c r="X98" i="1"/>
  <c r="CY98" i="1"/>
  <c r="DU51" i="1"/>
  <c r="CP88" i="1"/>
  <c r="O88" i="1" s="1"/>
  <c r="GM88" i="1" s="1"/>
  <c r="GO88" i="1" s="1"/>
  <c r="AD116" i="1"/>
  <c r="AO83" i="1"/>
  <c r="F120" i="1"/>
  <c r="EU83" i="1"/>
  <c r="P132" i="1"/>
  <c r="DH149" i="3"/>
  <c r="DI149" i="3"/>
  <c r="DJ149" i="3" s="1"/>
  <c r="DF149" i="3"/>
  <c r="DG149" i="3"/>
  <c r="X101" i="1"/>
  <c r="GM101" i="1" s="1"/>
  <c r="GO101" i="1" s="1"/>
  <c r="CY101" i="1"/>
  <c r="CZ101" i="1"/>
  <c r="Y101" i="1"/>
  <c r="AP83" i="1"/>
  <c r="F125" i="1"/>
  <c r="EM26" i="1"/>
  <c r="P70" i="1"/>
  <c r="EM221" i="1"/>
  <c r="GM93" i="1"/>
  <c r="GO93" i="1" s="1"/>
  <c r="DH109" i="3"/>
  <c r="DI109" i="3"/>
  <c r="DJ109" i="3" s="1"/>
  <c r="DF109" i="3"/>
  <c r="DG109" i="3"/>
  <c r="CP98" i="1"/>
  <c r="O98" i="1" s="1"/>
  <c r="GM98" i="1" s="1"/>
  <c r="GO98" i="1" s="1"/>
  <c r="GM113" i="1"/>
  <c r="GO113" i="1" s="1"/>
  <c r="BC83" i="1"/>
  <c r="F132" i="1"/>
  <c r="GM85" i="1"/>
  <c r="CP104" i="1"/>
  <c r="O104" i="1" s="1"/>
  <c r="GM104" i="1" s="1"/>
  <c r="GO104" i="1" s="1"/>
  <c r="BD83" i="1"/>
  <c r="F141" i="1"/>
  <c r="FY83" i="1"/>
  <c r="EP116" i="1"/>
  <c r="DI159" i="3"/>
  <c r="DF159" i="3"/>
  <c r="DJ159" i="3" s="1"/>
  <c r="DG159" i="3"/>
  <c r="DH159" i="3"/>
  <c r="BC148" i="1"/>
  <c r="F207" i="1"/>
  <c r="X159" i="1"/>
  <c r="GM159" i="1" s="1"/>
  <c r="GO159" i="1" s="1"/>
  <c r="CY159" i="1"/>
  <c r="CZ159" i="1"/>
  <c r="Y159" i="1"/>
  <c r="ED191" i="1" s="1"/>
  <c r="DX191" i="1"/>
  <c r="DI175" i="3"/>
  <c r="DJ175" i="3" s="1"/>
  <c r="DF175" i="3"/>
  <c r="DG175" i="3"/>
  <c r="DH175" i="3"/>
  <c r="BD148" i="1"/>
  <c r="F216" i="1"/>
  <c r="CG83" i="1"/>
  <c r="AX116" i="1"/>
  <c r="EV148" i="1"/>
  <c r="P216" i="1"/>
  <c r="DZ148" i="1"/>
  <c r="DM191" i="1"/>
  <c r="EI148" i="1"/>
  <c r="P201" i="1"/>
  <c r="GB148" i="1"/>
  <c r="ES191" i="1"/>
  <c r="DG45" i="3"/>
  <c r="DJ45" i="3" s="1"/>
  <c r="DF45" i="3"/>
  <c r="DH45" i="3"/>
  <c r="DI45" i="3"/>
  <c r="DF63" i="3"/>
  <c r="DG63" i="3"/>
  <c r="DH63" i="3"/>
  <c r="DI63" i="3"/>
  <c r="DJ63" i="3" s="1"/>
  <c r="DH71" i="3"/>
  <c r="DF71" i="3"/>
  <c r="DI71" i="3"/>
  <c r="DJ71" i="3" s="1"/>
  <c r="DG71" i="3"/>
  <c r="DF85" i="3"/>
  <c r="DG85" i="3"/>
  <c r="DH85" i="3"/>
  <c r="DI85" i="3"/>
  <c r="DJ85" i="3" s="1"/>
  <c r="DG93" i="3"/>
  <c r="DH93" i="3"/>
  <c r="DI93" i="3"/>
  <c r="DF93" i="3"/>
  <c r="DJ93" i="3" s="1"/>
  <c r="DG98" i="3"/>
  <c r="DJ98" i="3" s="1"/>
  <c r="DH98" i="3"/>
  <c r="DI98" i="3"/>
  <c r="DF98" i="3"/>
  <c r="DG116" i="3"/>
  <c r="DH116" i="3"/>
  <c r="DI116" i="3"/>
  <c r="DF116" i="3"/>
  <c r="DJ116" i="3" s="1"/>
  <c r="DF81" i="3"/>
  <c r="DJ81" i="3" s="1"/>
  <c r="DG81" i="3"/>
  <c r="DH81" i="3"/>
  <c r="DI81" i="3"/>
  <c r="DF101" i="3"/>
  <c r="DJ101" i="3" s="1"/>
  <c r="DG101" i="3"/>
  <c r="DH101" i="3"/>
  <c r="DI101" i="3"/>
  <c r="DF83" i="3"/>
  <c r="DJ83" i="3" s="1"/>
  <c r="DG83" i="3"/>
  <c r="DH83" i="3"/>
  <c r="DI83" i="3"/>
  <c r="DI118" i="3"/>
  <c r="DJ118" i="3" s="1"/>
  <c r="DF118" i="3"/>
  <c r="DG118" i="3"/>
  <c r="DH118" i="3"/>
  <c r="DG156" i="3"/>
  <c r="DH156" i="3"/>
  <c r="DI156" i="3"/>
  <c r="DF156" i="3"/>
  <c r="DJ156" i="3" s="1"/>
  <c r="DH162" i="3"/>
  <c r="DI162" i="3"/>
  <c r="DF162" i="3"/>
  <c r="DJ162" i="3" s="1"/>
  <c r="DG162" i="3"/>
  <c r="DG142" i="3"/>
  <c r="DH142" i="3"/>
  <c r="DI142" i="3"/>
  <c r="DF142" i="3"/>
  <c r="DJ142" i="3" s="1"/>
  <c r="DF139" i="3"/>
  <c r="DJ139" i="3" s="1"/>
  <c r="DG139" i="3"/>
  <c r="DH139" i="3"/>
  <c r="DI139" i="3"/>
  <c r="AE51" i="1"/>
  <c r="DF78" i="3"/>
  <c r="DJ78" i="3" s="1"/>
  <c r="DG78" i="3"/>
  <c r="DH78" i="3"/>
  <c r="DI78" i="3"/>
  <c r="X48" i="1"/>
  <c r="CY48" i="1"/>
  <c r="Y48" i="1"/>
  <c r="AL51" i="1" s="1"/>
  <c r="CZ48" i="1"/>
  <c r="BC26" i="1"/>
  <c r="F67" i="1"/>
  <c r="BC221" i="1"/>
  <c r="DI106" i="3"/>
  <c r="DF106" i="3"/>
  <c r="DJ106" i="3" s="1"/>
  <c r="DG106" i="3"/>
  <c r="DH106" i="3"/>
  <c r="DF105" i="3"/>
  <c r="DJ105" i="3" s="1"/>
  <c r="DG105" i="3"/>
  <c r="DH105" i="3"/>
  <c r="DI105" i="3"/>
  <c r="DH141" i="3"/>
  <c r="DI141" i="3"/>
  <c r="DF141" i="3"/>
  <c r="DJ141" i="3" s="1"/>
  <c r="DG141" i="3"/>
  <c r="GM28" i="1"/>
  <c r="GM35" i="1"/>
  <c r="DF87" i="3"/>
  <c r="DG87" i="3"/>
  <c r="DJ87" i="3" s="1"/>
  <c r="DH87" i="3"/>
  <c r="DI87" i="3"/>
  <c r="DI132" i="3"/>
  <c r="DF132" i="3"/>
  <c r="DJ132" i="3" s="1"/>
  <c r="DG132" i="3"/>
  <c r="DH132" i="3"/>
  <c r="DH129" i="3"/>
  <c r="DI129" i="3"/>
  <c r="DF129" i="3"/>
  <c r="DG129" i="3"/>
  <c r="DJ129" i="3" s="1"/>
  <c r="AH26" i="1"/>
  <c r="U51" i="1"/>
  <c r="AK51" i="1"/>
  <c r="X47" i="1"/>
  <c r="EC51" i="1" s="1"/>
  <c r="CY47" i="1"/>
  <c r="Y47" i="1"/>
  <c r="ED51" i="1" s="1"/>
  <c r="CZ47" i="1"/>
  <c r="CP48" i="1"/>
  <c r="O48" i="1" s="1"/>
  <c r="EU26" i="1"/>
  <c r="P67" i="1"/>
  <c r="EU221" i="1"/>
  <c r="DI84" i="3"/>
  <c r="DF84" i="3"/>
  <c r="DJ84" i="3" s="1"/>
  <c r="DG84" i="3"/>
  <c r="DH84" i="3"/>
  <c r="DI124" i="3"/>
  <c r="DF124" i="3"/>
  <c r="DJ124" i="3" s="1"/>
  <c r="DG124" i="3"/>
  <c r="DH124" i="3"/>
  <c r="DH121" i="3"/>
  <c r="DI121" i="3"/>
  <c r="DF121" i="3"/>
  <c r="DJ121" i="3" s="1"/>
  <c r="DG121" i="3"/>
  <c r="AS83" i="1"/>
  <c r="F133" i="1"/>
  <c r="CP150" i="1"/>
  <c r="O150" i="1" s="1"/>
  <c r="AC191" i="1"/>
  <c r="AF51" i="1"/>
  <c r="BB83" i="1"/>
  <c r="F129" i="1"/>
  <c r="DH147" i="3"/>
  <c r="DI147" i="3"/>
  <c r="DF147" i="3"/>
  <c r="DJ147" i="3" s="1"/>
  <c r="DG147" i="3"/>
  <c r="V94" i="1"/>
  <c r="EA116" i="1" s="1"/>
  <c r="EG83" i="1"/>
  <c r="P120" i="1"/>
  <c r="DI165" i="3"/>
  <c r="DF165" i="3"/>
  <c r="DJ165" i="3" s="1"/>
  <c r="DG165" i="3"/>
  <c r="DH165" i="3"/>
  <c r="CP87" i="1"/>
  <c r="O87" i="1" s="1"/>
  <c r="GM87" i="1" s="1"/>
  <c r="GO87" i="1" s="1"/>
  <c r="GM99" i="1"/>
  <c r="GO99" i="1" s="1"/>
  <c r="X102" i="1"/>
  <c r="GM102" i="1" s="1"/>
  <c r="GO102" i="1" s="1"/>
  <c r="CY102" i="1"/>
  <c r="Y102" i="1"/>
  <c r="CZ102" i="1"/>
  <c r="GM105" i="1"/>
  <c r="GO105" i="1" s="1"/>
  <c r="CI83" i="1"/>
  <c r="AZ116" i="1"/>
  <c r="GM160" i="1"/>
  <c r="FR169" i="1"/>
  <c r="FQ191" i="1" s="1"/>
  <c r="CP169" i="1"/>
  <c r="O169" i="1" s="1"/>
  <c r="GM169" i="1" s="1"/>
  <c r="AI83" i="1"/>
  <c r="V116" i="1"/>
  <c r="X164" i="1"/>
  <c r="CY164" i="1"/>
  <c r="CZ164" i="1"/>
  <c r="Y164" i="1"/>
  <c r="AL191" i="1" s="1"/>
  <c r="CP168" i="1"/>
  <c r="O168" i="1" s="1"/>
  <c r="GM168" i="1" s="1"/>
  <c r="FR168" i="1"/>
  <c r="BY191" i="1" s="1"/>
  <c r="AG83" i="1"/>
  <c r="T116" i="1"/>
  <c r="GM151" i="1"/>
  <c r="AE191" i="1"/>
  <c r="ET148" i="1"/>
  <c r="P204" i="1"/>
  <c r="AU148" i="1"/>
  <c r="F210" i="1"/>
  <c r="CP167" i="1"/>
  <c r="O167" i="1" s="1"/>
  <c r="GM167" i="1" s="1"/>
  <c r="GO167" i="1" s="1"/>
  <c r="CP170" i="1"/>
  <c r="O170" i="1" s="1"/>
  <c r="GM170" i="1" s="1"/>
  <c r="GO170" i="1" s="1"/>
  <c r="AO148" i="1"/>
  <c r="F195" i="1"/>
  <c r="EK148" i="1"/>
  <c r="P208" i="1"/>
  <c r="AG148" i="1"/>
  <c r="T191" i="1"/>
  <c r="DY148" i="1"/>
  <c r="DL191" i="1"/>
  <c r="GM186" i="1"/>
  <c r="GO186" i="1" s="1"/>
  <c r="AL83" i="1" l="1"/>
  <c r="Y116" i="1"/>
  <c r="ED26" i="1"/>
  <c r="DQ51" i="1"/>
  <c r="AL26" i="1"/>
  <c r="Y51" i="1"/>
  <c r="ED148" i="1"/>
  <c r="DQ191" i="1"/>
  <c r="AL148" i="1"/>
  <c r="Y191" i="1"/>
  <c r="FQ148" i="1"/>
  <c r="EH191" i="1"/>
  <c r="GA191" i="1"/>
  <c r="EC26" i="1"/>
  <c r="DP51" i="1"/>
  <c r="AK83" i="1"/>
  <c r="X116" i="1"/>
  <c r="AK148" i="1"/>
  <c r="X191" i="1"/>
  <c r="AE148" i="1"/>
  <c r="R191" i="1"/>
  <c r="DX148" i="1"/>
  <c r="DK191" i="1"/>
  <c r="BY148" i="1"/>
  <c r="CI191" i="1"/>
  <c r="AP191" i="1"/>
  <c r="EA83" i="1"/>
  <c r="DN116" i="1"/>
  <c r="AF26" i="1"/>
  <c r="S51" i="1"/>
  <c r="GM48" i="1"/>
  <c r="GO48" i="1" s="1"/>
  <c r="EP83" i="1"/>
  <c r="P123" i="1"/>
  <c r="EM22" i="1"/>
  <c r="P240" i="1"/>
  <c r="EM251" i="1"/>
  <c r="DU26" i="1"/>
  <c r="DH51" i="1"/>
  <c r="FW51" i="1"/>
  <c r="FX51" i="1"/>
  <c r="FZ51" i="1"/>
  <c r="EP26" i="1"/>
  <c r="P58" i="1"/>
  <c r="EP221" i="1"/>
  <c r="DW26" i="1"/>
  <c r="DJ51" i="1"/>
  <c r="U83" i="1"/>
  <c r="F138" i="1"/>
  <c r="BA83" i="1"/>
  <c r="F136" i="1"/>
  <c r="DN26" i="1"/>
  <c r="P74" i="1"/>
  <c r="DN221" i="1"/>
  <c r="AS22" i="1"/>
  <c r="F238" i="1"/>
  <c r="T16" i="2" s="1"/>
  <c r="AS251" i="1"/>
  <c r="EV22" i="1"/>
  <c r="P246" i="1"/>
  <c r="EV251" i="1"/>
  <c r="AF148" i="1"/>
  <c r="S191" i="1"/>
  <c r="AQ22" i="1"/>
  <c r="F231" i="1"/>
  <c r="AQ251" i="1"/>
  <c r="AO22" i="1"/>
  <c r="F225" i="1"/>
  <c r="AO251" i="1"/>
  <c r="GB83" i="1"/>
  <c r="ES116" i="1"/>
  <c r="DV83" i="1"/>
  <c r="DI116" i="1"/>
  <c r="DK26" i="1"/>
  <c r="P66" i="1"/>
  <c r="W83" i="1"/>
  <c r="F140" i="1"/>
  <c r="T148" i="1"/>
  <c r="F212" i="1"/>
  <c r="BC22" i="1"/>
  <c r="F237" i="1"/>
  <c r="BC251" i="1"/>
  <c r="DT191" i="1"/>
  <c r="EC191" i="1"/>
  <c r="DL148" i="1"/>
  <c r="P212" i="1"/>
  <c r="GO151" i="1"/>
  <c r="FU191" i="1" s="1"/>
  <c r="FS191" i="1"/>
  <c r="AZ83" i="1"/>
  <c r="F127" i="1"/>
  <c r="AC148" i="1"/>
  <c r="CH191" i="1"/>
  <c r="P191" i="1"/>
  <c r="CE191" i="1"/>
  <c r="CF191" i="1"/>
  <c r="EU22" i="1"/>
  <c r="P237" i="1"/>
  <c r="EU251" i="1"/>
  <c r="AK26" i="1"/>
  <c r="X51" i="1"/>
  <c r="AB51" i="1"/>
  <c r="AB116" i="1"/>
  <c r="EI22" i="1"/>
  <c r="EI251" i="1"/>
  <c r="P231" i="1"/>
  <c r="AC26" i="1"/>
  <c r="P51" i="1"/>
  <c r="CH51" i="1"/>
  <c r="CE51" i="1"/>
  <c r="CF51" i="1"/>
  <c r="BY26" i="1"/>
  <c r="AP51" i="1"/>
  <c r="CI51" i="1"/>
  <c r="GM29" i="1"/>
  <c r="DT51" i="1"/>
  <c r="U148" i="1"/>
  <c r="F213" i="1"/>
  <c r="GM44" i="1"/>
  <c r="GO44" i="1" s="1"/>
  <c r="DO148" i="1"/>
  <c r="P215" i="1"/>
  <c r="BA148" i="1"/>
  <c r="F211" i="1"/>
  <c r="BA221" i="1"/>
  <c r="DY83" i="1"/>
  <c r="DL116" i="1"/>
  <c r="BD22" i="1"/>
  <c r="BD251" i="1"/>
  <c r="F246" i="1"/>
  <c r="T26" i="1"/>
  <c r="F72" i="1"/>
  <c r="T221" i="1"/>
  <c r="DO26" i="1"/>
  <c r="P75" i="1"/>
  <c r="T83" i="1"/>
  <c r="F137" i="1"/>
  <c r="V83" i="1"/>
  <c r="F139" i="1"/>
  <c r="GM164" i="1"/>
  <c r="GM150" i="1"/>
  <c r="AB191" i="1"/>
  <c r="U26" i="1"/>
  <c r="F73" i="1"/>
  <c r="U221" i="1"/>
  <c r="GO28" i="1"/>
  <c r="CC51" i="1" s="1"/>
  <c r="AE26" i="1"/>
  <c r="R51" i="1"/>
  <c r="GO85" i="1"/>
  <c r="CC116" i="1" s="1"/>
  <c r="CA116" i="1"/>
  <c r="AD83" i="1"/>
  <c r="Q116" i="1"/>
  <c r="GB26" i="1"/>
  <c r="ES51" i="1"/>
  <c r="AF83" i="1"/>
  <c r="S116" i="1"/>
  <c r="AU22" i="1"/>
  <c r="AU251" i="1"/>
  <c r="F240" i="1"/>
  <c r="W22" i="1"/>
  <c r="F245" i="1"/>
  <c r="W251" i="1"/>
  <c r="DV26" i="1"/>
  <c r="DI51" i="1"/>
  <c r="DU148" i="1"/>
  <c r="DH191" i="1"/>
  <c r="FZ191" i="1"/>
  <c r="FW191" i="1"/>
  <c r="FX191" i="1"/>
  <c r="AC83" i="1"/>
  <c r="CF116" i="1"/>
  <c r="CH116" i="1"/>
  <c r="P116" i="1"/>
  <c r="CE116" i="1"/>
  <c r="Q148" i="1"/>
  <c r="F203" i="1"/>
  <c r="AX26" i="1"/>
  <c r="F58" i="1"/>
  <c r="AX221" i="1"/>
  <c r="EB83" i="1"/>
  <c r="DO116" i="1"/>
  <c r="GM49" i="1"/>
  <c r="GO49" i="1" s="1"/>
  <c r="DW148" i="1"/>
  <c r="DJ191" i="1"/>
  <c r="DV148" i="1"/>
  <c r="DI191" i="1"/>
  <c r="Y94" i="1"/>
  <c r="ED116" i="1" s="1"/>
  <c r="CZ94" i="1"/>
  <c r="CY94" i="1"/>
  <c r="X94" i="1"/>
  <c r="DZ83" i="1"/>
  <c r="DM116" i="1"/>
  <c r="CP94" i="1"/>
  <c r="O94" i="1" s="1"/>
  <c r="GM94" i="1" s="1"/>
  <c r="GO94" i="1" s="1"/>
  <c r="DU116" i="1"/>
  <c r="Q26" i="1"/>
  <c r="F63" i="1"/>
  <c r="Q221" i="1"/>
  <c r="DL26" i="1"/>
  <c r="P72" i="1"/>
  <c r="DL221" i="1"/>
  <c r="W148" i="1"/>
  <c r="F215" i="1"/>
  <c r="ES148" i="1"/>
  <c r="P211" i="1"/>
  <c r="DM148" i="1"/>
  <c r="P213" i="1"/>
  <c r="AX83" i="1"/>
  <c r="F123" i="1"/>
  <c r="FQ26" i="1"/>
  <c r="GA51" i="1"/>
  <c r="EH51" i="1"/>
  <c r="EK22" i="1"/>
  <c r="P238" i="1"/>
  <c r="E16" i="2" s="1"/>
  <c r="EK251" i="1"/>
  <c r="DN148" i="1"/>
  <c r="P214" i="1"/>
  <c r="AX148" i="1"/>
  <c r="F198" i="1"/>
  <c r="AE83" i="1"/>
  <c r="R116" i="1"/>
  <c r="ET22" i="1"/>
  <c r="ET251" i="1"/>
  <c r="P234" i="1"/>
  <c r="EG22" i="1"/>
  <c r="P225" i="1"/>
  <c r="EG251" i="1"/>
  <c r="GM47" i="1"/>
  <c r="GO47" i="1" s="1"/>
  <c r="V26" i="1"/>
  <c r="F74" i="1"/>
  <c r="V221" i="1"/>
  <c r="V148" i="1"/>
  <c r="F214" i="1"/>
  <c r="EP148" i="1"/>
  <c r="P198" i="1"/>
  <c r="GM86" i="1"/>
  <c r="DW83" i="1"/>
  <c r="DJ116" i="1"/>
  <c r="DX83" i="1"/>
  <c r="DK116" i="1"/>
  <c r="EC116" i="1"/>
  <c r="BB22" i="1"/>
  <c r="F234" i="1"/>
  <c r="BB251" i="1"/>
  <c r="ED83" i="1" l="1"/>
  <c r="DQ116" i="1"/>
  <c r="DQ221" i="1" s="1"/>
  <c r="EC83" i="1"/>
  <c r="DP116" i="1"/>
  <c r="Q22" i="1"/>
  <c r="F233" i="1"/>
  <c r="Q251" i="1"/>
  <c r="DO83" i="1"/>
  <c r="P140" i="1"/>
  <c r="AB148" i="1"/>
  <c r="O191" i="1"/>
  <c r="AB83" i="1"/>
  <c r="O116" i="1"/>
  <c r="EU18" i="1"/>
  <c r="P267" i="1"/>
  <c r="BC18" i="1"/>
  <c r="F267" i="1"/>
  <c r="ES83" i="1"/>
  <c r="P136" i="1"/>
  <c r="S148" i="1"/>
  <c r="F206" i="1"/>
  <c r="DN22" i="1"/>
  <c r="P244" i="1"/>
  <c r="DN251" i="1"/>
  <c r="FZ26" i="1"/>
  <c r="EQ51" i="1"/>
  <c r="CI148" i="1"/>
  <c r="AZ191" i="1"/>
  <c r="BB18" i="1"/>
  <c r="F264" i="1"/>
  <c r="DK83" i="1"/>
  <c r="P131" i="1"/>
  <c r="DT116" i="1"/>
  <c r="R83" i="1"/>
  <c r="F130" i="1"/>
  <c r="DL22" i="1"/>
  <c r="DL251" i="1"/>
  <c r="P242" i="1"/>
  <c r="DM83" i="1"/>
  <c r="P138" i="1"/>
  <c r="DM221" i="1"/>
  <c r="DJ148" i="1"/>
  <c r="P205" i="1"/>
  <c r="CH83" i="1"/>
  <c r="AY116" i="1"/>
  <c r="FW148" i="1"/>
  <c r="EN191" i="1"/>
  <c r="DI26" i="1"/>
  <c r="P63" i="1"/>
  <c r="DI221" i="1"/>
  <c r="S83" i="1"/>
  <c r="F131" i="1"/>
  <c r="Q83" i="1"/>
  <c r="F128" i="1"/>
  <c r="R26" i="1"/>
  <c r="F65" i="1"/>
  <c r="R221" i="1"/>
  <c r="U22" i="1"/>
  <c r="F243" i="1"/>
  <c r="U251" i="1"/>
  <c r="GO150" i="1"/>
  <c r="CC191" i="1" s="1"/>
  <c r="CA191" i="1"/>
  <c r="DL83" i="1"/>
  <c r="P137" i="1"/>
  <c r="CI26" i="1"/>
  <c r="AZ51" i="1"/>
  <c r="CE26" i="1"/>
  <c r="AV51" i="1"/>
  <c r="AB26" i="1"/>
  <c r="O51" i="1"/>
  <c r="P148" i="1"/>
  <c r="F194" i="1"/>
  <c r="AQ18" i="1"/>
  <c r="F261" i="1"/>
  <c r="AS18" i="1"/>
  <c r="F268" i="1"/>
  <c r="EP22" i="1"/>
  <c r="EP251" i="1"/>
  <c r="P228" i="1"/>
  <c r="FX26" i="1"/>
  <c r="EO51" i="1"/>
  <c r="EM18" i="1"/>
  <c r="P270" i="1"/>
  <c r="DN83" i="1"/>
  <c r="P139" i="1"/>
  <c r="EH148" i="1"/>
  <c r="P200" i="1"/>
  <c r="DQ148" i="1"/>
  <c r="P218" i="1"/>
  <c r="DQ26" i="1"/>
  <c r="P78" i="1"/>
  <c r="P83" i="1"/>
  <c r="F119" i="1"/>
  <c r="FX148" i="1"/>
  <c r="EO191" i="1"/>
  <c r="CC26" i="1"/>
  <c r="AT51" i="1"/>
  <c r="GO86" i="1"/>
  <c r="FU116" i="1" s="1"/>
  <c r="FS116" i="1"/>
  <c r="EH26" i="1"/>
  <c r="P60" i="1"/>
  <c r="EH221" i="1"/>
  <c r="AX22" i="1"/>
  <c r="AX251" i="1"/>
  <c r="F228" i="1"/>
  <c r="CF83" i="1"/>
  <c r="AW116" i="1"/>
  <c r="FZ148" i="1"/>
  <c r="EQ191" i="1"/>
  <c r="AP26" i="1"/>
  <c r="F60" i="1"/>
  <c r="AP221" i="1"/>
  <c r="CH26" i="1"/>
  <c r="AY51" i="1"/>
  <c r="EI18" i="1"/>
  <c r="P261" i="1"/>
  <c r="X26" i="1"/>
  <c r="F77" i="1"/>
  <c r="X221" i="1"/>
  <c r="CH148" i="1"/>
  <c r="AY191" i="1"/>
  <c r="FS148" i="1"/>
  <c r="EJ191" i="1"/>
  <c r="EC148" i="1"/>
  <c r="DP191" i="1"/>
  <c r="DP221" i="1" s="1"/>
  <c r="DI83" i="1"/>
  <c r="P128" i="1"/>
  <c r="AO18" i="1"/>
  <c r="F255" i="1"/>
  <c r="EV18" i="1"/>
  <c r="P276" i="1"/>
  <c r="FW26" i="1"/>
  <c r="EN51" i="1"/>
  <c r="DK148" i="1"/>
  <c r="P206" i="1"/>
  <c r="X148" i="1"/>
  <c r="F217" i="1"/>
  <c r="DP26" i="1"/>
  <c r="P77" i="1"/>
  <c r="DJ83" i="1"/>
  <c r="P130" i="1"/>
  <c r="V22" i="1"/>
  <c r="F244" i="1"/>
  <c r="V251" i="1"/>
  <c r="EG18" i="1"/>
  <c r="P255" i="1"/>
  <c r="ET18" i="1"/>
  <c r="P264" i="1"/>
  <c r="EK18" i="1"/>
  <c r="P268" i="1"/>
  <c r="GA26" i="1"/>
  <c r="ER51" i="1"/>
  <c r="DU83" i="1"/>
  <c r="FZ116" i="1"/>
  <c r="DH116" i="1"/>
  <c r="FW116" i="1"/>
  <c r="FX116" i="1"/>
  <c r="DI148" i="1"/>
  <c r="P203" i="1"/>
  <c r="CE83" i="1"/>
  <c r="AV116" i="1"/>
  <c r="DH148" i="1"/>
  <c r="P194" i="1"/>
  <c r="W18" i="1"/>
  <c r="F275" i="1"/>
  <c r="AU18" i="1"/>
  <c r="F270" i="1"/>
  <c r="ES26" i="1"/>
  <c r="P71" i="1"/>
  <c r="ES221" i="1"/>
  <c r="CA83" i="1"/>
  <c r="AR116" i="1"/>
  <c r="CA51" i="1"/>
  <c r="DO221" i="1"/>
  <c r="T22" i="1"/>
  <c r="T251" i="1"/>
  <c r="F242" i="1"/>
  <c r="BD18" i="1"/>
  <c r="F276" i="1"/>
  <c r="BA22" i="1"/>
  <c r="F241" i="1"/>
  <c r="W16" i="2" s="1"/>
  <c r="BA251" i="1"/>
  <c r="DT26" i="1"/>
  <c r="DG51" i="1"/>
  <c r="P26" i="1"/>
  <c r="F54" i="1"/>
  <c r="P221" i="1"/>
  <c r="CF148" i="1"/>
  <c r="AW191" i="1"/>
  <c r="FU148" i="1"/>
  <c r="EL191" i="1"/>
  <c r="DT148" i="1"/>
  <c r="DG191" i="1"/>
  <c r="DK221" i="1"/>
  <c r="DJ26" i="1"/>
  <c r="P65" i="1"/>
  <c r="DJ221" i="1"/>
  <c r="DH26" i="1"/>
  <c r="P54" i="1"/>
  <c r="DH221" i="1"/>
  <c r="S26" i="1"/>
  <c r="F66" i="1"/>
  <c r="S221" i="1"/>
  <c r="AP148" i="1"/>
  <c r="F200" i="1"/>
  <c r="Y148" i="1"/>
  <c r="F218" i="1"/>
  <c r="Y26" i="1"/>
  <c r="F78" i="1"/>
  <c r="Y221" i="1"/>
  <c r="Y83" i="1"/>
  <c r="F143" i="1"/>
  <c r="CC83" i="1"/>
  <c r="AT116" i="1"/>
  <c r="GO29" i="1"/>
  <c r="FU51" i="1" s="1"/>
  <c r="FS51" i="1"/>
  <c r="CF26" i="1"/>
  <c r="AW51" i="1"/>
  <c r="CE148" i="1"/>
  <c r="AV191" i="1"/>
  <c r="R148" i="1"/>
  <c r="F205" i="1"/>
  <c r="X83" i="1"/>
  <c r="F142" i="1"/>
  <c r="GA148" i="1"/>
  <c r="ER191" i="1"/>
  <c r="DQ22" i="1" l="1"/>
  <c r="DQ251" i="1"/>
  <c r="P248" i="1"/>
  <c r="DP22" i="1"/>
  <c r="P247" i="1"/>
  <c r="DP251" i="1"/>
  <c r="CA26" i="1"/>
  <c r="AR51" i="1"/>
  <c r="AV83" i="1"/>
  <c r="F121" i="1"/>
  <c r="EQ148" i="1"/>
  <c r="P199" i="1"/>
  <c r="O26" i="1"/>
  <c r="F53" i="1"/>
  <c r="O221" i="1"/>
  <c r="AZ26" i="1"/>
  <c r="F62" i="1"/>
  <c r="AZ221" i="1"/>
  <c r="DI22" i="1"/>
  <c r="DI251" i="1"/>
  <c r="P233" i="1"/>
  <c r="DG26" i="1"/>
  <c r="P53" i="1"/>
  <c r="T18" i="1"/>
  <c r="F272" i="1"/>
  <c r="FW83" i="1"/>
  <c r="EN116" i="1"/>
  <c r="ER148" i="1"/>
  <c r="P202" i="1"/>
  <c r="AW26" i="1"/>
  <c r="F57" i="1"/>
  <c r="AW221" i="1"/>
  <c r="AT83" i="1"/>
  <c r="F134" i="1"/>
  <c r="S22" i="1"/>
  <c r="S251" i="1"/>
  <c r="F236" i="1"/>
  <c r="Y16" i="2" s="1"/>
  <c r="EL148" i="1"/>
  <c r="P209" i="1"/>
  <c r="P22" i="1"/>
  <c r="F224" i="1"/>
  <c r="P251" i="1"/>
  <c r="DH83" i="1"/>
  <c r="P119" i="1"/>
  <c r="EN26" i="1"/>
  <c r="P56" i="1"/>
  <c r="EN221" i="1"/>
  <c r="AY26" i="1"/>
  <c r="F59" i="1"/>
  <c r="AY221" i="1"/>
  <c r="AW83" i="1"/>
  <c r="F122" i="1"/>
  <c r="FS83" i="1"/>
  <c r="EJ116" i="1"/>
  <c r="EO148" i="1"/>
  <c r="P197" i="1"/>
  <c r="AV26" i="1"/>
  <c r="F56" i="1"/>
  <c r="AV221" i="1"/>
  <c r="U18" i="1"/>
  <c r="F273" i="1"/>
  <c r="AZ148" i="1"/>
  <c r="F202" i="1"/>
  <c r="DN18" i="1"/>
  <c r="P274" i="1"/>
  <c r="DP83" i="1"/>
  <c r="P142" i="1"/>
  <c r="FS26" i="1"/>
  <c r="EJ51" i="1"/>
  <c r="DJ22" i="1"/>
  <c r="P235" i="1"/>
  <c r="DJ251" i="1"/>
  <c r="CA148" i="1"/>
  <c r="AR191" i="1"/>
  <c r="DQ83" i="1"/>
  <c r="P143" i="1"/>
  <c r="DH22" i="1"/>
  <c r="DH251" i="1"/>
  <c r="P224" i="1"/>
  <c r="AR83" i="1"/>
  <c r="F144" i="1"/>
  <c r="Y22" i="1"/>
  <c r="F248" i="1"/>
  <c r="Y251" i="1"/>
  <c r="DK22" i="1"/>
  <c r="DK251" i="1"/>
  <c r="P236" i="1"/>
  <c r="J16" i="2" s="1"/>
  <c r="BA18" i="1"/>
  <c r="F271" i="1"/>
  <c r="DO22" i="1"/>
  <c r="DO251" i="1"/>
  <c r="P245" i="1"/>
  <c r="ES22" i="1"/>
  <c r="P241" i="1"/>
  <c r="H16" i="2" s="1"/>
  <c r="ES251" i="1"/>
  <c r="FZ83" i="1"/>
  <c r="EQ116" i="1"/>
  <c r="DP148" i="1"/>
  <c r="P217" i="1"/>
  <c r="AY148" i="1"/>
  <c r="F199" i="1"/>
  <c r="EH22" i="1"/>
  <c r="EH251" i="1"/>
  <c r="P230" i="1"/>
  <c r="G16" i="2" s="1"/>
  <c r="FU83" i="1"/>
  <c r="EL116" i="1"/>
  <c r="EN148" i="1"/>
  <c r="P196" i="1"/>
  <c r="O148" i="1"/>
  <c r="F193" i="1"/>
  <c r="Q18" i="1"/>
  <c r="F263" i="1"/>
  <c r="AV148" i="1"/>
  <c r="F196" i="1"/>
  <c r="DG148" i="1"/>
  <c r="P193" i="1"/>
  <c r="AP22" i="1"/>
  <c r="F230" i="1"/>
  <c r="V16" i="2" s="1"/>
  <c r="AP251" i="1"/>
  <c r="EP18" i="1"/>
  <c r="P258" i="1"/>
  <c r="EQ26" i="1"/>
  <c r="P59" i="1"/>
  <c r="AW148" i="1"/>
  <c r="F197" i="1"/>
  <c r="FX83" i="1"/>
  <c r="EO116" i="1"/>
  <c r="AT26" i="1"/>
  <c r="F69" i="1"/>
  <c r="FU26" i="1"/>
  <c r="EL51" i="1"/>
  <c r="ER26" i="1"/>
  <c r="P62" i="1"/>
  <c r="ER221" i="1"/>
  <c r="V18" i="1"/>
  <c r="F274" i="1"/>
  <c r="EJ148" i="1"/>
  <c r="P219" i="1"/>
  <c r="X22" i="1"/>
  <c r="F247" i="1"/>
  <c r="X251" i="1"/>
  <c r="AX18" i="1"/>
  <c r="F258" i="1"/>
  <c r="EO26" i="1"/>
  <c r="P57" i="1"/>
  <c r="EO221" i="1"/>
  <c r="CC148" i="1"/>
  <c r="AT191" i="1"/>
  <c r="AT221" i="1" s="1"/>
  <c r="R22" i="1"/>
  <c r="F235" i="1"/>
  <c r="R251" i="1"/>
  <c r="AY83" i="1"/>
  <c r="F124" i="1"/>
  <c r="DM22" i="1"/>
  <c r="DM251" i="1"/>
  <c r="P243" i="1"/>
  <c r="DL18" i="1"/>
  <c r="P272" i="1"/>
  <c r="DT83" i="1"/>
  <c r="DG116" i="1"/>
  <c r="DG221" i="1" s="1"/>
  <c r="O83" i="1"/>
  <c r="F118" i="1"/>
  <c r="AT22" i="1" l="1"/>
  <c r="F239" i="1"/>
  <c r="U16" i="2" s="1"/>
  <c r="X16" i="2" s="1"/>
  <c r="AC16" i="2" s="1"/>
  <c r="AT251" i="1"/>
  <c r="DG22" i="1"/>
  <c r="DG251" i="1"/>
  <c r="P223" i="1"/>
  <c r="R18" i="1"/>
  <c r="F265" i="1"/>
  <c r="EJ26" i="1"/>
  <c r="P79" i="1"/>
  <c r="EJ221" i="1"/>
  <c r="X18" i="1"/>
  <c r="F277" i="1"/>
  <c r="AP18" i="1"/>
  <c r="F260" i="1"/>
  <c r="EH18" i="1"/>
  <c r="P260" i="1"/>
  <c r="ES18" i="1"/>
  <c r="P271" i="1"/>
  <c r="DO18" i="1"/>
  <c r="P275" i="1"/>
  <c r="AV22" i="1"/>
  <c r="F226" i="1"/>
  <c r="AV251" i="1"/>
  <c r="EN22" i="1"/>
  <c r="EN251" i="1"/>
  <c r="P226" i="1"/>
  <c r="EN83" i="1"/>
  <c r="P121" i="1"/>
  <c r="DI18" i="1"/>
  <c r="P263" i="1"/>
  <c r="AR26" i="1"/>
  <c r="F79" i="1"/>
  <c r="AR221" i="1"/>
  <c r="DM18" i="1"/>
  <c r="P273" i="1"/>
  <c r="EL26" i="1"/>
  <c r="P69" i="1"/>
  <c r="EL221" i="1"/>
  <c r="EQ83" i="1"/>
  <c r="P124" i="1"/>
  <c r="EO22" i="1"/>
  <c r="P227" i="1"/>
  <c r="EO251" i="1"/>
  <c r="DG83" i="1"/>
  <c r="P118" i="1"/>
  <c r="AT148" i="1"/>
  <c r="F209" i="1"/>
  <c r="EL83" i="1"/>
  <c r="P134" i="1"/>
  <c r="DK18" i="1"/>
  <c r="P266" i="1"/>
  <c r="DH18" i="1"/>
  <c r="P254" i="1"/>
  <c r="AR148" i="1"/>
  <c r="F219" i="1"/>
  <c r="EJ83" i="1"/>
  <c r="P144" i="1"/>
  <c r="AY22" i="1"/>
  <c r="F229" i="1"/>
  <c r="AY251" i="1"/>
  <c r="P18" i="1"/>
  <c r="F254" i="1"/>
  <c r="O22" i="1"/>
  <c r="F223" i="1"/>
  <c r="O251" i="1"/>
  <c r="DP18" i="1"/>
  <c r="P277" i="1"/>
  <c r="DQ18" i="1"/>
  <c r="P278" i="1"/>
  <c r="AZ22" i="1"/>
  <c r="F232" i="1"/>
  <c r="AZ251" i="1"/>
  <c r="ER22" i="1"/>
  <c r="ER251" i="1"/>
  <c r="P232" i="1"/>
  <c r="EO83" i="1"/>
  <c r="P122" i="1"/>
  <c r="EQ221" i="1"/>
  <c r="Y18" i="1"/>
  <c r="F278" i="1"/>
  <c r="DJ18" i="1"/>
  <c r="P265" i="1"/>
  <c r="S18" i="1"/>
  <c r="F266" i="1"/>
  <c r="AW22" i="1"/>
  <c r="F227" i="1"/>
  <c r="AW251" i="1"/>
  <c r="AZ18" i="1" l="1"/>
  <c r="F262" i="1"/>
  <c r="AY18" i="1"/>
  <c r="F259" i="1"/>
  <c r="AW18" i="1"/>
  <c r="F257" i="1"/>
  <c r="EO18" i="1"/>
  <c r="P257" i="1"/>
  <c r="AV18" i="1"/>
  <c r="F256" i="1"/>
  <c r="EQ22" i="1"/>
  <c r="EQ251" i="1"/>
  <c r="P229" i="1"/>
  <c r="ER18" i="1"/>
  <c r="P262" i="1"/>
  <c r="EL22" i="1"/>
  <c r="P239" i="1"/>
  <c r="F16" i="2" s="1"/>
  <c r="I16" i="2" s="1"/>
  <c r="N16" i="2" s="1"/>
  <c r="EL251" i="1"/>
  <c r="EJ22" i="1"/>
  <c r="EJ251" i="1"/>
  <c r="P249" i="1"/>
  <c r="AT18" i="1"/>
  <c r="F269" i="1"/>
  <c r="O18" i="1"/>
  <c r="F253" i="1"/>
  <c r="AR22" i="1"/>
  <c r="F249" i="1"/>
  <c r="AR251" i="1"/>
  <c r="EN18" i="1"/>
  <c r="P256" i="1"/>
  <c r="DG18" i="1"/>
  <c r="P253" i="1"/>
  <c r="AR18" i="1" l="1"/>
  <c r="F279" i="1"/>
  <c r="EJ18" i="1"/>
  <c r="P279" i="1"/>
  <c r="EQ18" i="1"/>
  <c r="P259" i="1"/>
  <c r="EL18" i="1"/>
  <c r="P269" i="1"/>
</calcChain>
</file>

<file path=xl/sharedStrings.xml><?xml version="1.0" encoding="utf-8"?>
<sst xmlns="http://schemas.openxmlformats.org/spreadsheetml/2006/main" count="10093" uniqueCount="548">
  <si>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</si>
  <si>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</si>
  <si>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</si>
  <si>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</si>
  <si>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</t>
  </si>
  <si>
    <t>02-01-10 РТС</t>
  </si>
  <si>
    <t>2024-00272-01-0-ИОС5.3</t>
  </si>
  <si>
    <t>Соколова И.Н.</t>
  </si>
  <si>
    <t>Сметные нормы списания</t>
  </si>
  <si>
    <t>Коды ОКП для ТСН-2001 МГЭ Дополнение 80</t>
  </si>
  <si>
    <t>Типовой расчет для ТСН-2001 МГЭ, Дополнение 80, строительство  (1)</t>
  </si>
  <si>
    <t>Территориальные сметные нормативы для Москвы ТСН-2001 (МГЭ), дополнение 80</t>
  </si>
  <si>
    <t>Поправки для ТСН-2001 от 28.11.2025 г. доп.79</t>
  </si>
  <si>
    <t>Территориальные сметные нормативы для Москвы (ТСН-2001)</t>
  </si>
  <si>
    <t>ТЕР</t>
  </si>
  <si>
    <t>02-01-10</t>
  </si>
  <si>
    <t>Радиотрансляционная сеть</t>
  </si>
  <si>
    <t>Оборудование</t>
  </si>
  <si>
    <t>1</t>
  </si>
  <si>
    <t>4.11-17-1</t>
  </si>
  <si>
    <t>Монтаж щитов и пультов массой до 50кг</t>
  </si>
  <si>
    <t>1  ШТ.</t>
  </si>
  <si>
    <t>ТСН-2001.4 Доп. 80, Сб. 11, т. 17, поз. 1</t>
  </si>
  <si>
    <t>*1,1</t>
  </si>
  <si>
    <t>Монтаж оборудования</t>
  </si>
  <si>
    <t>ТСН-2001.4-11. Приборы и средства автоматизации и вычислительной техники</t>
  </si>
  <si>
    <t>ТСН-2001.4-11-1</t>
  </si>
  <si>
    <t>Поправка: О.П. п.3.4.30.в</t>
  </si>
  <si>
    <t>1,1</t>
  </si>
  <si>
    <t>КА-1</t>
  </si>
  <si>
    <t>Устройство подачи программ вещания УППВ 1918 М1 исп. У (исп. 2022)</t>
  </si>
  <si>
    <t>шт.</t>
  </si>
  <si>
    <t>Сметная стоимость оборудования</t>
  </si>
  <si>
    <t>ТСН-2001.13. Сметная стоимость оборудования</t>
  </si>
  <si>
    <t>ТСН-2001.13</t>
  </si>
  <si>
    <t>[399 507,72 / 1,2 /  7,66] +  3% Трансп +  1,2% Заг.скл</t>
  </si>
  <si>
    <t>3</t>
  </si>
  <si>
    <t>1,2</t>
  </si>
  <si>
    <t>2</t>
  </si>
  <si>
    <t>4.11-12-1</t>
  </si>
  <si>
    <t>Установка съемных и выдвижных блоков (модулей, ячеек, ТЭЗ) массой до 5 кг</t>
  </si>
  <si>
    <t>ТСН-2001.4 Доп. 68, Сб. 11, т. 12, поз. 1</t>
  </si>
  <si>
    <t>2,1</t>
  </si>
  <si>
    <t>КА-2</t>
  </si>
  <si>
    <t>Модуль для приема интернет вещания радиостанции «Радио Москвы»</t>
  </si>
  <si>
    <t>[33 880 / 1,2 /  7,66] +  3% Трансп +  1,2% Заг.скл</t>
  </si>
  <si>
    <t>3,1</t>
  </si>
  <si>
    <t>КА-3</t>
  </si>
  <si>
    <t>Устройство сопряжения с РСО г.Москвы УС-1 (БАО-РСПИ+БСМС)</t>
  </si>
  <si>
    <t>[1 004 500 / 1,2 /  7,66] +  3% Трансп +  1,2% Заг.скл</t>
  </si>
  <si>
    <t>4</t>
  </si>
  <si>
    <t>4.10-69-3</t>
  </si>
  <si>
    <t>Монтаж щита распределительного настенного типа</t>
  </si>
  <si>
    <t>ТСН-2001.4 Доп. 67, Сб. 10, т. 69, поз. 3</t>
  </si>
  <si>
    <t>ТСН-2001.4-10. Монтаж радиотелевизионного и электронного оборудования</t>
  </si>
  <si>
    <t>ТСН-2001.4-10-2</t>
  </si>
  <si>
    <t>4,1</t>
  </si>
  <si>
    <t>КА-4</t>
  </si>
  <si>
    <t>Резервный канал РСПИ ОСПИ-Тандем</t>
  </si>
  <si>
    <t>[98 000 / 1,2 /  7,66] +  3% Трансп +  1,2% Заг.скл</t>
  </si>
  <si>
    <t>5</t>
  </si>
  <si>
    <t>4.8-333-7</t>
  </si>
  <si>
    <t>Монтаж розетки штепсельной скрытого типа</t>
  </si>
  <si>
    <t>100 шт.</t>
  </si>
  <si>
    <t>ТСН-2001.4 Доп. 80, Сб. 8, т. 333, поз. 7</t>
  </si>
  <si>
    <t>ТСН-2001.4-8. Электротехнические установки</t>
  </si>
  <si>
    <t>ТСН-2001.4-8-1</t>
  </si>
  <si>
    <t>5,1</t>
  </si>
  <si>
    <t>1.14-1-23</t>
  </si>
  <si>
    <t>Розетка радиотрансляционная, скрытой установки, типа РПВ-2 (прим. АРС-003)</t>
  </si>
  <si>
    <t>ТСН-2001.1 Доп. 79, Р. 14, о. 1, поз. 23</t>
  </si>
  <si>
    <t>5,2</t>
  </si>
  <si>
    <t>1.21-5-192</t>
  </si>
  <si>
    <t>Коробка, типа КУВ-1М УХЛЗ, для установки выключателей, переключателей и штепсельных розеток при скрытой электропроводке</t>
  </si>
  <si>
    <t>1000 шт.</t>
  </si>
  <si>
    <t>ТСН-2001.1 Доп. 79, Р. 21, о. 5, поз. 192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</si>
  <si>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</si>
  <si>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</si>
  <si>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</si>
  <si>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</si>
  <si>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</si>
  <si>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</si>
  <si>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</si>
  <si>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</si>
  <si>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</si>
  <si>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</si>
  <si>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</si>
  <si>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</si>
  <si>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</si>
  <si>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</si>
  <si>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</si>
  <si>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</si>
  <si>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</si>
  <si>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</si>
  <si>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</si>
  <si>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</si>
  <si>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</si>
  <si>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</si>
  <si>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</si>
  <si>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</si>
  <si>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</si>
  <si>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</si>
  <si>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</si>
  <si>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</si>
  <si>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</si>
  <si>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</si>
  <si>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</si>
  <si>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</si>
  <si>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</si>
  <si>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</si>
  <si>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</si>
  <si>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</si>
  <si>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</si>
  <si>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</si>
  <si>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</si>
  <si>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</si>
  <si>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</si>
  <si>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</si>
  <si>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</si>
  <si>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</si>
  <si>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</si>
  <si>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</si>
  <si>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</si>
  <si>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</si>
  <si>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</si>
  <si>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</si>
  <si>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</si>
  <si>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</si>
  <si>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</si>
  <si>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</si>
  <si>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Кабельные  изделия</t>
  </si>
  <si>
    <t>6</t>
  </si>
  <si>
    <t>4.8-288-2</t>
  </si>
  <si>
    <t>Трубы гофрированные поливинилхлоридные наружным диаметром 20 мм открыто по стенам и потолкам с установкой соединительных коробок</t>
  </si>
  <si>
    <t>100 м</t>
  </si>
  <si>
    <t>ТСН-2001.4 Доп. 54, Сб. 8, т. 288, поз. 2</t>
  </si>
  <si>
    <t>6,1</t>
  </si>
  <si>
    <t>1.12-5-372</t>
  </si>
  <si>
    <t>Трубы электротехнические, гофрированные, из ПВХ, негорючие, с зондом, наружный диаметр 20 мм</t>
  </si>
  <si>
    <t>м</t>
  </si>
  <si>
    <t>ТСН-2001.1 Доп. 67, Р. 12, о. 5, поз. 372</t>
  </si>
  <si>
    <t>6,2</t>
  </si>
  <si>
    <t>1.21-5-1136</t>
  </si>
  <si>
    <t>Держатель пластиковый с защелкой для крепления труб, рукавов и гибких вводов диаметром 20 мм</t>
  </si>
  <si>
    <t>ТСН-2001.1 Доп. 73, Р. 21, о. 5, поз. 1136</t>
  </si>
  <si>
    <t>7</t>
  </si>
  <si>
    <t>4.8-174-1</t>
  </si>
  <si>
    <t>Прокладка металлического рукава, наружный диаметр до 48 мм</t>
  </si>
  <si>
    <t>ТСН-2001.4 Доп. 80, Сб. 8, т. 174, поз. 1</t>
  </si>
  <si>
    <t>7,1</t>
  </si>
  <si>
    <t>1.21-5-1413</t>
  </si>
  <si>
    <t>Рукав металлополимерный гибкий герметичный, внутренний слой из оцинкованной стальной ленты, наружный из полимерного материала, категория НГ-LS HF, степень защиты IP 65, диаметр условного прохода 20 мм, для защиты кабеля при прокладке</t>
  </si>
  <si>
    <t>ТСН-2001.1 Доп. 54, Р. 21, о. 5, поз. 1413</t>
  </si>
  <si>
    <t>8</t>
  </si>
  <si>
    <t>4.8-175-2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</si>
  <si>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6 мм2</t>
  </si>
  <si>
    <t>ТСН-2001.4 Доп. 79, Сб. 8, т. 175, поз. 2</t>
  </si>
  <si>
    <t>9</t>
  </si>
  <si>
    <t>4.8-175-9</t>
  </si>
  <si>
    <t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6 мм2 (к нормам и расценкам 4.8-175-1 и 4.8-175-2)</t>
  </si>
  <si>
    <t>ТСН-2001.4 Доп. 80, Сб. 8, т. 175, поз. 9</t>
  </si>
  <si>
    <t>10</t>
  </si>
  <si>
    <t>КА-5</t>
  </si>
  <si>
    <t>Кабель распределительный  КПСВВнг(А)-LSLTx 1x2x1,5</t>
  </si>
  <si>
    <t>км</t>
  </si>
  <si>
    <t>Материалы</t>
  </si>
  <si>
    <t>Материалы, изделия и конструкции</t>
  </si>
  <si>
    <t>[51 000 / 1,2 /  9,88] +  2% Заг.скл</t>
  </si>
  <si>
    <t>0</t>
  </si>
  <si>
    <t>11</t>
  </si>
  <si>
    <t>КА-6</t>
  </si>
  <si>
    <t>Кабель абонентский  КПСВВнг(А)-LSLTx 1x2x0,5</t>
  </si>
  <si>
    <t>[19 860 / 1,2 /  9,88] +  2% Заг.скл</t>
  </si>
  <si>
    <t>12</t>
  </si>
  <si>
    <t>КА-7</t>
  </si>
  <si>
    <t>Кабель витая пара FTP кат. 5е ЛОУТОКС КВПЭфнг(С)-LSLTx-5е 4x2x0,52</t>
  </si>
  <si>
    <t>[134 950 / 1,2 /  9,88] +  2% Заг.скл</t>
  </si>
  <si>
    <t>13</t>
  </si>
  <si>
    <t>КА-8</t>
  </si>
  <si>
    <t>Кабель коаксиальный Паракс RG-6 РК 75-4,8-318нг(А)-LSLTx</t>
  </si>
  <si>
    <t>[84 900 / 1,2 /  9,88] +  2% Заг.скл</t>
  </si>
  <si>
    <t>14</t>
  </si>
  <si>
    <t>КА-9</t>
  </si>
  <si>
    <t>Кабель сопряжения с СОУЭ КПСВэВнг(А)-LSLTx 2x2x0,5</t>
  </si>
  <si>
    <t>[56 842 / 1,2 /  9,88] +  2% Заг.скл</t>
  </si>
  <si>
    <t>15</t>
  </si>
  <si>
    <t>КА-10</t>
  </si>
  <si>
    <t>Кабель коаксиальный РК50-7-37нг(А)-HF</t>
  </si>
  <si>
    <t>[335 064 / 1,2 /  9,88] +  2% Заг.скл</t>
  </si>
  <si>
    <t>16</t>
  </si>
  <si>
    <t>КА-11</t>
  </si>
  <si>
    <t>Кабель  коммутации передачи сигнала 20нг(А)-FRLSLTx 2x2x0,75</t>
  </si>
  <si>
    <t>[221 520 / 1,2 /  9,88] +  2% Заг.скл</t>
  </si>
  <si>
    <t>17</t>
  </si>
  <si>
    <t>КА-12</t>
  </si>
  <si>
    <t>Кабель сопряжения оборудования СОЧС с ОСО КПСВЭВнг(А)-LSLTx 2x2x0,75</t>
  </si>
  <si>
    <t>[55 000 / 1,2 /  9,88] +  2% Заг.скл</t>
  </si>
  <si>
    <t>18</t>
  </si>
  <si>
    <t>4.10-118-12</t>
  </si>
  <si>
    <t>Установка для трубных проводок коробки оконечной</t>
  </si>
  <si>
    <t>ТСН-2001.4 Доп. 79, Сб. 10, т. 118, поз. 12</t>
  </si>
  <si>
    <t>ТСН-2001.4-10. Прокладка и монтаж сетей связи</t>
  </si>
  <si>
    <t>ТСН-2001.4-10-1</t>
  </si>
  <si>
    <t>18,1</t>
  </si>
  <si>
    <t>КА-13</t>
  </si>
  <si>
    <t>Коробка ограничительная абоненсткая на 4 отвода  КРА-4</t>
  </si>
  <si>
    <t>ШТ</t>
  </si>
  <si>
    <t>[366,24 / 1,2 /  9,88] +  2% Заг.скл</t>
  </si>
  <si>
    <t>19</t>
  </si>
  <si>
    <t>19,1</t>
  </si>
  <si>
    <t>1.14-1-13</t>
  </si>
  <si>
    <t>Коробка радиотрансляционная, универсальная, для подключения радиотрансляционной сети, типа РОН</t>
  </si>
  <si>
    <t>ТСН-2001.1 Доп. 67, Р. 14, о. 1, поз. 13</t>
  </si>
  <si>
    <t>20</t>
  </si>
  <si>
    <t>4.10-134-7</t>
  </si>
  <si>
    <t>Антенные устройства, монтаж антенны дополнительной для приема ТВ на ранее установленной опоре, с действующими ТВ антеннами</t>
  </si>
  <si>
    <t>1 антенна</t>
  </si>
  <si>
    <t>ТСН-2001.4. Доп. 1-42. Сб. 10, т. 134, поз. 7</t>
  </si>
  <si>
    <t>20,1</t>
  </si>
  <si>
    <t>13.1-2-585</t>
  </si>
  <si>
    <t>Антенна эфирная УКВ/FM, коэффициент усиления антенны 6,5/5,5 дБ, число элементов: 5, 3 канала</t>
  </si>
  <si>
    <t>21</t>
  </si>
  <si>
    <t>4.10-134-4</t>
  </si>
  <si>
    <t>Антенные устройства, монтаж антенны коллективной для приема ТВ на антенной опоре высотой до 6 м без оттяжек на кровле с ранее оборудованными трубостойками</t>
  </si>
  <si>
    <t>ТСН-2001.4. Доп. 1-42. Сб. 10, т. 134, поз. 4</t>
  </si>
  <si>
    <t>21,1</t>
  </si>
  <si>
    <t>КА-14</t>
  </si>
  <si>
    <t>Антенна коллинеарная 470 МГц А-200 MU</t>
  </si>
  <si>
    <t>[11 900 / 1,2 /  7,66] +  3% Трансп +  1,2% Заг.скл</t>
  </si>
  <si>
    <t>22</t>
  </si>
  <si>
    <t>4.10-134-3</t>
  </si>
  <si>
    <t>Антенные устройства, монтаж металлоконструкций для телевизионных антенн (Масса антенны в сборе - 5,1 кг)</t>
  </si>
  <si>
    <t>1 Т</t>
  </si>
  <si>
    <t>ТСН-2001.4. Доп. 1-42. Сб. 10, т. 134, поз. 3</t>
  </si>
  <si>
    <t>23</t>
  </si>
  <si>
    <t>13.1-2-575</t>
  </si>
  <si>
    <t>Мачта для телевизионной антенны, высота не более 6 м, без защелок-натяжителей и проволоки для оттяжек</t>
  </si>
  <si>
    <t>24</t>
  </si>
  <si>
    <t>КА-15</t>
  </si>
  <si>
    <t>Опора  модернизированная с грузом 8х20 кг NPMM-60</t>
  </si>
  <si>
    <t>[48 624 / 1,2 /  9,88] +  2% Заг.скл</t>
  </si>
  <si>
    <t>25</t>
  </si>
  <si>
    <t>КА-16</t>
  </si>
  <si>
    <t>Комплект заземления мачты   (трос стальной 8,3мм-10м; на конечник КВТ35-8-9-1шт.; сжим У859М-1шт.)</t>
  </si>
  <si>
    <t>[2 900 / 1,2 /  9,88] +  2% Заг.скл</t>
  </si>
  <si>
    <t>26</t>
  </si>
  <si>
    <t>4.10-21-5</t>
  </si>
  <si>
    <t>Грозозащита для воздушных абонентских линий</t>
  </si>
  <si>
    <t>1 комплект</t>
  </si>
  <si>
    <t>ТСН-2001.4 Доп. 79, Сб. 10, т. 21, поз. 5</t>
  </si>
  <si>
    <t>26,1</t>
  </si>
  <si>
    <t>КА-17</t>
  </si>
  <si>
    <t>Грозозащита на 75 Ом ОВР</t>
  </si>
  <si>
    <t>[4 076 / 1,2 /  7,66] +  3% Трансп +  1,2% Заг.скл</t>
  </si>
  <si>
    <t>27</t>
  </si>
  <si>
    <t>1.14-1-280</t>
  </si>
  <si>
    <t>Разъем телевизионный F для коаксиального кабеля стандарта RG6</t>
  </si>
  <si>
    <t>ТСН-2001.1 Доп. 67, Р. 14, о. 1, поз. 280</t>
  </si>
  <si>
    <t>Материалы монтажные</t>
  </si>
  <si>
    <t>ТСН-2001.1 Материалы монтажные</t>
  </si>
  <si>
    <t>ТСН-2001.1-2</t>
  </si>
  <si>
    <t>28</t>
  </si>
  <si>
    <t>1.14-1-582</t>
  </si>
  <si>
    <t>Коннектор (вилка) телекоммуникационный 8P8C, RJ45, категория 5E</t>
  </si>
  <si>
    <t>ТСН-2001.1 Доп. 54, Р. 14, о. 1, поз. 582</t>
  </si>
  <si>
    <t>29</t>
  </si>
  <si>
    <t>1.14-1-284</t>
  </si>
  <si>
    <t>Разъем телевизионный "папа", прямой, для коаксиального кабеля стандарта RG6</t>
  </si>
  <si>
    <t>ТСН-2001.1 Доп. 67, Р. 14, о. 1, поз. 284</t>
  </si>
  <si>
    <t>30</t>
  </si>
  <si>
    <t>31</t>
  </si>
  <si>
    <t>31,1</t>
  </si>
  <si>
    <t>КА-18</t>
  </si>
  <si>
    <t>Грозозащита N-типа на 50 Ом N-722Q</t>
  </si>
  <si>
    <t>[5 100 / 1,2 /  7,66] +  3% Трансп +  1,2% Заг.скл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</si>
  <si>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</si>
  <si>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</si>
  <si>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</si>
  <si>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</si>
  <si>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</si>
  <si>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</si>
  <si>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</si>
  <si>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</si>
  <si>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</si>
  <si>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</si>
  <si>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Текущий уровень цен</t>
  </si>
  <si>
    <t>Сборник индексов</t>
  </si>
  <si>
    <t>Коэффициенты к ТСН-2001 МГЭ Дополнение 80, строительство</t>
  </si>
  <si>
    <t>217/80</t>
  </si>
  <si>
    <t>Коэффициенты к ТСН-2001.13-2 Дополнение 46</t>
  </si>
  <si>
    <t>62/46</t>
  </si>
  <si>
    <t>Базовый уровень цен</t>
  </si>
  <si>
    <t>_OBSM_</t>
  </si>
  <si>
    <t>9999990008</t>
  </si>
  <si>
    <t>Трудозатраты рабочих</t>
  </si>
  <si>
    <t>чел.-ч.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</si>
  <si>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</si>
  <si>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</si>
  <si>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</si>
  <si>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маш.-ч</t>
  </si>
  <si>
    <t>2.1-18-7</t>
  </si>
  <si>
    <t>ТСН-2001.2. Доп. 68. п.1-18-7 (183001)</t>
  </si>
  <si>
    <t>Автомобили грузовые бортовые, грузоподъемность до 5 т</t>
  </si>
  <si>
    <t>9999990009</t>
  </si>
  <si>
    <t>2.1-30-37</t>
  </si>
  <si>
    <t>ТСН-2001.2. Доп. 68. п.1-30-37 (307101)</t>
  </si>
  <si>
    <t>Станки вертикально-сверлильные</t>
  </si>
  <si>
    <t>1.1-1-1566</t>
  </si>
  <si>
    <t>ТСН-2001.1 Доп. 79, Р. 1, о. 1, поз. 1566</t>
  </si>
  <si>
    <t>Электроды, типа Э-42, Э-46, Э-50, диаметр от 4 до 6 мм</t>
  </si>
  <si>
    <t>т</t>
  </si>
  <si>
    <t>1.1-1-1576</t>
  </si>
  <si>
    <t>ТСН-2001.1 Доп. 79, Р. 1, о. 1, поз. 1576</t>
  </si>
  <si>
    <t>Эмаль пентафталевая, белая, типа ПФ-115</t>
  </si>
  <si>
    <t>кг</t>
  </si>
  <si>
    <t>1.1-1-165</t>
  </si>
  <si>
    <t>ТСН-2001.1 Доп. 79, Р. 1, о. 1, поз. 165</t>
  </si>
  <si>
    <t>Грунтовка глифталевая, типа ГФ-021</t>
  </si>
  <si>
    <t>1.1-1-2623</t>
  </si>
  <si>
    <t>ТСН-2001.1 Доп. 79, Р. 1, о. 1, поз. 2623</t>
  </si>
  <si>
    <t>Болты строительные с шестигранной головкой, М12</t>
  </si>
  <si>
    <t>1.1-1-3482</t>
  </si>
  <si>
    <t>ТСН-2001.1 Доп. 79, Р. 1, о. 1, поз. 3482</t>
  </si>
  <si>
    <t>Лист рифленый, с ромбическим рифлением, из стали углеродистой обыкновенного качества, полуспокойной и спокойной, толщина 4 мм</t>
  </si>
  <si>
    <t>1.1-1-995</t>
  </si>
  <si>
    <t>ТСН-2001.1 Доп. 79, Р. 1, о. 1, поз. 995</t>
  </si>
  <si>
    <t>Растворитель типа Р-4</t>
  </si>
  <si>
    <t>1.1-1-999</t>
  </si>
  <si>
    <t>ТСН-2001.1 Доп. 79, Р. 1, о. 1, поз. 999</t>
  </si>
  <si>
    <t>Растворитель "Уайт-спирит"</t>
  </si>
  <si>
    <t>1.1-1-1920</t>
  </si>
  <si>
    <t>ТСН-2001.1. Доп. 1-42. Р. 1, о. 1, поз. 1920</t>
  </si>
  <si>
    <t>Электроэнергия</t>
  </si>
  <si>
    <t>квт.-ч.</t>
  </si>
  <si>
    <t>1.1-1-944</t>
  </si>
  <si>
    <t>ТСН-2001.1 Доп. 79, Р. 1, о. 1, поз. 944</t>
  </si>
  <si>
    <t>Припой оловянно-свинцовый, в прутках, диаметр 8 мм, типа ПОС-30</t>
  </si>
  <si>
    <t>1.1-2-63</t>
  </si>
  <si>
    <t>ТСН-2001.1. Доп. 1-42. Р. 1, о. 2, поз. 63</t>
  </si>
  <si>
    <t>Нитки суровые</t>
  </si>
  <si>
    <t>г</t>
  </si>
  <si>
    <t>1.21-5-1180</t>
  </si>
  <si>
    <t>ТСН-2001.1 Доп. 79, Р. 21, о. 5, поз. 1180</t>
  </si>
  <si>
    <t>Бирка маркировочная для кабелей и проводов, типа У134 У3,5</t>
  </si>
  <si>
    <t>1.21-5-1229</t>
  </si>
  <si>
    <t>ТСН-2001.1 Доп. 67, Р. 21, о. 5, поз. 1229</t>
  </si>
  <si>
    <t>Лента электроизоляционная, термостойкая, ширина 26 мм, толщина от 0,5 до 0,8 мм, типа ЛЭТСАР</t>
  </si>
  <si>
    <t>9999990002</t>
  </si>
  <si>
    <t>Масса оборудования</t>
  </si>
  <si>
    <t>2.1-30-10</t>
  </si>
  <si>
    <t>ТСН-2001.2. Доп. 68. п.1-30-10 (304101)</t>
  </si>
  <si>
    <t>Перфораторы, мощность до 800 Вт</t>
  </si>
  <si>
    <t>1.1-1-1092</t>
  </si>
  <si>
    <t>ТСН-2001.1 Доп. 79, Р. 1, о. 1, поз. 1092</t>
  </si>
  <si>
    <t>Полоса из стали углеродистой обыкновенного качества, спокойной</t>
  </si>
  <si>
    <t>1.1-1-1669</t>
  </si>
  <si>
    <t>ТСН-2001.1 Доп. 79, Р. 1, о. 1, поз. 1669</t>
  </si>
  <si>
    <t>Электроды, типа Э-42А, диаметр от 4 до 6 мм</t>
  </si>
  <si>
    <t>1.1-1-237</t>
  </si>
  <si>
    <t>ТСН-2001.1 Доп. 67, Р. 1, о. 1, поз. 237</t>
  </si>
  <si>
    <t>Дюбель с патроном</t>
  </si>
  <si>
    <t>1.1-1-2381</t>
  </si>
  <si>
    <t>ТСН-2001.1 Доп. 79, Р. 1, о. 1, поз. 2381</t>
  </si>
  <si>
    <t>Винты с полукруглой головкой, М6х10</t>
  </si>
  <si>
    <t>1.1-1-967</t>
  </si>
  <si>
    <t>ТСН-2001.1 Доп. 79, Р. 1, о. 1, поз. 967</t>
  </si>
  <si>
    <t>Проволока стальная низкоуглеродистая общего назначения оцинкованная, диаметр от 1,6 до 3,0 мм</t>
  </si>
  <si>
    <t>1.21-5-1655</t>
  </si>
  <si>
    <t>ТСН-2001.1 Доп. 67, Р. 21, о. 5, поз. 1655</t>
  </si>
  <si>
    <t>Перемычка гибкая, типа ПГС 50-280</t>
  </si>
  <si>
    <t>1.21-5-873</t>
  </si>
  <si>
    <t>ТСН-2001.1 Доп. 79, Р. 21, о. 5, поз. 873</t>
  </si>
  <si>
    <t>Скоба двухлапковая стальная оцинкованная, для кабелей диаметром от 48 до 50 мм</t>
  </si>
  <si>
    <t>2.1-3-38</t>
  </si>
  <si>
    <t>ТСН-2001.2. Доп. 68. п.1-3-38 (032009)</t>
  </si>
  <si>
    <t>Краны на автомобильном ходу, грузоподъемность до 16 т</t>
  </si>
  <si>
    <t>1.1-1-1257</t>
  </si>
  <si>
    <t>ТСН-2001.1 Доп. 79, Р. 1, о. 1, поз. 1257</t>
  </si>
  <si>
    <t>Тальк молотый</t>
  </si>
  <si>
    <t>1.1-1-1723</t>
  </si>
  <si>
    <t>ТСН-2001.1 Доп. 79, Р. 1, о. 1, поз. 1723</t>
  </si>
  <si>
    <t>Лента изоляционная, прорезиненная, односторонняя</t>
  </si>
  <si>
    <t>1.21-5-1544</t>
  </si>
  <si>
    <t>ТСН-2001.1 Доп. 65, Р. 21, о. 5, поз. 1544</t>
  </si>
  <si>
    <t>Гильзы кабельные медные типа ГМ 6</t>
  </si>
  <si>
    <t>1.21-5-1555</t>
  </si>
  <si>
    <t>ТСН-2001.1 Доп. 79, Р. 21, о. 5, поз. 1555</t>
  </si>
  <si>
    <t>Втулка трубная, полипропиленовая, диаметр 22 мм</t>
  </si>
  <si>
    <t>1.21-5-750</t>
  </si>
  <si>
    <t>ТСН-2001.1 Доп. 73, Р. 21, о. 5, поз. 750</t>
  </si>
  <si>
    <t>Сжим, типа У 739М для проводников магистральных сечением от 4 до 10 мм2 и ответвительных сечением от 1,5 до 2,5 мм2</t>
  </si>
  <si>
    <t>1.21-5-758</t>
  </si>
  <si>
    <t>ТСН-2001.1 Доп. 79, Р. 21, о. 5, поз. 758</t>
  </si>
  <si>
    <t>Зажим соединительно-изолирующий, типа СИЗ-3</t>
  </si>
  <si>
    <t>1.1-1-1583</t>
  </si>
  <si>
    <t>ТСН-2001.1 Доп. 79, Р. 1, о. 1, поз. 1583</t>
  </si>
  <si>
    <t>Эмаль эпоксидная, белая или цветная, типа ЭП-140</t>
  </si>
  <si>
    <t>1.1-1-3693</t>
  </si>
  <si>
    <t>ТСН-2001.1 Доп. 80, Р. 1, о. 1, поз. 3693</t>
  </si>
  <si>
    <t>Дюбель распорный пластмассовый, диаметр 6 мм, длина 40 мм</t>
  </si>
  <si>
    <t>1.1-1-1079</t>
  </si>
  <si>
    <t>ТСН-2001.1 Доп. 79, Р. 1, о. 1, поз. 1079</t>
  </si>
  <si>
    <t>Лист стальной, оцинкованный, толщина 0,5 мм</t>
  </si>
  <si>
    <t>1.1-1-146</t>
  </si>
  <si>
    <t>ТСН-2001.1 Доп. 79, Р. 1, о. 1, поз. 146</t>
  </si>
  <si>
    <t>Гипс строительный</t>
  </si>
  <si>
    <t>1.1-1-1600</t>
  </si>
  <si>
    <t>ТСН-2001.1 Доп. 73, Р. 1, о. 1, поз. 1600</t>
  </si>
  <si>
    <t>Лента полиэтиленовая с липким слоем, ширина 30 мм</t>
  </si>
  <si>
    <t>1.1-1-207</t>
  </si>
  <si>
    <t>ТСН-2001.1 Доп. 79, Р. 1, о. 1, поз. 207</t>
  </si>
  <si>
    <t>Пиломатериал (доска) необрезной хвойных пород естественной влажности, сорт III, толщина 50 мм, ширина от 100 до 200 мм</t>
  </si>
  <si>
    <t>м3</t>
  </si>
  <si>
    <t>1.1-1-2911</t>
  </si>
  <si>
    <t>ТСН-2001.1 Доп. 67, Р. 1, о. 1, поз. 2911</t>
  </si>
  <si>
    <t>Лак электроизоляционный меламиноалкидный, типа МЛ-92</t>
  </si>
  <si>
    <t>1.1-1-330</t>
  </si>
  <si>
    <t>ТСН-2001.1 Доп. 79, Р. 1, о. 1, поз. 330</t>
  </si>
  <si>
    <t>Канифоль</t>
  </si>
  <si>
    <t>1.1-1-3607</t>
  </si>
  <si>
    <t>ТСН-2001.1 Доп. 79, Р. 1, о. 1, поз. 3607</t>
  </si>
  <si>
    <t>Шурупы с полукруглой головкой, диаметр 4 мм, длина 40 мм</t>
  </si>
  <si>
    <t>1.1-1-8007</t>
  </si>
  <si>
    <t>ТСН-2001.1 Доп. 80, Р. 1, о. 1, поз. 8007</t>
  </si>
  <si>
    <t>Дюбель пластмассовый с шурупом, диаметр 12 мм, длина 70 мм, диаметр шурупа 8 мм, длина шурупа 70 мм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</si>
  <si>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</si>
  <si>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</si>
  <si>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</si>
  <si>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1.1-1-962</t>
  </si>
  <si>
    <t>ТСН-2001.1 Доп. 79, Р. 1, о. 1, поз. 962</t>
  </si>
  <si>
    <t>Проволока стальная низкоуглеродистая общего назначения, диаметр 1,1 мм</t>
  </si>
  <si>
    <t>1.21-5-1141</t>
  </si>
  <si>
    <t>ТСН-2001.1 Доп. 67, Р. 21, о. 5, поз. 1141</t>
  </si>
  <si>
    <t>Трубка (кембрик) изоляционная из ПВХ пластиката, диаметр 5 мм</t>
  </si>
  <si>
    <t>1.21-5-1466</t>
  </si>
  <si>
    <t>ТСН-2001.1 Доп. 79, Р. 21, о. 5, поз. 1466</t>
  </si>
  <si>
    <t>Скоба двухлапковая стальная оцинкованная, для кабелей диаметром от 8 до 9 мм</t>
  </si>
  <si>
    <t>1.21-5-194</t>
  </si>
  <si>
    <t>ТСН-2001.1 Доп. 73, Р. 21, о. 5, поз. 194</t>
  </si>
  <si>
    <t>Коробка для установки выключателей, переключателей, штепсельных розеток в сборных гипсовых перегородках</t>
  </si>
  <si>
    <t>4236000000</t>
  </si>
  <si>
    <t>Щиты и пульты автоматики (4235000000)</t>
  </si>
  <si>
    <t>4200000000</t>
  </si>
  <si>
    <t>Съемные и выдвижные блоки, ячейки, модули, типовые элементы замены (4300000000)</t>
  </si>
  <si>
    <t>6573000000</t>
  </si>
  <si>
    <t>Щиты распределительные настенного типа (6574200000)</t>
  </si>
  <si>
    <t>3464430000</t>
  </si>
  <si>
    <t>Розетки штепсельные скрытого типа (3464010000)</t>
  </si>
  <si>
    <t>2248200000</t>
  </si>
  <si>
    <t>Трубы поливинилхлоридные гофрированные</t>
  </si>
  <si>
    <t>3434200000</t>
  </si>
  <si>
    <t>Коробки соединительные</t>
  </si>
  <si>
    <t>3449651000</t>
  </si>
  <si>
    <t>Держатели пластиковые для труб</t>
  </si>
  <si>
    <t>3449650000</t>
  </si>
  <si>
    <t>Рукава металлические (2559370000, 3148630000, 4833852000)</t>
  </si>
  <si>
    <t>Муфты соединительные для металлорукавов (2559370000)</t>
  </si>
  <si>
    <t>Патрубки (2248208000)</t>
  </si>
  <si>
    <t>3449652000</t>
  </si>
  <si>
    <t>Втулки изолирующие</t>
  </si>
  <si>
    <t>3464740000</t>
  </si>
  <si>
    <t>Коробки для соединения проводов (3434200000)</t>
  </si>
  <si>
    <t>3500000000</t>
  </si>
  <si>
    <t>Провода (марка и сечение по проекту)</t>
  </si>
  <si>
    <t>5296220000</t>
  </si>
  <si>
    <t>Коробки оконечные</t>
  </si>
  <si>
    <t>1297020000</t>
  </si>
  <si>
    <t>Болты строительные с гайками и шайбами (1297030000, 1610000000, 1620000000, 1680000000)</t>
  </si>
  <si>
    <t>6677000000</t>
  </si>
  <si>
    <t>Комплекты грозозащиты для воздушных абонентских линий</t>
  </si>
  <si>
    <t>КОМПЛЕКТ</t>
  </si>
  <si>
    <t>О.П. п.3.4.30.в</t>
  </si>
  <si>
    <t>Глава 12</t>
  </si>
  <si>
    <t>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</si>
  <si>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Поправка: О.П. п.3.4.30.в 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</si>
  <si>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</si>
  <si>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</si>
  <si>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</si>
  <si>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</si>
  <si>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</si>
  <si>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</si>
  <si>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</si>
  <si>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</si>
  <si>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</si>
  <si>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</si>
  <si>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</si>
  <si>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</si>
  <si>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</si>
  <si>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</si>
  <si>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</si>
  <si>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</si>
  <si>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</si>
  <si>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</si>
  <si>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</si>
  <si>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</si>
  <si>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</si>
  <si>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</si>
  <si>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4. 02-01-10 РТС</t>
  </si>
  <si>
    <t>Составлен(а) по ТСН-2001 с учетом Дополнения №: 80</t>
  </si>
  <si>
    <t>№ и период сборника коэффициентов (индексов) пересчета: Коэффициенты к ТСН-2001 МГЭ Дополнение 80, строительство №217/80 III квартал 2025 года и Коэффициенты к ТСН-2001.13-2 Дополнение 46 №62/46 III квартал 2025 года</t>
  </si>
  <si>
    <t>Всего в
ценах на
январь 2000 года,
руб.</t>
  </si>
  <si>
    <t>ЗП</t>
  </si>
  <si>
    <t>ЭМ</t>
  </si>
  <si>
    <t>в т.ч. ЗПМ</t>
  </si>
  <si>
    <t>МР</t>
  </si>
  <si>
    <r>
      <t>ОБОРУДОВАНИЕ:_x000D_
Устройство подачи программ вещания УППВ 1918 М1 исп. У (исп. 2022)</t>
    </r>
    <r>
      <rPr>
        <i/>
        <sz val="10"/>
        <color rgb="FF821E82"/>
        <rFont val="Arial"/>
        <family val="2"/>
        <charset val="204"/>
      </rPr>
      <t xml:space="preserve">
45 303,63 = [399 507,72 / 1,2 /  7,66] +  3% Трансп +  1,2% Заг.скл</t>
    </r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</si>
  <si>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</si>
  <si>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</si>
  <si>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</si>
  <si>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</si>
  <si>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</si>
  <si>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</si>
  <si>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</si>
  <si>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</si>
  <si>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r>
      <t>ОБОРУДОВАНИЕ:_x000D_
Модуль для приема интернет вещания радиостанции «Радио Москвы»</t>
    </r>
    <r>
      <rPr>
        <i/>
        <sz val="10"/>
        <color rgb="FF821E82"/>
        <rFont val="Arial"/>
        <family val="2"/>
        <charset val="204"/>
      </rPr>
      <t xml:space="preserve">
3 841,94 = [33 880 / 1,2 /  7,66] +  3% Трансп +  1,2% Заг.скл</t>
    </r>
  </si>
  <si>
    <r>
      <t>ОБОРУДОВАНИЕ:_x000D_
Устройство сопряжения с РСО г.Москвы УС-1 (БАО-РСПИ+БСМС)</t>
    </r>
    <r>
      <rPr>
        <i/>
        <sz val="10"/>
        <color rgb="FF821E82"/>
        <rFont val="Arial"/>
        <family val="2"/>
        <charset val="204"/>
      </rPr>
      <t xml:space="preserve">
113 908,90 = [1 004 500 / 1,2 /  7,66] +  3% Трансп +  1,2% Заг.скл</t>
    </r>
  </si>
  <si>
    <r>
      <t>ОБОРУДОВАНИЕ:_x000D_
Резервный канал РСПИ ОСПИ-Тандем</t>
    </r>
    <r>
      <rPr>
        <i/>
        <sz val="10"/>
        <color rgb="FF821E82"/>
        <rFont val="Arial"/>
        <family val="2"/>
        <charset val="204"/>
      </rPr>
      <t xml:space="preserve">
11 113,06 = [98 000 / 1,2 /  7,66] +  3% Трансп +  1,2% Заг.скл</t>
    </r>
  </si>
  <si>
    <t xml:space="preserve">   Итого по ТСН-2001.16</t>
  </si>
  <si>
    <t xml:space="preserve">   Итого возвратных сумм</t>
  </si>
  <si>
    <r>
      <t>Кабель распределительный  КПСВВнг(А)-LSLTx 1x2x1,5</t>
    </r>
    <r>
      <rPr>
        <i/>
        <sz val="10"/>
        <rFont val="Arial"/>
        <family val="2"/>
        <charset val="204"/>
      </rPr>
      <t xml:space="preserve">
4 387,65 = [51 000 / 1,2 /  9,88] +  2% Заг.скл</t>
    </r>
  </si>
  <si>
    <r>
      <t>Кабель абонентский  КПСВВнг(А)-LSLTx 1x2x0,5</t>
    </r>
    <r>
      <rPr>
        <i/>
        <sz val="10"/>
        <rFont val="Arial"/>
        <family val="2"/>
        <charset val="204"/>
      </rPr>
      <t xml:space="preserve">
1 708,60 = [19 860 / 1,2 /  9,88] +  2% Заг.скл</t>
    </r>
  </si>
  <si>
    <r>
      <t>Кабель витая пара FTP кат. 5е ЛОУТОКС КВПЭфнг(С)-LSLTx-5е 4x2x0,52</t>
    </r>
    <r>
      <rPr>
        <i/>
        <sz val="10"/>
        <rFont val="Arial"/>
        <family val="2"/>
        <charset val="204"/>
      </rPr>
      <t xml:space="preserve">
11 610,07 = [134 950 / 1,2 /  9,88] +  2% Заг.скл</t>
    </r>
  </si>
  <si>
    <r>
      <t>Кабель коаксиальный Паракс RG-6 РК 75-4,8-318нг(А)-LSLTx</t>
    </r>
    <r>
      <rPr>
        <i/>
        <sz val="10"/>
        <rFont val="Arial"/>
        <family val="2"/>
        <charset val="204"/>
      </rPr>
      <t xml:space="preserve">
7 304,15 = [84 900 / 1,2 /  9,88] +  2% Заг.скл</t>
    </r>
  </si>
  <si>
    <r>
      <t>Кабель сопряжения с СОУЭ КПСВэВнг(А)-LSLTx 2x2x0,5</t>
    </r>
    <r>
      <rPr>
        <i/>
        <sz val="10"/>
        <rFont val="Arial"/>
        <family val="2"/>
        <charset val="204"/>
      </rPr>
      <t xml:space="preserve">
4 890,26 = [56 842 / 1,2 /  9,88] +  2% Заг.скл</t>
    </r>
  </si>
  <si>
    <r>
      <t>Кабель коаксиальный РК50-7-37нг(А)-HF</t>
    </r>
    <r>
      <rPr>
        <i/>
        <sz val="10"/>
        <rFont val="Arial"/>
        <family val="2"/>
        <charset val="204"/>
      </rPr>
      <t xml:space="preserve">
28 826,35 = [335 064 / 1,2 /  9,88] +  2% Заг.скл</t>
    </r>
  </si>
  <si>
    <r>
      <t>Кабель  коммутации передачи сигнала 20нг(А)-FRLSLTx 2x2x0,75</t>
    </r>
    <r>
      <rPr>
        <i/>
        <sz val="10"/>
        <rFont val="Arial"/>
        <family val="2"/>
        <charset val="204"/>
      </rPr>
      <t xml:space="preserve">
19 057,89 = [221 520 / 1,2 /  9,88] +  2% Заг.скл</t>
    </r>
  </si>
  <si>
    <r>
      <t>Кабель сопряжения оборудования СОЧС с ОСО КПСВЭВнг(А)-LSLTx 2x2x0,75</t>
    </r>
    <r>
      <rPr>
        <i/>
        <sz val="10"/>
        <rFont val="Arial"/>
        <family val="2"/>
        <charset val="204"/>
      </rPr>
      <t xml:space="preserve">
4 731,78 = [55 000 / 1,2 /  9,88] +  2% Заг.скл</t>
    </r>
  </si>
  <si>
    <r>
      <t>Коробка ограничительная абоненсткая на 4 отвода  КРА-4</t>
    </r>
    <r>
      <rPr>
        <i/>
        <sz val="10"/>
        <rFont val="Arial"/>
        <family val="2"/>
        <charset val="204"/>
      </rPr>
      <t xml:space="preserve">
31,51 = [366,24 / 1,2 /  9,88] +  2% Заг.скл</t>
    </r>
  </si>
  <si>
    <t>ОБОРУДОВАНИЕ:_x000D_
Антенна эфирная УКВ/FM, коэффициент усиления антенны 6,5/5,5 дБ, число элементов: 5, 3 канала</t>
  </si>
  <si>
    <r>
      <t>ОБОРУДОВАНИЕ:_x000D_
Антенна коллинеарная 470 МГц А-200 MU</t>
    </r>
    <r>
      <rPr>
        <i/>
        <sz val="10"/>
        <color rgb="FF821E82"/>
        <rFont val="Arial"/>
        <family val="2"/>
        <charset val="204"/>
      </rPr>
      <t xml:space="preserve">
1 349,44 = [11 900 / 1,2 /  7,66] +  3% Трансп +  1,2% Заг.скл</t>
    </r>
  </si>
  <si>
    <t>ОБОРУДОВАНИЕ:_x000D_
Мачта для телевизионной антенны, высота не более 6 м, без защелок-натяжителей и проволоки для оттяжек</t>
  </si>
  <si>
    <r>
      <t>Опора  модернизированная с грузом 8х20 кг NPMM-60</t>
    </r>
    <r>
      <rPr>
        <i/>
        <sz val="10"/>
        <rFont val="Arial"/>
        <family val="2"/>
        <charset val="204"/>
      </rPr>
      <t xml:space="preserve">
4 183,23 = [48 624 / 1,2 /  9,88] +  2% Заг.скл</t>
    </r>
  </si>
  <si>
    <r>
      <t>Комплект заземления мачты   (трос стальной 8,3мм-10м; на конечник КВТ35-8-9-1шт.; сжим У859М-1шт.)</t>
    </r>
    <r>
      <rPr>
        <i/>
        <sz val="10"/>
        <rFont val="Arial"/>
        <family val="2"/>
        <charset val="204"/>
      </rPr>
      <t xml:space="preserve">
249,49 = [2 900 / 1,2 /  9,88] +  2% Заг.скл</t>
    </r>
  </si>
  <si>
    <r>
      <t>ОБОРУДОВАНИЕ:_x000D_
Грозозащита на 75 Ом ОВР</t>
    </r>
    <r>
      <rPr>
        <i/>
        <sz val="10"/>
        <color rgb="FF821E82"/>
        <rFont val="Arial"/>
        <family val="2"/>
        <charset val="204"/>
      </rPr>
      <t xml:space="preserve">
462,21 = [4 076 / 1,2 /  7,66] +  3% Трансп +  1,2% Заг.скл</t>
    </r>
  </si>
  <si>
    <r>
      <t>ОБОРУДОВАНИЕ:_x000D_
Грозозащита N-типа на 50 Ом N-722Q</t>
    </r>
    <r>
      <rPr>
        <i/>
        <sz val="10"/>
        <color rgb="FF821E82"/>
        <rFont val="Arial"/>
        <family val="2"/>
        <charset val="204"/>
      </rPr>
      <t xml:space="preserve">
578,33 = [5 100 / 1,2 /  7,66] +  3% Трансп +  1,2%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</si>
  <si>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</si>
  <si>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</si>
  <si>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</si>
  <si>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</si>
  <si>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</si>
  <si>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</si>
  <si>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</si>
  <si>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</si>
  <si>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</si>
  <si>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</si>
  <si>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</si>
  <si>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</si>
  <si>
    <t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</si>
</sst>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i/>
      <sz val="10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12" fillId="0" borderId="1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0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164" fontId="18" fillId="0" borderId="0" xfId="0" applyNumberFormat="1" applyFont="1" applyAlignment="1">
      <alignment horizontal="right" vertical="top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right" vertical="top" wrapText="1"/>
    </xf>
    <xf numFmtId="0" fontId="19" fillId="0" borderId="0" xfId="0" applyFont="1" applyAlignment="1">
      <alignment horizontal="right" vertical="top"/>
    </xf>
    <xf numFmtId="164" fontId="19" fillId="0" borderId="0" xfId="0" applyNumberFormat="1" applyFont="1" applyAlignment="1">
      <alignment horizontal="right" vertical="top"/>
    </xf>
    <xf numFmtId="0" fontId="19" fillId="0" borderId="0" xfId="0" quotePrefix="1" applyFont="1" applyAlignment="1">
      <alignment horizontal="right" vertical="top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16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164" fontId="0" fillId="0" borderId="0" xfId="0" applyNumberFormat="1"/>
    <xf numFmtId="0" fontId="10" fillId="0" borderId="0" xfId="0" applyFont="1" applyAlignment="1">
      <alignment vertical="top" wrapText="1"/>
    </xf>
    <xf numFmtId="0" fontId="12" fillId="0" borderId="0" xfId="0" quotePrefix="1" applyFont="1" applyAlignment="1">
      <alignment horizontal="right" vertical="top" wrapText="1"/>
    </xf>
    <xf numFmtId="0" fontId="16" fillId="0" borderId="0" xfId="0" applyFont="1" applyAlignment="1">
      <alignment horizontal="left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applyFont="1" applyBorder="1" applyAlignment="1">
      <alignment horizontal="right" vertical="top" wrapText="1"/>
    </xf>
    <xf numFmtId="0" fontId="23" fillId="0" borderId="0" xfId="0" applyFont="1"/>
    <xf numFmtId="0" fontId="24" fillId="0" borderId="0" xfId="0" applyFont="1" applyAlignment="1">
      <alignment vertical="top"/>
    </xf>
    <xf numFmtId="164" fontId="24" fillId="0" borderId="2" xfId="0" applyNumberFormat="1" applyFont="1" applyBorder="1" applyAlignment="1">
      <alignment horizontal="right" vertical="top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6" fillId="0" borderId="0" xfId="0" applyFont="1" applyBorder="1"/>
    <xf numFmtId="0" fontId="16" fillId="0" borderId="0" xfId="0" applyFont="1" applyBorder="1" applyAlignment="1">
      <alignment horizontal="left"/>
    </xf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311"/>
  <sheetViews>
    <sheetView tabSelected="1" view="pageBreakPreview" topLeftCell="A267" zoomScale="60" zoomScaleNormal="100" workbookViewId="0">
      <selection activeCell="D268" sqref="D268"/>
    </sheetView>
  </sheetViews>
  <sheetFormatPr defaultRowHeight="12.75" x14ac:dyDescent="0.2"/>
  <cols>
    <col min="1" max="1" width="5.7109375" customWidth="1"/>
    <col min="2" max="2" width="11.7109375" customWidth="1"/>
    <col min="3" max="3" width="42.5703125" customWidth="1"/>
    <col min="4" max="4" width="11.7109375" customWidth="1"/>
    <col min="5" max="5" width="9" bestFit="1" customWidth="1"/>
    <col min="6" max="6" width="13.140625" customWidth="1"/>
    <col min="7" max="7" width="8.5703125" bestFit="1" customWidth="1"/>
    <col min="9" max="9" width="13.140625" customWidth="1"/>
    <col min="10" max="10" width="10.5703125" customWidth="1"/>
    <col min="11" max="11" width="13" customWidth="1"/>
    <col min="15" max="41" width="0" hidden="1" customWidth="1"/>
    <col min="42" max="42" width="129.7109375" hidden="1" customWidth="1"/>
    <col min="43" max="47" width="0" hidden="1" customWidth="1"/>
  </cols>
  <sheetData>
    <row r="1" spans="1:42" x14ac:dyDescent="0.2">
      <c r="A1" s="10" t="str">
        <f>Source!B1</f>
        <v>Smeta.RU  (495) 974-1589</v>
      </c>
    </row>
    <row r="2" spans="1:42" ht="14.25" x14ac:dyDescent="0.2">
      <c r="A2" s="11"/>
      <c r="B2" s="11"/>
      <c r="C2" s="11"/>
      <c r="D2" s="11"/>
      <c r="E2" s="11"/>
      <c r="F2" s="11"/>
      <c r="G2" s="11"/>
      <c r="H2" s="11"/>
      <c r="I2" s="11"/>
      <c r="J2" s="31" t="s">
        <v>496</v>
      </c>
      <c r="K2" s="31"/>
    </row>
    <row r="3" spans="1:42" ht="31.5" x14ac:dyDescent="0.25">
      <c r="A3" s="12" t="s">
        <v>547</v>
      </c>
      <c r="B3" s="12"/>
      <c r="C3" s="12"/>
      <c r="D3" s="12"/>
      <c r="E3" s="12"/>
      <c r="F3" s="12"/>
      <c r="G3" s="12"/>
      <c r="H3" s="12"/>
      <c r="I3" s="12"/>
      <c r="J3" s="12"/>
      <c r="K3" s="12"/>
      <c r="AP3" s="32" t="s">
        <v>497</v>
      </c>
    </row>
    <row r="4" spans="1:42" x14ac:dyDescent="0.2">
      <c r="A4" s="13" t="s">
        <v>475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42" ht="14.25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42" ht="15.75" x14ac:dyDescent="0.25">
      <c r="A6" s="12" t="str">
        <f>CONCATENATE( "ЛОКАЛЬНАЯ СМЕТА № ",IF(Source!F20&lt;&gt;"Новая локальная смета", Source!F20, ""))</f>
        <v>ЛОКАЛЬНАЯ СМЕТА № 02-01-10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42" ht="14.25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42" ht="18" x14ac:dyDescent="0.25">
      <c r="A8" s="15" t="str">
        <f>IF(Source!G20&lt;&gt;"Новая локальная смета", Source!G20, "")</f>
        <v>Радиотрансляционная сеть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42" x14ac:dyDescent="0.2">
      <c r="A9" s="16" t="s">
        <v>476</v>
      </c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14.25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42" ht="14.25" x14ac:dyDescent="0.2">
      <c r="A11" s="18" t="str">
        <f>CONCATENATE( "Основание: чертежи № ", Source!J20)</f>
        <v>Основание: чертежи № 2024-00272-01-0-ИОС5.3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42" ht="14.25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42" ht="71.25" x14ac:dyDescent="0.2">
      <c r="A13" s="11"/>
      <c r="B13" s="11"/>
      <c r="C13" s="11"/>
      <c r="D13" s="11"/>
      <c r="E13" s="11"/>
      <c r="F13" s="11"/>
      <c r="G13" s="11"/>
      <c r="H13" s="11"/>
      <c r="I13" s="20" t="s">
        <v>477</v>
      </c>
      <c r="J13" s="20" t="s">
        <v>478</v>
      </c>
      <c r="K13" s="11"/>
    </row>
    <row r="14" spans="1:42" ht="15" x14ac:dyDescent="0.25">
      <c r="A14" s="11"/>
      <c r="B14" s="11"/>
      <c r="C14" s="11"/>
      <c r="D14" s="11"/>
      <c r="E14" s="21" t="s">
        <v>479</v>
      </c>
      <c r="F14" s="21"/>
      <c r="G14" s="21"/>
      <c r="H14" s="21"/>
      <c r="I14" s="22">
        <f>I15+I16+I17+I18</f>
        <v>195.07</v>
      </c>
      <c r="J14" s="22">
        <f>J15+J16+J17+J18</f>
        <v>1717.49</v>
      </c>
      <c r="K14" s="23" t="s">
        <v>535</v>
      </c>
    </row>
    <row r="15" spans="1:42" ht="14.25" x14ac:dyDescent="0.2">
      <c r="A15" s="11"/>
      <c r="B15" s="11"/>
      <c r="C15" s="11"/>
      <c r="D15" s="11"/>
      <c r="E15" s="24" t="s">
        <v>480</v>
      </c>
      <c r="F15" s="24"/>
      <c r="G15" s="24"/>
      <c r="H15" s="24"/>
      <c r="I15" s="25">
        <f>ROUND((Source!F238)/1000, 2)</f>
        <v>0</v>
      </c>
      <c r="J15" s="25">
        <f>ROUND((Source!P238)/1000, 2)</f>
        <v>0</v>
      </c>
      <c r="K15" s="11" t="s">
        <v>535</v>
      </c>
    </row>
    <row r="16" spans="1:42" ht="14.25" x14ac:dyDescent="0.2">
      <c r="A16" s="11"/>
      <c r="B16" s="11"/>
      <c r="C16" s="11"/>
      <c r="D16" s="11"/>
      <c r="E16" s="24" t="s">
        <v>481</v>
      </c>
      <c r="F16" s="24"/>
      <c r="G16" s="24"/>
      <c r="H16" s="24"/>
      <c r="I16" s="25">
        <f>ROUND((Source!F239)/1000, 2)</f>
        <v>17.03</v>
      </c>
      <c r="J16" s="25">
        <f>ROUND((Source!P239)/1000, 2)</f>
        <v>353.21</v>
      </c>
      <c r="K16" s="11" t="s">
        <v>535</v>
      </c>
    </row>
    <row r="17" spans="1:42" ht="14.25" x14ac:dyDescent="0.2">
      <c r="A17" s="11"/>
      <c r="B17" s="11"/>
      <c r="C17" s="11"/>
      <c r="D17" s="11"/>
      <c r="E17" s="24" t="s">
        <v>17</v>
      </c>
      <c r="F17" s="24"/>
      <c r="G17" s="24"/>
      <c r="H17" s="24"/>
      <c r="I17" s="25">
        <f>ROUND((Source!F230)/1000, 2)</f>
        <v>178.04</v>
      </c>
      <c r="J17" s="25">
        <f>ROUND((Source!P230)/1000, 2)</f>
        <v>1364.28</v>
      </c>
      <c r="K17" s="11" t="s">
        <v>535</v>
      </c>
    </row>
    <row r="18" spans="1:42" ht="14.25" x14ac:dyDescent="0.2">
      <c r="A18" s="11"/>
      <c r="B18" s="11"/>
      <c r="C18" s="11"/>
      <c r="D18" s="11"/>
      <c r="E18" s="24" t="s">
        <v>482</v>
      </c>
      <c r="F18" s="24"/>
      <c r="G18" s="24"/>
      <c r="H18" s="24"/>
      <c r="I18" s="25">
        <f>ROUND((Source!F240+Source!F241)/1000, 2)</f>
        <v>0</v>
      </c>
      <c r="J18" s="25">
        <f>ROUND((Source!P240+Source!P241)/1000, 2)</f>
        <v>0</v>
      </c>
      <c r="K18" s="11" t="s">
        <v>535</v>
      </c>
    </row>
    <row r="19" spans="1:42" ht="14.25" x14ac:dyDescent="0.2">
      <c r="A19" s="11"/>
      <c r="B19" s="11"/>
      <c r="C19" s="11"/>
      <c r="D19" s="11"/>
      <c r="E19" s="24" t="s">
        <v>483</v>
      </c>
      <c r="F19" s="24"/>
      <c r="G19" s="24"/>
      <c r="H19" s="24"/>
      <c r="I19" s="25">
        <f>(Source!F236+ Source!F235)/1000</f>
        <v>1.7975099999999999</v>
      </c>
      <c r="J19" s="25">
        <f>((Source!P236 + Source!P235)/1000)</f>
        <v>98.845079999999996</v>
      </c>
      <c r="K19" s="11" t="s">
        <v>535</v>
      </c>
    </row>
    <row r="20" spans="1:42" ht="14.25" x14ac:dyDescent="0.2">
      <c r="A20" s="11"/>
      <c r="B20" s="11"/>
      <c r="C20" s="11"/>
      <c r="D20" s="11"/>
      <c r="E20" s="24" t="s">
        <v>484</v>
      </c>
      <c r="F20" s="24"/>
      <c r="G20" s="24"/>
      <c r="H20" s="24"/>
      <c r="I20" s="25">
        <f>Source!F243</f>
        <v>138.52903130000001</v>
      </c>
      <c r="J20" s="25"/>
      <c r="K20" s="11" t="s">
        <v>295</v>
      </c>
    </row>
    <row r="21" spans="1:42" ht="14.25" hidden="1" x14ac:dyDescent="0.2">
      <c r="A21" s="11"/>
      <c r="B21" s="11"/>
      <c r="C21" s="11"/>
      <c r="D21" s="11"/>
      <c r="E21" s="26" t="s">
        <v>485</v>
      </c>
      <c r="F21" s="26"/>
      <c r="G21" s="26"/>
      <c r="H21" s="26"/>
      <c r="I21" s="25"/>
      <c r="J21" s="25"/>
      <c r="K21" s="11"/>
    </row>
    <row r="22" spans="1:42" ht="14.25" hidden="1" x14ac:dyDescent="0.2">
      <c r="A22" s="11"/>
      <c r="B22" s="11"/>
      <c r="C22" s="11"/>
      <c r="D22" s="11"/>
      <c r="E22" s="27" t="s">
        <v>115</v>
      </c>
      <c r="F22" s="27"/>
      <c r="G22" s="27"/>
      <c r="H22" s="27"/>
      <c r="I22" s="25">
        <f>SUM(Y28:Y300)/1000</f>
        <v>0</v>
      </c>
      <c r="J22" s="25">
        <f>SUM(Z28:Z300)/1000</f>
        <v>0</v>
      </c>
      <c r="K22" s="11" t="s">
        <v>535</v>
      </c>
    </row>
    <row r="23" spans="1:42" ht="14.25" x14ac:dyDescent="0.2">
      <c r="A23" s="11"/>
      <c r="B23" s="11"/>
      <c r="C23" s="11"/>
      <c r="D23" s="11"/>
      <c r="E23" s="11"/>
      <c r="F23" s="28"/>
      <c r="G23" s="28"/>
      <c r="H23" s="28"/>
      <c r="I23" s="25"/>
      <c r="J23" s="25"/>
      <c r="K23" s="11"/>
    </row>
    <row r="24" spans="1:42" ht="14.25" x14ac:dyDescent="0.2">
      <c r="A24" s="11" t="s">
        <v>498</v>
      </c>
      <c r="B24" s="11"/>
      <c r="C24" s="11"/>
      <c r="D24" s="11"/>
      <c r="E24" s="11"/>
      <c r="F24" s="28"/>
      <c r="G24" s="28"/>
      <c r="H24" s="28"/>
      <c r="I24" s="25"/>
      <c r="J24" s="25"/>
      <c r="K24" s="11"/>
    </row>
    <row r="25" spans="1:42" ht="28.5" x14ac:dyDescent="0.2">
      <c r="A25" s="18" t="s">
        <v>499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AP25" s="33" t="s">
        <v>499</v>
      </c>
    </row>
    <row r="26" spans="1:42" ht="114" x14ac:dyDescent="0.2">
      <c r="A26" s="29" t="s">
        <v>486</v>
      </c>
      <c r="B26" s="29" t="s">
        <v>487</v>
      </c>
      <c r="C26" s="29" t="s">
        <v>488</v>
      </c>
      <c r="D26" s="29" t="s">
        <v>489</v>
      </c>
      <c r="E26" s="29" t="s">
        <v>490</v>
      </c>
      <c r="F26" s="29" t="s">
        <v>491</v>
      </c>
      <c r="G26" s="30" t="s">
        <v>492</v>
      </c>
      <c r="H26" s="30" t="s">
        <v>493</v>
      </c>
      <c r="I26" s="29" t="s">
        <v>500</v>
      </c>
      <c r="J26" s="29" t="s">
        <v>494</v>
      </c>
      <c r="K26" s="29" t="s">
        <v>495</v>
      </c>
    </row>
    <row r="27" spans="1:42" ht="14.25" x14ac:dyDescent="0.2">
      <c r="A27" s="29">
        <v>1</v>
      </c>
      <c r="B27" s="29">
        <v>2</v>
      </c>
      <c r="C27" s="29">
        <v>3</v>
      </c>
      <c r="D27" s="29">
        <v>4</v>
      </c>
      <c r="E27" s="29">
        <v>5</v>
      </c>
      <c r="F27" s="29">
        <v>6</v>
      </c>
      <c r="G27" s="29">
        <v>7</v>
      </c>
      <c r="H27" s="29">
        <v>8</v>
      </c>
      <c r="I27" s="29">
        <v>9</v>
      </c>
      <c r="J27" s="29">
        <v>10</v>
      </c>
      <c r="K27" s="29">
        <v>11</v>
      </c>
    </row>
    <row r="29" spans="1:42" ht="16.5" x14ac:dyDescent="0.2">
      <c r="A29" s="34" t="str">
        <f>CONCATENATE("Раздел: ",IF(Source!G24&lt;&gt;"Новый раздел", Source!G24, ""))</f>
        <v>Раздел: Оборудование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</row>
    <row r="30" spans="1:42" ht="28.5" x14ac:dyDescent="0.2">
      <c r="A30" s="35">
        <v>1</v>
      </c>
      <c r="B30" s="35" t="str">
        <f>Source!F28</f>
        <v>4.11-17-1</v>
      </c>
      <c r="C30" s="35" t="s">
        <v>20</v>
      </c>
      <c r="D30" s="37" t="str">
        <f>Source!H28</f>
        <v>1  ШТ.</v>
      </c>
      <c r="E30" s="36">
        <f>Source!I28</f>
        <v>1</v>
      </c>
      <c r="F30" s="39"/>
      <c r="G30" s="38"/>
      <c r="H30" s="36"/>
      <c r="I30" s="39"/>
      <c r="J30" s="36"/>
      <c r="K30" s="39"/>
      <c r="Q30">
        <f>Source!X28</f>
        <v>62.37</v>
      </c>
      <c r="R30">
        <f>Source!X29</f>
        <v>3429.73</v>
      </c>
      <c r="S30">
        <f>Source!Y28</f>
        <v>31.88</v>
      </c>
      <c r="T30">
        <f>Source!Y29</f>
        <v>1752.97</v>
      </c>
      <c r="U30">
        <f>ROUND((175/100)*ROUND(Source!R28, 2), 2)</f>
        <v>0.77</v>
      </c>
      <c r="V30">
        <f>ROUND((0/100)*ROUND(Source!R29, 2), 2)</f>
        <v>0</v>
      </c>
      <c r="AC30">
        <v>0</v>
      </c>
    </row>
    <row r="31" spans="1:42" ht="14.25" x14ac:dyDescent="0.2">
      <c r="A31" s="35"/>
      <c r="B31" s="35"/>
      <c r="C31" s="35" t="s">
        <v>501</v>
      </c>
      <c r="D31" s="37"/>
      <c r="E31" s="36"/>
      <c r="F31" s="39">
        <f>Source!AO28</f>
        <v>59.79</v>
      </c>
      <c r="G31" s="38" t="str">
        <f>Source!DG28</f>
        <v>*1,1</v>
      </c>
      <c r="H31" s="36">
        <f>Source!AV29</f>
        <v>1.0469999999999999</v>
      </c>
      <c r="I31" s="39">
        <f>Source!S28</f>
        <v>68.86</v>
      </c>
      <c r="J31" s="36">
        <f>IF(Source!BA29&lt;&gt; 0, Source!BA29, 1)</f>
        <v>54.99</v>
      </c>
      <c r="K31" s="39">
        <f>Source!S29</f>
        <v>3786.61</v>
      </c>
    </row>
    <row r="32" spans="1:42" ht="14.25" x14ac:dyDescent="0.2">
      <c r="A32" s="35"/>
      <c r="B32" s="35"/>
      <c r="C32" s="35" t="s">
        <v>502</v>
      </c>
      <c r="D32" s="37"/>
      <c r="E32" s="36"/>
      <c r="F32" s="39">
        <f>Source!AM28</f>
        <v>4.2699999999999996</v>
      </c>
      <c r="G32" s="38" t="str">
        <f>Source!DE28</f>
        <v>*1,1</v>
      </c>
      <c r="H32" s="36">
        <f>Source!AV29</f>
        <v>1.0469999999999999</v>
      </c>
      <c r="I32" s="39">
        <f>Source!Q28</f>
        <v>4.92</v>
      </c>
      <c r="J32" s="36">
        <f>IF(Source!BB29&lt;&gt; 0, Source!BB29, 1)</f>
        <v>14.09</v>
      </c>
      <c r="K32" s="39">
        <f>Source!Q29</f>
        <v>69.319999999999993</v>
      </c>
    </row>
    <row r="33" spans="1:29" ht="14.25" x14ac:dyDescent="0.2">
      <c r="A33" s="35"/>
      <c r="B33" s="35"/>
      <c r="C33" s="35" t="s">
        <v>503</v>
      </c>
      <c r="D33" s="37"/>
      <c r="E33" s="36"/>
      <c r="F33" s="39">
        <f>Source!AN28</f>
        <v>0.38</v>
      </c>
      <c r="G33" s="38" t="str">
        <f>Source!DF28</f>
        <v>*1,1</v>
      </c>
      <c r="H33" s="36">
        <f>Source!AV29</f>
        <v>1.0469999999999999</v>
      </c>
      <c r="I33" s="40">
        <f>Source!R28</f>
        <v>0.44</v>
      </c>
      <c r="J33" s="36">
        <f>IF(Source!BS29&lt;&gt; 0, Source!BS29, 1)</f>
        <v>54.99</v>
      </c>
      <c r="K33" s="40">
        <f>Source!R29</f>
        <v>24.2</v>
      </c>
    </row>
    <row r="34" spans="1:29" ht="14.25" x14ac:dyDescent="0.2">
      <c r="A34" s="35"/>
      <c r="B34" s="35"/>
      <c r="C34" s="35" t="s">
        <v>504</v>
      </c>
      <c r="D34" s="37"/>
      <c r="E34" s="36"/>
      <c r="F34" s="39">
        <f>Source!AL28</f>
        <v>89.36</v>
      </c>
      <c r="G34" s="38" t="str">
        <f>Source!DD28</f>
        <v/>
      </c>
      <c r="H34" s="36">
        <f>Source!AW29</f>
        <v>1</v>
      </c>
      <c r="I34" s="39">
        <f>Source!P28</f>
        <v>89.36</v>
      </c>
      <c r="J34" s="36">
        <f>IF(Source!BC29&lt;&gt; 0, Source!BC29, 1)</f>
        <v>5.08</v>
      </c>
      <c r="K34" s="39">
        <f>Source!P29</f>
        <v>453.95</v>
      </c>
    </row>
    <row r="35" spans="1:29" ht="68.25" x14ac:dyDescent="0.2">
      <c r="A35" s="41" t="s">
        <v>28</v>
      </c>
      <c r="B35" s="41" t="str">
        <f>Source!F30</f>
        <v>КА-1</v>
      </c>
      <c r="C35" s="41" t="s">
        <v>505</v>
      </c>
      <c r="D35" s="42" t="str">
        <f>Source!H30</f>
        <v>шт.</v>
      </c>
      <c r="E35" s="43">
        <f>Source!I30</f>
        <v>1</v>
      </c>
      <c r="F35" s="44">
        <f>Source!AK30</f>
        <v>45303.63</v>
      </c>
      <c r="G35" s="45" t="s">
        <v>3</v>
      </c>
      <c r="H35" s="43">
        <f>Source!AW31</f>
        <v>1</v>
      </c>
      <c r="I35" s="44">
        <f>Source!O30</f>
        <v>45303.63</v>
      </c>
      <c r="J35" s="43">
        <f>IF(Source!BC31&lt;&gt; 0, Source!BC31, 1)</f>
        <v>7.66</v>
      </c>
      <c r="K35" s="44">
        <f>Source!O31</f>
        <v>347025.81</v>
      </c>
      <c r="Q35">
        <f>Source!X30</f>
        <v>0</v>
      </c>
      <c r="R35">
        <f>Source!X31</f>
        <v>0</v>
      </c>
      <c r="S35">
        <f>Source!Y30</f>
        <v>0</v>
      </c>
      <c r="T35">
        <f>Source!Y31</f>
        <v>0</v>
      </c>
      <c r="U35">
        <f>ROUND((175/100)*ROUND(Source!R30, 2), 2)</f>
        <v>0</v>
      </c>
      <c r="V35">
        <f>ROUND((0/100)*ROUND(Source!R31, 2), 2)</f>
        <v>0</v>
      </c>
      <c r="AC35">
        <v>5</v>
      </c>
    </row>
    <row r="36" spans="1:29" ht="14.25" x14ac:dyDescent="0.2">
      <c r="A36" s="35"/>
      <c r="B36" s="35"/>
      <c r="C36" s="35" t="s">
        <v>506</v>
      </c>
      <c r="D36" s="37" t="s">
        <v>507</v>
      </c>
      <c r="E36" s="36">
        <f>Source!BZ29</f>
        <v>90</v>
      </c>
      <c r="F36" s="39"/>
      <c r="G36" s="38"/>
      <c r="H36" s="36"/>
      <c r="I36" s="39">
        <f>SUM(Q30:Q35)</f>
        <v>62.37</v>
      </c>
      <c r="J36" s="36">
        <f>Source!AT29</f>
        <v>90</v>
      </c>
      <c r="K36" s="39">
        <f>SUM(R30:R35)</f>
        <v>3429.73</v>
      </c>
    </row>
    <row r="37" spans="1:29" ht="14.25" x14ac:dyDescent="0.2">
      <c r="A37" s="35"/>
      <c r="B37" s="35"/>
      <c r="C37" s="35" t="s">
        <v>508</v>
      </c>
      <c r="D37" s="37" t="s">
        <v>507</v>
      </c>
      <c r="E37" s="36">
        <f>Source!CA29</f>
        <v>46</v>
      </c>
      <c r="F37" s="39"/>
      <c r="G37" s="38"/>
      <c r="H37" s="36"/>
      <c r="I37" s="39">
        <f>SUM(S30:S36)</f>
        <v>31.88</v>
      </c>
      <c r="J37" s="36">
        <f>Source!AU29</f>
        <v>46</v>
      </c>
      <c r="K37" s="39">
        <f>SUM(T30:T36)</f>
        <v>1752.97</v>
      </c>
    </row>
    <row r="38" spans="1:29" ht="14.25" x14ac:dyDescent="0.2">
      <c r="A38" s="46"/>
      <c r="B38" s="46"/>
      <c r="C38" s="46" t="s">
        <v>509</v>
      </c>
      <c r="D38" s="47" t="s">
        <v>510</v>
      </c>
      <c r="E38" s="48">
        <f>Source!AQ28</f>
        <v>5.15</v>
      </c>
      <c r="F38" s="49"/>
      <c r="G38" s="50" t="str">
        <f>Source!DI28</f>
        <v>*1,1</v>
      </c>
      <c r="H38" s="48">
        <f>Source!AV29</f>
        <v>1.0469999999999999</v>
      </c>
      <c r="I38" s="49">
        <f>Source!U28</f>
        <v>5.9312550000000002</v>
      </c>
      <c r="J38" s="48"/>
      <c r="K38" s="49"/>
    </row>
    <row r="39" spans="1:29" ht="15" x14ac:dyDescent="0.2">
      <c r="C39" s="51" t="s">
        <v>511</v>
      </c>
      <c r="H39" s="52">
        <f>I31+I32+I34+I36+I37+SUM(I35:I35)-SUMIF(AC35:AC35, 5, I35:I35)-SUMIF(AC35:AC35, 6, I35:I35)</f>
        <v>257.38999999999942</v>
      </c>
      <c r="I39" s="52"/>
      <c r="J39" s="52">
        <f>K31+K32+K34+K36+K37+SUM(K35:K35)-SUMIF(AC35:AC35, 5, K35:K35)-SUMIF(AC35:AC35, 6, K35:K35)</f>
        <v>9492.5800000000163</v>
      </c>
      <c r="K39" s="52"/>
    </row>
    <row r="40" spans="1:29" ht="15" x14ac:dyDescent="0.2">
      <c r="C40" s="51" t="s">
        <v>512</v>
      </c>
      <c r="H40" s="54">
        <f>SUMIF(AC35:AC35, 5, I35:I35)+SUMIF(AC35:AC35, 6, I35:I35)</f>
        <v>45303.63</v>
      </c>
      <c r="I40" s="54"/>
      <c r="J40" s="54">
        <f>SUMIF(AC35:AC35, 5, K35:K35)+SUMIF(AC35:AC35, 6, K35:K35)</f>
        <v>347025.81</v>
      </c>
      <c r="K40" s="54"/>
    </row>
    <row r="41" spans="1:29" ht="15" x14ac:dyDescent="0.2">
      <c r="C41" s="51" t="s">
        <v>513</v>
      </c>
      <c r="H41" s="54">
        <f>I31+I32+I34+I36+I37+SUM(I35:I35)</f>
        <v>45561.02</v>
      </c>
      <c r="I41" s="54"/>
      <c r="J41" s="54">
        <f>K31+K32+K34+K36+K37+SUM(K35:K35)</f>
        <v>356518.39</v>
      </c>
      <c r="K41" s="54"/>
      <c r="O41" s="55">
        <f>I31+I32+I34+I36+I37+SUM(I35:I35)</f>
        <v>45561.02</v>
      </c>
      <c r="P41" s="55">
        <f>K31+K32+K34+K36+K37+SUM(K35:K35)</f>
        <v>356518.39</v>
      </c>
    </row>
    <row r="43" spans="1:29" ht="42.75" x14ac:dyDescent="0.2">
      <c r="A43" s="35">
        <v>2</v>
      </c>
      <c r="B43" s="35" t="str">
        <f>Source!F32</f>
        <v>4.11-12-1</v>
      </c>
      <c r="C43" s="35" t="s">
        <v>40</v>
      </c>
      <c r="D43" s="37" t="str">
        <f>Source!H32</f>
        <v>1  ШТ.</v>
      </c>
      <c r="E43" s="36">
        <f>Source!I32</f>
        <v>1</v>
      </c>
      <c r="F43" s="39"/>
      <c r="G43" s="38"/>
      <c r="H43" s="36"/>
      <c r="I43" s="39"/>
      <c r="J43" s="36"/>
      <c r="K43" s="39"/>
      <c r="Q43">
        <f>Source!X32</f>
        <v>12.16</v>
      </c>
      <c r="R43">
        <f>Source!X33</f>
        <v>668.63</v>
      </c>
      <c r="S43">
        <f>Source!Y32</f>
        <v>6.21</v>
      </c>
      <c r="T43">
        <f>Source!Y33</f>
        <v>341.74</v>
      </c>
      <c r="U43">
        <f>ROUND((175/100)*ROUND(Source!R32, 2), 2)</f>
        <v>0.16</v>
      </c>
      <c r="V43">
        <f>ROUND((0/100)*ROUND(Source!R33, 2), 2)</f>
        <v>0</v>
      </c>
      <c r="AC43">
        <v>0</v>
      </c>
    </row>
    <row r="44" spans="1:29" ht="14.25" x14ac:dyDescent="0.2">
      <c r="A44" s="35"/>
      <c r="B44" s="35"/>
      <c r="C44" s="35" t="s">
        <v>501</v>
      </c>
      <c r="D44" s="37"/>
      <c r="E44" s="36"/>
      <c r="F44" s="39">
        <f>Source!AO32</f>
        <v>11.65</v>
      </c>
      <c r="G44" s="38" t="str">
        <f>Source!DG32</f>
        <v>*1,1</v>
      </c>
      <c r="H44" s="36">
        <f>Source!AV33</f>
        <v>1.0469999999999999</v>
      </c>
      <c r="I44" s="39">
        <f>Source!S32</f>
        <v>13.42</v>
      </c>
      <c r="J44" s="36">
        <f>IF(Source!BA33&lt;&gt; 0, Source!BA33, 1)</f>
        <v>54.99</v>
      </c>
      <c r="K44" s="39">
        <f>Source!S33</f>
        <v>737.97</v>
      </c>
    </row>
    <row r="45" spans="1:29" ht="14.25" x14ac:dyDescent="0.2">
      <c r="A45" s="35"/>
      <c r="B45" s="35"/>
      <c r="C45" s="35" t="s">
        <v>502</v>
      </c>
      <c r="D45" s="37"/>
      <c r="E45" s="36"/>
      <c r="F45" s="39">
        <f>Source!AM32</f>
        <v>0.5</v>
      </c>
      <c r="G45" s="38" t="str">
        <f>Source!DE32</f>
        <v>*1,1</v>
      </c>
      <c r="H45" s="36">
        <f>Source!AV33</f>
        <v>1.0469999999999999</v>
      </c>
      <c r="I45" s="39">
        <f>Source!Q32</f>
        <v>0.57999999999999996</v>
      </c>
      <c r="J45" s="36">
        <f>IF(Source!BB33&lt;&gt; 0, Source!BB33, 1)</f>
        <v>16.260000000000002</v>
      </c>
      <c r="K45" s="39">
        <f>Source!Q33</f>
        <v>9.43</v>
      </c>
    </row>
    <row r="46" spans="1:29" ht="14.25" x14ac:dyDescent="0.2">
      <c r="A46" s="35"/>
      <c r="B46" s="35"/>
      <c r="C46" s="35" t="s">
        <v>503</v>
      </c>
      <c r="D46" s="37"/>
      <c r="E46" s="36"/>
      <c r="F46" s="39">
        <f>Source!AN32</f>
        <v>0.08</v>
      </c>
      <c r="G46" s="38" t="str">
        <f>Source!DF32</f>
        <v>*1,1</v>
      </c>
      <c r="H46" s="36">
        <f>Source!AV33</f>
        <v>1.0469999999999999</v>
      </c>
      <c r="I46" s="40">
        <f>Source!R32</f>
        <v>0.09</v>
      </c>
      <c r="J46" s="36">
        <f>IF(Source!BS33&lt;&gt; 0, Source!BS33, 1)</f>
        <v>54.99</v>
      </c>
      <c r="K46" s="40">
        <f>Source!R33</f>
        <v>4.95</v>
      </c>
    </row>
    <row r="47" spans="1:29" ht="68.25" x14ac:dyDescent="0.2">
      <c r="A47" s="41" t="s">
        <v>42</v>
      </c>
      <c r="B47" s="41" t="str">
        <f>Source!F34</f>
        <v>КА-2</v>
      </c>
      <c r="C47" s="41" t="s">
        <v>514</v>
      </c>
      <c r="D47" s="42" t="str">
        <f>Source!H34</f>
        <v>шт.</v>
      </c>
      <c r="E47" s="43">
        <f>Source!I34</f>
        <v>1</v>
      </c>
      <c r="F47" s="44">
        <f>Source!AK34</f>
        <v>3841.94</v>
      </c>
      <c r="G47" s="45" t="s">
        <v>3</v>
      </c>
      <c r="H47" s="43">
        <f>Source!AW35</f>
        <v>1</v>
      </c>
      <c r="I47" s="44">
        <f>Source!O34</f>
        <v>3841.94</v>
      </c>
      <c r="J47" s="43">
        <f>IF(Source!BC35&lt;&gt; 0, Source!BC35, 1)</f>
        <v>7.66</v>
      </c>
      <c r="K47" s="44">
        <f>Source!O35</f>
        <v>29429.26</v>
      </c>
      <c r="Q47">
        <f>Source!X34</f>
        <v>0</v>
      </c>
      <c r="R47">
        <f>Source!X35</f>
        <v>0</v>
      </c>
      <c r="S47">
        <f>Source!Y34</f>
        <v>0</v>
      </c>
      <c r="T47">
        <f>Source!Y35</f>
        <v>0</v>
      </c>
      <c r="U47">
        <f>ROUND((175/100)*ROUND(Source!R34, 2), 2)</f>
        <v>0</v>
      </c>
      <c r="V47">
        <f>ROUND((0/100)*ROUND(Source!R35, 2), 2)</f>
        <v>0</v>
      </c>
      <c r="AC47">
        <v>5</v>
      </c>
    </row>
    <row r="48" spans="1:29" ht="14.25" x14ac:dyDescent="0.2">
      <c r="A48" s="35"/>
      <c r="B48" s="35"/>
      <c r="C48" s="35" t="s">
        <v>506</v>
      </c>
      <c r="D48" s="37" t="s">
        <v>507</v>
      </c>
      <c r="E48" s="36">
        <f>Source!BZ33</f>
        <v>90</v>
      </c>
      <c r="F48" s="39"/>
      <c r="G48" s="38"/>
      <c r="H48" s="36"/>
      <c r="I48" s="39">
        <f>SUM(Q43:Q47)</f>
        <v>12.16</v>
      </c>
      <c r="J48" s="36">
        <f>Source!AT33</f>
        <v>90</v>
      </c>
      <c r="K48" s="39">
        <f>SUM(R43:R47)</f>
        <v>668.63</v>
      </c>
    </row>
    <row r="49" spans="1:29" ht="14.25" x14ac:dyDescent="0.2">
      <c r="A49" s="35"/>
      <c r="B49" s="35"/>
      <c r="C49" s="35" t="s">
        <v>508</v>
      </c>
      <c r="D49" s="37" t="s">
        <v>507</v>
      </c>
      <c r="E49" s="36">
        <f>Source!CA33</f>
        <v>46</v>
      </c>
      <c r="F49" s="39"/>
      <c r="G49" s="38"/>
      <c r="H49" s="36"/>
      <c r="I49" s="39">
        <f>SUM(S43:S48)</f>
        <v>6.21</v>
      </c>
      <c r="J49" s="36">
        <f>Source!AU33</f>
        <v>46</v>
      </c>
      <c r="K49" s="39">
        <f>SUM(T43:T48)</f>
        <v>341.74</v>
      </c>
    </row>
    <row r="50" spans="1:29" ht="14.25" x14ac:dyDescent="0.2">
      <c r="A50" s="46"/>
      <c r="B50" s="46"/>
      <c r="C50" s="46" t="s">
        <v>509</v>
      </c>
      <c r="D50" s="47" t="s">
        <v>510</v>
      </c>
      <c r="E50" s="48">
        <f>Source!AQ32</f>
        <v>1.03</v>
      </c>
      <c r="F50" s="49"/>
      <c r="G50" s="50" t="str">
        <f>Source!DI32</f>
        <v>*1,1</v>
      </c>
      <c r="H50" s="48">
        <f>Source!AV33</f>
        <v>1.0469999999999999</v>
      </c>
      <c r="I50" s="49">
        <f>Source!U32</f>
        <v>1.1862510000000002</v>
      </c>
      <c r="J50" s="48"/>
      <c r="K50" s="49"/>
    </row>
    <row r="51" spans="1:29" ht="15" x14ac:dyDescent="0.2">
      <c r="C51" s="51" t="s">
        <v>511</v>
      </c>
      <c r="H51" s="52">
        <f>I44+I45+I48+I49+SUM(I47:I47)-SUMIF(AC47:AC47, 5, I47:I47)-SUMIF(AC47:AC47, 6, I47:I47)</f>
        <v>32.369999999999891</v>
      </c>
      <c r="I51" s="52"/>
      <c r="J51" s="52">
        <f>K44+K45+K48+K49+SUM(K47:K47)-SUMIF(AC47:AC47, 5, K47:K47)-SUMIF(AC47:AC47, 6, K47:K47)</f>
        <v>1757.7700000000004</v>
      </c>
      <c r="K51" s="52"/>
    </row>
    <row r="52" spans="1:29" ht="15" x14ac:dyDescent="0.2">
      <c r="C52" s="51" t="s">
        <v>512</v>
      </c>
      <c r="H52" s="54">
        <f>SUMIF(AC47:AC47, 5, I47:I47)+SUMIF(AC47:AC47, 6, I47:I47)</f>
        <v>3841.94</v>
      </c>
      <c r="I52" s="54"/>
      <c r="J52" s="54">
        <f>SUMIF(AC47:AC47, 5, K47:K47)+SUMIF(AC47:AC47, 6, K47:K47)</f>
        <v>29429.26</v>
      </c>
      <c r="K52" s="54"/>
    </row>
    <row r="53" spans="1:29" ht="15" x14ac:dyDescent="0.2">
      <c r="C53" s="51" t="s">
        <v>513</v>
      </c>
      <c r="H53" s="54">
        <f>I44+I45+I48+I49+SUM(I47:I47)</f>
        <v>3874.31</v>
      </c>
      <c r="I53" s="54"/>
      <c r="J53" s="54">
        <f>K44+K45+K48+K49+SUM(K47:K47)</f>
        <v>31187.03</v>
      </c>
      <c r="K53" s="54"/>
      <c r="O53" s="55">
        <f>I44+I45+I48+I49+SUM(I47:I47)</f>
        <v>3874.31</v>
      </c>
      <c r="P53" s="55">
        <f>K44+K45+K48+K49+SUM(K47:K47)</f>
        <v>31187.03</v>
      </c>
    </row>
    <row r="55" spans="1:29" ht="28.5" x14ac:dyDescent="0.2">
      <c r="A55" s="35">
        <v>3</v>
      </c>
      <c r="B55" s="35" t="str">
        <f>Source!F36</f>
        <v>4.11-17-1</v>
      </c>
      <c r="C55" s="35" t="s">
        <v>20</v>
      </c>
      <c r="D55" s="37" t="str">
        <f>Source!H36</f>
        <v>1  ШТ.</v>
      </c>
      <c r="E55" s="36">
        <f>Source!I36</f>
        <v>1</v>
      </c>
      <c r="F55" s="39"/>
      <c r="G55" s="38"/>
      <c r="H55" s="36"/>
      <c r="I55" s="39"/>
      <c r="J55" s="36"/>
      <c r="K55" s="39"/>
      <c r="Q55">
        <f>Source!X36</f>
        <v>62.37</v>
      </c>
      <c r="R55">
        <f>Source!X37</f>
        <v>3429.73</v>
      </c>
      <c r="S55">
        <f>Source!Y36</f>
        <v>31.88</v>
      </c>
      <c r="T55">
        <f>Source!Y37</f>
        <v>1752.97</v>
      </c>
      <c r="U55">
        <f>ROUND((175/100)*ROUND(Source!R36, 2), 2)</f>
        <v>0.77</v>
      </c>
      <c r="V55">
        <f>ROUND((0/100)*ROUND(Source!R37, 2), 2)</f>
        <v>0</v>
      </c>
      <c r="AC55">
        <v>0</v>
      </c>
    </row>
    <row r="56" spans="1:29" ht="14.25" x14ac:dyDescent="0.2">
      <c r="A56" s="35"/>
      <c r="B56" s="35"/>
      <c r="C56" s="35" t="s">
        <v>501</v>
      </c>
      <c r="D56" s="37"/>
      <c r="E56" s="36"/>
      <c r="F56" s="39">
        <f>Source!AO36</f>
        <v>59.79</v>
      </c>
      <c r="G56" s="38" t="str">
        <f>Source!DG36</f>
        <v>*1,1</v>
      </c>
      <c r="H56" s="36">
        <f>Source!AV37</f>
        <v>1.0469999999999999</v>
      </c>
      <c r="I56" s="39">
        <f>Source!S36</f>
        <v>68.86</v>
      </c>
      <c r="J56" s="36">
        <f>IF(Source!BA37&lt;&gt; 0, Source!BA37, 1)</f>
        <v>54.99</v>
      </c>
      <c r="K56" s="39">
        <f>Source!S37</f>
        <v>3786.61</v>
      </c>
    </row>
    <row r="57" spans="1:29" ht="14.25" x14ac:dyDescent="0.2">
      <c r="A57" s="35"/>
      <c r="B57" s="35"/>
      <c r="C57" s="35" t="s">
        <v>502</v>
      </c>
      <c r="D57" s="37"/>
      <c r="E57" s="36"/>
      <c r="F57" s="39">
        <f>Source!AM36</f>
        <v>4.2699999999999996</v>
      </c>
      <c r="G57" s="38" t="str">
        <f>Source!DE36</f>
        <v>*1,1</v>
      </c>
      <c r="H57" s="36">
        <f>Source!AV37</f>
        <v>1.0469999999999999</v>
      </c>
      <c r="I57" s="39">
        <f>Source!Q36</f>
        <v>4.92</v>
      </c>
      <c r="J57" s="36">
        <f>IF(Source!BB37&lt;&gt; 0, Source!BB37, 1)</f>
        <v>14.09</v>
      </c>
      <c r="K57" s="39">
        <f>Source!Q37</f>
        <v>69.319999999999993</v>
      </c>
    </row>
    <row r="58" spans="1:29" ht="14.25" x14ac:dyDescent="0.2">
      <c r="A58" s="35"/>
      <c r="B58" s="35"/>
      <c r="C58" s="35" t="s">
        <v>503</v>
      </c>
      <c r="D58" s="37"/>
      <c r="E58" s="36"/>
      <c r="F58" s="39">
        <f>Source!AN36</f>
        <v>0.38</v>
      </c>
      <c r="G58" s="38" t="str">
        <f>Source!DF36</f>
        <v>*1,1</v>
      </c>
      <c r="H58" s="36">
        <f>Source!AV37</f>
        <v>1.0469999999999999</v>
      </c>
      <c r="I58" s="40">
        <f>Source!R36</f>
        <v>0.44</v>
      </c>
      <c r="J58" s="36">
        <f>IF(Source!BS37&lt;&gt; 0, Source!BS37, 1)</f>
        <v>54.99</v>
      </c>
      <c r="K58" s="40">
        <f>Source!R37</f>
        <v>24.2</v>
      </c>
    </row>
    <row r="59" spans="1:29" ht="14.25" x14ac:dyDescent="0.2">
      <c r="A59" s="35"/>
      <c r="B59" s="35"/>
      <c r="C59" s="35" t="s">
        <v>504</v>
      </c>
      <c r="D59" s="37"/>
      <c r="E59" s="36"/>
      <c r="F59" s="39">
        <f>Source!AL36</f>
        <v>89.36</v>
      </c>
      <c r="G59" s="38" t="str">
        <f>Source!DD36</f>
        <v/>
      </c>
      <c r="H59" s="36">
        <f>Source!AW37</f>
        <v>1</v>
      </c>
      <c r="I59" s="39">
        <f>Source!P36</f>
        <v>89.36</v>
      </c>
      <c r="J59" s="36">
        <f>IF(Source!BC37&lt;&gt; 0, Source!BC37, 1)</f>
        <v>5.08</v>
      </c>
      <c r="K59" s="39">
        <f>Source!P37</f>
        <v>453.95</v>
      </c>
    </row>
    <row r="60" spans="1:29" ht="68.25" x14ac:dyDescent="0.2">
      <c r="A60" s="41" t="s">
        <v>46</v>
      </c>
      <c r="B60" s="41" t="str">
        <f>Source!F38</f>
        <v>КА-3</v>
      </c>
      <c r="C60" s="41" t="s">
        <v>515</v>
      </c>
      <c r="D60" s="42" t="str">
        <f>Source!H38</f>
        <v>шт.</v>
      </c>
      <c r="E60" s="43">
        <f>Source!I38</f>
        <v>1</v>
      </c>
      <c r="F60" s="44">
        <f>Source!AK38</f>
        <v>113908.9</v>
      </c>
      <c r="G60" s="45" t="s">
        <v>3</v>
      </c>
      <c r="H60" s="43">
        <f>Source!AW39</f>
        <v>1</v>
      </c>
      <c r="I60" s="44">
        <f>Source!O38</f>
        <v>113908.9</v>
      </c>
      <c r="J60" s="43">
        <f>IF(Source!BC39&lt;&gt; 0, Source!BC39, 1)</f>
        <v>7.66</v>
      </c>
      <c r="K60" s="44">
        <f>Source!O39</f>
        <v>872542.17</v>
      </c>
      <c r="Q60">
        <f>Source!X38</f>
        <v>0</v>
      </c>
      <c r="R60">
        <f>Source!X39</f>
        <v>0</v>
      </c>
      <c r="S60">
        <f>Source!Y38</f>
        <v>0</v>
      </c>
      <c r="T60">
        <f>Source!Y39</f>
        <v>0</v>
      </c>
      <c r="U60">
        <f>ROUND((175/100)*ROUND(Source!R38, 2), 2)</f>
        <v>0</v>
      </c>
      <c r="V60">
        <f>ROUND((0/100)*ROUND(Source!R39, 2), 2)</f>
        <v>0</v>
      </c>
      <c r="AC60">
        <v>5</v>
      </c>
    </row>
    <row r="61" spans="1:29" ht="14.25" x14ac:dyDescent="0.2">
      <c r="A61" s="35"/>
      <c r="B61" s="35"/>
      <c r="C61" s="35" t="s">
        <v>506</v>
      </c>
      <c r="D61" s="37" t="s">
        <v>507</v>
      </c>
      <c r="E61" s="36">
        <f>Source!BZ37</f>
        <v>90</v>
      </c>
      <c r="F61" s="39"/>
      <c r="G61" s="38"/>
      <c r="H61" s="36"/>
      <c r="I61" s="39">
        <f>SUM(Q55:Q60)</f>
        <v>62.37</v>
      </c>
      <c r="J61" s="36">
        <f>Source!AT37</f>
        <v>90</v>
      </c>
      <c r="K61" s="39">
        <f>SUM(R55:R60)</f>
        <v>3429.73</v>
      </c>
    </row>
    <row r="62" spans="1:29" ht="14.25" x14ac:dyDescent="0.2">
      <c r="A62" s="35"/>
      <c r="B62" s="35"/>
      <c r="C62" s="35" t="s">
        <v>508</v>
      </c>
      <c r="D62" s="37" t="s">
        <v>507</v>
      </c>
      <c r="E62" s="36">
        <f>Source!CA37</f>
        <v>46</v>
      </c>
      <c r="F62" s="39"/>
      <c r="G62" s="38"/>
      <c r="H62" s="36"/>
      <c r="I62" s="39">
        <f>SUM(S55:S61)</f>
        <v>31.88</v>
      </c>
      <c r="J62" s="36">
        <f>Source!AU37</f>
        <v>46</v>
      </c>
      <c r="K62" s="39">
        <f>SUM(T55:T61)</f>
        <v>1752.97</v>
      </c>
    </row>
    <row r="63" spans="1:29" ht="14.25" x14ac:dyDescent="0.2">
      <c r="A63" s="46"/>
      <c r="B63" s="46"/>
      <c r="C63" s="46" t="s">
        <v>509</v>
      </c>
      <c r="D63" s="47" t="s">
        <v>510</v>
      </c>
      <c r="E63" s="48">
        <f>Source!AQ36</f>
        <v>5.15</v>
      </c>
      <c r="F63" s="49"/>
      <c r="G63" s="50" t="str">
        <f>Source!DI36</f>
        <v>*1,1</v>
      </c>
      <c r="H63" s="48">
        <f>Source!AV37</f>
        <v>1.0469999999999999</v>
      </c>
      <c r="I63" s="49">
        <f>Source!U36</f>
        <v>5.9312550000000002</v>
      </c>
      <c r="J63" s="48"/>
      <c r="K63" s="49"/>
    </row>
    <row r="64" spans="1:29" ht="15" x14ac:dyDescent="0.2">
      <c r="C64" s="51" t="s">
        <v>511</v>
      </c>
      <c r="H64" s="52">
        <f>I56+I57+I59+I61+I62+SUM(I60:I60)-SUMIF(AC60:AC60, 5, I60:I60)-SUMIF(AC60:AC60, 6, I60:I60)</f>
        <v>257.38999999999942</v>
      </c>
      <c r="I64" s="52"/>
      <c r="J64" s="52">
        <f>K56+K57+K59+K61+K62+SUM(K60:K60)-SUMIF(AC60:AC60, 5, K60:K60)-SUMIF(AC60:AC60, 6, K60:K60)</f>
        <v>9492.5799999999581</v>
      </c>
      <c r="K64" s="52"/>
    </row>
    <row r="65" spans="1:29" ht="15" x14ac:dyDescent="0.2">
      <c r="C65" s="51" t="s">
        <v>512</v>
      </c>
      <c r="H65" s="54">
        <f>SUMIF(AC60:AC60, 5, I60:I60)+SUMIF(AC60:AC60, 6, I60:I60)</f>
        <v>113908.9</v>
      </c>
      <c r="I65" s="54"/>
      <c r="J65" s="54">
        <f>SUMIF(AC60:AC60, 5, K60:K60)+SUMIF(AC60:AC60, 6, K60:K60)</f>
        <v>872542.17</v>
      </c>
      <c r="K65" s="54"/>
    </row>
    <row r="66" spans="1:29" ht="15" x14ac:dyDescent="0.2">
      <c r="C66" s="51" t="s">
        <v>513</v>
      </c>
      <c r="H66" s="54">
        <f>I56+I57+I59+I61+I62+SUM(I60:I60)</f>
        <v>114166.29</v>
      </c>
      <c r="I66" s="54"/>
      <c r="J66" s="54">
        <f>K56+K57+K59+K61+K62+SUM(K60:K60)</f>
        <v>882034.75</v>
      </c>
      <c r="K66" s="54"/>
      <c r="O66" s="55">
        <f>I56+I57+I59+I61+I62+SUM(I60:I60)</f>
        <v>114166.29</v>
      </c>
      <c r="P66" s="55">
        <f>K56+K57+K59+K61+K62+SUM(K60:K60)</f>
        <v>882034.75</v>
      </c>
    </row>
    <row r="68" spans="1:29" ht="28.5" x14ac:dyDescent="0.2">
      <c r="A68" s="35">
        <v>4</v>
      </c>
      <c r="B68" s="35" t="str">
        <f>Source!F40</f>
        <v>4.10-69-3</v>
      </c>
      <c r="C68" s="35" t="s">
        <v>52</v>
      </c>
      <c r="D68" s="37" t="str">
        <f>Source!H40</f>
        <v>1  ШТ.</v>
      </c>
      <c r="E68" s="36">
        <f>Source!I40</f>
        <v>1</v>
      </c>
      <c r="F68" s="39"/>
      <c r="G68" s="38"/>
      <c r="H68" s="36"/>
      <c r="I68" s="39"/>
      <c r="J68" s="36"/>
      <c r="K68" s="39"/>
      <c r="Q68">
        <f>Source!X40</f>
        <v>489.59</v>
      </c>
      <c r="R68">
        <f>Source!X41</f>
        <v>26922.67</v>
      </c>
      <c r="S68">
        <f>Source!Y40</f>
        <v>273.14</v>
      </c>
      <c r="T68">
        <f>Source!Y41</f>
        <v>15020.01</v>
      </c>
      <c r="U68">
        <f>ROUND((175/100)*ROUND(Source!R40, 2), 2)</f>
        <v>0</v>
      </c>
      <c r="V68">
        <f>ROUND((0/100)*ROUND(Source!R41, 2), 2)</f>
        <v>0</v>
      </c>
      <c r="AC68">
        <v>0</v>
      </c>
    </row>
    <row r="69" spans="1:29" ht="14.25" x14ac:dyDescent="0.2">
      <c r="A69" s="35"/>
      <c r="B69" s="35"/>
      <c r="C69" s="35" t="s">
        <v>501</v>
      </c>
      <c r="D69" s="37"/>
      <c r="E69" s="36"/>
      <c r="F69" s="39">
        <f>Source!AO40</f>
        <v>447.48</v>
      </c>
      <c r="G69" s="38" t="str">
        <f>Source!DG40</f>
        <v>*1,1</v>
      </c>
      <c r="H69" s="36">
        <f>Source!AV41</f>
        <v>1.0469999999999999</v>
      </c>
      <c r="I69" s="39">
        <f>Source!S40</f>
        <v>515.36</v>
      </c>
      <c r="J69" s="36">
        <f>IF(Source!BA41&lt;&gt; 0, Source!BA41, 1)</f>
        <v>54.99</v>
      </c>
      <c r="K69" s="39">
        <f>Source!S41</f>
        <v>28339.65</v>
      </c>
    </row>
    <row r="70" spans="1:29" ht="14.25" x14ac:dyDescent="0.2">
      <c r="A70" s="35"/>
      <c r="B70" s="35"/>
      <c r="C70" s="35" t="s">
        <v>504</v>
      </c>
      <c r="D70" s="37"/>
      <c r="E70" s="36"/>
      <c r="F70" s="39">
        <f>Source!AL40</f>
        <v>76.75</v>
      </c>
      <c r="G70" s="38" t="str">
        <f>Source!DD40</f>
        <v/>
      </c>
      <c r="H70" s="36">
        <f>Source!AW41</f>
        <v>1</v>
      </c>
      <c r="I70" s="39">
        <f>Source!P40</f>
        <v>76.75</v>
      </c>
      <c r="J70" s="36">
        <f>IF(Source!BC41&lt;&gt; 0, Source!BC41, 1)</f>
        <v>9.1</v>
      </c>
      <c r="K70" s="39">
        <f>Source!P41</f>
        <v>698.43</v>
      </c>
    </row>
    <row r="71" spans="1:29" ht="54" x14ac:dyDescent="0.2">
      <c r="A71" s="41" t="s">
        <v>56</v>
      </c>
      <c r="B71" s="41" t="str">
        <f>Source!F42</f>
        <v>КА-4</v>
      </c>
      <c r="C71" s="41" t="s">
        <v>516</v>
      </c>
      <c r="D71" s="42" t="str">
        <f>Source!H42</f>
        <v>шт.</v>
      </c>
      <c r="E71" s="43">
        <f>Source!I42</f>
        <v>1</v>
      </c>
      <c r="F71" s="44">
        <f>Source!AK42</f>
        <v>11113.060000000001</v>
      </c>
      <c r="G71" s="45" t="s">
        <v>3</v>
      </c>
      <c r="H71" s="43">
        <f>Source!AW43</f>
        <v>1</v>
      </c>
      <c r="I71" s="44">
        <f>Source!O42</f>
        <v>11113.06</v>
      </c>
      <c r="J71" s="43">
        <f>IF(Source!BC43&lt;&gt; 0, Source!BC43, 1)</f>
        <v>7.66</v>
      </c>
      <c r="K71" s="44">
        <f>Source!O43</f>
        <v>85126.04</v>
      </c>
      <c r="Q71">
        <f>Source!X42</f>
        <v>0</v>
      </c>
      <c r="R71">
        <f>Source!X43</f>
        <v>0</v>
      </c>
      <c r="S71">
        <f>Source!Y42</f>
        <v>0</v>
      </c>
      <c r="T71">
        <f>Source!Y43</f>
        <v>0</v>
      </c>
      <c r="U71">
        <f>ROUND((175/100)*ROUND(Source!R42, 2), 2)</f>
        <v>0</v>
      </c>
      <c r="V71">
        <f>ROUND((0/100)*ROUND(Source!R43, 2), 2)</f>
        <v>0</v>
      </c>
      <c r="AC71">
        <v>5</v>
      </c>
    </row>
    <row r="72" spans="1:29" ht="14.25" x14ac:dyDescent="0.2">
      <c r="A72" s="35"/>
      <c r="B72" s="35"/>
      <c r="C72" s="35" t="s">
        <v>506</v>
      </c>
      <c r="D72" s="37" t="s">
        <v>507</v>
      </c>
      <c r="E72" s="36">
        <f>Source!BZ41</f>
        <v>95</v>
      </c>
      <c r="F72" s="39"/>
      <c r="G72" s="38"/>
      <c r="H72" s="36"/>
      <c r="I72" s="39">
        <f>SUM(Q68:Q71)</f>
        <v>489.59</v>
      </c>
      <c r="J72" s="36">
        <f>Source!AT41</f>
        <v>95</v>
      </c>
      <c r="K72" s="39">
        <f>SUM(R68:R71)</f>
        <v>26922.67</v>
      </c>
    </row>
    <row r="73" spans="1:29" ht="14.25" x14ac:dyDescent="0.2">
      <c r="A73" s="35"/>
      <c r="B73" s="35"/>
      <c r="C73" s="35" t="s">
        <v>508</v>
      </c>
      <c r="D73" s="37" t="s">
        <v>507</v>
      </c>
      <c r="E73" s="36">
        <f>Source!CA41</f>
        <v>53</v>
      </c>
      <c r="F73" s="39"/>
      <c r="G73" s="38"/>
      <c r="H73" s="36"/>
      <c r="I73" s="39">
        <f>SUM(S68:S72)</f>
        <v>273.14</v>
      </c>
      <c r="J73" s="36">
        <f>Source!AU41</f>
        <v>53</v>
      </c>
      <c r="K73" s="39">
        <f>SUM(T68:T72)</f>
        <v>15020.01</v>
      </c>
    </row>
    <row r="74" spans="1:29" ht="14.25" x14ac:dyDescent="0.2">
      <c r="A74" s="46"/>
      <c r="B74" s="46"/>
      <c r="C74" s="46" t="s">
        <v>509</v>
      </c>
      <c r="D74" s="47" t="s">
        <v>510</v>
      </c>
      <c r="E74" s="48">
        <f>Source!AQ40</f>
        <v>33</v>
      </c>
      <c r="F74" s="49"/>
      <c r="G74" s="50" t="str">
        <f>Source!DI40</f>
        <v>*1,1</v>
      </c>
      <c r="H74" s="48">
        <f>Source!AV41</f>
        <v>1.0469999999999999</v>
      </c>
      <c r="I74" s="49">
        <f>Source!U40</f>
        <v>38.006100000000004</v>
      </c>
      <c r="J74" s="48"/>
      <c r="K74" s="49"/>
    </row>
    <row r="75" spans="1:29" ht="15" x14ac:dyDescent="0.2">
      <c r="C75" s="51" t="s">
        <v>511</v>
      </c>
      <c r="H75" s="52">
        <f>I69+I70+I72+I73+SUM(I71:I71)-SUMIF(AC71:AC71, 5, I71:I71)-SUMIF(AC71:AC71, 6, I71:I71)</f>
        <v>1354.8400000000001</v>
      </c>
      <c r="I75" s="52"/>
      <c r="J75" s="52">
        <f>K69+K70+K72+K73+SUM(K71:K71)-SUMIF(AC71:AC71, 5, K71:K71)-SUMIF(AC71:AC71, 6, K71:K71)</f>
        <v>70980.759999999995</v>
      </c>
      <c r="K75" s="52"/>
    </row>
    <row r="76" spans="1:29" ht="15" x14ac:dyDescent="0.2">
      <c r="C76" s="51" t="s">
        <v>512</v>
      </c>
      <c r="H76" s="54">
        <f>SUMIF(AC71:AC71, 5, I71:I71)+SUMIF(AC71:AC71, 6, I71:I71)</f>
        <v>11113.06</v>
      </c>
      <c r="I76" s="54"/>
      <c r="J76" s="54">
        <f>SUMIF(AC71:AC71, 5, K71:K71)+SUMIF(AC71:AC71, 6, K71:K71)</f>
        <v>85126.04</v>
      </c>
      <c r="K76" s="54"/>
    </row>
    <row r="77" spans="1:29" ht="15" x14ac:dyDescent="0.2">
      <c r="C77" s="51" t="s">
        <v>513</v>
      </c>
      <c r="H77" s="54">
        <f>I69+I70+I72+I73+SUM(I71:I71)</f>
        <v>12467.9</v>
      </c>
      <c r="I77" s="54"/>
      <c r="J77" s="54">
        <f>K69+K70+K72+K73+SUM(K71:K71)</f>
        <v>156106.79999999999</v>
      </c>
      <c r="K77" s="54"/>
      <c r="O77" s="55">
        <f>I69+I70+I72+I73+SUM(I71:I71)</f>
        <v>12467.9</v>
      </c>
      <c r="P77" s="55">
        <f>K69+K70+K72+K73+SUM(K71:K71)</f>
        <v>156106.79999999999</v>
      </c>
    </row>
    <row r="79" spans="1:29" ht="28.5" x14ac:dyDescent="0.2">
      <c r="A79" s="35">
        <v>5</v>
      </c>
      <c r="B79" s="35" t="str">
        <f>Source!F44</f>
        <v>4.8-333-7</v>
      </c>
      <c r="C79" s="35" t="s">
        <v>62</v>
      </c>
      <c r="D79" s="37" t="str">
        <f>Source!H44</f>
        <v>100 шт.</v>
      </c>
      <c r="E79" s="36">
        <f>Source!I44</f>
        <v>7.0000000000000007E-2</v>
      </c>
      <c r="F79" s="39"/>
      <c r="G79" s="38"/>
      <c r="H79" s="36"/>
      <c r="I79" s="39"/>
      <c r="J79" s="36"/>
      <c r="K79" s="39"/>
      <c r="Q79">
        <f>Source!X44</f>
        <v>16.48</v>
      </c>
      <c r="R79">
        <f>Source!X45</f>
        <v>906.25</v>
      </c>
      <c r="S79">
        <f>Source!Y44</f>
        <v>8.66</v>
      </c>
      <c r="T79">
        <f>Source!Y45</f>
        <v>476.48</v>
      </c>
      <c r="U79">
        <f>ROUND((175/100)*ROUND(Source!R44, 2), 2)</f>
        <v>0.02</v>
      </c>
      <c r="V79">
        <f>ROUND((0/100)*ROUND(Source!R45, 2), 2)</f>
        <v>0</v>
      </c>
      <c r="AC79">
        <v>0</v>
      </c>
    </row>
    <row r="80" spans="1:29" x14ac:dyDescent="0.2">
      <c r="C80" s="56" t="str">
        <f>"Объем: "&amp;Source!I44&amp;"=7/"&amp;"100"</f>
        <v>Объем: 0,07=7/100</v>
      </c>
    </row>
    <row r="81" spans="1:29" ht="14.25" x14ac:dyDescent="0.2">
      <c r="A81" s="35"/>
      <c r="B81" s="35"/>
      <c r="C81" s="35" t="s">
        <v>501</v>
      </c>
      <c r="D81" s="37"/>
      <c r="E81" s="36"/>
      <c r="F81" s="39">
        <f>Source!AO44</f>
        <v>210.57</v>
      </c>
      <c r="G81" s="38" t="str">
        <f>Source!DG44</f>
        <v>*1,1</v>
      </c>
      <c r="H81" s="36">
        <f>Source!AV45</f>
        <v>1.0469999999999999</v>
      </c>
      <c r="I81" s="39">
        <f>Source!S44</f>
        <v>16.98</v>
      </c>
      <c r="J81" s="36">
        <f>IF(Source!BA45&lt;&gt; 0, Source!BA45, 1)</f>
        <v>54.99</v>
      </c>
      <c r="K81" s="39">
        <f>Source!S45</f>
        <v>933.73</v>
      </c>
    </row>
    <row r="82" spans="1:29" ht="14.25" x14ac:dyDescent="0.2">
      <c r="A82" s="35"/>
      <c r="B82" s="35"/>
      <c r="C82" s="35" t="s">
        <v>502</v>
      </c>
      <c r="D82" s="37"/>
      <c r="E82" s="36"/>
      <c r="F82" s="39">
        <f>Source!AM44</f>
        <v>0.83</v>
      </c>
      <c r="G82" s="38" t="str">
        <f>Source!DE44</f>
        <v>*1,1</v>
      </c>
      <c r="H82" s="36">
        <f>Source!AV45</f>
        <v>1.0469999999999999</v>
      </c>
      <c r="I82" s="39">
        <f>Source!Q44</f>
        <v>7.0000000000000007E-2</v>
      </c>
      <c r="J82" s="36">
        <f>IF(Source!BB45&lt;&gt; 0, Source!BB45, 1)</f>
        <v>16.329999999999998</v>
      </c>
      <c r="K82" s="39">
        <f>Source!Q45</f>
        <v>1.1399999999999999</v>
      </c>
    </row>
    <row r="83" spans="1:29" ht="14.25" x14ac:dyDescent="0.2">
      <c r="A83" s="35"/>
      <c r="B83" s="35"/>
      <c r="C83" s="35" t="s">
        <v>503</v>
      </c>
      <c r="D83" s="37"/>
      <c r="E83" s="36"/>
      <c r="F83" s="39">
        <f>Source!AN44</f>
        <v>0.13</v>
      </c>
      <c r="G83" s="38" t="str">
        <f>Source!DF44</f>
        <v>*1,1</v>
      </c>
      <c r="H83" s="36">
        <f>Source!AV45</f>
        <v>1.0469999999999999</v>
      </c>
      <c r="I83" s="40">
        <f>Source!R44</f>
        <v>0.01</v>
      </c>
      <c r="J83" s="36">
        <f>IF(Source!BS45&lt;&gt; 0, Source!BS45, 1)</f>
        <v>54.99</v>
      </c>
      <c r="K83" s="40">
        <f>Source!R45</f>
        <v>0.55000000000000004</v>
      </c>
    </row>
    <row r="84" spans="1:29" ht="42.75" x14ac:dyDescent="0.2">
      <c r="A84" s="35" t="s">
        <v>67</v>
      </c>
      <c r="B84" s="35" t="str">
        <f>Source!F46</f>
        <v>1.14-1-23</v>
      </c>
      <c r="C84" s="35" t="s">
        <v>69</v>
      </c>
      <c r="D84" s="37" t="str">
        <f>Source!H46</f>
        <v>шт.</v>
      </c>
      <c r="E84" s="36">
        <f>Source!I46</f>
        <v>7</v>
      </c>
      <c r="F84" s="39">
        <f>Source!AK46</f>
        <v>3.16</v>
      </c>
      <c r="G84" s="57" t="s">
        <v>3</v>
      </c>
      <c r="H84" s="36">
        <f>Source!AW47</f>
        <v>1</v>
      </c>
      <c r="I84" s="39">
        <f>Source!O46</f>
        <v>22.12</v>
      </c>
      <c r="J84" s="36">
        <f>IF(Source!BC47&lt;&gt; 0, Source!BC47, 1)</f>
        <v>28.28</v>
      </c>
      <c r="K84" s="39">
        <f>Source!O47</f>
        <v>625.54999999999995</v>
      </c>
      <c r="Q84">
        <f>Source!X46</f>
        <v>0</v>
      </c>
      <c r="R84">
        <f>Source!X47</f>
        <v>0</v>
      </c>
      <c r="S84">
        <f>Source!Y46</f>
        <v>0</v>
      </c>
      <c r="T84">
        <f>Source!Y47</f>
        <v>0</v>
      </c>
      <c r="U84">
        <f>ROUND((175/100)*ROUND(Source!R46, 2), 2)</f>
        <v>0</v>
      </c>
      <c r="V84">
        <f>ROUND((0/100)*ROUND(Source!R47, 2), 2)</f>
        <v>0</v>
      </c>
      <c r="AC84">
        <v>3</v>
      </c>
    </row>
    <row r="85" spans="1:29" ht="57" x14ac:dyDescent="0.2">
      <c r="A85" s="35" t="s">
        <v>71</v>
      </c>
      <c r="B85" s="35" t="str">
        <f>Source!F48</f>
        <v>1.21-5-192</v>
      </c>
      <c r="C85" s="35" t="s">
        <v>73</v>
      </c>
      <c r="D85" s="37" t="str">
        <f>Source!H48</f>
        <v>1000 шт.</v>
      </c>
      <c r="E85" s="36">
        <f>Source!I48</f>
        <v>7.0000000000000001E-3</v>
      </c>
      <c r="F85" s="39">
        <f>Source!AK48</f>
        <v>3906.65</v>
      </c>
      <c r="G85" s="57" t="s">
        <v>3</v>
      </c>
      <c r="H85" s="36">
        <f>Source!AW49</f>
        <v>1</v>
      </c>
      <c r="I85" s="39">
        <f>Source!O48</f>
        <v>27.35</v>
      </c>
      <c r="J85" s="36">
        <f>IF(Source!BC49&lt;&gt; 0, Source!BC49, 1)</f>
        <v>13.52</v>
      </c>
      <c r="K85" s="39">
        <f>Source!O49</f>
        <v>369.77</v>
      </c>
      <c r="Q85">
        <f>Source!X48</f>
        <v>0</v>
      </c>
      <c r="R85">
        <f>Source!X49</f>
        <v>0</v>
      </c>
      <c r="S85">
        <f>Source!Y48</f>
        <v>0</v>
      </c>
      <c r="T85">
        <f>Source!Y49</f>
        <v>0</v>
      </c>
      <c r="U85">
        <f>ROUND((175/100)*ROUND(Source!R48, 2), 2)</f>
        <v>0</v>
      </c>
      <c r="V85">
        <f>ROUND((0/100)*ROUND(Source!R49, 2), 2)</f>
        <v>0</v>
      </c>
      <c r="AC85">
        <v>3</v>
      </c>
    </row>
    <row r="86" spans="1:29" ht="14.25" x14ac:dyDescent="0.2">
      <c r="A86" s="35"/>
      <c r="B86" s="35"/>
      <c r="C86" s="35" t="s">
        <v>506</v>
      </c>
      <c r="D86" s="37" t="s">
        <v>507</v>
      </c>
      <c r="E86" s="36">
        <f>Source!BZ45</f>
        <v>97</v>
      </c>
      <c r="F86" s="39"/>
      <c r="G86" s="38"/>
      <c r="H86" s="36"/>
      <c r="I86" s="39">
        <f>SUM(Q79:Q85)</f>
        <v>16.48</v>
      </c>
      <c r="J86" s="36">
        <f>Source!AT45</f>
        <v>97</v>
      </c>
      <c r="K86" s="39">
        <f>SUM(R79:R85)</f>
        <v>906.25</v>
      </c>
    </row>
    <row r="87" spans="1:29" ht="14.25" x14ac:dyDescent="0.2">
      <c r="A87" s="35"/>
      <c r="B87" s="35"/>
      <c r="C87" s="35" t="s">
        <v>508</v>
      </c>
      <c r="D87" s="37" t="s">
        <v>507</v>
      </c>
      <c r="E87" s="36">
        <f>Source!CA45</f>
        <v>51</v>
      </c>
      <c r="F87" s="39"/>
      <c r="G87" s="38"/>
      <c r="H87" s="36"/>
      <c r="I87" s="39">
        <f>SUM(S79:S86)</f>
        <v>8.66</v>
      </c>
      <c r="J87" s="36">
        <f>Source!AU45</f>
        <v>51</v>
      </c>
      <c r="K87" s="39">
        <f>SUM(T79:T86)</f>
        <v>476.48</v>
      </c>
    </row>
    <row r="88" spans="1:29" ht="14.25" x14ac:dyDescent="0.2">
      <c r="A88" s="46"/>
      <c r="B88" s="46"/>
      <c r="C88" s="46" t="s">
        <v>509</v>
      </c>
      <c r="D88" s="47" t="s">
        <v>510</v>
      </c>
      <c r="E88" s="48">
        <f>Source!AQ44</f>
        <v>18.84</v>
      </c>
      <c r="F88" s="49"/>
      <c r="G88" s="50" t="str">
        <f>Source!DI44</f>
        <v>*1,1</v>
      </c>
      <c r="H88" s="48">
        <f>Source!AV45</f>
        <v>1.0469999999999999</v>
      </c>
      <c r="I88" s="49">
        <f>Source!U44</f>
        <v>1.51886196</v>
      </c>
      <c r="J88" s="48"/>
      <c r="K88" s="49"/>
    </row>
    <row r="89" spans="1:29" ht="15" x14ac:dyDescent="0.2">
      <c r="C89" s="51" t="s">
        <v>511</v>
      </c>
      <c r="H89" s="52">
        <f>I81+I82+I86+I87+SUM(I84:I85)-SUMIF(AC84:AC85, 5, I84:I85)-SUMIF(AC84:AC85, 6, I84:I85)</f>
        <v>91.66</v>
      </c>
      <c r="I89" s="52"/>
      <c r="J89" s="52">
        <f>K81+K82+K86+K87+SUM(K84:K85)-SUMIF(AC84:AC85, 5, K84:K85)-SUMIF(AC84:AC85, 6, K84:K85)</f>
        <v>3312.92</v>
      </c>
      <c r="K89" s="52"/>
    </row>
    <row r="90" spans="1:29" ht="15" hidden="1" x14ac:dyDescent="0.2">
      <c r="C90" s="51" t="s">
        <v>512</v>
      </c>
      <c r="H90" s="54">
        <f>SUMIF(AC84:AC85, 5, I84:I85)+SUMIF(AC84:AC85, 6, I84:I85)</f>
        <v>0</v>
      </c>
      <c r="I90" s="54"/>
      <c r="J90" s="54">
        <f>SUMIF(AC84:AC85, 5, K84:K85)+SUMIF(AC84:AC85, 6, K84:K85)</f>
        <v>0</v>
      </c>
      <c r="K90" s="54"/>
    </row>
    <row r="91" spans="1:29" ht="15" x14ac:dyDescent="0.2">
      <c r="C91" s="51" t="s">
        <v>513</v>
      </c>
      <c r="H91" s="54">
        <f>I81+I82+I86+I87+SUM(I84:I85)</f>
        <v>91.66</v>
      </c>
      <c r="I91" s="54"/>
      <c r="J91" s="54">
        <f>K81+K82+K86+K87+SUM(K84:K85)</f>
        <v>3312.92</v>
      </c>
      <c r="K91" s="54"/>
      <c r="O91" s="55">
        <f>I81+I82+I86+I87+SUM(I84:I85)</f>
        <v>91.66</v>
      </c>
      <c r="P91" s="55">
        <f>K81+K82+K86+K87+SUM(K84:K85)</f>
        <v>3312.92</v>
      </c>
    </row>
    <row r="94" spans="1:29" ht="15" x14ac:dyDescent="0.25">
      <c r="A94" s="58" t="str">
        <f>CONCATENATE("Итого по разделу: ",IF(Source!G51&lt;&gt;"Новый раздел", Source!G51, ""))</f>
        <v>Итого по разделу: Оборудование</v>
      </c>
      <c r="B94" s="58"/>
      <c r="C94" s="58"/>
      <c r="D94" s="58"/>
      <c r="E94" s="58"/>
      <c r="F94" s="58"/>
      <c r="G94" s="58"/>
      <c r="H94" s="54">
        <f>SUM(O29:O93)</f>
        <v>176161.18</v>
      </c>
      <c r="I94" s="53"/>
      <c r="J94" s="54">
        <f>SUM(P29:P93)</f>
        <v>1429159.89</v>
      </c>
      <c r="K94" s="53"/>
    </row>
    <row r="95" spans="1:29" hidden="1" x14ac:dyDescent="0.2">
      <c r="A95" t="s">
        <v>517</v>
      </c>
      <c r="I95">
        <f>SUM(W29:W94)</f>
        <v>0</v>
      </c>
      <c r="J95">
        <f>SUM(X29:X94)</f>
        <v>0</v>
      </c>
    </row>
    <row r="96" spans="1:29" hidden="1" x14ac:dyDescent="0.2">
      <c r="A96" t="s">
        <v>518</v>
      </c>
      <c r="I96">
        <f>SUM(Y29:Y95)</f>
        <v>0</v>
      </c>
      <c r="J96">
        <f>SUM(Z29:Z95)</f>
        <v>0</v>
      </c>
    </row>
    <row r="98" spans="1:29" ht="16.5" x14ac:dyDescent="0.2">
      <c r="A98" s="34" t="str">
        <f>CONCATENATE("Раздел: ",IF(Source!G81&lt;&gt;"Новый раздел", Source!G81, ""))</f>
        <v>Раздел: Кабельные  изделия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</row>
    <row r="99" spans="1:29" ht="71.25" x14ac:dyDescent="0.2">
      <c r="A99" s="35">
        <v>6</v>
      </c>
      <c r="B99" s="35" t="str">
        <f>Source!F85</f>
        <v>4.8-288-2</v>
      </c>
      <c r="C99" s="35" t="s">
        <v>133</v>
      </c>
      <c r="D99" s="37" t="str">
        <f>Source!H85</f>
        <v>100 м</v>
      </c>
      <c r="E99" s="36">
        <f>Source!I85</f>
        <v>2</v>
      </c>
      <c r="F99" s="39"/>
      <c r="G99" s="38"/>
      <c r="H99" s="36"/>
      <c r="I99" s="39"/>
      <c r="J99" s="36"/>
      <c r="K99" s="39"/>
      <c r="Q99">
        <f>Source!X85</f>
        <v>442.32</v>
      </c>
      <c r="R99">
        <f>Source!X86</f>
        <v>24323.18</v>
      </c>
      <c r="S99">
        <f>Source!Y85</f>
        <v>232.56</v>
      </c>
      <c r="T99">
        <f>Source!Y86</f>
        <v>12788.47</v>
      </c>
      <c r="U99">
        <f>ROUND((175/100)*ROUND(Source!R85, 2), 2)</f>
        <v>23.01</v>
      </c>
      <c r="V99">
        <f>ROUND((0/100)*ROUND(Source!R86, 2), 2)</f>
        <v>0</v>
      </c>
      <c r="AC99">
        <v>0</v>
      </c>
    </row>
    <row r="100" spans="1:29" x14ac:dyDescent="0.2">
      <c r="C100" s="56" t="str">
        <f>"Объем: "&amp;Source!I85&amp;"=200/"&amp;"100"</f>
        <v>Объем: 2=200/100</v>
      </c>
    </row>
    <row r="101" spans="1:29" ht="14.25" x14ac:dyDescent="0.2">
      <c r="A101" s="35"/>
      <c r="B101" s="35"/>
      <c r="C101" s="35" t="s">
        <v>501</v>
      </c>
      <c r="D101" s="37"/>
      <c r="E101" s="36"/>
      <c r="F101" s="39">
        <f>Source!AO85</f>
        <v>192.26</v>
      </c>
      <c r="G101" s="38" t="str">
        <f>Source!DG85</f>
        <v>*1,1</v>
      </c>
      <c r="H101" s="36">
        <f>Source!AV86</f>
        <v>1.0469999999999999</v>
      </c>
      <c r="I101" s="39">
        <f>Source!S85</f>
        <v>442.85</v>
      </c>
      <c r="J101" s="36">
        <f>IF(Source!BA86&lt;&gt; 0, Source!BA86, 1)</f>
        <v>54.99</v>
      </c>
      <c r="K101" s="39">
        <f>Source!S86</f>
        <v>24352.32</v>
      </c>
    </row>
    <row r="102" spans="1:29" ht="14.25" x14ac:dyDescent="0.2">
      <c r="A102" s="35"/>
      <c r="B102" s="35"/>
      <c r="C102" s="35" t="s">
        <v>502</v>
      </c>
      <c r="D102" s="37"/>
      <c r="E102" s="36"/>
      <c r="F102" s="39">
        <f>Source!AM85</f>
        <v>32.869999999999997</v>
      </c>
      <c r="G102" s="38" t="str">
        <f>Source!DE85</f>
        <v>*1,1</v>
      </c>
      <c r="H102" s="36">
        <f>Source!AV86</f>
        <v>1.0469999999999999</v>
      </c>
      <c r="I102" s="39">
        <f>Source!Q85</f>
        <v>75.709999999999994</v>
      </c>
      <c r="J102" s="36">
        <f>IF(Source!BB86&lt;&gt; 0, Source!BB86, 1)</f>
        <v>17.850000000000001</v>
      </c>
      <c r="K102" s="39">
        <f>Source!Q86</f>
        <v>1351.42</v>
      </c>
    </row>
    <row r="103" spans="1:29" ht="14.25" x14ac:dyDescent="0.2">
      <c r="A103" s="35"/>
      <c r="B103" s="35"/>
      <c r="C103" s="35" t="s">
        <v>503</v>
      </c>
      <c r="D103" s="37"/>
      <c r="E103" s="36"/>
      <c r="F103" s="39">
        <f>Source!AN85</f>
        <v>5.71</v>
      </c>
      <c r="G103" s="38" t="str">
        <f>Source!DF85</f>
        <v>*1,1</v>
      </c>
      <c r="H103" s="36">
        <f>Source!AV86</f>
        <v>1.0469999999999999</v>
      </c>
      <c r="I103" s="40">
        <f>Source!R85</f>
        <v>13.15</v>
      </c>
      <c r="J103" s="36">
        <f>IF(Source!BS86&lt;&gt; 0, Source!BS86, 1)</f>
        <v>54.99</v>
      </c>
      <c r="K103" s="40">
        <f>Source!R86</f>
        <v>723.12</v>
      </c>
    </row>
    <row r="104" spans="1:29" ht="14.25" x14ac:dyDescent="0.2">
      <c r="A104" s="35"/>
      <c r="B104" s="35"/>
      <c r="C104" s="35" t="s">
        <v>504</v>
      </c>
      <c r="D104" s="37"/>
      <c r="E104" s="36"/>
      <c r="F104" s="39">
        <f>Source!AL85</f>
        <v>314.29000000000002</v>
      </c>
      <c r="G104" s="38" t="str">
        <f>Source!DD85</f>
        <v/>
      </c>
      <c r="H104" s="36">
        <f>Source!AW86</f>
        <v>1</v>
      </c>
      <c r="I104" s="39">
        <f>Source!P85</f>
        <v>628.58000000000004</v>
      </c>
      <c r="J104" s="36">
        <f>IF(Source!BC86&lt;&gt; 0, Source!BC86, 1)</f>
        <v>9.89</v>
      </c>
      <c r="K104" s="39">
        <f>Source!P86</f>
        <v>6216.66</v>
      </c>
    </row>
    <row r="105" spans="1:29" ht="42.75" x14ac:dyDescent="0.2">
      <c r="A105" s="35" t="s">
        <v>136</v>
      </c>
      <c r="B105" s="35" t="str">
        <f>Source!F87</f>
        <v>1.12-5-372</v>
      </c>
      <c r="C105" s="35" t="s">
        <v>138</v>
      </c>
      <c r="D105" s="37" t="str">
        <f>Source!H87</f>
        <v>м</v>
      </c>
      <c r="E105" s="36">
        <f>Source!I87</f>
        <v>204</v>
      </c>
      <c r="F105" s="39">
        <f>Source!AK87</f>
        <v>3.45</v>
      </c>
      <c r="G105" s="57" t="s">
        <v>3</v>
      </c>
      <c r="H105" s="36">
        <f>Source!AW88</f>
        <v>1</v>
      </c>
      <c r="I105" s="39">
        <f>Source!O87</f>
        <v>703.8</v>
      </c>
      <c r="J105" s="36">
        <f>IF(Source!BC88&lt;&gt; 0, Source!BC88, 1)</f>
        <v>3.93</v>
      </c>
      <c r="K105" s="39">
        <f>Source!O88</f>
        <v>2765.93</v>
      </c>
      <c r="Q105">
        <f>Source!X87</f>
        <v>0</v>
      </c>
      <c r="R105">
        <f>Source!X88</f>
        <v>0</v>
      </c>
      <c r="S105">
        <f>Source!Y87</f>
        <v>0</v>
      </c>
      <c r="T105">
        <f>Source!Y88</f>
        <v>0</v>
      </c>
      <c r="U105">
        <f>ROUND((175/100)*ROUND(Source!R87, 2), 2)</f>
        <v>0</v>
      </c>
      <c r="V105">
        <f>ROUND((0/100)*ROUND(Source!R88, 2), 2)</f>
        <v>0</v>
      </c>
      <c r="AC105">
        <v>3</v>
      </c>
    </row>
    <row r="106" spans="1:29" ht="14.25" x14ac:dyDescent="0.2">
      <c r="A106" s="35"/>
      <c r="B106" s="35"/>
      <c r="C106" s="35" t="s">
        <v>506</v>
      </c>
      <c r="D106" s="37" t="s">
        <v>507</v>
      </c>
      <c r="E106" s="36">
        <f>Source!BZ86</f>
        <v>97</v>
      </c>
      <c r="F106" s="39"/>
      <c r="G106" s="38"/>
      <c r="H106" s="36"/>
      <c r="I106" s="39">
        <f>SUM(Q99:Q105)</f>
        <v>442.32</v>
      </c>
      <c r="J106" s="36">
        <f>Source!AT86</f>
        <v>97</v>
      </c>
      <c r="K106" s="39">
        <f>SUM(R99:R105)</f>
        <v>24323.18</v>
      </c>
    </row>
    <row r="107" spans="1:29" ht="14.25" x14ac:dyDescent="0.2">
      <c r="A107" s="35"/>
      <c r="B107" s="35"/>
      <c r="C107" s="35" t="s">
        <v>508</v>
      </c>
      <c r="D107" s="37" t="s">
        <v>507</v>
      </c>
      <c r="E107" s="36">
        <f>Source!CA86</f>
        <v>51</v>
      </c>
      <c r="F107" s="39"/>
      <c r="G107" s="38"/>
      <c r="H107" s="36"/>
      <c r="I107" s="39">
        <f>SUM(S99:S106)</f>
        <v>232.56</v>
      </c>
      <c r="J107" s="36">
        <f>Source!AU86</f>
        <v>51</v>
      </c>
      <c r="K107" s="39">
        <f>SUM(T99:T106)</f>
        <v>12788.47</v>
      </c>
    </row>
    <row r="108" spans="1:29" ht="14.25" x14ac:dyDescent="0.2">
      <c r="A108" s="46"/>
      <c r="B108" s="46"/>
      <c r="C108" s="46" t="s">
        <v>509</v>
      </c>
      <c r="D108" s="47" t="s">
        <v>510</v>
      </c>
      <c r="E108" s="48">
        <f>Source!AQ85</f>
        <v>15</v>
      </c>
      <c r="F108" s="49"/>
      <c r="G108" s="50" t="str">
        <f>Source!DI85</f>
        <v>*1,1</v>
      </c>
      <c r="H108" s="48">
        <f>Source!AV86</f>
        <v>1.0469999999999999</v>
      </c>
      <c r="I108" s="49">
        <f>Source!U85</f>
        <v>34.550999999999995</v>
      </c>
      <c r="J108" s="48"/>
      <c r="K108" s="49"/>
    </row>
    <row r="109" spans="1:29" ht="15" x14ac:dyDescent="0.2">
      <c r="C109" s="51" t="s">
        <v>511</v>
      </c>
      <c r="H109" s="52">
        <f>I101+I102+I104+I106+I107+SUM(I105:I105)-SUMIF(AC105:AC105, 5, I105:I105)-SUMIF(AC105:AC105, 6, I105:I105)</f>
        <v>2525.8199999999997</v>
      </c>
      <c r="I109" s="52"/>
      <c r="J109" s="52">
        <f>K101+K102+K104+K106+K107+SUM(K105:K105)-SUMIF(AC105:AC105, 5, K105:K105)-SUMIF(AC105:AC105, 6, K105:K105)</f>
        <v>71797.98</v>
      </c>
      <c r="K109" s="52"/>
    </row>
    <row r="110" spans="1:29" ht="15" hidden="1" x14ac:dyDescent="0.2">
      <c r="C110" s="51" t="s">
        <v>512</v>
      </c>
      <c r="H110" s="54">
        <f>SUMIF(AC105:AC105, 5, I105:I105)+SUMIF(AC105:AC105, 6, I105:I105)</f>
        <v>0</v>
      </c>
      <c r="I110" s="54"/>
      <c r="J110" s="54">
        <f>SUMIF(AC105:AC105, 5, K105:K105)+SUMIF(AC105:AC105, 6, K105:K105)</f>
        <v>0</v>
      </c>
      <c r="K110" s="54"/>
    </row>
    <row r="111" spans="1:29" ht="15" x14ac:dyDescent="0.2">
      <c r="C111" s="51" t="s">
        <v>513</v>
      </c>
      <c r="H111" s="54">
        <f>I101+I102+I104+I106+I107+SUM(I105:I105)</f>
        <v>2525.8199999999997</v>
      </c>
      <c r="I111" s="54"/>
      <c r="J111" s="54">
        <f>K101+K102+K104+K106+K107+SUM(K105:K105)</f>
        <v>71797.98</v>
      </c>
      <c r="K111" s="54"/>
      <c r="O111" s="55">
        <f>I101+I102+I104+I106+I107+SUM(I105:I105)</f>
        <v>2525.8199999999997</v>
      </c>
      <c r="P111" s="55">
        <f>K101+K102+K104+K106+K107+SUM(K105:K105)</f>
        <v>71797.98</v>
      </c>
    </row>
    <row r="113" spans="1:29" ht="28.5" x14ac:dyDescent="0.2">
      <c r="A113" s="35">
        <v>7</v>
      </c>
      <c r="B113" s="35" t="str">
        <f>Source!F91</f>
        <v>4.8-174-1</v>
      </c>
      <c r="C113" s="35" t="s">
        <v>147</v>
      </c>
      <c r="D113" s="37" t="str">
        <f>Source!H91</f>
        <v>100 м</v>
      </c>
      <c r="E113" s="36">
        <f>Source!I91</f>
        <v>0.3</v>
      </c>
      <c r="F113" s="39"/>
      <c r="G113" s="38"/>
      <c r="H113" s="36"/>
      <c r="I113" s="39"/>
      <c r="J113" s="36"/>
      <c r="K113" s="39"/>
      <c r="Q113">
        <f>Source!X91</f>
        <v>124.31</v>
      </c>
      <c r="R113">
        <f>Source!X92</f>
        <v>6835.56</v>
      </c>
      <c r="S113">
        <f>Source!Y91</f>
        <v>65.36</v>
      </c>
      <c r="T113">
        <f>Source!Y92</f>
        <v>3593.95</v>
      </c>
      <c r="U113">
        <f>ROUND((175/100)*ROUND(Source!R91, 2), 2)</f>
        <v>1.52</v>
      </c>
      <c r="V113">
        <f>ROUND((0/100)*ROUND(Source!R92, 2), 2)</f>
        <v>0</v>
      </c>
      <c r="AC113">
        <v>0</v>
      </c>
    </row>
    <row r="114" spans="1:29" x14ac:dyDescent="0.2">
      <c r="C114" s="56" t="str">
        <f>"Объем: "&amp;Source!I91&amp;"=30/"&amp;"100"</f>
        <v>Объем: 0,3=30/100</v>
      </c>
    </row>
    <row r="115" spans="1:29" ht="14.25" x14ac:dyDescent="0.2">
      <c r="A115" s="35"/>
      <c r="B115" s="35"/>
      <c r="C115" s="35" t="s">
        <v>501</v>
      </c>
      <c r="D115" s="37"/>
      <c r="E115" s="36"/>
      <c r="F115" s="39">
        <f>Source!AO91</f>
        <v>368.37</v>
      </c>
      <c r="G115" s="38" t="str">
        <f>Source!DG91</f>
        <v>*1,1</v>
      </c>
      <c r="H115" s="36">
        <f>Source!AV92</f>
        <v>1.0469999999999999</v>
      </c>
      <c r="I115" s="39">
        <f>Source!S91</f>
        <v>127.28</v>
      </c>
      <c r="J115" s="36">
        <f>IF(Source!BA92&lt;&gt; 0, Source!BA92, 1)</f>
        <v>54.99</v>
      </c>
      <c r="K115" s="39">
        <f>Source!S92</f>
        <v>6999.13</v>
      </c>
    </row>
    <row r="116" spans="1:29" ht="14.25" x14ac:dyDescent="0.2">
      <c r="A116" s="35"/>
      <c r="B116" s="35"/>
      <c r="C116" s="35" t="s">
        <v>502</v>
      </c>
      <c r="D116" s="37"/>
      <c r="E116" s="36"/>
      <c r="F116" s="39">
        <f>Source!AM91</f>
        <v>129.06</v>
      </c>
      <c r="G116" s="38" t="str">
        <f>Source!DE91</f>
        <v>*1,1</v>
      </c>
      <c r="H116" s="36">
        <f>Source!AV92</f>
        <v>1.0469999999999999</v>
      </c>
      <c r="I116" s="39">
        <f>Source!Q91</f>
        <v>44.59</v>
      </c>
      <c r="J116" s="36">
        <f>IF(Source!BB92&lt;&gt; 0, Source!BB92, 1)</f>
        <v>12.08</v>
      </c>
      <c r="K116" s="39">
        <f>Source!Q92</f>
        <v>538.65</v>
      </c>
    </row>
    <row r="117" spans="1:29" ht="14.25" x14ac:dyDescent="0.2">
      <c r="A117" s="35"/>
      <c r="B117" s="35"/>
      <c r="C117" s="35" t="s">
        <v>503</v>
      </c>
      <c r="D117" s="37"/>
      <c r="E117" s="36"/>
      <c r="F117" s="39">
        <f>Source!AN91</f>
        <v>2.52</v>
      </c>
      <c r="G117" s="38" t="str">
        <f>Source!DF91</f>
        <v>*1,1</v>
      </c>
      <c r="H117" s="36">
        <f>Source!AV92</f>
        <v>1.0469999999999999</v>
      </c>
      <c r="I117" s="40">
        <f>Source!R91</f>
        <v>0.87</v>
      </c>
      <c r="J117" s="36">
        <f>IF(Source!BS92&lt;&gt; 0, Source!BS92, 1)</f>
        <v>54.99</v>
      </c>
      <c r="K117" s="40">
        <f>Source!R92</f>
        <v>47.84</v>
      </c>
    </row>
    <row r="118" spans="1:29" ht="14.25" x14ac:dyDescent="0.2">
      <c r="A118" s="35"/>
      <c r="B118" s="35"/>
      <c r="C118" s="35" t="s">
        <v>504</v>
      </c>
      <c r="D118" s="37"/>
      <c r="E118" s="36"/>
      <c r="F118" s="39">
        <f>Source!AL91</f>
        <v>1763.74</v>
      </c>
      <c r="G118" s="38" t="str">
        <f>Source!DD91</f>
        <v/>
      </c>
      <c r="H118" s="36">
        <f>Source!AW92</f>
        <v>1</v>
      </c>
      <c r="I118" s="39">
        <f>Source!P91</f>
        <v>529.12</v>
      </c>
      <c r="J118" s="36">
        <f>IF(Source!BC92&lt;&gt; 0, Source!BC92, 1)</f>
        <v>4.59</v>
      </c>
      <c r="K118" s="39">
        <f>Source!P92</f>
        <v>2428.66</v>
      </c>
    </row>
    <row r="119" spans="1:29" ht="99.75" x14ac:dyDescent="0.2">
      <c r="A119" s="35" t="s">
        <v>149</v>
      </c>
      <c r="B119" s="35" t="str">
        <f>Source!F93</f>
        <v>1.21-5-1413</v>
      </c>
      <c r="C119" s="35" t="s">
        <v>151</v>
      </c>
      <c r="D119" s="37" t="str">
        <f>Source!H93</f>
        <v>м</v>
      </c>
      <c r="E119" s="36">
        <f>Source!I93</f>
        <v>30.9</v>
      </c>
      <c r="F119" s="39">
        <f>Source!AK93</f>
        <v>32.32</v>
      </c>
      <c r="G119" s="57" t="s">
        <v>3</v>
      </c>
      <c r="H119" s="36">
        <f>Source!AW94</f>
        <v>1</v>
      </c>
      <c r="I119" s="39">
        <f>Source!O93</f>
        <v>998.69</v>
      </c>
      <c r="J119" s="36">
        <f>IF(Source!BC94&lt;&gt; 0, Source!BC94, 1)</f>
        <v>6.95</v>
      </c>
      <c r="K119" s="39">
        <f>Source!O94</f>
        <v>6940.9</v>
      </c>
      <c r="Q119">
        <f>Source!X93</f>
        <v>0</v>
      </c>
      <c r="R119">
        <f>Source!X94</f>
        <v>0</v>
      </c>
      <c r="S119">
        <f>Source!Y93</f>
        <v>0</v>
      </c>
      <c r="T119">
        <f>Source!Y94</f>
        <v>0</v>
      </c>
      <c r="U119">
        <f>ROUND((175/100)*ROUND(Source!R93, 2), 2)</f>
        <v>0</v>
      </c>
      <c r="V119">
        <f>ROUND((0/100)*ROUND(Source!R94, 2), 2)</f>
        <v>0</v>
      </c>
      <c r="AC119">
        <v>3</v>
      </c>
    </row>
    <row r="120" spans="1:29" ht="14.25" x14ac:dyDescent="0.2">
      <c r="A120" s="35"/>
      <c r="B120" s="35"/>
      <c r="C120" s="35" t="s">
        <v>506</v>
      </c>
      <c r="D120" s="37" t="s">
        <v>507</v>
      </c>
      <c r="E120" s="36">
        <f>Source!BZ92</f>
        <v>97</v>
      </c>
      <c r="F120" s="39"/>
      <c r="G120" s="38"/>
      <c r="H120" s="36"/>
      <c r="I120" s="39">
        <f>SUM(Q113:Q119)</f>
        <v>124.31</v>
      </c>
      <c r="J120" s="36">
        <f>Source!AT92</f>
        <v>97</v>
      </c>
      <c r="K120" s="39">
        <f>SUM(R113:R119)</f>
        <v>6835.56</v>
      </c>
    </row>
    <row r="121" spans="1:29" ht="14.25" x14ac:dyDescent="0.2">
      <c r="A121" s="35"/>
      <c r="B121" s="35"/>
      <c r="C121" s="35" t="s">
        <v>508</v>
      </c>
      <c r="D121" s="37" t="s">
        <v>507</v>
      </c>
      <c r="E121" s="36">
        <f>Source!CA92</f>
        <v>51</v>
      </c>
      <c r="F121" s="39"/>
      <c r="G121" s="38"/>
      <c r="H121" s="36"/>
      <c r="I121" s="39">
        <f>SUM(S113:S120)</f>
        <v>65.36</v>
      </c>
      <c r="J121" s="36">
        <f>Source!AU92</f>
        <v>51</v>
      </c>
      <c r="K121" s="39">
        <f>SUM(T113:T120)</f>
        <v>3593.95</v>
      </c>
    </row>
    <row r="122" spans="1:29" ht="14.25" x14ac:dyDescent="0.2">
      <c r="A122" s="46"/>
      <c r="B122" s="46"/>
      <c r="C122" s="46" t="s">
        <v>509</v>
      </c>
      <c r="D122" s="47" t="s">
        <v>510</v>
      </c>
      <c r="E122" s="48">
        <f>Source!AQ91</f>
        <v>29.9</v>
      </c>
      <c r="F122" s="49"/>
      <c r="G122" s="50" t="str">
        <f>Source!DI91</f>
        <v>*1,1</v>
      </c>
      <c r="H122" s="48">
        <f>Source!AV92</f>
        <v>1.0469999999999999</v>
      </c>
      <c r="I122" s="49">
        <f>Source!U91</f>
        <v>10.330748999999999</v>
      </c>
      <c r="J122" s="48"/>
      <c r="K122" s="49"/>
    </row>
    <row r="123" spans="1:29" ht="15" x14ac:dyDescent="0.2">
      <c r="C123" s="51" t="s">
        <v>511</v>
      </c>
      <c r="H123" s="52">
        <f>I115+I116+I118+I120+I121+SUM(I119:I119)-SUMIF(AC119:AC119, 5, I119:I119)-SUMIF(AC119:AC119, 6, I119:I119)</f>
        <v>1889.35</v>
      </c>
      <c r="I123" s="52"/>
      <c r="J123" s="52">
        <f>K115+K116+K118+K120+K121+SUM(K119:K119)-SUMIF(AC119:AC119, 5, K119:K119)-SUMIF(AC119:AC119, 6, K119:K119)</f>
        <v>27336.85</v>
      </c>
      <c r="K123" s="52"/>
    </row>
    <row r="124" spans="1:29" ht="15" hidden="1" x14ac:dyDescent="0.2">
      <c r="C124" s="51" t="s">
        <v>512</v>
      </c>
      <c r="H124" s="54">
        <f>SUMIF(AC119:AC119, 5, I119:I119)+SUMIF(AC119:AC119, 6, I119:I119)</f>
        <v>0</v>
      </c>
      <c r="I124" s="54"/>
      <c r="J124" s="54">
        <f>SUMIF(AC119:AC119, 5, K119:K119)+SUMIF(AC119:AC119, 6, K119:K119)</f>
        <v>0</v>
      </c>
      <c r="K124" s="54"/>
    </row>
    <row r="125" spans="1:29" ht="15" x14ac:dyDescent="0.2">
      <c r="C125" s="51" t="s">
        <v>513</v>
      </c>
      <c r="H125" s="54">
        <f>I115+I116+I118+I120+I121+SUM(I119:I119)</f>
        <v>1889.35</v>
      </c>
      <c r="I125" s="54"/>
      <c r="J125" s="54">
        <f>K115+K116+K118+K120+K121+SUM(K119:K119)</f>
        <v>27336.85</v>
      </c>
      <c r="K125" s="54"/>
      <c r="O125" s="55">
        <f>I115+I116+I118+I120+I121+SUM(I119:I119)</f>
        <v>1889.35</v>
      </c>
      <c r="P125" s="55">
        <f>K115+K116+K118+K120+K121+SUM(K119:K119)</f>
        <v>27336.85</v>
      </c>
    </row>
    <row r="127" spans="1:29" ht="71.25" x14ac:dyDescent="0.2">
      <c r="A127" s="35">
        <v>8</v>
      </c>
      <c r="B127" s="35" t="str">
        <f>Source!F95</f>
        <v>4.8-175-2</v>
      </c>
      <c r="C127" s="35" t="s">
        <v>155</v>
      </c>
      <c r="D127" s="37" t="str">
        <f>Source!H95</f>
        <v>100 м</v>
      </c>
      <c r="E127" s="36">
        <f>Source!I95</f>
        <v>2.2999999999999998</v>
      </c>
      <c r="F127" s="39"/>
      <c r="G127" s="38"/>
      <c r="H127" s="36"/>
      <c r="I127" s="39"/>
      <c r="J127" s="36"/>
      <c r="K127" s="39"/>
      <c r="Q127">
        <f>Source!X95</f>
        <v>171.86</v>
      </c>
      <c r="R127">
        <f>Source!X96</f>
        <v>9450.83</v>
      </c>
      <c r="S127">
        <f>Source!Y95</f>
        <v>90.36</v>
      </c>
      <c r="T127">
        <f>Source!Y96</f>
        <v>4968.99</v>
      </c>
      <c r="U127">
        <f>ROUND((175/100)*ROUND(Source!R95, 2), 2)</f>
        <v>2.73</v>
      </c>
      <c r="V127">
        <f>ROUND((0/100)*ROUND(Source!R96, 2), 2)</f>
        <v>0</v>
      </c>
      <c r="AC127">
        <v>0</v>
      </c>
    </row>
    <row r="128" spans="1:29" x14ac:dyDescent="0.2">
      <c r="C128" s="56" t="str">
        <f>"Объем: "&amp;Source!I95&amp;"=(200+"&amp;"30)/"&amp;"100"</f>
        <v>Объем: 2,3=(200+30)/100</v>
      </c>
    </row>
    <row r="129" spans="1:29" ht="14.25" x14ac:dyDescent="0.2">
      <c r="A129" s="35"/>
      <c r="B129" s="35"/>
      <c r="C129" s="35" t="s">
        <v>501</v>
      </c>
      <c r="D129" s="37"/>
      <c r="E129" s="36"/>
      <c r="F129" s="39">
        <f>Source!AO95</f>
        <v>66.3</v>
      </c>
      <c r="G129" s="38" t="str">
        <f>Source!DG95</f>
        <v>*1,1</v>
      </c>
      <c r="H129" s="36">
        <f>Source!AV96</f>
        <v>1.0469999999999999</v>
      </c>
      <c r="I129" s="39">
        <f>Source!S95</f>
        <v>175.62</v>
      </c>
      <c r="J129" s="36">
        <f>IF(Source!BA96&lt;&gt; 0, Source!BA96, 1)</f>
        <v>54.99</v>
      </c>
      <c r="K129" s="39">
        <f>Source!S96</f>
        <v>9657.34</v>
      </c>
    </row>
    <row r="130" spans="1:29" ht="14.25" x14ac:dyDescent="0.2">
      <c r="A130" s="35"/>
      <c r="B130" s="35"/>
      <c r="C130" s="35" t="s">
        <v>502</v>
      </c>
      <c r="D130" s="37"/>
      <c r="E130" s="36"/>
      <c r="F130" s="39">
        <f>Source!AM95</f>
        <v>5.25</v>
      </c>
      <c r="G130" s="38" t="str">
        <f>Source!DE95</f>
        <v>*1,1</v>
      </c>
      <c r="H130" s="36">
        <f>Source!AV96</f>
        <v>1.0469999999999999</v>
      </c>
      <c r="I130" s="39">
        <f>Source!Q95</f>
        <v>13.91</v>
      </c>
      <c r="J130" s="36">
        <f>IF(Source!BB96&lt;&gt; 0, Source!BB96, 1)</f>
        <v>14.54</v>
      </c>
      <c r="K130" s="39">
        <f>Source!Q96</f>
        <v>202.25</v>
      </c>
    </row>
    <row r="131" spans="1:29" ht="14.25" x14ac:dyDescent="0.2">
      <c r="A131" s="35"/>
      <c r="B131" s="35"/>
      <c r="C131" s="35" t="s">
        <v>503</v>
      </c>
      <c r="D131" s="37"/>
      <c r="E131" s="36"/>
      <c r="F131" s="39">
        <f>Source!AN95</f>
        <v>0.59</v>
      </c>
      <c r="G131" s="38" t="str">
        <f>Source!DF95</f>
        <v>*1,1</v>
      </c>
      <c r="H131" s="36">
        <f>Source!AV96</f>
        <v>1.0469999999999999</v>
      </c>
      <c r="I131" s="40">
        <f>Source!R95</f>
        <v>1.56</v>
      </c>
      <c r="J131" s="36">
        <f>IF(Source!BS96&lt;&gt; 0, Source!BS96, 1)</f>
        <v>54.99</v>
      </c>
      <c r="K131" s="40">
        <f>Source!R96</f>
        <v>85.78</v>
      </c>
    </row>
    <row r="132" spans="1:29" ht="14.25" x14ac:dyDescent="0.2">
      <c r="A132" s="35"/>
      <c r="B132" s="35"/>
      <c r="C132" s="35" t="s">
        <v>504</v>
      </c>
      <c r="D132" s="37"/>
      <c r="E132" s="36"/>
      <c r="F132" s="39">
        <f>Source!AL95</f>
        <v>61.98</v>
      </c>
      <c r="G132" s="38" t="str">
        <f>Source!DD95</f>
        <v/>
      </c>
      <c r="H132" s="36">
        <f>Source!AW96</f>
        <v>1</v>
      </c>
      <c r="I132" s="39">
        <f>Source!P95</f>
        <v>142.55000000000001</v>
      </c>
      <c r="J132" s="36">
        <f>IF(Source!BC96&lt;&gt; 0, Source!BC96, 1)</f>
        <v>4.53</v>
      </c>
      <c r="K132" s="39">
        <f>Source!P96</f>
        <v>645.75</v>
      </c>
    </row>
    <row r="133" spans="1:29" ht="14.25" x14ac:dyDescent="0.2">
      <c r="A133" s="35"/>
      <c r="B133" s="35"/>
      <c r="C133" s="35" t="s">
        <v>506</v>
      </c>
      <c r="D133" s="37" t="s">
        <v>507</v>
      </c>
      <c r="E133" s="36">
        <f>Source!BZ96</f>
        <v>97</v>
      </c>
      <c r="F133" s="39"/>
      <c r="G133" s="38"/>
      <c r="H133" s="36"/>
      <c r="I133" s="39">
        <f>SUM(Q127:Q132)</f>
        <v>171.86</v>
      </c>
      <c r="J133" s="36">
        <f>Source!AT96</f>
        <v>97</v>
      </c>
      <c r="K133" s="39">
        <f>SUM(R127:R132)</f>
        <v>9450.83</v>
      </c>
    </row>
    <row r="134" spans="1:29" ht="14.25" x14ac:dyDescent="0.2">
      <c r="A134" s="35"/>
      <c r="B134" s="35"/>
      <c r="C134" s="35" t="s">
        <v>508</v>
      </c>
      <c r="D134" s="37" t="s">
        <v>507</v>
      </c>
      <c r="E134" s="36">
        <f>Source!CA96</f>
        <v>51</v>
      </c>
      <c r="F134" s="39"/>
      <c r="G134" s="38"/>
      <c r="H134" s="36"/>
      <c r="I134" s="39">
        <f>SUM(S127:S133)</f>
        <v>90.36</v>
      </c>
      <c r="J134" s="36">
        <f>Source!AU96</f>
        <v>51</v>
      </c>
      <c r="K134" s="39">
        <f>SUM(T127:T133)</f>
        <v>4968.99</v>
      </c>
    </row>
    <row r="135" spans="1:29" ht="14.25" x14ac:dyDescent="0.2">
      <c r="A135" s="46"/>
      <c r="B135" s="46"/>
      <c r="C135" s="46" t="s">
        <v>509</v>
      </c>
      <c r="D135" s="47" t="s">
        <v>510</v>
      </c>
      <c r="E135" s="48">
        <f>Source!AQ95</f>
        <v>5.39</v>
      </c>
      <c r="F135" s="49"/>
      <c r="G135" s="50" t="str">
        <f>Source!DI95</f>
        <v>*1,1</v>
      </c>
      <c r="H135" s="48">
        <f>Source!AV96</f>
        <v>1.0469999999999999</v>
      </c>
      <c r="I135" s="49">
        <f>Source!U95</f>
        <v>14.277624899999999</v>
      </c>
      <c r="J135" s="48"/>
      <c r="K135" s="49"/>
    </row>
    <row r="136" spans="1:29" ht="15" x14ac:dyDescent="0.2">
      <c r="C136" s="51" t="s">
        <v>511</v>
      </c>
      <c r="H136" s="52">
        <f>I129+I130+I132+I133+I134+0-0-0</f>
        <v>594.30000000000007</v>
      </c>
      <c r="I136" s="52"/>
      <c r="J136" s="52">
        <f>K129+K130+K132+K133+K134+0-0-0</f>
        <v>24925.159999999996</v>
      </c>
      <c r="K136" s="52"/>
    </row>
    <row r="137" spans="1:29" ht="15" hidden="1" x14ac:dyDescent="0.2">
      <c r="C137" s="51" t="s">
        <v>512</v>
      </c>
      <c r="H137" s="54">
        <f>0+0</f>
        <v>0</v>
      </c>
      <c r="I137" s="54"/>
      <c r="J137" s="54">
        <f>0+0</f>
        <v>0</v>
      </c>
      <c r="K137" s="54"/>
    </row>
    <row r="138" spans="1:29" ht="15" x14ac:dyDescent="0.2">
      <c r="C138" s="51" t="s">
        <v>513</v>
      </c>
      <c r="H138" s="54">
        <f>I129+I130+I132+I133+I134+0</f>
        <v>594.30000000000007</v>
      </c>
      <c r="I138" s="54"/>
      <c r="J138" s="54">
        <f>K129+K130+K132+K133+K134+0</f>
        <v>24925.159999999996</v>
      </c>
      <c r="K138" s="54"/>
      <c r="O138" s="55">
        <f>I129+I130+I132+I133+I134+0</f>
        <v>594.30000000000007</v>
      </c>
      <c r="P138" s="55">
        <f>K129+K130+K132+K133+K134+0</f>
        <v>24925.159999999996</v>
      </c>
    </row>
    <row r="140" spans="1:29" ht="99.75" x14ac:dyDescent="0.2">
      <c r="A140" s="35">
        <v>9</v>
      </c>
      <c r="B140" s="35" t="str">
        <f>Source!F97</f>
        <v>4.8-175-9</v>
      </c>
      <c r="C140" s="35" t="s">
        <v>159</v>
      </c>
      <c r="D140" s="37" t="str">
        <f>Source!H97</f>
        <v>100 м</v>
      </c>
      <c r="E140" s="36">
        <f>Source!I97</f>
        <v>4.2</v>
      </c>
      <c r="F140" s="39"/>
      <c r="G140" s="38"/>
      <c r="H140" s="36"/>
      <c r="I140" s="39"/>
      <c r="J140" s="36"/>
      <c r="K140" s="39"/>
      <c r="Q140">
        <f>Source!X97</f>
        <v>107.02</v>
      </c>
      <c r="R140">
        <f>Source!X98</f>
        <v>5885.04</v>
      </c>
      <c r="S140">
        <f>Source!Y97</f>
        <v>56.27</v>
      </c>
      <c r="T140">
        <f>Source!Y98</f>
        <v>3094.2</v>
      </c>
      <c r="U140">
        <f>ROUND((175/100)*ROUND(Source!R97, 2), 2)</f>
        <v>2.54</v>
      </c>
      <c r="V140">
        <f>ROUND((0/100)*ROUND(Source!R98, 2), 2)</f>
        <v>0</v>
      </c>
      <c r="AC140">
        <v>0</v>
      </c>
    </row>
    <row r="141" spans="1:29" ht="25.5" x14ac:dyDescent="0.2">
      <c r="C141" s="56" t="str">
        <f>"Объем: "&amp;Source!I97&amp;"=(150+"&amp;"350+"&amp;"10+"&amp;"40+"&amp;"20+"&amp;"50+"&amp;"20+"&amp;"10-"&amp;"230)/"&amp;"100"</f>
        <v>Объем: 4,2=(150+350+10+40+20+50+20+10-230)/100</v>
      </c>
    </row>
    <row r="142" spans="1:29" ht="14.25" x14ac:dyDescent="0.2">
      <c r="A142" s="35"/>
      <c r="B142" s="35"/>
      <c r="C142" s="35" t="s">
        <v>501</v>
      </c>
      <c r="D142" s="37"/>
      <c r="E142" s="36"/>
      <c r="F142" s="39">
        <f>Source!AO97</f>
        <v>22.51</v>
      </c>
      <c r="G142" s="38" t="str">
        <f>Source!DG97</f>
        <v>*1,1</v>
      </c>
      <c r="H142" s="36">
        <f>Source!AV98</f>
        <v>1.0469999999999999</v>
      </c>
      <c r="I142" s="39">
        <f>Source!S97</f>
        <v>108.88</v>
      </c>
      <c r="J142" s="36">
        <f>IF(Source!BA98&lt;&gt; 0, Source!BA98, 1)</f>
        <v>54.99</v>
      </c>
      <c r="K142" s="39">
        <f>Source!S98</f>
        <v>5987.31</v>
      </c>
    </row>
    <row r="143" spans="1:29" ht="14.25" x14ac:dyDescent="0.2">
      <c r="A143" s="35"/>
      <c r="B143" s="35"/>
      <c r="C143" s="35" t="s">
        <v>502</v>
      </c>
      <c r="D143" s="37"/>
      <c r="E143" s="36"/>
      <c r="F143" s="39">
        <f>Source!AM97</f>
        <v>2.62</v>
      </c>
      <c r="G143" s="38" t="str">
        <f>Source!DE97</f>
        <v>*1,1</v>
      </c>
      <c r="H143" s="36">
        <f>Source!AV98</f>
        <v>1.0469999999999999</v>
      </c>
      <c r="I143" s="39">
        <f>Source!Q97</f>
        <v>12.67</v>
      </c>
      <c r="J143" s="36">
        <f>IF(Source!BB98&lt;&gt; 0, Source!BB98, 1)</f>
        <v>14.57</v>
      </c>
      <c r="K143" s="39">
        <f>Source!Q98</f>
        <v>184.6</v>
      </c>
    </row>
    <row r="144" spans="1:29" ht="14.25" x14ac:dyDescent="0.2">
      <c r="A144" s="35"/>
      <c r="B144" s="35"/>
      <c r="C144" s="35" t="s">
        <v>503</v>
      </c>
      <c r="D144" s="37"/>
      <c r="E144" s="36"/>
      <c r="F144" s="39">
        <f>Source!AN97</f>
        <v>0.3</v>
      </c>
      <c r="G144" s="38" t="str">
        <f>Source!DF97</f>
        <v>*1,1</v>
      </c>
      <c r="H144" s="36">
        <f>Source!AV98</f>
        <v>1.0469999999999999</v>
      </c>
      <c r="I144" s="40">
        <f>Source!R97</f>
        <v>1.45</v>
      </c>
      <c r="J144" s="36">
        <f>IF(Source!BS98&lt;&gt; 0, Source!BS98, 1)</f>
        <v>54.99</v>
      </c>
      <c r="K144" s="40">
        <f>Source!R98</f>
        <v>79.739999999999995</v>
      </c>
    </row>
    <row r="145" spans="1:29" ht="14.25" x14ac:dyDescent="0.2">
      <c r="A145" s="35"/>
      <c r="B145" s="35"/>
      <c r="C145" s="35" t="s">
        <v>504</v>
      </c>
      <c r="D145" s="37"/>
      <c r="E145" s="36"/>
      <c r="F145" s="39">
        <f>Source!AL97</f>
        <v>55.47</v>
      </c>
      <c r="G145" s="38" t="str">
        <f>Source!DD97</f>
        <v/>
      </c>
      <c r="H145" s="36">
        <f>Source!AW98</f>
        <v>1</v>
      </c>
      <c r="I145" s="39">
        <f>Source!P97</f>
        <v>232.97</v>
      </c>
      <c r="J145" s="36">
        <f>IF(Source!BC98&lt;&gt; 0, Source!BC98, 1)</f>
        <v>3.09</v>
      </c>
      <c r="K145" s="39">
        <f>Source!P98</f>
        <v>719.88</v>
      </c>
    </row>
    <row r="146" spans="1:29" ht="14.25" x14ac:dyDescent="0.2">
      <c r="A146" s="35"/>
      <c r="B146" s="35"/>
      <c r="C146" s="35" t="s">
        <v>506</v>
      </c>
      <c r="D146" s="37" t="s">
        <v>507</v>
      </c>
      <c r="E146" s="36">
        <f>Source!BZ98</f>
        <v>97</v>
      </c>
      <c r="F146" s="39"/>
      <c r="G146" s="38"/>
      <c r="H146" s="36"/>
      <c r="I146" s="39">
        <f>SUM(Q140:Q145)</f>
        <v>107.02</v>
      </c>
      <c r="J146" s="36">
        <f>Source!AT98</f>
        <v>97</v>
      </c>
      <c r="K146" s="39">
        <f>SUM(R140:R145)</f>
        <v>5885.04</v>
      </c>
    </row>
    <row r="147" spans="1:29" ht="14.25" x14ac:dyDescent="0.2">
      <c r="A147" s="35"/>
      <c r="B147" s="35"/>
      <c r="C147" s="35" t="s">
        <v>508</v>
      </c>
      <c r="D147" s="37" t="s">
        <v>507</v>
      </c>
      <c r="E147" s="36">
        <f>Source!CA98</f>
        <v>51</v>
      </c>
      <c r="F147" s="39"/>
      <c r="G147" s="38"/>
      <c r="H147" s="36"/>
      <c r="I147" s="39">
        <f>SUM(S140:S146)</f>
        <v>56.27</v>
      </c>
      <c r="J147" s="36">
        <f>Source!AU98</f>
        <v>51</v>
      </c>
      <c r="K147" s="39">
        <f>SUM(T140:T146)</f>
        <v>3094.2</v>
      </c>
    </row>
    <row r="148" spans="1:29" ht="14.25" x14ac:dyDescent="0.2">
      <c r="A148" s="46"/>
      <c r="B148" s="46"/>
      <c r="C148" s="46" t="s">
        <v>509</v>
      </c>
      <c r="D148" s="47" t="s">
        <v>510</v>
      </c>
      <c r="E148" s="48">
        <f>Source!AQ97</f>
        <v>1.83</v>
      </c>
      <c r="F148" s="49"/>
      <c r="G148" s="50" t="str">
        <f>Source!DI97</f>
        <v>*1,1</v>
      </c>
      <c r="H148" s="48">
        <f>Source!AV98</f>
        <v>1.0469999999999999</v>
      </c>
      <c r="I148" s="49">
        <f>Source!U97</f>
        <v>8.8519662000000015</v>
      </c>
      <c r="J148" s="48"/>
      <c r="K148" s="49"/>
    </row>
    <row r="149" spans="1:29" ht="15" x14ac:dyDescent="0.2">
      <c r="C149" s="51" t="s">
        <v>511</v>
      </c>
      <c r="H149" s="52">
        <f>I142+I143+I145+I146+I147+0-0-0</f>
        <v>517.80999999999995</v>
      </c>
      <c r="I149" s="52"/>
      <c r="J149" s="52">
        <f>K142+K143+K145+K146+K147+0-0-0</f>
        <v>15871.030000000002</v>
      </c>
      <c r="K149" s="52"/>
    </row>
    <row r="150" spans="1:29" ht="15" hidden="1" x14ac:dyDescent="0.2">
      <c r="C150" s="51" t="s">
        <v>512</v>
      </c>
      <c r="H150" s="54">
        <f>0+0</f>
        <v>0</v>
      </c>
      <c r="I150" s="54"/>
      <c r="J150" s="54">
        <f>0+0</f>
        <v>0</v>
      </c>
      <c r="K150" s="54"/>
    </row>
    <row r="151" spans="1:29" ht="15" x14ac:dyDescent="0.2">
      <c r="C151" s="51" t="s">
        <v>513</v>
      </c>
      <c r="H151" s="54">
        <f>I142+I143+I145+I146+I147+0</f>
        <v>517.80999999999995</v>
      </c>
      <c r="I151" s="54"/>
      <c r="J151" s="54">
        <f>K142+K143+K145+K146+K147+0</f>
        <v>15871.030000000002</v>
      </c>
      <c r="K151" s="54"/>
      <c r="O151" s="55">
        <f>I142+I143+I145+I146+I147+0</f>
        <v>517.80999999999995</v>
      </c>
      <c r="P151" s="55">
        <f>K142+K143+K145+K146+K147+0</f>
        <v>15871.030000000002</v>
      </c>
    </row>
    <row r="153" spans="1:29" ht="54" x14ac:dyDescent="0.2">
      <c r="A153" s="35">
        <v>10</v>
      </c>
      <c r="B153" s="35" t="str">
        <f>Source!F99</f>
        <v>КА-5</v>
      </c>
      <c r="C153" s="35" t="s">
        <v>519</v>
      </c>
      <c r="D153" s="37" t="str">
        <f>Source!H99</f>
        <v>км</v>
      </c>
      <c r="E153" s="36">
        <f>Source!I99</f>
        <v>0.153</v>
      </c>
      <c r="F153" s="39">
        <f>Source!AL99</f>
        <v>4387.6499999999996</v>
      </c>
      <c r="G153" s="38" t="str">
        <f>Source!DD99</f>
        <v/>
      </c>
      <c r="H153" s="36">
        <f>Source!AW100</f>
        <v>1</v>
      </c>
      <c r="I153" s="39">
        <f>Source!P99</f>
        <v>671.31</v>
      </c>
      <c r="J153" s="36">
        <f>IF(Source!BC100&lt;&gt; 0, Source!BC100, 1)</f>
        <v>9.8800000000000008</v>
      </c>
      <c r="K153" s="39">
        <f>Source!P100</f>
        <v>6632.54</v>
      </c>
      <c r="Q153">
        <f>Source!X99</f>
        <v>0</v>
      </c>
      <c r="R153">
        <f>Source!X100</f>
        <v>0</v>
      </c>
      <c r="S153">
        <f>Source!Y99</f>
        <v>0</v>
      </c>
      <c r="T153">
        <f>Source!Y100</f>
        <v>0</v>
      </c>
      <c r="U153">
        <f>ROUND((175/100)*ROUND(Source!R99, 2), 2)</f>
        <v>0</v>
      </c>
      <c r="V153">
        <f>ROUND((0/100)*ROUND(Source!R100, 2), 2)</f>
        <v>0</v>
      </c>
      <c r="AC153">
        <v>3</v>
      </c>
    </row>
    <row r="154" spans="1:29" x14ac:dyDescent="0.2">
      <c r="A154" s="59"/>
      <c r="B154" s="59"/>
      <c r="C154" s="60" t="str">
        <f>"Объем: "&amp;Source!I99&amp;"=(150*"&amp;"1,02)/"&amp;"1000"</f>
        <v>Объем: 0,153=(150*1,02)/1000</v>
      </c>
      <c r="D154" s="59"/>
      <c r="E154" s="59"/>
      <c r="F154" s="59"/>
      <c r="G154" s="59"/>
      <c r="H154" s="59"/>
      <c r="I154" s="59"/>
      <c r="J154" s="59"/>
      <c r="K154" s="59"/>
    </row>
    <row r="155" spans="1:29" ht="15" x14ac:dyDescent="0.2">
      <c r="C155" s="51" t="s">
        <v>513</v>
      </c>
      <c r="H155" s="52">
        <f>I153+0</f>
        <v>671.31</v>
      </c>
      <c r="I155" s="52"/>
      <c r="J155" s="52">
        <f>K153+0</f>
        <v>6632.54</v>
      </c>
      <c r="K155" s="52"/>
      <c r="O155" s="55">
        <f>I153+0</f>
        <v>671.31</v>
      </c>
      <c r="P155" s="55">
        <f>K153+0</f>
        <v>6632.54</v>
      </c>
    </row>
    <row r="157" spans="1:29" ht="54" x14ac:dyDescent="0.2">
      <c r="A157" s="35">
        <v>11</v>
      </c>
      <c r="B157" s="35" t="str">
        <f>Source!F101</f>
        <v>КА-6</v>
      </c>
      <c r="C157" s="35" t="s">
        <v>520</v>
      </c>
      <c r="D157" s="37" t="str">
        <f>Source!H101</f>
        <v>км</v>
      </c>
      <c r="E157" s="36">
        <f>Source!I101</f>
        <v>0.35699999999999998</v>
      </c>
      <c r="F157" s="39">
        <f>Source!AL101</f>
        <v>1708.6</v>
      </c>
      <c r="G157" s="38" t="str">
        <f>Source!DD101</f>
        <v/>
      </c>
      <c r="H157" s="36">
        <f>Source!AW102</f>
        <v>1</v>
      </c>
      <c r="I157" s="39">
        <f>Source!P101</f>
        <v>609.97</v>
      </c>
      <c r="J157" s="36">
        <f>IF(Source!BC102&lt;&gt; 0, Source!BC102, 1)</f>
        <v>9.8800000000000008</v>
      </c>
      <c r="K157" s="39">
        <f>Source!P102</f>
        <v>6026.5</v>
      </c>
      <c r="Q157">
        <f>Source!X101</f>
        <v>0</v>
      </c>
      <c r="R157">
        <f>Source!X102</f>
        <v>0</v>
      </c>
      <c r="S157">
        <f>Source!Y101</f>
        <v>0</v>
      </c>
      <c r="T157">
        <f>Source!Y102</f>
        <v>0</v>
      </c>
      <c r="U157">
        <f>ROUND((175/100)*ROUND(Source!R101, 2), 2)</f>
        <v>0</v>
      </c>
      <c r="V157">
        <f>ROUND((0/100)*ROUND(Source!R102, 2), 2)</f>
        <v>0</v>
      </c>
      <c r="AC157">
        <v>3</v>
      </c>
    </row>
    <row r="158" spans="1:29" x14ac:dyDescent="0.2">
      <c r="A158" s="59"/>
      <c r="B158" s="59"/>
      <c r="C158" s="60" t="str">
        <f>"Объем: "&amp;Source!I101&amp;"=(350*"&amp;"1,02)/"&amp;"1000"</f>
        <v>Объем: 0,357=(350*1,02)/1000</v>
      </c>
      <c r="D158" s="59"/>
      <c r="E158" s="59"/>
      <c r="F158" s="59"/>
      <c r="G158" s="59"/>
      <c r="H158" s="59"/>
      <c r="I158" s="59"/>
      <c r="J158" s="59"/>
      <c r="K158" s="59"/>
    </row>
    <row r="159" spans="1:29" ht="15" x14ac:dyDescent="0.2">
      <c r="C159" s="51" t="s">
        <v>513</v>
      </c>
      <c r="H159" s="52">
        <f>I157+0</f>
        <v>609.97</v>
      </c>
      <c r="I159" s="52"/>
      <c r="J159" s="52">
        <f>K157+0</f>
        <v>6026.5</v>
      </c>
      <c r="K159" s="52"/>
      <c r="O159" s="55">
        <f>I157+0</f>
        <v>609.97</v>
      </c>
      <c r="P159" s="55">
        <f>K157+0</f>
        <v>6026.5</v>
      </c>
    </row>
    <row r="161" spans="1:29" ht="68.25" x14ac:dyDescent="0.2">
      <c r="A161" s="35">
        <v>12</v>
      </c>
      <c r="B161" s="35" t="str">
        <f>Source!F103</f>
        <v>КА-7</v>
      </c>
      <c r="C161" s="35" t="s">
        <v>521</v>
      </c>
      <c r="D161" s="37" t="str">
        <f>Source!H103</f>
        <v>км</v>
      </c>
      <c r="E161" s="36">
        <f>Source!I103</f>
        <v>1.0200000000000001E-2</v>
      </c>
      <c r="F161" s="39">
        <f>Source!AL103</f>
        <v>11610.07</v>
      </c>
      <c r="G161" s="38" t="str">
        <f>Source!DD103</f>
        <v/>
      </c>
      <c r="H161" s="36">
        <f>Source!AW104</f>
        <v>1</v>
      </c>
      <c r="I161" s="39">
        <f>Source!P103</f>
        <v>118.42</v>
      </c>
      <c r="J161" s="36">
        <f>IF(Source!BC104&lt;&gt; 0, Source!BC104, 1)</f>
        <v>9.8800000000000008</v>
      </c>
      <c r="K161" s="39">
        <f>Source!P104</f>
        <v>1169.99</v>
      </c>
      <c r="Q161">
        <f>Source!X103</f>
        <v>0</v>
      </c>
      <c r="R161">
        <f>Source!X104</f>
        <v>0</v>
      </c>
      <c r="S161">
        <f>Source!Y103</f>
        <v>0</v>
      </c>
      <c r="T161">
        <f>Source!Y104</f>
        <v>0</v>
      </c>
      <c r="U161">
        <f>ROUND((175/100)*ROUND(Source!R103, 2), 2)</f>
        <v>0</v>
      </c>
      <c r="V161">
        <f>ROUND((0/100)*ROUND(Source!R104, 2), 2)</f>
        <v>0</v>
      </c>
      <c r="AC161">
        <v>3</v>
      </c>
    </row>
    <row r="162" spans="1:29" x14ac:dyDescent="0.2">
      <c r="A162" s="59"/>
      <c r="B162" s="59"/>
      <c r="C162" s="60" t="str">
        <f>"Объем: "&amp;Source!I103&amp;"=(10*"&amp;"1,02)/"&amp;"1000"</f>
        <v>Объем: 0,0102=(10*1,02)/1000</v>
      </c>
      <c r="D162" s="59"/>
      <c r="E162" s="59"/>
      <c r="F162" s="59"/>
      <c r="G162" s="59"/>
      <c r="H162" s="59"/>
      <c r="I162" s="59"/>
      <c r="J162" s="59"/>
      <c r="K162" s="59"/>
    </row>
    <row r="163" spans="1:29" ht="15" x14ac:dyDescent="0.2">
      <c r="C163" s="51" t="s">
        <v>513</v>
      </c>
      <c r="H163" s="52">
        <f>I161+0</f>
        <v>118.42</v>
      </c>
      <c r="I163" s="52"/>
      <c r="J163" s="52">
        <f>K161+0</f>
        <v>1169.99</v>
      </c>
      <c r="K163" s="52"/>
      <c r="O163" s="55">
        <f>I161+0</f>
        <v>118.42</v>
      </c>
      <c r="P163" s="55">
        <f>K161+0</f>
        <v>1169.99</v>
      </c>
    </row>
    <row r="165" spans="1:29" ht="54" x14ac:dyDescent="0.2">
      <c r="A165" s="35">
        <v>13</v>
      </c>
      <c r="B165" s="35" t="str">
        <f>Source!F105</f>
        <v>КА-8</v>
      </c>
      <c r="C165" s="35" t="s">
        <v>522</v>
      </c>
      <c r="D165" s="37" t="str">
        <f>Source!H105</f>
        <v>км</v>
      </c>
      <c r="E165" s="36">
        <f>Source!I105</f>
        <v>4.0800000000000003E-2</v>
      </c>
      <c r="F165" s="39">
        <f>Source!AL105</f>
        <v>7304.1500000000005</v>
      </c>
      <c r="G165" s="38" t="str">
        <f>Source!DD105</f>
        <v/>
      </c>
      <c r="H165" s="36">
        <f>Source!AW106</f>
        <v>1</v>
      </c>
      <c r="I165" s="39">
        <f>Source!P105</f>
        <v>298.01</v>
      </c>
      <c r="J165" s="36">
        <f>IF(Source!BC106&lt;&gt; 0, Source!BC106, 1)</f>
        <v>9.8800000000000008</v>
      </c>
      <c r="K165" s="39">
        <f>Source!P106</f>
        <v>2944.34</v>
      </c>
      <c r="Q165">
        <f>Source!X105</f>
        <v>0</v>
      </c>
      <c r="R165">
        <f>Source!X106</f>
        <v>0</v>
      </c>
      <c r="S165">
        <f>Source!Y105</f>
        <v>0</v>
      </c>
      <c r="T165">
        <f>Source!Y106</f>
        <v>0</v>
      </c>
      <c r="U165">
        <f>ROUND((175/100)*ROUND(Source!R105, 2), 2)</f>
        <v>0</v>
      </c>
      <c r="V165">
        <f>ROUND((0/100)*ROUND(Source!R106, 2), 2)</f>
        <v>0</v>
      </c>
      <c r="AC165">
        <v>3</v>
      </c>
    </row>
    <row r="166" spans="1:29" x14ac:dyDescent="0.2">
      <c r="A166" s="59"/>
      <c r="B166" s="59"/>
      <c r="C166" s="60" t="str">
        <f>"Объем: "&amp;Source!I105&amp;"=(40*"&amp;"1,02)/"&amp;"1000"</f>
        <v>Объем: 0,0408=(40*1,02)/1000</v>
      </c>
      <c r="D166" s="59"/>
      <c r="E166" s="59"/>
      <c r="F166" s="59"/>
      <c r="G166" s="59"/>
      <c r="H166" s="59"/>
      <c r="I166" s="59"/>
      <c r="J166" s="59"/>
      <c r="K166" s="59"/>
    </row>
    <row r="167" spans="1:29" ht="15" x14ac:dyDescent="0.2">
      <c r="C167" s="51" t="s">
        <v>513</v>
      </c>
      <c r="H167" s="52">
        <f>I165+0</f>
        <v>298.01</v>
      </c>
      <c r="I167" s="52"/>
      <c r="J167" s="52">
        <f>K165+0</f>
        <v>2944.34</v>
      </c>
      <c r="K167" s="52"/>
      <c r="O167" s="55">
        <f>I165+0</f>
        <v>298.01</v>
      </c>
      <c r="P167" s="55">
        <f>K165+0</f>
        <v>2944.34</v>
      </c>
    </row>
    <row r="169" spans="1:29" ht="54" x14ac:dyDescent="0.2">
      <c r="A169" s="35">
        <v>14</v>
      </c>
      <c r="B169" s="35" t="str">
        <f>Source!F107</f>
        <v>КА-9</v>
      </c>
      <c r="C169" s="35" t="s">
        <v>523</v>
      </c>
      <c r="D169" s="37" t="str">
        <f>Source!H107</f>
        <v>км</v>
      </c>
      <c r="E169" s="36">
        <f>Source!I107</f>
        <v>2.0400000000000001E-2</v>
      </c>
      <c r="F169" s="39">
        <f>Source!AL107</f>
        <v>4890.26</v>
      </c>
      <c r="G169" s="38" t="str">
        <f>Source!DD107</f>
        <v/>
      </c>
      <c r="H169" s="36">
        <f>Source!AW108</f>
        <v>1</v>
      </c>
      <c r="I169" s="39">
        <f>Source!P107</f>
        <v>99.76</v>
      </c>
      <c r="J169" s="36">
        <f>IF(Source!BC108&lt;&gt; 0, Source!BC108, 1)</f>
        <v>9.8800000000000008</v>
      </c>
      <c r="K169" s="39">
        <f>Source!P108</f>
        <v>985.63</v>
      </c>
      <c r="Q169">
        <f>Source!X107</f>
        <v>0</v>
      </c>
      <c r="R169">
        <f>Source!X108</f>
        <v>0</v>
      </c>
      <c r="S169">
        <f>Source!Y107</f>
        <v>0</v>
      </c>
      <c r="T169">
        <f>Source!Y108</f>
        <v>0</v>
      </c>
      <c r="U169">
        <f>ROUND((175/100)*ROUND(Source!R107, 2), 2)</f>
        <v>0</v>
      </c>
      <c r="V169">
        <f>ROUND((0/100)*ROUND(Source!R108, 2), 2)</f>
        <v>0</v>
      </c>
      <c r="AC169">
        <v>3</v>
      </c>
    </row>
    <row r="170" spans="1:29" x14ac:dyDescent="0.2">
      <c r="A170" s="59"/>
      <c r="B170" s="59"/>
      <c r="C170" s="60" t="str">
        <f>"Объем: "&amp;Source!I107&amp;"=(20*"&amp;"1,02)/"&amp;"1000"</f>
        <v>Объем: 0,0204=(20*1,02)/1000</v>
      </c>
      <c r="D170" s="59"/>
      <c r="E170" s="59"/>
      <c r="F170" s="59"/>
      <c r="G170" s="59"/>
      <c r="H170" s="59"/>
      <c r="I170" s="59"/>
      <c r="J170" s="59"/>
      <c r="K170" s="59"/>
    </row>
    <row r="171" spans="1:29" ht="15" x14ac:dyDescent="0.2">
      <c r="C171" s="51" t="s">
        <v>513</v>
      </c>
      <c r="H171" s="52">
        <f>I169+0</f>
        <v>99.76</v>
      </c>
      <c r="I171" s="52"/>
      <c r="J171" s="52">
        <f>K169+0</f>
        <v>985.63</v>
      </c>
      <c r="K171" s="52"/>
      <c r="O171" s="55">
        <f>I169+0</f>
        <v>99.76</v>
      </c>
      <c r="P171" s="55">
        <f>K169+0</f>
        <v>985.63</v>
      </c>
    </row>
    <row r="173" spans="1:29" ht="54" x14ac:dyDescent="0.2">
      <c r="A173" s="35">
        <v>15</v>
      </c>
      <c r="B173" s="35" t="str">
        <f>Source!F109</f>
        <v>КА-10</v>
      </c>
      <c r="C173" s="35" t="s">
        <v>524</v>
      </c>
      <c r="D173" s="37" t="str">
        <f>Source!H109</f>
        <v>км</v>
      </c>
      <c r="E173" s="36">
        <f>Source!I109</f>
        <v>5.0999999999999997E-2</v>
      </c>
      <c r="F173" s="39">
        <f>Source!AL109</f>
        <v>28826.350000000002</v>
      </c>
      <c r="G173" s="38" t="str">
        <f>Source!DD109</f>
        <v/>
      </c>
      <c r="H173" s="36">
        <f>Source!AW110</f>
        <v>1</v>
      </c>
      <c r="I173" s="39">
        <f>Source!P109</f>
        <v>1470.14</v>
      </c>
      <c r="J173" s="36">
        <f>IF(Source!BC110&lt;&gt; 0, Source!BC110, 1)</f>
        <v>9.8800000000000008</v>
      </c>
      <c r="K173" s="39">
        <f>Source!P110</f>
        <v>14524.98</v>
      </c>
      <c r="Q173">
        <f>Source!X109</f>
        <v>0</v>
      </c>
      <c r="R173">
        <f>Source!X110</f>
        <v>0</v>
      </c>
      <c r="S173">
        <f>Source!Y109</f>
        <v>0</v>
      </c>
      <c r="T173">
        <f>Source!Y110</f>
        <v>0</v>
      </c>
      <c r="U173">
        <f>ROUND((175/100)*ROUND(Source!R109, 2), 2)</f>
        <v>0</v>
      </c>
      <c r="V173">
        <f>ROUND((0/100)*ROUND(Source!R110, 2), 2)</f>
        <v>0</v>
      </c>
      <c r="AC173">
        <v>3</v>
      </c>
    </row>
    <row r="174" spans="1:29" x14ac:dyDescent="0.2">
      <c r="A174" s="59"/>
      <c r="B174" s="59"/>
      <c r="C174" s="60" t="str">
        <f>"Объем: "&amp;Source!I109&amp;"=(50*"&amp;"1,02)/"&amp;"1000"</f>
        <v>Объем: 0,051=(50*1,02)/1000</v>
      </c>
      <c r="D174" s="59"/>
      <c r="E174" s="59"/>
      <c r="F174" s="59"/>
      <c r="G174" s="59"/>
      <c r="H174" s="59"/>
      <c r="I174" s="59"/>
      <c r="J174" s="59"/>
      <c r="K174" s="59"/>
    </row>
    <row r="175" spans="1:29" ht="15" x14ac:dyDescent="0.2">
      <c r="C175" s="51" t="s">
        <v>513</v>
      </c>
      <c r="H175" s="52">
        <f>I173+0</f>
        <v>1470.14</v>
      </c>
      <c r="I175" s="52"/>
      <c r="J175" s="52">
        <f>K173+0</f>
        <v>14524.98</v>
      </c>
      <c r="K175" s="52"/>
      <c r="O175" s="55">
        <f>I173+0</f>
        <v>1470.14</v>
      </c>
      <c r="P175" s="55">
        <f>K173+0</f>
        <v>14524.98</v>
      </c>
    </row>
    <row r="177" spans="1:29" ht="54" x14ac:dyDescent="0.2">
      <c r="A177" s="35">
        <v>16</v>
      </c>
      <c r="B177" s="35" t="str">
        <f>Source!F111</f>
        <v>КА-11</v>
      </c>
      <c r="C177" s="35" t="s">
        <v>525</v>
      </c>
      <c r="D177" s="37" t="str">
        <f>Source!H111</f>
        <v>км</v>
      </c>
      <c r="E177" s="36">
        <f>Source!I111</f>
        <v>2.0400000000000001E-2</v>
      </c>
      <c r="F177" s="39">
        <f>Source!AL111</f>
        <v>19057.89</v>
      </c>
      <c r="G177" s="38" t="str">
        <f>Source!DD111</f>
        <v/>
      </c>
      <c r="H177" s="36">
        <f>Source!AW112</f>
        <v>1</v>
      </c>
      <c r="I177" s="39">
        <f>Source!P111</f>
        <v>388.78</v>
      </c>
      <c r="J177" s="36">
        <f>IF(Source!BC112&lt;&gt; 0, Source!BC112, 1)</f>
        <v>9.8800000000000008</v>
      </c>
      <c r="K177" s="39">
        <f>Source!P112</f>
        <v>3841.15</v>
      </c>
      <c r="Q177">
        <f>Source!X111</f>
        <v>0</v>
      </c>
      <c r="R177">
        <f>Source!X112</f>
        <v>0</v>
      </c>
      <c r="S177">
        <f>Source!Y111</f>
        <v>0</v>
      </c>
      <c r="T177">
        <f>Source!Y112</f>
        <v>0</v>
      </c>
      <c r="U177">
        <f>ROUND((175/100)*ROUND(Source!R111, 2), 2)</f>
        <v>0</v>
      </c>
      <c r="V177">
        <f>ROUND((0/100)*ROUND(Source!R112, 2), 2)</f>
        <v>0</v>
      </c>
      <c r="AC177">
        <v>3</v>
      </c>
    </row>
    <row r="178" spans="1:29" x14ac:dyDescent="0.2">
      <c r="A178" s="59"/>
      <c r="B178" s="59"/>
      <c r="C178" s="60" t="str">
        <f>"Объем: "&amp;Source!I111&amp;"=(20*"&amp;"1,02)/"&amp;"1000"</f>
        <v>Объем: 0,0204=(20*1,02)/1000</v>
      </c>
      <c r="D178" s="59"/>
      <c r="E178" s="59"/>
      <c r="F178" s="59"/>
      <c r="G178" s="59"/>
      <c r="H178" s="59"/>
      <c r="I178" s="59"/>
      <c r="J178" s="59"/>
      <c r="K178" s="59"/>
    </row>
    <row r="179" spans="1:29" ht="15" x14ac:dyDescent="0.2">
      <c r="C179" s="51" t="s">
        <v>513</v>
      </c>
      <c r="H179" s="52">
        <f>I177+0</f>
        <v>388.78</v>
      </c>
      <c r="I179" s="52"/>
      <c r="J179" s="52">
        <f>K177+0</f>
        <v>3841.15</v>
      </c>
      <c r="K179" s="52"/>
      <c r="O179" s="55">
        <f>I177+0</f>
        <v>388.78</v>
      </c>
      <c r="P179" s="55">
        <f>K177+0</f>
        <v>3841.15</v>
      </c>
    </row>
    <row r="181" spans="1:29" ht="68.25" x14ac:dyDescent="0.2">
      <c r="A181" s="35">
        <v>17</v>
      </c>
      <c r="B181" s="35" t="str">
        <f>Source!F113</f>
        <v>КА-12</v>
      </c>
      <c r="C181" s="35" t="s">
        <v>526</v>
      </c>
      <c r="D181" s="37" t="str">
        <f>Source!H113</f>
        <v>км</v>
      </c>
      <c r="E181" s="36">
        <f>Source!I113</f>
        <v>0.10199999999999999</v>
      </c>
      <c r="F181" s="39">
        <f>Source!AL113</f>
        <v>4731.78</v>
      </c>
      <c r="G181" s="38" t="str">
        <f>Source!DD113</f>
        <v/>
      </c>
      <c r="H181" s="36">
        <f>Source!AW114</f>
        <v>1</v>
      </c>
      <c r="I181" s="39">
        <f>Source!P113</f>
        <v>482.64</v>
      </c>
      <c r="J181" s="36">
        <f>IF(Source!BC114&lt;&gt; 0, Source!BC114, 1)</f>
        <v>9.8800000000000008</v>
      </c>
      <c r="K181" s="39">
        <f>Source!P114</f>
        <v>4768.4799999999996</v>
      </c>
      <c r="Q181">
        <f>Source!X113</f>
        <v>0</v>
      </c>
      <c r="R181">
        <f>Source!X114</f>
        <v>0</v>
      </c>
      <c r="S181">
        <f>Source!Y113</f>
        <v>0</v>
      </c>
      <c r="T181">
        <f>Source!Y114</f>
        <v>0</v>
      </c>
      <c r="U181">
        <f>ROUND((175/100)*ROUND(Source!R113, 2), 2)</f>
        <v>0</v>
      </c>
      <c r="V181">
        <f>ROUND((0/100)*ROUND(Source!R114, 2), 2)</f>
        <v>0</v>
      </c>
      <c r="AC181">
        <v>3</v>
      </c>
    </row>
    <row r="182" spans="1:29" x14ac:dyDescent="0.2">
      <c r="A182" s="59"/>
      <c r="B182" s="59"/>
      <c r="C182" s="60" t="str">
        <f>"Объем: "&amp;Source!I113&amp;"=(100*"&amp;"1,02)/"&amp;"1000"</f>
        <v>Объем: 0,102=(100*1,02)/1000</v>
      </c>
      <c r="D182" s="59"/>
      <c r="E182" s="59"/>
      <c r="F182" s="59"/>
      <c r="G182" s="59"/>
      <c r="H182" s="59"/>
      <c r="I182" s="59"/>
      <c r="J182" s="59"/>
      <c r="K182" s="59"/>
    </row>
    <row r="183" spans="1:29" ht="15" x14ac:dyDescent="0.2">
      <c r="C183" s="51" t="s">
        <v>513</v>
      </c>
      <c r="H183" s="52">
        <f>I181+0</f>
        <v>482.64</v>
      </c>
      <c r="I183" s="52"/>
      <c r="J183" s="52">
        <f>K181+0</f>
        <v>4768.4799999999996</v>
      </c>
      <c r="K183" s="52"/>
      <c r="O183" s="55">
        <f>I181+0</f>
        <v>482.64</v>
      </c>
      <c r="P183" s="55">
        <f>K181+0</f>
        <v>4768.4799999999996</v>
      </c>
    </row>
    <row r="186" spans="1:29" ht="15" x14ac:dyDescent="0.25">
      <c r="A186" s="58" t="str">
        <f>CONCATENATE("Итого по разделу: ",IF(Source!G116&lt;&gt;"Новый раздел", Source!G116, ""))</f>
        <v>Итого по разделу: Кабельные  изделия</v>
      </c>
      <c r="B186" s="58"/>
      <c r="C186" s="58"/>
      <c r="D186" s="58"/>
      <c r="E186" s="58"/>
      <c r="F186" s="58"/>
      <c r="G186" s="58"/>
      <c r="H186" s="54">
        <f>SUM(O98:O185)</f>
        <v>9666.3100000000013</v>
      </c>
      <c r="I186" s="53"/>
      <c r="J186" s="54">
        <f>SUM(P98:P185)</f>
        <v>180824.63</v>
      </c>
      <c r="K186" s="53"/>
    </row>
    <row r="187" spans="1:29" hidden="1" x14ac:dyDescent="0.2">
      <c r="A187" t="s">
        <v>517</v>
      </c>
      <c r="I187">
        <f>SUM(W98:W186)</f>
        <v>0</v>
      </c>
      <c r="J187">
        <f>SUM(X98:X186)</f>
        <v>0</v>
      </c>
    </row>
    <row r="188" spans="1:29" hidden="1" x14ac:dyDescent="0.2">
      <c r="A188" t="s">
        <v>518</v>
      </c>
      <c r="I188">
        <f>SUM(Y98:Y187)</f>
        <v>0</v>
      </c>
      <c r="J188">
        <f>SUM(Z98:Z187)</f>
        <v>0</v>
      </c>
    </row>
    <row r="190" spans="1:29" ht="16.5" x14ac:dyDescent="0.2">
      <c r="A190" s="34" t="str">
        <f>CONCATENATE("Раздел: ",IF(Source!G146&lt;&gt;"Новый раздел", Source!G146, ""))</f>
        <v>Раздел: Материалы</v>
      </c>
      <c r="B190" s="34"/>
      <c r="C190" s="34"/>
      <c r="D190" s="34"/>
      <c r="E190" s="34"/>
      <c r="F190" s="34"/>
      <c r="G190" s="34"/>
      <c r="H190" s="34"/>
      <c r="I190" s="34"/>
      <c r="J190" s="34"/>
      <c r="K190" s="34"/>
    </row>
    <row r="191" spans="1:29" ht="28.5" x14ac:dyDescent="0.2">
      <c r="A191" s="35">
        <v>18</v>
      </c>
      <c r="B191" s="35" t="str">
        <f>Source!F150</f>
        <v>4.10-118-12</v>
      </c>
      <c r="C191" s="35" t="s">
        <v>199</v>
      </c>
      <c r="D191" s="37" t="str">
        <f>Source!H150</f>
        <v>100 шт.</v>
      </c>
      <c r="E191" s="36">
        <f>Source!I150</f>
        <v>0.02</v>
      </c>
      <c r="F191" s="39"/>
      <c r="G191" s="38"/>
      <c r="H191" s="36"/>
      <c r="I191" s="39"/>
      <c r="J191" s="36"/>
      <c r="K191" s="39"/>
      <c r="Q191">
        <f>Source!X150</f>
        <v>5.78</v>
      </c>
      <c r="R191">
        <f>Source!X151</f>
        <v>317.74</v>
      </c>
      <c r="S191">
        <f>Source!Y150</f>
        <v>2.95</v>
      </c>
      <c r="T191">
        <f>Source!Y151</f>
        <v>162.4</v>
      </c>
      <c r="U191">
        <f>ROUND((175/100)*ROUND(Source!R150, 2), 2)</f>
        <v>0</v>
      </c>
      <c r="V191">
        <f>ROUND((0/100)*ROUND(Source!R151, 2), 2)</f>
        <v>0</v>
      </c>
      <c r="AC191">
        <v>0</v>
      </c>
    </row>
    <row r="192" spans="1:29" x14ac:dyDescent="0.2">
      <c r="C192" s="56" t="str">
        <f>"Объем: "&amp;Source!I150&amp;"=2/"&amp;"100"</f>
        <v>Объем: 0,02=2/100</v>
      </c>
    </row>
    <row r="193" spans="1:29" ht="14.25" x14ac:dyDescent="0.2">
      <c r="A193" s="35"/>
      <c r="B193" s="35"/>
      <c r="C193" s="35" t="s">
        <v>501</v>
      </c>
      <c r="D193" s="37"/>
      <c r="E193" s="36"/>
      <c r="F193" s="39">
        <f>Source!AO150</f>
        <v>278.64</v>
      </c>
      <c r="G193" s="38" t="str">
        <f>Source!DG150</f>
        <v>*1,1</v>
      </c>
      <c r="H193" s="36">
        <f>Source!AV151</f>
        <v>1.0469999999999999</v>
      </c>
      <c r="I193" s="39">
        <f>Source!S150</f>
        <v>6.42</v>
      </c>
      <c r="J193" s="36">
        <f>IF(Source!BA151&lt;&gt; 0, Source!BA151, 1)</f>
        <v>54.99</v>
      </c>
      <c r="K193" s="39">
        <f>Source!S151</f>
        <v>353.04</v>
      </c>
    </row>
    <row r="194" spans="1:29" ht="14.25" x14ac:dyDescent="0.2">
      <c r="A194" s="35"/>
      <c r="B194" s="35"/>
      <c r="C194" s="35" t="s">
        <v>504</v>
      </c>
      <c r="D194" s="37"/>
      <c r="E194" s="36"/>
      <c r="F194" s="39">
        <f>Source!AL150</f>
        <v>85.6</v>
      </c>
      <c r="G194" s="38" t="str">
        <f>Source!DD150</f>
        <v/>
      </c>
      <c r="H194" s="36">
        <f>Source!AW151</f>
        <v>1</v>
      </c>
      <c r="I194" s="39">
        <f>Source!P150</f>
        <v>1.71</v>
      </c>
      <c r="J194" s="36">
        <f>IF(Source!BC151&lt;&gt; 0, Source!BC151, 1)</f>
        <v>5.49</v>
      </c>
      <c r="K194" s="39">
        <f>Source!P151</f>
        <v>9.39</v>
      </c>
    </row>
    <row r="195" spans="1:29" ht="41.25" x14ac:dyDescent="0.2">
      <c r="A195" s="35" t="s">
        <v>203</v>
      </c>
      <c r="B195" s="35" t="str">
        <f>Source!F152</f>
        <v>КА-13</v>
      </c>
      <c r="C195" s="35" t="s">
        <v>527</v>
      </c>
      <c r="D195" s="37" t="str">
        <f>Source!H152</f>
        <v>ШТ</v>
      </c>
      <c r="E195" s="36">
        <f>Source!I152</f>
        <v>2.0400000000000001E-3</v>
      </c>
      <c r="F195" s="39">
        <f>Source!AK152</f>
        <v>31.51</v>
      </c>
      <c r="G195" s="57" t="s">
        <v>3</v>
      </c>
      <c r="H195" s="36">
        <f>Source!AW153</f>
        <v>1</v>
      </c>
      <c r="I195" s="39">
        <f>Source!O152</f>
        <v>0.06</v>
      </c>
      <c r="J195" s="36">
        <f>IF(Source!BC153&lt;&gt; 0, Source!BC153, 1)</f>
        <v>9.8800000000000008</v>
      </c>
      <c r="K195" s="39">
        <f>Source!O153</f>
        <v>0.59</v>
      </c>
      <c r="Q195">
        <f>Source!X152</f>
        <v>0</v>
      </c>
      <c r="R195">
        <f>Source!X153</f>
        <v>0</v>
      </c>
      <c r="S195">
        <f>Source!Y152</f>
        <v>0</v>
      </c>
      <c r="T195">
        <f>Source!Y153</f>
        <v>0</v>
      </c>
      <c r="U195">
        <f>ROUND((175/100)*ROUND(Source!R152, 2), 2)</f>
        <v>0</v>
      </c>
      <c r="V195">
        <f>ROUND((0/100)*ROUND(Source!R153, 2), 2)</f>
        <v>0</v>
      </c>
      <c r="AC195">
        <v>3</v>
      </c>
    </row>
    <row r="196" spans="1:29" ht="14.25" x14ac:dyDescent="0.2">
      <c r="A196" s="35"/>
      <c r="B196" s="35"/>
      <c r="C196" s="35" t="s">
        <v>506</v>
      </c>
      <c r="D196" s="37" t="s">
        <v>507</v>
      </c>
      <c r="E196" s="36">
        <f>Source!BZ151</f>
        <v>90</v>
      </c>
      <c r="F196" s="39"/>
      <c r="G196" s="38"/>
      <c r="H196" s="36"/>
      <c r="I196" s="39">
        <f>SUM(Q191:Q195)</f>
        <v>5.78</v>
      </c>
      <c r="J196" s="36">
        <f>Source!AT151</f>
        <v>90</v>
      </c>
      <c r="K196" s="39">
        <f>SUM(R191:R195)</f>
        <v>317.74</v>
      </c>
    </row>
    <row r="197" spans="1:29" ht="14.25" x14ac:dyDescent="0.2">
      <c r="A197" s="35"/>
      <c r="B197" s="35"/>
      <c r="C197" s="35" t="s">
        <v>508</v>
      </c>
      <c r="D197" s="37" t="s">
        <v>507</v>
      </c>
      <c r="E197" s="36">
        <f>Source!CA151</f>
        <v>46</v>
      </c>
      <c r="F197" s="39"/>
      <c r="G197" s="38"/>
      <c r="H197" s="36"/>
      <c r="I197" s="39">
        <f>SUM(S191:S196)</f>
        <v>2.95</v>
      </c>
      <c r="J197" s="36">
        <f>Source!AU151</f>
        <v>46</v>
      </c>
      <c r="K197" s="39">
        <f>SUM(T191:T196)</f>
        <v>162.4</v>
      </c>
    </row>
    <row r="198" spans="1:29" ht="14.25" x14ac:dyDescent="0.2">
      <c r="A198" s="46"/>
      <c r="B198" s="46"/>
      <c r="C198" s="46" t="s">
        <v>509</v>
      </c>
      <c r="D198" s="47" t="s">
        <v>510</v>
      </c>
      <c r="E198" s="48">
        <f>Source!AQ150</f>
        <v>24</v>
      </c>
      <c r="F198" s="49"/>
      <c r="G198" s="50" t="str">
        <f>Source!DI150</f>
        <v>*1,1</v>
      </c>
      <c r="H198" s="48">
        <f>Source!AV151</f>
        <v>1.0469999999999999</v>
      </c>
      <c r="I198" s="49">
        <f>Source!U150</f>
        <v>0.55281599999999997</v>
      </c>
      <c r="J198" s="48"/>
      <c r="K198" s="49"/>
    </row>
    <row r="199" spans="1:29" ht="15" x14ac:dyDescent="0.2">
      <c r="C199" s="51" t="s">
        <v>511</v>
      </c>
      <c r="H199" s="52">
        <f>I193+I194+I196+I197+SUM(I195:I195)-SUMIF(AC195:AC195, 5, I195:I195)-SUMIF(AC195:AC195, 6, I195:I195)</f>
        <v>16.919999999999998</v>
      </c>
      <c r="I199" s="52"/>
      <c r="J199" s="52">
        <f>K193+K194+K196+K197+SUM(K195:K195)-SUMIF(AC195:AC195, 5, K195:K195)-SUMIF(AC195:AC195, 6, K195:K195)</f>
        <v>843.16000000000008</v>
      </c>
      <c r="K199" s="52"/>
    </row>
    <row r="200" spans="1:29" ht="15" hidden="1" x14ac:dyDescent="0.2">
      <c r="C200" s="51" t="s">
        <v>512</v>
      </c>
      <c r="H200" s="54">
        <f>SUMIF(AC195:AC195, 5, I195:I195)+SUMIF(AC195:AC195, 6, I195:I195)</f>
        <v>0</v>
      </c>
      <c r="I200" s="54"/>
      <c r="J200" s="54">
        <f>SUMIF(AC195:AC195, 5, K195:K195)+SUMIF(AC195:AC195, 6, K195:K195)</f>
        <v>0</v>
      </c>
      <c r="K200" s="54"/>
    </row>
    <row r="201" spans="1:29" ht="15" x14ac:dyDescent="0.2">
      <c r="C201" s="51" t="s">
        <v>513</v>
      </c>
      <c r="H201" s="54">
        <f>I193+I194+I196+I197+SUM(I195:I195)</f>
        <v>16.919999999999998</v>
      </c>
      <c r="I201" s="54"/>
      <c r="J201" s="54">
        <f>K193+K194+K196+K197+SUM(K195:K195)</f>
        <v>843.16000000000008</v>
      </c>
      <c r="K201" s="54"/>
      <c r="O201" s="55">
        <f>I193+I194+I196+I197+SUM(I195:I195)</f>
        <v>16.919999999999998</v>
      </c>
      <c r="P201" s="55">
        <f>K193+K194+K196+K197+SUM(K195:K195)</f>
        <v>843.16000000000008</v>
      </c>
    </row>
    <row r="203" spans="1:29" ht="28.5" x14ac:dyDescent="0.2">
      <c r="A203" s="35">
        <v>19</v>
      </c>
      <c r="B203" s="35" t="str">
        <f>Source!F154</f>
        <v>4.10-118-12</v>
      </c>
      <c r="C203" s="35" t="s">
        <v>199</v>
      </c>
      <c r="D203" s="37" t="str">
        <f>Source!H154</f>
        <v>100 шт.</v>
      </c>
      <c r="E203" s="36">
        <f>Source!I154</f>
        <v>0.02</v>
      </c>
      <c r="F203" s="39"/>
      <c r="G203" s="38"/>
      <c r="H203" s="36"/>
      <c r="I203" s="39"/>
      <c r="J203" s="36"/>
      <c r="K203" s="39"/>
      <c r="Q203">
        <f>Source!X154</f>
        <v>5.78</v>
      </c>
      <c r="R203">
        <f>Source!X155</f>
        <v>317.74</v>
      </c>
      <c r="S203">
        <f>Source!Y154</f>
        <v>2.95</v>
      </c>
      <c r="T203">
        <f>Source!Y155</f>
        <v>162.4</v>
      </c>
      <c r="U203">
        <f>ROUND((175/100)*ROUND(Source!R154, 2), 2)</f>
        <v>0</v>
      </c>
      <c r="V203">
        <f>ROUND((0/100)*ROUND(Source!R155, 2), 2)</f>
        <v>0</v>
      </c>
      <c r="AC203">
        <v>0</v>
      </c>
    </row>
    <row r="204" spans="1:29" x14ac:dyDescent="0.2">
      <c r="C204" s="56" t="str">
        <f>"Объем: "&amp;Source!I154&amp;"=2/"&amp;"100"</f>
        <v>Объем: 0,02=2/100</v>
      </c>
    </row>
    <row r="205" spans="1:29" ht="14.25" x14ac:dyDescent="0.2">
      <c r="A205" s="35"/>
      <c r="B205" s="35"/>
      <c r="C205" s="35" t="s">
        <v>501</v>
      </c>
      <c r="D205" s="37"/>
      <c r="E205" s="36"/>
      <c r="F205" s="39">
        <f>Source!AO154</f>
        <v>278.64</v>
      </c>
      <c r="G205" s="38" t="str">
        <f>Source!DG154</f>
        <v>*1,1</v>
      </c>
      <c r="H205" s="36">
        <f>Source!AV155</f>
        <v>1.0469999999999999</v>
      </c>
      <c r="I205" s="39">
        <f>Source!S154</f>
        <v>6.42</v>
      </c>
      <c r="J205" s="36">
        <f>IF(Source!BA155&lt;&gt; 0, Source!BA155, 1)</f>
        <v>54.99</v>
      </c>
      <c r="K205" s="39">
        <f>Source!S155</f>
        <v>353.04</v>
      </c>
    </row>
    <row r="206" spans="1:29" ht="14.25" x14ac:dyDescent="0.2">
      <c r="A206" s="35"/>
      <c r="B206" s="35"/>
      <c r="C206" s="35" t="s">
        <v>504</v>
      </c>
      <c r="D206" s="37"/>
      <c r="E206" s="36"/>
      <c r="F206" s="39">
        <f>Source!AL154</f>
        <v>85.6</v>
      </c>
      <c r="G206" s="38" t="str">
        <f>Source!DD154</f>
        <v/>
      </c>
      <c r="H206" s="36">
        <f>Source!AW155</f>
        <v>1</v>
      </c>
      <c r="I206" s="39">
        <f>Source!P154</f>
        <v>1.71</v>
      </c>
      <c r="J206" s="36">
        <f>IF(Source!BC155&lt;&gt; 0, Source!BC155, 1)</f>
        <v>5.49</v>
      </c>
      <c r="K206" s="39">
        <f>Source!P155</f>
        <v>9.39</v>
      </c>
    </row>
    <row r="207" spans="1:29" ht="42.75" x14ac:dyDescent="0.2">
      <c r="A207" s="35" t="s">
        <v>209</v>
      </c>
      <c r="B207" s="35" t="str">
        <f>Source!F156</f>
        <v>1.14-1-13</v>
      </c>
      <c r="C207" s="35" t="s">
        <v>211</v>
      </c>
      <c r="D207" s="37" t="str">
        <f>Source!H156</f>
        <v>шт.</v>
      </c>
      <c r="E207" s="36">
        <f>Source!I156</f>
        <v>2</v>
      </c>
      <c r="F207" s="39">
        <f>Source!AK156</f>
        <v>29.6</v>
      </c>
      <c r="G207" s="57" t="s">
        <v>3</v>
      </c>
      <c r="H207" s="36">
        <f>Source!AW157</f>
        <v>1</v>
      </c>
      <c r="I207" s="39">
        <f>Source!O156</f>
        <v>59.2</v>
      </c>
      <c r="J207" s="36">
        <f>IF(Source!BC157&lt;&gt; 0, Source!BC157, 1)</f>
        <v>6.17</v>
      </c>
      <c r="K207" s="39">
        <f>Source!O157</f>
        <v>365.26</v>
      </c>
      <c r="Q207">
        <f>Source!X156</f>
        <v>0</v>
      </c>
      <c r="R207">
        <f>Source!X157</f>
        <v>0</v>
      </c>
      <c r="S207">
        <f>Source!Y156</f>
        <v>0</v>
      </c>
      <c r="T207">
        <f>Source!Y157</f>
        <v>0</v>
      </c>
      <c r="U207">
        <f>ROUND((175/100)*ROUND(Source!R156, 2), 2)</f>
        <v>0</v>
      </c>
      <c r="V207">
        <f>ROUND((0/100)*ROUND(Source!R157, 2), 2)</f>
        <v>0</v>
      </c>
      <c r="AC207">
        <v>3</v>
      </c>
    </row>
    <row r="208" spans="1:29" ht="14.25" x14ac:dyDescent="0.2">
      <c r="A208" s="35"/>
      <c r="B208" s="35"/>
      <c r="C208" s="35" t="s">
        <v>506</v>
      </c>
      <c r="D208" s="37" t="s">
        <v>507</v>
      </c>
      <c r="E208" s="36">
        <f>Source!BZ155</f>
        <v>90</v>
      </c>
      <c r="F208" s="39"/>
      <c r="G208" s="38"/>
      <c r="H208" s="36"/>
      <c r="I208" s="39">
        <f>SUM(Q203:Q207)</f>
        <v>5.78</v>
      </c>
      <c r="J208" s="36">
        <f>Source!AT155</f>
        <v>90</v>
      </c>
      <c r="K208" s="39">
        <f>SUM(R203:R207)</f>
        <v>317.74</v>
      </c>
    </row>
    <row r="209" spans="1:29" ht="14.25" x14ac:dyDescent="0.2">
      <c r="A209" s="35"/>
      <c r="B209" s="35"/>
      <c r="C209" s="35" t="s">
        <v>508</v>
      </c>
      <c r="D209" s="37" t="s">
        <v>507</v>
      </c>
      <c r="E209" s="36">
        <f>Source!CA155</f>
        <v>46</v>
      </c>
      <c r="F209" s="39"/>
      <c r="G209" s="38"/>
      <c r="H209" s="36"/>
      <c r="I209" s="39">
        <f>SUM(S203:S208)</f>
        <v>2.95</v>
      </c>
      <c r="J209" s="36">
        <f>Source!AU155</f>
        <v>46</v>
      </c>
      <c r="K209" s="39">
        <f>SUM(T203:T208)</f>
        <v>162.4</v>
      </c>
    </row>
    <row r="210" spans="1:29" ht="14.25" x14ac:dyDescent="0.2">
      <c r="A210" s="46"/>
      <c r="B210" s="46"/>
      <c r="C210" s="46" t="s">
        <v>509</v>
      </c>
      <c r="D210" s="47" t="s">
        <v>510</v>
      </c>
      <c r="E210" s="48">
        <f>Source!AQ154</f>
        <v>24</v>
      </c>
      <c r="F210" s="49"/>
      <c r="G210" s="50" t="str">
        <f>Source!DI154</f>
        <v>*1,1</v>
      </c>
      <c r="H210" s="48">
        <f>Source!AV155</f>
        <v>1.0469999999999999</v>
      </c>
      <c r="I210" s="49">
        <f>Source!U154</f>
        <v>0.55281599999999997</v>
      </c>
      <c r="J210" s="48"/>
      <c r="K210" s="49"/>
    </row>
    <row r="211" spans="1:29" ht="15" x14ac:dyDescent="0.2">
      <c r="C211" s="51" t="s">
        <v>511</v>
      </c>
      <c r="H211" s="52">
        <f>I205+I206+I208+I209+SUM(I207:I207)-SUMIF(AC207:AC207, 5, I207:I207)-SUMIF(AC207:AC207, 6, I207:I207)</f>
        <v>76.06</v>
      </c>
      <c r="I211" s="52"/>
      <c r="J211" s="52">
        <f>K205+K206+K208+K209+SUM(K207:K207)-SUMIF(AC207:AC207, 5, K207:K207)-SUMIF(AC207:AC207, 6, K207:K207)</f>
        <v>1207.83</v>
      </c>
      <c r="K211" s="52"/>
    </row>
    <row r="212" spans="1:29" ht="15" hidden="1" x14ac:dyDescent="0.2">
      <c r="C212" s="51" t="s">
        <v>512</v>
      </c>
      <c r="H212" s="54">
        <f>SUMIF(AC207:AC207, 5, I207:I207)+SUMIF(AC207:AC207, 6, I207:I207)</f>
        <v>0</v>
      </c>
      <c r="I212" s="54"/>
      <c r="J212" s="54">
        <f>SUMIF(AC207:AC207, 5, K207:K207)+SUMIF(AC207:AC207, 6, K207:K207)</f>
        <v>0</v>
      </c>
      <c r="K212" s="54"/>
    </row>
    <row r="213" spans="1:29" ht="15" x14ac:dyDescent="0.2">
      <c r="C213" s="51" t="s">
        <v>513</v>
      </c>
      <c r="H213" s="54">
        <f>I205+I206+I208+I209+SUM(I207:I207)</f>
        <v>76.06</v>
      </c>
      <c r="I213" s="54"/>
      <c r="J213" s="54">
        <f>K205+K206+K208+K209+SUM(K207:K207)</f>
        <v>1207.83</v>
      </c>
      <c r="K213" s="54"/>
      <c r="O213" s="55">
        <f>I205+I206+I208+I209+SUM(I207:I207)</f>
        <v>76.06</v>
      </c>
      <c r="P213" s="55">
        <f>K205+K206+K208+K209+SUM(K207:K207)</f>
        <v>1207.83</v>
      </c>
    </row>
    <row r="215" spans="1:29" ht="57" x14ac:dyDescent="0.2">
      <c r="A215" s="35">
        <v>20</v>
      </c>
      <c r="B215" s="35" t="str">
        <f>Source!F158</f>
        <v>4.10-134-7</v>
      </c>
      <c r="C215" s="35" t="s">
        <v>215</v>
      </c>
      <c r="D215" s="37" t="str">
        <f>Source!H158</f>
        <v>1 антенна</v>
      </c>
      <c r="E215" s="36">
        <f>Source!I158</f>
        <v>1</v>
      </c>
      <c r="F215" s="39"/>
      <c r="G215" s="38"/>
      <c r="H215" s="36"/>
      <c r="I215" s="39"/>
      <c r="J215" s="36"/>
      <c r="K215" s="39"/>
      <c r="Q215">
        <f>Source!X158</f>
        <v>45.27</v>
      </c>
      <c r="R215">
        <f>Source!X159</f>
        <v>2489.2600000000002</v>
      </c>
      <c r="S215">
        <f>Source!Y158</f>
        <v>25.25</v>
      </c>
      <c r="T215">
        <f>Source!Y159</f>
        <v>1388.74</v>
      </c>
      <c r="U215">
        <f>ROUND((175/100)*ROUND(Source!R158, 2), 2)</f>
        <v>0</v>
      </c>
      <c r="V215">
        <f>ROUND((0/100)*ROUND(Source!R159, 2), 2)</f>
        <v>0</v>
      </c>
      <c r="AC215">
        <v>0</v>
      </c>
    </row>
    <row r="216" spans="1:29" ht="14.25" x14ac:dyDescent="0.2">
      <c r="A216" s="35"/>
      <c r="B216" s="35"/>
      <c r="C216" s="35" t="s">
        <v>501</v>
      </c>
      <c r="D216" s="37"/>
      <c r="E216" s="36"/>
      <c r="F216" s="39">
        <f>Source!AO158</f>
        <v>39.85</v>
      </c>
      <c r="G216" s="38" t="str">
        <f>Source!DG158</f>
        <v>*1,1</v>
      </c>
      <c r="H216" s="36">
        <f>Source!AV159</f>
        <v>1.087</v>
      </c>
      <c r="I216" s="39">
        <f>Source!S158</f>
        <v>47.65</v>
      </c>
      <c r="J216" s="36">
        <f>IF(Source!BA159&lt;&gt; 0, Source!BA159, 1)</f>
        <v>54.99</v>
      </c>
      <c r="K216" s="39">
        <f>Source!S159</f>
        <v>2620.27</v>
      </c>
    </row>
    <row r="217" spans="1:29" ht="14.25" x14ac:dyDescent="0.2">
      <c r="A217" s="35"/>
      <c r="B217" s="35"/>
      <c r="C217" s="35" t="s">
        <v>504</v>
      </c>
      <c r="D217" s="37"/>
      <c r="E217" s="36"/>
      <c r="F217" s="39">
        <f>Source!AL158</f>
        <v>0.19</v>
      </c>
      <c r="G217" s="38" t="str">
        <f>Source!DD158</f>
        <v/>
      </c>
      <c r="H217" s="36">
        <f>Source!AW159</f>
        <v>1</v>
      </c>
      <c r="I217" s="39">
        <f>Source!P158</f>
        <v>0.19</v>
      </c>
      <c r="J217" s="36">
        <f>IF(Source!BC159&lt;&gt; 0, Source!BC159, 1)</f>
        <v>9.89</v>
      </c>
      <c r="K217" s="39">
        <f>Source!P159</f>
        <v>1.88</v>
      </c>
    </row>
    <row r="218" spans="1:29" ht="57" x14ac:dyDescent="0.2">
      <c r="A218" s="41" t="s">
        <v>218</v>
      </c>
      <c r="B218" s="41" t="str">
        <f>Source!F160</f>
        <v>13.1-2-585</v>
      </c>
      <c r="C218" s="41" t="s">
        <v>528</v>
      </c>
      <c r="D218" s="42" t="str">
        <f>Source!H160</f>
        <v>шт.</v>
      </c>
      <c r="E218" s="43">
        <f>Source!I160</f>
        <v>1</v>
      </c>
      <c r="F218" s="44">
        <f>Source!AK160</f>
        <v>1144.1099999999999</v>
      </c>
      <c r="G218" s="45" t="s">
        <v>3</v>
      </c>
      <c r="H218" s="43">
        <f>Source!AW161</f>
        <v>1</v>
      </c>
      <c r="I218" s="44">
        <f>Source!O160</f>
        <v>1144.1099999999999</v>
      </c>
      <c r="J218" s="43">
        <f>IF(Source!BC161&lt;&gt; 0, Source!BC161, 1)</f>
        <v>6.15</v>
      </c>
      <c r="K218" s="44">
        <f>Source!O161</f>
        <v>7036.28</v>
      </c>
      <c r="Q218">
        <f>Source!X160</f>
        <v>0</v>
      </c>
      <c r="R218">
        <f>Source!X161</f>
        <v>0</v>
      </c>
      <c r="S218">
        <f>Source!Y160</f>
        <v>0</v>
      </c>
      <c r="T218">
        <f>Source!Y161</f>
        <v>0</v>
      </c>
      <c r="U218">
        <f>ROUND((175/100)*ROUND(Source!R160, 2), 2)</f>
        <v>0</v>
      </c>
      <c r="V218">
        <f>ROUND((0/100)*ROUND(Source!R161, 2), 2)</f>
        <v>0</v>
      </c>
      <c r="AC218">
        <v>5</v>
      </c>
    </row>
    <row r="219" spans="1:29" ht="14.25" x14ac:dyDescent="0.2">
      <c r="A219" s="35"/>
      <c r="B219" s="35"/>
      <c r="C219" s="35" t="s">
        <v>506</v>
      </c>
      <c r="D219" s="37" t="s">
        <v>507</v>
      </c>
      <c r="E219" s="36">
        <f>Source!BZ159</f>
        <v>95</v>
      </c>
      <c r="F219" s="39"/>
      <c r="G219" s="38"/>
      <c r="H219" s="36"/>
      <c r="I219" s="39">
        <f>SUM(Q215:Q218)</f>
        <v>45.27</v>
      </c>
      <c r="J219" s="36">
        <f>Source!AT159</f>
        <v>95</v>
      </c>
      <c r="K219" s="39">
        <f>SUM(R215:R218)</f>
        <v>2489.2600000000002</v>
      </c>
    </row>
    <row r="220" spans="1:29" ht="14.25" x14ac:dyDescent="0.2">
      <c r="A220" s="35"/>
      <c r="B220" s="35"/>
      <c r="C220" s="35" t="s">
        <v>508</v>
      </c>
      <c r="D220" s="37" t="s">
        <v>507</v>
      </c>
      <c r="E220" s="36">
        <f>Source!CA159</f>
        <v>53</v>
      </c>
      <c r="F220" s="39"/>
      <c r="G220" s="38"/>
      <c r="H220" s="36"/>
      <c r="I220" s="39">
        <f>SUM(S215:S219)</f>
        <v>25.25</v>
      </c>
      <c r="J220" s="36">
        <f>Source!AU159</f>
        <v>53</v>
      </c>
      <c r="K220" s="39">
        <f>SUM(T215:T219)</f>
        <v>1388.74</v>
      </c>
    </row>
    <row r="221" spans="1:29" ht="14.25" x14ac:dyDescent="0.2">
      <c r="A221" s="46"/>
      <c r="B221" s="46"/>
      <c r="C221" s="46" t="s">
        <v>509</v>
      </c>
      <c r="D221" s="47" t="s">
        <v>510</v>
      </c>
      <c r="E221" s="48">
        <f>Source!AQ158</f>
        <v>2.77</v>
      </c>
      <c r="F221" s="49"/>
      <c r="G221" s="50" t="str">
        <f>Source!DI158</f>
        <v>*1,1</v>
      </c>
      <c r="H221" s="48">
        <f>Source!AV159</f>
        <v>1.087</v>
      </c>
      <c r="I221" s="49">
        <f>Source!U158</f>
        <v>3.3120890000000003</v>
      </c>
      <c r="J221" s="48"/>
      <c r="K221" s="49"/>
    </row>
    <row r="222" spans="1:29" ht="15" x14ac:dyDescent="0.2">
      <c r="C222" s="51" t="s">
        <v>511</v>
      </c>
      <c r="H222" s="52">
        <f>I216+I217+I219+I220+SUM(I218:I218)-SUMIF(AC218:AC218, 5, I218:I218)-SUMIF(AC218:AC218, 6, I218:I218)</f>
        <v>118.3599999999999</v>
      </c>
      <c r="I222" s="52"/>
      <c r="J222" s="52">
        <f>K216+K217+K219+K220+SUM(K218:K218)-SUMIF(AC218:AC218, 5, K218:K218)-SUMIF(AC218:AC218, 6, K218:K218)</f>
        <v>6500.1500000000005</v>
      </c>
      <c r="K222" s="52"/>
    </row>
    <row r="223" spans="1:29" ht="15" x14ac:dyDescent="0.2">
      <c r="C223" s="51" t="s">
        <v>512</v>
      </c>
      <c r="H223" s="54">
        <f>SUMIF(AC218:AC218, 5, I218:I218)+SUMIF(AC218:AC218, 6, I218:I218)</f>
        <v>1144.1099999999999</v>
      </c>
      <c r="I223" s="54"/>
      <c r="J223" s="54">
        <f>SUMIF(AC218:AC218, 5, K218:K218)+SUMIF(AC218:AC218, 6, K218:K218)</f>
        <v>7036.28</v>
      </c>
      <c r="K223" s="54"/>
    </row>
    <row r="224" spans="1:29" ht="15" x14ac:dyDescent="0.2">
      <c r="C224" s="51" t="s">
        <v>513</v>
      </c>
      <c r="H224" s="54">
        <f>I216+I217+I219+I220+SUM(I218:I218)</f>
        <v>1262.4699999999998</v>
      </c>
      <c r="I224" s="54"/>
      <c r="J224" s="54">
        <f>K216+K217+K219+K220+SUM(K218:K218)</f>
        <v>13536.43</v>
      </c>
      <c r="K224" s="54"/>
      <c r="O224" s="55">
        <f>I216+I217+I219+I220+SUM(I218:I218)</f>
        <v>1262.4699999999998</v>
      </c>
      <c r="P224" s="55">
        <f>K216+K217+K219+K220+SUM(K218:K218)</f>
        <v>13536.43</v>
      </c>
    </row>
    <row r="226" spans="1:29" ht="71.25" x14ac:dyDescent="0.2">
      <c r="A226" s="35">
        <v>21</v>
      </c>
      <c r="B226" s="35" t="str">
        <f>Source!F162</f>
        <v>4.10-134-4</v>
      </c>
      <c r="C226" s="35" t="s">
        <v>223</v>
      </c>
      <c r="D226" s="37" t="str">
        <f>Source!H162</f>
        <v>1 антенна</v>
      </c>
      <c r="E226" s="36">
        <f>Source!I162</f>
        <v>1</v>
      </c>
      <c r="F226" s="39"/>
      <c r="G226" s="38"/>
      <c r="H226" s="36"/>
      <c r="I226" s="39"/>
      <c r="J226" s="36"/>
      <c r="K226" s="39"/>
      <c r="Q226">
        <f>Source!X162</f>
        <v>86.5</v>
      </c>
      <c r="R226">
        <f>Source!X163</f>
        <v>4756.5</v>
      </c>
      <c r="S226">
        <f>Source!Y162</f>
        <v>48.26</v>
      </c>
      <c r="T226">
        <f>Source!Y163</f>
        <v>2653.63</v>
      </c>
      <c r="U226">
        <f>ROUND((175/100)*ROUND(Source!R162, 2), 2)</f>
        <v>0</v>
      </c>
      <c r="V226">
        <f>ROUND((0/100)*ROUND(Source!R163, 2), 2)</f>
        <v>0</v>
      </c>
      <c r="AC226">
        <v>0</v>
      </c>
    </row>
    <row r="227" spans="1:29" ht="14.25" x14ac:dyDescent="0.2">
      <c r="A227" s="35"/>
      <c r="B227" s="35"/>
      <c r="C227" s="35" t="s">
        <v>501</v>
      </c>
      <c r="D227" s="37"/>
      <c r="E227" s="36"/>
      <c r="F227" s="39">
        <f>Source!AO162</f>
        <v>76.150000000000006</v>
      </c>
      <c r="G227" s="38" t="str">
        <f>Source!DG162</f>
        <v>*1,1</v>
      </c>
      <c r="H227" s="36">
        <f>Source!AV163</f>
        <v>1.087</v>
      </c>
      <c r="I227" s="39">
        <f>Source!S162</f>
        <v>91.05</v>
      </c>
      <c r="J227" s="36">
        <f>IF(Source!BA163&lt;&gt; 0, Source!BA163, 1)</f>
        <v>54.99</v>
      </c>
      <c r="K227" s="39">
        <f>Source!S163</f>
        <v>5006.84</v>
      </c>
    </row>
    <row r="228" spans="1:29" ht="14.25" x14ac:dyDescent="0.2">
      <c r="A228" s="35"/>
      <c r="B228" s="35"/>
      <c r="C228" s="35" t="s">
        <v>504</v>
      </c>
      <c r="D228" s="37"/>
      <c r="E228" s="36"/>
      <c r="F228" s="39">
        <f>Source!AL162</f>
        <v>0.37</v>
      </c>
      <c r="G228" s="38" t="str">
        <f>Source!DD162</f>
        <v/>
      </c>
      <c r="H228" s="36">
        <f>Source!AW163</f>
        <v>1</v>
      </c>
      <c r="I228" s="39">
        <f>Source!P162</f>
        <v>0.37</v>
      </c>
      <c r="J228" s="36">
        <f>IF(Source!BC163&lt;&gt; 0, Source!BC163, 1)</f>
        <v>9.89</v>
      </c>
      <c r="K228" s="39">
        <f>Source!P163</f>
        <v>3.66</v>
      </c>
    </row>
    <row r="229" spans="1:29" ht="68.25" x14ac:dyDescent="0.2">
      <c r="A229" s="41" t="s">
        <v>225</v>
      </c>
      <c r="B229" s="41" t="str">
        <f>Source!F164</f>
        <v>КА-14</v>
      </c>
      <c r="C229" s="41" t="s">
        <v>529</v>
      </c>
      <c r="D229" s="42" t="str">
        <f>Source!H164</f>
        <v>ШТ</v>
      </c>
      <c r="E229" s="43">
        <f>Source!I164</f>
        <v>1</v>
      </c>
      <c r="F229" s="44">
        <f>Source!AK164</f>
        <v>1349.4399999999998</v>
      </c>
      <c r="G229" s="45" t="s">
        <v>3</v>
      </c>
      <c r="H229" s="43">
        <f>Source!AW165</f>
        <v>1</v>
      </c>
      <c r="I229" s="44">
        <f>Source!O164</f>
        <v>1349.44</v>
      </c>
      <c r="J229" s="43">
        <f>IF(Source!BC165&lt;&gt; 0, Source!BC165, 1)</f>
        <v>7.66</v>
      </c>
      <c r="K229" s="44">
        <f>Source!O165</f>
        <v>10336.709999999999</v>
      </c>
      <c r="Q229">
        <f>Source!X164</f>
        <v>0</v>
      </c>
      <c r="R229">
        <f>Source!X165</f>
        <v>0</v>
      </c>
      <c r="S229">
        <f>Source!Y164</f>
        <v>0</v>
      </c>
      <c r="T229">
        <f>Source!Y165</f>
        <v>0</v>
      </c>
      <c r="U229">
        <f>ROUND((175/100)*ROUND(Source!R164, 2), 2)</f>
        <v>0</v>
      </c>
      <c r="V229">
        <f>ROUND((0/100)*ROUND(Source!R165, 2), 2)</f>
        <v>0</v>
      </c>
      <c r="AC229">
        <v>5</v>
      </c>
    </row>
    <row r="230" spans="1:29" ht="14.25" x14ac:dyDescent="0.2">
      <c r="A230" s="35"/>
      <c r="B230" s="35"/>
      <c r="C230" s="35" t="s">
        <v>506</v>
      </c>
      <c r="D230" s="37" t="s">
        <v>507</v>
      </c>
      <c r="E230" s="36">
        <f>Source!BZ163</f>
        <v>95</v>
      </c>
      <c r="F230" s="39"/>
      <c r="G230" s="38"/>
      <c r="H230" s="36"/>
      <c r="I230" s="39">
        <f>SUM(Q226:Q229)</f>
        <v>86.5</v>
      </c>
      <c r="J230" s="36">
        <f>Source!AT163</f>
        <v>95</v>
      </c>
      <c r="K230" s="39">
        <f>SUM(R226:R229)</f>
        <v>4756.5</v>
      </c>
    </row>
    <row r="231" spans="1:29" ht="14.25" x14ac:dyDescent="0.2">
      <c r="A231" s="35"/>
      <c r="B231" s="35"/>
      <c r="C231" s="35" t="s">
        <v>508</v>
      </c>
      <c r="D231" s="37" t="s">
        <v>507</v>
      </c>
      <c r="E231" s="36">
        <f>Source!CA163</f>
        <v>53</v>
      </c>
      <c r="F231" s="39"/>
      <c r="G231" s="38"/>
      <c r="H231" s="36"/>
      <c r="I231" s="39">
        <f>SUM(S226:S230)</f>
        <v>48.26</v>
      </c>
      <c r="J231" s="36">
        <f>Source!AU163</f>
        <v>53</v>
      </c>
      <c r="K231" s="39">
        <f>SUM(T226:T230)</f>
        <v>2653.63</v>
      </c>
    </row>
    <row r="232" spans="1:29" ht="14.25" x14ac:dyDescent="0.2">
      <c r="A232" s="46"/>
      <c r="B232" s="46"/>
      <c r="C232" s="46" t="s">
        <v>509</v>
      </c>
      <c r="D232" s="47" t="s">
        <v>510</v>
      </c>
      <c r="E232" s="48">
        <f>Source!AQ162</f>
        <v>5.37</v>
      </c>
      <c r="F232" s="49"/>
      <c r="G232" s="50" t="str">
        <f>Source!DI162</f>
        <v>*1,1</v>
      </c>
      <c r="H232" s="48">
        <f>Source!AV163</f>
        <v>1.087</v>
      </c>
      <c r="I232" s="49">
        <f>Source!U162</f>
        <v>6.4209090000000009</v>
      </c>
      <c r="J232" s="48"/>
      <c r="K232" s="49"/>
    </row>
    <row r="233" spans="1:29" ht="15" x14ac:dyDescent="0.2">
      <c r="C233" s="51" t="s">
        <v>511</v>
      </c>
      <c r="H233" s="52">
        <f>I227+I228+I230+I231+SUM(I229:I229)-SUMIF(AC229:AC229, 5, I229:I229)-SUMIF(AC229:AC229, 6, I229:I229)</f>
        <v>226.18000000000006</v>
      </c>
      <c r="I233" s="52"/>
      <c r="J233" s="52">
        <f>K227+K228+K230+K231+SUM(K229:K229)-SUMIF(AC229:AC229, 5, K229:K229)-SUMIF(AC229:AC229, 6, K229:K229)</f>
        <v>12420.630000000001</v>
      </c>
      <c r="K233" s="52"/>
    </row>
    <row r="234" spans="1:29" ht="15" x14ac:dyDescent="0.2">
      <c r="C234" s="51" t="s">
        <v>512</v>
      </c>
      <c r="H234" s="54">
        <f>SUMIF(AC229:AC229, 5, I229:I229)+SUMIF(AC229:AC229, 6, I229:I229)</f>
        <v>1349.44</v>
      </c>
      <c r="I234" s="54"/>
      <c r="J234" s="54">
        <f>SUMIF(AC229:AC229, 5, K229:K229)+SUMIF(AC229:AC229, 6, K229:K229)</f>
        <v>10336.709999999999</v>
      </c>
      <c r="K234" s="54"/>
    </row>
    <row r="235" spans="1:29" ht="15" x14ac:dyDescent="0.2">
      <c r="C235" s="51" t="s">
        <v>513</v>
      </c>
      <c r="H235" s="54">
        <f>I227+I228+I230+I231+SUM(I229:I229)</f>
        <v>1575.6200000000001</v>
      </c>
      <c r="I235" s="54"/>
      <c r="J235" s="54">
        <f>K227+K228+K230+K231+SUM(K229:K229)</f>
        <v>22757.34</v>
      </c>
      <c r="K235" s="54"/>
      <c r="O235" s="55">
        <f>I227+I228+I230+I231+SUM(I229:I229)</f>
        <v>1575.6200000000001</v>
      </c>
      <c r="P235" s="55">
        <f>K227+K228+K230+K231+SUM(K229:K229)</f>
        <v>22757.34</v>
      </c>
    </row>
    <row r="237" spans="1:29" ht="57" x14ac:dyDescent="0.2">
      <c r="A237" s="35">
        <v>22</v>
      </c>
      <c r="B237" s="35" t="str">
        <f>Source!F166</f>
        <v>4.10-134-3</v>
      </c>
      <c r="C237" s="35" t="s">
        <v>231</v>
      </c>
      <c r="D237" s="37" t="str">
        <f>Source!H166</f>
        <v>1 Т</v>
      </c>
      <c r="E237" s="36">
        <f>Source!I166</f>
        <v>5.1000000000000004E-3</v>
      </c>
      <c r="F237" s="39"/>
      <c r="G237" s="38"/>
      <c r="H237" s="36"/>
      <c r="I237" s="39"/>
      <c r="J237" s="36"/>
      <c r="K237" s="39"/>
      <c r="Q237">
        <f>Source!X166</f>
        <v>2.52</v>
      </c>
      <c r="R237">
        <f>Source!X167</f>
        <v>138.43</v>
      </c>
      <c r="S237">
        <f>Source!Y166</f>
        <v>1.4</v>
      </c>
      <c r="T237">
        <f>Source!Y167</f>
        <v>77.23</v>
      </c>
      <c r="U237">
        <f>ROUND((175/100)*ROUND(Source!R166, 2), 2)</f>
        <v>0</v>
      </c>
      <c r="V237">
        <f>ROUND((0/100)*ROUND(Source!R167, 2), 2)</f>
        <v>0</v>
      </c>
      <c r="AC237">
        <v>0</v>
      </c>
    </row>
    <row r="238" spans="1:29" x14ac:dyDescent="0.2">
      <c r="C238" s="56" t="str">
        <f>"Объем: "&amp;Source!I166&amp;"=5,1/"&amp;"1000"</f>
        <v>Объем: 0,0051=5,1/1000</v>
      </c>
    </row>
    <row r="239" spans="1:29" ht="14.25" x14ac:dyDescent="0.2">
      <c r="A239" s="35"/>
      <c r="B239" s="35"/>
      <c r="C239" s="35" t="s">
        <v>501</v>
      </c>
      <c r="D239" s="37"/>
      <c r="E239" s="36"/>
      <c r="F239" s="39">
        <f>Source!AO166</f>
        <v>434.24</v>
      </c>
      <c r="G239" s="38" t="str">
        <f>Source!DG166</f>
        <v>*1,1</v>
      </c>
      <c r="H239" s="36">
        <f>Source!AV167</f>
        <v>1.087</v>
      </c>
      <c r="I239" s="39">
        <f>Source!S166</f>
        <v>2.65</v>
      </c>
      <c r="J239" s="36">
        <f>IF(Source!BA167&lt;&gt; 0, Source!BA167, 1)</f>
        <v>54.99</v>
      </c>
      <c r="K239" s="39">
        <f>Source!S167</f>
        <v>145.72</v>
      </c>
    </row>
    <row r="240" spans="1:29" ht="14.25" x14ac:dyDescent="0.2">
      <c r="A240" s="35"/>
      <c r="B240" s="35"/>
      <c r="C240" s="35" t="s">
        <v>502</v>
      </c>
      <c r="D240" s="37"/>
      <c r="E240" s="36"/>
      <c r="F240" s="39">
        <f>Source!AM166</f>
        <v>1.96</v>
      </c>
      <c r="G240" s="38" t="str">
        <f>Source!DE166</f>
        <v>*1,1</v>
      </c>
      <c r="H240" s="36">
        <f>Source!AV167</f>
        <v>1.087</v>
      </c>
      <c r="I240" s="39">
        <f>Source!Q166</f>
        <v>0.01</v>
      </c>
      <c r="J240" s="36">
        <f>IF(Source!BB167&lt;&gt; 0, Source!BB167, 1)</f>
        <v>12.1</v>
      </c>
      <c r="K240" s="39">
        <f>Source!Q167</f>
        <v>0.12</v>
      </c>
    </row>
    <row r="241" spans="1:29" ht="14.25" x14ac:dyDescent="0.2">
      <c r="A241" s="35"/>
      <c r="B241" s="35"/>
      <c r="C241" s="35" t="s">
        <v>504</v>
      </c>
      <c r="D241" s="37"/>
      <c r="E241" s="36"/>
      <c r="F241" s="39">
        <f>Source!AL166</f>
        <v>109.27</v>
      </c>
      <c r="G241" s="38" t="str">
        <f>Source!DD166</f>
        <v/>
      </c>
      <c r="H241" s="36">
        <f>Source!AW167</f>
        <v>1</v>
      </c>
      <c r="I241" s="39">
        <f>Source!P166</f>
        <v>0.56000000000000005</v>
      </c>
      <c r="J241" s="36">
        <f>IF(Source!BC167&lt;&gt; 0, Source!BC167, 1)</f>
        <v>9.89</v>
      </c>
      <c r="K241" s="39">
        <f>Source!P167</f>
        <v>5.54</v>
      </c>
    </row>
    <row r="242" spans="1:29" ht="14.25" x14ac:dyDescent="0.2">
      <c r="A242" s="35"/>
      <c r="B242" s="35"/>
      <c r="C242" s="35" t="s">
        <v>506</v>
      </c>
      <c r="D242" s="37" t="s">
        <v>507</v>
      </c>
      <c r="E242" s="36">
        <f>Source!BZ167</f>
        <v>95</v>
      </c>
      <c r="F242" s="39"/>
      <c r="G242" s="38"/>
      <c r="H242" s="36"/>
      <c r="I242" s="39">
        <f>SUM(Q237:Q241)</f>
        <v>2.52</v>
      </c>
      <c r="J242" s="36">
        <f>Source!AT167</f>
        <v>95</v>
      </c>
      <c r="K242" s="39">
        <f>SUM(R237:R241)</f>
        <v>138.43</v>
      </c>
    </row>
    <row r="243" spans="1:29" ht="14.25" x14ac:dyDescent="0.2">
      <c r="A243" s="35"/>
      <c r="B243" s="35"/>
      <c r="C243" s="35" t="s">
        <v>508</v>
      </c>
      <c r="D243" s="37" t="s">
        <v>507</v>
      </c>
      <c r="E243" s="36">
        <f>Source!CA167</f>
        <v>53</v>
      </c>
      <c r="F243" s="39"/>
      <c r="G243" s="38"/>
      <c r="H243" s="36"/>
      <c r="I243" s="39">
        <f>SUM(S237:S242)</f>
        <v>1.4</v>
      </c>
      <c r="J243" s="36">
        <f>Source!AU167</f>
        <v>53</v>
      </c>
      <c r="K243" s="39">
        <f>SUM(T237:T242)</f>
        <v>77.23</v>
      </c>
    </row>
    <row r="244" spans="1:29" ht="14.25" x14ac:dyDescent="0.2">
      <c r="A244" s="46"/>
      <c r="B244" s="46"/>
      <c r="C244" s="46" t="s">
        <v>509</v>
      </c>
      <c r="D244" s="47" t="s">
        <v>510</v>
      </c>
      <c r="E244" s="48">
        <f>Source!AQ166</f>
        <v>32</v>
      </c>
      <c r="F244" s="49"/>
      <c r="G244" s="50" t="str">
        <f>Source!DI166</f>
        <v>*1,1</v>
      </c>
      <c r="H244" s="48">
        <f>Source!AV167</f>
        <v>1.087</v>
      </c>
      <c r="I244" s="49">
        <f>Source!U166</f>
        <v>0.19513824000000002</v>
      </c>
      <c r="J244" s="48"/>
      <c r="K244" s="49"/>
    </row>
    <row r="245" spans="1:29" ht="15" x14ac:dyDescent="0.2">
      <c r="C245" s="51" t="s">
        <v>511</v>
      </c>
      <c r="H245" s="52">
        <f>I239+I240+I241+I242+I243+0-0-0</f>
        <v>7.1400000000000006</v>
      </c>
      <c r="I245" s="52"/>
      <c r="J245" s="52">
        <f>K239+K240+K241+K242+K243+0-0-0</f>
        <v>367.04</v>
      </c>
      <c r="K245" s="52"/>
    </row>
    <row r="246" spans="1:29" ht="15" hidden="1" x14ac:dyDescent="0.2">
      <c r="C246" s="51" t="s">
        <v>512</v>
      </c>
      <c r="H246" s="54">
        <f>0+0</f>
        <v>0</v>
      </c>
      <c r="I246" s="54"/>
      <c r="J246" s="54">
        <f>0+0</f>
        <v>0</v>
      </c>
      <c r="K246" s="54"/>
    </row>
    <row r="247" spans="1:29" ht="15" x14ac:dyDescent="0.2">
      <c r="C247" s="51" t="s">
        <v>513</v>
      </c>
      <c r="H247" s="54">
        <f>I239+I240+I241+I242+I243+0</f>
        <v>7.1400000000000006</v>
      </c>
      <c r="I247" s="54"/>
      <c r="J247" s="54">
        <f>K239+K240+K241+K242+K243+0</f>
        <v>367.04</v>
      </c>
      <c r="K247" s="54"/>
      <c r="O247" s="55">
        <f>I239+I240+I241+I242+I243+0</f>
        <v>7.1400000000000006</v>
      </c>
      <c r="P247" s="55">
        <f>K239+K240+K241+K242+K243+0</f>
        <v>367.04</v>
      </c>
    </row>
    <row r="249" spans="1:29" ht="57" x14ac:dyDescent="0.2">
      <c r="A249" s="61">
        <v>23</v>
      </c>
      <c r="B249" s="61" t="str">
        <f>Source!F168</f>
        <v>13.1-2-575</v>
      </c>
      <c r="C249" s="61" t="s">
        <v>530</v>
      </c>
      <c r="D249" s="62" t="str">
        <f>Source!H168</f>
        <v>шт.</v>
      </c>
      <c r="E249" s="63">
        <f>Source!I168</f>
        <v>1</v>
      </c>
      <c r="F249" s="64">
        <f>Source!AL168</f>
        <v>342.13</v>
      </c>
      <c r="G249" s="65" t="str">
        <f>Source!DD168</f>
        <v/>
      </c>
      <c r="H249" s="63">
        <f>Source!AW169</f>
        <v>1</v>
      </c>
      <c r="I249" s="64">
        <f>Source!P168</f>
        <v>342.13</v>
      </c>
      <c r="J249" s="63">
        <f>IF(Source!BC169&lt;&gt; 0, Source!BC169, 1)</f>
        <v>14.06</v>
      </c>
      <c r="K249" s="64">
        <f>Source!P169</f>
        <v>4810.3500000000004</v>
      </c>
      <c r="Q249">
        <f>Source!X168</f>
        <v>0</v>
      </c>
      <c r="R249">
        <f>Source!X169</f>
        <v>0</v>
      </c>
      <c r="S249">
        <f>Source!Y168</f>
        <v>0</v>
      </c>
      <c r="T249">
        <f>Source!Y169</f>
        <v>0</v>
      </c>
      <c r="U249">
        <f>ROUND((175/100)*ROUND(Source!R168, 2), 2)</f>
        <v>0</v>
      </c>
      <c r="V249">
        <f>ROUND((0/100)*ROUND(Source!R169, 2), 2)</f>
        <v>0</v>
      </c>
      <c r="AC249">
        <v>5</v>
      </c>
    </row>
    <row r="250" spans="1:29" ht="15" x14ac:dyDescent="0.2">
      <c r="A250" s="66"/>
      <c r="B250" s="66"/>
      <c r="C250" s="67" t="s">
        <v>513</v>
      </c>
      <c r="D250" s="66"/>
      <c r="E250" s="66"/>
      <c r="F250" s="66"/>
      <c r="G250" s="66"/>
      <c r="H250" s="68">
        <f>I249+0</f>
        <v>342.13</v>
      </c>
      <c r="I250" s="68"/>
      <c r="J250" s="68">
        <f>K249+0</f>
        <v>4810.3500000000004</v>
      </c>
      <c r="K250" s="68"/>
      <c r="O250" s="55">
        <f>I249+0</f>
        <v>342.13</v>
      </c>
      <c r="P250" s="55">
        <f>K249+0</f>
        <v>4810.3500000000004</v>
      </c>
    </row>
    <row r="252" spans="1:29" ht="54" x14ac:dyDescent="0.2">
      <c r="A252" s="46">
        <v>24</v>
      </c>
      <c r="B252" s="46" t="str">
        <f>Source!F170</f>
        <v>КА-15</v>
      </c>
      <c r="C252" s="46" t="s">
        <v>531</v>
      </c>
      <c r="D252" s="47" t="str">
        <f>Source!H170</f>
        <v>ШТ</v>
      </c>
      <c r="E252" s="48">
        <f>Source!I170</f>
        <v>1</v>
      </c>
      <c r="F252" s="49">
        <f>Source!AL170</f>
        <v>4183.2300000000005</v>
      </c>
      <c r="G252" s="50" t="str">
        <f>Source!DD170</f>
        <v/>
      </c>
      <c r="H252" s="48">
        <f>Source!AW171</f>
        <v>1</v>
      </c>
      <c r="I252" s="49">
        <f>Source!P170</f>
        <v>4183.2299999999996</v>
      </c>
      <c r="J252" s="48">
        <f>IF(Source!BC171&lt;&gt; 0, Source!BC171, 1)</f>
        <v>9.8800000000000008</v>
      </c>
      <c r="K252" s="49">
        <f>Source!P171</f>
        <v>41330.31</v>
      </c>
      <c r="Q252">
        <f>Source!X170</f>
        <v>0</v>
      </c>
      <c r="R252">
        <f>Source!X171</f>
        <v>0</v>
      </c>
      <c r="S252">
        <f>Source!Y170</f>
        <v>0</v>
      </c>
      <c r="T252">
        <f>Source!Y171</f>
        <v>0</v>
      </c>
      <c r="U252">
        <f>ROUND((175/100)*ROUND(Source!R170, 2), 2)</f>
        <v>0</v>
      </c>
      <c r="V252">
        <f>ROUND((0/100)*ROUND(Source!R171, 2), 2)</f>
        <v>0</v>
      </c>
      <c r="AC252">
        <v>3</v>
      </c>
    </row>
    <row r="253" spans="1:29" ht="15" x14ac:dyDescent="0.2">
      <c r="C253" s="51" t="s">
        <v>513</v>
      </c>
      <c r="H253" s="52">
        <f>I252+0</f>
        <v>4183.2299999999996</v>
      </c>
      <c r="I253" s="52"/>
      <c r="J253" s="52">
        <f>K252+0</f>
        <v>41330.31</v>
      </c>
      <c r="K253" s="52"/>
      <c r="O253" s="55">
        <f>I252+0</f>
        <v>4183.2299999999996</v>
      </c>
      <c r="P253" s="55">
        <f>K252+0</f>
        <v>41330.31</v>
      </c>
    </row>
    <row r="255" spans="1:29" ht="55.5" x14ac:dyDescent="0.2">
      <c r="A255" s="46">
        <v>25</v>
      </c>
      <c r="B255" s="46" t="str">
        <f>Source!F172</f>
        <v>КА-16</v>
      </c>
      <c r="C255" s="46" t="s">
        <v>532</v>
      </c>
      <c r="D255" s="47" t="str">
        <f>Source!H172</f>
        <v>ШТ</v>
      </c>
      <c r="E255" s="48">
        <f>Source!I172</f>
        <v>1</v>
      </c>
      <c r="F255" s="49">
        <f>Source!AL172</f>
        <v>249.48999999999998</v>
      </c>
      <c r="G255" s="50" t="str">
        <f>Source!DD172</f>
        <v/>
      </c>
      <c r="H255" s="48">
        <f>Source!AW173</f>
        <v>1</v>
      </c>
      <c r="I255" s="49">
        <f>Source!P172</f>
        <v>249.49</v>
      </c>
      <c r="J255" s="48">
        <f>IF(Source!BC173&lt;&gt; 0, Source!BC173, 1)</f>
        <v>9.8800000000000008</v>
      </c>
      <c r="K255" s="49">
        <f>Source!P173</f>
        <v>2464.96</v>
      </c>
      <c r="Q255">
        <f>Source!X172</f>
        <v>0</v>
      </c>
      <c r="R255">
        <f>Source!X173</f>
        <v>0</v>
      </c>
      <c r="S255">
        <f>Source!Y172</f>
        <v>0</v>
      </c>
      <c r="T255">
        <f>Source!Y173</f>
        <v>0</v>
      </c>
      <c r="U255">
        <f>ROUND((175/100)*ROUND(Source!R172, 2), 2)</f>
        <v>0</v>
      </c>
      <c r="V255">
        <f>ROUND((0/100)*ROUND(Source!R173, 2), 2)</f>
        <v>0</v>
      </c>
      <c r="AC255">
        <v>3</v>
      </c>
    </row>
    <row r="256" spans="1:29" ht="15" x14ac:dyDescent="0.2">
      <c r="C256" s="51" t="s">
        <v>513</v>
      </c>
      <c r="H256" s="52">
        <f>I255+0</f>
        <v>249.49</v>
      </c>
      <c r="I256" s="52"/>
      <c r="J256" s="52">
        <f>K255+0</f>
        <v>2464.96</v>
      </c>
      <c r="K256" s="52"/>
      <c r="O256" s="55">
        <f>I255+0</f>
        <v>249.49</v>
      </c>
      <c r="P256" s="55">
        <f>K255+0</f>
        <v>2464.96</v>
      </c>
    </row>
    <row r="258" spans="1:29" ht="28.5" x14ac:dyDescent="0.2">
      <c r="A258" s="35">
        <v>26</v>
      </c>
      <c r="B258" s="35" t="str">
        <f>Source!F174</f>
        <v>4.10-21-5</v>
      </c>
      <c r="C258" s="35" t="s">
        <v>247</v>
      </c>
      <c r="D258" s="37" t="str">
        <f>Source!H174</f>
        <v>1 комплект</v>
      </c>
      <c r="E258" s="36">
        <f>Source!I174</f>
        <v>1</v>
      </c>
      <c r="F258" s="39"/>
      <c r="G258" s="38"/>
      <c r="H258" s="36"/>
      <c r="I258" s="39"/>
      <c r="J258" s="36"/>
      <c r="K258" s="39"/>
      <c r="Q258">
        <f>Source!X174</f>
        <v>39.24</v>
      </c>
      <c r="R258">
        <f>Source!X175</f>
        <v>2157.8000000000002</v>
      </c>
      <c r="S258">
        <f>Source!Y174</f>
        <v>20.059999999999999</v>
      </c>
      <c r="T258">
        <f>Source!Y175</f>
        <v>1102.8800000000001</v>
      </c>
      <c r="U258">
        <f>ROUND((175/100)*ROUND(Source!R174, 2), 2)</f>
        <v>0</v>
      </c>
      <c r="V258">
        <f>ROUND((0/100)*ROUND(Source!R175, 2), 2)</f>
        <v>0</v>
      </c>
      <c r="AC258">
        <v>0</v>
      </c>
    </row>
    <row r="259" spans="1:29" ht="14.25" x14ac:dyDescent="0.2">
      <c r="A259" s="35"/>
      <c r="B259" s="35"/>
      <c r="C259" s="35" t="s">
        <v>501</v>
      </c>
      <c r="D259" s="37"/>
      <c r="E259" s="36"/>
      <c r="F259" s="39">
        <f>Source!AO174</f>
        <v>37.86</v>
      </c>
      <c r="G259" s="38" t="str">
        <f>Source!DG174</f>
        <v>*1,1</v>
      </c>
      <c r="H259" s="36">
        <f>Source!AV175</f>
        <v>1.0469999999999999</v>
      </c>
      <c r="I259" s="39">
        <f>Source!S174</f>
        <v>43.6</v>
      </c>
      <c r="J259" s="36">
        <f>IF(Source!BA175&lt;&gt; 0, Source!BA175, 1)</f>
        <v>54.99</v>
      </c>
      <c r="K259" s="39">
        <f>Source!S175</f>
        <v>2397.56</v>
      </c>
    </row>
    <row r="260" spans="1:29" ht="14.25" x14ac:dyDescent="0.2">
      <c r="A260" s="35"/>
      <c r="B260" s="35"/>
      <c r="C260" s="35" t="s">
        <v>504</v>
      </c>
      <c r="D260" s="37"/>
      <c r="E260" s="36"/>
      <c r="F260" s="39">
        <f>Source!AL174</f>
        <v>42.61</v>
      </c>
      <c r="G260" s="38" t="str">
        <f>Source!DD174</f>
        <v/>
      </c>
      <c r="H260" s="36">
        <f>Source!AW175</f>
        <v>1</v>
      </c>
      <c r="I260" s="39">
        <f>Source!P174</f>
        <v>42.61</v>
      </c>
      <c r="J260" s="36">
        <f>IF(Source!BC175&lt;&gt; 0, Source!BC175, 1)</f>
        <v>5.35</v>
      </c>
      <c r="K260" s="39">
        <f>Source!P175</f>
        <v>227.96</v>
      </c>
    </row>
    <row r="261" spans="1:29" ht="54" x14ac:dyDescent="0.2">
      <c r="A261" s="41" t="s">
        <v>250</v>
      </c>
      <c r="B261" s="41" t="str">
        <f>Source!F176</f>
        <v>КА-17</v>
      </c>
      <c r="C261" s="41" t="s">
        <v>533</v>
      </c>
      <c r="D261" s="42" t="str">
        <f>Source!H176</f>
        <v>ШТ</v>
      </c>
      <c r="E261" s="43">
        <f>Source!I176</f>
        <v>1</v>
      </c>
      <c r="F261" s="44">
        <f>Source!AK176</f>
        <v>462.21000000000004</v>
      </c>
      <c r="G261" s="45" t="s">
        <v>3</v>
      </c>
      <c r="H261" s="43">
        <f>Source!AW177</f>
        <v>1</v>
      </c>
      <c r="I261" s="44">
        <f>Source!O176</f>
        <v>462.21</v>
      </c>
      <c r="J261" s="43">
        <f>IF(Source!BC177&lt;&gt; 0, Source!BC177, 1)</f>
        <v>7.66</v>
      </c>
      <c r="K261" s="44">
        <f>Source!O177</f>
        <v>3540.53</v>
      </c>
      <c r="Q261">
        <f>Source!X176</f>
        <v>0</v>
      </c>
      <c r="R261">
        <f>Source!X177</f>
        <v>0</v>
      </c>
      <c r="S261">
        <f>Source!Y176</f>
        <v>0</v>
      </c>
      <c r="T261">
        <f>Source!Y177</f>
        <v>0</v>
      </c>
      <c r="U261">
        <f>ROUND((175/100)*ROUND(Source!R176, 2), 2)</f>
        <v>0</v>
      </c>
      <c r="V261">
        <f>ROUND((0/100)*ROUND(Source!R177, 2), 2)</f>
        <v>0</v>
      </c>
      <c r="AC261">
        <v>5</v>
      </c>
    </row>
    <row r="262" spans="1:29" ht="14.25" x14ac:dyDescent="0.2">
      <c r="A262" s="35"/>
      <c r="B262" s="35"/>
      <c r="C262" s="35" t="s">
        <v>506</v>
      </c>
      <c r="D262" s="37" t="s">
        <v>507</v>
      </c>
      <c r="E262" s="36">
        <f>Source!BZ175</f>
        <v>90</v>
      </c>
      <c r="F262" s="39"/>
      <c r="G262" s="38"/>
      <c r="H262" s="36"/>
      <c r="I262" s="39">
        <f>SUM(Q258:Q261)</f>
        <v>39.24</v>
      </c>
      <c r="J262" s="36">
        <f>Source!AT175</f>
        <v>90</v>
      </c>
      <c r="K262" s="39">
        <f>SUM(R258:R261)</f>
        <v>2157.8000000000002</v>
      </c>
    </row>
    <row r="263" spans="1:29" ht="14.25" x14ac:dyDescent="0.2">
      <c r="A263" s="35"/>
      <c r="B263" s="35"/>
      <c r="C263" s="35" t="s">
        <v>508</v>
      </c>
      <c r="D263" s="37" t="s">
        <v>507</v>
      </c>
      <c r="E263" s="36">
        <f>Source!CA175</f>
        <v>46</v>
      </c>
      <c r="F263" s="39"/>
      <c r="G263" s="38"/>
      <c r="H263" s="36"/>
      <c r="I263" s="39">
        <f>SUM(S258:S262)</f>
        <v>20.059999999999999</v>
      </c>
      <c r="J263" s="36">
        <f>Source!AU175</f>
        <v>46</v>
      </c>
      <c r="K263" s="39">
        <f>SUM(T258:T262)</f>
        <v>1102.8800000000001</v>
      </c>
    </row>
    <row r="264" spans="1:29" ht="14.25" x14ac:dyDescent="0.2">
      <c r="A264" s="46"/>
      <c r="B264" s="46"/>
      <c r="C264" s="46" t="s">
        <v>509</v>
      </c>
      <c r="D264" s="47" t="s">
        <v>510</v>
      </c>
      <c r="E264" s="48">
        <f>Source!AQ174</f>
        <v>3</v>
      </c>
      <c r="F264" s="49"/>
      <c r="G264" s="50" t="str">
        <f>Source!DI174</f>
        <v>*1,1</v>
      </c>
      <c r="H264" s="48">
        <f>Source!AV175</f>
        <v>1.0469999999999999</v>
      </c>
      <c r="I264" s="49">
        <f>Source!U174</f>
        <v>3.4550999999999998</v>
      </c>
      <c r="J264" s="48"/>
      <c r="K264" s="49"/>
    </row>
    <row r="265" spans="1:29" ht="15" x14ac:dyDescent="0.2">
      <c r="C265" s="51" t="s">
        <v>511</v>
      </c>
      <c r="H265" s="52">
        <f>I259+I260+I262+I263+SUM(I261:I261)-SUMIF(AC261:AC261, 5, I261:I261)-SUMIF(AC261:AC261, 6, I261:I261)</f>
        <v>145.51000000000005</v>
      </c>
      <c r="I265" s="52"/>
      <c r="J265" s="52">
        <f>K259+K260+K262+K263+SUM(K261:K261)-SUMIF(AC261:AC261, 5, K261:K261)-SUMIF(AC261:AC261, 6, K261:K261)</f>
        <v>5886.1999999999989</v>
      </c>
      <c r="K265" s="52"/>
    </row>
    <row r="266" spans="1:29" ht="15" x14ac:dyDescent="0.2">
      <c r="C266" s="51" t="s">
        <v>512</v>
      </c>
      <c r="H266" s="54">
        <f>SUMIF(AC261:AC261, 5, I261:I261)+SUMIF(AC261:AC261, 6, I261:I261)</f>
        <v>462.21</v>
      </c>
      <c r="I266" s="54"/>
      <c r="J266" s="54">
        <f>SUMIF(AC261:AC261, 5, K261:K261)+SUMIF(AC261:AC261, 6, K261:K261)</f>
        <v>3540.53</v>
      </c>
      <c r="K266" s="54"/>
    </row>
    <row r="267" spans="1:29" ht="15" x14ac:dyDescent="0.2">
      <c r="C267" s="51" t="s">
        <v>513</v>
      </c>
      <c r="H267" s="54">
        <f>I259+I260+I262+I263+SUM(I261:I261)</f>
        <v>607.72</v>
      </c>
      <c r="I267" s="54"/>
      <c r="J267" s="54">
        <f>K259+K260+K262+K263+SUM(K261:K261)</f>
        <v>9426.73</v>
      </c>
      <c r="K267" s="54"/>
      <c r="O267" s="55">
        <f>I259+I260+I262+I263+SUM(I261:I261)</f>
        <v>607.72</v>
      </c>
      <c r="P267" s="55">
        <f>K259+K260+K262+K263+SUM(K261:K261)</f>
        <v>9426.73</v>
      </c>
    </row>
    <row r="269" spans="1:29" ht="28.5" x14ac:dyDescent="0.2">
      <c r="A269" s="46">
        <v>27</v>
      </c>
      <c r="B269" s="46" t="str">
        <f>Source!F178</f>
        <v>1.14-1-280</v>
      </c>
      <c r="C269" s="46" t="s">
        <v>256</v>
      </c>
      <c r="D269" s="47" t="str">
        <f>Source!H178</f>
        <v>шт.</v>
      </c>
      <c r="E269" s="48">
        <f>Source!I178</f>
        <v>10</v>
      </c>
      <c r="F269" s="49">
        <f>Source!AL178</f>
        <v>9.1199999999999992</v>
      </c>
      <c r="G269" s="50" t="str">
        <f>Source!DD178</f>
        <v/>
      </c>
      <c r="H269" s="48">
        <f>Source!AW179</f>
        <v>1</v>
      </c>
      <c r="I269" s="49">
        <f>Source!P178</f>
        <v>91.2</v>
      </c>
      <c r="J269" s="48">
        <f>IF(Source!BC179&lt;&gt; 0, Source!BC179, 1)</f>
        <v>2.68</v>
      </c>
      <c r="K269" s="49">
        <f>Source!P179</f>
        <v>244.42</v>
      </c>
      <c r="Q269">
        <f>Source!X178</f>
        <v>0</v>
      </c>
      <c r="R269">
        <f>Source!X179</f>
        <v>0</v>
      </c>
      <c r="S269">
        <f>Source!Y178</f>
        <v>0</v>
      </c>
      <c r="T269">
        <f>Source!Y179</f>
        <v>0</v>
      </c>
      <c r="U269">
        <f>ROUND((175/100)*ROUND(Source!R178, 2), 2)</f>
        <v>0</v>
      </c>
      <c r="V269">
        <f>ROUND((0/100)*ROUND(Source!R179, 2), 2)</f>
        <v>0</v>
      </c>
      <c r="AC269">
        <v>3</v>
      </c>
    </row>
    <row r="270" spans="1:29" ht="15" x14ac:dyDescent="0.2">
      <c r="C270" s="51" t="s">
        <v>513</v>
      </c>
      <c r="H270" s="52">
        <f>I269+0</f>
        <v>91.2</v>
      </c>
      <c r="I270" s="52"/>
      <c r="J270" s="52">
        <f>K269+0</f>
        <v>244.42</v>
      </c>
      <c r="K270" s="52"/>
      <c r="O270" s="55">
        <f>I269+0</f>
        <v>91.2</v>
      </c>
      <c r="P270" s="55">
        <f>K269+0</f>
        <v>244.42</v>
      </c>
    </row>
    <row r="272" spans="1:29" ht="42.75" x14ac:dyDescent="0.2">
      <c r="A272" s="35">
        <v>28</v>
      </c>
      <c r="B272" s="35" t="str">
        <f>Source!F180</f>
        <v>1.14-1-582</v>
      </c>
      <c r="C272" s="35" t="s">
        <v>263</v>
      </c>
      <c r="D272" s="37" t="str">
        <f>Source!H180</f>
        <v>100 шт.</v>
      </c>
      <c r="E272" s="36">
        <f>Source!I180</f>
        <v>0.04</v>
      </c>
      <c r="F272" s="39">
        <f>Source!AL180</f>
        <v>35.4</v>
      </c>
      <c r="G272" s="38" t="str">
        <f>Source!DD180</f>
        <v/>
      </c>
      <c r="H272" s="36">
        <f>Source!AW181</f>
        <v>1</v>
      </c>
      <c r="I272" s="39">
        <f>Source!P180</f>
        <v>1.42</v>
      </c>
      <c r="J272" s="36">
        <f>IF(Source!BC181&lt;&gt; 0, Source!BC181, 1)</f>
        <v>13.11</v>
      </c>
      <c r="K272" s="39">
        <f>Source!P181</f>
        <v>18.62</v>
      </c>
      <c r="Q272">
        <f>Source!X180</f>
        <v>0</v>
      </c>
      <c r="R272">
        <f>Source!X181</f>
        <v>0</v>
      </c>
      <c r="S272">
        <f>Source!Y180</f>
        <v>0</v>
      </c>
      <c r="T272">
        <f>Source!Y181</f>
        <v>0</v>
      </c>
      <c r="U272">
        <f>ROUND((175/100)*ROUND(Source!R180, 2), 2)</f>
        <v>0</v>
      </c>
      <c r="V272">
        <f>ROUND((0/100)*ROUND(Source!R181, 2), 2)</f>
        <v>0</v>
      </c>
      <c r="AC272">
        <v>3</v>
      </c>
    </row>
    <row r="273" spans="1:29" x14ac:dyDescent="0.2">
      <c r="A273" s="59"/>
      <c r="B273" s="59"/>
      <c r="C273" s="60" t="str">
        <f>"Объем: "&amp;Source!I180&amp;"=4/"&amp;"100"</f>
        <v>Объем: 0,04=4/100</v>
      </c>
      <c r="D273" s="59"/>
      <c r="E273" s="59"/>
      <c r="F273" s="59"/>
      <c r="G273" s="59"/>
      <c r="H273" s="59"/>
      <c r="I273" s="59"/>
      <c r="J273" s="59"/>
      <c r="K273" s="59"/>
    </row>
    <row r="274" spans="1:29" ht="15" x14ac:dyDescent="0.2">
      <c r="C274" s="51" t="s">
        <v>513</v>
      </c>
      <c r="H274" s="52">
        <f>I272+0</f>
        <v>1.42</v>
      </c>
      <c r="I274" s="52"/>
      <c r="J274" s="52">
        <f>K272+0</f>
        <v>18.62</v>
      </c>
      <c r="K274" s="52"/>
      <c r="O274" s="55">
        <f>I272+0</f>
        <v>1.42</v>
      </c>
      <c r="P274" s="55">
        <f>K272+0</f>
        <v>18.62</v>
      </c>
    </row>
    <row r="276" spans="1:29" ht="42.75" x14ac:dyDescent="0.2">
      <c r="A276" s="46">
        <v>29</v>
      </c>
      <c r="B276" s="46" t="str">
        <f>Source!F182</f>
        <v>1.14-1-284</v>
      </c>
      <c r="C276" s="46" t="s">
        <v>267</v>
      </c>
      <c r="D276" s="47" t="str">
        <f>Source!H182</f>
        <v>шт.</v>
      </c>
      <c r="E276" s="48">
        <f>Source!I182</f>
        <v>3</v>
      </c>
      <c r="F276" s="49">
        <f>Source!AL182</f>
        <v>34.68</v>
      </c>
      <c r="G276" s="50" t="str">
        <f>Source!DD182</f>
        <v/>
      </c>
      <c r="H276" s="48">
        <f>Source!AW183</f>
        <v>1</v>
      </c>
      <c r="I276" s="49">
        <f>Source!P182</f>
        <v>104.04</v>
      </c>
      <c r="J276" s="48">
        <f>IF(Source!BC183&lt;&gt; 0, Source!BC183, 1)</f>
        <v>1.45</v>
      </c>
      <c r="K276" s="49">
        <f>Source!P183</f>
        <v>150.86000000000001</v>
      </c>
      <c r="Q276">
        <f>Source!X182</f>
        <v>0</v>
      </c>
      <c r="R276">
        <f>Source!X183</f>
        <v>0</v>
      </c>
      <c r="S276">
        <f>Source!Y182</f>
        <v>0</v>
      </c>
      <c r="T276">
        <f>Source!Y183</f>
        <v>0</v>
      </c>
      <c r="U276">
        <f>ROUND((175/100)*ROUND(Source!R182, 2), 2)</f>
        <v>0</v>
      </c>
      <c r="V276">
        <f>ROUND((0/100)*ROUND(Source!R183, 2), 2)</f>
        <v>0</v>
      </c>
      <c r="AC276">
        <v>3</v>
      </c>
    </row>
    <row r="277" spans="1:29" ht="15" x14ac:dyDescent="0.2">
      <c r="C277" s="51" t="s">
        <v>513</v>
      </c>
      <c r="H277" s="52">
        <f>I276+0</f>
        <v>104.04</v>
      </c>
      <c r="I277" s="52"/>
      <c r="J277" s="52">
        <f>K276+0</f>
        <v>150.86000000000001</v>
      </c>
      <c r="K277" s="52"/>
      <c r="O277" s="55">
        <f>I276+0</f>
        <v>104.04</v>
      </c>
      <c r="P277" s="55">
        <f>K276+0</f>
        <v>150.86000000000001</v>
      </c>
    </row>
    <row r="279" spans="1:29" ht="28.5" x14ac:dyDescent="0.2">
      <c r="A279" s="46">
        <v>30</v>
      </c>
      <c r="B279" s="46" t="str">
        <f>Source!F184</f>
        <v>1.14-1-280</v>
      </c>
      <c r="C279" s="46" t="s">
        <v>256</v>
      </c>
      <c r="D279" s="47" t="str">
        <f>Source!H184</f>
        <v>шт.</v>
      </c>
      <c r="E279" s="48">
        <f>Source!I184</f>
        <v>1</v>
      </c>
      <c r="F279" s="49">
        <f>Source!AL184</f>
        <v>9.1199999999999992</v>
      </c>
      <c r="G279" s="50" t="str">
        <f>Source!DD184</f>
        <v/>
      </c>
      <c r="H279" s="48">
        <f>Source!AW185</f>
        <v>1</v>
      </c>
      <c r="I279" s="49">
        <f>Source!P184</f>
        <v>9.1199999999999992</v>
      </c>
      <c r="J279" s="48">
        <f>IF(Source!BC185&lt;&gt; 0, Source!BC185, 1)</f>
        <v>2.68</v>
      </c>
      <c r="K279" s="49">
        <f>Source!P185</f>
        <v>24.44</v>
      </c>
      <c r="Q279">
        <f>Source!X184</f>
        <v>0</v>
      </c>
      <c r="R279">
        <f>Source!X185</f>
        <v>0</v>
      </c>
      <c r="S279">
        <f>Source!Y184</f>
        <v>0</v>
      </c>
      <c r="T279">
        <f>Source!Y185</f>
        <v>0</v>
      </c>
      <c r="U279">
        <f>ROUND((175/100)*ROUND(Source!R184, 2), 2)</f>
        <v>0</v>
      </c>
      <c r="V279">
        <f>ROUND((0/100)*ROUND(Source!R185, 2), 2)</f>
        <v>0</v>
      </c>
      <c r="AC279">
        <v>3</v>
      </c>
    </row>
    <row r="280" spans="1:29" ht="15" x14ac:dyDescent="0.2">
      <c r="C280" s="51" t="s">
        <v>513</v>
      </c>
      <c r="H280" s="52">
        <f>I279+0</f>
        <v>9.1199999999999992</v>
      </c>
      <c r="I280" s="52"/>
      <c r="J280" s="52">
        <f>K279+0</f>
        <v>24.44</v>
      </c>
      <c r="K280" s="52"/>
      <c r="O280" s="55">
        <f>I279+0</f>
        <v>9.1199999999999992</v>
      </c>
      <c r="P280" s="55">
        <f>K279+0</f>
        <v>24.44</v>
      </c>
    </row>
    <row r="282" spans="1:29" ht="28.5" x14ac:dyDescent="0.2">
      <c r="A282" s="35">
        <v>31</v>
      </c>
      <c r="B282" s="35" t="str">
        <f>Source!F186</f>
        <v>4.10-21-5</v>
      </c>
      <c r="C282" s="35" t="s">
        <v>247</v>
      </c>
      <c r="D282" s="37" t="str">
        <f>Source!H186</f>
        <v>1 комплект</v>
      </c>
      <c r="E282" s="36">
        <f>Source!I186</f>
        <v>1</v>
      </c>
      <c r="F282" s="39"/>
      <c r="G282" s="38"/>
      <c r="H282" s="36"/>
      <c r="I282" s="39"/>
      <c r="J282" s="36"/>
      <c r="K282" s="39"/>
      <c r="Q282">
        <f>Source!X186</f>
        <v>39.24</v>
      </c>
      <c r="R282">
        <f>Source!X187</f>
        <v>2157.8000000000002</v>
      </c>
      <c r="S282">
        <f>Source!Y186</f>
        <v>20.059999999999999</v>
      </c>
      <c r="T282">
        <f>Source!Y187</f>
        <v>1102.8800000000001</v>
      </c>
      <c r="U282">
        <f>ROUND((175/100)*ROUND(Source!R186, 2), 2)</f>
        <v>0</v>
      </c>
      <c r="V282">
        <f>ROUND((0/100)*ROUND(Source!R187, 2), 2)</f>
        <v>0</v>
      </c>
      <c r="AC282">
        <v>0</v>
      </c>
    </row>
    <row r="283" spans="1:29" ht="14.25" x14ac:dyDescent="0.2">
      <c r="A283" s="35"/>
      <c r="B283" s="35"/>
      <c r="C283" s="35" t="s">
        <v>501</v>
      </c>
      <c r="D283" s="37"/>
      <c r="E283" s="36"/>
      <c r="F283" s="39">
        <f>Source!AO186</f>
        <v>37.86</v>
      </c>
      <c r="G283" s="38" t="str">
        <f>Source!DG186</f>
        <v>*1,1</v>
      </c>
      <c r="H283" s="36">
        <f>Source!AV187</f>
        <v>1.0469999999999999</v>
      </c>
      <c r="I283" s="39">
        <f>Source!S186</f>
        <v>43.6</v>
      </c>
      <c r="J283" s="36">
        <f>IF(Source!BA187&lt;&gt; 0, Source!BA187, 1)</f>
        <v>54.99</v>
      </c>
      <c r="K283" s="39">
        <f>Source!S187</f>
        <v>2397.56</v>
      </c>
    </row>
    <row r="284" spans="1:29" ht="14.25" x14ac:dyDescent="0.2">
      <c r="A284" s="35"/>
      <c r="B284" s="35"/>
      <c r="C284" s="35" t="s">
        <v>504</v>
      </c>
      <c r="D284" s="37"/>
      <c r="E284" s="36"/>
      <c r="F284" s="39">
        <f>Source!AL186</f>
        <v>42.61</v>
      </c>
      <c r="G284" s="38" t="str">
        <f>Source!DD186</f>
        <v/>
      </c>
      <c r="H284" s="36">
        <f>Source!AW187</f>
        <v>1</v>
      </c>
      <c r="I284" s="39">
        <f>Source!P186</f>
        <v>42.61</v>
      </c>
      <c r="J284" s="36">
        <f>IF(Source!BC187&lt;&gt; 0, Source!BC187, 1)</f>
        <v>5.35</v>
      </c>
      <c r="K284" s="39">
        <f>Source!P187</f>
        <v>227.96</v>
      </c>
    </row>
    <row r="285" spans="1:29" ht="54" x14ac:dyDescent="0.2">
      <c r="A285" s="41" t="s">
        <v>271</v>
      </c>
      <c r="B285" s="41" t="str">
        <f>Source!F188</f>
        <v>КА-18</v>
      </c>
      <c r="C285" s="41" t="s">
        <v>534</v>
      </c>
      <c r="D285" s="42" t="str">
        <f>Source!H188</f>
        <v>ШТ</v>
      </c>
      <c r="E285" s="43">
        <f>Source!I188</f>
        <v>1</v>
      </c>
      <c r="F285" s="44">
        <f>Source!AK188</f>
        <v>578.33000000000004</v>
      </c>
      <c r="G285" s="45" t="s">
        <v>3</v>
      </c>
      <c r="H285" s="43">
        <f>Source!AW189</f>
        <v>1</v>
      </c>
      <c r="I285" s="44">
        <f>Source!O188</f>
        <v>578.33000000000004</v>
      </c>
      <c r="J285" s="43">
        <f>IF(Source!BC189&lt;&gt; 0, Source!BC189, 1)</f>
        <v>7.66</v>
      </c>
      <c r="K285" s="44">
        <f>Source!O189</f>
        <v>4430.01</v>
      </c>
      <c r="Q285">
        <f>Source!X188</f>
        <v>0</v>
      </c>
      <c r="R285">
        <f>Source!X189</f>
        <v>0</v>
      </c>
      <c r="S285">
        <f>Source!Y188</f>
        <v>0</v>
      </c>
      <c r="T285">
        <f>Source!Y189</f>
        <v>0</v>
      </c>
      <c r="U285">
        <f>ROUND((175/100)*ROUND(Source!R188, 2), 2)</f>
        <v>0</v>
      </c>
      <c r="V285">
        <f>ROUND((0/100)*ROUND(Source!R189, 2), 2)</f>
        <v>0</v>
      </c>
      <c r="AC285">
        <v>5</v>
      </c>
    </row>
    <row r="286" spans="1:29" ht="14.25" x14ac:dyDescent="0.2">
      <c r="A286" s="35"/>
      <c r="B286" s="35"/>
      <c r="C286" s="35" t="s">
        <v>506</v>
      </c>
      <c r="D286" s="37" t="s">
        <v>507</v>
      </c>
      <c r="E286" s="36">
        <f>Source!BZ187</f>
        <v>90</v>
      </c>
      <c r="F286" s="39"/>
      <c r="G286" s="38"/>
      <c r="H286" s="36"/>
      <c r="I286" s="39">
        <f>SUM(Q282:Q285)</f>
        <v>39.24</v>
      </c>
      <c r="J286" s="36">
        <f>Source!AT187</f>
        <v>90</v>
      </c>
      <c r="K286" s="39">
        <f>SUM(R282:R285)</f>
        <v>2157.8000000000002</v>
      </c>
    </row>
    <row r="287" spans="1:29" ht="14.25" x14ac:dyDescent="0.2">
      <c r="A287" s="35"/>
      <c r="B287" s="35"/>
      <c r="C287" s="35" t="s">
        <v>508</v>
      </c>
      <c r="D287" s="37" t="s">
        <v>507</v>
      </c>
      <c r="E287" s="36">
        <f>Source!CA187</f>
        <v>46</v>
      </c>
      <c r="F287" s="39"/>
      <c r="G287" s="38"/>
      <c r="H287" s="36"/>
      <c r="I287" s="39">
        <f>SUM(S282:S286)</f>
        <v>20.059999999999999</v>
      </c>
      <c r="J287" s="36">
        <f>Source!AU187</f>
        <v>46</v>
      </c>
      <c r="K287" s="39">
        <f>SUM(T282:T286)</f>
        <v>1102.8800000000001</v>
      </c>
    </row>
    <row r="288" spans="1:29" ht="14.25" x14ac:dyDescent="0.2">
      <c r="A288" s="46"/>
      <c r="B288" s="46"/>
      <c r="C288" s="46" t="s">
        <v>509</v>
      </c>
      <c r="D288" s="47" t="s">
        <v>510</v>
      </c>
      <c r="E288" s="48">
        <f>Source!AQ186</f>
        <v>3</v>
      </c>
      <c r="F288" s="49"/>
      <c r="G288" s="50" t="str">
        <f>Source!DI186</f>
        <v>*1,1</v>
      </c>
      <c r="H288" s="48">
        <f>Source!AV187</f>
        <v>1.0469999999999999</v>
      </c>
      <c r="I288" s="49">
        <f>Source!U186</f>
        <v>3.4550999999999998</v>
      </c>
      <c r="J288" s="48"/>
      <c r="K288" s="49"/>
    </row>
    <row r="289" spans="1:16" ht="15" x14ac:dyDescent="0.2">
      <c r="C289" s="51" t="s">
        <v>511</v>
      </c>
      <c r="H289" s="52">
        <f>I283+I284+I286+I287+SUM(I285:I285)-SUMIF(AC285:AC285, 5, I285:I285)-SUMIF(AC285:AC285, 6, I285:I285)</f>
        <v>145.51</v>
      </c>
      <c r="I289" s="52"/>
      <c r="J289" s="52">
        <f>K283+K284+K286+K287+SUM(K285:K285)-SUMIF(AC285:AC285, 5, K285:K285)-SUMIF(AC285:AC285, 6, K285:K285)</f>
        <v>5886.1999999999989</v>
      </c>
      <c r="K289" s="52"/>
    </row>
    <row r="290" spans="1:16" ht="15" x14ac:dyDescent="0.2">
      <c r="C290" s="51" t="s">
        <v>512</v>
      </c>
      <c r="H290" s="54">
        <f>SUMIF(AC285:AC285, 5, I285:I285)+SUMIF(AC285:AC285, 6, I285:I285)</f>
        <v>578.33000000000004</v>
      </c>
      <c r="I290" s="54"/>
      <c r="J290" s="54">
        <f>SUMIF(AC285:AC285, 5, K285:K285)+SUMIF(AC285:AC285, 6, K285:K285)</f>
        <v>4430.01</v>
      </c>
      <c r="K290" s="54"/>
    </row>
    <row r="291" spans="1:16" ht="15" x14ac:dyDescent="0.2">
      <c r="C291" s="51" t="s">
        <v>513</v>
      </c>
      <c r="H291" s="54">
        <f>I283+I284+I286+I287+SUM(I285:I285)</f>
        <v>723.84</v>
      </c>
      <c r="I291" s="54"/>
      <c r="J291" s="54">
        <f>K283+K284+K286+K287+SUM(K285:K285)</f>
        <v>10316.209999999999</v>
      </c>
      <c r="K291" s="54"/>
      <c r="O291" s="55">
        <f>I283+I284+I286+I287+SUM(I285:I285)</f>
        <v>723.84</v>
      </c>
      <c r="P291" s="55">
        <f>K283+K284+K286+K287+SUM(K285:K285)</f>
        <v>10316.209999999999</v>
      </c>
    </row>
    <row r="294" spans="1:16" ht="15" x14ac:dyDescent="0.25">
      <c r="A294" s="58" t="str">
        <f>CONCATENATE("Итого по разделу: ",IF(Source!G191&lt;&gt;"Новый раздел", Source!G191, ""))</f>
        <v>Итого по разделу: Материалы</v>
      </c>
      <c r="B294" s="58"/>
      <c r="C294" s="58"/>
      <c r="D294" s="58"/>
      <c r="E294" s="58"/>
      <c r="F294" s="58"/>
      <c r="G294" s="58"/>
      <c r="H294" s="54">
        <f>SUM(O190:O293)</f>
        <v>9250.4000000000015</v>
      </c>
      <c r="I294" s="53"/>
      <c r="J294" s="54">
        <f>SUM(P190:P293)</f>
        <v>107498.69999999998</v>
      </c>
      <c r="K294" s="53"/>
    </row>
    <row r="295" spans="1:16" hidden="1" x14ac:dyDescent="0.2">
      <c r="A295" t="s">
        <v>517</v>
      </c>
      <c r="I295">
        <f>SUM(W190:W294)</f>
        <v>0</v>
      </c>
      <c r="J295">
        <f>SUM(X190:X294)</f>
        <v>0</v>
      </c>
    </row>
    <row r="296" spans="1:16" hidden="1" x14ac:dyDescent="0.2">
      <c r="A296" t="s">
        <v>518</v>
      </c>
      <c r="I296">
        <f>SUM(Y190:Y295)</f>
        <v>0</v>
      </c>
      <c r="J296">
        <f>SUM(Z190:Z295)</f>
        <v>0</v>
      </c>
    </row>
    <row r="298" spans="1:16" ht="15" x14ac:dyDescent="0.25">
      <c r="A298" s="58" t="str">
        <f>CONCATENATE("Итого по локальной смете: ",IF(Source!G221&lt;&gt;"Новая локальная смета", Source!G221, ""))</f>
        <v>Итого по локальной смете: Радиотрансляционная сеть</v>
      </c>
      <c r="B298" s="58"/>
      <c r="C298" s="58"/>
      <c r="D298" s="58"/>
      <c r="E298" s="58"/>
      <c r="F298" s="58"/>
      <c r="G298" s="58"/>
      <c r="H298" s="54">
        <f>SUM(O28:O297)</f>
        <v>195077.8900000001</v>
      </c>
      <c r="I298" s="53"/>
      <c r="J298" s="54">
        <f>SUM(P28:P297)</f>
        <v>1717483.22</v>
      </c>
      <c r="K298" s="53"/>
    </row>
    <row r="299" spans="1:16" hidden="1" x14ac:dyDescent="0.2">
      <c r="A299" t="s">
        <v>517</v>
      </c>
      <c r="I299">
        <f>SUM(W28:W298)</f>
        <v>0</v>
      </c>
      <c r="J299">
        <f>SUM(X28:X298)</f>
        <v>0</v>
      </c>
    </row>
    <row r="300" spans="1:16" hidden="1" x14ac:dyDescent="0.2">
      <c r="A300" t="s">
        <v>518</v>
      </c>
      <c r="I300">
        <f>SUM(Y28:Y299)</f>
        <v>0</v>
      </c>
      <c r="J300">
        <f>SUM(Z28:Z299)</f>
        <v>0</v>
      </c>
    </row>
    <row r="302" spans="1:16" ht="15" x14ac:dyDescent="0.25">
      <c r="A302" s="58" t="str">
        <f>CONCATENATE("Итого по смете: ",IF(Source!G251&lt;&gt;"Новый объект", Source!G251, ""))</f>
        <v>Итого по смете: 02-01-10 РТС</v>
      </c>
      <c r="B302" s="58"/>
      <c r="C302" s="58"/>
      <c r="D302" s="58"/>
      <c r="E302" s="58"/>
      <c r="F302" s="58"/>
      <c r="G302" s="58"/>
      <c r="H302" s="54">
        <f>SUM(O1:O301)</f>
        <v>195077.8900000001</v>
      </c>
      <c r="I302" s="53"/>
      <c r="J302" s="54">
        <f>SUM(P1:P301)</f>
        <v>1717483.22</v>
      </c>
      <c r="K302" s="53"/>
    </row>
    <row r="303" spans="1:16" hidden="1" x14ac:dyDescent="0.2">
      <c r="A303" t="s">
        <v>517</v>
      </c>
      <c r="I303">
        <f>SUM(W1:W302)</f>
        <v>0</v>
      </c>
      <c r="J303">
        <f>SUM(X1:X302)</f>
        <v>0</v>
      </c>
    </row>
    <row r="304" spans="1:16" hidden="1" x14ac:dyDescent="0.2">
      <c r="A304" t="s">
        <v>518</v>
      </c>
      <c r="I304">
        <f>SUM(Y1:Y303)</f>
        <v>0</v>
      </c>
      <c r="J304">
        <f>SUM(Z1:Z303)</f>
        <v>0</v>
      </c>
    </row>
    <row r="307" spans="1:11" ht="14.25" x14ac:dyDescent="0.2">
      <c r="A307" s="69" t="s">
        <v>536</v>
      </c>
      <c r="B307" s="69"/>
      <c r="C307" s="70" t="str">
        <f>IF(Source!AC12&lt;&gt;"", Source!AC12," ")</f>
        <v xml:space="preserve"> </v>
      </c>
      <c r="D307" s="70"/>
      <c r="E307" s="70"/>
      <c r="F307" s="70"/>
      <c r="G307" s="70"/>
      <c r="H307" s="24" t="str">
        <f>IF(Source!AB12&lt;&gt;"", Source!AB12," ")</f>
        <v>Соколова И.Н.</v>
      </c>
      <c r="I307" s="24"/>
      <c r="J307" s="24"/>
      <c r="K307" s="24"/>
    </row>
    <row r="308" spans="1:11" ht="14.25" x14ac:dyDescent="0.2">
      <c r="A308" s="11"/>
      <c r="B308" s="11"/>
      <c r="C308" s="13" t="s">
        <v>537</v>
      </c>
      <c r="D308" s="13"/>
      <c r="E308" s="13"/>
      <c r="F308" s="13"/>
      <c r="G308" s="13"/>
      <c r="H308" s="11"/>
      <c r="I308" s="11"/>
      <c r="J308" s="11"/>
      <c r="K308" s="11"/>
    </row>
    <row r="309" spans="1:11" ht="14.25" x14ac:dyDescent="0.2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</row>
    <row r="310" spans="1:11" ht="14.25" x14ac:dyDescent="0.2">
      <c r="A310" s="69" t="s">
        <v>538</v>
      </c>
      <c r="B310" s="69"/>
      <c r="C310" s="70" t="str">
        <f>IF(Source!AE12&lt;&gt;"", Source!AE12," ")</f>
        <v xml:space="preserve"> </v>
      </c>
      <c r="D310" s="70"/>
      <c r="E310" s="70"/>
      <c r="F310" s="70"/>
      <c r="G310" s="70"/>
      <c r="H310" s="24" t="str">
        <f>IF(Source!AD12&lt;&gt;"", Source!AD12," ")</f>
        <v xml:space="preserve"> </v>
      </c>
      <c r="I310" s="24"/>
      <c r="J310" s="24"/>
      <c r="K310" s="24"/>
    </row>
    <row r="311" spans="1:11" ht="14.25" x14ac:dyDescent="0.2">
      <c r="A311" s="11"/>
      <c r="B311" s="11"/>
      <c r="C311" s="13" t="s">
        <v>537</v>
      </c>
      <c r="D311" s="13"/>
      <c r="E311" s="13"/>
      <c r="F311" s="13"/>
      <c r="G311" s="13"/>
      <c r="H311" s="11"/>
      <c r="I311" s="11"/>
      <c r="J311" s="11"/>
      <c r="K311" s="11"/>
    </row>
  </sheetData>
  <mergeCells count="167">
    <mergeCell ref="A310:B310"/>
    <mergeCell ref="H310:K310"/>
    <mergeCell ref="C311:G311"/>
    <mergeCell ref="J302:K302"/>
    <mergeCell ref="H302:I302"/>
    <mergeCell ref="A302:G302"/>
    <mergeCell ref="A307:B307"/>
    <mergeCell ref="H307:K307"/>
    <mergeCell ref="C308:G308"/>
    <mergeCell ref="H291:I291"/>
    <mergeCell ref="J291:K291"/>
    <mergeCell ref="J294:K294"/>
    <mergeCell ref="H294:I294"/>
    <mergeCell ref="A294:G294"/>
    <mergeCell ref="J298:K298"/>
    <mergeCell ref="H298:I298"/>
    <mergeCell ref="A298:G298"/>
    <mergeCell ref="H280:I280"/>
    <mergeCell ref="J280:K280"/>
    <mergeCell ref="H289:I289"/>
    <mergeCell ref="J289:K289"/>
    <mergeCell ref="H290:I290"/>
    <mergeCell ref="J290:K290"/>
    <mergeCell ref="H270:I270"/>
    <mergeCell ref="J270:K270"/>
    <mergeCell ref="H274:I274"/>
    <mergeCell ref="J274:K274"/>
    <mergeCell ref="H277:I277"/>
    <mergeCell ref="J277:K277"/>
    <mergeCell ref="H265:I265"/>
    <mergeCell ref="J265:K265"/>
    <mergeCell ref="H266:I266"/>
    <mergeCell ref="J266:K266"/>
    <mergeCell ref="H267:I267"/>
    <mergeCell ref="J267:K267"/>
    <mergeCell ref="H250:I250"/>
    <mergeCell ref="J250:K250"/>
    <mergeCell ref="H253:I253"/>
    <mergeCell ref="J253:K253"/>
    <mergeCell ref="H256:I256"/>
    <mergeCell ref="J256:K256"/>
    <mergeCell ref="H245:I245"/>
    <mergeCell ref="J245:K245"/>
    <mergeCell ref="H246:I246"/>
    <mergeCell ref="J246:K246"/>
    <mergeCell ref="H247:I247"/>
    <mergeCell ref="J247:K247"/>
    <mergeCell ref="H233:I233"/>
    <mergeCell ref="J233:K233"/>
    <mergeCell ref="H234:I234"/>
    <mergeCell ref="J234:K234"/>
    <mergeCell ref="H235:I235"/>
    <mergeCell ref="J235:K235"/>
    <mergeCell ref="H222:I222"/>
    <mergeCell ref="J222:K222"/>
    <mergeCell ref="H223:I223"/>
    <mergeCell ref="J223:K223"/>
    <mergeCell ref="H224:I224"/>
    <mergeCell ref="J224:K224"/>
    <mergeCell ref="H211:I211"/>
    <mergeCell ref="J211:K211"/>
    <mergeCell ref="H212:I212"/>
    <mergeCell ref="J212:K212"/>
    <mergeCell ref="H213:I213"/>
    <mergeCell ref="J213:K213"/>
    <mergeCell ref="H199:I199"/>
    <mergeCell ref="J199:K199"/>
    <mergeCell ref="H200:I200"/>
    <mergeCell ref="J200:K200"/>
    <mergeCell ref="H201:I201"/>
    <mergeCell ref="J201:K201"/>
    <mergeCell ref="H183:I183"/>
    <mergeCell ref="J183:K183"/>
    <mergeCell ref="J186:K186"/>
    <mergeCell ref="H186:I186"/>
    <mergeCell ref="A186:G186"/>
    <mergeCell ref="A190:K190"/>
    <mergeCell ref="H171:I171"/>
    <mergeCell ref="J171:K171"/>
    <mergeCell ref="H175:I175"/>
    <mergeCell ref="J175:K175"/>
    <mergeCell ref="H179:I179"/>
    <mergeCell ref="J179:K179"/>
    <mergeCell ref="H159:I159"/>
    <mergeCell ref="J159:K159"/>
    <mergeCell ref="H163:I163"/>
    <mergeCell ref="J163:K163"/>
    <mergeCell ref="H167:I167"/>
    <mergeCell ref="J167:K167"/>
    <mergeCell ref="H150:I150"/>
    <mergeCell ref="J150:K150"/>
    <mergeCell ref="H151:I151"/>
    <mergeCell ref="J151:K151"/>
    <mergeCell ref="H155:I155"/>
    <mergeCell ref="J155:K155"/>
    <mergeCell ref="H137:I137"/>
    <mergeCell ref="J137:K137"/>
    <mergeCell ref="H138:I138"/>
    <mergeCell ref="J138:K138"/>
    <mergeCell ref="H149:I149"/>
    <mergeCell ref="J149:K149"/>
    <mergeCell ref="H124:I124"/>
    <mergeCell ref="J124:K124"/>
    <mergeCell ref="H125:I125"/>
    <mergeCell ref="J125:K125"/>
    <mergeCell ref="H136:I136"/>
    <mergeCell ref="J136:K136"/>
    <mergeCell ref="H110:I110"/>
    <mergeCell ref="J110:K110"/>
    <mergeCell ref="H111:I111"/>
    <mergeCell ref="J111:K111"/>
    <mergeCell ref="H123:I123"/>
    <mergeCell ref="J123:K123"/>
    <mergeCell ref="J94:K94"/>
    <mergeCell ref="H94:I94"/>
    <mergeCell ref="A94:G94"/>
    <mergeCell ref="A98:K98"/>
    <mergeCell ref="H109:I109"/>
    <mergeCell ref="J109:K109"/>
    <mergeCell ref="H89:I89"/>
    <mergeCell ref="J89:K89"/>
    <mergeCell ref="H90:I90"/>
    <mergeCell ref="J90:K90"/>
    <mergeCell ref="H91:I91"/>
    <mergeCell ref="J91:K91"/>
    <mergeCell ref="H75:I75"/>
    <mergeCell ref="J75:K75"/>
    <mergeCell ref="H76:I76"/>
    <mergeCell ref="J76:K76"/>
    <mergeCell ref="H77:I77"/>
    <mergeCell ref="J77:K77"/>
    <mergeCell ref="H64:I64"/>
    <mergeCell ref="J64:K64"/>
    <mergeCell ref="H65:I65"/>
    <mergeCell ref="J65:K65"/>
    <mergeCell ref="H66:I66"/>
    <mergeCell ref="J66:K66"/>
    <mergeCell ref="H51:I51"/>
    <mergeCell ref="J51:K51"/>
    <mergeCell ref="H52:I52"/>
    <mergeCell ref="J52:K52"/>
    <mergeCell ref="H53:I53"/>
    <mergeCell ref="J53:K53"/>
    <mergeCell ref="H39:I39"/>
    <mergeCell ref="J39:K39"/>
    <mergeCell ref="H40:I40"/>
    <mergeCell ref="J40:K40"/>
    <mergeCell ref="H41:I41"/>
    <mergeCell ref="J41:K41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67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zoomScaleNormal="100" workbookViewId="0"/>
  </sheetViews>
  <sheetFormatPr defaultRowHeight="12.75" x14ac:dyDescent="0.2"/>
  <cols>
    <col min="1" max="2" width="6.7109375" customWidth="1"/>
    <col min="3" max="3" width="75.7109375" customWidth="1"/>
    <col min="4" max="8" width="15.7109375" customWidth="1"/>
    <col min="30" max="32" width="0" hidden="1" customWidth="1"/>
  </cols>
  <sheetData>
    <row r="1" spans="1:8" x14ac:dyDescent="0.2">
      <c r="A1" s="10" t="str">
        <f>Source!B1</f>
        <v>Smeta.RU  (495) 974-1589</v>
      </c>
    </row>
    <row r="4" spans="1:8" ht="15.75" x14ac:dyDescent="0.2">
      <c r="B4" s="71" t="str">
        <f>CONCATENATE("Ведомость объемов работ ", IF(Source!AN15&lt;&gt;"", Source!AN15," "))</f>
        <v xml:space="preserve">Ведомость объемов работ  </v>
      </c>
      <c r="C4" s="71"/>
      <c r="D4" s="71"/>
      <c r="E4" s="71"/>
    </row>
    <row r="5" spans="1:8" ht="15" x14ac:dyDescent="0.2">
      <c r="B5" s="72" t="str">
        <f>CONCATENATE(Source!F12, " ", Source!G12)</f>
        <v xml:space="preserve"> 02-01-10 РТС</v>
      </c>
      <c r="C5" s="72"/>
      <c r="D5" s="72"/>
      <c r="E5" s="72"/>
    </row>
    <row r="6" spans="1:8" hidden="1" x14ac:dyDescent="0.2"/>
    <row r="8" spans="1:8" ht="99.75" x14ac:dyDescent="0.2">
      <c r="A8" s="30" t="s">
        <v>486</v>
      </c>
      <c r="B8" s="30" t="s">
        <v>539</v>
      </c>
      <c r="C8" s="30" t="s">
        <v>488</v>
      </c>
      <c r="D8" s="30" t="s">
        <v>540</v>
      </c>
      <c r="E8" s="30" t="s">
        <v>541</v>
      </c>
      <c r="F8" s="30" t="s">
        <v>542</v>
      </c>
      <c r="G8" s="30" t="s">
        <v>543</v>
      </c>
      <c r="H8" s="30" t="s">
        <v>544</v>
      </c>
    </row>
    <row r="9" spans="1:8" ht="14.25" x14ac:dyDescent="0.2">
      <c r="A9" s="30">
        <v>1</v>
      </c>
      <c r="B9" s="30">
        <v>2</v>
      </c>
      <c r="C9" s="30">
        <v>3</v>
      </c>
      <c r="D9" s="30">
        <v>4</v>
      </c>
      <c r="E9" s="30">
        <v>5</v>
      </c>
      <c r="F9" s="30">
        <v>6</v>
      </c>
      <c r="G9" s="30">
        <v>7</v>
      </c>
      <c r="H9" s="30">
        <v>8</v>
      </c>
    </row>
    <row r="10" spans="1:8" ht="16.5" x14ac:dyDescent="0.25">
      <c r="A10" s="73" t="str">
        <f>CONCATENATE("Локальная смета: ", Source!G20)</f>
        <v>Локальная смета: Радиотрансляционная сеть</v>
      </c>
      <c r="B10" s="73"/>
      <c r="C10" s="73"/>
      <c r="D10" s="73"/>
      <c r="E10" s="73"/>
      <c r="F10" s="73"/>
      <c r="G10" s="73"/>
      <c r="H10" s="73"/>
    </row>
    <row r="11" spans="1:8" ht="16.5" x14ac:dyDescent="0.25">
      <c r="A11" s="73" t="str">
        <f>CONCATENATE("Раздел: ", Source!G24)</f>
        <v>Раздел: Оборудование</v>
      </c>
      <c r="B11" s="73"/>
      <c r="C11" s="73"/>
      <c r="D11" s="73"/>
      <c r="E11" s="73"/>
      <c r="F11" s="73"/>
      <c r="G11" s="73"/>
      <c r="H11" s="73"/>
    </row>
    <row r="12" spans="1:8" ht="14.25" x14ac:dyDescent="0.2">
      <c r="A12" s="30">
        <v>1</v>
      </c>
      <c r="B12" s="30" t="str">
        <f>Source!E28</f>
        <v>1</v>
      </c>
      <c r="C12" s="76" t="str">
        <f>Source!G28</f>
        <v>Монтаж щитов и пультов массой до 50кг</v>
      </c>
      <c r="D12" s="30" t="s">
        <v>21</v>
      </c>
      <c r="E12" s="77">
        <f>Source!I28</f>
        <v>1</v>
      </c>
      <c r="F12" s="30" t="str">
        <f>Source!U24</f>
        <v/>
      </c>
      <c r="G12" s="30">
        <f>Source!I28</f>
        <v>1</v>
      </c>
      <c r="H12" s="76"/>
    </row>
    <row r="13" spans="1:8" ht="28.5" x14ac:dyDescent="0.2">
      <c r="A13" s="30">
        <v>2</v>
      </c>
      <c r="B13" s="30" t="str">
        <f>Source!E32</f>
        <v>2</v>
      </c>
      <c r="C13" s="76" t="str">
        <f>Source!G32</f>
        <v>Установка съемных и выдвижных блоков (модулей, ячеек, ТЭЗ) массой до 5 кг</v>
      </c>
      <c r="D13" s="30" t="s">
        <v>21</v>
      </c>
      <c r="E13" s="77">
        <f>Source!I32</f>
        <v>1</v>
      </c>
      <c r="F13" s="30" t="str">
        <f>Source!U24</f>
        <v/>
      </c>
      <c r="G13" s="30">
        <f>Source!I32</f>
        <v>1</v>
      </c>
      <c r="H13" s="76"/>
    </row>
    <row r="14" spans="1:8" ht="14.25" x14ac:dyDescent="0.2">
      <c r="A14" s="30">
        <v>3</v>
      </c>
      <c r="B14" s="30" t="str">
        <f>Source!E36</f>
        <v>3</v>
      </c>
      <c r="C14" s="76" t="str">
        <f>Source!G36</f>
        <v>Монтаж щитов и пультов массой до 50кг</v>
      </c>
      <c r="D14" s="30" t="s">
        <v>21</v>
      </c>
      <c r="E14" s="77">
        <f>Source!I36</f>
        <v>1</v>
      </c>
      <c r="F14" s="30" t="str">
        <f>Source!U24</f>
        <v/>
      </c>
      <c r="G14" s="30">
        <f>Source!I36</f>
        <v>1</v>
      </c>
      <c r="H14" s="76"/>
    </row>
    <row r="15" spans="1:8" ht="14.25" x14ac:dyDescent="0.2">
      <c r="A15" s="30">
        <v>4</v>
      </c>
      <c r="B15" s="30" t="str">
        <f>Source!E40</f>
        <v>4</v>
      </c>
      <c r="C15" s="76" t="str">
        <f>Source!G40</f>
        <v>Монтаж щита распределительного настенного типа</v>
      </c>
      <c r="D15" s="30" t="s">
        <v>21</v>
      </c>
      <c r="E15" s="77">
        <f>Source!I40</f>
        <v>1</v>
      </c>
      <c r="F15" s="30" t="str">
        <f>Source!U24</f>
        <v/>
      </c>
      <c r="G15" s="30">
        <f>Source!I40</f>
        <v>1</v>
      </c>
      <c r="H15" s="76"/>
    </row>
    <row r="16" spans="1:8" ht="14.25" x14ac:dyDescent="0.2">
      <c r="A16" s="30">
        <v>5</v>
      </c>
      <c r="B16" s="30" t="str">
        <f>Source!E44</f>
        <v>5</v>
      </c>
      <c r="C16" s="76" t="str">
        <f>Source!G44</f>
        <v>Монтаж розетки штепсельной скрытого типа</v>
      </c>
      <c r="D16" s="30" t="s">
        <v>63</v>
      </c>
      <c r="E16" s="77">
        <f>Source!I44</f>
        <v>7.0000000000000007E-2</v>
      </c>
      <c r="F16" s="30" t="str">
        <f>Source!U24</f>
        <v/>
      </c>
      <c r="G16" s="30" t="str">
        <f>"=7/"&amp;"100"</f>
        <v>=7/100</v>
      </c>
      <c r="H16" s="76"/>
    </row>
    <row r="17" spans="1:8" ht="16.5" x14ac:dyDescent="0.25">
      <c r="A17" s="73" t="str">
        <f>CONCATENATE("Раздел: ", Source!G81)</f>
        <v>Раздел: Кабельные  изделия</v>
      </c>
      <c r="B17" s="73"/>
      <c r="C17" s="73"/>
      <c r="D17" s="73"/>
      <c r="E17" s="73"/>
      <c r="F17" s="73"/>
      <c r="G17" s="73"/>
      <c r="H17" s="73"/>
    </row>
    <row r="18" spans="1:8" ht="28.5" x14ac:dyDescent="0.2">
      <c r="A18" s="30">
        <v>6</v>
      </c>
      <c r="B18" s="30" t="str">
        <f>Source!E85</f>
        <v>6</v>
      </c>
      <c r="C18" s="76" t="str">
        <f>Source!G85</f>
        <v>Трубы гофрированные поливинилхлоридные наружным диаметром 20 мм открыто по стенам и потолкам с установкой соединительных коробок</v>
      </c>
      <c r="D18" s="30" t="s">
        <v>134</v>
      </c>
      <c r="E18" s="77">
        <f>Source!I85</f>
        <v>2</v>
      </c>
      <c r="F18" s="30" t="str">
        <f>Source!U81</f>
        <v/>
      </c>
      <c r="G18" s="30" t="str">
        <f>"=200/"&amp;"100"</f>
        <v>=200/100</v>
      </c>
      <c r="H18" s="76"/>
    </row>
    <row r="19" spans="1:8" ht="14.25" x14ac:dyDescent="0.2">
      <c r="A19" s="30">
        <v>7</v>
      </c>
      <c r="B19" s="30" t="str">
        <f>Source!E91</f>
        <v>7</v>
      </c>
      <c r="C19" s="76" t="str">
        <f>Source!G91</f>
        <v>Прокладка металлического рукава, наружный диаметр до 48 мм</v>
      </c>
      <c r="D19" s="30" t="s">
        <v>134</v>
      </c>
      <c r="E19" s="77">
        <f>Source!I91</f>
        <v>0.3</v>
      </c>
      <c r="F19" s="30" t="str">
        <f>Source!U81</f>
        <v/>
      </c>
      <c r="G19" s="30" t="str">
        <f>"=30/"&amp;"100"</f>
        <v>=30/100</v>
      </c>
      <c r="H19" s="76"/>
    </row>
    <row r="20" spans="1:8" ht="42.75" x14ac:dyDescent="0.2">
      <c r="A20" s="30">
        <v>8</v>
      </c>
      <c r="B20" s="30" t="str">
        <f>Source!E95</f>
        <v>8</v>
      </c>
      <c r="C20" s="76" t="str">
        <f>Source!G95</f>
        <v>Затягивание провода в проложенные трубы и металлические рукава, первого одножильного или многожильного в общей оплетке, суммарное сечение до 6 мм2</v>
      </c>
      <c r="D20" s="30" t="s">
        <v>134</v>
      </c>
      <c r="E20" s="77">
        <f>Source!I95</f>
        <v>2.2999999999999998</v>
      </c>
      <c r="F20" s="30" t="str">
        <f>Source!U81</f>
        <v/>
      </c>
      <c r="G20" s="30" t="str">
        <f>"=(200+"&amp;"30)/"&amp;"100"</f>
        <v>=(200+30)/100</v>
      </c>
      <c r="H20" s="76"/>
    </row>
    <row r="21" spans="1:8" ht="57" x14ac:dyDescent="0.2">
      <c r="A21" s="30">
        <v>9</v>
      </c>
      <c r="B21" s="30" t="str">
        <f>Source!E97</f>
        <v>9</v>
      </c>
      <c r="C21" s="76" t="str">
        <f>Source!G97</f>
        <v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6 мм2 (к нормам и расценкам 4.8-175-1 и 4.8-175-2)</v>
      </c>
      <c r="D21" s="30" t="s">
        <v>134</v>
      </c>
      <c r="E21" s="77">
        <f>Source!I97</f>
        <v>4.2</v>
      </c>
      <c r="F21" s="30" t="str">
        <f>Source!U81</f>
        <v/>
      </c>
      <c r="G21" s="30" t="str">
        <f>"=(150+"&amp;"350+"&amp;"10+"&amp;"40+"&amp;"20+"&amp;"50+"&amp;"20+"&amp;"10-"&amp;"230)/"&amp;"100"</f>
        <v>=(150+350+10+40+20+50+20+10-230)/100</v>
      </c>
      <c r="H21" s="76"/>
    </row>
    <row r="22" spans="1:8" ht="28.5" x14ac:dyDescent="0.2">
      <c r="A22" s="30">
        <v>10</v>
      </c>
      <c r="B22" s="30" t="str">
        <f>Source!E99</f>
        <v>10</v>
      </c>
      <c r="C22" s="76" t="str">
        <f>Source!G99</f>
        <v>Кабель распределительный  КПСВВнг(А)-LSLTx 1x2x1,5</v>
      </c>
      <c r="D22" s="30" t="s">
        <v>164</v>
      </c>
      <c r="E22" s="77">
        <f>Source!I99</f>
        <v>0.153</v>
      </c>
      <c r="F22" s="30" t="str">
        <f>Source!U81</f>
        <v/>
      </c>
      <c r="G22" s="30" t="str">
        <f>"=(150*"&amp;"1,02)/"&amp;"1000"</f>
        <v>=(150*1,02)/1000</v>
      </c>
      <c r="H22" s="76"/>
    </row>
    <row r="23" spans="1:8" ht="28.5" x14ac:dyDescent="0.2">
      <c r="A23" s="30">
        <v>11</v>
      </c>
      <c r="B23" s="30" t="str">
        <f>Source!E101</f>
        <v>11</v>
      </c>
      <c r="C23" s="76" t="str">
        <f>Source!G101</f>
        <v>Кабель абонентский  КПСВВнг(А)-LSLTx 1x2x0,5</v>
      </c>
      <c r="D23" s="30" t="s">
        <v>164</v>
      </c>
      <c r="E23" s="77">
        <f>Source!I101</f>
        <v>0.35699999999999998</v>
      </c>
      <c r="F23" s="30" t="str">
        <f>Source!U81</f>
        <v/>
      </c>
      <c r="G23" s="30" t="str">
        <f>"=(350*"&amp;"1,02)/"&amp;"1000"</f>
        <v>=(350*1,02)/1000</v>
      </c>
      <c r="H23" s="76"/>
    </row>
    <row r="24" spans="1:8" ht="28.5" x14ac:dyDescent="0.2">
      <c r="A24" s="30">
        <v>12</v>
      </c>
      <c r="B24" s="30" t="str">
        <f>Source!E103</f>
        <v>12</v>
      </c>
      <c r="C24" s="76" t="str">
        <f>Source!G103</f>
        <v>Кабель витая пара FTP кат. 5е ЛОУТОКС КВПЭфнг(С)-LSLTx-5е 4x2x0,52</v>
      </c>
      <c r="D24" s="30" t="s">
        <v>164</v>
      </c>
      <c r="E24" s="77">
        <f>Source!I103</f>
        <v>1.0200000000000001E-2</v>
      </c>
      <c r="F24" s="30" t="str">
        <f>Source!U81</f>
        <v/>
      </c>
      <c r="G24" s="30" t="str">
        <f>"=(10*"&amp;"1,02)/"&amp;"1000"</f>
        <v>=(10*1,02)/1000</v>
      </c>
      <c r="H24" s="76"/>
    </row>
    <row r="25" spans="1:8" ht="28.5" x14ac:dyDescent="0.2">
      <c r="A25" s="30">
        <v>13</v>
      </c>
      <c r="B25" s="30" t="str">
        <f>Source!E105</f>
        <v>13</v>
      </c>
      <c r="C25" s="76" t="str">
        <f>Source!G105</f>
        <v>Кабель коаксиальный Паракс RG-6 РК 75-4,8-318нг(А)-LSLTx</v>
      </c>
      <c r="D25" s="30" t="s">
        <v>164</v>
      </c>
      <c r="E25" s="77">
        <f>Source!I105</f>
        <v>4.0800000000000003E-2</v>
      </c>
      <c r="F25" s="30" t="str">
        <f>Source!U81</f>
        <v/>
      </c>
      <c r="G25" s="30" t="str">
        <f>"=(40*"&amp;"1,02)/"&amp;"1000"</f>
        <v>=(40*1,02)/1000</v>
      </c>
      <c r="H25" s="76"/>
    </row>
    <row r="26" spans="1:8" ht="28.5" x14ac:dyDescent="0.2">
      <c r="A26" s="30">
        <v>14</v>
      </c>
      <c r="B26" s="30" t="str">
        <f>Source!E107</f>
        <v>14</v>
      </c>
      <c r="C26" s="76" t="str">
        <f>Source!G107</f>
        <v>Кабель сопряжения с СОУЭ КПСВэВнг(А)-LSLTx 2x2x0,5</v>
      </c>
      <c r="D26" s="30" t="s">
        <v>164</v>
      </c>
      <c r="E26" s="77">
        <f>Source!I107</f>
        <v>2.0400000000000001E-2</v>
      </c>
      <c r="F26" s="30" t="str">
        <f>Source!U81</f>
        <v/>
      </c>
      <c r="G26" s="30" t="str">
        <f>"=(20*"&amp;"1,02)/"&amp;"1000"</f>
        <v>=(20*1,02)/1000</v>
      </c>
      <c r="H26" s="76"/>
    </row>
    <row r="27" spans="1:8" ht="28.5" x14ac:dyDescent="0.2">
      <c r="A27" s="30">
        <v>15</v>
      </c>
      <c r="B27" s="30" t="str">
        <f>Source!E109</f>
        <v>15</v>
      </c>
      <c r="C27" s="76" t="str">
        <f>Source!G109</f>
        <v>Кабель коаксиальный РК50-7-37нг(А)-HF</v>
      </c>
      <c r="D27" s="30" t="s">
        <v>164</v>
      </c>
      <c r="E27" s="77">
        <f>Source!I109</f>
        <v>5.0999999999999997E-2</v>
      </c>
      <c r="F27" s="30" t="str">
        <f>Source!U81</f>
        <v/>
      </c>
      <c r="G27" s="30" t="str">
        <f>"=(50*"&amp;"1,02)/"&amp;"1000"</f>
        <v>=(50*1,02)/1000</v>
      </c>
      <c r="H27" s="76"/>
    </row>
    <row r="28" spans="1:8" ht="28.5" x14ac:dyDescent="0.2">
      <c r="A28" s="30">
        <v>16</v>
      </c>
      <c r="B28" s="30" t="str">
        <f>Source!E111</f>
        <v>16</v>
      </c>
      <c r="C28" s="76" t="str">
        <f>Source!G111</f>
        <v>Кабель  коммутации передачи сигнала 20нг(А)-FRLSLTx 2x2x0,75</v>
      </c>
      <c r="D28" s="30" t="s">
        <v>164</v>
      </c>
      <c r="E28" s="77">
        <f>Source!I111</f>
        <v>2.0400000000000001E-2</v>
      </c>
      <c r="F28" s="30" t="str">
        <f>Source!U81</f>
        <v/>
      </c>
      <c r="G28" s="30" t="str">
        <f>"=(20*"&amp;"1,02)/"&amp;"1000"</f>
        <v>=(20*1,02)/1000</v>
      </c>
      <c r="H28" s="76"/>
    </row>
    <row r="29" spans="1:8" ht="28.5" x14ac:dyDescent="0.2">
      <c r="A29" s="30">
        <v>17</v>
      </c>
      <c r="B29" s="30" t="str">
        <f>Source!E113</f>
        <v>17</v>
      </c>
      <c r="C29" s="76" t="str">
        <f>Source!G113</f>
        <v>Кабель сопряжения оборудования СОЧС с ОСО КПСВЭВнг(А)-LSLTx 2x2x0,75</v>
      </c>
      <c r="D29" s="30" t="s">
        <v>164</v>
      </c>
      <c r="E29" s="77">
        <f>Source!I113</f>
        <v>0.10199999999999999</v>
      </c>
      <c r="F29" s="30" t="str">
        <f>Source!U81</f>
        <v/>
      </c>
      <c r="G29" s="30" t="str">
        <f>"=(100*"&amp;"1,02)/"&amp;"1000"</f>
        <v>=(100*1,02)/1000</v>
      </c>
      <c r="H29" s="76"/>
    </row>
    <row r="30" spans="1:8" ht="16.5" x14ac:dyDescent="0.25">
      <c r="A30" s="73" t="str">
        <f>CONCATENATE("Раздел: ", Source!G146)</f>
        <v>Раздел: Материалы</v>
      </c>
      <c r="B30" s="73"/>
      <c r="C30" s="73"/>
      <c r="D30" s="73"/>
      <c r="E30" s="73"/>
      <c r="F30" s="73"/>
      <c r="G30" s="73"/>
      <c r="H30" s="73"/>
    </row>
    <row r="31" spans="1:8" ht="14.25" x14ac:dyDescent="0.2">
      <c r="A31" s="30">
        <v>18</v>
      </c>
      <c r="B31" s="30" t="str">
        <f>Source!E150</f>
        <v>18</v>
      </c>
      <c r="C31" s="76" t="str">
        <f>Source!G150</f>
        <v>Установка для трубных проводок коробки оконечной</v>
      </c>
      <c r="D31" s="30" t="s">
        <v>63</v>
      </c>
      <c r="E31" s="77">
        <f>Source!I150</f>
        <v>0.02</v>
      </c>
      <c r="F31" s="30" t="str">
        <f>Source!U146</f>
        <v/>
      </c>
      <c r="G31" s="30" t="str">
        <f>"=2/"&amp;"100"</f>
        <v>=2/100</v>
      </c>
      <c r="H31" s="76"/>
    </row>
    <row r="32" spans="1:8" ht="14.25" x14ac:dyDescent="0.2">
      <c r="A32" s="30">
        <v>19</v>
      </c>
      <c r="B32" s="30" t="str">
        <f>Source!E154</f>
        <v>19</v>
      </c>
      <c r="C32" s="76" t="str">
        <f>Source!G154</f>
        <v>Установка для трубных проводок коробки оконечной</v>
      </c>
      <c r="D32" s="30" t="s">
        <v>63</v>
      </c>
      <c r="E32" s="77">
        <f>Source!I154</f>
        <v>0.02</v>
      </c>
      <c r="F32" s="30" t="str">
        <f>Source!U146</f>
        <v/>
      </c>
      <c r="G32" s="30" t="str">
        <f>"=2/"&amp;"100"</f>
        <v>=2/100</v>
      </c>
      <c r="H32" s="76"/>
    </row>
    <row r="33" spans="1:8" ht="28.5" x14ac:dyDescent="0.2">
      <c r="A33" s="30">
        <v>20</v>
      </c>
      <c r="B33" s="30" t="str">
        <f>Source!E158</f>
        <v>20</v>
      </c>
      <c r="C33" s="76" t="str">
        <f>Source!G158</f>
        <v>Антенные устройства, монтаж антенны дополнительной для приема ТВ на ранее установленной опоре, с действующими ТВ антеннами</v>
      </c>
      <c r="D33" s="30" t="s">
        <v>216</v>
      </c>
      <c r="E33" s="77">
        <f>Source!I158</f>
        <v>1</v>
      </c>
      <c r="F33" s="30" t="str">
        <f>Source!U146</f>
        <v/>
      </c>
      <c r="G33" s="30">
        <f>Source!I158</f>
        <v>1</v>
      </c>
      <c r="H33" s="76"/>
    </row>
    <row r="34" spans="1:8" ht="42.75" x14ac:dyDescent="0.2">
      <c r="A34" s="30">
        <v>21</v>
      </c>
      <c r="B34" s="30" t="str">
        <f>Source!E162</f>
        <v>21</v>
      </c>
      <c r="C34" s="76" t="str">
        <f>Source!G162</f>
        <v>Антенные устройства, монтаж антенны коллективной для приема ТВ на антенной опоре высотой до 6 м без оттяжек на кровле с ранее оборудованными трубостойками</v>
      </c>
      <c r="D34" s="30" t="s">
        <v>216</v>
      </c>
      <c r="E34" s="77">
        <f>Source!I162</f>
        <v>1</v>
      </c>
      <c r="F34" s="30" t="str">
        <f>Source!U146</f>
        <v/>
      </c>
      <c r="G34" s="30">
        <f>Source!I162</f>
        <v>1</v>
      </c>
      <c r="H34" s="76"/>
    </row>
    <row r="35" spans="1:8" ht="28.5" x14ac:dyDescent="0.2">
      <c r="A35" s="30">
        <v>22</v>
      </c>
      <c r="B35" s="30" t="str">
        <f>Source!E166</f>
        <v>22</v>
      </c>
      <c r="C35" s="76" t="str">
        <f>Source!G166</f>
        <v>Антенные устройства, монтаж металлоконструкций для телевизионных антенн (Масса антенны в сборе - 5,1 кг)</v>
      </c>
      <c r="D35" s="30" t="s">
        <v>232</v>
      </c>
      <c r="E35" s="77">
        <f>Source!I166</f>
        <v>5.1000000000000004E-3</v>
      </c>
      <c r="F35" s="30" t="str">
        <f>Source!U146</f>
        <v/>
      </c>
      <c r="G35" s="30" t="str">
        <f>"=5,1/"&amp;"1000"</f>
        <v>=5,1/1000</v>
      </c>
      <c r="H35" s="76"/>
    </row>
    <row r="36" spans="1:8" ht="28.5" x14ac:dyDescent="0.2">
      <c r="A36" s="30">
        <v>23</v>
      </c>
      <c r="B36" s="30" t="str">
        <f>Source!E168</f>
        <v>23</v>
      </c>
      <c r="C36" s="76" t="str">
        <f>Source!G168</f>
        <v>Мачта для телевизионной антенны, высота не более 6 м, без защелок-натяжителей и проволоки для оттяжек</v>
      </c>
      <c r="D36" s="30" t="s">
        <v>31</v>
      </c>
      <c r="E36" s="77">
        <f>Source!I168</f>
        <v>1</v>
      </c>
      <c r="F36" s="30" t="str">
        <f>Source!U146</f>
        <v/>
      </c>
      <c r="G36" s="30">
        <f>Source!I168</f>
        <v>1</v>
      </c>
      <c r="H36" s="76"/>
    </row>
    <row r="37" spans="1:8" ht="14.25" x14ac:dyDescent="0.2">
      <c r="A37" s="30">
        <v>24</v>
      </c>
      <c r="B37" s="30" t="str">
        <f>Source!E170</f>
        <v>24</v>
      </c>
      <c r="C37" s="76" t="str">
        <f>Source!G170</f>
        <v>Опора  модернизированная с грузом 8х20 кг NPMM-60</v>
      </c>
      <c r="D37" s="30" t="s">
        <v>206</v>
      </c>
      <c r="E37" s="77">
        <f>Source!I170</f>
        <v>1</v>
      </c>
      <c r="F37" s="30" t="str">
        <f>Source!U146</f>
        <v/>
      </c>
      <c r="G37" s="30">
        <f>Source!I170</f>
        <v>1</v>
      </c>
      <c r="H37" s="76"/>
    </row>
    <row r="38" spans="1:8" ht="28.5" x14ac:dyDescent="0.2">
      <c r="A38" s="30">
        <v>25</v>
      </c>
      <c r="B38" s="30" t="str">
        <f>Source!E172</f>
        <v>25</v>
      </c>
      <c r="C38" s="76" t="str">
        <f>Source!G172</f>
        <v>Комплект заземления мачты   (трос стальной 8,3мм-10м; на конечник КВТ35-8-9-1шт.; сжим У859М-1шт.)</v>
      </c>
      <c r="D38" s="30" t="s">
        <v>206</v>
      </c>
      <c r="E38" s="77">
        <f>Source!I172</f>
        <v>1</v>
      </c>
      <c r="F38" s="30" t="str">
        <f>Source!U146</f>
        <v/>
      </c>
      <c r="G38" s="30">
        <f>Source!I172</f>
        <v>1</v>
      </c>
      <c r="H38" s="76"/>
    </row>
    <row r="39" spans="1:8" ht="14.25" x14ac:dyDescent="0.2">
      <c r="A39" s="30">
        <v>26</v>
      </c>
      <c r="B39" s="30" t="str">
        <f>Source!E174</f>
        <v>26</v>
      </c>
      <c r="C39" s="76" t="str">
        <f>Source!G174</f>
        <v>Грозозащита для воздушных абонентских линий</v>
      </c>
      <c r="D39" s="30" t="s">
        <v>248</v>
      </c>
      <c r="E39" s="77">
        <f>Source!I174</f>
        <v>1</v>
      </c>
      <c r="F39" s="30" t="str">
        <f>Source!U146</f>
        <v/>
      </c>
      <c r="G39" s="30">
        <f>Source!I174</f>
        <v>1</v>
      </c>
      <c r="H39" s="76"/>
    </row>
    <row r="40" spans="1:8" ht="14.25" x14ac:dyDescent="0.2">
      <c r="A40" s="30">
        <v>27</v>
      </c>
      <c r="B40" s="30" t="str">
        <f>Source!E178</f>
        <v>27</v>
      </c>
      <c r="C40" s="76" t="str">
        <f>Source!G178</f>
        <v>Разъем телевизионный F для коаксиального кабеля стандарта RG6</v>
      </c>
      <c r="D40" s="30" t="s">
        <v>31</v>
      </c>
      <c r="E40" s="77">
        <f>Source!I178</f>
        <v>10</v>
      </c>
      <c r="F40" s="30" t="str">
        <f>Source!U146</f>
        <v/>
      </c>
      <c r="G40" s="30">
        <f>Source!I178</f>
        <v>10</v>
      </c>
      <c r="H40" s="76"/>
    </row>
    <row r="41" spans="1:8" ht="14.25" x14ac:dyDescent="0.2">
      <c r="A41" s="30">
        <v>28</v>
      </c>
      <c r="B41" s="30" t="str">
        <f>Source!E180</f>
        <v>28</v>
      </c>
      <c r="C41" s="76" t="str">
        <f>Source!G180</f>
        <v>Коннектор (вилка) телекоммуникационный 8P8C, RJ45, категория 5E</v>
      </c>
      <c r="D41" s="30" t="s">
        <v>63</v>
      </c>
      <c r="E41" s="77">
        <f>Source!I180</f>
        <v>0.04</v>
      </c>
      <c r="F41" s="30" t="str">
        <f>Source!U146</f>
        <v/>
      </c>
      <c r="G41" s="30" t="str">
        <f>"=4/"&amp;"100"</f>
        <v>=4/100</v>
      </c>
      <c r="H41" s="76"/>
    </row>
    <row r="42" spans="1:8" ht="28.5" x14ac:dyDescent="0.2">
      <c r="A42" s="30">
        <v>29</v>
      </c>
      <c r="B42" s="30" t="str">
        <f>Source!E182</f>
        <v>29</v>
      </c>
      <c r="C42" s="76" t="str">
        <f>Source!G182</f>
        <v>Разъем телевизионный "папа", прямой, для коаксиального кабеля стандарта RG6</v>
      </c>
      <c r="D42" s="30" t="s">
        <v>31</v>
      </c>
      <c r="E42" s="77">
        <f>Source!I182</f>
        <v>3</v>
      </c>
      <c r="F42" s="30" t="str">
        <f>Source!U146</f>
        <v/>
      </c>
      <c r="G42" s="30">
        <f>Source!I182</f>
        <v>3</v>
      </c>
      <c r="H42" s="76"/>
    </row>
    <row r="43" spans="1:8" ht="14.25" x14ac:dyDescent="0.2">
      <c r="A43" s="30">
        <v>30</v>
      </c>
      <c r="B43" s="30" t="str">
        <f>Source!E184</f>
        <v>30</v>
      </c>
      <c r="C43" s="76" t="str">
        <f>Source!G184</f>
        <v>Разъем телевизионный F для коаксиального кабеля стандарта RG6</v>
      </c>
      <c r="D43" s="30" t="s">
        <v>31</v>
      </c>
      <c r="E43" s="77">
        <f>Source!I184</f>
        <v>1</v>
      </c>
      <c r="F43" s="30" t="str">
        <f>Source!U146</f>
        <v/>
      </c>
      <c r="G43" s="30">
        <f>Source!I184</f>
        <v>1</v>
      </c>
      <c r="H43" s="76"/>
    </row>
    <row r="44" spans="1:8" ht="14.25" x14ac:dyDescent="0.2">
      <c r="A44" s="29">
        <v>31</v>
      </c>
      <c r="B44" s="29" t="str">
        <f>Source!E186</f>
        <v>31</v>
      </c>
      <c r="C44" s="74" t="str">
        <f>Source!G186</f>
        <v>Грозозащита для воздушных абонентских линий</v>
      </c>
      <c r="D44" s="29" t="s">
        <v>248</v>
      </c>
      <c r="E44" s="75">
        <f>Source!I186</f>
        <v>1</v>
      </c>
      <c r="F44" s="29" t="str">
        <f>Source!U146</f>
        <v/>
      </c>
      <c r="G44" s="29">
        <f>Source!I186</f>
        <v>1</v>
      </c>
      <c r="H44" s="74"/>
    </row>
    <row r="47" spans="1:8" ht="15" x14ac:dyDescent="0.25">
      <c r="C47" s="78" t="s">
        <v>545</v>
      </c>
      <c r="D47" s="78" t="str">
        <f>IF(Source!X12&lt;&gt;"", Source!X12," ")</f>
        <v xml:space="preserve"> </v>
      </c>
      <c r="E47" s="79"/>
    </row>
    <row r="48" spans="1:8" ht="15" x14ac:dyDescent="0.25">
      <c r="C48" s="11"/>
      <c r="D48" s="79"/>
      <c r="E48" s="79"/>
    </row>
    <row r="49" spans="3:5" ht="15" x14ac:dyDescent="0.25">
      <c r="C49" s="80" t="s">
        <v>546</v>
      </c>
      <c r="D49" s="80" t="str">
        <f>IF(Source!AB12&lt;&gt;"", Source!AB12," ")</f>
        <v>Соколова И.Н.</v>
      </c>
      <c r="E49" s="79"/>
    </row>
  </sheetData>
  <mergeCells count="6">
    <mergeCell ref="B4:E4"/>
    <mergeCell ref="B5:E5"/>
    <mergeCell ref="A10:H10"/>
    <mergeCell ref="A11:H11"/>
    <mergeCell ref="A17:H17"/>
    <mergeCell ref="A30:H30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298"/>
  <sheetViews>
    <sheetView workbookViewId="0">
      <selection activeCell="A294" sqref="A294:AX294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290</v>
      </c>
      <c r="C12" s="1">
        <v>0</v>
      </c>
      <c r="D12" s="1">
        <f>ROW(A251)</f>
        <v>251</v>
      </c>
      <c r="E12" s="1">
        <v>0</v>
      </c>
      <c r="F12" s="1" t="s">
        <v>3</v>
      </c>
      <c r="G12" s="1" t="s">
        <v>5</v>
      </c>
      <c r="H12" s="1" t="s">
        <v>3</v>
      </c>
      <c r="I12" s="1">
        <v>0</v>
      </c>
      <c r="J12" s="1" t="s">
        <v>6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7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x14ac:dyDescent="0.2">
      <c r="A18" s="3">
        <v>52</v>
      </c>
      <c r="B18" s="3">
        <f t="shared" ref="B18:G18" si="0">B251</f>
        <v>290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/>
      </c>
      <c r="G18" s="3" t="str">
        <f t="shared" si="0"/>
        <v>02-01-10 РТС</v>
      </c>
      <c r="H18" s="3"/>
      <c r="I18" s="3"/>
      <c r="J18" s="3"/>
      <c r="K18" s="3"/>
      <c r="L18" s="3"/>
      <c r="M18" s="3"/>
      <c r="N18" s="3"/>
      <c r="O18" s="3">
        <f t="shared" ref="O18:AT18" si="1">O251</f>
        <v>192447.83</v>
      </c>
      <c r="P18" s="3">
        <f t="shared" si="1"/>
        <v>190510.95</v>
      </c>
      <c r="Q18" s="3">
        <f t="shared" si="1"/>
        <v>157.38</v>
      </c>
      <c r="R18" s="3">
        <f t="shared" si="1"/>
        <v>18.010000000000002</v>
      </c>
      <c r="S18" s="3">
        <f t="shared" si="1"/>
        <v>1779.5</v>
      </c>
      <c r="T18" s="3">
        <f t="shared" si="1"/>
        <v>0</v>
      </c>
      <c r="U18" s="3">
        <f t="shared" si="1"/>
        <v>138.52903130000001</v>
      </c>
      <c r="V18" s="3">
        <f t="shared" si="1"/>
        <v>0</v>
      </c>
      <c r="W18" s="3">
        <f t="shared" si="1"/>
        <v>0</v>
      </c>
      <c r="X18" s="3">
        <f t="shared" si="1"/>
        <v>1712.81</v>
      </c>
      <c r="Y18" s="3">
        <f t="shared" si="1"/>
        <v>917.25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178043.75</v>
      </c>
      <c r="AQ18" s="3">
        <f t="shared" si="1"/>
        <v>0</v>
      </c>
      <c r="AR18" s="3">
        <f t="shared" si="1"/>
        <v>195077.89</v>
      </c>
      <c r="AS18" s="3">
        <f t="shared" si="1"/>
        <v>0</v>
      </c>
      <c r="AT18" s="3">
        <f t="shared" si="1"/>
        <v>17034.14</v>
      </c>
      <c r="AU18" s="3">
        <f t="shared" ref="AU18:BZ18" si="2">AU251</f>
        <v>0</v>
      </c>
      <c r="AV18" s="3">
        <f t="shared" si="2"/>
        <v>190510.95</v>
      </c>
      <c r="AW18" s="3">
        <f t="shared" si="2"/>
        <v>12467.2</v>
      </c>
      <c r="AX18" s="3">
        <f t="shared" si="2"/>
        <v>0</v>
      </c>
      <c r="AY18" s="3">
        <f t="shared" si="2"/>
        <v>12467.2</v>
      </c>
      <c r="AZ18" s="3">
        <f t="shared" si="2"/>
        <v>178043.75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CA251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DG251</f>
        <v>1572856.39</v>
      </c>
      <c r="DH18" s="4">
        <f t="shared" si="4"/>
        <v>1472575.44</v>
      </c>
      <c r="DI18" s="4">
        <f t="shared" si="4"/>
        <v>2426.25</v>
      </c>
      <c r="DJ18" s="4">
        <f t="shared" si="4"/>
        <v>990.38</v>
      </c>
      <c r="DK18" s="4">
        <f t="shared" si="4"/>
        <v>97854.7</v>
      </c>
      <c r="DL18" s="4">
        <f t="shared" si="4"/>
        <v>0</v>
      </c>
      <c r="DM18" s="4">
        <f t="shared" si="4"/>
        <v>138.52903130000001</v>
      </c>
      <c r="DN18" s="4">
        <f t="shared" si="4"/>
        <v>0</v>
      </c>
      <c r="DO18" s="4">
        <f t="shared" si="4"/>
        <v>0</v>
      </c>
      <c r="DP18" s="4">
        <f t="shared" si="4"/>
        <v>94186.89</v>
      </c>
      <c r="DQ18" s="4">
        <f t="shared" si="4"/>
        <v>50439.94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1364277.16</v>
      </c>
      <c r="EI18" s="4">
        <f t="shared" si="4"/>
        <v>0</v>
      </c>
      <c r="EJ18" s="4">
        <f t="shared" si="4"/>
        <v>1717483.22</v>
      </c>
      <c r="EK18" s="4">
        <f t="shared" si="4"/>
        <v>0</v>
      </c>
      <c r="EL18" s="4">
        <f t="shared" si="4"/>
        <v>353206.06</v>
      </c>
      <c r="EM18" s="4">
        <f t="shared" ref="EM18:FR18" si="5">EM251</f>
        <v>0</v>
      </c>
      <c r="EN18" s="4">
        <f t="shared" si="5"/>
        <v>1472575.44</v>
      </c>
      <c r="EO18" s="4">
        <f t="shared" si="5"/>
        <v>108298.28</v>
      </c>
      <c r="EP18" s="4">
        <f t="shared" si="5"/>
        <v>0</v>
      </c>
      <c r="EQ18" s="4">
        <f t="shared" si="5"/>
        <v>108298.28</v>
      </c>
      <c r="ER18" s="4">
        <f t="shared" si="5"/>
        <v>1364277.16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FS251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x14ac:dyDescent="0.2">
      <c r="A20" s="1">
        <v>3</v>
      </c>
      <c r="B20" s="1">
        <v>1</v>
      </c>
      <c r="C20" s="1"/>
      <c r="D20" s="1">
        <f>ROW(A221)</f>
        <v>221</v>
      </c>
      <c r="E20" s="1"/>
      <c r="F20" s="1" t="s">
        <v>15</v>
      </c>
      <c r="G20" s="1" t="s">
        <v>16</v>
      </c>
      <c r="H20" s="1" t="s">
        <v>3</v>
      </c>
      <c r="I20" s="1">
        <v>0</v>
      </c>
      <c r="J20" s="1" t="s">
        <v>6</v>
      </c>
      <c r="K20" s="1">
        <v>-1</v>
      </c>
      <c r="L20" s="1" t="s">
        <v>15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2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x14ac:dyDescent="0.2">
      <c r="A22" s="3">
        <v>52</v>
      </c>
      <c r="B22" s="3">
        <f t="shared" ref="B22:G22" si="7">B221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02-01-10</v>
      </c>
      <c r="G22" s="3" t="str">
        <f t="shared" si="7"/>
        <v>Радиотрансляционная сеть</v>
      </c>
      <c r="H22" s="3"/>
      <c r="I22" s="3"/>
      <c r="J22" s="3"/>
      <c r="K22" s="3"/>
      <c r="L22" s="3"/>
      <c r="M22" s="3"/>
      <c r="N22" s="3"/>
      <c r="O22" s="3">
        <f t="shared" ref="O22:AT22" si="8">O221</f>
        <v>192447.83</v>
      </c>
      <c r="P22" s="3">
        <f t="shared" si="8"/>
        <v>190510.95</v>
      </c>
      <c r="Q22" s="3">
        <f t="shared" si="8"/>
        <v>157.38</v>
      </c>
      <c r="R22" s="3">
        <f t="shared" si="8"/>
        <v>18.010000000000002</v>
      </c>
      <c r="S22" s="3">
        <f t="shared" si="8"/>
        <v>1779.5</v>
      </c>
      <c r="T22" s="3">
        <f t="shared" si="8"/>
        <v>0</v>
      </c>
      <c r="U22" s="3">
        <f t="shared" si="8"/>
        <v>138.52903130000001</v>
      </c>
      <c r="V22" s="3">
        <f t="shared" si="8"/>
        <v>0</v>
      </c>
      <c r="W22" s="3">
        <f t="shared" si="8"/>
        <v>0</v>
      </c>
      <c r="X22" s="3">
        <f t="shared" si="8"/>
        <v>1712.81</v>
      </c>
      <c r="Y22" s="3">
        <f t="shared" si="8"/>
        <v>917.25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178043.75</v>
      </c>
      <c r="AQ22" s="3">
        <f t="shared" si="8"/>
        <v>0</v>
      </c>
      <c r="AR22" s="3">
        <f t="shared" si="8"/>
        <v>195077.89</v>
      </c>
      <c r="AS22" s="3">
        <f t="shared" si="8"/>
        <v>0</v>
      </c>
      <c r="AT22" s="3">
        <f t="shared" si="8"/>
        <v>17034.14</v>
      </c>
      <c r="AU22" s="3">
        <f t="shared" ref="AU22:BZ22" si="9">AU221</f>
        <v>0</v>
      </c>
      <c r="AV22" s="3">
        <f t="shared" si="9"/>
        <v>190510.95</v>
      </c>
      <c r="AW22" s="3">
        <f t="shared" si="9"/>
        <v>12467.2</v>
      </c>
      <c r="AX22" s="3">
        <f t="shared" si="9"/>
        <v>0</v>
      </c>
      <c r="AY22" s="3">
        <f t="shared" si="9"/>
        <v>12467.2</v>
      </c>
      <c r="AZ22" s="3">
        <f t="shared" si="9"/>
        <v>178043.75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CA221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DG221</f>
        <v>1572856.39</v>
      </c>
      <c r="DH22" s="4">
        <f t="shared" si="11"/>
        <v>1472575.44</v>
      </c>
      <c r="DI22" s="4">
        <f t="shared" si="11"/>
        <v>2426.25</v>
      </c>
      <c r="DJ22" s="4">
        <f t="shared" si="11"/>
        <v>990.38</v>
      </c>
      <c r="DK22" s="4">
        <f t="shared" si="11"/>
        <v>97854.7</v>
      </c>
      <c r="DL22" s="4">
        <f t="shared" si="11"/>
        <v>0</v>
      </c>
      <c r="DM22" s="4">
        <f t="shared" si="11"/>
        <v>138.52903130000001</v>
      </c>
      <c r="DN22" s="4">
        <f t="shared" si="11"/>
        <v>0</v>
      </c>
      <c r="DO22" s="4">
        <f t="shared" si="11"/>
        <v>0</v>
      </c>
      <c r="DP22" s="4">
        <f t="shared" si="11"/>
        <v>94186.89</v>
      </c>
      <c r="DQ22" s="4">
        <f t="shared" si="11"/>
        <v>50439.94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1364277.16</v>
      </c>
      <c r="EI22" s="4">
        <f t="shared" si="11"/>
        <v>0</v>
      </c>
      <c r="EJ22" s="4">
        <f t="shared" si="11"/>
        <v>1717483.22</v>
      </c>
      <c r="EK22" s="4">
        <f t="shared" si="11"/>
        <v>0</v>
      </c>
      <c r="EL22" s="4">
        <f t="shared" si="11"/>
        <v>353206.06</v>
      </c>
      <c r="EM22" s="4">
        <f t="shared" ref="EM22:FR22" si="12">EM221</f>
        <v>0</v>
      </c>
      <c r="EN22" s="4">
        <f t="shared" si="12"/>
        <v>1472575.44</v>
      </c>
      <c r="EO22" s="4">
        <f t="shared" si="12"/>
        <v>108298.28</v>
      </c>
      <c r="EP22" s="4">
        <f t="shared" si="12"/>
        <v>0</v>
      </c>
      <c r="EQ22" s="4">
        <f t="shared" si="12"/>
        <v>108298.28</v>
      </c>
      <c r="ER22" s="4">
        <f t="shared" si="12"/>
        <v>1364277.16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FS221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x14ac:dyDescent="0.2">
      <c r="A24" s="1">
        <v>4</v>
      </c>
      <c r="B24" s="1">
        <v>1</v>
      </c>
      <c r="C24" s="1"/>
      <c r="D24" s="1">
        <f>ROW(A51)</f>
        <v>51</v>
      </c>
      <c r="E24" s="1"/>
      <c r="F24" s="1" t="s">
        <v>3</v>
      </c>
      <c r="G24" s="1" t="s">
        <v>17</v>
      </c>
      <c r="H24" s="1" t="s">
        <v>3</v>
      </c>
      <c r="I24" s="1">
        <v>0</v>
      </c>
      <c r="J24" s="1"/>
      <c r="K24" s="1">
        <v>-1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2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x14ac:dyDescent="0.2">
      <c r="A26" s="3">
        <v>52</v>
      </c>
      <c r="B26" s="3">
        <f t="shared" ref="B26:G26" si="14">B51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/>
      </c>
      <c r="G26" s="3" t="str">
        <f t="shared" si="14"/>
        <v>Оборудование</v>
      </c>
      <c r="H26" s="3"/>
      <c r="I26" s="3"/>
      <c r="J26" s="3"/>
      <c r="K26" s="3"/>
      <c r="L26" s="3"/>
      <c r="M26" s="3"/>
      <c r="N26" s="3"/>
      <c r="O26" s="3">
        <f t="shared" ref="O26:AT26" si="15">O51</f>
        <v>175166.44</v>
      </c>
      <c r="P26" s="3">
        <f t="shared" si="15"/>
        <v>174472.47</v>
      </c>
      <c r="Q26" s="3">
        <f t="shared" si="15"/>
        <v>10.49</v>
      </c>
      <c r="R26" s="3">
        <f t="shared" si="15"/>
        <v>0.98</v>
      </c>
      <c r="S26" s="3">
        <f t="shared" si="15"/>
        <v>683.48</v>
      </c>
      <c r="T26" s="3">
        <f t="shared" si="15"/>
        <v>0</v>
      </c>
      <c r="U26" s="3">
        <f t="shared" si="15"/>
        <v>52.573722960000005</v>
      </c>
      <c r="V26" s="3">
        <f t="shared" si="15"/>
        <v>0</v>
      </c>
      <c r="W26" s="3">
        <f t="shared" si="15"/>
        <v>0</v>
      </c>
      <c r="X26" s="3">
        <f t="shared" si="15"/>
        <v>642.97</v>
      </c>
      <c r="Y26" s="3">
        <f t="shared" si="15"/>
        <v>351.77</v>
      </c>
      <c r="Z26" s="3">
        <f t="shared" si="15"/>
        <v>0</v>
      </c>
      <c r="AA26" s="3">
        <f t="shared" si="15"/>
        <v>0</v>
      </c>
      <c r="AB26" s="3">
        <f t="shared" si="15"/>
        <v>175166.44</v>
      </c>
      <c r="AC26" s="3">
        <f t="shared" si="15"/>
        <v>174472.47</v>
      </c>
      <c r="AD26" s="3">
        <f t="shared" si="15"/>
        <v>10.49</v>
      </c>
      <c r="AE26" s="3">
        <f t="shared" si="15"/>
        <v>0.98</v>
      </c>
      <c r="AF26" s="3">
        <f t="shared" si="15"/>
        <v>683.48</v>
      </c>
      <c r="AG26" s="3">
        <f t="shared" si="15"/>
        <v>0</v>
      </c>
      <c r="AH26" s="3">
        <f t="shared" si="15"/>
        <v>52.573722960000005</v>
      </c>
      <c r="AI26" s="3">
        <f t="shared" si="15"/>
        <v>0</v>
      </c>
      <c r="AJ26" s="3">
        <f t="shared" si="15"/>
        <v>0</v>
      </c>
      <c r="AK26" s="3">
        <f t="shared" si="15"/>
        <v>642.97</v>
      </c>
      <c r="AL26" s="3">
        <f t="shared" si="15"/>
        <v>351.77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174167.53</v>
      </c>
      <c r="AQ26" s="3">
        <f t="shared" si="15"/>
        <v>0</v>
      </c>
      <c r="AR26" s="3">
        <f t="shared" si="15"/>
        <v>176161.18</v>
      </c>
      <c r="AS26" s="3">
        <f t="shared" si="15"/>
        <v>0</v>
      </c>
      <c r="AT26" s="3">
        <f t="shared" si="15"/>
        <v>1993.65</v>
      </c>
      <c r="AU26" s="3">
        <f t="shared" ref="AU26:BZ26" si="16">AU51</f>
        <v>0</v>
      </c>
      <c r="AV26" s="3">
        <f t="shared" si="16"/>
        <v>174472.47</v>
      </c>
      <c r="AW26" s="3">
        <f t="shared" si="16"/>
        <v>304.94</v>
      </c>
      <c r="AX26" s="3">
        <f t="shared" si="16"/>
        <v>0</v>
      </c>
      <c r="AY26" s="3">
        <f t="shared" si="16"/>
        <v>304.94</v>
      </c>
      <c r="AZ26" s="3">
        <f t="shared" si="16"/>
        <v>174167.53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174167.53</v>
      </c>
      <c r="BZ26" s="3">
        <f t="shared" si="16"/>
        <v>0</v>
      </c>
      <c r="CA26" s="3">
        <f t="shared" ref="CA26:DF26" si="17">CA51</f>
        <v>176161.18</v>
      </c>
      <c r="CB26" s="3">
        <f t="shared" si="17"/>
        <v>0</v>
      </c>
      <c r="CC26" s="3">
        <f t="shared" si="17"/>
        <v>1993.65</v>
      </c>
      <c r="CD26" s="3">
        <f t="shared" si="17"/>
        <v>0</v>
      </c>
      <c r="CE26" s="3">
        <f t="shared" si="17"/>
        <v>174472.47</v>
      </c>
      <c r="CF26" s="3">
        <f t="shared" si="17"/>
        <v>304.94000000000233</v>
      </c>
      <c r="CG26" s="3">
        <f t="shared" si="17"/>
        <v>0</v>
      </c>
      <c r="CH26" s="3">
        <f t="shared" si="17"/>
        <v>304.94000000000233</v>
      </c>
      <c r="CI26" s="3">
        <f t="shared" si="17"/>
        <v>174167.53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DG51</f>
        <v>1374458.71</v>
      </c>
      <c r="DH26" s="4">
        <f t="shared" si="18"/>
        <v>1336724.93</v>
      </c>
      <c r="DI26" s="4">
        <f t="shared" si="18"/>
        <v>149.21</v>
      </c>
      <c r="DJ26" s="4">
        <f t="shared" si="18"/>
        <v>53.9</v>
      </c>
      <c r="DK26" s="4">
        <f t="shared" si="18"/>
        <v>37584.57</v>
      </c>
      <c r="DL26" s="4">
        <f t="shared" si="18"/>
        <v>0</v>
      </c>
      <c r="DM26" s="4">
        <f t="shared" si="18"/>
        <v>52.573722960000005</v>
      </c>
      <c r="DN26" s="4">
        <f t="shared" si="18"/>
        <v>0</v>
      </c>
      <c r="DO26" s="4">
        <f t="shared" si="18"/>
        <v>0</v>
      </c>
      <c r="DP26" s="4">
        <f t="shared" si="18"/>
        <v>35357.01</v>
      </c>
      <c r="DQ26" s="4">
        <f t="shared" si="18"/>
        <v>19344.169999999998</v>
      </c>
      <c r="DR26" s="4">
        <f t="shared" si="18"/>
        <v>0</v>
      </c>
      <c r="DS26" s="4">
        <f t="shared" si="18"/>
        <v>0</v>
      </c>
      <c r="DT26" s="4">
        <f t="shared" si="18"/>
        <v>1374458.71</v>
      </c>
      <c r="DU26" s="4">
        <f t="shared" si="18"/>
        <v>1336724.93</v>
      </c>
      <c r="DV26" s="4">
        <f t="shared" si="18"/>
        <v>149.21</v>
      </c>
      <c r="DW26" s="4">
        <f t="shared" si="18"/>
        <v>53.9</v>
      </c>
      <c r="DX26" s="4">
        <f t="shared" si="18"/>
        <v>37584.57</v>
      </c>
      <c r="DY26" s="4">
        <f t="shared" si="18"/>
        <v>0</v>
      </c>
      <c r="DZ26" s="4">
        <f t="shared" si="18"/>
        <v>52.573722960000005</v>
      </c>
      <c r="EA26" s="4">
        <f t="shared" si="18"/>
        <v>0</v>
      </c>
      <c r="EB26" s="4">
        <f t="shared" si="18"/>
        <v>0</v>
      </c>
      <c r="EC26" s="4">
        <f t="shared" si="18"/>
        <v>35357.01</v>
      </c>
      <c r="ED26" s="4">
        <f t="shared" si="18"/>
        <v>19344.169999999998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1334123.28</v>
      </c>
      <c r="EI26" s="4">
        <f t="shared" si="18"/>
        <v>0</v>
      </c>
      <c r="EJ26" s="4">
        <f t="shared" si="18"/>
        <v>1429159.89</v>
      </c>
      <c r="EK26" s="4">
        <f t="shared" si="18"/>
        <v>0</v>
      </c>
      <c r="EL26" s="4">
        <f t="shared" si="18"/>
        <v>95036.61</v>
      </c>
      <c r="EM26" s="4">
        <f t="shared" ref="EM26:FR26" si="19">EM51</f>
        <v>0</v>
      </c>
      <c r="EN26" s="4">
        <f t="shared" si="19"/>
        <v>1336724.93</v>
      </c>
      <c r="EO26" s="4">
        <f t="shared" si="19"/>
        <v>2601.65</v>
      </c>
      <c r="EP26" s="4">
        <f t="shared" si="19"/>
        <v>0</v>
      </c>
      <c r="EQ26" s="4">
        <f t="shared" si="19"/>
        <v>2601.65</v>
      </c>
      <c r="ER26" s="4">
        <f t="shared" si="19"/>
        <v>1334123.28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1334123.28</v>
      </c>
      <c r="FR26" s="4">
        <f t="shared" si="19"/>
        <v>0</v>
      </c>
      <c r="FS26" s="4">
        <f t="shared" ref="FS26:GX26" si="20">FS51</f>
        <v>1429159.89</v>
      </c>
      <c r="FT26" s="4">
        <f t="shared" si="20"/>
        <v>0</v>
      </c>
      <c r="FU26" s="4">
        <f t="shared" si="20"/>
        <v>95036.61</v>
      </c>
      <c r="FV26" s="4">
        <f t="shared" si="20"/>
        <v>0</v>
      </c>
      <c r="FW26" s="4">
        <f t="shared" si="20"/>
        <v>1336724.93</v>
      </c>
      <c r="FX26" s="4">
        <f t="shared" si="20"/>
        <v>2601.6499999999069</v>
      </c>
      <c r="FY26" s="4">
        <f t="shared" si="20"/>
        <v>0</v>
      </c>
      <c r="FZ26" s="4">
        <f t="shared" si="20"/>
        <v>2601.6499999999069</v>
      </c>
      <c r="GA26" s="4">
        <f t="shared" si="20"/>
        <v>1334123.28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2">
      <c r="A28" s="2">
        <v>17</v>
      </c>
      <c r="B28" s="2">
        <v>1</v>
      </c>
      <c r="C28" s="2">
        <f>ROW(SmtRes!A12)</f>
        <v>12</v>
      </c>
      <c r="D28" s="2">
        <f>ROW(EtalonRes!A12)</f>
        <v>12</v>
      </c>
      <c r="E28" s="2" t="s">
        <v>18</v>
      </c>
      <c r="F28" s="2" t="s">
        <v>19</v>
      </c>
      <c r="G28" s="2" t="s">
        <v>20</v>
      </c>
      <c r="H28" s="2" t="s">
        <v>21</v>
      </c>
      <c r="I28" s="2">
        <v>1</v>
      </c>
      <c r="J28" s="2">
        <v>0</v>
      </c>
      <c r="K28" s="2">
        <v>1</v>
      </c>
      <c r="L28" s="2"/>
      <c r="M28" s="2"/>
      <c r="N28" s="2"/>
      <c r="O28" s="2">
        <f t="shared" ref="O28:O49" si="21">ROUND(CP28,2)</f>
        <v>163.13999999999999</v>
      </c>
      <c r="P28" s="2">
        <f>ROUND((ROUND((AC28*AW28*I28),2)*BC28),2)</f>
        <v>89.36</v>
      </c>
      <c r="Q28" s="2">
        <f>(ROUND((ROUND((((ET28*1.1))*AV28*I28),2)*BB28),2)+ROUND((ROUND(((AE28-((EU28*1.1)))*AV28*I28),2)*BS28),2))</f>
        <v>4.92</v>
      </c>
      <c r="R28" s="2">
        <f>(ROUND((ROUND((((EU28*1.1))*AV28*I28),2)*BS28),2)+ROUND((ROUND(((AE28-((EU28*1.1)))*AV28*I28),2)*BS28),2))</f>
        <v>0.44</v>
      </c>
      <c r="S28" s="2">
        <f t="shared" ref="S28:S49" si="22">ROUND((ROUND((AF28*AV28*I28),2)*BA28),2)</f>
        <v>68.86</v>
      </c>
      <c r="T28" s="2">
        <f t="shared" ref="T28:T49" si="23">ROUND(CU28*I28,2)</f>
        <v>0</v>
      </c>
      <c r="U28" s="2">
        <f t="shared" ref="U28:U49" si="24">CV28*I28</f>
        <v>5.9312550000000002</v>
      </c>
      <c r="V28" s="2">
        <f t="shared" ref="V28:V49" si="25">CW28*I28</f>
        <v>0</v>
      </c>
      <c r="W28" s="2">
        <f t="shared" ref="W28:W49" si="26">ROUND(CX28*I28,2)</f>
        <v>0</v>
      </c>
      <c r="X28" s="2">
        <f>(ROUND((((S28+ROUND((ROUND((((EU28*1.1))*AV28*I28),2)*BS28),2))*AT28)/100),2)+ROUND(((ROUND((ROUND(((AE28-((EU28*1.1)))*AV28*I28),2)*BS28),2)*AT28)/100),2))</f>
        <v>62.37</v>
      </c>
      <c r="Y28" s="2">
        <f>(ROUND((((S28+ROUND((ROUND((((EU28*1.1))*AV28*I28),2)*BS28),2))*AU28)/100),2)+ROUND(((ROUND((ROUND(((AE28-((EU28*1.1)))*AV28*I28),2)*BS28),2)*AU28)/100),2))</f>
        <v>31.88</v>
      </c>
      <c r="Z28" s="2"/>
      <c r="AA28" s="2">
        <v>60256985</v>
      </c>
      <c r="AB28" s="2">
        <f t="shared" ref="AB28:AB49" si="27">ROUND((AC28+AD28+AF28),6)</f>
        <v>159.82599999999999</v>
      </c>
      <c r="AC28" s="2">
        <f t="shared" ref="AC28:AC49" si="28">ROUND((ES28),6)</f>
        <v>89.36</v>
      </c>
      <c r="AD28" s="2">
        <f>ROUND(((((ET28*1.1))-((EU28*1.1)))+AE28),6)</f>
        <v>4.6970000000000001</v>
      </c>
      <c r="AE28" s="2">
        <f>ROUND(((EU28*1.1)),6)</f>
        <v>0.41799999999999998</v>
      </c>
      <c r="AF28" s="2">
        <f>ROUND(((EV28*1.1)),6)</f>
        <v>65.769000000000005</v>
      </c>
      <c r="AG28" s="2">
        <f t="shared" ref="AG28:AG49" si="29">ROUND((AP28),6)</f>
        <v>0</v>
      </c>
      <c r="AH28" s="2">
        <f>((EW28*1.1))</f>
        <v>5.6650000000000009</v>
      </c>
      <c r="AI28" s="2">
        <f>((EX28*1.1))</f>
        <v>0</v>
      </c>
      <c r="AJ28" s="2">
        <f t="shared" ref="AJ28:AJ49" si="30">(AS28)</f>
        <v>0</v>
      </c>
      <c r="AK28" s="2">
        <v>153.41999999999999</v>
      </c>
      <c r="AL28" s="2">
        <v>89.36</v>
      </c>
      <c r="AM28" s="2">
        <v>4.2699999999999996</v>
      </c>
      <c r="AN28" s="2">
        <v>0.38</v>
      </c>
      <c r="AO28" s="2">
        <v>59.79</v>
      </c>
      <c r="AP28" s="2">
        <v>0</v>
      </c>
      <c r="AQ28" s="2">
        <v>5.15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22</v>
      </c>
      <c r="BK28" s="2"/>
      <c r="BL28" s="2"/>
      <c r="BM28" s="2">
        <v>72</v>
      </c>
      <c r="BN28" s="2">
        <v>58973116</v>
      </c>
      <c r="BO28" s="2" t="s">
        <v>19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474</v>
      </c>
      <c r="CO28" s="2">
        <v>0</v>
      </c>
      <c r="CP28" s="2">
        <f t="shared" ref="CP28:CP49" si="31">(P28+Q28+S28)</f>
        <v>163.13999999999999</v>
      </c>
      <c r="CQ28" s="2">
        <f>ROUND((ROUND((AC28*AW28*1),2)*BC28),2)</f>
        <v>89.36</v>
      </c>
      <c r="CR28" s="2">
        <f>(ROUND((ROUND((((ET28*1.1))*AV28*1),2)*BB28),2)+ROUND((ROUND(((AE28-((EU28*1.1)))*AV28*1),2)*BS28),2))</f>
        <v>4.92</v>
      </c>
      <c r="CS28" s="2">
        <f>(ROUND((ROUND((((EU28*1.1))*AV28*1),2)*BS28),2)+ROUND((ROUND(((AE28-((EU28*1.1)))*AV28*1),2)*BS28),2))</f>
        <v>0.44</v>
      </c>
      <c r="CT28" s="2">
        <f t="shared" ref="CT28:CT49" si="32">ROUND((ROUND((AF28*AV28*1),2)*BA28),2)</f>
        <v>68.86</v>
      </c>
      <c r="CU28" s="2">
        <f t="shared" ref="CU28:CU49" si="33">AG28</f>
        <v>0</v>
      </c>
      <c r="CV28" s="2">
        <f t="shared" ref="CV28:CV49" si="34">(AH28*AV28)</f>
        <v>5.9312550000000002</v>
      </c>
      <c r="CW28" s="2">
        <f t="shared" ref="CW28:CW49" si="35">AI28</f>
        <v>0</v>
      </c>
      <c r="CX28" s="2">
        <f t="shared" ref="CX28:CX49" si="36">AJ28</f>
        <v>0</v>
      </c>
      <c r="CY28" s="2">
        <f>(ROUND((((S28+ROUND((ROUND((((EU28*1.1))*AV28*1),2)*BS28),2))*AT28)/100),2)+ROUND(((ROUND((ROUND(((AE28-((EU28*1.1)))*AV28*1),2)*BS28),2)*AT28)/100),2))</f>
        <v>62.37</v>
      </c>
      <c r="CZ28" s="2">
        <f>(ROUND((((S28+ROUND((ROUND((((EU28*1.1))*AV28*1),2)*BS28),2))*AU28)/100),2)+ROUND(((ROUND((ROUND(((AE28-((EU28*1.1)))*AV28*1),2)*BS28),2)*AU28)/100),2))</f>
        <v>31.88</v>
      </c>
      <c r="DA28" s="2"/>
      <c r="DB28" s="2">
        <v>1</v>
      </c>
      <c r="DC28" s="2" t="s">
        <v>3</v>
      </c>
      <c r="DD28" s="2" t="s">
        <v>3</v>
      </c>
      <c r="DE28" s="2" t="s">
        <v>23</v>
      </c>
      <c r="DF28" s="2" t="s">
        <v>23</v>
      </c>
      <c r="DG28" s="2" t="s">
        <v>23</v>
      </c>
      <c r="DH28" s="2" t="s">
        <v>3</v>
      </c>
      <c r="DI28" s="2" t="s">
        <v>23</v>
      </c>
      <c r="DJ28" s="2" t="s">
        <v>23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21</v>
      </c>
      <c r="DW28" s="2" t="s">
        <v>21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60088536</v>
      </c>
      <c r="EF28" s="2">
        <v>40</v>
      </c>
      <c r="EG28" s="2" t="s">
        <v>24</v>
      </c>
      <c r="EH28" s="2">
        <v>0</v>
      </c>
      <c r="EI28" s="2" t="s">
        <v>3</v>
      </c>
      <c r="EJ28" s="2">
        <v>2</v>
      </c>
      <c r="EK28" s="2">
        <v>72</v>
      </c>
      <c r="EL28" s="2" t="s">
        <v>25</v>
      </c>
      <c r="EM28" s="2" t="s">
        <v>26</v>
      </c>
      <c r="EN28" s="2"/>
      <c r="EO28" s="2" t="s">
        <v>27</v>
      </c>
      <c r="EP28" s="2"/>
      <c r="EQ28" s="2">
        <v>0</v>
      </c>
      <c r="ER28" s="2">
        <v>153.41999999999999</v>
      </c>
      <c r="ES28" s="2">
        <v>89.36</v>
      </c>
      <c r="ET28" s="2">
        <v>4.2699999999999996</v>
      </c>
      <c r="EU28" s="2">
        <v>0.38</v>
      </c>
      <c r="EV28" s="2">
        <v>59.79</v>
      </c>
      <c r="EW28" s="2">
        <v>5.15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1767555919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49" si="37">ROUND(IF(AND(BH28=3,BI28=3,FS28&lt;&gt;0),P28,0),2)</f>
        <v>0</v>
      </c>
      <c r="GM28" s="2">
        <f t="shared" ref="GM28:GM49" si="38">ROUND(O28+X28+Y28,2)+GX28</f>
        <v>257.39</v>
      </c>
      <c r="GN28" s="2">
        <f t="shared" ref="GN28:GN49" si="39">IF(OR(BI28=0,BI28=1),GM28-GX28,0)</f>
        <v>0</v>
      </c>
      <c r="GO28" s="2">
        <f t="shared" ref="GO28:GO49" si="40">IF(BI28=2,GM28-GX28,0)</f>
        <v>257.39</v>
      </c>
      <c r="GP28" s="2">
        <f t="shared" ref="GP28:GP49" si="41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49" si="42">ROUND((GT28),6)</f>
        <v>0</v>
      </c>
      <c r="GW28" s="2">
        <v>1</v>
      </c>
      <c r="GX28" s="2">
        <f t="shared" ref="GX28:GX49" si="43">ROUND(HC28*I28,2)</f>
        <v>0</v>
      </c>
      <c r="GY28" s="2"/>
      <c r="GZ28" s="2"/>
      <c r="HA28" s="2">
        <v>0</v>
      </c>
      <c r="HB28" s="2">
        <v>0</v>
      </c>
      <c r="HC28" s="2">
        <f t="shared" ref="HC28:HC49" si="44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>
        <v>17</v>
      </c>
      <c r="B29">
        <v>1</v>
      </c>
      <c r="C29">
        <f>ROW(SmtRes!A24)</f>
        <v>24</v>
      </c>
      <c r="D29">
        <f>ROW(EtalonRes!A24)</f>
        <v>24</v>
      </c>
      <c r="E29" t="s">
        <v>18</v>
      </c>
      <c r="F29" t="s">
        <v>19</v>
      </c>
      <c r="G29" t="s">
        <v>20</v>
      </c>
      <c r="H29" t="s">
        <v>21</v>
      </c>
      <c r="I29">
        <v>1</v>
      </c>
      <c r="J29">
        <v>0</v>
      </c>
      <c r="K29">
        <v>1</v>
      </c>
      <c r="O29">
        <f t="shared" si="21"/>
        <v>4309.88</v>
      </c>
      <c r="P29">
        <f>ROUND((ROUND((AC29*AW29*I29),2)*BC29),2)</f>
        <v>453.95</v>
      </c>
      <c r="Q29">
        <f>(ROUND((ROUND((((ET29*1.1))*AV29*I29),2)*BB29),2)+ROUND((ROUND(((AE29-((EU29*1.1)))*AV29*I29),2)*BS29),2))</f>
        <v>69.319999999999993</v>
      </c>
      <c r="R29">
        <f>(ROUND((ROUND((((EU29*1.1))*AV29*I29),2)*BS29),2)+ROUND((ROUND(((AE29-((EU29*1.1)))*AV29*I29),2)*BS29),2))</f>
        <v>24.2</v>
      </c>
      <c r="S29">
        <f t="shared" si="22"/>
        <v>3786.61</v>
      </c>
      <c r="T29">
        <f t="shared" si="23"/>
        <v>0</v>
      </c>
      <c r="U29">
        <f t="shared" si="24"/>
        <v>5.9312550000000002</v>
      </c>
      <c r="V29">
        <f t="shared" si="25"/>
        <v>0</v>
      </c>
      <c r="W29">
        <f t="shared" si="26"/>
        <v>0</v>
      </c>
      <c r="X29">
        <f>(ROUND((((S29+ROUND((ROUND((((EU29*1.1))*AV29*I29),2)*BS29),2))*AT29)/100),2)+ROUND(((ROUND((ROUND(((AE29-((EU29*1.1)))*AV29*I29),2)*BS29),2)*AT29)/100),2))</f>
        <v>3429.73</v>
      </c>
      <c r="Y29">
        <f>(ROUND((((S29+ROUND((ROUND((((EU29*1.1))*AV29*I29),2)*BS29),2))*AU29)/100),2)+ROUND(((ROUND((ROUND(((AE29-((EU29*1.1)))*AV29*I29),2)*BS29),2)*AU29)/100),2))</f>
        <v>1752.97</v>
      </c>
      <c r="AA29">
        <v>60256982</v>
      </c>
      <c r="AB29">
        <f t="shared" si="27"/>
        <v>159.82599999999999</v>
      </c>
      <c r="AC29">
        <f t="shared" si="28"/>
        <v>89.36</v>
      </c>
      <c r="AD29">
        <f>ROUND(((((ET29*1.1))-((EU29*1.1)))+AE29),6)</f>
        <v>4.6970000000000001</v>
      </c>
      <c r="AE29">
        <f>ROUND(((EU29*1.1)),6)</f>
        <v>0.41799999999999998</v>
      </c>
      <c r="AF29">
        <f>ROUND(((EV29*1.1)),6)</f>
        <v>65.769000000000005</v>
      </c>
      <c r="AG29">
        <f t="shared" si="29"/>
        <v>0</v>
      </c>
      <c r="AH29">
        <f>((EW29*1.1))</f>
        <v>5.6650000000000009</v>
      </c>
      <c r="AI29">
        <f>((EX29*1.1))</f>
        <v>0</v>
      </c>
      <c r="AJ29">
        <f t="shared" si="30"/>
        <v>0</v>
      </c>
      <c r="AK29">
        <v>153.41999999999999</v>
      </c>
      <c r="AL29">
        <v>89.36</v>
      </c>
      <c r="AM29">
        <v>4.2699999999999996</v>
      </c>
      <c r="AN29">
        <v>0.38</v>
      </c>
      <c r="AO29">
        <v>59.79</v>
      </c>
      <c r="AP29">
        <v>0</v>
      </c>
      <c r="AQ29">
        <v>5.15</v>
      </c>
      <c r="AR29">
        <v>0</v>
      </c>
      <c r="AS29">
        <v>0</v>
      </c>
      <c r="AT29">
        <v>90</v>
      </c>
      <c r="AU29">
        <v>46</v>
      </c>
      <c r="AV29">
        <v>1.0469999999999999</v>
      </c>
      <c r="AW29">
        <v>1</v>
      </c>
      <c r="AZ29">
        <v>1</v>
      </c>
      <c r="BA29">
        <v>54.99</v>
      </c>
      <c r="BB29">
        <v>14.09</v>
      </c>
      <c r="BC29">
        <v>5.08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2</v>
      </c>
      <c r="BJ29" t="s">
        <v>22</v>
      </c>
      <c r="BM29">
        <v>72</v>
      </c>
      <c r="BN29">
        <v>58973116</v>
      </c>
      <c r="BO29" t="s">
        <v>19</v>
      </c>
      <c r="BP29">
        <v>1</v>
      </c>
      <c r="BQ29">
        <v>40</v>
      </c>
      <c r="BR29">
        <v>0</v>
      </c>
      <c r="BS29">
        <v>54.99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90</v>
      </c>
      <c r="CA29">
        <v>46</v>
      </c>
      <c r="CB29" t="s">
        <v>3</v>
      </c>
      <c r="CE29">
        <v>1566</v>
      </c>
      <c r="CF29">
        <v>0</v>
      </c>
      <c r="CG29">
        <v>0</v>
      </c>
      <c r="CM29">
        <v>0</v>
      </c>
      <c r="CN29" t="s">
        <v>474</v>
      </c>
      <c r="CO29">
        <v>0</v>
      </c>
      <c r="CP29">
        <f t="shared" si="31"/>
        <v>4309.88</v>
      </c>
      <c r="CQ29">
        <f>ROUND((ROUND((AC29*AW29*1),2)*BC29),2)</f>
        <v>453.95</v>
      </c>
      <c r="CR29">
        <f>(ROUND((ROUND((((ET29*1.1))*AV29*1),2)*BB29),2)+ROUND((ROUND(((AE29-((EU29*1.1)))*AV29*1),2)*BS29),2))</f>
        <v>69.319999999999993</v>
      </c>
      <c r="CS29">
        <f>(ROUND((ROUND((((EU29*1.1))*AV29*1),2)*BS29),2)+ROUND((ROUND(((AE29-((EU29*1.1)))*AV29*1),2)*BS29),2))</f>
        <v>24.2</v>
      </c>
      <c r="CT29">
        <f t="shared" si="32"/>
        <v>3786.61</v>
      </c>
      <c r="CU29">
        <f t="shared" si="33"/>
        <v>0</v>
      </c>
      <c r="CV29">
        <f t="shared" si="34"/>
        <v>5.9312550000000002</v>
      </c>
      <c r="CW29">
        <f t="shared" si="35"/>
        <v>0</v>
      </c>
      <c r="CX29">
        <f t="shared" si="36"/>
        <v>0</v>
      </c>
      <c r="CY29">
        <f>(ROUND((((S29+ROUND((ROUND((((EU29*1.1))*AV29*1),2)*BS29),2))*AT29)/100),2)+ROUND(((ROUND((ROUND(((AE29-((EU29*1.1)))*AV29*1),2)*BS29),2)*AT29)/100),2))</f>
        <v>3429.73</v>
      </c>
      <c r="CZ29">
        <f>(ROUND((((S29+ROUND((ROUND((((EU29*1.1))*AV29*1),2)*BS29),2))*AU29)/100),2)+ROUND(((ROUND((ROUND(((AE29-((EU29*1.1)))*AV29*1),2)*BS29),2)*AU29)/100),2))</f>
        <v>1752.97</v>
      </c>
      <c r="DB29">
        <v>2</v>
      </c>
      <c r="DC29" t="s">
        <v>3</v>
      </c>
      <c r="DD29" t="s">
        <v>3</v>
      </c>
      <c r="DE29" t="s">
        <v>23</v>
      </c>
      <c r="DF29" t="s">
        <v>23</v>
      </c>
      <c r="DG29" t="s">
        <v>23</v>
      </c>
      <c r="DH29" t="s">
        <v>3</v>
      </c>
      <c r="DI29" t="s">
        <v>23</v>
      </c>
      <c r="DJ29" t="s">
        <v>23</v>
      </c>
      <c r="DK29" t="s">
        <v>3</v>
      </c>
      <c r="DL29" t="s">
        <v>3</v>
      </c>
      <c r="DM29" t="s">
        <v>3</v>
      </c>
      <c r="DN29">
        <v>0</v>
      </c>
      <c r="DO29">
        <v>0</v>
      </c>
      <c r="DP29">
        <v>1</v>
      </c>
      <c r="DQ29">
        <v>1</v>
      </c>
      <c r="DU29">
        <v>1013</v>
      </c>
      <c r="DV29" t="s">
        <v>21</v>
      </c>
      <c r="DW29" t="s">
        <v>21</v>
      </c>
      <c r="DX29">
        <v>1</v>
      </c>
      <c r="DZ29" t="s">
        <v>3</v>
      </c>
      <c r="EA29" t="s">
        <v>3</v>
      </c>
      <c r="EB29" t="s">
        <v>3</v>
      </c>
      <c r="EC29" t="s">
        <v>3</v>
      </c>
      <c r="EE29">
        <v>60088536</v>
      </c>
      <c r="EF29">
        <v>40</v>
      </c>
      <c r="EG29" t="s">
        <v>24</v>
      </c>
      <c r="EH29">
        <v>0</v>
      </c>
      <c r="EI29" t="s">
        <v>3</v>
      </c>
      <c r="EJ29">
        <v>2</v>
      </c>
      <c r="EK29">
        <v>72</v>
      </c>
      <c r="EL29" t="s">
        <v>25</v>
      </c>
      <c r="EM29" t="s">
        <v>26</v>
      </c>
      <c r="EO29" t="s">
        <v>27</v>
      </c>
      <c r="EQ29">
        <v>0</v>
      </c>
      <c r="ER29">
        <v>153.41999999999999</v>
      </c>
      <c r="ES29">
        <v>89.36</v>
      </c>
      <c r="ET29">
        <v>4.2699999999999996</v>
      </c>
      <c r="EU29">
        <v>0.38</v>
      </c>
      <c r="EV29">
        <v>59.79</v>
      </c>
      <c r="EW29">
        <v>5.15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90</v>
      </c>
      <c r="FY29">
        <v>46</v>
      </c>
      <c r="GA29" t="s">
        <v>3</v>
      </c>
      <c r="GD29">
        <v>1</v>
      </c>
      <c r="GF29">
        <v>1767555919</v>
      </c>
      <c r="GG29">
        <v>2</v>
      </c>
      <c r="GH29">
        <v>1</v>
      </c>
      <c r="GI29">
        <v>2</v>
      </c>
      <c r="GJ29">
        <v>0</v>
      </c>
      <c r="GK29">
        <v>0</v>
      </c>
      <c r="GL29">
        <f t="shared" si="37"/>
        <v>0</v>
      </c>
      <c r="GM29">
        <f t="shared" si="38"/>
        <v>9492.58</v>
      </c>
      <c r="GN29">
        <f t="shared" si="39"/>
        <v>0</v>
      </c>
      <c r="GO29">
        <f t="shared" si="40"/>
        <v>9492.58</v>
      </c>
      <c r="GP29">
        <f t="shared" si="41"/>
        <v>0</v>
      </c>
      <c r="GR29">
        <v>0</v>
      </c>
      <c r="GS29">
        <v>3</v>
      </c>
      <c r="GT29">
        <v>0</v>
      </c>
      <c r="GU29" t="s">
        <v>3</v>
      </c>
      <c r="GV29">
        <f t="shared" si="42"/>
        <v>0</v>
      </c>
      <c r="GW29">
        <v>1</v>
      </c>
      <c r="GX29">
        <f t="shared" si="43"/>
        <v>0</v>
      </c>
      <c r="HA29">
        <v>0</v>
      </c>
      <c r="HB29">
        <v>0</v>
      </c>
      <c r="HC29">
        <f t="shared" si="44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55" x14ac:dyDescent="0.2">
      <c r="A30" s="2">
        <v>18</v>
      </c>
      <c r="B30" s="2">
        <v>1</v>
      </c>
      <c r="C30" s="2">
        <v>12</v>
      </c>
      <c r="D30" s="2"/>
      <c r="E30" s="2" t="s">
        <v>28</v>
      </c>
      <c r="F30" s="2" t="s">
        <v>29</v>
      </c>
      <c r="G30" s="2" t="s">
        <v>30</v>
      </c>
      <c r="H30" s="2" t="s">
        <v>31</v>
      </c>
      <c r="I30" s="2">
        <f>I28*J30</f>
        <v>1</v>
      </c>
      <c r="J30" s="2">
        <v>1</v>
      </c>
      <c r="K30" s="2">
        <v>1</v>
      </c>
      <c r="L30" s="2"/>
      <c r="M30" s="2"/>
      <c r="N30" s="2"/>
      <c r="O30" s="2">
        <f t="shared" si="21"/>
        <v>45303.63</v>
      </c>
      <c r="P30" s="2">
        <f>ROUND((ROUND((AC30*I30),2)*BC30),2)</f>
        <v>45303.63</v>
      </c>
      <c r="Q30" s="2">
        <f>(ROUND((ROUND(((ET30)*AV30*I30),2)*BB30),2)+ROUND((ROUND(((AE30-(EU30))*AV30*I30),2)*BS30),2))</f>
        <v>0</v>
      </c>
      <c r="R30" s="2">
        <f>(ROUND((ROUND(((EU30)*AV30*I30),2)*BS30),2)+ROUND((ROUND(((AE30-(EU30))*AV30*I30),2)*BS30),2))</f>
        <v>0</v>
      </c>
      <c r="S30" s="2">
        <f t="shared" si="22"/>
        <v>0</v>
      </c>
      <c r="T30" s="2">
        <f t="shared" si="23"/>
        <v>0</v>
      </c>
      <c r="U30" s="2">
        <f t="shared" si="24"/>
        <v>0</v>
      </c>
      <c r="V30" s="2">
        <f t="shared" si="25"/>
        <v>0</v>
      </c>
      <c r="W30" s="2">
        <f t="shared" si="26"/>
        <v>0</v>
      </c>
      <c r="X30" s="2">
        <f>(ROUND((((S30+ROUND((ROUND(((EU30)*AV30*I30),2)*BS30),2))*AT30)/100),2)+ROUND(((ROUND((ROUND(((AE30-(EU30))*AV30*I30),2)*BS30),2)*AT30)/100),2))</f>
        <v>0</v>
      </c>
      <c r="Y30" s="2">
        <f>(ROUND((((S30+ROUND((ROUND(((EU30)*AV30*I30),2)*BS30),2))*AU30)/100),2)+ROUND(((ROUND((ROUND(((AE30-(EU30))*AV30*I30),2)*BS30),2)*AU30)/100),2))</f>
        <v>0</v>
      </c>
      <c r="Z30" s="2"/>
      <c r="AA30" s="2">
        <v>60256985</v>
      </c>
      <c r="AB30" s="2">
        <f t="shared" si="27"/>
        <v>45303.63</v>
      </c>
      <c r="AC30" s="2">
        <f t="shared" si="28"/>
        <v>45303.63</v>
      </c>
      <c r="AD30" s="2">
        <f>ROUND((((ET30)-(EU30))+AE30),6)</f>
        <v>0</v>
      </c>
      <c r="AE30" s="2">
        <f>ROUND((EU30),6)</f>
        <v>0</v>
      </c>
      <c r="AF30" s="2">
        <f>ROUND((EV30),6)</f>
        <v>0</v>
      </c>
      <c r="AG30" s="2">
        <f t="shared" si="29"/>
        <v>0</v>
      </c>
      <c r="AH30" s="2">
        <f>(EW30)</f>
        <v>0</v>
      </c>
      <c r="AI30" s="2">
        <f>(EX30)</f>
        <v>0</v>
      </c>
      <c r="AJ30" s="2">
        <f t="shared" si="30"/>
        <v>0</v>
      </c>
      <c r="AK30" s="2">
        <v>45303.63</v>
      </c>
      <c r="AL30" s="2">
        <v>45303.63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3</v>
      </c>
      <c r="BI30" s="2">
        <v>3</v>
      </c>
      <c r="BJ30" s="2" t="s">
        <v>3</v>
      </c>
      <c r="BK30" s="2"/>
      <c r="BL30" s="2"/>
      <c r="BM30" s="2">
        <v>746</v>
      </c>
      <c r="BN30" s="2">
        <v>0</v>
      </c>
      <c r="BO30" s="2" t="s">
        <v>3</v>
      </c>
      <c r="BP30" s="2">
        <v>0</v>
      </c>
      <c r="BQ30" s="2">
        <v>130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90</v>
      </c>
      <c r="CA30" s="2">
        <v>46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31"/>
        <v>45303.63</v>
      </c>
      <c r="CQ30" s="2">
        <f>ROUND((ROUND((AC30*1),2)*BC30),2)</f>
        <v>45303.63</v>
      </c>
      <c r="CR30" s="2">
        <f>(ROUND((ROUND(((ET30)*AV30*1),2)*BB30),2)+ROUND((ROUND(((AE30-(EU30))*AV30*1),2)*BS30),2))</f>
        <v>0</v>
      </c>
      <c r="CS30" s="2">
        <f>(ROUND((ROUND(((EU30)*AV30*1),2)*BS30),2)+ROUND((ROUND(((AE30-(EU30))*AV30*1),2)*BS30),2))</f>
        <v>0</v>
      </c>
      <c r="CT30" s="2">
        <f t="shared" si="32"/>
        <v>0</v>
      </c>
      <c r="CU30" s="2">
        <f t="shared" si="33"/>
        <v>0</v>
      </c>
      <c r="CV30" s="2">
        <f t="shared" si="34"/>
        <v>0</v>
      </c>
      <c r="CW30" s="2">
        <f t="shared" si="35"/>
        <v>0</v>
      </c>
      <c r="CX30" s="2">
        <f t="shared" si="36"/>
        <v>0</v>
      </c>
      <c r="CY30" s="2">
        <f>(ROUND((((S30+ROUND((ROUND(((EU30)*AV30*1),2)*BS30),2))*AT30)/100),2)+ROUND(((ROUND((ROUND(((AE30-(EU30))*AV30*1),2)*BS30),2)*AT30)/100),2))</f>
        <v>0</v>
      </c>
      <c r="CZ30" s="2">
        <f>(ROUND((((S30+ROUND((ROUND(((EU30)*AV30*1),2)*BS30),2))*AU30)/100),2)+ROUND(((ROUND((ROUND(((AE30-(EU30))*AV30*1),2)*BS30),2)*AU30)/100),2))</f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1010</v>
      </c>
      <c r="DV30" s="2" t="s">
        <v>31</v>
      </c>
      <c r="DW30" s="2" t="s">
        <v>31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60088638</v>
      </c>
      <c r="EF30" s="2">
        <v>130</v>
      </c>
      <c r="EG30" s="2" t="s">
        <v>32</v>
      </c>
      <c r="EH30" s="2">
        <v>0</v>
      </c>
      <c r="EI30" s="2" t="s">
        <v>3</v>
      </c>
      <c r="EJ30" s="2">
        <v>3</v>
      </c>
      <c r="EK30" s="2">
        <v>746</v>
      </c>
      <c r="EL30" s="2" t="s">
        <v>33</v>
      </c>
      <c r="EM30" s="2" t="s">
        <v>34</v>
      </c>
      <c r="EN30" s="2"/>
      <c r="EO30" s="2" t="s">
        <v>3</v>
      </c>
      <c r="EP30" s="2"/>
      <c r="EQ30" s="2">
        <v>0</v>
      </c>
      <c r="ER30" s="2">
        <v>0</v>
      </c>
      <c r="ES30" s="2">
        <v>45303.63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f>P30</f>
        <v>45303.63</v>
      </c>
      <c r="FS30" s="2">
        <v>0</v>
      </c>
      <c r="FT30" s="2"/>
      <c r="FU30" s="2"/>
      <c r="FV30" s="2"/>
      <c r="FW30" s="2"/>
      <c r="FX30" s="2">
        <v>90</v>
      </c>
      <c r="FY30" s="2">
        <v>46</v>
      </c>
      <c r="FZ30" s="2"/>
      <c r="GA30" s="2" t="s">
        <v>35</v>
      </c>
      <c r="GB30" s="2"/>
      <c r="GC30" s="2"/>
      <c r="GD30" s="2">
        <v>1</v>
      </c>
      <c r="GE30" s="2"/>
      <c r="GF30" s="2">
        <v>-1306002714</v>
      </c>
      <c r="GG30" s="2">
        <v>2</v>
      </c>
      <c r="GH30" s="2">
        <v>4</v>
      </c>
      <c r="GI30" s="2">
        <v>-2</v>
      </c>
      <c r="GJ30" s="2">
        <v>0</v>
      </c>
      <c r="GK30" s="2">
        <v>0</v>
      </c>
      <c r="GL30" s="2">
        <f t="shared" si="37"/>
        <v>0</v>
      </c>
      <c r="GM30" s="2">
        <f t="shared" si="38"/>
        <v>45303.63</v>
      </c>
      <c r="GN30" s="2">
        <f t="shared" si="39"/>
        <v>0</v>
      </c>
      <c r="GO30" s="2">
        <f t="shared" si="40"/>
        <v>0</v>
      </c>
      <c r="GP30" s="2">
        <f t="shared" si="41"/>
        <v>0</v>
      </c>
      <c r="GQ30" s="2"/>
      <c r="GR30" s="2">
        <v>0</v>
      </c>
      <c r="GS30" s="2">
        <v>2</v>
      </c>
      <c r="GT30" s="2">
        <v>0</v>
      </c>
      <c r="GU30" s="2" t="s">
        <v>3</v>
      </c>
      <c r="GV30" s="2">
        <f t="shared" si="42"/>
        <v>0</v>
      </c>
      <c r="GW30" s="2">
        <v>1</v>
      </c>
      <c r="GX30" s="2">
        <f t="shared" si="43"/>
        <v>0</v>
      </c>
      <c r="GY30" s="2"/>
      <c r="GZ30" s="2"/>
      <c r="HA30" s="2">
        <v>0</v>
      </c>
      <c r="HB30" s="2">
        <v>0</v>
      </c>
      <c r="HC30" s="2">
        <f t="shared" si="44"/>
        <v>0</v>
      </c>
      <c r="HD30" s="2"/>
      <c r="HE30" s="2" t="s">
        <v>36</v>
      </c>
      <c r="HF30" s="2" t="s">
        <v>37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>
        <v>18</v>
      </c>
      <c r="B31">
        <v>1</v>
      </c>
      <c r="C31">
        <v>24</v>
      </c>
      <c r="E31" t="s">
        <v>28</v>
      </c>
      <c r="F31" t="s">
        <v>29</v>
      </c>
      <c r="G31" t="s">
        <v>30</v>
      </c>
      <c r="H31" t="s">
        <v>31</v>
      </c>
      <c r="I31">
        <f>I29*J31</f>
        <v>1</v>
      </c>
      <c r="J31">
        <v>1</v>
      </c>
      <c r="K31">
        <v>1</v>
      </c>
      <c r="O31">
        <f t="shared" si="21"/>
        <v>347025.81</v>
      </c>
      <c r="P31">
        <f>ROUND((ROUND((AC31*I31),2)*BC31),2)</f>
        <v>347025.81</v>
      </c>
      <c r="Q31">
        <f>(ROUND((ROUND(((ET31)*AV31*I31),2)*BB31),2)+ROUND((ROUND(((AE31-(EU31))*AV31*I31),2)*BS31),2))</f>
        <v>0</v>
      </c>
      <c r="R31">
        <f>(ROUND((ROUND(((EU31)*AV31*I31),2)*BS31),2)+ROUND((ROUND(((AE31-(EU31))*AV31*I31),2)*BS31),2))</f>
        <v>0</v>
      </c>
      <c r="S31">
        <f t="shared" si="22"/>
        <v>0</v>
      </c>
      <c r="T31">
        <f t="shared" si="23"/>
        <v>0</v>
      </c>
      <c r="U31">
        <f t="shared" si="24"/>
        <v>0</v>
      </c>
      <c r="V31">
        <f t="shared" si="25"/>
        <v>0</v>
      </c>
      <c r="W31">
        <f t="shared" si="26"/>
        <v>0</v>
      </c>
      <c r="X31">
        <f>(ROUND((((S31+ROUND((ROUND(((EU31)*AV31*I31),2)*BS31),2))*AT31)/100),2)+ROUND(((ROUND((ROUND(((AE31-(EU31))*AV31*I31),2)*BS31),2)*AT31)/100),2))</f>
        <v>0</v>
      </c>
      <c r="Y31">
        <f>(ROUND((((S31+ROUND((ROUND(((EU31)*AV31*I31),2)*BS31),2))*AU31)/100),2)+ROUND(((ROUND((ROUND(((AE31-(EU31))*AV31*I31),2)*BS31),2)*AU31)/100),2))</f>
        <v>0</v>
      </c>
      <c r="AA31">
        <v>60256982</v>
      </c>
      <c r="AB31">
        <f t="shared" si="27"/>
        <v>45303.63</v>
      </c>
      <c r="AC31">
        <f t="shared" si="28"/>
        <v>45303.63</v>
      </c>
      <c r="AD31">
        <f>ROUND((((ET31)-(EU31))+AE31),6)</f>
        <v>0</v>
      </c>
      <c r="AE31">
        <f>ROUND((EU31),6)</f>
        <v>0</v>
      </c>
      <c r="AF31">
        <f>ROUND((EV31),6)</f>
        <v>0</v>
      </c>
      <c r="AG31">
        <f t="shared" si="29"/>
        <v>0</v>
      </c>
      <c r="AH31">
        <f>(EW31)</f>
        <v>0</v>
      </c>
      <c r="AI31">
        <f>(EX31)</f>
        <v>0</v>
      </c>
      <c r="AJ31">
        <f t="shared" si="30"/>
        <v>0</v>
      </c>
      <c r="AK31">
        <v>45303.63</v>
      </c>
      <c r="AL31">
        <v>45303.63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1</v>
      </c>
      <c r="AZ31">
        <v>1</v>
      </c>
      <c r="BA31">
        <v>1</v>
      </c>
      <c r="BB31">
        <v>1</v>
      </c>
      <c r="BC31">
        <v>7.66</v>
      </c>
      <c r="BD31" t="s">
        <v>3</v>
      </c>
      <c r="BE31" t="s">
        <v>3</v>
      </c>
      <c r="BF31" t="s">
        <v>3</v>
      </c>
      <c r="BG31" t="s">
        <v>3</v>
      </c>
      <c r="BH31">
        <v>3</v>
      </c>
      <c r="BI31">
        <v>3</v>
      </c>
      <c r="BJ31" t="s">
        <v>3</v>
      </c>
      <c r="BM31">
        <v>746</v>
      </c>
      <c r="BN31">
        <v>0</v>
      </c>
      <c r="BO31" t="s">
        <v>3</v>
      </c>
      <c r="BP31">
        <v>0</v>
      </c>
      <c r="BQ31">
        <v>130</v>
      </c>
      <c r="BR31">
        <v>0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90</v>
      </c>
      <c r="CA31">
        <v>46</v>
      </c>
      <c r="CB31" t="s">
        <v>3</v>
      </c>
      <c r="CE31">
        <v>1566</v>
      </c>
      <c r="CF31">
        <v>0</v>
      </c>
      <c r="CG31">
        <v>0</v>
      </c>
      <c r="CM31">
        <v>0</v>
      </c>
      <c r="CN31" t="s">
        <v>3</v>
      </c>
      <c r="CO31">
        <v>0</v>
      </c>
      <c r="CP31">
        <f t="shared" si="31"/>
        <v>347025.81</v>
      </c>
      <c r="CQ31">
        <f>ROUND((ROUND((AC31*1),2)*BC31),2)</f>
        <v>347025.81</v>
      </c>
      <c r="CR31">
        <f>(ROUND((ROUND(((ET31)*AV31*1),2)*BB31),2)+ROUND((ROUND(((AE31-(EU31))*AV31*1),2)*BS31),2))</f>
        <v>0</v>
      </c>
      <c r="CS31">
        <f>(ROUND((ROUND(((EU31)*AV31*1),2)*BS31),2)+ROUND((ROUND(((AE31-(EU31))*AV31*1),2)*BS31),2))</f>
        <v>0</v>
      </c>
      <c r="CT31">
        <f t="shared" si="32"/>
        <v>0</v>
      </c>
      <c r="CU31">
        <f t="shared" si="33"/>
        <v>0</v>
      </c>
      <c r="CV31">
        <f t="shared" si="34"/>
        <v>0</v>
      </c>
      <c r="CW31">
        <f t="shared" si="35"/>
        <v>0</v>
      </c>
      <c r="CX31">
        <f t="shared" si="36"/>
        <v>0</v>
      </c>
      <c r="CY31">
        <f>(ROUND((((S31+ROUND((ROUND(((EU31)*AV31*1),2)*BS31),2))*AT31)/100),2)+ROUND(((ROUND((ROUND(((AE31-(EU31))*AV31*1),2)*BS31),2)*AT31)/100),2))</f>
        <v>0</v>
      </c>
      <c r="CZ31">
        <f>(ROUND((((S31+ROUND((ROUND(((EU31)*AV31*1),2)*BS31),2))*AU31)/100),2)+ROUND(((ROUND((ROUND(((AE31-(EU31))*AV31*1),2)*BS31),2)*AU31)/100),2))</f>
        <v>0</v>
      </c>
      <c r="DC31" t="s">
        <v>3</v>
      </c>
      <c r="DD31" t="s">
        <v>3</v>
      </c>
      <c r="DE31" t="s">
        <v>3</v>
      </c>
      <c r="DF31" t="s">
        <v>3</v>
      </c>
      <c r="DG31" t="s">
        <v>3</v>
      </c>
      <c r="DH31" t="s">
        <v>3</v>
      </c>
      <c r="DI31" t="s">
        <v>3</v>
      </c>
      <c r="DJ31" t="s">
        <v>3</v>
      </c>
      <c r="DK31" t="s">
        <v>3</v>
      </c>
      <c r="DL31" t="s">
        <v>3</v>
      </c>
      <c r="DM31" t="s">
        <v>3</v>
      </c>
      <c r="DN31">
        <v>0</v>
      </c>
      <c r="DO31">
        <v>0</v>
      </c>
      <c r="DP31">
        <v>1</v>
      </c>
      <c r="DQ31">
        <v>1</v>
      </c>
      <c r="DU31">
        <v>1010</v>
      </c>
      <c r="DV31" t="s">
        <v>31</v>
      </c>
      <c r="DW31" t="s">
        <v>31</v>
      </c>
      <c r="DX31">
        <v>1</v>
      </c>
      <c r="DZ31" t="s">
        <v>3</v>
      </c>
      <c r="EA31" t="s">
        <v>3</v>
      </c>
      <c r="EB31" t="s">
        <v>3</v>
      </c>
      <c r="EC31" t="s">
        <v>3</v>
      </c>
      <c r="EE31">
        <v>60088638</v>
      </c>
      <c r="EF31">
        <v>130</v>
      </c>
      <c r="EG31" t="s">
        <v>32</v>
      </c>
      <c r="EH31">
        <v>0</v>
      </c>
      <c r="EI31" t="s">
        <v>3</v>
      </c>
      <c r="EJ31">
        <v>3</v>
      </c>
      <c r="EK31">
        <v>746</v>
      </c>
      <c r="EL31" t="s">
        <v>33</v>
      </c>
      <c r="EM31" t="s">
        <v>34</v>
      </c>
      <c r="EO31" t="s">
        <v>3</v>
      </c>
      <c r="EQ31">
        <v>0</v>
      </c>
      <c r="ER31">
        <v>0</v>
      </c>
      <c r="ES31">
        <v>45303.63</v>
      </c>
      <c r="ET31">
        <v>0</v>
      </c>
      <c r="EU31">
        <v>0</v>
      </c>
      <c r="EV31">
        <v>0</v>
      </c>
      <c r="EW31">
        <v>0</v>
      </c>
      <c r="EX31">
        <v>0</v>
      </c>
      <c r="EZ31">
        <v>5</v>
      </c>
      <c r="FC31">
        <v>1</v>
      </c>
      <c r="FD31">
        <v>18</v>
      </c>
      <c r="FF31">
        <v>399507.72</v>
      </c>
      <c r="FQ31">
        <v>0</v>
      </c>
      <c r="FR31">
        <f>P31</f>
        <v>347025.81</v>
      </c>
      <c r="FS31">
        <v>0</v>
      </c>
      <c r="FX31">
        <v>90</v>
      </c>
      <c r="FY31">
        <v>46</v>
      </c>
      <c r="GA31" t="s">
        <v>35</v>
      </c>
      <c r="GD31">
        <v>1</v>
      </c>
      <c r="GF31">
        <v>-1306002714</v>
      </c>
      <c r="GG31">
        <v>2</v>
      </c>
      <c r="GH31">
        <v>3</v>
      </c>
      <c r="GI31">
        <v>5</v>
      </c>
      <c r="GJ31">
        <v>0</v>
      </c>
      <c r="GK31">
        <v>0</v>
      </c>
      <c r="GL31">
        <f t="shared" si="37"/>
        <v>0</v>
      </c>
      <c r="GM31">
        <f t="shared" si="38"/>
        <v>347025.81</v>
      </c>
      <c r="GN31">
        <f t="shared" si="39"/>
        <v>0</v>
      </c>
      <c r="GO31">
        <f t="shared" si="40"/>
        <v>0</v>
      </c>
      <c r="GP31">
        <f t="shared" si="41"/>
        <v>0</v>
      </c>
      <c r="GR31">
        <v>1</v>
      </c>
      <c r="GS31">
        <v>1</v>
      </c>
      <c r="GT31">
        <v>0</v>
      </c>
      <c r="GU31" t="s">
        <v>3</v>
      </c>
      <c r="GV31">
        <f t="shared" si="42"/>
        <v>0</v>
      </c>
      <c r="GW31">
        <v>1</v>
      </c>
      <c r="GX31">
        <f t="shared" si="43"/>
        <v>0</v>
      </c>
      <c r="HA31">
        <v>0</v>
      </c>
      <c r="HB31">
        <v>0</v>
      </c>
      <c r="HC31">
        <f t="shared" si="44"/>
        <v>0</v>
      </c>
      <c r="HE31" t="s">
        <v>36</v>
      </c>
      <c r="HF31" t="s">
        <v>37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55" x14ac:dyDescent="0.2">
      <c r="A32" s="2">
        <v>17</v>
      </c>
      <c r="B32" s="2">
        <v>1</v>
      </c>
      <c r="C32" s="2">
        <f>ROW(SmtRes!A27)</f>
        <v>27</v>
      </c>
      <c r="D32" s="2">
        <f>ROW(EtalonRes!A27)</f>
        <v>27</v>
      </c>
      <c r="E32" s="2" t="s">
        <v>38</v>
      </c>
      <c r="F32" s="2" t="s">
        <v>39</v>
      </c>
      <c r="G32" s="2" t="s">
        <v>40</v>
      </c>
      <c r="H32" s="2" t="s">
        <v>21</v>
      </c>
      <c r="I32" s="2">
        <v>1</v>
      </c>
      <c r="J32" s="2">
        <v>0</v>
      </c>
      <c r="K32" s="2">
        <v>1</v>
      </c>
      <c r="L32" s="2"/>
      <c r="M32" s="2"/>
      <c r="N32" s="2"/>
      <c r="O32" s="2">
        <f t="shared" si="21"/>
        <v>14</v>
      </c>
      <c r="P32" s="2">
        <f>ROUND((ROUND((AC32*AW32*I32),2)*BC32),2)</f>
        <v>0</v>
      </c>
      <c r="Q32" s="2">
        <f>(ROUND((ROUND((((ET32*1.1))*AV32*I32),2)*BB32),2)+ROUND((ROUND(((AE32-((EU32*1.1)))*AV32*I32),2)*BS32),2))</f>
        <v>0.57999999999999996</v>
      </c>
      <c r="R32" s="2">
        <f>(ROUND((ROUND((((EU32*1.1))*AV32*I32),2)*BS32),2)+ROUND((ROUND(((AE32-((EU32*1.1)))*AV32*I32),2)*BS32),2))</f>
        <v>0.09</v>
      </c>
      <c r="S32" s="2">
        <f t="shared" si="22"/>
        <v>13.42</v>
      </c>
      <c r="T32" s="2">
        <f t="shared" si="23"/>
        <v>0</v>
      </c>
      <c r="U32" s="2">
        <f t="shared" si="24"/>
        <v>1.1862510000000002</v>
      </c>
      <c r="V32" s="2">
        <f t="shared" si="25"/>
        <v>0</v>
      </c>
      <c r="W32" s="2">
        <f t="shared" si="26"/>
        <v>0</v>
      </c>
      <c r="X32" s="2">
        <f>(ROUND((((S32+ROUND((ROUND((((EU32*1.1))*AV32*I32),2)*BS32),2))*AT32)/100),2)+ROUND(((ROUND((ROUND(((AE32-((EU32*1.1)))*AV32*I32),2)*BS32),2)*AT32)/100),2))</f>
        <v>12.16</v>
      </c>
      <c r="Y32" s="2">
        <f>(ROUND((((S32+ROUND((ROUND((((EU32*1.1))*AV32*I32),2)*BS32),2))*AU32)/100),2)+ROUND(((ROUND((ROUND(((AE32-((EU32*1.1)))*AV32*I32),2)*BS32),2)*AU32)/100),2))</f>
        <v>6.21</v>
      </c>
      <c r="Z32" s="2"/>
      <c r="AA32" s="2">
        <v>60256985</v>
      </c>
      <c r="AB32" s="2">
        <f t="shared" si="27"/>
        <v>13.365</v>
      </c>
      <c r="AC32" s="2">
        <f t="shared" si="28"/>
        <v>0</v>
      </c>
      <c r="AD32" s="2">
        <f>ROUND(((((ET32*1.1))-((EU32*1.1)))+AE32),6)</f>
        <v>0.55000000000000004</v>
      </c>
      <c r="AE32" s="2">
        <f>ROUND(((EU32*1.1)),6)</f>
        <v>8.7999999999999995E-2</v>
      </c>
      <c r="AF32" s="2">
        <f>ROUND(((EV32*1.1)),6)</f>
        <v>12.815</v>
      </c>
      <c r="AG32" s="2">
        <f t="shared" si="29"/>
        <v>0</v>
      </c>
      <c r="AH32" s="2">
        <f>((EW32*1.1))</f>
        <v>1.1330000000000002</v>
      </c>
      <c r="AI32" s="2">
        <f>((EX32*1.1))</f>
        <v>0</v>
      </c>
      <c r="AJ32" s="2">
        <f t="shared" si="30"/>
        <v>0</v>
      </c>
      <c r="AK32" s="2">
        <v>12.15</v>
      </c>
      <c r="AL32" s="2">
        <v>0</v>
      </c>
      <c r="AM32" s="2">
        <v>0.5</v>
      </c>
      <c r="AN32" s="2">
        <v>0.08</v>
      </c>
      <c r="AO32" s="2">
        <v>11.65</v>
      </c>
      <c r="AP32" s="2">
        <v>0</v>
      </c>
      <c r="AQ32" s="2">
        <v>1.03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41</v>
      </c>
      <c r="BK32" s="2"/>
      <c r="BL32" s="2"/>
      <c r="BM32" s="2">
        <v>72</v>
      </c>
      <c r="BN32" s="2">
        <v>58973116</v>
      </c>
      <c r="BO32" s="2" t="s">
        <v>39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474</v>
      </c>
      <c r="CO32" s="2">
        <v>0</v>
      </c>
      <c r="CP32" s="2">
        <f t="shared" si="31"/>
        <v>14</v>
      </c>
      <c r="CQ32" s="2">
        <f>ROUND((ROUND((AC32*AW32*1),2)*BC32),2)</f>
        <v>0</v>
      </c>
      <c r="CR32" s="2">
        <f>(ROUND((ROUND((((ET32*1.1))*AV32*1),2)*BB32),2)+ROUND((ROUND(((AE32-((EU32*1.1)))*AV32*1),2)*BS32),2))</f>
        <v>0.57999999999999996</v>
      </c>
      <c r="CS32" s="2">
        <f>(ROUND((ROUND((((EU32*1.1))*AV32*1),2)*BS32),2)+ROUND((ROUND(((AE32-((EU32*1.1)))*AV32*1),2)*BS32),2))</f>
        <v>0.09</v>
      </c>
      <c r="CT32" s="2">
        <f t="shared" si="32"/>
        <v>13.42</v>
      </c>
      <c r="CU32" s="2">
        <f t="shared" si="33"/>
        <v>0</v>
      </c>
      <c r="CV32" s="2">
        <f t="shared" si="34"/>
        <v>1.1862510000000002</v>
      </c>
      <c r="CW32" s="2">
        <f t="shared" si="35"/>
        <v>0</v>
      </c>
      <c r="CX32" s="2">
        <f t="shared" si="36"/>
        <v>0</v>
      </c>
      <c r="CY32" s="2">
        <f>(ROUND((((S32+ROUND((ROUND((((EU32*1.1))*AV32*1),2)*BS32),2))*AT32)/100),2)+ROUND(((ROUND((ROUND(((AE32-((EU32*1.1)))*AV32*1),2)*BS32),2)*AT32)/100),2))</f>
        <v>12.16</v>
      </c>
      <c r="CZ32" s="2">
        <f>(ROUND((((S32+ROUND((ROUND((((EU32*1.1))*AV32*1),2)*BS32),2))*AU32)/100),2)+ROUND(((ROUND((ROUND(((AE32-((EU32*1.1)))*AV32*1),2)*BS32),2)*AU32)/100),2))</f>
        <v>6.21</v>
      </c>
      <c r="DA32" s="2"/>
      <c r="DB32" s="2">
        <v>3</v>
      </c>
      <c r="DC32" s="2" t="s">
        <v>3</v>
      </c>
      <c r="DD32" s="2" t="s">
        <v>3</v>
      </c>
      <c r="DE32" s="2" t="s">
        <v>23</v>
      </c>
      <c r="DF32" s="2" t="s">
        <v>23</v>
      </c>
      <c r="DG32" s="2" t="s">
        <v>23</v>
      </c>
      <c r="DH32" s="2" t="s">
        <v>3</v>
      </c>
      <c r="DI32" s="2" t="s">
        <v>23</v>
      </c>
      <c r="DJ32" s="2" t="s">
        <v>23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21</v>
      </c>
      <c r="DW32" s="2" t="s">
        <v>21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60088536</v>
      </c>
      <c r="EF32" s="2">
        <v>40</v>
      </c>
      <c r="EG32" s="2" t="s">
        <v>24</v>
      </c>
      <c r="EH32" s="2">
        <v>0</v>
      </c>
      <c r="EI32" s="2" t="s">
        <v>3</v>
      </c>
      <c r="EJ32" s="2">
        <v>2</v>
      </c>
      <c r="EK32" s="2">
        <v>72</v>
      </c>
      <c r="EL32" s="2" t="s">
        <v>25</v>
      </c>
      <c r="EM32" s="2" t="s">
        <v>26</v>
      </c>
      <c r="EN32" s="2"/>
      <c r="EO32" s="2" t="s">
        <v>27</v>
      </c>
      <c r="EP32" s="2"/>
      <c r="EQ32" s="2">
        <v>0</v>
      </c>
      <c r="ER32" s="2">
        <v>12.15</v>
      </c>
      <c r="ES32" s="2">
        <v>0</v>
      </c>
      <c r="ET32" s="2">
        <v>0.5</v>
      </c>
      <c r="EU32" s="2">
        <v>0.08</v>
      </c>
      <c r="EV32" s="2">
        <v>11.65</v>
      </c>
      <c r="EW32" s="2">
        <v>1.03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1708693888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37"/>
        <v>0</v>
      </c>
      <c r="GM32" s="2">
        <f t="shared" si="38"/>
        <v>32.369999999999997</v>
      </c>
      <c r="GN32" s="2">
        <f t="shared" si="39"/>
        <v>0</v>
      </c>
      <c r="GO32" s="2">
        <f t="shared" si="40"/>
        <v>32.369999999999997</v>
      </c>
      <c r="GP32" s="2">
        <f t="shared" si="41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42"/>
        <v>0</v>
      </c>
      <c r="GW32" s="2">
        <v>1</v>
      </c>
      <c r="GX32" s="2">
        <f t="shared" si="43"/>
        <v>0</v>
      </c>
      <c r="GY32" s="2"/>
      <c r="GZ32" s="2"/>
      <c r="HA32" s="2">
        <v>0</v>
      </c>
      <c r="HB32" s="2">
        <v>0</v>
      </c>
      <c r="HC32" s="2">
        <f t="shared" si="44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>
        <v>17</v>
      </c>
      <c r="B33">
        <v>1</v>
      </c>
      <c r="C33">
        <f>ROW(SmtRes!A30)</f>
        <v>30</v>
      </c>
      <c r="D33">
        <f>ROW(EtalonRes!A30)</f>
        <v>30</v>
      </c>
      <c r="E33" t="s">
        <v>38</v>
      </c>
      <c r="F33" t="s">
        <v>39</v>
      </c>
      <c r="G33" t="s">
        <v>40</v>
      </c>
      <c r="H33" t="s">
        <v>21</v>
      </c>
      <c r="I33">
        <v>1</v>
      </c>
      <c r="J33">
        <v>0</v>
      </c>
      <c r="K33">
        <v>1</v>
      </c>
      <c r="O33">
        <f t="shared" si="21"/>
        <v>747.4</v>
      </c>
      <c r="P33">
        <f>ROUND((ROUND((AC33*AW33*I33),2)*BC33),2)</f>
        <v>0</v>
      </c>
      <c r="Q33">
        <f>(ROUND((ROUND((((ET33*1.1))*AV33*I33),2)*BB33),2)+ROUND((ROUND(((AE33-((EU33*1.1)))*AV33*I33),2)*BS33),2))</f>
        <v>9.43</v>
      </c>
      <c r="R33">
        <f>(ROUND((ROUND((((EU33*1.1))*AV33*I33),2)*BS33),2)+ROUND((ROUND(((AE33-((EU33*1.1)))*AV33*I33),2)*BS33),2))</f>
        <v>4.95</v>
      </c>
      <c r="S33">
        <f t="shared" si="22"/>
        <v>737.97</v>
      </c>
      <c r="T33">
        <f t="shared" si="23"/>
        <v>0</v>
      </c>
      <c r="U33">
        <f t="shared" si="24"/>
        <v>1.1862510000000002</v>
      </c>
      <c r="V33">
        <f t="shared" si="25"/>
        <v>0</v>
      </c>
      <c r="W33">
        <f t="shared" si="26"/>
        <v>0</v>
      </c>
      <c r="X33">
        <f>(ROUND((((S33+ROUND((ROUND((((EU33*1.1))*AV33*I33),2)*BS33),2))*AT33)/100),2)+ROUND(((ROUND((ROUND(((AE33-((EU33*1.1)))*AV33*I33),2)*BS33),2)*AT33)/100),2))</f>
        <v>668.63</v>
      </c>
      <c r="Y33">
        <f>(ROUND((((S33+ROUND((ROUND((((EU33*1.1))*AV33*I33),2)*BS33),2))*AU33)/100),2)+ROUND(((ROUND((ROUND(((AE33-((EU33*1.1)))*AV33*I33),2)*BS33),2)*AU33)/100),2))</f>
        <v>341.74</v>
      </c>
      <c r="AA33">
        <v>60256982</v>
      </c>
      <c r="AB33">
        <f t="shared" si="27"/>
        <v>13.365</v>
      </c>
      <c r="AC33">
        <f t="shared" si="28"/>
        <v>0</v>
      </c>
      <c r="AD33">
        <f>ROUND(((((ET33*1.1))-((EU33*1.1)))+AE33),6)</f>
        <v>0.55000000000000004</v>
      </c>
      <c r="AE33">
        <f>ROUND(((EU33*1.1)),6)</f>
        <v>8.7999999999999995E-2</v>
      </c>
      <c r="AF33">
        <f>ROUND(((EV33*1.1)),6)</f>
        <v>12.815</v>
      </c>
      <c r="AG33">
        <f t="shared" si="29"/>
        <v>0</v>
      </c>
      <c r="AH33">
        <f>((EW33*1.1))</f>
        <v>1.1330000000000002</v>
      </c>
      <c r="AI33">
        <f>((EX33*1.1))</f>
        <v>0</v>
      </c>
      <c r="AJ33">
        <f t="shared" si="30"/>
        <v>0</v>
      </c>
      <c r="AK33">
        <v>12.15</v>
      </c>
      <c r="AL33">
        <v>0</v>
      </c>
      <c r="AM33">
        <v>0.5</v>
      </c>
      <c r="AN33">
        <v>0.08</v>
      </c>
      <c r="AO33">
        <v>11.65</v>
      </c>
      <c r="AP33">
        <v>0</v>
      </c>
      <c r="AQ33">
        <v>1.03</v>
      </c>
      <c r="AR33">
        <v>0</v>
      </c>
      <c r="AS33">
        <v>0</v>
      </c>
      <c r="AT33">
        <v>90</v>
      </c>
      <c r="AU33">
        <v>46</v>
      </c>
      <c r="AV33">
        <v>1.0469999999999999</v>
      </c>
      <c r="AW33">
        <v>1</v>
      </c>
      <c r="AZ33">
        <v>1</v>
      </c>
      <c r="BA33">
        <v>54.99</v>
      </c>
      <c r="BB33">
        <v>16.260000000000002</v>
      </c>
      <c r="BC33">
        <v>1</v>
      </c>
      <c r="BD33" t="s">
        <v>3</v>
      </c>
      <c r="BE33" t="s">
        <v>3</v>
      </c>
      <c r="BF33" t="s">
        <v>3</v>
      </c>
      <c r="BG33" t="s">
        <v>3</v>
      </c>
      <c r="BH33">
        <v>0</v>
      </c>
      <c r="BI33">
        <v>2</v>
      </c>
      <c r="BJ33" t="s">
        <v>41</v>
      </c>
      <c r="BM33">
        <v>72</v>
      </c>
      <c r="BN33">
        <v>58973116</v>
      </c>
      <c r="BO33" t="s">
        <v>39</v>
      </c>
      <c r="BP33">
        <v>1</v>
      </c>
      <c r="BQ33">
        <v>40</v>
      </c>
      <c r="BR33">
        <v>0</v>
      </c>
      <c r="BS33">
        <v>54.99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90</v>
      </c>
      <c r="CA33">
        <v>46</v>
      </c>
      <c r="CB33" t="s">
        <v>3</v>
      </c>
      <c r="CE33">
        <v>1566</v>
      </c>
      <c r="CF33">
        <v>0</v>
      </c>
      <c r="CG33">
        <v>0</v>
      </c>
      <c r="CM33">
        <v>0</v>
      </c>
      <c r="CN33" t="s">
        <v>474</v>
      </c>
      <c r="CO33">
        <v>0</v>
      </c>
      <c r="CP33">
        <f t="shared" si="31"/>
        <v>747.4</v>
      </c>
      <c r="CQ33">
        <f>ROUND((ROUND((AC33*AW33*1),2)*BC33),2)</f>
        <v>0</v>
      </c>
      <c r="CR33">
        <f>(ROUND((ROUND((((ET33*1.1))*AV33*1),2)*BB33),2)+ROUND((ROUND(((AE33-((EU33*1.1)))*AV33*1),2)*BS33),2))</f>
        <v>9.43</v>
      </c>
      <c r="CS33">
        <f>(ROUND((ROUND((((EU33*1.1))*AV33*1),2)*BS33),2)+ROUND((ROUND(((AE33-((EU33*1.1)))*AV33*1),2)*BS33),2))</f>
        <v>4.95</v>
      </c>
      <c r="CT33">
        <f t="shared" si="32"/>
        <v>737.97</v>
      </c>
      <c r="CU33">
        <f t="shared" si="33"/>
        <v>0</v>
      </c>
      <c r="CV33">
        <f t="shared" si="34"/>
        <v>1.1862510000000002</v>
      </c>
      <c r="CW33">
        <f t="shared" si="35"/>
        <v>0</v>
      </c>
      <c r="CX33">
        <f t="shared" si="36"/>
        <v>0</v>
      </c>
      <c r="CY33">
        <f>(ROUND((((S33+ROUND((ROUND((((EU33*1.1))*AV33*1),2)*BS33),2))*AT33)/100),2)+ROUND(((ROUND((ROUND(((AE33-((EU33*1.1)))*AV33*1),2)*BS33),2)*AT33)/100),2))</f>
        <v>668.63</v>
      </c>
      <c r="CZ33">
        <f>(ROUND((((S33+ROUND((ROUND((((EU33*1.1))*AV33*1),2)*BS33),2))*AU33)/100),2)+ROUND(((ROUND((ROUND(((AE33-((EU33*1.1)))*AV33*1),2)*BS33),2)*AU33)/100),2))</f>
        <v>341.74</v>
      </c>
      <c r="DB33">
        <v>4</v>
      </c>
      <c r="DC33" t="s">
        <v>3</v>
      </c>
      <c r="DD33" t="s">
        <v>3</v>
      </c>
      <c r="DE33" t="s">
        <v>23</v>
      </c>
      <c r="DF33" t="s">
        <v>23</v>
      </c>
      <c r="DG33" t="s">
        <v>23</v>
      </c>
      <c r="DH33" t="s">
        <v>3</v>
      </c>
      <c r="DI33" t="s">
        <v>23</v>
      </c>
      <c r="DJ33" t="s">
        <v>23</v>
      </c>
      <c r="DK33" t="s">
        <v>3</v>
      </c>
      <c r="DL33" t="s">
        <v>3</v>
      </c>
      <c r="DM33" t="s">
        <v>3</v>
      </c>
      <c r="DN33">
        <v>0</v>
      </c>
      <c r="DO33">
        <v>0</v>
      </c>
      <c r="DP33">
        <v>1</v>
      </c>
      <c r="DQ33">
        <v>1</v>
      </c>
      <c r="DU33">
        <v>1013</v>
      </c>
      <c r="DV33" t="s">
        <v>21</v>
      </c>
      <c r="DW33" t="s">
        <v>21</v>
      </c>
      <c r="DX33">
        <v>1</v>
      </c>
      <c r="DZ33" t="s">
        <v>3</v>
      </c>
      <c r="EA33" t="s">
        <v>3</v>
      </c>
      <c r="EB33" t="s">
        <v>3</v>
      </c>
      <c r="EC33" t="s">
        <v>3</v>
      </c>
      <c r="EE33">
        <v>60088536</v>
      </c>
      <c r="EF33">
        <v>40</v>
      </c>
      <c r="EG33" t="s">
        <v>24</v>
      </c>
      <c r="EH33">
        <v>0</v>
      </c>
      <c r="EI33" t="s">
        <v>3</v>
      </c>
      <c r="EJ33">
        <v>2</v>
      </c>
      <c r="EK33">
        <v>72</v>
      </c>
      <c r="EL33" t="s">
        <v>25</v>
      </c>
      <c r="EM33" t="s">
        <v>26</v>
      </c>
      <c r="EO33" t="s">
        <v>27</v>
      </c>
      <c r="EQ33">
        <v>0</v>
      </c>
      <c r="ER33">
        <v>12.15</v>
      </c>
      <c r="ES33">
        <v>0</v>
      </c>
      <c r="ET33">
        <v>0.5</v>
      </c>
      <c r="EU33">
        <v>0.08</v>
      </c>
      <c r="EV33">
        <v>11.65</v>
      </c>
      <c r="EW33">
        <v>1.03</v>
      </c>
      <c r="EX33">
        <v>0</v>
      </c>
      <c r="EY33">
        <v>0</v>
      </c>
      <c r="FQ33">
        <v>0</v>
      </c>
      <c r="FR33">
        <v>0</v>
      </c>
      <c r="FS33">
        <v>0</v>
      </c>
      <c r="FX33">
        <v>90</v>
      </c>
      <c r="FY33">
        <v>46</v>
      </c>
      <c r="GA33" t="s">
        <v>3</v>
      </c>
      <c r="GD33">
        <v>1</v>
      </c>
      <c r="GF33">
        <v>1708693888</v>
      </c>
      <c r="GG33">
        <v>2</v>
      </c>
      <c r="GH33">
        <v>1</v>
      </c>
      <c r="GI33">
        <v>2</v>
      </c>
      <c r="GJ33">
        <v>0</v>
      </c>
      <c r="GK33">
        <v>0</v>
      </c>
      <c r="GL33">
        <f t="shared" si="37"/>
        <v>0</v>
      </c>
      <c r="GM33">
        <f t="shared" si="38"/>
        <v>1757.77</v>
      </c>
      <c r="GN33">
        <f t="shared" si="39"/>
        <v>0</v>
      </c>
      <c r="GO33">
        <f t="shared" si="40"/>
        <v>1757.77</v>
      </c>
      <c r="GP33">
        <f t="shared" si="41"/>
        <v>0</v>
      </c>
      <c r="GR33">
        <v>0</v>
      </c>
      <c r="GS33">
        <v>3</v>
      </c>
      <c r="GT33">
        <v>0</v>
      </c>
      <c r="GU33" t="s">
        <v>3</v>
      </c>
      <c r="GV33">
        <f t="shared" si="42"/>
        <v>0</v>
      </c>
      <c r="GW33">
        <v>1</v>
      </c>
      <c r="GX33">
        <f t="shared" si="43"/>
        <v>0</v>
      </c>
      <c r="HA33">
        <v>0</v>
      </c>
      <c r="HB33">
        <v>0</v>
      </c>
      <c r="HC33">
        <f t="shared" si="44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55" x14ac:dyDescent="0.2">
      <c r="A34" s="2">
        <v>18</v>
      </c>
      <c r="B34" s="2">
        <v>1</v>
      </c>
      <c r="C34" s="2">
        <v>27</v>
      </c>
      <c r="D34" s="2"/>
      <c r="E34" s="2" t="s">
        <v>42</v>
      </c>
      <c r="F34" s="2" t="s">
        <v>43</v>
      </c>
      <c r="G34" s="2" t="s">
        <v>44</v>
      </c>
      <c r="H34" s="2" t="s">
        <v>31</v>
      </c>
      <c r="I34" s="2">
        <f>I32*J34</f>
        <v>1</v>
      </c>
      <c r="J34" s="2">
        <v>1</v>
      </c>
      <c r="K34" s="2">
        <v>1</v>
      </c>
      <c r="L34" s="2"/>
      <c r="M34" s="2"/>
      <c r="N34" s="2"/>
      <c r="O34" s="2">
        <f t="shared" si="21"/>
        <v>3841.94</v>
      </c>
      <c r="P34" s="2">
        <f>ROUND((ROUND((AC34*I34),2)*BC34),2)</f>
        <v>3841.94</v>
      </c>
      <c r="Q34" s="2">
        <f>(ROUND((ROUND(((ET34)*AV34*I34),2)*BB34),2)+ROUND((ROUND(((AE34-(EU34))*AV34*I34),2)*BS34),2))</f>
        <v>0</v>
      </c>
      <c r="R34" s="2">
        <f>(ROUND((ROUND(((EU34)*AV34*I34),2)*BS34),2)+ROUND((ROUND(((AE34-(EU34))*AV34*I34),2)*BS34),2))</f>
        <v>0</v>
      </c>
      <c r="S34" s="2">
        <f t="shared" si="22"/>
        <v>0</v>
      </c>
      <c r="T34" s="2">
        <f t="shared" si="23"/>
        <v>0</v>
      </c>
      <c r="U34" s="2">
        <f t="shared" si="24"/>
        <v>0</v>
      </c>
      <c r="V34" s="2">
        <f t="shared" si="25"/>
        <v>0</v>
      </c>
      <c r="W34" s="2">
        <f t="shared" si="26"/>
        <v>0</v>
      </c>
      <c r="X34" s="2">
        <f>(ROUND((((S34+ROUND((ROUND(((EU34)*AV34*I34),2)*BS34),2))*AT34)/100),2)+ROUND(((ROUND((ROUND(((AE34-(EU34))*AV34*I34),2)*BS34),2)*AT34)/100),2))</f>
        <v>0</v>
      </c>
      <c r="Y34" s="2">
        <f>(ROUND((((S34+ROUND((ROUND(((EU34)*AV34*I34),2)*BS34),2))*AU34)/100),2)+ROUND(((ROUND((ROUND(((AE34-(EU34))*AV34*I34),2)*BS34),2)*AU34)/100),2))</f>
        <v>0</v>
      </c>
      <c r="Z34" s="2"/>
      <c r="AA34" s="2">
        <v>60256985</v>
      </c>
      <c r="AB34" s="2">
        <f t="shared" si="27"/>
        <v>3841.94</v>
      </c>
      <c r="AC34" s="2">
        <f t="shared" si="28"/>
        <v>3841.94</v>
      </c>
      <c r="AD34" s="2">
        <f>ROUND((((ET34)-(EU34))+AE34),6)</f>
        <v>0</v>
      </c>
      <c r="AE34" s="2">
        <f>ROUND((EU34),6)</f>
        <v>0</v>
      </c>
      <c r="AF34" s="2">
        <f>ROUND((EV34),6)</f>
        <v>0</v>
      </c>
      <c r="AG34" s="2">
        <f t="shared" si="29"/>
        <v>0</v>
      </c>
      <c r="AH34" s="2">
        <f>(EW34)</f>
        <v>0</v>
      </c>
      <c r="AI34" s="2">
        <f>(EX34)</f>
        <v>0</v>
      </c>
      <c r="AJ34" s="2">
        <f t="shared" si="30"/>
        <v>0</v>
      </c>
      <c r="AK34" s="2">
        <v>3841.94</v>
      </c>
      <c r="AL34" s="2">
        <v>3841.94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3</v>
      </c>
      <c r="BI34" s="2">
        <v>3</v>
      </c>
      <c r="BJ34" s="2" t="s">
        <v>3</v>
      </c>
      <c r="BK34" s="2"/>
      <c r="BL34" s="2"/>
      <c r="BM34" s="2">
        <v>746</v>
      </c>
      <c r="BN34" s="2">
        <v>0</v>
      </c>
      <c r="BO34" s="2" t="s">
        <v>3</v>
      </c>
      <c r="BP34" s="2">
        <v>0</v>
      </c>
      <c r="BQ34" s="2">
        <v>130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31"/>
        <v>3841.94</v>
      </c>
      <c r="CQ34" s="2">
        <f>ROUND((ROUND((AC34*1),2)*BC34),2)</f>
        <v>3841.94</v>
      </c>
      <c r="CR34" s="2">
        <f>(ROUND((ROUND(((ET34)*AV34*1),2)*BB34),2)+ROUND((ROUND(((AE34-(EU34))*AV34*1),2)*BS34),2))</f>
        <v>0</v>
      </c>
      <c r="CS34" s="2">
        <f>(ROUND((ROUND(((EU34)*AV34*1),2)*BS34),2)+ROUND((ROUND(((AE34-(EU34))*AV34*1),2)*BS34),2))</f>
        <v>0</v>
      </c>
      <c r="CT34" s="2">
        <f t="shared" si="32"/>
        <v>0</v>
      </c>
      <c r="CU34" s="2">
        <f t="shared" si="33"/>
        <v>0</v>
      </c>
      <c r="CV34" s="2">
        <f t="shared" si="34"/>
        <v>0</v>
      </c>
      <c r="CW34" s="2">
        <f t="shared" si="35"/>
        <v>0</v>
      </c>
      <c r="CX34" s="2">
        <f t="shared" si="36"/>
        <v>0</v>
      </c>
      <c r="CY34" s="2">
        <f>(ROUND((((S34+ROUND((ROUND(((EU34)*AV34*1),2)*BS34),2))*AT34)/100),2)+ROUND(((ROUND((ROUND(((AE34-(EU34))*AV34*1),2)*BS34),2)*AT34)/100),2))</f>
        <v>0</v>
      </c>
      <c r="CZ34" s="2">
        <f>(ROUND((((S34+ROUND((ROUND(((EU34)*AV34*1),2)*BS34),2))*AU34)/100),2)+ROUND(((ROUND((ROUND(((AE34-(EU34))*AV34*1),2)*BS34),2)*AU34)/100),2))</f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1010</v>
      </c>
      <c r="DV34" s="2" t="s">
        <v>31</v>
      </c>
      <c r="DW34" s="2" t="s">
        <v>31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60088638</v>
      </c>
      <c r="EF34" s="2">
        <v>130</v>
      </c>
      <c r="EG34" s="2" t="s">
        <v>32</v>
      </c>
      <c r="EH34" s="2">
        <v>0</v>
      </c>
      <c r="EI34" s="2" t="s">
        <v>3</v>
      </c>
      <c r="EJ34" s="2">
        <v>3</v>
      </c>
      <c r="EK34" s="2">
        <v>746</v>
      </c>
      <c r="EL34" s="2" t="s">
        <v>33</v>
      </c>
      <c r="EM34" s="2" t="s">
        <v>34</v>
      </c>
      <c r="EN34" s="2"/>
      <c r="EO34" s="2" t="s">
        <v>3</v>
      </c>
      <c r="EP34" s="2"/>
      <c r="EQ34" s="2">
        <v>0</v>
      </c>
      <c r="ER34" s="2">
        <v>0</v>
      </c>
      <c r="ES34" s="2">
        <v>3841.94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f>P34</f>
        <v>3841.94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45</v>
      </c>
      <c r="GB34" s="2"/>
      <c r="GC34" s="2"/>
      <c r="GD34" s="2">
        <v>1</v>
      </c>
      <c r="GE34" s="2"/>
      <c r="GF34" s="2">
        <v>-1229013042</v>
      </c>
      <c r="GG34" s="2">
        <v>2</v>
      </c>
      <c r="GH34" s="2">
        <v>4</v>
      </c>
      <c r="GI34" s="2">
        <v>-2</v>
      </c>
      <c r="GJ34" s="2">
        <v>0</v>
      </c>
      <c r="GK34" s="2">
        <v>0</v>
      </c>
      <c r="GL34" s="2">
        <f t="shared" si="37"/>
        <v>0</v>
      </c>
      <c r="GM34" s="2">
        <f t="shared" si="38"/>
        <v>3841.94</v>
      </c>
      <c r="GN34" s="2">
        <f t="shared" si="39"/>
        <v>0</v>
      </c>
      <c r="GO34" s="2">
        <f t="shared" si="40"/>
        <v>0</v>
      </c>
      <c r="GP34" s="2">
        <f t="shared" si="41"/>
        <v>0</v>
      </c>
      <c r="GQ34" s="2"/>
      <c r="GR34" s="2">
        <v>0</v>
      </c>
      <c r="GS34" s="2">
        <v>2</v>
      </c>
      <c r="GT34" s="2">
        <v>0</v>
      </c>
      <c r="GU34" s="2" t="s">
        <v>3</v>
      </c>
      <c r="GV34" s="2">
        <f t="shared" si="42"/>
        <v>0</v>
      </c>
      <c r="GW34" s="2">
        <v>1</v>
      </c>
      <c r="GX34" s="2">
        <f t="shared" si="43"/>
        <v>0</v>
      </c>
      <c r="GY34" s="2"/>
      <c r="GZ34" s="2"/>
      <c r="HA34" s="2">
        <v>0</v>
      </c>
      <c r="HB34" s="2">
        <v>0</v>
      </c>
      <c r="HC34" s="2">
        <f t="shared" si="44"/>
        <v>0</v>
      </c>
      <c r="HD34" s="2"/>
      <c r="HE34" s="2" t="s">
        <v>36</v>
      </c>
      <c r="HF34" s="2" t="s">
        <v>37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>
        <v>18</v>
      </c>
      <c r="B35">
        <v>1</v>
      </c>
      <c r="C35">
        <v>30</v>
      </c>
      <c r="E35" t="s">
        <v>42</v>
      </c>
      <c r="F35" t="s">
        <v>43</v>
      </c>
      <c r="G35" t="s">
        <v>44</v>
      </c>
      <c r="H35" t="s">
        <v>31</v>
      </c>
      <c r="I35">
        <f>I33*J35</f>
        <v>1</v>
      </c>
      <c r="J35">
        <v>1</v>
      </c>
      <c r="K35">
        <v>1</v>
      </c>
      <c r="O35">
        <f t="shared" si="21"/>
        <v>29429.26</v>
      </c>
      <c r="P35">
        <f>ROUND((ROUND((AC35*I35),2)*BC35),2)</f>
        <v>29429.26</v>
      </c>
      <c r="Q35">
        <f>(ROUND((ROUND(((ET35)*AV35*I35),2)*BB35),2)+ROUND((ROUND(((AE35-(EU35))*AV35*I35),2)*BS35),2))</f>
        <v>0</v>
      </c>
      <c r="R35">
        <f>(ROUND((ROUND(((EU35)*AV35*I35),2)*BS35),2)+ROUND((ROUND(((AE35-(EU35))*AV35*I35),2)*BS35),2))</f>
        <v>0</v>
      </c>
      <c r="S35">
        <f t="shared" si="22"/>
        <v>0</v>
      </c>
      <c r="T35">
        <f t="shared" si="23"/>
        <v>0</v>
      </c>
      <c r="U35">
        <f t="shared" si="24"/>
        <v>0</v>
      </c>
      <c r="V35">
        <f t="shared" si="25"/>
        <v>0</v>
      </c>
      <c r="W35">
        <f t="shared" si="26"/>
        <v>0</v>
      </c>
      <c r="X35">
        <f>(ROUND((((S35+ROUND((ROUND(((EU35)*AV35*I35),2)*BS35),2))*AT35)/100),2)+ROUND(((ROUND((ROUND(((AE35-(EU35))*AV35*I35),2)*BS35),2)*AT35)/100),2))</f>
        <v>0</v>
      </c>
      <c r="Y35">
        <f>(ROUND((((S35+ROUND((ROUND(((EU35)*AV35*I35),2)*BS35),2))*AU35)/100),2)+ROUND(((ROUND((ROUND(((AE35-(EU35))*AV35*I35),2)*BS35),2)*AU35)/100),2))</f>
        <v>0</v>
      </c>
      <c r="AA35">
        <v>60256982</v>
      </c>
      <c r="AB35">
        <f t="shared" si="27"/>
        <v>3841.94</v>
      </c>
      <c r="AC35">
        <f t="shared" si="28"/>
        <v>3841.94</v>
      </c>
      <c r="AD35">
        <f>ROUND((((ET35)-(EU35))+AE35),6)</f>
        <v>0</v>
      </c>
      <c r="AE35">
        <f>ROUND((EU35),6)</f>
        <v>0</v>
      </c>
      <c r="AF35">
        <f>ROUND((EV35),6)</f>
        <v>0</v>
      </c>
      <c r="AG35">
        <f t="shared" si="29"/>
        <v>0</v>
      </c>
      <c r="AH35">
        <f>(EW35)</f>
        <v>0</v>
      </c>
      <c r="AI35">
        <f>(EX35)</f>
        <v>0</v>
      </c>
      <c r="AJ35">
        <f t="shared" si="30"/>
        <v>0</v>
      </c>
      <c r="AK35">
        <v>3841.94</v>
      </c>
      <c r="AL35">
        <v>3841.94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1</v>
      </c>
      <c r="AZ35">
        <v>1</v>
      </c>
      <c r="BA35">
        <v>1</v>
      </c>
      <c r="BB35">
        <v>1</v>
      </c>
      <c r="BC35">
        <v>7.66</v>
      </c>
      <c r="BD35" t="s">
        <v>3</v>
      </c>
      <c r="BE35" t="s">
        <v>3</v>
      </c>
      <c r="BF35" t="s">
        <v>3</v>
      </c>
      <c r="BG35" t="s">
        <v>3</v>
      </c>
      <c r="BH35">
        <v>3</v>
      </c>
      <c r="BI35">
        <v>3</v>
      </c>
      <c r="BJ35" t="s">
        <v>3</v>
      </c>
      <c r="BM35">
        <v>746</v>
      </c>
      <c r="BN35">
        <v>0</v>
      </c>
      <c r="BO35" t="s">
        <v>3</v>
      </c>
      <c r="BP35">
        <v>0</v>
      </c>
      <c r="BQ35">
        <v>130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90</v>
      </c>
      <c r="CA35">
        <v>46</v>
      </c>
      <c r="CB35" t="s">
        <v>3</v>
      </c>
      <c r="CE35">
        <v>1566</v>
      </c>
      <c r="CF35">
        <v>0</v>
      </c>
      <c r="CG35">
        <v>0</v>
      </c>
      <c r="CM35">
        <v>0</v>
      </c>
      <c r="CN35" t="s">
        <v>3</v>
      </c>
      <c r="CO35">
        <v>0</v>
      </c>
      <c r="CP35">
        <f t="shared" si="31"/>
        <v>29429.26</v>
      </c>
      <c r="CQ35">
        <f>ROUND((ROUND((AC35*1),2)*BC35),2)</f>
        <v>29429.26</v>
      </c>
      <c r="CR35">
        <f>(ROUND((ROUND(((ET35)*AV35*1),2)*BB35),2)+ROUND((ROUND(((AE35-(EU35))*AV35*1),2)*BS35),2))</f>
        <v>0</v>
      </c>
      <c r="CS35">
        <f>(ROUND((ROUND(((EU35)*AV35*1),2)*BS35),2)+ROUND((ROUND(((AE35-(EU35))*AV35*1),2)*BS35),2))</f>
        <v>0</v>
      </c>
      <c r="CT35">
        <f t="shared" si="32"/>
        <v>0</v>
      </c>
      <c r="CU35">
        <f t="shared" si="33"/>
        <v>0</v>
      </c>
      <c r="CV35">
        <f t="shared" si="34"/>
        <v>0</v>
      </c>
      <c r="CW35">
        <f t="shared" si="35"/>
        <v>0</v>
      </c>
      <c r="CX35">
        <f t="shared" si="36"/>
        <v>0</v>
      </c>
      <c r="CY35">
        <f>(ROUND((((S35+ROUND((ROUND(((EU35)*AV35*1),2)*BS35),2))*AT35)/100),2)+ROUND(((ROUND((ROUND(((AE35-(EU35))*AV35*1),2)*BS35),2)*AT35)/100),2))</f>
        <v>0</v>
      </c>
      <c r="CZ35">
        <f>(ROUND((((S35+ROUND((ROUND(((EU35)*AV35*1),2)*BS35),2))*AU35)/100),2)+ROUND(((ROUND((ROUND(((AE35-(EU35))*AV35*1),2)*BS35),2)*AU35)/100),2))</f>
        <v>0</v>
      </c>
      <c r="DC35" t="s">
        <v>3</v>
      </c>
      <c r="DD35" t="s">
        <v>3</v>
      </c>
      <c r="DE35" t="s">
        <v>3</v>
      </c>
      <c r="DF35" t="s">
        <v>3</v>
      </c>
      <c r="DG35" t="s">
        <v>3</v>
      </c>
      <c r="DH35" t="s">
        <v>3</v>
      </c>
      <c r="DI35" t="s">
        <v>3</v>
      </c>
      <c r="DJ35" t="s">
        <v>3</v>
      </c>
      <c r="DK35" t="s">
        <v>3</v>
      </c>
      <c r="DL35" t="s">
        <v>3</v>
      </c>
      <c r="DM35" t="s">
        <v>3</v>
      </c>
      <c r="DN35">
        <v>0</v>
      </c>
      <c r="DO35">
        <v>0</v>
      </c>
      <c r="DP35">
        <v>1</v>
      </c>
      <c r="DQ35">
        <v>1</v>
      </c>
      <c r="DU35">
        <v>1010</v>
      </c>
      <c r="DV35" t="s">
        <v>31</v>
      </c>
      <c r="DW35" t="s">
        <v>31</v>
      </c>
      <c r="DX35">
        <v>1</v>
      </c>
      <c r="DZ35" t="s">
        <v>3</v>
      </c>
      <c r="EA35" t="s">
        <v>3</v>
      </c>
      <c r="EB35" t="s">
        <v>3</v>
      </c>
      <c r="EC35" t="s">
        <v>3</v>
      </c>
      <c r="EE35">
        <v>60088638</v>
      </c>
      <c r="EF35">
        <v>130</v>
      </c>
      <c r="EG35" t="s">
        <v>32</v>
      </c>
      <c r="EH35">
        <v>0</v>
      </c>
      <c r="EI35" t="s">
        <v>3</v>
      </c>
      <c r="EJ35">
        <v>3</v>
      </c>
      <c r="EK35">
        <v>746</v>
      </c>
      <c r="EL35" t="s">
        <v>33</v>
      </c>
      <c r="EM35" t="s">
        <v>34</v>
      </c>
      <c r="EO35" t="s">
        <v>3</v>
      </c>
      <c r="EQ35">
        <v>0</v>
      </c>
      <c r="ER35">
        <v>0</v>
      </c>
      <c r="ES35">
        <v>3841.94</v>
      </c>
      <c r="ET35">
        <v>0</v>
      </c>
      <c r="EU35">
        <v>0</v>
      </c>
      <c r="EV35">
        <v>0</v>
      </c>
      <c r="EW35">
        <v>0</v>
      </c>
      <c r="EX35">
        <v>0</v>
      </c>
      <c r="EZ35">
        <v>5</v>
      </c>
      <c r="FC35">
        <v>1</v>
      </c>
      <c r="FD35">
        <v>18</v>
      </c>
      <c r="FF35">
        <v>33880</v>
      </c>
      <c r="FQ35">
        <v>0</v>
      </c>
      <c r="FR35">
        <f>P35</f>
        <v>29429.26</v>
      </c>
      <c r="FS35">
        <v>0</v>
      </c>
      <c r="FX35">
        <v>90</v>
      </c>
      <c r="FY35">
        <v>46</v>
      </c>
      <c r="GA35" t="s">
        <v>45</v>
      </c>
      <c r="GD35">
        <v>1</v>
      </c>
      <c r="GF35">
        <v>-1229013042</v>
      </c>
      <c r="GG35">
        <v>2</v>
      </c>
      <c r="GH35">
        <v>3</v>
      </c>
      <c r="GI35">
        <v>5</v>
      </c>
      <c r="GJ35">
        <v>0</v>
      </c>
      <c r="GK35">
        <v>0</v>
      </c>
      <c r="GL35">
        <f t="shared" si="37"/>
        <v>0</v>
      </c>
      <c r="GM35">
        <f t="shared" si="38"/>
        <v>29429.26</v>
      </c>
      <c r="GN35">
        <f t="shared" si="39"/>
        <v>0</v>
      </c>
      <c r="GO35">
        <f t="shared" si="40"/>
        <v>0</v>
      </c>
      <c r="GP35">
        <f t="shared" si="41"/>
        <v>0</v>
      </c>
      <c r="GR35">
        <v>1</v>
      </c>
      <c r="GS35">
        <v>1</v>
      </c>
      <c r="GT35">
        <v>0</v>
      </c>
      <c r="GU35" t="s">
        <v>3</v>
      </c>
      <c r="GV35">
        <f t="shared" si="42"/>
        <v>0</v>
      </c>
      <c r="GW35">
        <v>1</v>
      </c>
      <c r="GX35">
        <f t="shared" si="43"/>
        <v>0</v>
      </c>
      <c r="HA35">
        <v>0</v>
      </c>
      <c r="HB35">
        <v>0</v>
      </c>
      <c r="HC35">
        <f t="shared" si="44"/>
        <v>0</v>
      </c>
      <c r="HE35" t="s">
        <v>36</v>
      </c>
      <c r="HF35" t="s">
        <v>37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S35">
        <v>0</v>
      </c>
      <c r="IK35">
        <v>0</v>
      </c>
    </row>
    <row r="36" spans="1:255" x14ac:dyDescent="0.2">
      <c r="A36" s="2">
        <v>17</v>
      </c>
      <c r="B36" s="2">
        <v>1</v>
      </c>
      <c r="C36" s="2">
        <f>ROW(SmtRes!A42)</f>
        <v>42</v>
      </c>
      <c r="D36" s="2">
        <f>ROW(EtalonRes!A42)</f>
        <v>42</v>
      </c>
      <c r="E36" s="2" t="s">
        <v>36</v>
      </c>
      <c r="F36" s="2" t="s">
        <v>19</v>
      </c>
      <c r="G36" s="2" t="s">
        <v>20</v>
      </c>
      <c r="H36" s="2" t="s">
        <v>21</v>
      </c>
      <c r="I36" s="2">
        <v>1</v>
      </c>
      <c r="J36" s="2">
        <v>0</v>
      </c>
      <c r="K36" s="2">
        <v>1</v>
      </c>
      <c r="L36" s="2"/>
      <c r="M36" s="2"/>
      <c r="N36" s="2"/>
      <c r="O36" s="2">
        <f t="shared" si="21"/>
        <v>163.13999999999999</v>
      </c>
      <c r="P36" s="2">
        <f>ROUND((ROUND((AC36*AW36*I36),2)*BC36),2)</f>
        <v>89.36</v>
      </c>
      <c r="Q36" s="2">
        <f>(ROUND((ROUND((((ET36*1.1))*AV36*I36),2)*BB36),2)+ROUND((ROUND(((AE36-((EU36*1.1)))*AV36*I36),2)*BS36),2))</f>
        <v>4.92</v>
      </c>
      <c r="R36" s="2">
        <f>(ROUND((ROUND((((EU36*1.1))*AV36*I36),2)*BS36),2)+ROUND((ROUND(((AE36-((EU36*1.1)))*AV36*I36),2)*BS36),2))</f>
        <v>0.44</v>
      </c>
      <c r="S36" s="2">
        <f t="shared" si="22"/>
        <v>68.86</v>
      </c>
      <c r="T36" s="2">
        <f t="shared" si="23"/>
        <v>0</v>
      </c>
      <c r="U36" s="2">
        <f t="shared" si="24"/>
        <v>5.9312550000000002</v>
      </c>
      <c r="V36" s="2">
        <f t="shared" si="25"/>
        <v>0</v>
      </c>
      <c r="W36" s="2">
        <f t="shared" si="26"/>
        <v>0</v>
      </c>
      <c r="X36" s="2">
        <f>(ROUND((((S36+ROUND((ROUND((((EU36*1.1))*AV36*I36),2)*BS36),2))*AT36)/100),2)+ROUND(((ROUND((ROUND(((AE36-((EU36*1.1)))*AV36*I36),2)*BS36),2)*AT36)/100),2))</f>
        <v>62.37</v>
      </c>
      <c r="Y36" s="2">
        <f>(ROUND((((S36+ROUND((ROUND((((EU36*1.1))*AV36*I36),2)*BS36),2))*AU36)/100),2)+ROUND(((ROUND((ROUND(((AE36-((EU36*1.1)))*AV36*I36),2)*BS36),2)*AU36)/100),2))</f>
        <v>31.88</v>
      </c>
      <c r="Z36" s="2"/>
      <c r="AA36" s="2">
        <v>60256985</v>
      </c>
      <c r="AB36" s="2">
        <f t="shared" si="27"/>
        <v>159.82599999999999</v>
      </c>
      <c r="AC36" s="2">
        <f t="shared" si="28"/>
        <v>89.36</v>
      </c>
      <c r="AD36" s="2">
        <f>ROUND(((((ET36*1.1))-((EU36*1.1)))+AE36),6)</f>
        <v>4.6970000000000001</v>
      </c>
      <c r="AE36" s="2">
        <f>ROUND(((EU36*1.1)),6)</f>
        <v>0.41799999999999998</v>
      </c>
      <c r="AF36" s="2">
        <f>ROUND(((EV36*1.1)),6)</f>
        <v>65.769000000000005</v>
      </c>
      <c r="AG36" s="2">
        <f t="shared" si="29"/>
        <v>0</v>
      </c>
      <c r="AH36" s="2">
        <f>((EW36*1.1))</f>
        <v>5.6650000000000009</v>
      </c>
      <c r="AI36" s="2">
        <f>((EX36*1.1))</f>
        <v>0</v>
      </c>
      <c r="AJ36" s="2">
        <f t="shared" si="30"/>
        <v>0</v>
      </c>
      <c r="AK36" s="2">
        <v>153.41999999999999</v>
      </c>
      <c r="AL36" s="2">
        <v>89.36</v>
      </c>
      <c r="AM36" s="2">
        <v>4.2699999999999996</v>
      </c>
      <c r="AN36" s="2">
        <v>0.38</v>
      </c>
      <c r="AO36" s="2">
        <v>59.79</v>
      </c>
      <c r="AP36" s="2">
        <v>0</v>
      </c>
      <c r="AQ36" s="2">
        <v>5.15</v>
      </c>
      <c r="AR36" s="2">
        <v>0</v>
      </c>
      <c r="AS36" s="2">
        <v>0</v>
      </c>
      <c r="AT36" s="2">
        <v>90</v>
      </c>
      <c r="AU36" s="2">
        <v>46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22</v>
      </c>
      <c r="BK36" s="2"/>
      <c r="BL36" s="2"/>
      <c r="BM36" s="2">
        <v>72</v>
      </c>
      <c r="BN36" s="2">
        <v>58973116</v>
      </c>
      <c r="BO36" s="2" t="s">
        <v>19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90</v>
      </c>
      <c r="CA36" s="2">
        <v>46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474</v>
      </c>
      <c r="CO36" s="2">
        <v>0</v>
      </c>
      <c r="CP36" s="2">
        <f t="shared" si="31"/>
        <v>163.13999999999999</v>
      </c>
      <c r="CQ36" s="2">
        <f>ROUND((ROUND((AC36*AW36*1),2)*BC36),2)</f>
        <v>89.36</v>
      </c>
      <c r="CR36" s="2">
        <f>(ROUND((ROUND((((ET36*1.1))*AV36*1),2)*BB36),2)+ROUND((ROUND(((AE36-((EU36*1.1)))*AV36*1),2)*BS36),2))</f>
        <v>4.92</v>
      </c>
      <c r="CS36" s="2">
        <f>(ROUND((ROUND((((EU36*1.1))*AV36*1),2)*BS36),2)+ROUND((ROUND(((AE36-((EU36*1.1)))*AV36*1),2)*BS36),2))</f>
        <v>0.44</v>
      </c>
      <c r="CT36" s="2">
        <f t="shared" si="32"/>
        <v>68.86</v>
      </c>
      <c r="CU36" s="2">
        <f t="shared" si="33"/>
        <v>0</v>
      </c>
      <c r="CV36" s="2">
        <f t="shared" si="34"/>
        <v>5.9312550000000002</v>
      </c>
      <c r="CW36" s="2">
        <f t="shared" si="35"/>
        <v>0</v>
      </c>
      <c r="CX36" s="2">
        <f t="shared" si="36"/>
        <v>0</v>
      </c>
      <c r="CY36" s="2">
        <f>(ROUND((((S36+ROUND((ROUND((((EU36*1.1))*AV36*1),2)*BS36),2))*AT36)/100),2)+ROUND(((ROUND((ROUND(((AE36-((EU36*1.1)))*AV36*1),2)*BS36),2)*AT36)/100),2))</f>
        <v>62.37</v>
      </c>
      <c r="CZ36" s="2">
        <f>(ROUND((((S36+ROUND((ROUND((((EU36*1.1))*AV36*1),2)*BS36),2))*AU36)/100),2)+ROUND(((ROUND((ROUND(((AE36-((EU36*1.1)))*AV36*1),2)*BS36),2)*AU36)/100),2))</f>
        <v>31.88</v>
      </c>
      <c r="DA36" s="2"/>
      <c r="DB36" s="2">
        <v>5</v>
      </c>
      <c r="DC36" s="2" t="s">
        <v>3</v>
      </c>
      <c r="DD36" s="2" t="s">
        <v>3</v>
      </c>
      <c r="DE36" s="2" t="s">
        <v>23</v>
      </c>
      <c r="DF36" s="2" t="s">
        <v>23</v>
      </c>
      <c r="DG36" s="2" t="s">
        <v>23</v>
      </c>
      <c r="DH36" s="2" t="s">
        <v>3</v>
      </c>
      <c r="DI36" s="2" t="s">
        <v>23</v>
      </c>
      <c r="DJ36" s="2" t="s">
        <v>23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21</v>
      </c>
      <c r="DW36" s="2" t="s">
        <v>21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60088536</v>
      </c>
      <c r="EF36" s="2">
        <v>40</v>
      </c>
      <c r="EG36" s="2" t="s">
        <v>24</v>
      </c>
      <c r="EH36" s="2">
        <v>0</v>
      </c>
      <c r="EI36" s="2" t="s">
        <v>3</v>
      </c>
      <c r="EJ36" s="2">
        <v>2</v>
      </c>
      <c r="EK36" s="2">
        <v>72</v>
      </c>
      <c r="EL36" s="2" t="s">
        <v>25</v>
      </c>
      <c r="EM36" s="2" t="s">
        <v>26</v>
      </c>
      <c r="EN36" s="2"/>
      <c r="EO36" s="2" t="s">
        <v>27</v>
      </c>
      <c r="EP36" s="2"/>
      <c r="EQ36" s="2">
        <v>0</v>
      </c>
      <c r="ER36" s="2">
        <v>153.41999999999999</v>
      </c>
      <c r="ES36" s="2">
        <v>89.36</v>
      </c>
      <c r="ET36" s="2">
        <v>4.2699999999999996</v>
      </c>
      <c r="EU36" s="2">
        <v>0.38</v>
      </c>
      <c r="EV36" s="2">
        <v>59.79</v>
      </c>
      <c r="EW36" s="2">
        <v>5.15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90</v>
      </c>
      <c r="FY36" s="2">
        <v>46</v>
      </c>
      <c r="FZ36" s="2"/>
      <c r="GA36" s="2" t="s">
        <v>3</v>
      </c>
      <c r="GB36" s="2"/>
      <c r="GC36" s="2"/>
      <c r="GD36" s="2">
        <v>1</v>
      </c>
      <c r="GE36" s="2"/>
      <c r="GF36" s="2">
        <v>1767555919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37"/>
        <v>0</v>
      </c>
      <c r="GM36" s="2">
        <f t="shared" si="38"/>
        <v>257.39</v>
      </c>
      <c r="GN36" s="2">
        <f t="shared" si="39"/>
        <v>0</v>
      </c>
      <c r="GO36" s="2">
        <f t="shared" si="40"/>
        <v>257.39</v>
      </c>
      <c r="GP36" s="2">
        <f t="shared" si="41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42"/>
        <v>0</v>
      </c>
      <c r="GW36" s="2">
        <v>1</v>
      </c>
      <c r="GX36" s="2">
        <f t="shared" si="43"/>
        <v>0</v>
      </c>
      <c r="GY36" s="2"/>
      <c r="GZ36" s="2"/>
      <c r="HA36" s="2">
        <v>0</v>
      </c>
      <c r="HB36" s="2">
        <v>0</v>
      </c>
      <c r="HC36" s="2">
        <f t="shared" si="44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>
        <v>17</v>
      </c>
      <c r="B37">
        <v>1</v>
      </c>
      <c r="C37">
        <f>ROW(SmtRes!A54)</f>
        <v>54</v>
      </c>
      <c r="D37">
        <f>ROW(EtalonRes!A54)</f>
        <v>54</v>
      </c>
      <c r="E37" t="s">
        <v>36</v>
      </c>
      <c r="F37" t="s">
        <v>19</v>
      </c>
      <c r="G37" t="s">
        <v>20</v>
      </c>
      <c r="H37" t="s">
        <v>21</v>
      </c>
      <c r="I37">
        <v>1</v>
      </c>
      <c r="J37">
        <v>0</v>
      </c>
      <c r="K37">
        <v>1</v>
      </c>
      <c r="O37">
        <f t="shared" si="21"/>
        <v>4309.88</v>
      </c>
      <c r="P37">
        <f>ROUND((ROUND((AC37*AW37*I37),2)*BC37),2)</f>
        <v>453.95</v>
      </c>
      <c r="Q37">
        <f>(ROUND((ROUND((((ET37*1.1))*AV37*I37),2)*BB37),2)+ROUND((ROUND(((AE37-((EU37*1.1)))*AV37*I37),2)*BS37),2))</f>
        <v>69.319999999999993</v>
      </c>
      <c r="R37">
        <f>(ROUND((ROUND((((EU37*1.1))*AV37*I37),2)*BS37),2)+ROUND((ROUND(((AE37-((EU37*1.1)))*AV37*I37),2)*BS37),2))</f>
        <v>24.2</v>
      </c>
      <c r="S37">
        <f t="shared" si="22"/>
        <v>3786.61</v>
      </c>
      <c r="T37">
        <f t="shared" si="23"/>
        <v>0</v>
      </c>
      <c r="U37">
        <f t="shared" si="24"/>
        <v>5.9312550000000002</v>
      </c>
      <c r="V37">
        <f t="shared" si="25"/>
        <v>0</v>
      </c>
      <c r="W37">
        <f t="shared" si="26"/>
        <v>0</v>
      </c>
      <c r="X37">
        <f>(ROUND((((S37+ROUND((ROUND((((EU37*1.1))*AV37*I37),2)*BS37),2))*AT37)/100),2)+ROUND(((ROUND((ROUND(((AE37-((EU37*1.1)))*AV37*I37),2)*BS37),2)*AT37)/100),2))</f>
        <v>3429.73</v>
      </c>
      <c r="Y37">
        <f>(ROUND((((S37+ROUND((ROUND((((EU37*1.1))*AV37*I37),2)*BS37),2))*AU37)/100),2)+ROUND(((ROUND((ROUND(((AE37-((EU37*1.1)))*AV37*I37),2)*BS37),2)*AU37)/100),2))</f>
        <v>1752.97</v>
      </c>
      <c r="AA37">
        <v>60256982</v>
      </c>
      <c r="AB37">
        <f t="shared" si="27"/>
        <v>159.82599999999999</v>
      </c>
      <c r="AC37">
        <f t="shared" si="28"/>
        <v>89.36</v>
      </c>
      <c r="AD37">
        <f>ROUND(((((ET37*1.1))-((EU37*1.1)))+AE37),6)</f>
        <v>4.6970000000000001</v>
      </c>
      <c r="AE37">
        <f>ROUND(((EU37*1.1)),6)</f>
        <v>0.41799999999999998</v>
      </c>
      <c r="AF37">
        <f>ROUND(((EV37*1.1)),6)</f>
        <v>65.769000000000005</v>
      </c>
      <c r="AG37">
        <f t="shared" si="29"/>
        <v>0</v>
      </c>
      <c r="AH37">
        <f>((EW37*1.1))</f>
        <v>5.6650000000000009</v>
      </c>
      <c r="AI37">
        <f>((EX37*1.1))</f>
        <v>0</v>
      </c>
      <c r="AJ37">
        <f t="shared" si="30"/>
        <v>0</v>
      </c>
      <c r="AK37">
        <v>153.41999999999999</v>
      </c>
      <c r="AL37">
        <v>89.36</v>
      </c>
      <c r="AM37">
        <v>4.2699999999999996</v>
      </c>
      <c r="AN37">
        <v>0.38</v>
      </c>
      <c r="AO37">
        <v>59.79</v>
      </c>
      <c r="AP37">
        <v>0</v>
      </c>
      <c r="AQ37">
        <v>5.15</v>
      </c>
      <c r="AR37">
        <v>0</v>
      </c>
      <c r="AS37">
        <v>0</v>
      </c>
      <c r="AT37">
        <v>90</v>
      </c>
      <c r="AU37">
        <v>46</v>
      </c>
      <c r="AV37">
        <v>1.0469999999999999</v>
      </c>
      <c r="AW37">
        <v>1</v>
      </c>
      <c r="AZ37">
        <v>1</v>
      </c>
      <c r="BA37">
        <v>54.99</v>
      </c>
      <c r="BB37">
        <v>14.09</v>
      </c>
      <c r="BC37">
        <v>5.08</v>
      </c>
      <c r="BD37" t="s">
        <v>3</v>
      </c>
      <c r="BE37" t="s">
        <v>3</v>
      </c>
      <c r="BF37" t="s">
        <v>3</v>
      </c>
      <c r="BG37" t="s">
        <v>3</v>
      </c>
      <c r="BH37">
        <v>0</v>
      </c>
      <c r="BI37">
        <v>2</v>
      </c>
      <c r="BJ37" t="s">
        <v>22</v>
      </c>
      <c r="BM37">
        <v>72</v>
      </c>
      <c r="BN37">
        <v>58973116</v>
      </c>
      <c r="BO37" t="s">
        <v>19</v>
      </c>
      <c r="BP37">
        <v>1</v>
      </c>
      <c r="BQ37">
        <v>40</v>
      </c>
      <c r="BR37">
        <v>0</v>
      </c>
      <c r="BS37">
        <v>54.99</v>
      </c>
      <c r="BT37">
        <v>1</v>
      </c>
      <c r="BU37">
        <v>1</v>
      </c>
      <c r="BV37">
        <v>1</v>
      </c>
      <c r="BW37">
        <v>1</v>
      </c>
      <c r="BX37">
        <v>1</v>
      </c>
      <c r="BY37" t="s">
        <v>3</v>
      </c>
      <c r="BZ37">
        <v>90</v>
      </c>
      <c r="CA37">
        <v>46</v>
      </c>
      <c r="CB37" t="s">
        <v>3</v>
      </c>
      <c r="CE37">
        <v>1566</v>
      </c>
      <c r="CF37">
        <v>0</v>
      </c>
      <c r="CG37">
        <v>0</v>
      </c>
      <c r="CM37">
        <v>0</v>
      </c>
      <c r="CN37" t="s">
        <v>474</v>
      </c>
      <c r="CO37">
        <v>0</v>
      </c>
      <c r="CP37">
        <f t="shared" si="31"/>
        <v>4309.88</v>
      </c>
      <c r="CQ37">
        <f>ROUND((ROUND((AC37*AW37*1),2)*BC37),2)</f>
        <v>453.95</v>
      </c>
      <c r="CR37">
        <f>(ROUND((ROUND((((ET37*1.1))*AV37*1),2)*BB37),2)+ROUND((ROUND(((AE37-((EU37*1.1)))*AV37*1),2)*BS37),2))</f>
        <v>69.319999999999993</v>
      </c>
      <c r="CS37">
        <f>(ROUND((ROUND((((EU37*1.1))*AV37*1),2)*BS37),2)+ROUND((ROUND(((AE37-((EU37*1.1)))*AV37*1),2)*BS37),2))</f>
        <v>24.2</v>
      </c>
      <c r="CT37">
        <f t="shared" si="32"/>
        <v>3786.61</v>
      </c>
      <c r="CU37">
        <f t="shared" si="33"/>
        <v>0</v>
      </c>
      <c r="CV37">
        <f t="shared" si="34"/>
        <v>5.9312550000000002</v>
      </c>
      <c r="CW37">
        <f t="shared" si="35"/>
        <v>0</v>
      </c>
      <c r="CX37">
        <f t="shared" si="36"/>
        <v>0</v>
      </c>
      <c r="CY37">
        <f>(ROUND((((S37+ROUND((ROUND((((EU37*1.1))*AV37*1),2)*BS37),2))*AT37)/100),2)+ROUND(((ROUND((ROUND(((AE37-((EU37*1.1)))*AV37*1),2)*BS37),2)*AT37)/100),2))</f>
        <v>3429.73</v>
      </c>
      <c r="CZ37">
        <f>(ROUND((((S37+ROUND((ROUND((((EU37*1.1))*AV37*1),2)*BS37),2))*AU37)/100),2)+ROUND(((ROUND((ROUND(((AE37-((EU37*1.1)))*AV37*1),2)*BS37),2)*AU37)/100),2))</f>
        <v>1752.97</v>
      </c>
      <c r="DB37">
        <v>6</v>
      </c>
      <c r="DC37" t="s">
        <v>3</v>
      </c>
      <c r="DD37" t="s">
        <v>3</v>
      </c>
      <c r="DE37" t="s">
        <v>23</v>
      </c>
      <c r="DF37" t="s">
        <v>23</v>
      </c>
      <c r="DG37" t="s">
        <v>23</v>
      </c>
      <c r="DH37" t="s">
        <v>3</v>
      </c>
      <c r="DI37" t="s">
        <v>23</v>
      </c>
      <c r="DJ37" t="s">
        <v>23</v>
      </c>
      <c r="DK37" t="s">
        <v>3</v>
      </c>
      <c r="DL37" t="s">
        <v>3</v>
      </c>
      <c r="DM37" t="s">
        <v>3</v>
      </c>
      <c r="DN37">
        <v>0</v>
      </c>
      <c r="DO37">
        <v>0</v>
      </c>
      <c r="DP37">
        <v>1</v>
      </c>
      <c r="DQ37">
        <v>1</v>
      </c>
      <c r="DU37">
        <v>1013</v>
      </c>
      <c r="DV37" t="s">
        <v>21</v>
      </c>
      <c r="DW37" t="s">
        <v>21</v>
      </c>
      <c r="DX37">
        <v>1</v>
      </c>
      <c r="DZ37" t="s">
        <v>3</v>
      </c>
      <c r="EA37" t="s">
        <v>3</v>
      </c>
      <c r="EB37" t="s">
        <v>3</v>
      </c>
      <c r="EC37" t="s">
        <v>3</v>
      </c>
      <c r="EE37">
        <v>60088536</v>
      </c>
      <c r="EF37">
        <v>40</v>
      </c>
      <c r="EG37" t="s">
        <v>24</v>
      </c>
      <c r="EH37">
        <v>0</v>
      </c>
      <c r="EI37" t="s">
        <v>3</v>
      </c>
      <c r="EJ37">
        <v>2</v>
      </c>
      <c r="EK37">
        <v>72</v>
      </c>
      <c r="EL37" t="s">
        <v>25</v>
      </c>
      <c r="EM37" t="s">
        <v>26</v>
      </c>
      <c r="EO37" t="s">
        <v>27</v>
      </c>
      <c r="EQ37">
        <v>0</v>
      </c>
      <c r="ER37">
        <v>153.41999999999999</v>
      </c>
      <c r="ES37">
        <v>89.36</v>
      </c>
      <c r="ET37">
        <v>4.2699999999999996</v>
      </c>
      <c r="EU37">
        <v>0.38</v>
      </c>
      <c r="EV37">
        <v>59.79</v>
      </c>
      <c r="EW37">
        <v>5.15</v>
      </c>
      <c r="EX37">
        <v>0</v>
      </c>
      <c r="EY37">
        <v>0</v>
      </c>
      <c r="FQ37">
        <v>0</v>
      </c>
      <c r="FR37">
        <v>0</v>
      </c>
      <c r="FS37">
        <v>0</v>
      </c>
      <c r="FX37">
        <v>90</v>
      </c>
      <c r="FY37">
        <v>46</v>
      </c>
      <c r="GA37" t="s">
        <v>3</v>
      </c>
      <c r="GD37">
        <v>1</v>
      </c>
      <c r="GF37">
        <v>1767555919</v>
      </c>
      <c r="GG37">
        <v>2</v>
      </c>
      <c r="GH37">
        <v>1</v>
      </c>
      <c r="GI37">
        <v>2</v>
      </c>
      <c r="GJ37">
        <v>0</v>
      </c>
      <c r="GK37">
        <v>0</v>
      </c>
      <c r="GL37">
        <f t="shared" si="37"/>
        <v>0</v>
      </c>
      <c r="GM37">
        <f t="shared" si="38"/>
        <v>9492.58</v>
      </c>
      <c r="GN37">
        <f t="shared" si="39"/>
        <v>0</v>
      </c>
      <c r="GO37">
        <f t="shared" si="40"/>
        <v>9492.58</v>
      </c>
      <c r="GP37">
        <f t="shared" si="41"/>
        <v>0</v>
      </c>
      <c r="GR37">
        <v>0</v>
      </c>
      <c r="GS37">
        <v>3</v>
      </c>
      <c r="GT37">
        <v>0</v>
      </c>
      <c r="GU37" t="s">
        <v>3</v>
      </c>
      <c r="GV37">
        <f t="shared" si="42"/>
        <v>0</v>
      </c>
      <c r="GW37">
        <v>1</v>
      </c>
      <c r="GX37">
        <f t="shared" si="43"/>
        <v>0</v>
      </c>
      <c r="HA37">
        <v>0</v>
      </c>
      <c r="HB37">
        <v>0</v>
      </c>
      <c r="HC37">
        <f t="shared" si="44"/>
        <v>0</v>
      </c>
      <c r="HE37" t="s">
        <v>3</v>
      </c>
      <c r="HF37" t="s">
        <v>3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HS37">
        <v>0</v>
      </c>
      <c r="IK37">
        <v>0</v>
      </c>
    </row>
    <row r="38" spans="1:255" x14ac:dyDescent="0.2">
      <c r="A38" s="2">
        <v>18</v>
      </c>
      <c r="B38" s="2">
        <v>1</v>
      </c>
      <c r="C38" s="2">
        <v>42</v>
      </c>
      <c r="D38" s="2"/>
      <c r="E38" s="2" t="s">
        <v>46</v>
      </c>
      <c r="F38" s="2" t="s">
        <v>47</v>
      </c>
      <c r="G38" s="2" t="s">
        <v>48</v>
      </c>
      <c r="H38" s="2" t="s">
        <v>31</v>
      </c>
      <c r="I38" s="2">
        <f>I36*J38</f>
        <v>1</v>
      </c>
      <c r="J38" s="2">
        <v>1</v>
      </c>
      <c r="K38" s="2">
        <v>1</v>
      </c>
      <c r="L38" s="2"/>
      <c r="M38" s="2"/>
      <c r="N38" s="2"/>
      <c r="O38" s="2">
        <f t="shared" si="21"/>
        <v>113908.9</v>
      </c>
      <c r="P38" s="2">
        <f>ROUND((ROUND((AC38*I38),2)*BC38),2)</f>
        <v>113908.9</v>
      </c>
      <c r="Q38" s="2">
        <f>(ROUND((ROUND(((ET38)*AV38*I38),2)*BB38),2)+ROUND((ROUND(((AE38-(EU38))*AV38*I38),2)*BS38),2))</f>
        <v>0</v>
      </c>
      <c r="R38" s="2">
        <f>(ROUND((ROUND(((EU38)*AV38*I38),2)*BS38),2)+ROUND((ROUND(((AE38-(EU38))*AV38*I38),2)*BS38),2))</f>
        <v>0</v>
      </c>
      <c r="S38" s="2">
        <f t="shared" si="22"/>
        <v>0</v>
      </c>
      <c r="T38" s="2">
        <f t="shared" si="23"/>
        <v>0</v>
      </c>
      <c r="U38" s="2">
        <f t="shared" si="24"/>
        <v>0</v>
      </c>
      <c r="V38" s="2">
        <f t="shared" si="25"/>
        <v>0</v>
      </c>
      <c r="W38" s="2">
        <f t="shared" si="26"/>
        <v>0</v>
      </c>
      <c r="X38" s="2">
        <f>(ROUND((((S38+ROUND((ROUND(((EU38)*AV38*I38),2)*BS38),2))*AT38)/100),2)+ROUND(((ROUND((ROUND(((AE38-(EU38))*AV38*I38),2)*BS38),2)*AT38)/100),2))</f>
        <v>0</v>
      </c>
      <c r="Y38" s="2">
        <f>(ROUND((((S38+ROUND((ROUND(((EU38)*AV38*I38),2)*BS38),2))*AU38)/100),2)+ROUND(((ROUND((ROUND(((AE38-(EU38))*AV38*I38),2)*BS38),2)*AU38)/100),2))</f>
        <v>0</v>
      </c>
      <c r="Z38" s="2"/>
      <c r="AA38" s="2">
        <v>60256985</v>
      </c>
      <c r="AB38" s="2">
        <f t="shared" si="27"/>
        <v>113908.9</v>
      </c>
      <c r="AC38" s="2">
        <f t="shared" si="28"/>
        <v>113908.9</v>
      </c>
      <c r="AD38" s="2">
        <f>ROUND((((ET38)-(EU38))+AE38),6)</f>
        <v>0</v>
      </c>
      <c r="AE38" s="2">
        <f>ROUND((EU38),6)</f>
        <v>0</v>
      </c>
      <c r="AF38" s="2">
        <f>ROUND((EV38),6)</f>
        <v>0</v>
      </c>
      <c r="AG38" s="2">
        <f t="shared" si="29"/>
        <v>0</v>
      </c>
      <c r="AH38" s="2">
        <f>(EW38)</f>
        <v>0</v>
      </c>
      <c r="AI38" s="2">
        <f>(EX38)</f>
        <v>0</v>
      </c>
      <c r="AJ38" s="2">
        <f t="shared" si="30"/>
        <v>0</v>
      </c>
      <c r="AK38" s="2">
        <v>113908.9</v>
      </c>
      <c r="AL38" s="2">
        <v>113908.9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1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3</v>
      </c>
      <c r="BI38" s="2">
        <v>3</v>
      </c>
      <c r="BJ38" s="2" t="s">
        <v>3</v>
      </c>
      <c r="BK38" s="2"/>
      <c r="BL38" s="2"/>
      <c r="BM38" s="2">
        <v>746</v>
      </c>
      <c r="BN38" s="2">
        <v>0</v>
      </c>
      <c r="BO38" s="2" t="s">
        <v>3</v>
      </c>
      <c r="BP38" s="2">
        <v>0</v>
      </c>
      <c r="BQ38" s="2">
        <v>130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90</v>
      </c>
      <c r="CA38" s="2">
        <v>46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</v>
      </c>
      <c r="CO38" s="2">
        <v>0</v>
      </c>
      <c r="CP38" s="2">
        <f t="shared" si="31"/>
        <v>113908.9</v>
      </c>
      <c r="CQ38" s="2">
        <f>ROUND((ROUND((AC38*1),2)*BC38),2)</f>
        <v>113908.9</v>
      </c>
      <c r="CR38" s="2">
        <f>(ROUND((ROUND(((ET38)*AV38*1),2)*BB38),2)+ROUND((ROUND(((AE38-(EU38))*AV38*1),2)*BS38),2))</f>
        <v>0</v>
      </c>
      <c r="CS38" s="2">
        <f>(ROUND((ROUND(((EU38)*AV38*1),2)*BS38),2)+ROUND((ROUND(((AE38-(EU38))*AV38*1),2)*BS38),2))</f>
        <v>0</v>
      </c>
      <c r="CT38" s="2">
        <f t="shared" si="32"/>
        <v>0</v>
      </c>
      <c r="CU38" s="2">
        <f t="shared" si="33"/>
        <v>0</v>
      </c>
      <c r="CV38" s="2">
        <f t="shared" si="34"/>
        <v>0</v>
      </c>
      <c r="CW38" s="2">
        <f t="shared" si="35"/>
        <v>0</v>
      </c>
      <c r="CX38" s="2">
        <f t="shared" si="36"/>
        <v>0</v>
      </c>
      <c r="CY38" s="2">
        <f>(ROUND((((S38+ROUND((ROUND(((EU38)*AV38*1),2)*BS38),2))*AT38)/100),2)+ROUND(((ROUND((ROUND(((AE38-(EU38))*AV38*1),2)*BS38),2)*AT38)/100),2))</f>
        <v>0</v>
      </c>
      <c r="CZ38" s="2">
        <f>(ROUND((((S38+ROUND((ROUND(((EU38)*AV38*1),2)*BS38),2))*AU38)/100),2)+ROUND(((ROUND((ROUND(((AE38-(EU38))*AV38*1),2)*BS38),2)*AU38)/100),2))</f>
        <v>0</v>
      </c>
      <c r="DA38" s="2"/>
      <c r="DB38" s="2"/>
      <c r="DC38" s="2" t="s">
        <v>3</v>
      </c>
      <c r="DD38" s="2" t="s">
        <v>3</v>
      </c>
      <c r="DE38" s="2" t="s">
        <v>3</v>
      </c>
      <c r="DF38" s="2" t="s">
        <v>3</v>
      </c>
      <c r="DG38" s="2" t="s">
        <v>3</v>
      </c>
      <c r="DH38" s="2" t="s">
        <v>3</v>
      </c>
      <c r="DI38" s="2" t="s">
        <v>3</v>
      </c>
      <c r="DJ38" s="2" t="s">
        <v>3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1010</v>
      </c>
      <c r="DV38" s="2" t="s">
        <v>31</v>
      </c>
      <c r="DW38" s="2" t="s">
        <v>31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60088638</v>
      </c>
      <c r="EF38" s="2">
        <v>130</v>
      </c>
      <c r="EG38" s="2" t="s">
        <v>32</v>
      </c>
      <c r="EH38" s="2">
        <v>0</v>
      </c>
      <c r="EI38" s="2" t="s">
        <v>3</v>
      </c>
      <c r="EJ38" s="2">
        <v>3</v>
      </c>
      <c r="EK38" s="2">
        <v>746</v>
      </c>
      <c r="EL38" s="2" t="s">
        <v>33</v>
      </c>
      <c r="EM38" s="2" t="s">
        <v>34</v>
      </c>
      <c r="EN38" s="2"/>
      <c r="EO38" s="2" t="s">
        <v>3</v>
      </c>
      <c r="EP38" s="2"/>
      <c r="EQ38" s="2">
        <v>0</v>
      </c>
      <c r="ER38" s="2">
        <v>0</v>
      </c>
      <c r="ES38" s="2">
        <v>113908.9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f>P38</f>
        <v>113908.9</v>
      </c>
      <c r="FS38" s="2">
        <v>0</v>
      </c>
      <c r="FT38" s="2"/>
      <c r="FU38" s="2"/>
      <c r="FV38" s="2"/>
      <c r="FW38" s="2"/>
      <c r="FX38" s="2">
        <v>90</v>
      </c>
      <c r="FY38" s="2">
        <v>46</v>
      </c>
      <c r="FZ38" s="2"/>
      <c r="GA38" s="2" t="s">
        <v>49</v>
      </c>
      <c r="GB38" s="2"/>
      <c r="GC38" s="2"/>
      <c r="GD38" s="2">
        <v>1</v>
      </c>
      <c r="GE38" s="2"/>
      <c r="GF38" s="2">
        <v>-978314307</v>
      </c>
      <c r="GG38" s="2">
        <v>2</v>
      </c>
      <c r="GH38" s="2">
        <v>4</v>
      </c>
      <c r="GI38" s="2">
        <v>-2</v>
      </c>
      <c r="GJ38" s="2">
        <v>0</v>
      </c>
      <c r="GK38" s="2">
        <v>0</v>
      </c>
      <c r="GL38" s="2">
        <f t="shared" si="37"/>
        <v>0</v>
      </c>
      <c r="GM38" s="2">
        <f t="shared" si="38"/>
        <v>113908.9</v>
      </c>
      <c r="GN38" s="2">
        <f t="shared" si="39"/>
        <v>0</v>
      </c>
      <c r="GO38" s="2">
        <f t="shared" si="40"/>
        <v>0</v>
      </c>
      <c r="GP38" s="2">
        <f t="shared" si="41"/>
        <v>0</v>
      </c>
      <c r="GQ38" s="2"/>
      <c r="GR38" s="2">
        <v>0</v>
      </c>
      <c r="GS38" s="2">
        <v>2</v>
      </c>
      <c r="GT38" s="2">
        <v>0</v>
      </c>
      <c r="GU38" s="2" t="s">
        <v>3</v>
      </c>
      <c r="GV38" s="2">
        <f t="shared" si="42"/>
        <v>0</v>
      </c>
      <c r="GW38" s="2">
        <v>1</v>
      </c>
      <c r="GX38" s="2">
        <f t="shared" si="43"/>
        <v>0</v>
      </c>
      <c r="GY38" s="2"/>
      <c r="GZ38" s="2"/>
      <c r="HA38" s="2">
        <v>0</v>
      </c>
      <c r="HB38" s="2">
        <v>0</v>
      </c>
      <c r="HC38" s="2">
        <f t="shared" si="44"/>
        <v>0</v>
      </c>
      <c r="HD38" s="2"/>
      <c r="HE38" s="2" t="s">
        <v>36</v>
      </c>
      <c r="HF38" s="2" t="s">
        <v>37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>
        <v>18</v>
      </c>
      <c r="B39">
        <v>1</v>
      </c>
      <c r="C39">
        <v>54</v>
      </c>
      <c r="E39" t="s">
        <v>46</v>
      </c>
      <c r="F39" t="s">
        <v>47</v>
      </c>
      <c r="G39" t="s">
        <v>48</v>
      </c>
      <c r="H39" t="s">
        <v>31</v>
      </c>
      <c r="I39">
        <f>I37*J39</f>
        <v>1</v>
      </c>
      <c r="J39">
        <v>1</v>
      </c>
      <c r="K39">
        <v>1</v>
      </c>
      <c r="O39">
        <f t="shared" si="21"/>
        <v>872542.17</v>
      </c>
      <c r="P39">
        <f>ROUND((ROUND((AC39*I39),2)*BC39),2)</f>
        <v>872542.17</v>
      </c>
      <c r="Q39">
        <f>(ROUND((ROUND(((ET39)*AV39*I39),2)*BB39),2)+ROUND((ROUND(((AE39-(EU39))*AV39*I39),2)*BS39),2))</f>
        <v>0</v>
      </c>
      <c r="R39">
        <f>(ROUND((ROUND(((EU39)*AV39*I39),2)*BS39),2)+ROUND((ROUND(((AE39-(EU39))*AV39*I39),2)*BS39),2))</f>
        <v>0</v>
      </c>
      <c r="S39">
        <f t="shared" si="22"/>
        <v>0</v>
      </c>
      <c r="T39">
        <f t="shared" si="23"/>
        <v>0</v>
      </c>
      <c r="U39">
        <f t="shared" si="24"/>
        <v>0</v>
      </c>
      <c r="V39">
        <f t="shared" si="25"/>
        <v>0</v>
      </c>
      <c r="W39">
        <f t="shared" si="26"/>
        <v>0</v>
      </c>
      <c r="X39">
        <f>(ROUND((((S39+ROUND((ROUND(((EU39)*AV39*I39),2)*BS39),2))*AT39)/100),2)+ROUND(((ROUND((ROUND(((AE39-(EU39))*AV39*I39),2)*BS39),2)*AT39)/100),2))</f>
        <v>0</v>
      </c>
      <c r="Y39">
        <f>(ROUND((((S39+ROUND((ROUND(((EU39)*AV39*I39),2)*BS39),2))*AU39)/100),2)+ROUND(((ROUND((ROUND(((AE39-(EU39))*AV39*I39),2)*BS39),2)*AU39)/100),2))</f>
        <v>0</v>
      </c>
      <c r="AA39">
        <v>60256982</v>
      </c>
      <c r="AB39">
        <f t="shared" si="27"/>
        <v>113908.9</v>
      </c>
      <c r="AC39">
        <f t="shared" si="28"/>
        <v>113908.9</v>
      </c>
      <c r="AD39">
        <f>ROUND((((ET39)-(EU39))+AE39),6)</f>
        <v>0</v>
      </c>
      <c r="AE39">
        <f>ROUND((EU39),6)</f>
        <v>0</v>
      </c>
      <c r="AF39">
        <f>ROUND((EV39),6)</f>
        <v>0</v>
      </c>
      <c r="AG39">
        <f t="shared" si="29"/>
        <v>0</v>
      </c>
      <c r="AH39">
        <f>(EW39)</f>
        <v>0</v>
      </c>
      <c r="AI39">
        <f>(EX39)</f>
        <v>0</v>
      </c>
      <c r="AJ39">
        <f t="shared" si="30"/>
        <v>0</v>
      </c>
      <c r="AK39">
        <v>113908.9</v>
      </c>
      <c r="AL39">
        <v>113908.9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1</v>
      </c>
      <c r="AZ39">
        <v>1</v>
      </c>
      <c r="BA39">
        <v>1</v>
      </c>
      <c r="BB39">
        <v>1</v>
      </c>
      <c r="BC39">
        <v>7.66</v>
      </c>
      <c r="BD39" t="s">
        <v>3</v>
      </c>
      <c r="BE39" t="s">
        <v>3</v>
      </c>
      <c r="BF39" t="s">
        <v>3</v>
      </c>
      <c r="BG39" t="s">
        <v>3</v>
      </c>
      <c r="BH39">
        <v>3</v>
      </c>
      <c r="BI39">
        <v>3</v>
      </c>
      <c r="BJ39" t="s">
        <v>3</v>
      </c>
      <c r="BM39">
        <v>746</v>
      </c>
      <c r="BN39">
        <v>0</v>
      </c>
      <c r="BO39" t="s">
        <v>3</v>
      </c>
      <c r="BP39">
        <v>0</v>
      </c>
      <c r="BQ39">
        <v>130</v>
      </c>
      <c r="BR39">
        <v>0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 t="s">
        <v>3</v>
      </c>
      <c r="BZ39">
        <v>90</v>
      </c>
      <c r="CA39">
        <v>46</v>
      </c>
      <c r="CB39" t="s">
        <v>3</v>
      </c>
      <c r="CE39">
        <v>1566</v>
      </c>
      <c r="CF39">
        <v>0</v>
      </c>
      <c r="CG39">
        <v>0</v>
      </c>
      <c r="CM39">
        <v>0</v>
      </c>
      <c r="CN39" t="s">
        <v>3</v>
      </c>
      <c r="CO39">
        <v>0</v>
      </c>
      <c r="CP39">
        <f t="shared" si="31"/>
        <v>872542.17</v>
      </c>
      <c r="CQ39">
        <f>ROUND((ROUND((AC39*1),2)*BC39),2)</f>
        <v>872542.17</v>
      </c>
      <c r="CR39">
        <f>(ROUND((ROUND(((ET39)*AV39*1),2)*BB39),2)+ROUND((ROUND(((AE39-(EU39))*AV39*1),2)*BS39),2))</f>
        <v>0</v>
      </c>
      <c r="CS39">
        <f>(ROUND((ROUND(((EU39)*AV39*1),2)*BS39),2)+ROUND((ROUND(((AE39-(EU39))*AV39*1),2)*BS39),2))</f>
        <v>0</v>
      </c>
      <c r="CT39">
        <f t="shared" si="32"/>
        <v>0</v>
      </c>
      <c r="CU39">
        <f t="shared" si="33"/>
        <v>0</v>
      </c>
      <c r="CV39">
        <f t="shared" si="34"/>
        <v>0</v>
      </c>
      <c r="CW39">
        <f t="shared" si="35"/>
        <v>0</v>
      </c>
      <c r="CX39">
        <f t="shared" si="36"/>
        <v>0</v>
      </c>
      <c r="CY39">
        <f>(ROUND((((S39+ROUND((ROUND(((EU39)*AV39*1),2)*BS39),2))*AT39)/100),2)+ROUND(((ROUND((ROUND(((AE39-(EU39))*AV39*1),2)*BS39),2)*AT39)/100),2))</f>
        <v>0</v>
      </c>
      <c r="CZ39">
        <f>(ROUND((((S39+ROUND((ROUND(((EU39)*AV39*1),2)*BS39),2))*AU39)/100),2)+ROUND(((ROUND((ROUND(((AE39-(EU39))*AV39*1),2)*BS39),2)*AU39)/100),2))</f>
        <v>0</v>
      </c>
      <c r="DC39" t="s">
        <v>3</v>
      </c>
      <c r="DD39" t="s">
        <v>3</v>
      </c>
      <c r="DE39" t="s">
        <v>3</v>
      </c>
      <c r="DF39" t="s">
        <v>3</v>
      </c>
      <c r="DG39" t="s">
        <v>3</v>
      </c>
      <c r="DH39" t="s">
        <v>3</v>
      </c>
      <c r="DI39" t="s">
        <v>3</v>
      </c>
      <c r="DJ39" t="s">
        <v>3</v>
      </c>
      <c r="DK39" t="s">
        <v>3</v>
      </c>
      <c r="DL39" t="s">
        <v>3</v>
      </c>
      <c r="DM39" t="s">
        <v>3</v>
      </c>
      <c r="DN39">
        <v>0</v>
      </c>
      <c r="DO39">
        <v>0</v>
      </c>
      <c r="DP39">
        <v>1</v>
      </c>
      <c r="DQ39">
        <v>1</v>
      </c>
      <c r="DU39">
        <v>1010</v>
      </c>
      <c r="DV39" t="s">
        <v>31</v>
      </c>
      <c r="DW39" t="s">
        <v>31</v>
      </c>
      <c r="DX39">
        <v>1</v>
      </c>
      <c r="DZ39" t="s">
        <v>3</v>
      </c>
      <c r="EA39" t="s">
        <v>3</v>
      </c>
      <c r="EB39" t="s">
        <v>3</v>
      </c>
      <c r="EC39" t="s">
        <v>3</v>
      </c>
      <c r="EE39">
        <v>60088638</v>
      </c>
      <c r="EF39">
        <v>130</v>
      </c>
      <c r="EG39" t="s">
        <v>32</v>
      </c>
      <c r="EH39">
        <v>0</v>
      </c>
      <c r="EI39" t="s">
        <v>3</v>
      </c>
      <c r="EJ39">
        <v>3</v>
      </c>
      <c r="EK39">
        <v>746</v>
      </c>
      <c r="EL39" t="s">
        <v>33</v>
      </c>
      <c r="EM39" t="s">
        <v>34</v>
      </c>
      <c r="EO39" t="s">
        <v>3</v>
      </c>
      <c r="EQ39">
        <v>0</v>
      </c>
      <c r="ER39">
        <v>0</v>
      </c>
      <c r="ES39">
        <v>113908.9</v>
      </c>
      <c r="ET39">
        <v>0</v>
      </c>
      <c r="EU39">
        <v>0</v>
      </c>
      <c r="EV39">
        <v>0</v>
      </c>
      <c r="EW39">
        <v>0</v>
      </c>
      <c r="EX39">
        <v>0</v>
      </c>
      <c r="EZ39">
        <v>5</v>
      </c>
      <c r="FC39">
        <v>1</v>
      </c>
      <c r="FD39">
        <v>18</v>
      </c>
      <c r="FF39">
        <v>1004500</v>
      </c>
      <c r="FQ39">
        <v>0</v>
      </c>
      <c r="FR39">
        <f>P39</f>
        <v>872542.17</v>
      </c>
      <c r="FS39">
        <v>0</v>
      </c>
      <c r="FX39">
        <v>90</v>
      </c>
      <c r="FY39">
        <v>46</v>
      </c>
      <c r="GA39" t="s">
        <v>49</v>
      </c>
      <c r="GD39">
        <v>1</v>
      </c>
      <c r="GF39">
        <v>-978314307</v>
      </c>
      <c r="GG39">
        <v>2</v>
      </c>
      <c r="GH39">
        <v>3</v>
      </c>
      <c r="GI39">
        <v>5</v>
      </c>
      <c r="GJ39">
        <v>0</v>
      </c>
      <c r="GK39">
        <v>0</v>
      </c>
      <c r="GL39">
        <f t="shared" si="37"/>
        <v>0</v>
      </c>
      <c r="GM39">
        <f t="shared" si="38"/>
        <v>872542.17</v>
      </c>
      <c r="GN39">
        <f t="shared" si="39"/>
        <v>0</v>
      </c>
      <c r="GO39">
        <f t="shared" si="40"/>
        <v>0</v>
      </c>
      <c r="GP39">
        <f t="shared" si="41"/>
        <v>0</v>
      </c>
      <c r="GR39">
        <v>1</v>
      </c>
      <c r="GS39">
        <v>1</v>
      </c>
      <c r="GT39">
        <v>0</v>
      </c>
      <c r="GU39" t="s">
        <v>3</v>
      </c>
      <c r="GV39">
        <f t="shared" si="42"/>
        <v>0</v>
      </c>
      <c r="GW39">
        <v>1</v>
      </c>
      <c r="GX39">
        <f t="shared" si="43"/>
        <v>0</v>
      </c>
      <c r="HA39">
        <v>0</v>
      </c>
      <c r="HB39">
        <v>0</v>
      </c>
      <c r="HC39">
        <f t="shared" si="44"/>
        <v>0</v>
      </c>
      <c r="HE39" t="s">
        <v>36</v>
      </c>
      <c r="HF39" t="s">
        <v>37</v>
      </c>
      <c r="HM39" t="s">
        <v>3</v>
      </c>
      <c r="HN39" t="s">
        <v>3</v>
      </c>
      <c r="HO39" t="s">
        <v>3</v>
      </c>
      <c r="HP39" t="s">
        <v>3</v>
      </c>
      <c r="HQ39" t="s">
        <v>3</v>
      </c>
      <c r="HS39">
        <v>0</v>
      </c>
      <c r="IK39">
        <v>0</v>
      </c>
    </row>
    <row r="40" spans="1:255" x14ac:dyDescent="0.2">
      <c r="A40" s="2">
        <v>17</v>
      </c>
      <c r="B40" s="2">
        <v>1</v>
      </c>
      <c r="C40" s="2">
        <f>ROW(SmtRes!A62)</f>
        <v>62</v>
      </c>
      <c r="D40" s="2">
        <f>ROW(EtalonRes!A62)</f>
        <v>62</v>
      </c>
      <c r="E40" s="2" t="s">
        <v>50</v>
      </c>
      <c r="F40" s="2" t="s">
        <v>51</v>
      </c>
      <c r="G40" s="2" t="s">
        <v>52</v>
      </c>
      <c r="H40" s="2" t="s">
        <v>21</v>
      </c>
      <c r="I40" s="2">
        <v>1</v>
      </c>
      <c r="J40" s="2">
        <v>0</v>
      </c>
      <c r="K40" s="2">
        <v>1</v>
      </c>
      <c r="L40" s="2"/>
      <c r="M40" s="2"/>
      <c r="N40" s="2"/>
      <c r="O40" s="2">
        <f t="shared" si="21"/>
        <v>592.11</v>
      </c>
      <c r="P40" s="2">
        <f>ROUND((ROUND((AC40*AW40*I40),2)*BC40),2)</f>
        <v>76.75</v>
      </c>
      <c r="Q40" s="2">
        <f>(ROUND((ROUND((((ET40*1.1))*AV40*I40),2)*BB40),2)+ROUND((ROUND(((AE40-((EU40*1.1)))*AV40*I40),2)*BS40),2))</f>
        <v>0</v>
      </c>
      <c r="R40" s="2">
        <f>(ROUND((ROUND((((EU40*1.1))*AV40*I40),2)*BS40),2)+ROUND((ROUND(((AE40-((EU40*1.1)))*AV40*I40),2)*BS40),2))</f>
        <v>0</v>
      </c>
      <c r="S40" s="2">
        <f t="shared" si="22"/>
        <v>515.36</v>
      </c>
      <c r="T40" s="2">
        <f t="shared" si="23"/>
        <v>0</v>
      </c>
      <c r="U40" s="2">
        <f t="shared" si="24"/>
        <v>38.006100000000004</v>
      </c>
      <c r="V40" s="2">
        <f t="shared" si="25"/>
        <v>0</v>
      </c>
      <c r="W40" s="2">
        <f t="shared" si="26"/>
        <v>0</v>
      </c>
      <c r="X40" s="2">
        <f>(ROUND((((S40+ROUND((ROUND((((EU40*1.1))*AV40*I40),2)*BS40),2))*AT40)/100),2)+ROUND(((ROUND((ROUND(((AE40-((EU40*1.1)))*AV40*I40),2)*BS40),2)*AT40)/100),2))</f>
        <v>489.59</v>
      </c>
      <c r="Y40" s="2">
        <f>(ROUND((((S40+ROUND((ROUND((((EU40*1.1))*AV40*I40),2)*BS40),2))*AU40)/100),2)+ROUND(((ROUND((ROUND(((AE40-((EU40*1.1)))*AV40*I40),2)*BS40),2)*AU40)/100),2))</f>
        <v>273.14</v>
      </c>
      <c r="Z40" s="2"/>
      <c r="AA40" s="2">
        <v>60256985</v>
      </c>
      <c r="AB40" s="2">
        <f t="shared" si="27"/>
        <v>568.97799999999995</v>
      </c>
      <c r="AC40" s="2">
        <f t="shared" si="28"/>
        <v>76.75</v>
      </c>
      <c r="AD40" s="2">
        <f>ROUND(((((ET40*1.1))-((EU40*1.1)))+AE40),6)</f>
        <v>0</v>
      </c>
      <c r="AE40" s="2">
        <f>ROUND(((EU40*1.1)),6)</f>
        <v>0</v>
      </c>
      <c r="AF40" s="2">
        <f>ROUND(((EV40*1.1)),6)</f>
        <v>492.22800000000001</v>
      </c>
      <c r="AG40" s="2">
        <f t="shared" si="29"/>
        <v>0</v>
      </c>
      <c r="AH40" s="2">
        <f>((EW40*1.1))</f>
        <v>36.300000000000004</v>
      </c>
      <c r="AI40" s="2">
        <f>((EX40*1.1))</f>
        <v>0</v>
      </c>
      <c r="AJ40" s="2">
        <f t="shared" si="30"/>
        <v>0</v>
      </c>
      <c r="AK40" s="2">
        <v>524.23</v>
      </c>
      <c r="AL40" s="2">
        <v>76.75</v>
      </c>
      <c r="AM40" s="2">
        <v>0</v>
      </c>
      <c r="AN40" s="2">
        <v>0</v>
      </c>
      <c r="AO40" s="2">
        <v>447.48</v>
      </c>
      <c r="AP40" s="2">
        <v>0</v>
      </c>
      <c r="AQ40" s="2">
        <v>33</v>
      </c>
      <c r="AR40" s="2">
        <v>0</v>
      </c>
      <c r="AS40" s="2">
        <v>0</v>
      </c>
      <c r="AT40" s="2">
        <v>95</v>
      </c>
      <c r="AU40" s="2">
        <v>53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53</v>
      </c>
      <c r="BK40" s="2"/>
      <c r="BL40" s="2"/>
      <c r="BM40" s="2">
        <v>69</v>
      </c>
      <c r="BN40" s="2">
        <v>58973116</v>
      </c>
      <c r="BO40" s="2" t="s">
        <v>51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95</v>
      </c>
      <c r="CA40" s="2">
        <v>53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474</v>
      </c>
      <c r="CO40" s="2">
        <v>0</v>
      </c>
      <c r="CP40" s="2">
        <f t="shared" si="31"/>
        <v>592.11</v>
      </c>
      <c r="CQ40" s="2">
        <f>ROUND((ROUND((AC40*AW40*1),2)*BC40),2)</f>
        <v>76.75</v>
      </c>
      <c r="CR40" s="2">
        <f>(ROUND((ROUND((((ET40*1.1))*AV40*1),2)*BB40),2)+ROUND((ROUND(((AE40-((EU40*1.1)))*AV40*1),2)*BS40),2))</f>
        <v>0</v>
      </c>
      <c r="CS40" s="2">
        <f>(ROUND((ROUND((((EU40*1.1))*AV40*1),2)*BS40),2)+ROUND((ROUND(((AE40-((EU40*1.1)))*AV40*1),2)*BS40),2))</f>
        <v>0</v>
      </c>
      <c r="CT40" s="2">
        <f t="shared" si="32"/>
        <v>515.36</v>
      </c>
      <c r="CU40" s="2">
        <f t="shared" si="33"/>
        <v>0</v>
      </c>
      <c r="CV40" s="2">
        <f t="shared" si="34"/>
        <v>38.006100000000004</v>
      </c>
      <c r="CW40" s="2">
        <f t="shared" si="35"/>
        <v>0</v>
      </c>
      <c r="CX40" s="2">
        <f t="shared" si="36"/>
        <v>0</v>
      </c>
      <c r="CY40" s="2">
        <f>(ROUND((((S40+ROUND((ROUND((((EU40*1.1))*AV40*1),2)*BS40),2))*AT40)/100),2)+ROUND(((ROUND((ROUND(((AE40-((EU40*1.1)))*AV40*1),2)*BS40),2)*AT40)/100),2))</f>
        <v>489.59</v>
      </c>
      <c r="CZ40" s="2">
        <f>(ROUND((((S40+ROUND((ROUND((((EU40*1.1))*AV40*1),2)*BS40),2))*AU40)/100),2)+ROUND(((ROUND((ROUND(((AE40-((EU40*1.1)))*AV40*1),2)*BS40),2)*AU40)/100),2))</f>
        <v>273.14</v>
      </c>
      <c r="DA40" s="2"/>
      <c r="DB40" s="2">
        <v>7</v>
      </c>
      <c r="DC40" s="2" t="s">
        <v>3</v>
      </c>
      <c r="DD40" s="2" t="s">
        <v>3</v>
      </c>
      <c r="DE40" s="2" t="s">
        <v>23</v>
      </c>
      <c r="DF40" s="2" t="s">
        <v>23</v>
      </c>
      <c r="DG40" s="2" t="s">
        <v>23</v>
      </c>
      <c r="DH40" s="2" t="s">
        <v>3</v>
      </c>
      <c r="DI40" s="2" t="s">
        <v>23</v>
      </c>
      <c r="DJ40" s="2" t="s">
        <v>23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21</v>
      </c>
      <c r="DW40" s="2" t="s">
        <v>21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60088533</v>
      </c>
      <c r="EF40" s="2">
        <v>40</v>
      </c>
      <c r="EG40" s="2" t="s">
        <v>24</v>
      </c>
      <c r="EH40" s="2">
        <v>0</v>
      </c>
      <c r="EI40" s="2" t="s">
        <v>3</v>
      </c>
      <c r="EJ40" s="2">
        <v>2</v>
      </c>
      <c r="EK40" s="2">
        <v>69</v>
      </c>
      <c r="EL40" s="2" t="s">
        <v>54</v>
      </c>
      <c r="EM40" s="2" t="s">
        <v>55</v>
      </c>
      <c r="EN40" s="2"/>
      <c r="EO40" s="2" t="s">
        <v>27</v>
      </c>
      <c r="EP40" s="2"/>
      <c r="EQ40" s="2">
        <v>0</v>
      </c>
      <c r="ER40" s="2">
        <v>524.23</v>
      </c>
      <c r="ES40" s="2">
        <v>76.75</v>
      </c>
      <c r="ET40" s="2">
        <v>0</v>
      </c>
      <c r="EU40" s="2">
        <v>0</v>
      </c>
      <c r="EV40" s="2">
        <v>447.48</v>
      </c>
      <c r="EW40" s="2">
        <v>33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95</v>
      </c>
      <c r="FY40" s="2">
        <v>53</v>
      </c>
      <c r="FZ40" s="2"/>
      <c r="GA40" s="2" t="s">
        <v>3</v>
      </c>
      <c r="GB40" s="2"/>
      <c r="GC40" s="2"/>
      <c r="GD40" s="2">
        <v>1</v>
      </c>
      <c r="GE40" s="2"/>
      <c r="GF40" s="2">
        <v>2038815792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37"/>
        <v>0</v>
      </c>
      <c r="GM40" s="2">
        <f t="shared" si="38"/>
        <v>1354.84</v>
      </c>
      <c r="GN40" s="2">
        <f t="shared" si="39"/>
        <v>0</v>
      </c>
      <c r="GO40" s="2">
        <f t="shared" si="40"/>
        <v>1354.84</v>
      </c>
      <c r="GP40" s="2">
        <f t="shared" si="41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42"/>
        <v>0</v>
      </c>
      <c r="GW40" s="2">
        <v>1</v>
      </c>
      <c r="GX40" s="2">
        <f t="shared" si="43"/>
        <v>0</v>
      </c>
      <c r="GY40" s="2"/>
      <c r="GZ40" s="2"/>
      <c r="HA40" s="2">
        <v>0</v>
      </c>
      <c r="HB40" s="2">
        <v>0</v>
      </c>
      <c r="HC40" s="2">
        <f t="shared" si="44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>
        <v>17</v>
      </c>
      <c r="B41">
        <v>1</v>
      </c>
      <c r="C41">
        <f>ROW(SmtRes!A70)</f>
        <v>70</v>
      </c>
      <c r="D41">
        <f>ROW(EtalonRes!A70)</f>
        <v>70</v>
      </c>
      <c r="E41" t="s">
        <v>50</v>
      </c>
      <c r="F41" t="s">
        <v>51</v>
      </c>
      <c r="G41" t="s">
        <v>52</v>
      </c>
      <c r="H41" t="s">
        <v>21</v>
      </c>
      <c r="I41">
        <v>1</v>
      </c>
      <c r="J41">
        <v>0</v>
      </c>
      <c r="K41">
        <v>1</v>
      </c>
      <c r="O41">
        <f t="shared" si="21"/>
        <v>29038.080000000002</v>
      </c>
      <c r="P41">
        <f>ROUND((ROUND((AC41*AW41*I41),2)*BC41),2)</f>
        <v>698.43</v>
      </c>
      <c r="Q41">
        <f>(ROUND((ROUND((((ET41*1.1))*AV41*I41),2)*BB41),2)+ROUND((ROUND(((AE41-((EU41*1.1)))*AV41*I41),2)*BS41),2))</f>
        <v>0</v>
      </c>
      <c r="R41">
        <f>(ROUND((ROUND((((EU41*1.1))*AV41*I41),2)*BS41),2)+ROUND((ROUND(((AE41-((EU41*1.1)))*AV41*I41),2)*BS41),2))</f>
        <v>0</v>
      </c>
      <c r="S41">
        <f t="shared" si="22"/>
        <v>28339.65</v>
      </c>
      <c r="T41">
        <f t="shared" si="23"/>
        <v>0</v>
      </c>
      <c r="U41">
        <f t="shared" si="24"/>
        <v>38.006100000000004</v>
      </c>
      <c r="V41">
        <f t="shared" si="25"/>
        <v>0</v>
      </c>
      <c r="W41">
        <f t="shared" si="26"/>
        <v>0</v>
      </c>
      <c r="X41">
        <f>(ROUND((((S41+ROUND((ROUND((((EU41*1.1))*AV41*I41),2)*BS41),2))*AT41)/100),2)+ROUND(((ROUND((ROUND(((AE41-((EU41*1.1)))*AV41*I41),2)*BS41),2)*AT41)/100),2))</f>
        <v>26922.67</v>
      </c>
      <c r="Y41">
        <f>(ROUND((((S41+ROUND((ROUND((((EU41*1.1))*AV41*I41),2)*BS41),2))*AU41)/100),2)+ROUND(((ROUND((ROUND(((AE41-((EU41*1.1)))*AV41*I41),2)*BS41),2)*AU41)/100),2))</f>
        <v>15020.01</v>
      </c>
      <c r="AA41">
        <v>60256982</v>
      </c>
      <c r="AB41">
        <f t="shared" si="27"/>
        <v>568.97799999999995</v>
      </c>
      <c r="AC41">
        <f t="shared" si="28"/>
        <v>76.75</v>
      </c>
      <c r="AD41">
        <f>ROUND(((((ET41*1.1))-((EU41*1.1)))+AE41),6)</f>
        <v>0</v>
      </c>
      <c r="AE41">
        <f>ROUND(((EU41*1.1)),6)</f>
        <v>0</v>
      </c>
      <c r="AF41">
        <f>ROUND(((EV41*1.1)),6)</f>
        <v>492.22800000000001</v>
      </c>
      <c r="AG41">
        <f t="shared" si="29"/>
        <v>0</v>
      </c>
      <c r="AH41">
        <f>((EW41*1.1))</f>
        <v>36.300000000000004</v>
      </c>
      <c r="AI41">
        <f>((EX41*1.1))</f>
        <v>0</v>
      </c>
      <c r="AJ41">
        <f t="shared" si="30"/>
        <v>0</v>
      </c>
      <c r="AK41">
        <v>524.23</v>
      </c>
      <c r="AL41">
        <v>76.75</v>
      </c>
      <c r="AM41">
        <v>0</v>
      </c>
      <c r="AN41">
        <v>0</v>
      </c>
      <c r="AO41">
        <v>447.48</v>
      </c>
      <c r="AP41">
        <v>0</v>
      </c>
      <c r="AQ41">
        <v>33</v>
      </c>
      <c r="AR41">
        <v>0</v>
      </c>
      <c r="AS41">
        <v>0</v>
      </c>
      <c r="AT41">
        <v>95</v>
      </c>
      <c r="AU41">
        <v>53</v>
      </c>
      <c r="AV41">
        <v>1.0469999999999999</v>
      </c>
      <c r="AW41">
        <v>1</v>
      </c>
      <c r="AZ41">
        <v>1</v>
      </c>
      <c r="BA41">
        <v>54.99</v>
      </c>
      <c r="BB41">
        <v>1</v>
      </c>
      <c r="BC41">
        <v>9.1</v>
      </c>
      <c r="BD41" t="s">
        <v>3</v>
      </c>
      <c r="BE41" t="s">
        <v>3</v>
      </c>
      <c r="BF41" t="s">
        <v>3</v>
      </c>
      <c r="BG41" t="s">
        <v>3</v>
      </c>
      <c r="BH41">
        <v>0</v>
      </c>
      <c r="BI41">
        <v>2</v>
      </c>
      <c r="BJ41" t="s">
        <v>53</v>
      </c>
      <c r="BM41">
        <v>69</v>
      </c>
      <c r="BN41">
        <v>58973116</v>
      </c>
      <c r="BO41" t="s">
        <v>51</v>
      </c>
      <c r="BP41">
        <v>1</v>
      </c>
      <c r="BQ41">
        <v>40</v>
      </c>
      <c r="BR41">
        <v>0</v>
      </c>
      <c r="BS41">
        <v>54.99</v>
      </c>
      <c r="BT41">
        <v>1</v>
      </c>
      <c r="BU41">
        <v>1</v>
      </c>
      <c r="BV41">
        <v>1</v>
      </c>
      <c r="BW41">
        <v>1</v>
      </c>
      <c r="BX41">
        <v>1</v>
      </c>
      <c r="BY41" t="s">
        <v>3</v>
      </c>
      <c r="BZ41">
        <v>95</v>
      </c>
      <c r="CA41">
        <v>53</v>
      </c>
      <c r="CB41" t="s">
        <v>3</v>
      </c>
      <c r="CE41">
        <v>1566</v>
      </c>
      <c r="CF41">
        <v>0</v>
      </c>
      <c r="CG41">
        <v>0</v>
      </c>
      <c r="CM41">
        <v>0</v>
      </c>
      <c r="CN41" t="s">
        <v>474</v>
      </c>
      <c r="CO41">
        <v>0</v>
      </c>
      <c r="CP41">
        <f t="shared" si="31"/>
        <v>29038.080000000002</v>
      </c>
      <c r="CQ41">
        <f>ROUND((ROUND((AC41*AW41*1),2)*BC41),2)</f>
        <v>698.43</v>
      </c>
      <c r="CR41">
        <f>(ROUND((ROUND((((ET41*1.1))*AV41*1),2)*BB41),2)+ROUND((ROUND(((AE41-((EU41*1.1)))*AV41*1),2)*BS41),2))</f>
        <v>0</v>
      </c>
      <c r="CS41">
        <f>(ROUND((ROUND((((EU41*1.1))*AV41*1),2)*BS41),2)+ROUND((ROUND(((AE41-((EU41*1.1)))*AV41*1),2)*BS41),2))</f>
        <v>0</v>
      </c>
      <c r="CT41">
        <f t="shared" si="32"/>
        <v>28339.65</v>
      </c>
      <c r="CU41">
        <f t="shared" si="33"/>
        <v>0</v>
      </c>
      <c r="CV41">
        <f t="shared" si="34"/>
        <v>38.006100000000004</v>
      </c>
      <c r="CW41">
        <f t="shared" si="35"/>
        <v>0</v>
      </c>
      <c r="CX41">
        <f t="shared" si="36"/>
        <v>0</v>
      </c>
      <c r="CY41">
        <f>(ROUND((((S41+ROUND((ROUND((((EU41*1.1))*AV41*1),2)*BS41),2))*AT41)/100),2)+ROUND(((ROUND((ROUND(((AE41-((EU41*1.1)))*AV41*1),2)*BS41),2)*AT41)/100),2))</f>
        <v>26922.67</v>
      </c>
      <c r="CZ41">
        <f>(ROUND((((S41+ROUND((ROUND((((EU41*1.1))*AV41*1),2)*BS41),2))*AU41)/100),2)+ROUND(((ROUND((ROUND(((AE41-((EU41*1.1)))*AV41*1),2)*BS41),2)*AU41)/100),2))</f>
        <v>15020.01</v>
      </c>
      <c r="DB41">
        <v>8</v>
      </c>
      <c r="DC41" t="s">
        <v>3</v>
      </c>
      <c r="DD41" t="s">
        <v>3</v>
      </c>
      <c r="DE41" t="s">
        <v>23</v>
      </c>
      <c r="DF41" t="s">
        <v>23</v>
      </c>
      <c r="DG41" t="s">
        <v>23</v>
      </c>
      <c r="DH41" t="s">
        <v>3</v>
      </c>
      <c r="DI41" t="s">
        <v>23</v>
      </c>
      <c r="DJ41" t="s">
        <v>23</v>
      </c>
      <c r="DK41" t="s">
        <v>3</v>
      </c>
      <c r="DL41" t="s">
        <v>3</v>
      </c>
      <c r="DM41" t="s">
        <v>3</v>
      </c>
      <c r="DN41">
        <v>0</v>
      </c>
      <c r="DO41">
        <v>0</v>
      </c>
      <c r="DP41">
        <v>1</v>
      </c>
      <c r="DQ41">
        <v>1</v>
      </c>
      <c r="DU41">
        <v>1013</v>
      </c>
      <c r="DV41" t="s">
        <v>21</v>
      </c>
      <c r="DW41" t="s">
        <v>21</v>
      </c>
      <c r="DX41">
        <v>1</v>
      </c>
      <c r="DZ41" t="s">
        <v>3</v>
      </c>
      <c r="EA41" t="s">
        <v>3</v>
      </c>
      <c r="EB41" t="s">
        <v>3</v>
      </c>
      <c r="EC41" t="s">
        <v>3</v>
      </c>
      <c r="EE41">
        <v>60088533</v>
      </c>
      <c r="EF41">
        <v>40</v>
      </c>
      <c r="EG41" t="s">
        <v>24</v>
      </c>
      <c r="EH41">
        <v>0</v>
      </c>
      <c r="EI41" t="s">
        <v>3</v>
      </c>
      <c r="EJ41">
        <v>2</v>
      </c>
      <c r="EK41">
        <v>69</v>
      </c>
      <c r="EL41" t="s">
        <v>54</v>
      </c>
      <c r="EM41" t="s">
        <v>55</v>
      </c>
      <c r="EO41" t="s">
        <v>27</v>
      </c>
      <c r="EQ41">
        <v>0</v>
      </c>
      <c r="ER41">
        <v>524.23</v>
      </c>
      <c r="ES41">
        <v>76.75</v>
      </c>
      <c r="ET41">
        <v>0</v>
      </c>
      <c r="EU41">
        <v>0</v>
      </c>
      <c r="EV41">
        <v>447.48</v>
      </c>
      <c r="EW41">
        <v>33</v>
      </c>
      <c r="EX41">
        <v>0</v>
      </c>
      <c r="EY41">
        <v>0</v>
      </c>
      <c r="FQ41">
        <v>0</v>
      </c>
      <c r="FR41">
        <v>0</v>
      </c>
      <c r="FS41">
        <v>0</v>
      </c>
      <c r="FX41">
        <v>95</v>
      </c>
      <c r="FY41">
        <v>53</v>
      </c>
      <c r="GA41" t="s">
        <v>3</v>
      </c>
      <c r="GD41">
        <v>1</v>
      </c>
      <c r="GF41">
        <v>2038815792</v>
      </c>
      <c r="GG41">
        <v>2</v>
      </c>
      <c r="GH41">
        <v>1</v>
      </c>
      <c r="GI41">
        <v>2</v>
      </c>
      <c r="GJ41">
        <v>0</v>
      </c>
      <c r="GK41">
        <v>0</v>
      </c>
      <c r="GL41">
        <f t="shared" si="37"/>
        <v>0</v>
      </c>
      <c r="GM41">
        <f t="shared" si="38"/>
        <v>70980.759999999995</v>
      </c>
      <c r="GN41">
        <f t="shared" si="39"/>
        <v>0</v>
      </c>
      <c r="GO41">
        <f t="shared" si="40"/>
        <v>70980.759999999995</v>
      </c>
      <c r="GP41">
        <f t="shared" si="41"/>
        <v>0</v>
      </c>
      <c r="GR41">
        <v>0</v>
      </c>
      <c r="GS41">
        <v>3</v>
      </c>
      <c r="GT41">
        <v>0</v>
      </c>
      <c r="GU41" t="s">
        <v>3</v>
      </c>
      <c r="GV41">
        <f t="shared" si="42"/>
        <v>0</v>
      </c>
      <c r="GW41">
        <v>1</v>
      </c>
      <c r="GX41">
        <f t="shared" si="43"/>
        <v>0</v>
      </c>
      <c r="HA41">
        <v>0</v>
      </c>
      <c r="HB41">
        <v>0</v>
      </c>
      <c r="HC41">
        <f t="shared" si="44"/>
        <v>0</v>
      </c>
      <c r="HE41" t="s">
        <v>3</v>
      </c>
      <c r="HF41" t="s">
        <v>3</v>
      </c>
      <c r="HM41" t="s">
        <v>3</v>
      </c>
      <c r="HN41" t="s">
        <v>3</v>
      </c>
      <c r="HO41" t="s">
        <v>3</v>
      </c>
      <c r="HP41" t="s">
        <v>3</v>
      </c>
      <c r="HQ41" t="s">
        <v>3</v>
      </c>
      <c r="HS41">
        <v>0</v>
      </c>
      <c r="IK41">
        <v>0</v>
      </c>
    </row>
    <row r="42" spans="1:255" x14ac:dyDescent="0.2">
      <c r="A42" s="2">
        <v>18</v>
      </c>
      <c r="B42" s="2">
        <v>1</v>
      </c>
      <c r="C42" s="2">
        <v>62</v>
      </c>
      <c r="D42" s="2"/>
      <c r="E42" s="2" t="s">
        <v>56</v>
      </c>
      <c r="F42" s="2" t="s">
        <v>57</v>
      </c>
      <c r="G42" s="2" t="s">
        <v>58</v>
      </c>
      <c r="H42" s="2" t="s">
        <v>31</v>
      </c>
      <c r="I42" s="2">
        <f>I40*J42</f>
        <v>1</v>
      </c>
      <c r="J42" s="2">
        <v>1</v>
      </c>
      <c r="K42" s="2">
        <v>1</v>
      </c>
      <c r="L42" s="2"/>
      <c r="M42" s="2"/>
      <c r="N42" s="2"/>
      <c r="O42" s="2">
        <f t="shared" si="21"/>
        <v>11113.06</v>
      </c>
      <c r="P42" s="2">
        <f>ROUND((ROUND((AC42*I42),2)*BC42),2)</f>
        <v>11113.06</v>
      </c>
      <c r="Q42" s="2">
        <f>(ROUND((ROUND(((ET42)*AV42*I42),2)*BB42),2)+ROUND((ROUND(((AE42-(EU42))*AV42*I42),2)*BS42),2))</f>
        <v>0</v>
      </c>
      <c r="R42" s="2">
        <f>(ROUND((ROUND(((EU42)*AV42*I42),2)*BS42),2)+ROUND((ROUND(((AE42-(EU42))*AV42*I42),2)*BS42),2))</f>
        <v>0</v>
      </c>
      <c r="S42" s="2">
        <f t="shared" si="22"/>
        <v>0</v>
      </c>
      <c r="T42" s="2">
        <f t="shared" si="23"/>
        <v>0</v>
      </c>
      <c r="U42" s="2">
        <f t="shared" si="24"/>
        <v>0</v>
      </c>
      <c r="V42" s="2">
        <f t="shared" si="25"/>
        <v>0</v>
      </c>
      <c r="W42" s="2">
        <f t="shared" si="26"/>
        <v>0</v>
      </c>
      <c r="X42" s="2">
        <f>(ROUND((((S42+ROUND((ROUND(((EU42)*AV42*I42),2)*BS42),2))*AT42)/100),2)+ROUND(((ROUND((ROUND(((AE42-(EU42))*AV42*I42),2)*BS42),2)*AT42)/100),2))</f>
        <v>0</v>
      </c>
      <c r="Y42" s="2">
        <f>(ROUND((((S42+ROUND((ROUND(((EU42)*AV42*I42),2)*BS42),2))*AU42)/100),2)+ROUND(((ROUND((ROUND(((AE42-(EU42))*AV42*I42),2)*BS42),2)*AU42)/100),2))</f>
        <v>0</v>
      </c>
      <c r="Z42" s="2"/>
      <c r="AA42" s="2">
        <v>60256985</v>
      </c>
      <c r="AB42" s="2">
        <f t="shared" si="27"/>
        <v>11113.06</v>
      </c>
      <c r="AC42" s="2">
        <f t="shared" si="28"/>
        <v>11113.06</v>
      </c>
      <c r="AD42" s="2">
        <f>ROUND((((ET42)-(EU42))+AE42),6)</f>
        <v>0</v>
      </c>
      <c r="AE42" s="2">
        <f>ROUND((EU42),6)</f>
        <v>0</v>
      </c>
      <c r="AF42" s="2">
        <f>ROUND((EV42),6)</f>
        <v>0</v>
      </c>
      <c r="AG42" s="2">
        <f t="shared" si="29"/>
        <v>0</v>
      </c>
      <c r="AH42" s="2">
        <f>(EW42)</f>
        <v>0</v>
      </c>
      <c r="AI42" s="2">
        <f>(EX42)</f>
        <v>0</v>
      </c>
      <c r="AJ42" s="2">
        <f t="shared" si="30"/>
        <v>0</v>
      </c>
      <c r="AK42" s="2">
        <v>11113.060000000001</v>
      </c>
      <c r="AL42" s="2">
        <v>11113.060000000001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3</v>
      </c>
      <c r="BI42" s="2">
        <v>3</v>
      </c>
      <c r="BJ42" s="2" t="s">
        <v>3</v>
      </c>
      <c r="BK42" s="2"/>
      <c r="BL42" s="2"/>
      <c r="BM42" s="2">
        <v>746</v>
      </c>
      <c r="BN42" s="2">
        <v>0</v>
      </c>
      <c r="BO42" s="2" t="s">
        <v>3</v>
      </c>
      <c r="BP42" s="2">
        <v>0</v>
      </c>
      <c r="BQ42" s="2">
        <v>130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95</v>
      </c>
      <c r="CA42" s="2">
        <v>53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3</v>
      </c>
      <c r="CO42" s="2">
        <v>0</v>
      </c>
      <c r="CP42" s="2">
        <f t="shared" si="31"/>
        <v>11113.06</v>
      </c>
      <c r="CQ42" s="2">
        <f>ROUND((ROUND((AC42*1),2)*BC42),2)</f>
        <v>11113.06</v>
      </c>
      <c r="CR42" s="2">
        <f>(ROUND((ROUND(((ET42)*AV42*1),2)*BB42),2)+ROUND((ROUND(((AE42-(EU42))*AV42*1),2)*BS42),2))</f>
        <v>0</v>
      </c>
      <c r="CS42" s="2">
        <f>(ROUND((ROUND(((EU42)*AV42*1),2)*BS42),2)+ROUND((ROUND(((AE42-(EU42))*AV42*1),2)*BS42),2))</f>
        <v>0</v>
      </c>
      <c r="CT42" s="2">
        <f t="shared" si="32"/>
        <v>0</v>
      </c>
      <c r="CU42" s="2">
        <f t="shared" si="33"/>
        <v>0</v>
      </c>
      <c r="CV42" s="2">
        <f t="shared" si="34"/>
        <v>0</v>
      </c>
      <c r="CW42" s="2">
        <f t="shared" si="35"/>
        <v>0</v>
      </c>
      <c r="CX42" s="2">
        <f t="shared" si="36"/>
        <v>0</v>
      </c>
      <c r="CY42" s="2">
        <f>(ROUND((((S42+ROUND((ROUND(((EU42)*AV42*1),2)*BS42),2))*AT42)/100),2)+ROUND(((ROUND((ROUND(((AE42-(EU42))*AV42*1),2)*BS42),2)*AT42)/100),2))</f>
        <v>0</v>
      </c>
      <c r="CZ42" s="2">
        <f>(ROUND((((S42+ROUND((ROUND(((EU42)*AV42*1),2)*BS42),2))*AU42)/100),2)+ROUND(((ROUND((ROUND(((AE42-(EU42))*AV42*1),2)*BS42),2)*AU42)/100),2))</f>
        <v>0</v>
      </c>
      <c r="DA42" s="2"/>
      <c r="DB42" s="2"/>
      <c r="DC42" s="2" t="s">
        <v>3</v>
      </c>
      <c r="DD42" s="2" t="s">
        <v>3</v>
      </c>
      <c r="DE42" s="2" t="s">
        <v>3</v>
      </c>
      <c r="DF42" s="2" t="s">
        <v>3</v>
      </c>
      <c r="DG42" s="2" t="s">
        <v>3</v>
      </c>
      <c r="DH42" s="2" t="s">
        <v>3</v>
      </c>
      <c r="DI42" s="2" t="s">
        <v>3</v>
      </c>
      <c r="DJ42" s="2" t="s">
        <v>3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1010</v>
      </c>
      <c r="DV42" s="2" t="s">
        <v>31</v>
      </c>
      <c r="DW42" s="2" t="s">
        <v>31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60088638</v>
      </c>
      <c r="EF42" s="2">
        <v>130</v>
      </c>
      <c r="EG42" s="2" t="s">
        <v>32</v>
      </c>
      <c r="EH42" s="2">
        <v>0</v>
      </c>
      <c r="EI42" s="2" t="s">
        <v>3</v>
      </c>
      <c r="EJ42" s="2">
        <v>3</v>
      </c>
      <c r="EK42" s="2">
        <v>746</v>
      </c>
      <c r="EL42" s="2" t="s">
        <v>33</v>
      </c>
      <c r="EM42" s="2" t="s">
        <v>34</v>
      </c>
      <c r="EN42" s="2"/>
      <c r="EO42" s="2" t="s">
        <v>3</v>
      </c>
      <c r="EP42" s="2"/>
      <c r="EQ42" s="2">
        <v>0</v>
      </c>
      <c r="ER42" s="2">
        <v>0</v>
      </c>
      <c r="ES42" s="2">
        <v>11113.060000000001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f>P42</f>
        <v>11113.06</v>
      </c>
      <c r="FS42" s="2">
        <v>0</v>
      </c>
      <c r="FT42" s="2"/>
      <c r="FU42" s="2"/>
      <c r="FV42" s="2"/>
      <c r="FW42" s="2"/>
      <c r="FX42" s="2">
        <v>95</v>
      </c>
      <c r="FY42" s="2">
        <v>53</v>
      </c>
      <c r="FZ42" s="2"/>
      <c r="GA42" s="2" t="s">
        <v>59</v>
      </c>
      <c r="GB42" s="2"/>
      <c r="GC42" s="2"/>
      <c r="GD42" s="2">
        <v>1</v>
      </c>
      <c r="GE42" s="2"/>
      <c r="GF42" s="2">
        <v>-172379434</v>
      </c>
      <c r="GG42" s="2">
        <v>2</v>
      </c>
      <c r="GH42" s="2">
        <v>4</v>
      </c>
      <c r="GI42" s="2">
        <v>-2</v>
      </c>
      <c r="GJ42" s="2">
        <v>0</v>
      </c>
      <c r="GK42" s="2">
        <v>0</v>
      </c>
      <c r="GL42" s="2">
        <f t="shared" si="37"/>
        <v>0</v>
      </c>
      <c r="GM42" s="2">
        <f t="shared" si="38"/>
        <v>11113.06</v>
      </c>
      <c r="GN42" s="2">
        <f t="shared" si="39"/>
        <v>0</v>
      </c>
      <c r="GO42" s="2">
        <f t="shared" si="40"/>
        <v>0</v>
      </c>
      <c r="GP42" s="2">
        <f t="shared" si="41"/>
        <v>0</v>
      </c>
      <c r="GQ42" s="2"/>
      <c r="GR42" s="2">
        <v>0</v>
      </c>
      <c r="GS42" s="2">
        <v>2</v>
      </c>
      <c r="GT42" s="2">
        <v>0</v>
      </c>
      <c r="GU42" s="2" t="s">
        <v>3</v>
      </c>
      <c r="GV42" s="2">
        <f t="shared" si="42"/>
        <v>0</v>
      </c>
      <c r="GW42" s="2">
        <v>1</v>
      </c>
      <c r="GX42" s="2">
        <f t="shared" si="43"/>
        <v>0</v>
      </c>
      <c r="GY42" s="2"/>
      <c r="GZ42" s="2"/>
      <c r="HA42" s="2">
        <v>0</v>
      </c>
      <c r="HB42" s="2">
        <v>0</v>
      </c>
      <c r="HC42" s="2">
        <f t="shared" si="44"/>
        <v>0</v>
      </c>
      <c r="HD42" s="2"/>
      <c r="HE42" s="2" t="s">
        <v>36</v>
      </c>
      <c r="HF42" s="2" t="s">
        <v>37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>
        <v>18</v>
      </c>
      <c r="B43">
        <v>1</v>
      </c>
      <c r="C43">
        <v>70</v>
      </c>
      <c r="E43" t="s">
        <v>56</v>
      </c>
      <c r="F43" t="s">
        <v>57</v>
      </c>
      <c r="G43" t="s">
        <v>58</v>
      </c>
      <c r="H43" t="s">
        <v>31</v>
      </c>
      <c r="I43">
        <f>I41*J43</f>
        <v>1</v>
      </c>
      <c r="J43">
        <v>1</v>
      </c>
      <c r="K43">
        <v>1</v>
      </c>
      <c r="O43">
        <f t="shared" si="21"/>
        <v>85126.04</v>
      </c>
      <c r="P43">
        <f>ROUND((ROUND((AC43*I43),2)*BC43),2)</f>
        <v>85126.04</v>
      </c>
      <c r="Q43">
        <f>(ROUND((ROUND(((ET43)*AV43*I43),2)*BB43),2)+ROUND((ROUND(((AE43-(EU43))*AV43*I43),2)*BS43),2))</f>
        <v>0</v>
      </c>
      <c r="R43">
        <f>(ROUND((ROUND(((EU43)*AV43*I43),2)*BS43),2)+ROUND((ROUND(((AE43-(EU43))*AV43*I43),2)*BS43),2))</f>
        <v>0</v>
      </c>
      <c r="S43">
        <f t="shared" si="22"/>
        <v>0</v>
      </c>
      <c r="T43">
        <f t="shared" si="23"/>
        <v>0</v>
      </c>
      <c r="U43">
        <f t="shared" si="24"/>
        <v>0</v>
      </c>
      <c r="V43">
        <f t="shared" si="25"/>
        <v>0</v>
      </c>
      <c r="W43">
        <f t="shared" si="26"/>
        <v>0</v>
      </c>
      <c r="X43">
        <f>(ROUND((((S43+ROUND((ROUND(((EU43)*AV43*I43),2)*BS43),2))*AT43)/100),2)+ROUND(((ROUND((ROUND(((AE43-(EU43))*AV43*I43),2)*BS43),2)*AT43)/100),2))</f>
        <v>0</v>
      </c>
      <c r="Y43">
        <f>(ROUND((((S43+ROUND((ROUND(((EU43)*AV43*I43),2)*BS43),2))*AU43)/100),2)+ROUND(((ROUND((ROUND(((AE43-(EU43))*AV43*I43),2)*BS43),2)*AU43)/100),2))</f>
        <v>0</v>
      </c>
      <c r="AA43">
        <v>60256982</v>
      </c>
      <c r="AB43">
        <f t="shared" si="27"/>
        <v>11113.06</v>
      </c>
      <c r="AC43">
        <f t="shared" si="28"/>
        <v>11113.06</v>
      </c>
      <c r="AD43">
        <f>ROUND((((ET43)-(EU43))+AE43),6)</f>
        <v>0</v>
      </c>
      <c r="AE43">
        <f>ROUND((EU43),6)</f>
        <v>0</v>
      </c>
      <c r="AF43">
        <f>ROUND((EV43),6)</f>
        <v>0</v>
      </c>
      <c r="AG43">
        <f t="shared" si="29"/>
        <v>0</v>
      </c>
      <c r="AH43">
        <f>(EW43)</f>
        <v>0</v>
      </c>
      <c r="AI43">
        <f>(EX43)</f>
        <v>0</v>
      </c>
      <c r="AJ43">
        <f t="shared" si="30"/>
        <v>0</v>
      </c>
      <c r="AK43">
        <v>11113.060000000001</v>
      </c>
      <c r="AL43">
        <v>11113.060000000001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1</v>
      </c>
      <c r="AZ43">
        <v>1</v>
      </c>
      <c r="BA43">
        <v>1</v>
      </c>
      <c r="BB43">
        <v>1</v>
      </c>
      <c r="BC43">
        <v>7.66</v>
      </c>
      <c r="BD43" t="s">
        <v>3</v>
      </c>
      <c r="BE43" t="s">
        <v>3</v>
      </c>
      <c r="BF43" t="s">
        <v>3</v>
      </c>
      <c r="BG43" t="s">
        <v>3</v>
      </c>
      <c r="BH43">
        <v>3</v>
      </c>
      <c r="BI43">
        <v>3</v>
      </c>
      <c r="BJ43" t="s">
        <v>3</v>
      </c>
      <c r="BM43">
        <v>746</v>
      </c>
      <c r="BN43">
        <v>0</v>
      </c>
      <c r="BO43" t="s">
        <v>3</v>
      </c>
      <c r="BP43">
        <v>0</v>
      </c>
      <c r="BQ43">
        <v>130</v>
      </c>
      <c r="BR43">
        <v>0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 t="s">
        <v>3</v>
      </c>
      <c r="BZ43">
        <v>95</v>
      </c>
      <c r="CA43">
        <v>53</v>
      </c>
      <c r="CB43" t="s">
        <v>3</v>
      </c>
      <c r="CE43">
        <v>1566</v>
      </c>
      <c r="CF43">
        <v>0</v>
      </c>
      <c r="CG43">
        <v>0</v>
      </c>
      <c r="CM43">
        <v>0</v>
      </c>
      <c r="CN43" t="s">
        <v>3</v>
      </c>
      <c r="CO43">
        <v>0</v>
      </c>
      <c r="CP43">
        <f t="shared" si="31"/>
        <v>85126.04</v>
      </c>
      <c r="CQ43">
        <f>ROUND((ROUND((AC43*1),2)*BC43),2)</f>
        <v>85126.04</v>
      </c>
      <c r="CR43">
        <f>(ROUND((ROUND(((ET43)*AV43*1),2)*BB43),2)+ROUND((ROUND(((AE43-(EU43))*AV43*1),2)*BS43),2))</f>
        <v>0</v>
      </c>
      <c r="CS43">
        <f>(ROUND((ROUND(((EU43)*AV43*1),2)*BS43),2)+ROUND((ROUND(((AE43-(EU43))*AV43*1),2)*BS43),2))</f>
        <v>0</v>
      </c>
      <c r="CT43">
        <f t="shared" si="32"/>
        <v>0</v>
      </c>
      <c r="CU43">
        <f t="shared" si="33"/>
        <v>0</v>
      </c>
      <c r="CV43">
        <f t="shared" si="34"/>
        <v>0</v>
      </c>
      <c r="CW43">
        <f t="shared" si="35"/>
        <v>0</v>
      </c>
      <c r="CX43">
        <f t="shared" si="36"/>
        <v>0</v>
      </c>
      <c r="CY43">
        <f>(ROUND((((S43+ROUND((ROUND(((EU43)*AV43*1),2)*BS43),2))*AT43)/100),2)+ROUND(((ROUND((ROUND(((AE43-(EU43))*AV43*1),2)*BS43),2)*AT43)/100),2))</f>
        <v>0</v>
      </c>
      <c r="CZ43">
        <f>(ROUND((((S43+ROUND((ROUND(((EU43)*AV43*1),2)*BS43),2))*AU43)/100),2)+ROUND(((ROUND((ROUND(((AE43-(EU43))*AV43*1),2)*BS43),2)*AU43)/100),2))</f>
        <v>0</v>
      </c>
      <c r="DC43" t="s">
        <v>3</v>
      </c>
      <c r="DD43" t="s">
        <v>3</v>
      </c>
      <c r="DE43" t="s">
        <v>3</v>
      </c>
      <c r="DF43" t="s">
        <v>3</v>
      </c>
      <c r="DG43" t="s">
        <v>3</v>
      </c>
      <c r="DH43" t="s">
        <v>3</v>
      </c>
      <c r="DI43" t="s">
        <v>3</v>
      </c>
      <c r="DJ43" t="s">
        <v>3</v>
      </c>
      <c r="DK43" t="s">
        <v>3</v>
      </c>
      <c r="DL43" t="s">
        <v>3</v>
      </c>
      <c r="DM43" t="s">
        <v>3</v>
      </c>
      <c r="DN43">
        <v>0</v>
      </c>
      <c r="DO43">
        <v>0</v>
      </c>
      <c r="DP43">
        <v>1</v>
      </c>
      <c r="DQ43">
        <v>1</v>
      </c>
      <c r="DU43">
        <v>1010</v>
      </c>
      <c r="DV43" t="s">
        <v>31</v>
      </c>
      <c r="DW43" t="s">
        <v>31</v>
      </c>
      <c r="DX43">
        <v>1</v>
      </c>
      <c r="DZ43" t="s">
        <v>3</v>
      </c>
      <c r="EA43" t="s">
        <v>3</v>
      </c>
      <c r="EB43" t="s">
        <v>3</v>
      </c>
      <c r="EC43" t="s">
        <v>3</v>
      </c>
      <c r="EE43">
        <v>60088638</v>
      </c>
      <c r="EF43">
        <v>130</v>
      </c>
      <c r="EG43" t="s">
        <v>32</v>
      </c>
      <c r="EH43">
        <v>0</v>
      </c>
      <c r="EI43" t="s">
        <v>3</v>
      </c>
      <c r="EJ43">
        <v>3</v>
      </c>
      <c r="EK43">
        <v>746</v>
      </c>
      <c r="EL43" t="s">
        <v>33</v>
      </c>
      <c r="EM43" t="s">
        <v>34</v>
      </c>
      <c r="EO43" t="s">
        <v>3</v>
      </c>
      <c r="EQ43">
        <v>0</v>
      </c>
      <c r="ER43">
        <v>0</v>
      </c>
      <c r="ES43">
        <v>11113.060000000001</v>
      </c>
      <c r="ET43">
        <v>0</v>
      </c>
      <c r="EU43">
        <v>0</v>
      </c>
      <c r="EV43">
        <v>0</v>
      </c>
      <c r="EW43">
        <v>0</v>
      </c>
      <c r="EX43">
        <v>0</v>
      </c>
      <c r="EZ43">
        <v>5</v>
      </c>
      <c r="FC43">
        <v>1</v>
      </c>
      <c r="FD43">
        <v>18</v>
      </c>
      <c r="FF43">
        <v>98000</v>
      </c>
      <c r="FQ43">
        <v>0</v>
      </c>
      <c r="FR43">
        <f>P43</f>
        <v>85126.04</v>
      </c>
      <c r="FS43">
        <v>0</v>
      </c>
      <c r="FX43">
        <v>95</v>
      </c>
      <c r="FY43">
        <v>53</v>
      </c>
      <c r="GA43" t="s">
        <v>59</v>
      </c>
      <c r="GD43">
        <v>1</v>
      </c>
      <c r="GF43">
        <v>-172379434</v>
      </c>
      <c r="GG43">
        <v>2</v>
      </c>
      <c r="GH43">
        <v>3</v>
      </c>
      <c r="GI43">
        <v>5</v>
      </c>
      <c r="GJ43">
        <v>0</v>
      </c>
      <c r="GK43">
        <v>0</v>
      </c>
      <c r="GL43">
        <f t="shared" si="37"/>
        <v>0</v>
      </c>
      <c r="GM43">
        <f t="shared" si="38"/>
        <v>85126.04</v>
      </c>
      <c r="GN43">
        <f t="shared" si="39"/>
        <v>0</v>
      </c>
      <c r="GO43">
        <f t="shared" si="40"/>
        <v>0</v>
      </c>
      <c r="GP43">
        <f t="shared" si="41"/>
        <v>0</v>
      </c>
      <c r="GR43">
        <v>1</v>
      </c>
      <c r="GS43">
        <v>1</v>
      </c>
      <c r="GT43">
        <v>0</v>
      </c>
      <c r="GU43" t="s">
        <v>3</v>
      </c>
      <c r="GV43">
        <f t="shared" si="42"/>
        <v>0</v>
      </c>
      <c r="GW43">
        <v>1</v>
      </c>
      <c r="GX43">
        <f t="shared" si="43"/>
        <v>0</v>
      </c>
      <c r="HA43">
        <v>0</v>
      </c>
      <c r="HB43">
        <v>0</v>
      </c>
      <c r="HC43">
        <f t="shared" si="44"/>
        <v>0</v>
      </c>
      <c r="HE43" t="s">
        <v>36</v>
      </c>
      <c r="HF43" t="s">
        <v>37</v>
      </c>
      <c r="HM43" t="s">
        <v>3</v>
      </c>
      <c r="HN43" t="s">
        <v>3</v>
      </c>
      <c r="HO43" t="s">
        <v>3</v>
      </c>
      <c r="HP43" t="s">
        <v>3</v>
      </c>
      <c r="HQ43" t="s">
        <v>3</v>
      </c>
      <c r="HS43">
        <v>0</v>
      </c>
      <c r="IK43">
        <v>0</v>
      </c>
    </row>
    <row r="44" spans="1:255" x14ac:dyDescent="0.2">
      <c r="A44" s="2">
        <v>17</v>
      </c>
      <c r="B44" s="2">
        <v>1</v>
      </c>
      <c r="C44" s="2">
        <f>ROW(SmtRes!A74)</f>
        <v>74</v>
      </c>
      <c r="D44" s="2">
        <f>ROW(EtalonRes!A73)</f>
        <v>73</v>
      </c>
      <c r="E44" s="2" t="s">
        <v>60</v>
      </c>
      <c r="F44" s="2" t="s">
        <v>61</v>
      </c>
      <c r="G44" s="2" t="s">
        <v>62</v>
      </c>
      <c r="H44" s="2" t="s">
        <v>63</v>
      </c>
      <c r="I44" s="2">
        <f>ROUND(7/100,9)</f>
        <v>7.0000000000000007E-2</v>
      </c>
      <c r="J44" s="2">
        <v>0</v>
      </c>
      <c r="K44" s="2">
        <f>ROUND(7/100,9)</f>
        <v>7.0000000000000007E-2</v>
      </c>
      <c r="L44" s="2"/>
      <c r="M44" s="2"/>
      <c r="N44" s="2"/>
      <c r="O44" s="2">
        <f t="shared" si="21"/>
        <v>17.05</v>
      </c>
      <c r="P44" s="2">
        <f t="shared" ref="P44:P49" si="45">ROUND((ROUND((AC44*AW44*I44),2)*BC44),2)</f>
        <v>0</v>
      </c>
      <c r="Q44" s="2">
        <f>(ROUND((ROUND((((ET44*1.1))*AV44*I44),2)*BB44),2)+ROUND((ROUND(((AE44-((EU44*1.1)))*AV44*I44),2)*BS44),2))</f>
        <v>7.0000000000000007E-2</v>
      </c>
      <c r="R44" s="2">
        <f>(ROUND((ROUND((((EU44*1.1))*AV44*I44),2)*BS44),2)+ROUND((ROUND(((AE44-((EU44*1.1)))*AV44*I44),2)*BS44),2))</f>
        <v>0.01</v>
      </c>
      <c r="S44" s="2">
        <f t="shared" si="22"/>
        <v>16.98</v>
      </c>
      <c r="T44" s="2">
        <f t="shared" si="23"/>
        <v>0</v>
      </c>
      <c r="U44" s="2">
        <f t="shared" si="24"/>
        <v>1.51886196</v>
      </c>
      <c r="V44" s="2">
        <f t="shared" si="25"/>
        <v>0</v>
      </c>
      <c r="W44" s="2">
        <f t="shared" si="26"/>
        <v>0</v>
      </c>
      <c r="X44" s="2">
        <f>(ROUND((((S44+ROUND((ROUND((((EU44*1.1))*AV44*I44),2)*BS44),2))*AT44)/100),2)+ROUND(((ROUND((ROUND(((AE44-((EU44*1.1)))*AV44*I44),2)*BS44),2)*AT44)/100),2))</f>
        <v>16.48</v>
      </c>
      <c r="Y44" s="2">
        <f>(ROUND((((S44+ROUND((ROUND((((EU44*1.1))*AV44*I44),2)*BS44),2))*AU44)/100),2)+ROUND(((ROUND((ROUND(((AE44-((EU44*1.1)))*AV44*I44),2)*BS44),2)*AU44)/100),2))</f>
        <v>8.66</v>
      </c>
      <c r="Z44" s="2"/>
      <c r="AA44" s="2">
        <v>60256985</v>
      </c>
      <c r="AB44" s="2">
        <f t="shared" si="27"/>
        <v>232.54</v>
      </c>
      <c r="AC44" s="2">
        <f t="shared" si="28"/>
        <v>0</v>
      </c>
      <c r="AD44" s="2">
        <f>ROUND(((((ET44*1.1))-((EU44*1.1)))+AE44),6)</f>
        <v>0.91300000000000003</v>
      </c>
      <c r="AE44" s="2">
        <f>ROUND(((EU44*1.1)),6)</f>
        <v>0.14299999999999999</v>
      </c>
      <c r="AF44" s="2">
        <f>ROUND(((EV44*1.1)),6)</f>
        <v>231.62700000000001</v>
      </c>
      <c r="AG44" s="2">
        <f t="shared" si="29"/>
        <v>0</v>
      </c>
      <c r="AH44" s="2">
        <f>((EW44*1.1))</f>
        <v>20.724</v>
      </c>
      <c r="AI44" s="2">
        <f>((EX44*1.1))</f>
        <v>0</v>
      </c>
      <c r="AJ44" s="2">
        <f t="shared" si="30"/>
        <v>0</v>
      </c>
      <c r="AK44" s="2">
        <v>211.4</v>
      </c>
      <c r="AL44" s="2">
        <v>0</v>
      </c>
      <c r="AM44" s="2">
        <v>0.83</v>
      </c>
      <c r="AN44" s="2">
        <v>0.13</v>
      </c>
      <c r="AO44" s="2">
        <v>210.57</v>
      </c>
      <c r="AP44" s="2">
        <v>0</v>
      </c>
      <c r="AQ44" s="2">
        <v>18.84</v>
      </c>
      <c r="AR44" s="2">
        <v>0</v>
      </c>
      <c r="AS44" s="2">
        <v>0</v>
      </c>
      <c r="AT44" s="2">
        <v>97</v>
      </c>
      <c r="AU44" s="2">
        <v>51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2</v>
      </c>
      <c r="BJ44" s="2" t="s">
        <v>64</v>
      </c>
      <c r="BK44" s="2"/>
      <c r="BL44" s="2"/>
      <c r="BM44" s="2">
        <v>67</v>
      </c>
      <c r="BN44" s="2">
        <v>0</v>
      </c>
      <c r="BO44" s="2" t="s">
        <v>61</v>
      </c>
      <c r="BP44" s="2">
        <v>1</v>
      </c>
      <c r="BQ44" s="2">
        <v>40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97</v>
      </c>
      <c r="CA44" s="2">
        <v>51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474</v>
      </c>
      <c r="CO44" s="2">
        <v>0</v>
      </c>
      <c r="CP44" s="2">
        <f t="shared" si="31"/>
        <v>17.05</v>
      </c>
      <c r="CQ44" s="2">
        <f t="shared" ref="CQ44:CQ49" si="46">ROUND((ROUND((AC44*AW44*1),2)*BC44),2)</f>
        <v>0</v>
      </c>
      <c r="CR44" s="2">
        <f>(ROUND((ROUND((((ET44*1.1))*AV44*1),2)*BB44),2)+ROUND((ROUND(((AE44-((EU44*1.1)))*AV44*1),2)*BS44),2))</f>
        <v>0.96</v>
      </c>
      <c r="CS44" s="2">
        <f>(ROUND((ROUND((((EU44*1.1))*AV44*1),2)*BS44),2)+ROUND((ROUND(((AE44-((EU44*1.1)))*AV44*1),2)*BS44),2))</f>
        <v>0.15</v>
      </c>
      <c r="CT44" s="2">
        <f t="shared" si="32"/>
        <v>242.51</v>
      </c>
      <c r="CU44" s="2">
        <f t="shared" si="33"/>
        <v>0</v>
      </c>
      <c r="CV44" s="2">
        <f t="shared" si="34"/>
        <v>21.698027999999997</v>
      </c>
      <c r="CW44" s="2">
        <f t="shared" si="35"/>
        <v>0</v>
      </c>
      <c r="CX44" s="2">
        <f t="shared" si="36"/>
        <v>0</v>
      </c>
      <c r="CY44" s="2">
        <f>(ROUND((((S44+ROUND((ROUND((((EU44*1.1))*AV44*1),2)*BS44),2))*AT44)/100),2)+ROUND(((ROUND((ROUND(((AE44-((EU44*1.1)))*AV44*1),2)*BS44),2)*AT44)/100),2))</f>
        <v>16.62</v>
      </c>
      <c r="CZ44" s="2">
        <f>(ROUND((((S44+ROUND((ROUND((((EU44*1.1))*AV44*1),2)*BS44),2))*AU44)/100),2)+ROUND(((ROUND((ROUND(((AE44-((EU44*1.1)))*AV44*1),2)*BS44),2)*AU44)/100),2))</f>
        <v>8.74</v>
      </c>
      <c r="DA44" s="2"/>
      <c r="DB44" s="2">
        <v>9</v>
      </c>
      <c r="DC44" s="2" t="s">
        <v>3</v>
      </c>
      <c r="DD44" s="2" t="s">
        <v>3</v>
      </c>
      <c r="DE44" s="2" t="s">
        <v>23</v>
      </c>
      <c r="DF44" s="2" t="s">
        <v>23</v>
      </c>
      <c r="DG44" s="2" t="s">
        <v>23</v>
      </c>
      <c r="DH44" s="2" t="s">
        <v>3</v>
      </c>
      <c r="DI44" s="2" t="s">
        <v>23</v>
      </c>
      <c r="DJ44" s="2" t="s">
        <v>23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1010</v>
      </c>
      <c r="DV44" s="2" t="s">
        <v>63</v>
      </c>
      <c r="DW44" s="2" t="s">
        <v>63</v>
      </c>
      <c r="DX44" s="2">
        <v>100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60088531</v>
      </c>
      <c r="EF44" s="2">
        <v>40</v>
      </c>
      <c r="EG44" s="2" t="s">
        <v>24</v>
      </c>
      <c r="EH44" s="2">
        <v>0</v>
      </c>
      <c r="EI44" s="2" t="s">
        <v>3</v>
      </c>
      <c r="EJ44" s="2">
        <v>2</v>
      </c>
      <c r="EK44" s="2">
        <v>67</v>
      </c>
      <c r="EL44" s="2" t="s">
        <v>65</v>
      </c>
      <c r="EM44" s="2" t="s">
        <v>66</v>
      </c>
      <c r="EN44" s="2"/>
      <c r="EO44" s="2" t="s">
        <v>27</v>
      </c>
      <c r="EP44" s="2"/>
      <c r="EQ44" s="2">
        <v>0</v>
      </c>
      <c r="ER44" s="2">
        <v>211.4</v>
      </c>
      <c r="ES44" s="2">
        <v>0</v>
      </c>
      <c r="ET44" s="2">
        <v>0.83</v>
      </c>
      <c r="EU44" s="2">
        <v>0.13</v>
      </c>
      <c r="EV44" s="2">
        <v>210.57</v>
      </c>
      <c r="EW44" s="2">
        <v>18.84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97</v>
      </c>
      <c r="FY44" s="2">
        <v>51</v>
      </c>
      <c r="FZ44" s="2"/>
      <c r="GA44" s="2" t="s">
        <v>3</v>
      </c>
      <c r="GB44" s="2"/>
      <c r="GC44" s="2"/>
      <c r="GD44" s="2">
        <v>1</v>
      </c>
      <c r="GE44" s="2"/>
      <c r="GF44" s="2">
        <v>728449770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37"/>
        <v>0</v>
      </c>
      <c r="GM44" s="2">
        <f t="shared" si="38"/>
        <v>42.19</v>
      </c>
      <c r="GN44" s="2">
        <f t="shared" si="39"/>
        <v>0</v>
      </c>
      <c r="GO44" s="2">
        <f t="shared" si="40"/>
        <v>42.19</v>
      </c>
      <c r="GP44" s="2">
        <f t="shared" si="41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42"/>
        <v>0</v>
      </c>
      <c r="GW44" s="2">
        <v>1</v>
      </c>
      <c r="GX44" s="2">
        <f t="shared" si="43"/>
        <v>0</v>
      </c>
      <c r="GY44" s="2"/>
      <c r="GZ44" s="2"/>
      <c r="HA44" s="2">
        <v>0</v>
      </c>
      <c r="HB44" s="2">
        <v>0</v>
      </c>
      <c r="HC44" s="2">
        <f t="shared" si="44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>
        <v>17</v>
      </c>
      <c r="B45">
        <v>1</v>
      </c>
      <c r="C45">
        <f>ROW(SmtRes!A78)</f>
        <v>78</v>
      </c>
      <c r="D45">
        <f>ROW(EtalonRes!A76)</f>
        <v>76</v>
      </c>
      <c r="E45" t="s">
        <v>60</v>
      </c>
      <c r="F45" t="s">
        <v>61</v>
      </c>
      <c r="G45" t="s">
        <v>62</v>
      </c>
      <c r="H45" t="s">
        <v>63</v>
      </c>
      <c r="I45">
        <f>ROUND(7/100,9)</f>
        <v>7.0000000000000007E-2</v>
      </c>
      <c r="J45">
        <v>0</v>
      </c>
      <c r="K45">
        <f>ROUND(7/100,9)</f>
        <v>7.0000000000000007E-2</v>
      </c>
      <c r="O45">
        <f t="shared" si="21"/>
        <v>934.87</v>
      </c>
      <c r="P45">
        <f t="shared" si="45"/>
        <v>0</v>
      </c>
      <c r="Q45">
        <f>(ROUND((ROUND((((ET45*1.1))*AV45*I45),2)*BB45),2)+ROUND((ROUND(((AE45-((EU45*1.1)))*AV45*I45),2)*BS45),2))</f>
        <v>1.1399999999999999</v>
      </c>
      <c r="R45">
        <f>(ROUND((ROUND((((EU45*1.1))*AV45*I45),2)*BS45),2)+ROUND((ROUND(((AE45-((EU45*1.1)))*AV45*I45),2)*BS45),2))</f>
        <v>0.55000000000000004</v>
      </c>
      <c r="S45">
        <f t="shared" si="22"/>
        <v>933.73</v>
      </c>
      <c r="T45">
        <f t="shared" si="23"/>
        <v>0</v>
      </c>
      <c r="U45">
        <f t="shared" si="24"/>
        <v>1.51886196</v>
      </c>
      <c r="V45">
        <f t="shared" si="25"/>
        <v>0</v>
      </c>
      <c r="W45">
        <f t="shared" si="26"/>
        <v>0</v>
      </c>
      <c r="X45">
        <f>(ROUND((((S45+ROUND((ROUND((((EU45*1.1))*AV45*I45),2)*BS45),2))*AT45)/100),2)+ROUND(((ROUND((ROUND(((AE45-((EU45*1.1)))*AV45*I45),2)*BS45),2)*AT45)/100),2))</f>
        <v>906.25</v>
      </c>
      <c r="Y45">
        <f>(ROUND((((S45+ROUND((ROUND((((EU45*1.1))*AV45*I45),2)*BS45),2))*AU45)/100),2)+ROUND(((ROUND((ROUND(((AE45-((EU45*1.1)))*AV45*I45),2)*BS45),2)*AU45)/100),2))</f>
        <v>476.48</v>
      </c>
      <c r="AA45">
        <v>60256982</v>
      </c>
      <c r="AB45">
        <f t="shared" si="27"/>
        <v>232.54</v>
      </c>
      <c r="AC45">
        <f t="shared" si="28"/>
        <v>0</v>
      </c>
      <c r="AD45">
        <f>ROUND(((((ET45*1.1))-((EU45*1.1)))+AE45),6)</f>
        <v>0.91300000000000003</v>
      </c>
      <c r="AE45">
        <f>ROUND(((EU45*1.1)),6)</f>
        <v>0.14299999999999999</v>
      </c>
      <c r="AF45">
        <f>ROUND(((EV45*1.1)),6)</f>
        <v>231.62700000000001</v>
      </c>
      <c r="AG45">
        <f t="shared" si="29"/>
        <v>0</v>
      </c>
      <c r="AH45">
        <f>((EW45*1.1))</f>
        <v>20.724</v>
      </c>
      <c r="AI45">
        <f>((EX45*1.1))</f>
        <v>0</v>
      </c>
      <c r="AJ45">
        <f t="shared" si="30"/>
        <v>0</v>
      </c>
      <c r="AK45">
        <v>211.4</v>
      </c>
      <c r="AL45">
        <v>0</v>
      </c>
      <c r="AM45">
        <v>0.83</v>
      </c>
      <c r="AN45">
        <v>0.13</v>
      </c>
      <c r="AO45">
        <v>210.57</v>
      </c>
      <c r="AP45">
        <v>0</v>
      </c>
      <c r="AQ45">
        <v>18.84</v>
      </c>
      <c r="AR45">
        <v>0</v>
      </c>
      <c r="AS45">
        <v>0</v>
      </c>
      <c r="AT45">
        <v>97</v>
      </c>
      <c r="AU45">
        <v>51</v>
      </c>
      <c r="AV45">
        <v>1.0469999999999999</v>
      </c>
      <c r="AW45">
        <v>1</v>
      </c>
      <c r="AZ45">
        <v>1</v>
      </c>
      <c r="BA45">
        <v>54.99</v>
      </c>
      <c r="BB45">
        <v>16.329999999999998</v>
      </c>
      <c r="BC45">
        <v>1</v>
      </c>
      <c r="BD45" t="s">
        <v>3</v>
      </c>
      <c r="BE45" t="s">
        <v>3</v>
      </c>
      <c r="BF45" t="s">
        <v>3</v>
      </c>
      <c r="BG45" t="s">
        <v>3</v>
      </c>
      <c r="BH45">
        <v>0</v>
      </c>
      <c r="BI45">
        <v>2</v>
      </c>
      <c r="BJ45" t="s">
        <v>64</v>
      </c>
      <c r="BM45">
        <v>67</v>
      </c>
      <c r="BN45">
        <v>0</v>
      </c>
      <c r="BO45" t="s">
        <v>61</v>
      </c>
      <c r="BP45">
        <v>1</v>
      </c>
      <c r="BQ45">
        <v>40</v>
      </c>
      <c r="BR45">
        <v>0</v>
      </c>
      <c r="BS45">
        <v>54.99</v>
      </c>
      <c r="BT45">
        <v>1</v>
      </c>
      <c r="BU45">
        <v>1</v>
      </c>
      <c r="BV45">
        <v>1</v>
      </c>
      <c r="BW45">
        <v>1</v>
      </c>
      <c r="BX45">
        <v>1</v>
      </c>
      <c r="BY45" t="s">
        <v>3</v>
      </c>
      <c r="BZ45">
        <v>97</v>
      </c>
      <c r="CA45">
        <v>51</v>
      </c>
      <c r="CB45" t="s">
        <v>3</v>
      </c>
      <c r="CE45">
        <v>1566</v>
      </c>
      <c r="CF45">
        <v>0</v>
      </c>
      <c r="CG45">
        <v>0</v>
      </c>
      <c r="CM45">
        <v>0</v>
      </c>
      <c r="CN45" t="s">
        <v>474</v>
      </c>
      <c r="CO45">
        <v>0</v>
      </c>
      <c r="CP45">
        <f t="shared" si="31"/>
        <v>934.87</v>
      </c>
      <c r="CQ45">
        <f t="shared" si="46"/>
        <v>0</v>
      </c>
      <c r="CR45">
        <f>(ROUND((ROUND((((ET45*1.1))*AV45*1),2)*BB45),2)+ROUND((ROUND(((AE45-((EU45*1.1)))*AV45*1),2)*BS45),2))</f>
        <v>15.68</v>
      </c>
      <c r="CS45">
        <f>(ROUND((ROUND((((EU45*1.1))*AV45*1),2)*BS45),2)+ROUND((ROUND(((AE45-((EU45*1.1)))*AV45*1),2)*BS45),2))</f>
        <v>8.25</v>
      </c>
      <c r="CT45">
        <f t="shared" si="32"/>
        <v>13335.62</v>
      </c>
      <c r="CU45">
        <f t="shared" si="33"/>
        <v>0</v>
      </c>
      <c r="CV45">
        <f t="shared" si="34"/>
        <v>21.698027999999997</v>
      </c>
      <c r="CW45">
        <f t="shared" si="35"/>
        <v>0</v>
      </c>
      <c r="CX45">
        <f t="shared" si="36"/>
        <v>0</v>
      </c>
      <c r="CY45">
        <f>(ROUND((((S45+ROUND((ROUND((((EU45*1.1))*AV45*1),2)*BS45),2))*AT45)/100),2)+ROUND(((ROUND((ROUND(((AE45-((EU45*1.1)))*AV45*1),2)*BS45),2)*AT45)/100),2))</f>
        <v>913.72</v>
      </c>
      <c r="CZ45">
        <f>(ROUND((((S45+ROUND((ROUND((((EU45*1.1))*AV45*1),2)*BS45),2))*AU45)/100),2)+ROUND(((ROUND((ROUND(((AE45-((EU45*1.1)))*AV45*1),2)*BS45),2)*AU45)/100),2))</f>
        <v>480.41</v>
      </c>
      <c r="DB45">
        <v>10</v>
      </c>
      <c r="DC45" t="s">
        <v>3</v>
      </c>
      <c r="DD45" t="s">
        <v>3</v>
      </c>
      <c r="DE45" t="s">
        <v>23</v>
      </c>
      <c r="DF45" t="s">
        <v>23</v>
      </c>
      <c r="DG45" t="s">
        <v>23</v>
      </c>
      <c r="DH45" t="s">
        <v>3</v>
      </c>
      <c r="DI45" t="s">
        <v>23</v>
      </c>
      <c r="DJ45" t="s">
        <v>23</v>
      </c>
      <c r="DK45" t="s">
        <v>3</v>
      </c>
      <c r="DL45" t="s">
        <v>3</v>
      </c>
      <c r="DM45" t="s">
        <v>3</v>
      </c>
      <c r="DN45">
        <v>0</v>
      </c>
      <c r="DO45">
        <v>0</v>
      </c>
      <c r="DP45">
        <v>1</v>
      </c>
      <c r="DQ45">
        <v>1</v>
      </c>
      <c r="DU45">
        <v>1010</v>
      </c>
      <c r="DV45" t="s">
        <v>63</v>
      </c>
      <c r="DW45" t="s">
        <v>63</v>
      </c>
      <c r="DX45">
        <v>100</v>
      </c>
      <c r="DZ45" t="s">
        <v>3</v>
      </c>
      <c r="EA45" t="s">
        <v>3</v>
      </c>
      <c r="EB45" t="s">
        <v>3</v>
      </c>
      <c r="EC45" t="s">
        <v>3</v>
      </c>
      <c r="EE45">
        <v>60088531</v>
      </c>
      <c r="EF45">
        <v>40</v>
      </c>
      <c r="EG45" t="s">
        <v>24</v>
      </c>
      <c r="EH45">
        <v>0</v>
      </c>
      <c r="EI45" t="s">
        <v>3</v>
      </c>
      <c r="EJ45">
        <v>2</v>
      </c>
      <c r="EK45">
        <v>67</v>
      </c>
      <c r="EL45" t="s">
        <v>65</v>
      </c>
      <c r="EM45" t="s">
        <v>66</v>
      </c>
      <c r="EO45" t="s">
        <v>27</v>
      </c>
      <c r="EQ45">
        <v>0</v>
      </c>
      <c r="ER45">
        <v>211.4</v>
      </c>
      <c r="ES45">
        <v>0</v>
      </c>
      <c r="ET45">
        <v>0.83</v>
      </c>
      <c r="EU45">
        <v>0.13</v>
      </c>
      <c r="EV45">
        <v>210.57</v>
      </c>
      <c r="EW45">
        <v>18.84</v>
      </c>
      <c r="EX45">
        <v>0</v>
      </c>
      <c r="EY45">
        <v>0</v>
      </c>
      <c r="FQ45">
        <v>0</v>
      </c>
      <c r="FR45">
        <v>0</v>
      </c>
      <c r="FS45">
        <v>0</v>
      </c>
      <c r="FX45">
        <v>97</v>
      </c>
      <c r="FY45">
        <v>51</v>
      </c>
      <c r="GA45" t="s">
        <v>3</v>
      </c>
      <c r="GD45">
        <v>1</v>
      </c>
      <c r="GF45">
        <v>728449770</v>
      </c>
      <c r="GG45">
        <v>2</v>
      </c>
      <c r="GH45">
        <v>1</v>
      </c>
      <c r="GI45">
        <v>2</v>
      </c>
      <c r="GJ45">
        <v>0</v>
      </c>
      <c r="GK45">
        <v>0</v>
      </c>
      <c r="GL45">
        <f t="shared" si="37"/>
        <v>0</v>
      </c>
      <c r="GM45">
        <f t="shared" si="38"/>
        <v>2317.6</v>
      </c>
      <c r="GN45">
        <f t="shared" si="39"/>
        <v>0</v>
      </c>
      <c r="GO45">
        <f t="shared" si="40"/>
        <v>2317.6</v>
      </c>
      <c r="GP45">
        <f t="shared" si="41"/>
        <v>0</v>
      </c>
      <c r="GR45">
        <v>0</v>
      </c>
      <c r="GS45">
        <v>3</v>
      </c>
      <c r="GT45">
        <v>0</v>
      </c>
      <c r="GU45" t="s">
        <v>3</v>
      </c>
      <c r="GV45">
        <f t="shared" si="42"/>
        <v>0</v>
      </c>
      <c r="GW45">
        <v>1</v>
      </c>
      <c r="GX45">
        <f t="shared" si="43"/>
        <v>0</v>
      </c>
      <c r="HA45">
        <v>0</v>
      </c>
      <c r="HB45">
        <v>0</v>
      </c>
      <c r="HC45">
        <f t="shared" si="44"/>
        <v>0</v>
      </c>
      <c r="HE45" t="s">
        <v>3</v>
      </c>
      <c r="HF45" t="s">
        <v>3</v>
      </c>
      <c r="HM45" t="s">
        <v>3</v>
      </c>
      <c r="HN45" t="s">
        <v>3</v>
      </c>
      <c r="HO45" t="s">
        <v>3</v>
      </c>
      <c r="HP45" t="s">
        <v>3</v>
      </c>
      <c r="HQ45" t="s">
        <v>3</v>
      </c>
      <c r="HS45">
        <v>0</v>
      </c>
      <c r="IK45">
        <v>0</v>
      </c>
    </row>
    <row r="46" spans="1:255" x14ac:dyDescent="0.2">
      <c r="A46" s="2">
        <v>18</v>
      </c>
      <c r="B46" s="2">
        <v>1</v>
      </c>
      <c r="C46" s="2">
        <v>73</v>
      </c>
      <c r="D46" s="2"/>
      <c r="E46" s="2" t="s">
        <v>67</v>
      </c>
      <c r="F46" s="2" t="s">
        <v>68</v>
      </c>
      <c r="G46" s="2" t="s">
        <v>69</v>
      </c>
      <c r="H46" s="2" t="s">
        <v>31</v>
      </c>
      <c r="I46" s="2">
        <f>I44*J46</f>
        <v>7</v>
      </c>
      <c r="J46" s="2">
        <v>99.999999999999986</v>
      </c>
      <c r="K46" s="2">
        <v>100</v>
      </c>
      <c r="L46" s="2"/>
      <c r="M46" s="2"/>
      <c r="N46" s="2"/>
      <c r="O46" s="2">
        <f t="shared" si="21"/>
        <v>22.12</v>
      </c>
      <c r="P46" s="2">
        <f t="shared" si="45"/>
        <v>22.12</v>
      </c>
      <c r="Q46" s="2">
        <f>(ROUND((ROUND(((ET46)*AV46*I46),2)*BB46),2)+ROUND((ROUND(((AE46-(EU46))*AV46*I46),2)*BS46),2))</f>
        <v>0</v>
      </c>
      <c r="R46" s="2">
        <f>(ROUND((ROUND(((EU46)*AV46*I46),2)*BS46),2)+ROUND((ROUND(((AE46-(EU46))*AV46*I46),2)*BS46),2))</f>
        <v>0</v>
      </c>
      <c r="S46" s="2">
        <f t="shared" si="22"/>
        <v>0</v>
      </c>
      <c r="T46" s="2">
        <f t="shared" si="23"/>
        <v>0</v>
      </c>
      <c r="U46" s="2">
        <f t="shared" si="24"/>
        <v>0</v>
      </c>
      <c r="V46" s="2">
        <f t="shared" si="25"/>
        <v>0</v>
      </c>
      <c r="W46" s="2">
        <f t="shared" si="26"/>
        <v>0</v>
      </c>
      <c r="X46" s="2">
        <f>(ROUND((((S46+ROUND((ROUND(((EU46)*AV46*I46),2)*BS46),2))*AT46)/100),2)+ROUND(((ROUND((ROUND(((AE46-(EU46))*AV46*I46),2)*BS46),2)*AT46)/100),2))</f>
        <v>0</v>
      </c>
      <c r="Y46" s="2">
        <f>(ROUND((((S46+ROUND((ROUND(((EU46)*AV46*I46),2)*BS46),2))*AU46)/100),2)+ROUND(((ROUND((ROUND(((AE46-(EU46))*AV46*I46),2)*BS46),2)*AU46)/100),2))</f>
        <v>0</v>
      </c>
      <c r="Z46" s="2"/>
      <c r="AA46" s="2">
        <v>60256985</v>
      </c>
      <c r="AB46" s="2">
        <f t="shared" si="27"/>
        <v>3.16</v>
      </c>
      <c r="AC46" s="2">
        <f t="shared" si="28"/>
        <v>3.16</v>
      </c>
      <c r="AD46" s="2">
        <f>ROUND((((ET46)-(EU46))+AE46),6)</f>
        <v>0</v>
      </c>
      <c r="AE46" s="2">
        <f t="shared" ref="AE46:AF49" si="47">ROUND((EU46),6)</f>
        <v>0</v>
      </c>
      <c r="AF46" s="2">
        <f t="shared" si="47"/>
        <v>0</v>
      </c>
      <c r="AG46" s="2">
        <f t="shared" si="29"/>
        <v>0</v>
      </c>
      <c r="AH46" s="2">
        <f t="shared" ref="AH46:AI49" si="48">(EW46)</f>
        <v>0</v>
      </c>
      <c r="AI46" s="2">
        <f t="shared" si="48"/>
        <v>0</v>
      </c>
      <c r="AJ46" s="2">
        <f t="shared" si="30"/>
        <v>0</v>
      </c>
      <c r="AK46" s="2">
        <v>3.16</v>
      </c>
      <c r="AL46" s="2">
        <v>3.16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97</v>
      </c>
      <c r="AU46" s="2">
        <v>51</v>
      </c>
      <c r="AV46" s="2">
        <v>1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3</v>
      </c>
      <c r="BI46" s="2">
        <v>2</v>
      </c>
      <c r="BJ46" s="2" t="s">
        <v>70</v>
      </c>
      <c r="BK46" s="2"/>
      <c r="BL46" s="2"/>
      <c r="BM46" s="2">
        <v>67</v>
      </c>
      <c r="BN46" s="2">
        <v>0</v>
      </c>
      <c r="BO46" s="2" t="s">
        <v>3</v>
      </c>
      <c r="BP46" s="2">
        <v>0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97</v>
      </c>
      <c r="CA46" s="2">
        <v>51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3</v>
      </c>
      <c r="CO46" s="2">
        <v>0</v>
      </c>
      <c r="CP46" s="2">
        <f t="shared" si="31"/>
        <v>22.12</v>
      </c>
      <c r="CQ46" s="2">
        <f t="shared" si="46"/>
        <v>3.16</v>
      </c>
      <c r="CR46" s="2">
        <f>(ROUND((ROUND(((ET46)*AV46*1),2)*BB46),2)+ROUND((ROUND(((AE46-(EU46))*AV46*1),2)*BS46),2))</f>
        <v>0</v>
      </c>
      <c r="CS46" s="2">
        <f>(ROUND((ROUND(((EU46)*AV46*1),2)*BS46),2)+ROUND((ROUND(((AE46-(EU46))*AV46*1),2)*BS46),2))</f>
        <v>0</v>
      </c>
      <c r="CT46" s="2">
        <f t="shared" si="32"/>
        <v>0</v>
      </c>
      <c r="CU46" s="2">
        <f t="shared" si="33"/>
        <v>0</v>
      </c>
      <c r="CV46" s="2">
        <f t="shared" si="34"/>
        <v>0</v>
      </c>
      <c r="CW46" s="2">
        <f t="shared" si="35"/>
        <v>0</v>
      </c>
      <c r="CX46" s="2">
        <f t="shared" si="36"/>
        <v>0</v>
      </c>
      <c r="CY46" s="2">
        <f>(ROUND((((S46+ROUND((ROUND(((EU46)*AV46*1),2)*BS46),2))*AT46)/100),2)+ROUND(((ROUND((ROUND(((AE46-(EU46))*AV46*1),2)*BS46),2)*AT46)/100),2))</f>
        <v>0</v>
      </c>
      <c r="CZ46" s="2">
        <f>(ROUND((((S46+ROUND((ROUND(((EU46)*AV46*1),2)*BS46),2))*AU46)/100),2)+ROUND(((ROUND((ROUND(((AE46-(EU46))*AV46*1),2)*BS46),2)*AU46)/100),2))</f>
        <v>0</v>
      </c>
      <c r="DA46" s="2"/>
      <c r="DB46" s="2"/>
      <c r="DC46" s="2" t="s">
        <v>3</v>
      </c>
      <c r="DD46" s="2" t="s">
        <v>3</v>
      </c>
      <c r="DE46" s="2" t="s">
        <v>3</v>
      </c>
      <c r="DF46" s="2" t="s">
        <v>3</v>
      </c>
      <c r="DG46" s="2" t="s">
        <v>3</v>
      </c>
      <c r="DH46" s="2" t="s">
        <v>3</v>
      </c>
      <c r="DI46" s="2" t="s">
        <v>3</v>
      </c>
      <c r="DJ46" s="2" t="s">
        <v>3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1010</v>
      </c>
      <c r="DV46" s="2" t="s">
        <v>31</v>
      </c>
      <c r="DW46" s="2" t="s">
        <v>31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60088531</v>
      </c>
      <c r="EF46" s="2">
        <v>40</v>
      </c>
      <c r="EG46" s="2" t="s">
        <v>24</v>
      </c>
      <c r="EH46" s="2">
        <v>0</v>
      </c>
      <c r="EI46" s="2" t="s">
        <v>3</v>
      </c>
      <c r="EJ46" s="2">
        <v>2</v>
      </c>
      <c r="EK46" s="2">
        <v>67</v>
      </c>
      <c r="EL46" s="2" t="s">
        <v>65</v>
      </c>
      <c r="EM46" s="2" t="s">
        <v>66</v>
      </c>
      <c r="EN46" s="2"/>
      <c r="EO46" s="2" t="s">
        <v>3</v>
      </c>
      <c r="EP46" s="2"/>
      <c r="EQ46" s="2">
        <v>0</v>
      </c>
      <c r="ER46" s="2">
        <v>3.16</v>
      </c>
      <c r="ES46" s="2">
        <v>3.16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97</v>
      </c>
      <c r="FY46" s="2">
        <v>51</v>
      </c>
      <c r="FZ46" s="2"/>
      <c r="GA46" s="2" t="s">
        <v>3</v>
      </c>
      <c r="GB46" s="2"/>
      <c r="GC46" s="2"/>
      <c r="GD46" s="2">
        <v>1</v>
      </c>
      <c r="GE46" s="2"/>
      <c r="GF46" s="2">
        <v>-651334041</v>
      </c>
      <c r="GG46" s="2">
        <v>2</v>
      </c>
      <c r="GH46" s="2">
        <v>1</v>
      </c>
      <c r="GI46" s="2">
        <v>-2</v>
      </c>
      <c r="GJ46" s="2">
        <v>0</v>
      </c>
      <c r="GK46" s="2">
        <v>0</v>
      </c>
      <c r="GL46" s="2">
        <f t="shared" si="37"/>
        <v>0</v>
      </c>
      <c r="GM46" s="2">
        <f t="shared" si="38"/>
        <v>22.12</v>
      </c>
      <c r="GN46" s="2">
        <f t="shared" si="39"/>
        <v>0</v>
      </c>
      <c r="GO46" s="2">
        <f t="shared" si="40"/>
        <v>22.12</v>
      </c>
      <c r="GP46" s="2">
        <f t="shared" si="41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42"/>
        <v>0</v>
      </c>
      <c r="GW46" s="2">
        <v>1</v>
      </c>
      <c r="GX46" s="2">
        <f t="shared" si="43"/>
        <v>0</v>
      </c>
      <c r="GY46" s="2"/>
      <c r="GZ46" s="2"/>
      <c r="HA46" s="2">
        <v>0</v>
      </c>
      <c r="HB46" s="2">
        <v>0</v>
      </c>
      <c r="HC46" s="2">
        <f t="shared" si="44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>
        <v>18</v>
      </c>
      <c r="B47">
        <v>1</v>
      </c>
      <c r="C47">
        <v>77</v>
      </c>
      <c r="E47" t="s">
        <v>67</v>
      </c>
      <c r="F47" t="s">
        <v>68</v>
      </c>
      <c r="G47" t="s">
        <v>69</v>
      </c>
      <c r="H47" t="s">
        <v>31</v>
      </c>
      <c r="I47">
        <f>I45*J47</f>
        <v>7</v>
      </c>
      <c r="J47">
        <v>99.999999999999986</v>
      </c>
      <c r="K47">
        <v>100</v>
      </c>
      <c r="O47">
        <f t="shared" si="21"/>
        <v>625.54999999999995</v>
      </c>
      <c r="P47">
        <f t="shared" si="45"/>
        <v>625.54999999999995</v>
      </c>
      <c r="Q47">
        <f>(ROUND((ROUND(((ET47)*AV47*I47),2)*BB47),2)+ROUND((ROUND(((AE47-(EU47))*AV47*I47),2)*BS47),2))</f>
        <v>0</v>
      </c>
      <c r="R47">
        <f>(ROUND((ROUND(((EU47)*AV47*I47),2)*BS47),2)+ROUND((ROUND(((AE47-(EU47))*AV47*I47),2)*BS47),2))</f>
        <v>0</v>
      </c>
      <c r="S47">
        <f t="shared" si="22"/>
        <v>0</v>
      </c>
      <c r="T47">
        <f t="shared" si="23"/>
        <v>0</v>
      </c>
      <c r="U47">
        <f t="shared" si="24"/>
        <v>0</v>
      </c>
      <c r="V47">
        <f t="shared" si="25"/>
        <v>0</v>
      </c>
      <c r="W47">
        <f t="shared" si="26"/>
        <v>0</v>
      </c>
      <c r="X47">
        <f>(ROUND((((S47+ROUND((ROUND(((EU47)*AV47*I47),2)*BS47),2))*AT47)/100),2)+ROUND(((ROUND((ROUND(((AE47-(EU47))*AV47*I47),2)*BS47),2)*AT47)/100),2))</f>
        <v>0</v>
      </c>
      <c r="Y47">
        <f>(ROUND((((S47+ROUND((ROUND(((EU47)*AV47*I47),2)*BS47),2))*AU47)/100),2)+ROUND(((ROUND((ROUND(((AE47-(EU47))*AV47*I47),2)*BS47),2)*AU47)/100),2))</f>
        <v>0</v>
      </c>
      <c r="AA47">
        <v>60256982</v>
      </c>
      <c r="AB47">
        <f t="shared" si="27"/>
        <v>3.16</v>
      </c>
      <c r="AC47">
        <f t="shared" si="28"/>
        <v>3.16</v>
      </c>
      <c r="AD47">
        <f>ROUND((((ET47)-(EU47))+AE47),6)</f>
        <v>0</v>
      </c>
      <c r="AE47">
        <f t="shared" si="47"/>
        <v>0</v>
      </c>
      <c r="AF47">
        <f t="shared" si="47"/>
        <v>0</v>
      </c>
      <c r="AG47">
        <f t="shared" si="29"/>
        <v>0</v>
      </c>
      <c r="AH47">
        <f t="shared" si="48"/>
        <v>0</v>
      </c>
      <c r="AI47">
        <f t="shared" si="48"/>
        <v>0</v>
      </c>
      <c r="AJ47">
        <f t="shared" si="30"/>
        <v>0</v>
      </c>
      <c r="AK47">
        <v>3.16</v>
      </c>
      <c r="AL47">
        <v>3.16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97</v>
      </c>
      <c r="AU47">
        <v>51</v>
      </c>
      <c r="AV47">
        <v>1</v>
      </c>
      <c r="AW47">
        <v>1</v>
      </c>
      <c r="AZ47">
        <v>1</v>
      </c>
      <c r="BA47">
        <v>1</v>
      </c>
      <c r="BB47">
        <v>1</v>
      </c>
      <c r="BC47">
        <v>28.28</v>
      </c>
      <c r="BD47" t="s">
        <v>3</v>
      </c>
      <c r="BE47" t="s">
        <v>3</v>
      </c>
      <c r="BF47" t="s">
        <v>3</v>
      </c>
      <c r="BG47" t="s">
        <v>3</v>
      </c>
      <c r="BH47">
        <v>3</v>
      </c>
      <c r="BI47">
        <v>2</v>
      </c>
      <c r="BJ47" t="s">
        <v>70</v>
      </c>
      <c r="BM47">
        <v>67</v>
      </c>
      <c r="BN47">
        <v>0</v>
      </c>
      <c r="BO47" t="s">
        <v>68</v>
      </c>
      <c r="BP47">
        <v>1</v>
      </c>
      <c r="BQ47">
        <v>40</v>
      </c>
      <c r="BR47">
        <v>0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 t="s">
        <v>3</v>
      </c>
      <c r="BZ47">
        <v>97</v>
      </c>
      <c r="CA47">
        <v>51</v>
      </c>
      <c r="CB47" t="s">
        <v>3</v>
      </c>
      <c r="CE47">
        <v>1566</v>
      </c>
      <c r="CF47">
        <v>0</v>
      </c>
      <c r="CG47">
        <v>0</v>
      </c>
      <c r="CM47">
        <v>0</v>
      </c>
      <c r="CN47" t="s">
        <v>3</v>
      </c>
      <c r="CO47">
        <v>0</v>
      </c>
      <c r="CP47">
        <f t="shared" si="31"/>
        <v>625.54999999999995</v>
      </c>
      <c r="CQ47">
        <f t="shared" si="46"/>
        <v>89.36</v>
      </c>
      <c r="CR47">
        <f>(ROUND((ROUND(((ET47)*AV47*1),2)*BB47),2)+ROUND((ROUND(((AE47-(EU47))*AV47*1),2)*BS47),2))</f>
        <v>0</v>
      </c>
      <c r="CS47">
        <f>(ROUND((ROUND(((EU47)*AV47*1),2)*BS47),2)+ROUND((ROUND(((AE47-(EU47))*AV47*1),2)*BS47),2))</f>
        <v>0</v>
      </c>
      <c r="CT47">
        <f t="shared" si="32"/>
        <v>0</v>
      </c>
      <c r="CU47">
        <f t="shared" si="33"/>
        <v>0</v>
      </c>
      <c r="CV47">
        <f t="shared" si="34"/>
        <v>0</v>
      </c>
      <c r="CW47">
        <f t="shared" si="35"/>
        <v>0</v>
      </c>
      <c r="CX47">
        <f t="shared" si="36"/>
        <v>0</v>
      </c>
      <c r="CY47">
        <f>(ROUND((((S47+ROUND((ROUND(((EU47)*AV47*1),2)*BS47),2))*AT47)/100),2)+ROUND(((ROUND((ROUND(((AE47-(EU47))*AV47*1),2)*BS47),2)*AT47)/100),2))</f>
        <v>0</v>
      </c>
      <c r="CZ47">
        <f>(ROUND((((S47+ROUND((ROUND(((EU47)*AV47*1),2)*BS47),2))*AU47)/100),2)+ROUND(((ROUND((ROUND(((AE47-(EU47))*AV47*1),2)*BS47),2)*AU47)/100),2))</f>
        <v>0</v>
      </c>
      <c r="DC47" t="s">
        <v>3</v>
      </c>
      <c r="DD47" t="s">
        <v>3</v>
      </c>
      <c r="DE47" t="s">
        <v>3</v>
      </c>
      <c r="DF47" t="s">
        <v>3</v>
      </c>
      <c r="DG47" t="s">
        <v>3</v>
      </c>
      <c r="DH47" t="s">
        <v>3</v>
      </c>
      <c r="DI47" t="s">
        <v>3</v>
      </c>
      <c r="DJ47" t="s">
        <v>3</v>
      </c>
      <c r="DK47" t="s">
        <v>3</v>
      </c>
      <c r="DL47" t="s">
        <v>3</v>
      </c>
      <c r="DM47" t="s">
        <v>3</v>
      </c>
      <c r="DN47">
        <v>0</v>
      </c>
      <c r="DO47">
        <v>0</v>
      </c>
      <c r="DP47">
        <v>1</v>
      </c>
      <c r="DQ47">
        <v>1</v>
      </c>
      <c r="DU47">
        <v>1010</v>
      </c>
      <c r="DV47" t="s">
        <v>31</v>
      </c>
      <c r="DW47" t="s">
        <v>31</v>
      </c>
      <c r="DX47">
        <v>1</v>
      </c>
      <c r="DZ47" t="s">
        <v>3</v>
      </c>
      <c r="EA47" t="s">
        <v>3</v>
      </c>
      <c r="EB47" t="s">
        <v>3</v>
      </c>
      <c r="EC47" t="s">
        <v>3</v>
      </c>
      <c r="EE47">
        <v>60088531</v>
      </c>
      <c r="EF47">
        <v>40</v>
      </c>
      <c r="EG47" t="s">
        <v>24</v>
      </c>
      <c r="EH47">
        <v>0</v>
      </c>
      <c r="EI47" t="s">
        <v>3</v>
      </c>
      <c r="EJ47">
        <v>2</v>
      </c>
      <c r="EK47">
        <v>67</v>
      </c>
      <c r="EL47" t="s">
        <v>65</v>
      </c>
      <c r="EM47" t="s">
        <v>66</v>
      </c>
      <c r="EO47" t="s">
        <v>3</v>
      </c>
      <c r="EQ47">
        <v>0</v>
      </c>
      <c r="ER47">
        <v>3.16</v>
      </c>
      <c r="ES47">
        <v>3.16</v>
      </c>
      <c r="ET47">
        <v>0</v>
      </c>
      <c r="EU47">
        <v>0</v>
      </c>
      <c r="EV47">
        <v>0</v>
      </c>
      <c r="EW47">
        <v>0</v>
      </c>
      <c r="EX47">
        <v>0</v>
      </c>
      <c r="FQ47">
        <v>0</v>
      </c>
      <c r="FR47">
        <v>0</v>
      </c>
      <c r="FS47">
        <v>0</v>
      </c>
      <c r="FX47">
        <v>97</v>
      </c>
      <c r="FY47">
        <v>51</v>
      </c>
      <c r="GA47" t="s">
        <v>3</v>
      </c>
      <c r="GD47">
        <v>1</v>
      </c>
      <c r="GF47">
        <v>-651334041</v>
      </c>
      <c r="GG47">
        <v>2</v>
      </c>
      <c r="GH47">
        <v>1</v>
      </c>
      <c r="GI47">
        <v>2</v>
      </c>
      <c r="GJ47">
        <v>0</v>
      </c>
      <c r="GK47">
        <v>0</v>
      </c>
      <c r="GL47">
        <f t="shared" si="37"/>
        <v>0</v>
      </c>
      <c r="GM47">
        <f t="shared" si="38"/>
        <v>625.54999999999995</v>
      </c>
      <c r="GN47">
        <f t="shared" si="39"/>
        <v>0</v>
      </c>
      <c r="GO47">
        <f t="shared" si="40"/>
        <v>625.54999999999995</v>
      </c>
      <c r="GP47">
        <f t="shared" si="41"/>
        <v>0</v>
      </c>
      <c r="GR47">
        <v>0</v>
      </c>
      <c r="GS47">
        <v>3</v>
      </c>
      <c r="GT47">
        <v>0</v>
      </c>
      <c r="GU47" t="s">
        <v>3</v>
      </c>
      <c r="GV47">
        <f t="shared" si="42"/>
        <v>0</v>
      </c>
      <c r="GW47">
        <v>1</v>
      </c>
      <c r="GX47">
        <f t="shared" si="43"/>
        <v>0</v>
      </c>
      <c r="HA47">
        <v>0</v>
      </c>
      <c r="HB47">
        <v>0</v>
      </c>
      <c r="HC47">
        <f t="shared" si="44"/>
        <v>0</v>
      </c>
      <c r="HE47" t="s">
        <v>3</v>
      </c>
      <c r="HF47" t="s">
        <v>3</v>
      </c>
      <c r="HM47" t="s">
        <v>3</v>
      </c>
      <c r="HN47" t="s">
        <v>3</v>
      </c>
      <c r="HO47" t="s">
        <v>3</v>
      </c>
      <c r="HP47" t="s">
        <v>3</v>
      </c>
      <c r="HQ47" t="s">
        <v>3</v>
      </c>
      <c r="HS47">
        <v>0</v>
      </c>
      <c r="IK47">
        <v>0</v>
      </c>
    </row>
    <row r="48" spans="1:255" x14ac:dyDescent="0.2">
      <c r="A48" s="2">
        <v>18</v>
      </c>
      <c r="B48" s="2">
        <v>1</v>
      </c>
      <c r="C48" s="2">
        <v>74</v>
      </c>
      <c r="D48" s="2"/>
      <c r="E48" s="2" t="s">
        <v>71</v>
      </c>
      <c r="F48" s="2" t="s">
        <v>72</v>
      </c>
      <c r="G48" s="2" t="s">
        <v>73</v>
      </c>
      <c r="H48" s="2" t="s">
        <v>74</v>
      </c>
      <c r="I48" s="2">
        <f>I44*J48</f>
        <v>7.0000000000000001E-3</v>
      </c>
      <c r="J48" s="2">
        <v>9.9999999999999992E-2</v>
      </c>
      <c r="K48" s="2">
        <v>0.1</v>
      </c>
      <c r="L48" s="2"/>
      <c r="M48" s="2"/>
      <c r="N48" s="2"/>
      <c r="O48" s="2">
        <f t="shared" si="21"/>
        <v>27.35</v>
      </c>
      <c r="P48" s="2">
        <f t="shared" si="45"/>
        <v>27.35</v>
      </c>
      <c r="Q48" s="2">
        <f>(ROUND((ROUND(((ET48)*AV48*I48),2)*BB48),2)+ROUND((ROUND(((AE48-(EU48))*AV48*I48),2)*BS48),2))</f>
        <v>0</v>
      </c>
      <c r="R48" s="2">
        <f>(ROUND((ROUND(((EU48)*AV48*I48),2)*BS48),2)+ROUND((ROUND(((AE48-(EU48))*AV48*I48),2)*BS48),2))</f>
        <v>0</v>
      </c>
      <c r="S48" s="2">
        <f t="shared" si="22"/>
        <v>0</v>
      </c>
      <c r="T48" s="2">
        <f t="shared" si="23"/>
        <v>0</v>
      </c>
      <c r="U48" s="2">
        <f t="shared" si="24"/>
        <v>0</v>
      </c>
      <c r="V48" s="2">
        <f t="shared" si="25"/>
        <v>0</v>
      </c>
      <c r="W48" s="2">
        <f t="shared" si="26"/>
        <v>0</v>
      </c>
      <c r="X48" s="2">
        <f>(ROUND((((S48+ROUND((ROUND(((EU48)*AV48*I48),2)*BS48),2))*AT48)/100),2)+ROUND(((ROUND((ROUND(((AE48-(EU48))*AV48*I48),2)*BS48),2)*AT48)/100),2))</f>
        <v>0</v>
      </c>
      <c r="Y48" s="2">
        <f>(ROUND((((S48+ROUND((ROUND(((EU48)*AV48*I48),2)*BS48),2))*AU48)/100),2)+ROUND(((ROUND((ROUND(((AE48-(EU48))*AV48*I48),2)*BS48),2)*AU48)/100),2))</f>
        <v>0</v>
      </c>
      <c r="Z48" s="2"/>
      <c r="AA48" s="2">
        <v>60256985</v>
      </c>
      <c r="AB48" s="2">
        <f t="shared" si="27"/>
        <v>3906.65</v>
      </c>
      <c r="AC48" s="2">
        <f t="shared" si="28"/>
        <v>3906.65</v>
      </c>
      <c r="AD48" s="2">
        <f>ROUND((((ET48)-(EU48))+AE48),6)</f>
        <v>0</v>
      </c>
      <c r="AE48" s="2">
        <f t="shared" si="47"/>
        <v>0</v>
      </c>
      <c r="AF48" s="2">
        <f t="shared" si="47"/>
        <v>0</v>
      </c>
      <c r="AG48" s="2">
        <f t="shared" si="29"/>
        <v>0</v>
      </c>
      <c r="AH48" s="2">
        <f t="shared" si="48"/>
        <v>0</v>
      </c>
      <c r="AI48" s="2">
        <f t="shared" si="48"/>
        <v>0</v>
      </c>
      <c r="AJ48" s="2">
        <f t="shared" si="30"/>
        <v>0</v>
      </c>
      <c r="AK48" s="2">
        <v>3906.65</v>
      </c>
      <c r="AL48" s="2">
        <v>3906.65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97</v>
      </c>
      <c r="AU48" s="2">
        <v>51</v>
      </c>
      <c r="AV48" s="2">
        <v>1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3</v>
      </c>
      <c r="BI48" s="2">
        <v>2</v>
      </c>
      <c r="BJ48" s="2" t="s">
        <v>75</v>
      </c>
      <c r="BK48" s="2"/>
      <c r="BL48" s="2"/>
      <c r="BM48" s="2">
        <v>67</v>
      </c>
      <c r="BN48" s="2">
        <v>0</v>
      </c>
      <c r="BO48" s="2" t="s">
        <v>3</v>
      </c>
      <c r="BP48" s="2">
        <v>0</v>
      </c>
      <c r="BQ48" s="2">
        <v>40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97</v>
      </c>
      <c r="CA48" s="2">
        <v>51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3</v>
      </c>
      <c r="CO48" s="2">
        <v>0</v>
      </c>
      <c r="CP48" s="2">
        <f t="shared" si="31"/>
        <v>27.35</v>
      </c>
      <c r="CQ48" s="2">
        <f t="shared" si="46"/>
        <v>3906.65</v>
      </c>
      <c r="CR48" s="2">
        <f>(ROUND((ROUND(((ET48)*AV48*1),2)*BB48),2)+ROUND((ROUND(((AE48-(EU48))*AV48*1),2)*BS48),2))</f>
        <v>0</v>
      </c>
      <c r="CS48" s="2">
        <f>(ROUND((ROUND(((EU48)*AV48*1),2)*BS48),2)+ROUND((ROUND(((AE48-(EU48))*AV48*1),2)*BS48),2))</f>
        <v>0</v>
      </c>
      <c r="CT48" s="2">
        <f t="shared" si="32"/>
        <v>0</v>
      </c>
      <c r="CU48" s="2">
        <f t="shared" si="33"/>
        <v>0</v>
      </c>
      <c r="CV48" s="2">
        <f t="shared" si="34"/>
        <v>0</v>
      </c>
      <c r="CW48" s="2">
        <f t="shared" si="35"/>
        <v>0</v>
      </c>
      <c r="CX48" s="2">
        <f t="shared" si="36"/>
        <v>0</v>
      </c>
      <c r="CY48" s="2">
        <f>(ROUND((((S48+ROUND((ROUND(((EU48)*AV48*1),2)*BS48),2))*AT48)/100),2)+ROUND(((ROUND((ROUND(((AE48-(EU48))*AV48*1),2)*BS48),2)*AT48)/100),2))</f>
        <v>0</v>
      </c>
      <c r="CZ48" s="2">
        <f>(ROUND((((S48+ROUND((ROUND(((EU48)*AV48*1),2)*BS48),2))*AU48)/100),2)+ROUND(((ROUND((ROUND(((AE48-(EU48))*AV48*1),2)*BS48),2)*AU48)/100),2))</f>
        <v>0</v>
      </c>
      <c r="DA48" s="2"/>
      <c r="DB48" s="2"/>
      <c r="DC48" s="2" t="s">
        <v>3</v>
      </c>
      <c r="DD48" s="2" t="s">
        <v>3</v>
      </c>
      <c r="DE48" s="2" t="s">
        <v>3</v>
      </c>
      <c r="DF48" s="2" t="s">
        <v>3</v>
      </c>
      <c r="DG48" s="2" t="s">
        <v>3</v>
      </c>
      <c r="DH48" s="2" t="s">
        <v>3</v>
      </c>
      <c r="DI48" s="2" t="s">
        <v>3</v>
      </c>
      <c r="DJ48" s="2" t="s">
        <v>3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1010</v>
      </c>
      <c r="DV48" s="2" t="s">
        <v>74</v>
      </c>
      <c r="DW48" s="2" t="s">
        <v>74</v>
      </c>
      <c r="DX48" s="2">
        <v>1000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60088531</v>
      </c>
      <c r="EF48" s="2">
        <v>40</v>
      </c>
      <c r="EG48" s="2" t="s">
        <v>24</v>
      </c>
      <c r="EH48" s="2">
        <v>0</v>
      </c>
      <c r="EI48" s="2" t="s">
        <v>3</v>
      </c>
      <c r="EJ48" s="2">
        <v>2</v>
      </c>
      <c r="EK48" s="2">
        <v>67</v>
      </c>
      <c r="EL48" s="2" t="s">
        <v>65</v>
      </c>
      <c r="EM48" s="2" t="s">
        <v>66</v>
      </c>
      <c r="EN48" s="2"/>
      <c r="EO48" s="2" t="s">
        <v>3</v>
      </c>
      <c r="EP48" s="2"/>
      <c r="EQ48" s="2">
        <v>0</v>
      </c>
      <c r="ER48" s="2">
        <v>3906.65</v>
      </c>
      <c r="ES48" s="2">
        <v>3906.65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97</v>
      </c>
      <c r="FY48" s="2">
        <v>51</v>
      </c>
      <c r="FZ48" s="2"/>
      <c r="GA48" s="2" t="s">
        <v>3</v>
      </c>
      <c r="GB48" s="2"/>
      <c r="GC48" s="2"/>
      <c r="GD48" s="2">
        <v>1</v>
      </c>
      <c r="GE48" s="2"/>
      <c r="GF48" s="2">
        <v>-436372382</v>
      </c>
      <c r="GG48" s="2">
        <v>2</v>
      </c>
      <c r="GH48" s="2">
        <v>1</v>
      </c>
      <c r="GI48" s="2">
        <v>-2</v>
      </c>
      <c r="GJ48" s="2">
        <v>0</v>
      </c>
      <c r="GK48" s="2">
        <v>0</v>
      </c>
      <c r="GL48" s="2">
        <f t="shared" si="37"/>
        <v>0</v>
      </c>
      <c r="GM48" s="2">
        <f t="shared" si="38"/>
        <v>27.35</v>
      </c>
      <c r="GN48" s="2">
        <f t="shared" si="39"/>
        <v>0</v>
      </c>
      <c r="GO48" s="2">
        <f t="shared" si="40"/>
        <v>27.35</v>
      </c>
      <c r="GP48" s="2">
        <f t="shared" si="41"/>
        <v>0</v>
      </c>
      <c r="GQ48" s="2"/>
      <c r="GR48" s="2">
        <v>0</v>
      </c>
      <c r="GS48" s="2">
        <v>3</v>
      </c>
      <c r="GT48" s="2">
        <v>0</v>
      </c>
      <c r="GU48" s="2" t="s">
        <v>3</v>
      </c>
      <c r="GV48" s="2">
        <f t="shared" si="42"/>
        <v>0</v>
      </c>
      <c r="GW48" s="2">
        <v>1</v>
      </c>
      <c r="GX48" s="2">
        <f t="shared" si="43"/>
        <v>0</v>
      </c>
      <c r="GY48" s="2"/>
      <c r="GZ48" s="2"/>
      <c r="HA48" s="2">
        <v>0</v>
      </c>
      <c r="HB48" s="2">
        <v>0</v>
      </c>
      <c r="HC48" s="2">
        <f t="shared" si="44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45" x14ac:dyDescent="0.2">
      <c r="A49">
        <v>18</v>
      </c>
      <c r="B49">
        <v>1</v>
      </c>
      <c r="C49">
        <v>78</v>
      </c>
      <c r="E49" t="s">
        <v>71</v>
      </c>
      <c r="F49" t="s">
        <v>72</v>
      </c>
      <c r="G49" t="s">
        <v>73</v>
      </c>
      <c r="H49" t="s">
        <v>74</v>
      </c>
      <c r="I49">
        <f>I45*J49</f>
        <v>7.0000000000000001E-3</v>
      </c>
      <c r="J49">
        <v>9.9999999999999992E-2</v>
      </c>
      <c r="K49">
        <v>0.1</v>
      </c>
      <c r="O49">
        <f t="shared" si="21"/>
        <v>369.77</v>
      </c>
      <c r="P49">
        <f t="shared" si="45"/>
        <v>369.77</v>
      </c>
      <c r="Q49">
        <f>(ROUND((ROUND(((ET49)*AV49*I49),2)*BB49),2)+ROUND((ROUND(((AE49-(EU49))*AV49*I49),2)*BS49),2))</f>
        <v>0</v>
      </c>
      <c r="R49">
        <f>(ROUND((ROUND(((EU49)*AV49*I49),2)*BS49),2)+ROUND((ROUND(((AE49-(EU49))*AV49*I49),2)*BS49),2))</f>
        <v>0</v>
      </c>
      <c r="S49">
        <f t="shared" si="22"/>
        <v>0</v>
      </c>
      <c r="T49">
        <f t="shared" si="23"/>
        <v>0</v>
      </c>
      <c r="U49">
        <f t="shared" si="24"/>
        <v>0</v>
      </c>
      <c r="V49">
        <f t="shared" si="25"/>
        <v>0</v>
      </c>
      <c r="W49">
        <f t="shared" si="26"/>
        <v>0</v>
      </c>
      <c r="X49">
        <f>(ROUND((((S49+ROUND((ROUND(((EU49)*AV49*I49),2)*BS49),2))*AT49)/100),2)+ROUND(((ROUND((ROUND(((AE49-(EU49))*AV49*I49),2)*BS49),2)*AT49)/100),2))</f>
        <v>0</v>
      </c>
      <c r="Y49">
        <f>(ROUND((((S49+ROUND((ROUND(((EU49)*AV49*I49),2)*BS49),2))*AU49)/100),2)+ROUND(((ROUND((ROUND(((AE49-(EU49))*AV49*I49),2)*BS49),2)*AU49)/100),2))</f>
        <v>0</v>
      </c>
      <c r="AA49">
        <v>60256982</v>
      </c>
      <c r="AB49">
        <f t="shared" si="27"/>
        <v>3906.65</v>
      </c>
      <c r="AC49">
        <f t="shared" si="28"/>
        <v>3906.65</v>
      </c>
      <c r="AD49">
        <f>ROUND((((ET49)-(EU49))+AE49),6)</f>
        <v>0</v>
      </c>
      <c r="AE49">
        <f t="shared" si="47"/>
        <v>0</v>
      </c>
      <c r="AF49">
        <f t="shared" si="47"/>
        <v>0</v>
      </c>
      <c r="AG49">
        <f t="shared" si="29"/>
        <v>0</v>
      </c>
      <c r="AH49">
        <f t="shared" si="48"/>
        <v>0</v>
      </c>
      <c r="AI49">
        <f t="shared" si="48"/>
        <v>0</v>
      </c>
      <c r="AJ49">
        <f t="shared" si="30"/>
        <v>0</v>
      </c>
      <c r="AK49">
        <v>3906.65</v>
      </c>
      <c r="AL49">
        <v>3906.65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97</v>
      </c>
      <c r="AU49">
        <v>51</v>
      </c>
      <c r="AV49">
        <v>1</v>
      </c>
      <c r="AW49">
        <v>1</v>
      </c>
      <c r="AZ49">
        <v>1</v>
      </c>
      <c r="BA49">
        <v>1</v>
      </c>
      <c r="BB49">
        <v>1</v>
      </c>
      <c r="BC49">
        <v>13.52</v>
      </c>
      <c r="BD49" t="s">
        <v>3</v>
      </c>
      <c r="BE49" t="s">
        <v>3</v>
      </c>
      <c r="BF49" t="s">
        <v>3</v>
      </c>
      <c r="BG49" t="s">
        <v>3</v>
      </c>
      <c r="BH49">
        <v>3</v>
      </c>
      <c r="BI49">
        <v>2</v>
      </c>
      <c r="BJ49" t="s">
        <v>75</v>
      </c>
      <c r="BM49">
        <v>67</v>
      </c>
      <c r="BN49">
        <v>0</v>
      </c>
      <c r="BO49" t="s">
        <v>72</v>
      </c>
      <c r="BP49">
        <v>1</v>
      </c>
      <c r="BQ49">
        <v>40</v>
      </c>
      <c r="BR49">
        <v>0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 t="s">
        <v>3</v>
      </c>
      <c r="BZ49">
        <v>97</v>
      </c>
      <c r="CA49">
        <v>51</v>
      </c>
      <c r="CB49" t="s">
        <v>3</v>
      </c>
      <c r="CE49">
        <v>1566</v>
      </c>
      <c r="CF49">
        <v>0</v>
      </c>
      <c r="CG49">
        <v>0</v>
      </c>
      <c r="CM49">
        <v>0</v>
      </c>
      <c r="CN49" t="s">
        <v>3</v>
      </c>
      <c r="CO49">
        <v>0</v>
      </c>
      <c r="CP49">
        <f t="shared" si="31"/>
        <v>369.77</v>
      </c>
      <c r="CQ49">
        <f t="shared" si="46"/>
        <v>52817.91</v>
      </c>
      <c r="CR49">
        <f>(ROUND((ROUND(((ET49)*AV49*1),2)*BB49),2)+ROUND((ROUND(((AE49-(EU49))*AV49*1),2)*BS49),2))</f>
        <v>0</v>
      </c>
      <c r="CS49">
        <f>(ROUND((ROUND(((EU49)*AV49*1),2)*BS49),2)+ROUND((ROUND(((AE49-(EU49))*AV49*1),2)*BS49),2))</f>
        <v>0</v>
      </c>
      <c r="CT49">
        <f t="shared" si="32"/>
        <v>0</v>
      </c>
      <c r="CU49">
        <f t="shared" si="33"/>
        <v>0</v>
      </c>
      <c r="CV49">
        <f t="shared" si="34"/>
        <v>0</v>
      </c>
      <c r="CW49">
        <f t="shared" si="35"/>
        <v>0</v>
      </c>
      <c r="CX49">
        <f t="shared" si="36"/>
        <v>0</v>
      </c>
      <c r="CY49">
        <f>(ROUND((((S49+ROUND((ROUND(((EU49)*AV49*1),2)*BS49),2))*AT49)/100),2)+ROUND(((ROUND((ROUND(((AE49-(EU49))*AV49*1),2)*BS49),2)*AT49)/100),2))</f>
        <v>0</v>
      </c>
      <c r="CZ49">
        <f>(ROUND((((S49+ROUND((ROUND(((EU49)*AV49*1),2)*BS49),2))*AU49)/100),2)+ROUND(((ROUND((ROUND(((AE49-(EU49))*AV49*1),2)*BS49),2)*AU49)/100),2))</f>
        <v>0</v>
      </c>
      <c r="DC49" t="s">
        <v>3</v>
      </c>
      <c r="DD49" t="s">
        <v>3</v>
      </c>
      <c r="DE49" t="s">
        <v>3</v>
      </c>
      <c r="DF49" t="s">
        <v>3</v>
      </c>
      <c r="DG49" t="s">
        <v>3</v>
      </c>
      <c r="DH49" t="s">
        <v>3</v>
      </c>
      <c r="DI49" t="s">
        <v>3</v>
      </c>
      <c r="DJ49" t="s">
        <v>3</v>
      </c>
      <c r="DK49" t="s">
        <v>3</v>
      </c>
      <c r="DL49" t="s">
        <v>3</v>
      </c>
      <c r="DM49" t="s">
        <v>3</v>
      </c>
      <c r="DN49">
        <v>0</v>
      </c>
      <c r="DO49">
        <v>0</v>
      </c>
      <c r="DP49">
        <v>1</v>
      </c>
      <c r="DQ49">
        <v>1</v>
      </c>
      <c r="DU49">
        <v>1010</v>
      </c>
      <c r="DV49" t="s">
        <v>74</v>
      </c>
      <c r="DW49" t="s">
        <v>74</v>
      </c>
      <c r="DX49">
        <v>1000</v>
      </c>
      <c r="DZ49" t="s">
        <v>3</v>
      </c>
      <c r="EA49" t="s">
        <v>3</v>
      </c>
      <c r="EB49" t="s">
        <v>3</v>
      </c>
      <c r="EC49" t="s">
        <v>3</v>
      </c>
      <c r="EE49">
        <v>60088531</v>
      </c>
      <c r="EF49">
        <v>40</v>
      </c>
      <c r="EG49" t="s">
        <v>24</v>
      </c>
      <c r="EH49">
        <v>0</v>
      </c>
      <c r="EI49" t="s">
        <v>3</v>
      </c>
      <c r="EJ49">
        <v>2</v>
      </c>
      <c r="EK49">
        <v>67</v>
      </c>
      <c r="EL49" t="s">
        <v>65</v>
      </c>
      <c r="EM49" t="s">
        <v>66</v>
      </c>
      <c r="EO49" t="s">
        <v>3</v>
      </c>
      <c r="EQ49">
        <v>0</v>
      </c>
      <c r="ER49">
        <v>3906.65</v>
      </c>
      <c r="ES49">
        <v>3906.65</v>
      </c>
      <c r="ET49">
        <v>0</v>
      </c>
      <c r="EU49">
        <v>0</v>
      </c>
      <c r="EV49">
        <v>0</v>
      </c>
      <c r="EW49">
        <v>0</v>
      </c>
      <c r="EX49">
        <v>0</v>
      </c>
      <c r="FQ49">
        <v>0</v>
      </c>
      <c r="FR49">
        <v>0</v>
      </c>
      <c r="FS49">
        <v>0</v>
      </c>
      <c r="FX49">
        <v>97</v>
      </c>
      <c r="FY49">
        <v>51</v>
      </c>
      <c r="GA49" t="s">
        <v>3</v>
      </c>
      <c r="GD49">
        <v>1</v>
      </c>
      <c r="GF49">
        <v>-436372382</v>
      </c>
      <c r="GG49">
        <v>2</v>
      </c>
      <c r="GH49">
        <v>1</v>
      </c>
      <c r="GI49">
        <v>2</v>
      </c>
      <c r="GJ49">
        <v>0</v>
      </c>
      <c r="GK49">
        <v>0</v>
      </c>
      <c r="GL49">
        <f t="shared" si="37"/>
        <v>0</v>
      </c>
      <c r="GM49">
        <f t="shared" si="38"/>
        <v>369.77</v>
      </c>
      <c r="GN49">
        <f t="shared" si="39"/>
        <v>0</v>
      </c>
      <c r="GO49">
        <f t="shared" si="40"/>
        <v>369.77</v>
      </c>
      <c r="GP49">
        <f t="shared" si="41"/>
        <v>0</v>
      </c>
      <c r="GR49">
        <v>0</v>
      </c>
      <c r="GS49">
        <v>3</v>
      </c>
      <c r="GT49">
        <v>0</v>
      </c>
      <c r="GU49" t="s">
        <v>3</v>
      </c>
      <c r="GV49">
        <f t="shared" si="42"/>
        <v>0</v>
      </c>
      <c r="GW49">
        <v>1</v>
      </c>
      <c r="GX49">
        <f t="shared" si="43"/>
        <v>0</v>
      </c>
      <c r="HA49">
        <v>0</v>
      </c>
      <c r="HB49">
        <v>0</v>
      </c>
      <c r="HC49">
        <f t="shared" si="44"/>
        <v>0</v>
      </c>
      <c r="HE49" t="s">
        <v>3</v>
      </c>
      <c r="HF49" t="s">
        <v>3</v>
      </c>
      <c r="HM49" t="s">
        <v>3</v>
      </c>
      <c r="HN49" t="s">
        <v>3</v>
      </c>
      <c r="HO49" t="s">
        <v>3</v>
      </c>
      <c r="HP49" t="s">
        <v>3</v>
      </c>
      <c r="HQ49" t="s">
        <v>3</v>
      </c>
      <c r="HS49">
        <v>0</v>
      </c>
      <c r="IK49">
        <v>0</v>
      </c>
    </row>
    <row r="51" spans="1:245" x14ac:dyDescent="0.2">
      <c r="A51" s="3">
        <v>51</v>
      </c>
      <c r="B51" s="3">
        <f>B24</f>
        <v>1</v>
      </c>
      <c r="C51" s="3">
        <f>A24</f>
        <v>4</v>
      </c>
      <c r="D51" s="3">
        <f>ROW(A24)</f>
        <v>24</v>
      </c>
      <c r="E51" s="3"/>
      <c r="F51" s="3" t="str">
        <f>IF(F24&lt;&gt;"",F24,"")</f>
        <v/>
      </c>
      <c r="G51" s="3" t="str">
        <f>IF(G24&lt;&gt;"",G24,"")</f>
        <v>Оборудование</v>
      </c>
      <c r="H51" s="3">
        <v>0</v>
      </c>
      <c r="I51" s="3"/>
      <c r="J51" s="3"/>
      <c r="K51" s="3"/>
      <c r="L51" s="3"/>
      <c r="M51" s="3"/>
      <c r="N51" s="3"/>
      <c r="O51" s="3">
        <f t="shared" ref="O51:T51" si="49">ROUND(AB51,2)</f>
        <v>175166.44</v>
      </c>
      <c r="P51" s="3">
        <f t="shared" si="49"/>
        <v>174472.47</v>
      </c>
      <c r="Q51" s="3">
        <f t="shared" si="49"/>
        <v>10.49</v>
      </c>
      <c r="R51" s="3">
        <f t="shared" si="49"/>
        <v>0.98</v>
      </c>
      <c r="S51" s="3">
        <f t="shared" si="49"/>
        <v>683.48</v>
      </c>
      <c r="T51" s="3">
        <f t="shared" si="49"/>
        <v>0</v>
      </c>
      <c r="U51" s="3">
        <f>AH51</f>
        <v>52.573722960000005</v>
      </c>
      <c r="V51" s="3">
        <f>AI51</f>
        <v>0</v>
      </c>
      <c r="W51" s="3">
        <f>ROUND(AJ51,2)</f>
        <v>0</v>
      </c>
      <c r="X51" s="3">
        <f>ROUND(AK51,2)</f>
        <v>642.97</v>
      </c>
      <c r="Y51" s="3">
        <f>ROUND(AL51,2)</f>
        <v>351.77</v>
      </c>
      <c r="Z51" s="3"/>
      <c r="AA51" s="3"/>
      <c r="AB51" s="3">
        <f>ROUND(SUMIF(AA28:AA49,"=60256985",O28:O49),2)</f>
        <v>175166.44</v>
      </c>
      <c r="AC51" s="3">
        <f>ROUND(SUMIF(AA28:AA49,"=60256985",P28:P49),2)</f>
        <v>174472.47</v>
      </c>
      <c r="AD51" s="3">
        <f>ROUND(SUMIF(AA28:AA49,"=60256985",Q28:Q49),2)</f>
        <v>10.49</v>
      </c>
      <c r="AE51" s="3">
        <f>ROUND(SUMIF(AA28:AA49,"=60256985",R28:R49),2)</f>
        <v>0.98</v>
      </c>
      <c r="AF51" s="3">
        <f>ROUND(SUMIF(AA28:AA49,"=60256985",S28:S49),2)</f>
        <v>683.48</v>
      </c>
      <c r="AG51" s="3">
        <f>ROUND(SUMIF(AA28:AA49,"=60256985",T28:T49),2)</f>
        <v>0</v>
      </c>
      <c r="AH51" s="3">
        <f>SUMIF(AA28:AA49,"=60256985",U28:U49)</f>
        <v>52.573722960000005</v>
      </c>
      <c r="AI51" s="3">
        <f>SUMIF(AA28:AA49,"=60256985",V28:V49)</f>
        <v>0</v>
      </c>
      <c r="AJ51" s="3">
        <f>ROUND(SUMIF(AA28:AA49,"=60256985",W28:W49),2)</f>
        <v>0</v>
      </c>
      <c r="AK51" s="3">
        <f>ROUND(SUMIF(AA28:AA49,"=60256985",X28:X49),2)</f>
        <v>642.97</v>
      </c>
      <c r="AL51" s="3">
        <f>ROUND(SUMIF(AA28:AA49,"=60256985",Y28:Y49),2)</f>
        <v>351.77</v>
      </c>
      <c r="AM51" s="3"/>
      <c r="AN51" s="3"/>
      <c r="AO51" s="3">
        <f t="shared" ref="AO51:BD51" si="50">ROUND(BX51,2)</f>
        <v>0</v>
      </c>
      <c r="AP51" s="3">
        <f t="shared" si="50"/>
        <v>174167.53</v>
      </c>
      <c r="AQ51" s="3">
        <f t="shared" si="50"/>
        <v>0</v>
      </c>
      <c r="AR51" s="3">
        <f t="shared" si="50"/>
        <v>176161.18</v>
      </c>
      <c r="AS51" s="3">
        <f t="shared" si="50"/>
        <v>0</v>
      </c>
      <c r="AT51" s="3">
        <f t="shared" si="50"/>
        <v>1993.65</v>
      </c>
      <c r="AU51" s="3">
        <f t="shared" si="50"/>
        <v>0</v>
      </c>
      <c r="AV51" s="3">
        <f t="shared" si="50"/>
        <v>174472.47</v>
      </c>
      <c r="AW51" s="3">
        <f t="shared" si="50"/>
        <v>304.94</v>
      </c>
      <c r="AX51" s="3">
        <f t="shared" si="50"/>
        <v>0</v>
      </c>
      <c r="AY51" s="3">
        <f t="shared" si="50"/>
        <v>304.94</v>
      </c>
      <c r="AZ51" s="3">
        <f t="shared" si="50"/>
        <v>174167.53</v>
      </c>
      <c r="BA51" s="3">
        <f t="shared" si="50"/>
        <v>0</v>
      </c>
      <c r="BB51" s="3">
        <f t="shared" si="50"/>
        <v>0</v>
      </c>
      <c r="BC51" s="3">
        <f t="shared" si="50"/>
        <v>0</v>
      </c>
      <c r="BD51" s="3">
        <f t="shared" si="50"/>
        <v>0</v>
      </c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>
        <f>ROUND(SUMIF(AA28:AA49,"=60256985",FQ28:FQ49),2)</f>
        <v>0</v>
      </c>
      <c r="BY51" s="3">
        <f>ROUND(SUMIF(AA28:AA49,"=60256985",FR28:FR49),2)</f>
        <v>174167.53</v>
      </c>
      <c r="BZ51" s="3">
        <f>ROUND(SUMIF(AA28:AA49,"=60256985",GL28:GL49),2)</f>
        <v>0</v>
      </c>
      <c r="CA51" s="3">
        <f>ROUND(SUMIF(AA28:AA49,"=60256985",GM28:GM49),2)</f>
        <v>176161.18</v>
      </c>
      <c r="CB51" s="3">
        <f>ROUND(SUMIF(AA28:AA49,"=60256985",GN28:GN49),2)</f>
        <v>0</v>
      </c>
      <c r="CC51" s="3">
        <f>ROUND(SUMIF(AA28:AA49,"=60256985",GO28:GO49),2)</f>
        <v>1993.65</v>
      </c>
      <c r="CD51" s="3">
        <f>ROUND(SUMIF(AA28:AA49,"=60256985",GP28:GP49),2)</f>
        <v>0</v>
      </c>
      <c r="CE51" s="3">
        <f>AC51-BX51</f>
        <v>174472.47</v>
      </c>
      <c r="CF51" s="3">
        <f>AC51-BY51</f>
        <v>304.94000000000233</v>
      </c>
      <c r="CG51" s="3">
        <f>BX51-BZ51</f>
        <v>0</v>
      </c>
      <c r="CH51" s="3">
        <f>AC51-BX51-BY51+BZ51</f>
        <v>304.94000000000233</v>
      </c>
      <c r="CI51" s="3">
        <f>BY51-BZ51</f>
        <v>174167.53</v>
      </c>
      <c r="CJ51" s="3">
        <f>ROUND(SUMIF(AA28:AA49,"=60256985",GX28:GX49),2)</f>
        <v>0</v>
      </c>
      <c r="CK51" s="3">
        <f>ROUND(SUMIF(AA28:AA49,"=60256985",GY28:GY49),2)</f>
        <v>0</v>
      </c>
      <c r="CL51" s="3">
        <f>ROUND(SUMIF(AA28:AA49,"=60256985",GZ28:GZ49),2)</f>
        <v>0</v>
      </c>
      <c r="CM51" s="3">
        <f>ROUND(SUMIF(AA28:AA49,"=60256985",HD28:HD49),2)</f>
        <v>0</v>
      </c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4">
        <f t="shared" ref="DG51:DL51" si="51">ROUND(DT51,2)</f>
        <v>1374458.71</v>
      </c>
      <c r="DH51" s="4">
        <f t="shared" si="51"/>
        <v>1336724.93</v>
      </c>
      <c r="DI51" s="4">
        <f t="shared" si="51"/>
        <v>149.21</v>
      </c>
      <c r="DJ51" s="4">
        <f t="shared" si="51"/>
        <v>53.9</v>
      </c>
      <c r="DK51" s="4">
        <f t="shared" si="51"/>
        <v>37584.57</v>
      </c>
      <c r="DL51" s="4">
        <f t="shared" si="51"/>
        <v>0</v>
      </c>
      <c r="DM51" s="4">
        <f>DZ51</f>
        <v>52.573722960000005</v>
      </c>
      <c r="DN51" s="4">
        <f>EA51</f>
        <v>0</v>
      </c>
      <c r="DO51" s="4">
        <f>ROUND(EB51,2)</f>
        <v>0</v>
      </c>
      <c r="DP51" s="4">
        <f>ROUND(EC51,2)</f>
        <v>35357.01</v>
      </c>
      <c r="DQ51" s="4">
        <f>ROUND(ED51,2)</f>
        <v>19344.169999999998</v>
      </c>
      <c r="DR51" s="4"/>
      <c r="DS51" s="4"/>
      <c r="DT51" s="4">
        <f>ROUND(SUMIF(AA28:AA49,"=60256982",O28:O49),2)</f>
        <v>1374458.71</v>
      </c>
      <c r="DU51" s="4">
        <f>ROUND(SUMIF(AA28:AA49,"=60256982",P28:P49),2)</f>
        <v>1336724.93</v>
      </c>
      <c r="DV51" s="4">
        <f>ROUND(SUMIF(AA28:AA49,"=60256982",Q28:Q49),2)</f>
        <v>149.21</v>
      </c>
      <c r="DW51" s="4">
        <f>ROUND(SUMIF(AA28:AA49,"=60256982",R28:R49),2)</f>
        <v>53.9</v>
      </c>
      <c r="DX51" s="4">
        <f>ROUND(SUMIF(AA28:AA49,"=60256982",S28:S49),2)</f>
        <v>37584.57</v>
      </c>
      <c r="DY51" s="4">
        <f>ROUND(SUMIF(AA28:AA49,"=60256982",T28:T49),2)</f>
        <v>0</v>
      </c>
      <c r="DZ51" s="4">
        <f>SUMIF(AA28:AA49,"=60256982",U28:U49)</f>
        <v>52.573722960000005</v>
      </c>
      <c r="EA51" s="4">
        <f>SUMIF(AA28:AA49,"=60256982",V28:V49)</f>
        <v>0</v>
      </c>
      <c r="EB51" s="4">
        <f>ROUND(SUMIF(AA28:AA49,"=60256982",W28:W49),2)</f>
        <v>0</v>
      </c>
      <c r="EC51" s="4">
        <f>ROUND(SUMIF(AA28:AA49,"=60256982",X28:X49),2)</f>
        <v>35357.01</v>
      </c>
      <c r="ED51" s="4">
        <f>ROUND(SUMIF(AA28:AA49,"=60256982",Y28:Y49),2)</f>
        <v>19344.169999999998</v>
      </c>
      <c r="EE51" s="4"/>
      <c r="EF51" s="4"/>
      <c r="EG51" s="4">
        <f t="shared" ref="EG51:EV51" si="52">ROUND(FP51,2)</f>
        <v>0</v>
      </c>
      <c r="EH51" s="4">
        <f t="shared" si="52"/>
        <v>1334123.28</v>
      </c>
      <c r="EI51" s="4">
        <f t="shared" si="52"/>
        <v>0</v>
      </c>
      <c r="EJ51" s="4">
        <f t="shared" si="52"/>
        <v>1429159.89</v>
      </c>
      <c r="EK51" s="4">
        <f t="shared" si="52"/>
        <v>0</v>
      </c>
      <c r="EL51" s="4">
        <f t="shared" si="52"/>
        <v>95036.61</v>
      </c>
      <c r="EM51" s="4">
        <f t="shared" si="52"/>
        <v>0</v>
      </c>
      <c r="EN51" s="4">
        <f t="shared" si="52"/>
        <v>1336724.93</v>
      </c>
      <c r="EO51" s="4">
        <f t="shared" si="52"/>
        <v>2601.65</v>
      </c>
      <c r="EP51" s="4">
        <f t="shared" si="52"/>
        <v>0</v>
      </c>
      <c r="EQ51" s="4">
        <f t="shared" si="52"/>
        <v>2601.65</v>
      </c>
      <c r="ER51" s="4">
        <f t="shared" si="52"/>
        <v>1334123.28</v>
      </c>
      <c r="ES51" s="4">
        <f t="shared" si="52"/>
        <v>0</v>
      </c>
      <c r="ET51" s="4">
        <f t="shared" si="52"/>
        <v>0</v>
      </c>
      <c r="EU51" s="4">
        <f t="shared" si="52"/>
        <v>0</v>
      </c>
      <c r="EV51" s="4">
        <f t="shared" si="52"/>
        <v>0</v>
      </c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>
        <f>ROUND(SUMIF(AA28:AA49,"=60256982",FQ28:FQ49),2)</f>
        <v>0</v>
      </c>
      <c r="FQ51" s="4">
        <f>ROUND(SUMIF(AA28:AA49,"=60256982",FR28:FR49),2)</f>
        <v>1334123.28</v>
      </c>
      <c r="FR51" s="4">
        <f>ROUND(SUMIF(AA28:AA49,"=60256982",GL28:GL49),2)</f>
        <v>0</v>
      </c>
      <c r="FS51" s="4">
        <f>ROUND(SUMIF(AA28:AA49,"=60256982",GM28:GM49),2)</f>
        <v>1429159.89</v>
      </c>
      <c r="FT51" s="4">
        <f>ROUND(SUMIF(AA28:AA49,"=60256982",GN28:GN49),2)</f>
        <v>0</v>
      </c>
      <c r="FU51" s="4">
        <f>ROUND(SUMIF(AA28:AA49,"=60256982",GO28:GO49),2)</f>
        <v>95036.61</v>
      </c>
      <c r="FV51" s="4">
        <f>ROUND(SUMIF(AA28:AA49,"=60256982",GP28:GP49),2)</f>
        <v>0</v>
      </c>
      <c r="FW51" s="4">
        <f>DU51-FP51</f>
        <v>1336724.93</v>
      </c>
      <c r="FX51" s="4">
        <f>DU51-FQ51</f>
        <v>2601.6499999999069</v>
      </c>
      <c r="FY51" s="4">
        <f>FP51-FR51</f>
        <v>0</v>
      </c>
      <c r="FZ51" s="4">
        <f>DU51-FP51-FQ51+FR51</f>
        <v>2601.6499999999069</v>
      </c>
      <c r="GA51" s="4">
        <f>FQ51-FR51</f>
        <v>1334123.28</v>
      </c>
      <c r="GB51" s="4">
        <f>ROUND(SUMIF(AA28:AA49,"=60256982",GX28:GX49),2)</f>
        <v>0</v>
      </c>
      <c r="GC51" s="4">
        <f>ROUND(SUMIF(AA28:AA49,"=60256982",GY28:GY49),2)</f>
        <v>0</v>
      </c>
      <c r="GD51" s="4">
        <f>ROUND(SUMIF(AA28:AA49,"=60256982",GZ28:GZ49),2)</f>
        <v>0</v>
      </c>
      <c r="GE51" s="4">
        <f>ROUND(SUMIF(AA28:AA49,"=60256982",HD28:HD49),2)</f>
        <v>0</v>
      </c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>
        <v>0</v>
      </c>
    </row>
    <row r="53" spans="1:245" x14ac:dyDescent="0.2">
      <c r="A53" s="5">
        <v>50</v>
      </c>
      <c r="B53" s="5">
        <v>0</v>
      </c>
      <c r="C53" s="5">
        <v>0</v>
      </c>
      <c r="D53" s="5">
        <v>1</v>
      </c>
      <c r="E53" s="5">
        <v>201</v>
      </c>
      <c r="F53" s="5">
        <f>ROUND(Source!O51,O53)</f>
        <v>175166.44</v>
      </c>
      <c r="G53" s="5" t="s">
        <v>76</v>
      </c>
      <c r="H53" s="5" t="s">
        <v>77</v>
      </c>
      <c r="I53" s="5"/>
      <c r="J53" s="5"/>
      <c r="K53" s="5">
        <v>201</v>
      </c>
      <c r="L53" s="5">
        <v>1</v>
      </c>
      <c r="M53" s="5">
        <v>3</v>
      </c>
      <c r="N53" s="5" t="s">
        <v>3</v>
      </c>
      <c r="O53" s="5">
        <v>2</v>
      </c>
      <c r="P53" s="5">
        <f>ROUND(Source!DG51,O53)</f>
        <v>1374458.71</v>
      </c>
      <c r="Q53" s="5"/>
      <c r="R53" s="5"/>
      <c r="S53" s="5"/>
      <c r="T53" s="5"/>
      <c r="U53" s="5"/>
      <c r="V53" s="5"/>
      <c r="W53" s="5">
        <v>175166.44</v>
      </c>
      <c r="X53" s="5">
        <v>1</v>
      </c>
      <c r="Y53" s="5">
        <v>175166.44</v>
      </c>
      <c r="Z53" s="5">
        <v>1374458.71</v>
      </c>
      <c r="AA53" s="5">
        <v>1</v>
      </c>
      <c r="AB53" s="5">
        <v>1374458.71</v>
      </c>
    </row>
    <row r="54" spans="1:245" x14ac:dyDescent="0.2">
      <c r="A54" s="5">
        <v>50</v>
      </c>
      <c r="B54" s="5">
        <v>0</v>
      </c>
      <c r="C54" s="5">
        <v>0</v>
      </c>
      <c r="D54" s="5">
        <v>1</v>
      </c>
      <c r="E54" s="5">
        <v>202</v>
      </c>
      <c r="F54" s="5">
        <f>ROUND(Source!P51,O54)</f>
        <v>174472.47</v>
      </c>
      <c r="G54" s="5" t="s">
        <v>78</v>
      </c>
      <c r="H54" s="5" t="s">
        <v>79</v>
      </c>
      <c r="I54" s="5"/>
      <c r="J54" s="5"/>
      <c r="K54" s="5">
        <v>202</v>
      </c>
      <c r="L54" s="5">
        <v>2</v>
      </c>
      <c r="M54" s="5">
        <v>3</v>
      </c>
      <c r="N54" s="5" t="s">
        <v>3</v>
      </c>
      <c r="O54" s="5">
        <v>2</v>
      </c>
      <c r="P54" s="5">
        <f>ROUND(Source!DH51,O54)</f>
        <v>1336724.93</v>
      </c>
      <c r="Q54" s="5"/>
      <c r="R54" s="5"/>
      <c r="S54" s="5"/>
      <c r="T54" s="5"/>
      <c r="U54" s="5"/>
      <c r="V54" s="5"/>
      <c r="W54" s="5">
        <v>174472.47</v>
      </c>
      <c r="X54" s="5">
        <v>1</v>
      </c>
      <c r="Y54" s="5">
        <v>174472.47</v>
      </c>
      <c r="Z54" s="5">
        <v>1336724.93</v>
      </c>
      <c r="AA54" s="5">
        <v>1</v>
      </c>
      <c r="AB54" s="5">
        <v>1336724.93</v>
      </c>
    </row>
    <row r="55" spans="1:245" x14ac:dyDescent="0.2">
      <c r="A55" s="5">
        <v>50</v>
      </c>
      <c r="B55" s="5">
        <v>0</v>
      </c>
      <c r="C55" s="5">
        <v>0</v>
      </c>
      <c r="D55" s="5">
        <v>1</v>
      </c>
      <c r="E55" s="5">
        <v>222</v>
      </c>
      <c r="F55" s="5">
        <f>ROUND(Source!AO51,O55)</f>
        <v>0</v>
      </c>
      <c r="G55" s="5" t="s">
        <v>80</v>
      </c>
      <c r="H55" s="5" t="s">
        <v>81</v>
      </c>
      <c r="I55" s="5"/>
      <c r="J55" s="5"/>
      <c r="K55" s="5">
        <v>222</v>
      </c>
      <c r="L55" s="5">
        <v>3</v>
      </c>
      <c r="M55" s="5">
        <v>3</v>
      </c>
      <c r="N55" s="5" t="s">
        <v>3</v>
      </c>
      <c r="O55" s="5">
        <v>2</v>
      </c>
      <c r="P55" s="5">
        <f>ROUND(Source!EG51,O55)</f>
        <v>0</v>
      </c>
      <c r="Q55" s="5"/>
      <c r="R55" s="5"/>
      <c r="S55" s="5"/>
      <c r="T55" s="5"/>
      <c r="U55" s="5"/>
      <c r="V55" s="5"/>
      <c r="W55" s="5">
        <v>0</v>
      </c>
      <c r="X55" s="5">
        <v>1</v>
      </c>
      <c r="Y55" s="5">
        <v>0</v>
      </c>
      <c r="Z55" s="5">
        <v>0</v>
      </c>
      <c r="AA55" s="5">
        <v>1</v>
      </c>
      <c r="AB55" s="5">
        <v>0</v>
      </c>
    </row>
    <row r="56" spans="1:245" x14ac:dyDescent="0.2">
      <c r="A56" s="5">
        <v>50</v>
      </c>
      <c r="B56" s="5">
        <v>0</v>
      </c>
      <c r="C56" s="5">
        <v>0</v>
      </c>
      <c r="D56" s="5">
        <v>1</v>
      </c>
      <c r="E56" s="5">
        <v>225</v>
      </c>
      <c r="F56" s="5">
        <f>ROUND(Source!AV51,O56)</f>
        <v>174472.47</v>
      </c>
      <c r="G56" s="5" t="s">
        <v>82</v>
      </c>
      <c r="H56" s="5" t="s">
        <v>83</v>
      </c>
      <c r="I56" s="5"/>
      <c r="J56" s="5"/>
      <c r="K56" s="5">
        <v>225</v>
      </c>
      <c r="L56" s="5">
        <v>4</v>
      </c>
      <c r="M56" s="5">
        <v>3</v>
      </c>
      <c r="N56" s="5" t="s">
        <v>3</v>
      </c>
      <c r="O56" s="5">
        <v>2</v>
      </c>
      <c r="P56" s="5">
        <f>ROUND(Source!EN51,O56)</f>
        <v>1336724.93</v>
      </c>
      <c r="Q56" s="5"/>
      <c r="R56" s="5"/>
      <c r="S56" s="5"/>
      <c r="T56" s="5"/>
      <c r="U56" s="5"/>
      <c r="V56" s="5"/>
      <c r="W56" s="5">
        <v>174472.47</v>
      </c>
      <c r="X56" s="5">
        <v>1</v>
      </c>
      <c r="Y56" s="5">
        <v>174472.47</v>
      </c>
      <c r="Z56" s="5">
        <v>1336724.93</v>
      </c>
      <c r="AA56" s="5">
        <v>1</v>
      </c>
      <c r="AB56" s="5">
        <v>1336724.93</v>
      </c>
    </row>
    <row r="57" spans="1:245" x14ac:dyDescent="0.2">
      <c r="A57" s="5">
        <v>50</v>
      </c>
      <c r="B57" s="5">
        <v>0</v>
      </c>
      <c r="C57" s="5">
        <v>0</v>
      </c>
      <c r="D57" s="5">
        <v>1</v>
      </c>
      <c r="E57" s="5">
        <v>226</v>
      </c>
      <c r="F57" s="5">
        <f>ROUND(Source!AW51,O57)</f>
        <v>304.94</v>
      </c>
      <c r="G57" s="5" t="s">
        <v>84</v>
      </c>
      <c r="H57" s="5" t="s">
        <v>85</v>
      </c>
      <c r="I57" s="5"/>
      <c r="J57" s="5"/>
      <c r="K57" s="5">
        <v>226</v>
      </c>
      <c r="L57" s="5">
        <v>5</v>
      </c>
      <c r="M57" s="5">
        <v>3</v>
      </c>
      <c r="N57" s="5" t="s">
        <v>3</v>
      </c>
      <c r="O57" s="5">
        <v>2</v>
      </c>
      <c r="P57" s="5">
        <f>ROUND(Source!EO51,O57)</f>
        <v>2601.65</v>
      </c>
      <c r="Q57" s="5"/>
      <c r="R57" s="5"/>
      <c r="S57" s="5"/>
      <c r="T57" s="5"/>
      <c r="U57" s="5"/>
      <c r="V57" s="5"/>
      <c r="W57" s="5">
        <v>304.94</v>
      </c>
      <c r="X57" s="5">
        <v>1</v>
      </c>
      <c r="Y57" s="5">
        <v>304.94</v>
      </c>
      <c r="Z57" s="5">
        <v>2601.65</v>
      </c>
      <c r="AA57" s="5">
        <v>1</v>
      </c>
      <c r="AB57" s="5">
        <v>2601.65</v>
      </c>
    </row>
    <row r="58" spans="1:245" x14ac:dyDescent="0.2">
      <c r="A58" s="5">
        <v>50</v>
      </c>
      <c r="B58" s="5">
        <v>0</v>
      </c>
      <c r="C58" s="5">
        <v>0</v>
      </c>
      <c r="D58" s="5">
        <v>1</v>
      </c>
      <c r="E58" s="5">
        <v>227</v>
      </c>
      <c r="F58" s="5">
        <f>ROUND(Source!AX51,O58)</f>
        <v>0</v>
      </c>
      <c r="G58" s="5" t="s">
        <v>86</v>
      </c>
      <c r="H58" s="5" t="s">
        <v>87</v>
      </c>
      <c r="I58" s="5"/>
      <c r="J58" s="5"/>
      <c r="K58" s="5">
        <v>227</v>
      </c>
      <c r="L58" s="5">
        <v>6</v>
      </c>
      <c r="M58" s="5">
        <v>3</v>
      </c>
      <c r="N58" s="5" t="s">
        <v>3</v>
      </c>
      <c r="O58" s="5">
        <v>2</v>
      </c>
      <c r="P58" s="5">
        <f>ROUND(Source!EP51,O58)</f>
        <v>0</v>
      </c>
      <c r="Q58" s="5"/>
      <c r="R58" s="5"/>
      <c r="S58" s="5"/>
      <c r="T58" s="5"/>
      <c r="U58" s="5"/>
      <c r="V58" s="5"/>
      <c r="W58" s="5">
        <v>0</v>
      </c>
      <c r="X58" s="5">
        <v>1</v>
      </c>
      <c r="Y58" s="5">
        <v>0</v>
      </c>
      <c r="Z58" s="5">
        <v>0</v>
      </c>
      <c r="AA58" s="5">
        <v>1</v>
      </c>
      <c r="AB58" s="5">
        <v>0</v>
      </c>
    </row>
    <row r="59" spans="1:245" x14ac:dyDescent="0.2">
      <c r="A59" s="5">
        <v>50</v>
      </c>
      <c r="B59" s="5">
        <v>0</v>
      </c>
      <c r="C59" s="5">
        <v>0</v>
      </c>
      <c r="D59" s="5">
        <v>1</v>
      </c>
      <c r="E59" s="5">
        <v>228</v>
      </c>
      <c r="F59" s="5">
        <f>ROUND(Source!AY51,O59)</f>
        <v>304.94</v>
      </c>
      <c r="G59" s="5" t="s">
        <v>88</v>
      </c>
      <c r="H59" s="5" t="s">
        <v>89</v>
      </c>
      <c r="I59" s="5"/>
      <c r="J59" s="5"/>
      <c r="K59" s="5">
        <v>228</v>
      </c>
      <c r="L59" s="5">
        <v>7</v>
      </c>
      <c r="M59" s="5">
        <v>3</v>
      </c>
      <c r="N59" s="5" t="s">
        <v>3</v>
      </c>
      <c r="O59" s="5">
        <v>2</v>
      </c>
      <c r="P59" s="5">
        <f>ROUND(Source!EQ51,O59)</f>
        <v>2601.65</v>
      </c>
      <c r="Q59" s="5"/>
      <c r="R59" s="5"/>
      <c r="S59" s="5"/>
      <c r="T59" s="5"/>
      <c r="U59" s="5"/>
      <c r="V59" s="5"/>
      <c r="W59" s="5">
        <v>304.94</v>
      </c>
      <c r="X59" s="5">
        <v>1</v>
      </c>
      <c r="Y59" s="5">
        <v>304.94</v>
      </c>
      <c r="Z59" s="5">
        <v>2601.65</v>
      </c>
      <c r="AA59" s="5">
        <v>1</v>
      </c>
      <c r="AB59" s="5">
        <v>2601.65</v>
      </c>
    </row>
    <row r="60" spans="1:245" x14ac:dyDescent="0.2">
      <c r="A60" s="5">
        <v>50</v>
      </c>
      <c r="B60" s="5">
        <v>0</v>
      </c>
      <c r="C60" s="5">
        <v>0</v>
      </c>
      <c r="D60" s="5">
        <v>1</v>
      </c>
      <c r="E60" s="5">
        <v>216</v>
      </c>
      <c r="F60" s="5">
        <f>ROUND(Source!AP51,O60)</f>
        <v>174167.53</v>
      </c>
      <c r="G60" s="5" t="s">
        <v>90</v>
      </c>
      <c r="H60" s="5" t="s">
        <v>91</v>
      </c>
      <c r="I60" s="5"/>
      <c r="J60" s="5"/>
      <c r="K60" s="5">
        <v>216</v>
      </c>
      <c r="L60" s="5">
        <v>8</v>
      </c>
      <c r="M60" s="5">
        <v>3</v>
      </c>
      <c r="N60" s="5" t="s">
        <v>3</v>
      </c>
      <c r="O60" s="5">
        <v>2</v>
      </c>
      <c r="P60" s="5">
        <f>ROUND(Source!EH51,O60)</f>
        <v>1334123.28</v>
      </c>
      <c r="Q60" s="5"/>
      <c r="R60" s="5"/>
      <c r="S60" s="5"/>
      <c r="T60" s="5"/>
      <c r="U60" s="5"/>
      <c r="V60" s="5"/>
      <c r="W60" s="5">
        <v>174167.53</v>
      </c>
      <c r="X60" s="5">
        <v>1</v>
      </c>
      <c r="Y60" s="5">
        <v>174167.53</v>
      </c>
      <c r="Z60" s="5">
        <v>1334123.28</v>
      </c>
      <c r="AA60" s="5">
        <v>1</v>
      </c>
      <c r="AB60" s="5">
        <v>1334123.28</v>
      </c>
    </row>
    <row r="61" spans="1:245" x14ac:dyDescent="0.2">
      <c r="A61" s="5">
        <v>50</v>
      </c>
      <c r="B61" s="5">
        <v>0</v>
      </c>
      <c r="C61" s="5">
        <v>0</v>
      </c>
      <c r="D61" s="5">
        <v>1</v>
      </c>
      <c r="E61" s="5">
        <v>223</v>
      </c>
      <c r="F61" s="5">
        <f>ROUND(Source!AQ51,O61)</f>
        <v>0</v>
      </c>
      <c r="G61" s="5" t="s">
        <v>92</v>
      </c>
      <c r="H61" s="5" t="s">
        <v>93</v>
      </c>
      <c r="I61" s="5"/>
      <c r="J61" s="5"/>
      <c r="K61" s="5">
        <v>223</v>
      </c>
      <c r="L61" s="5">
        <v>9</v>
      </c>
      <c r="M61" s="5">
        <v>3</v>
      </c>
      <c r="N61" s="5" t="s">
        <v>3</v>
      </c>
      <c r="O61" s="5">
        <v>2</v>
      </c>
      <c r="P61" s="5">
        <f>ROUND(Source!EI51,O61)</f>
        <v>0</v>
      </c>
      <c r="Q61" s="5"/>
      <c r="R61" s="5"/>
      <c r="S61" s="5"/>
      <c r="T61" s="5"/>
      <c r="U61" s="5"/>
      <c r="V61" s="5"/>
      <c r="W61" s="5">
        <v>0</v>
      </c>
      <c r="X61" s="5">
        <v>1</v>
      </c>
      <c r="Y61" s="5">
        <v>0</v>
      </c>
      <c r="Z61" s="5">
        <v>0</v>
      </c>
      <c r="AA61" s="5">
        <v>1</v>
      </c>
      <c r="AB61" s="5">
        <v>0</v>
      </c>
    </row>
    <row r="62" spans="1:245" x14ac:dyDescent="0.2">
      <c r="A62" s="5">
        <v>50</v>
      </c>
      <c r="B62" s="5">
        <v>0</v>
      </c>
      <c r="C62" s="5">
        <v>0</v>
      </c>
      <c r="D62" s="5">
        <v>1</v>
      </c>
      <c r="E62" s="5">
        <v>229</v>
      </c>
      <c r="F62" s="5">
        <f>ROUND(Source!AZ51,O62)</f>
        <v>174167.53</v>
      </c>
      <c r="G62" s="5" t="s">
        <v>94</v>
      </c>
      <c r="H62" s="5" t="s">
        <v>95</v>
      </c>
      <c r="I62" s="5"/>
      <c r="J62" s="5"/>
      <c r="K62" s="5">
        <v>229</v>
      </c>
      <c r="L62" s="5">
        <v>10</v>
      </c>
      <c r="M62" s="5">
        <v>3</v>
      </c>
      <c r="N62" s="5" t="s">
        <v>3</v>
      </c>
      <c r="O62" s="5">
        <v>2</v>
      </c>
      <c r="P62" s="5">
        <f>ROUND(Source!ER51,O62)</f>
        <v>1334123.28</v>
      </c>
      <c r="Q62" s="5"/>
      <c r="R62" s="5"/>
      <c r="S62" s="5"/>
      <c r="T62" s="5"/>
      <c r="U62" s="5"/>
      <c r="V62" s="5"/>
      <c r="W62" s="5">
        <v>174167.53</v>
      </c>
      <c r="X62" s="5">
        <v>1</v>
      </c>
      <c r="Y62" s="5">
        <v>174167.53</v>
      </c>
      <c r="Z62" s="5">
        <v>1334123.28</v>
      </c>
      <c r="AA62" s="5">
        <v>1</v>
      </c>
      <c r="AB62" s="5">
        <v>1334123.28</v>
      </c>
    </row>
    <row r="63" spans="1:245" x14ac:dyDescent="0.2">
      <c r="A63" s="5">
        <v>50</v>
      </c>
      <c r="B63" s="5">
        <v>0</v>
      </c>
      <c r="C63" s="5">
        <v>0</v>
      </c>
      <c r="D63" s="5">
        <v>1</v>
      </c>
      <c r="E63" s="5">
        <v>203</v>
      </c>
      <c r="F63" s="5">
        <f>ROUND(Source!Q51,O63)</f>
        <v>10.49</v>
      </c>
      <c r="G63" s="5" t="s">
        <v>96</v>
      </c>
      <c r="H63" s="5" t="s">
        <v>97</v>
      </c>
      <c r="I63" s="5"/>
      <c r="J63" s="5"/>
      <c r="K63" s="5">
        <v>203</v>
      </c>
      <c r="L63" s="5">
        <v>11</v>
      </c>
      <c r="M63" s="5">
        <v>3</v>
      </c>
      <c r="N63" s="5" t="s">
        <v>3</v>
      </c>
      <c r="O63" s="5">
        <v>2</v>
      </c>
      <c r="P63" s="5">
        <f>ROUND(Source!DI51,O63)</f>
        <v>149.21</v>
      </c>
      <c r="Q63" s="5"/>
      <c r="R63" s="5"/>
      <c r="S63" s="5"/>
      <c r="T63" s="5"/>
      <c r="U63" s="5"/>
      <c r="V63" s="5"/>
      <c r="W63" s="5">
        <v>10.49</v>
      </c>
      <c r="X63" s="5">
        <v>1</v>
      </c>
      <c r="Y63" s="5">
        <v>10.49</v>
      </c>
      <c r="Z63" s="5">
        <v>149.21</v>
      </c>
      <c r="AA63" s="5">
        <v>1</v>
      </c>
      <c r="AB63" s="5">
        <v>149.21</v>
      </c>
    </row>
    <row r="64" spans="1:245" x14ac:dyDescent="0.2">
      <c r="A64" s="5">
        <v>50</v>
      </c>
      <c r="B64" s="5">
        <v>0</v>
      </c>
      <c r="C64" s="5">
        <v>0</v>
      </c>
      <c r="D64" s="5">
        <v>1</v>
      </c>
      <c r="E64" s="5">
        <v>231</v>
      </c>
      <c r="F64" s="5">
        <f>ROUND(Source!BB51,O64)</f>
        <v>0</v>
      </c>
      <c r="G64" s="5" t="s">
        <v>98</v>
      </c>
      <c r="H64" s="5" t="s">
        <v>99</v>
      </c>
      <c r="I64" s="5"/>
      <c r="J64" s="5"/>
      <c r="K64" s="5">
        <v>231</v>
      </c>
      <c r="L64" s="5">
        <v>12</v>
      </c>
      <c r="M64" s="5">
        <v>3</v>
      </c>
      <c r="N64" s="5" t="s">
        <v>3</v>
      </c>
      <c r="O64" s="5">
        <v>2</v>
      </c>
      <c r="P64" s="5">
        <f>ROUND(Source!ET51,O64)</f>
        <v>0</v>
      </c>
      <c r="Q64" s="5"/>
      <c r="R64" s="5"/>
      <c r="S64" s="5"/>
      <c r="T64" s="5"/>
      <c r="U64" s="5"/>
      <c r="V64" s="5"/>
      <c r="W64" s="5">
        <v>0</v>
      </c>
      <c r="X64" s="5">
        <v>1</v>
      </c>
      <c r="Y64" s="5">
        <v>0</v>
      </c>
      <c r="Z64" s="5">
        <v>0</v>
      </c>
      <c r="AA64" s="5">
        <v>1</v>
      </c>
      <c r="AB64" s="5">
        <v>0</v>
      </c>
    </row>
    <row r="65" spans="1:28" x14ac:dyDescent="0.2">
      <c r="A65" s="5">
        <v>50</v>
      </c>
      <c r="B65" s="5">
        <v>0</v>
      </c>
      <c r="C65" s="5">
        <v>0</v>
      </c>
      <c r="D65" s="5">
        <v>1</v>
      </c>
      <c r="E65" s="5">
        <v>204</v>
      </c>
      <c r="F65" s="5">
        <f>ROUND(Source!R51,O65)</f>
        <v>0.98</v>
      </c>
      <c r="G65" s="5" t="s">
        <v>100</v>
      </c>
      <c r="H65" s="5" t="s">
        <v>101</v>
      </c>
      <c r="I65" s="5"/>
      <c r="J65" s="5"/>
      <c r="K65" s="5">
        <v>204</v>
      </c>
      <c r="L65" s="5">
        <v>13</v>
      </c>
      <c r="M65" s="5">
        <v>3</v>
      </c>
      <c r="N65" s="5" t="s">
        <v>3</v>
      </c>
      <c r="O65" s="5">
        <v>2</v>
      </c>
      <c r="P65" s="5">
        <f>ROUND(Source!DJ51,O65)</f>
        <v>53.9</v>
      </c>
      <c r="Q65" s="5"/>
      <c r="R65" s="5"/>
      <c r="S65" s="5"/>
      <c r="T65" s="5"/>
      <c r="U65" s="5"/>
      <c r="V65" s="5"/>
      <c r="W65" s="5">
        <v>0.98</v>
      </c>
      <c r="X65" s="5">
        <v>1</v>
      </c>
      <c r="Y65" s="5">
        <v>0.98</v>
      </c>
      <c r="Z65" s="5">
        <v>53.9</v>
      </c>
      <c r="AA65" s="5">
        <v>1</v>
      </c>
      <c r="AB65" s="5">
        <v>53.9</v>
      </c>
    </row>
    <row r="66" spans="1:28" x14ac:dyDescent="0.2">
      <c r="A66" s="5">
        <v>50</v>
      </c>
      <c r="B66" s="5">
        <v>0</v>
      </c>
      <c r="C66" s="5">
        <v>0</v>
      </c>
      <c r="D66" s="5">
        <v>1</v>
      </c>
      <c r="E66" s="5">
        <v>205</v>
      </c>
      <c r="F66" s="5">
        <f>ROUND(Source!S51,O66)</f>
        <v>683.48</v>
      </c>
      <c r="G66" s="5" t="s">
        <v>102</v>
      </c>
      <c r="H66" s="5" t="s">
        <v>103</v>
      </c>
      <c r="I66" s="5"/>
      <c r="J66" s="5"/>
      <c r="K66" s="5">
        <v>205</v>
      </c>
      <c r="L66" s="5">
        <v>14</v>
      </c>
      <c r="M66" s="5">
        <v>3</v>
      </c>
      <c r="N66" s="5" t="s">
        <v>3</v>
      </c>
      <c r="O66" s="5">
        <v>2</v>
      </c>
      <c r="P66" s="5">
        <f>ROUND(Source!DK51,O66)</f>
        <v>37584.57</v>
      </c>
      <c r="Q66" s="5"/>
      <c r="R66" s="5"/>
      <c r="S66" s="5"/>
      <c r="T66" s="5"/>
      <c r="U66" s="5"/>
      <c r="V66" s="5"/>
      <c r="W66" s="5">
        <v>683.48</v>
      </c>
      <c r="X66" s="5">
        <v>1</v>
      </c>
      <c r="Y66" s="5">
        <v>683.48</v>
      </c>
      <c r="Z66" s="5">
        <v>37584.57</v>
      </c>
      <c r="AA66" s="5">
        <v>1</v>
      </c>
      <c r="AB66" s="5">
        <v>37584.57</v>
      </c>
    </row>
    <row r="67" spans="1:28" x14ac:dyDescent="0.2">
      <c r="A67" s="5">
        <v>50</v>
      </c>
      <c r="B67" s="5">
        <v>0</v>
      </c>
      <c r="C67" s="5">
        <v>0</v>
      </c>
      <c r="D67" s="5">
        <v>1</v>
      </c>
      <c r="E67" s="5">
        <v>232</v>
      </c>
      <c r="F67" s="5">
        <f>ROUND(Source!BC51,O67)</f>
        <v>0</v>
      </c>
      <c r="G67" s="5" t="s">
        <v>104</v>
      </c>
      <c r="H67" s="5" t="s">
        <v>105</v>
      </c>
      <c r="I67" s="5"/>
      <c r="J67" s="5"/>
      <c r="K67" s="5">
        <v>232</v>
      </c>
      <c r="L67" s="5">
        <v>15</v>
      </c>
      <c r="M67" s="5">
        <v>3</v>
      </c>
      <c r="N67" s="5" t="s">
        <v>3</v>
      </c>
      <c r="O67" s="5">
        <v>2</v>
      </c>
      <c r="P67" s="5">
        <f>ROUND(Source!EU51,O67)</f>
        <v>0</v>
      </c>
      <c r="Q67" s="5"/>
      <c r="R67" s="5"/>
      <c r="S67" s="5"/>
      <c r="T67" s="5"/>
      <c r="U67" s="5"/>
      <c r="V67" s="5"/>
      <c r="W67" s="5">
        <v>0</v>
      </c>
      <c r="X67" s="5">
        <v>1</v>
      </c>
      <c r="Y67" s="5">
        <v>0</v>
      </c>
      <c r="Z67" s="5">
        <v>0</v>
      </c>
      <c r="AA67" s="5">
        <v>1</v>
      </c>
      <c r="AB67" s="5">
        <v>0</v>
      </c>
    </row>
    <row r="68" spans="1:28" x14ac:dyDescent="0.2">
      <c r="A68" s="5">
        <v>50</v>
      </c>
      <c r="B68" s="5">
        <v>0</v>
      </c>
      <c r="C68" s="5">
        <v>0</v>
      </c>
      <c r="D68" s="5">
        <v>1</v>
      </c>
      <c r="E68" s="5">
        <v>214</v>
      </c>
      <c r="F68" s="5">
        <f>ROUND(Source!AS51,O68)</f>
        <v>0</v>
      </c>
      <c r="G68" s="5" t="s">
        <v>106</v>
      </c>
      <c r="H68" s="5" t="s">
        <v>107</v>
      </c>
      <c r="I68" s="5"/>
      <c r="J68" s="5"/>
      <c r="K68" s="5">
        <v>214</v>
      </c>
      <c r="L68" s="5">
        <v>16</v>
      </c>
      <c r="M68" s="5">
        <v>3</v>
      </c>
      <c r="N68" s="5" t="s">
        <v>3</v>
      </c>
      <c r="O68" s="5">
        <v>2</v>
      </c>
      <c r="P68" s="5">
        <f>ROUND(Source!EK51,O68)</f>
        <v>0</v>
      </c>
      <c r="Q68" s="5"/>
      <c r="R68" s="5"/>
      <c r="S68" s="5"/>
      <c r="T68" s="5"/>
      <c r="U68" s="5"/>
      <c r="V68" s="5"/>
      <c r="W68" s="5">
        <v>0</v>
      </c>
      <c r="X68" s="5">
        <v>1</v>
      </c>
      <c r="Y68" s="5">
        <v>0</v>
      </c>
      <c r="Z68" s="5">
        <v>0</v>
      </c>
      <c r="AA68" s="5">
        <v>1</v>
      </c>
      <c r="AB68" s="5">
        <v>0</v>
      </c>
    </row>
    <row r="69" spans="1:28" x14ac:dyDescent="0.2">
      <c r="A69" s="5">
        <v>50</v>
      </c>
      <c r="B69" s="5">
        <v>0</v>
      </c>
      <c r="C69" s="5">
        <v>0</v>
      </c>
      <c r="D69" s="5">
        <v>1</v>
      </c>
      <c r="E69" s="5">
        <v>215</v>
      </c>
      <c r="F69" s="5">
        <f>ROUND(Source!AT51,O69)</f>
        <v>1993.65</v>
      </c>
      <c r="G69" s="5" t="s">
        <v>108</v>
      </c>
      <c r="H69" s="5" t="s">
        <v>109</v>
      </c>
      <c r="I69" s="5"/>
      <c r="J69" s="5"/>
      <c r="K69" s="5">
        <v>215</v>
      </c>
      <c r="L69" s="5">
        <v>17</v>
      </c>
      <c r="M69" s="5">
        <v>3</v>
      </c>
      <c r="N69" s="5" t="s">
        <v>3</v>
      </c>
      <c r="O69" s="5">
        <v>2</v>
      </c>
      <c r="P69" s="5">
        <f>ROUND(Source!EL51,O69)</f>
        <v>95036.61</v>
      </c>
      <c r="Q69" s="5"/>
      <c r="R69" s="5"/>
      <c r="S69" s="5"/>
      <c r="T69" s="5"/>
      <c r="U69" s="5"/>
      <c r="V69" s="5"/>
      <c r="W69" s="5">
        <v>1993.65</v>
      </c>
      <c r="X69" s="5">
        <v>1</v>
      </c>
      <c r="Y69" s="5">
        <v>1993.65</v>
      </c>
      <c r="Z69" s="5">
        <v>95036.61</v>
      </c>
      <c r="AA69" s="5">
        <v>1</v>
      </c>
      <c r="AB69" s="5">
        <v>95036.61</v>
      </c>
    </row>
    <row r="70" spans="1:28" x14ac:dyDescent="0.2">
      <c r="A70" s="5">
        <v>50</v>
      </c>
      <c r="B70" s="5">
        <v>0</v>
      </c>
      <c r="C70" s="5">
        <v>0</v>
      </c>
      <c r="D70" s="5">
        <v>1</v>
      </c>
      <c r="E70" s="5">
        <v>217</v>
      </c>
      <c r="F70" s="5">
        <f>ROUND(Source!AU51,O70)</f>
        <v>0</v>
      </c>
      <c r="G70" s="5" t="s">
        <v>110</v>
      </c>
      <c r="H70" s="5" t="s">
        <v>111</v>
      </c>
      <c r="I70" s="5"/>
      <c r="J70" s="5"/>
      <c r="K70" s="5">
        <v>217</v>
      </c>
      <c r="L70" s="5">
        <v>18</v>
      </c>
      <c r="M70" s="5">
        <v>3</v>
      </c>
      <c r="N70" s="5" t="s">
        <v>3</v>
      </c>
      <c r="O70" s="5">
        <v>2</v>
      </c>
      <c r="P70" s="5">
        <f>ROUND(Source!EM51,O70)</f>
        <v>0</v>
      </c>
      <c r="Q70" s="5"/>
      <c r="R70" s="5"/>
      <c r="S70" s="5"/>
      <c r="T70" s="5"/>
      <c r="U70" s="5"/>
      <c r="V70" s="5"/>
      <c r="W70" s="5">
        <v>0</v>
      </c>
      <c r="X70" s="5">
        <v>1</v>
      </c>
      <c r="Y70" s="5">
        <v>0</v>
      </c>
      <c r="Z70" s="5">
        <v>0</v>
      </c>
      <c r="AA70" s="5">
        <v>1</v>
      </c>
      <c r="AB70" s="5">
        <v>0</v>
      </c>
    </row>
    <row r="71" spans="1:28" x14ac:dyDescent="0.2">
      <c r="A71" s="5">
        <v>50</v>
      </c>
      <c r="B71" s="5">
        <v>0</v>
      </c>
      <c r="C71" s="5">
        <v>0</v>
      </c>
      <c r="D71" s="5">
        <v>1</v>
      </c>
      <c r="E71" s="5">
        <v>230</v>
      </c>
      <c r="F71" s="5">
        <f>ROUND(Source!BA51,O71)</f>
        <v>0</v>
      </c>
      <c r="G71" s="5" t="s">
        <v>112</v>
      </c>
      <c r="H71" s="5" t="s">
        <v>113</v>
      </c>
      <c r="I71" s="5"/>
      <c r="J71" s="5"/>
      <c r="K71" s="5">
        <v>230</v>
      </c>
      <c r="L71" s="5">
        <v>19</v>
      </c>
      <c r="M71" s="5">
        <v>3</v>
      </c>
      <c r="N71" s="5" t="s">
        <v>3</v>
      </c>
      <c r="O71" s="5">
        <v>2</v>
      </c>
      <c r="P71" s="5">
        <f>ROUND(Source!ES51,O71)</f>
        <v>0</v>
      </c>
      <c r="Q71" s="5"/>
      <c r="R71" s="5"/>
      <c r="S71" s="5"/>
      <c r="T71" s="5"/>
      <c r="U71" s="5"/>
      <c r="V71" s="5"/>
      <c r="W71" s="5">
        <v>0</v>
      </c>
      <c r="X71" s="5">
        <v>1</v>
      </c>
      <c r="Y71" s="5">
        <v>0</v>
      </c>
      <c r="Z71" s="5">
        <v>0</v>
      </c>
      <c r="AA71" s="5">
        <v>1</v>
      </c>
      <c r="AB71" s="5">
        <v>0</v>
      </c>
    </row>
    <row r="72" spans="1:28" x14ac:dyDescent="0.2">
      <c r="A72" s="5">
        <v>50</v>
      </c>
      <c r="B72" s="5">
        <v>0</v>
      </c>
      <c r="C72" s="5">
        <v>0</v>
      </c>
      <c r="D72" s="5">
        <v>1</v>
      </c>
      <c r="E72" s="5">
        <v>206</v>
      </c>
      <c r="F72" s="5">
        <f>ROUND(Source!T51,O72)</f>
        <v>0</v>
      </c>
      <c r="G72" s="5" t="s">
        <v>114</v>
      </c>
      <c r="H72" s="5" t="s">
        <v>115</v>
      </c>
      <c r="I72" s="5"/>
      <c r="J72" s="5"/>
      <c r="K72" s="5">
        <v>206</v>
      </c>
      <c r="L72" s="5">
        <v>20</v>
      </c>
      <c r="M72" s="5">
        <v>3</v>
      </c>
      <c r="N72" s="5" t="s">
        <v>3</v>
      </c>
      <c r="O72" s="5">
        <v>2</v>
      </c>
      <c r="P72" s="5">
        <f>ROUND(Source!DL51,O72)</f>
        <v>0</v>
      </c>
      <c r="Q72" s="5"/>
      <c r="R72" s="5"/>
      <c r="S72" s="5"/>
      <c r="T72" s="5"/>
      <c r="U72" s="5"/>
      <c r="V72" s="5"/>
      <c r="W72" s="5">
        <v>0</v>
      </c>
      <c r="X72" s="5">
        <v>1</v>
      </c>
      <c r="Y72" s="5">
        <v>0</v>
      </c>
      <c r="Z72" s="5">
        <v>0</v>
      </c>
      <c r="AA72" s="5">
        <v>1</v>
      </c>
      <c r="AB72" s="5">
        <v>0</v>
      </c>
    </row>
    <row r="73" spans="1:28" x14ac:dyDescent="0.2">
      <c r="A73" s="5">
        <v>50</v>
      </c>
      <c r="B73" s="5">
        <v>0</v>
      </c>
      <c r="C73" s="5">
        <v>0</v>
      </c>
      <c r="D73" s="5">
        <v>1</v>
      </c>
      <c r="E73" s="5">
        <v>207</v>
      </c>
      <c r="F73" s="5">
        <f>Source!U51</f>
        <v>52.573722960000005</v>
      </c>
      <c r="G73" s="5" t="s">
        <v>116</v>
      </c>
      <c r="H73" s="5" t="s">
        <v>117</v>
      </c>
      <c r="I73" s="5"/>
      <c r="J73" s="5"/>
      <c r="K73" s="5">
        <v>207</v>
      </c>
      <c r="L73" s="5">
        <v>21</v>
      </c>
      <c r="M73" s="5">
        <v>3</v>
      </c>
      <c r="N73" s="5" t="s">
        <v>3</v>
      </c>
      <c r="O73" s="5">
        <v>-1</v>
      </c>
      <c r="P73" s="5">
        <f>Source!DM51</f>
        <v>52.573722960000005</v>
      </c>
      <c r="Q73" s="5"/>
      <c r="R73" s="5"/>
      <c r="S73" s="5"/>
      <c r="T73" s="5"/>
      <c r="U73" s="5"/>
      <c r="V73" s="5"/>
      <c r="W73" s="5">
        <v>52.573722960000005</v>
      </c>
      <c r="X73" s="5">
        <v>1</v>
      </c>
      <c r="Y73" s="5">
        <v>52.573722960000005</v>
      </c>
      <c r="Z73" s="5">
        <v>52.573722960000005</v>
      </c>
      <c r="AA73" s="5">
        <v>1</v>
      </c>
      <c r="AB73" s="5">
        <v>52.573722960000005</v>
      </c>
    </row>
    <row r="74" spans="1:28" x14ac:dyDescent="0.2">
      <c r="A74" s="5">
        <v>50</v>
      </c>
      <c r="B74" s="5">
        <v>0</v>
      </c>
      <c r="C74" s="5">
        <v>0</v>
      </c>
      <c r="D74" s="5">
        <v>1</v>
      </c>
      <c r="E74" s="5">
        <v>208</v>
      </c>
      <c r="F74" s="5">
        <f>Source!V51</f>
        <v>0</v>
      </c>
      <c r="G74" s="5" t="s">
        <v>118</v>
      </c>
      <c r="H74" s="5" t="s">
        <v>119</v>
      </c>
      <c r="I74" s="5"/>
      <c r="J74" s="5"/>
      <c r="K74" s="5">
        <v>208</v>
      </c>
      <c r="L74" s="5">
        <v>22</v>
      </c>
      <c r="M74" s="5">
        <v>3</v>
      </c>
      <c r="N74" s="5" t="s">
        <v>3</v>
      </c>
      <c r="O74" s="5">
        <v>-1</v>
      </c>
      <c r="P74" s="5">
        <f>Source!DN51</f>
        <v>0</v>
      </c>
      <c r="Q74" s="5"/>
      <c r="R74" s="5"/>
      <c r="S74" s="5"/>
      <c r="T74" s="5"/>
      <c r="U74" s="5"/>
      <c r="V74" s="5"/>
      <c r="W74" s="5">
        <v>0</v>
      </c>
      <c r="X74" s="5">
        <v>1</v>
      </c>
      <c r="Y74" s="5">
        <v>0</v>
      </c>
      <c r="Z74" s="5">
        <v>0</v>
      </c>
      <c r="AA74" s="5">
        <v>1</v>
      </c>
      <c r="AB74" s="5">
        <v>0</v>
      </c>
    </row>
    <row r="75" spans="1:28" x14ac:dyDescent="0.2">
      <c r="A75" s="5">
        <v>50</v>
      </c>
      <c r="B75" s="5">
        <v>0</v>
      </c>
      <c r="C75" s="5">
        <v>0</v>
      </c>
      <c r="D75" s="5">
        <v>1</v>
      </c>
      <c r="E75" s="5">
        <v>209</v>
      </c>
      <c r="F75" s="5">
        <f>ROUND(Source!W51,O75)</f>
        <v>0</v>
      </c>
      <c r="G75" s="5" t="s">
        <v>120</v>
      </c>
      <c r="H75" s="5" t="s">
        <v>121</v>
      </c>
      <c r="I75" s="5"/>
      <c r="J75" s="5"/>
      <c r="K75" s="5">
        <v>209</v>
      </c>
      <c r="L75" s="5">
        <v>23</v>
      </c>
      <c r="M75" s="5">
        <v>3</v>
      </c>
      <c r="N75" s="5" t="s">
        <v>3</v>
      </c>
      <c r="O75" s="5">
        <v>2</v>
      </c>
      <c r="P75" s="5">
        <f>ROUND(Source!DO51,O75)</f>
        <v>0</v>
      </c>
      <c r="Q75" s="5"/>
      <c r="R75" s="5"/>
      <c r="S75" s="5"/>
      <c r="T75" s="5"/>
      <c r="U75" s="5"/>
      <c r="V75" s="5"/>
      <c r="W75" s="5">
        <v>0</v>
      </c>
      <c r="X75" s="5">
        <v>1</v>
      </c>
      <c r="Y75" s="5">
        <v>0</v>
      </c>
      <c r="Z75" s="5">
        <v>0</v>
      </c>
      <c r="AA75" s="5">
        <v>1</v>
      </c>
      <c r="AB75" s="5">
        <v>0</v>
      </c>
    </row>
    <row r="76" spans="1:28" x14ac:dyDescent="0.2">
      <c r="A76" s="5">
        <v>50</v>
      </c>
      <c r="B76" s="5">
        <v>0</v>
      </c>
      <c r="C76" s="5">
        <v>0</v>
      </c>
      <c r="D76" s="5">
        <v>1</v>
      </c>
      <c r="E76" s="5">
        <v>233</v>
      </c>
      <c r="F76" s="5">
        <f>ROUND(Source!BD51,O76)</f>
        <v>0</v>
      </c>
      <c r="G76" s="5" t="s">
        <v>122</v>
      </c>
      <c r="H76" s="5" t="s">
        <v>123</v>
      </c>
      <c r="I76" s="5"/>
      <c r="J76" s="5"/>
      <c r="K76" s="5">
        <v>233</v>
      </c>
      <c r="L76" s="5">
        <v>24</v>
      </c>
      <c r="M76" s="5">
        <v>3</v>
      </c>
      <c r="N76" s="5" t="s">
        <v>3</v>
      </c>
      <c r="O76" s="5">
        <v>2</v>
      </c>
      <c r="P76" s="5">
        <f>ROUND(Source!EV51,O76)</f>
        <v>0</v>
      </c>
      <c r="Q76" s="5"/>
      <c r="R76" s="5"/>
      <c r="S76" s="5"/>
      <c r="T76" s="5"/>
      <c r="U76" s="5"/>
      <c r="V76" s="5"/>
      <c r="W76" s="5">
        <v>0</v>
      </c>
      <c r="X76" s="5">
        <v>1</v>
      </c>
      <c r="Y76" s="5">
        <v>0</v>
      </c>
      <c r="Z76" s="5">
        <v>0</v>
      </c>
      <c r="AA76" s="5">
        <v>1</v>
      </c>
      <c r="AB76" s="5">
        <v>0</v>
      </c>
    </row>
    <row r="77" spans="1:28" x14ac:dyDescent="0.2">
      <c r="A77" s="5">
        <v>50</v>
      </c>
      <c r="B77" s="5">
        <v>0</v>
      </c>
      <c r="C77" s="5">
        <v>0</v>
      </c>
      <c r="D77" s="5">
        <v>1</v>
      </c>
      <c r="E77" s="5">
        <v>210</v>
      </c>
      <c r="F77" s="5">
        <f>ROUND(Source!X51,O77)</f>
        <v>642.97</v>
      </c>
      <c r="G77" s="5" t="s">
        <v>124</v>
      </c>
      <c r="H77" s="5" t="s">
        <v>125</v>
      </c>
      <c r="I77" s="5"/>
      <c r="J77" s="5"/>
      <c r="K77" s="5">
        <v>210</v>
      </c>
      <c r="L77" s="5">
        <v>25</v>
      </c>
      <c r="M77" s="5">
        <v>3</v>
      </c>
      <c r="N77" s="5" t="s">
        <v>3</v>
      </c>
      <c r="O77" s="5">
        <v>2</v>
      </c>
      <c r="P77" s="5">
        <f>ROUND(Source!DP51,O77)</f>
        <v>35357.01</v>
      </c>
      <c r="Q77" s="5"/>
      <c r="R77" s="5"/>
      <c r="S77" s="5"/>
      <c r="T77" s="5"/>
      <c r="U77" s="5"/>
      <c r="V77" s="5"/>
      <c r="W77" s="5">
        <v>642.97</v>
      </c>
      <c r="X77" s="5">
        <v>1</v>
      </c>
      <c r="Y77" s="5">
        <v>642.97</v>
      </c>
      <c r="Z77" s="5">
        <v>35357.01</v>
      </c>
      <c r="AA77" s="5">
        <v>1</v>
      </c>
      <c r="AB77" s="5">
        <v>35357.01</v>
      </c>
    </row>
    <row r="78" spans="1:28" x14ac:dyDescent="0.2">
      <c r="A78" s="5">
        <v>50</v>
      </c>
      <c r="B78" s="5">
        <v>0</v>
      </c>
      <c r="C78" s="5">
        <v>0</v>
      </c>
      <c r="D78" s="5">
        <v>1</v>
      </c>
      <c r="E78" s="5">
        <v>211</v>
      </c>
      <c r="F78" s="5">
        <f>ROUND(Source!Y51,O78)</f>
        <v>351.77</v>
      </c>
      <c r="G78" s="5" t="s">
        <v>126</v>
      </c>
      <c r="H78" s="5" t="s">
        <v>127</v>
      </c>
      <c r="I78" s="5"/>
      <c r="J78" s="5"/>
      <c r="K78" s="5">
        <v>211</v>
      </c>
      <c r="L78" s="5">
        <v>26</v>
      </c>
      <c r="M78" s="5">
        <v>3</v>
      </c>
      <c r="N78" s="5" t="s">
        <v>3</v>
      </c>
      <c r="O78" s="5">
        <v>2</v>
      </c>
      <c r="P78" s="5">
        <f>ROUND(Source!DQ51,O78)</f>
        <v>19344.169999999998</v>
      </c>
      <c r="Q78" s="5"/>
      <c r="R78" s="5"/>
      <c r="S78" s="5"/>
      <c r="T78" s="5"/>
      <c r="U78" s="5"/>
      <c r="V78" s="5"/>
      <c r="W78" s="5">
        <v>351.77</v>
      </c>
      <c r="X78" s="5">
        <v>1</v>
      </c>
      <c r="Y78" s="5">
        <v>351.77</v>
      </c>
      <c r="Z78" s="5">
        <v>19344.169999999998</v>
      </c>
      <c r="AA78" s="5">
        <v>1</v>
      </c>
      <c r="AB78" s="5">
        <v>19344.169999999998</v>
      </c>
    </row>
    <row r="79" spans="1:28" x14ac:dyDescent="0.2">
      <c r="A79" s="5">
        <v>50</v>
      </c>
      <c r="B79" s="5">
        <v>0</v>
      </c>
      <c r="C79" s="5">
        <v>0</v>
      </c>
      <c r="D79" s="5">
        <v>1</v>
      </c>
      <c r="E79" s="5">
        <v>224</v>
      </c>
      <c r="F79" s="5">
        <f>ROUND(Source!AR51,O79)</f>
        <v>176161.18</v>
      </c>
      <c r="G79" s="5" t="s">
        <v>128</v>
      </c>
      <c r="H79" s="5" t="s">
        <v>129</v>
      </c>
      <c r="I79" s="5"/>
      <c r="J79" s="5"/>
      <c r="K79" s="5">
        <v>224</v>
      </c>
      <c r="L79" s="5">
        <v>27</v>
      </c>
      <c r="M79" s="5">
        <v>3</v>
      </c>
      <c r="N79" s="5" t="s">
        <v>3</v>
      </c>
      <c r="O79" s="5">
        <v>2</v>
      </c>
      <c r="P79" s="5">
        <f>ROUND(Source!EJ51,O79)</f>
        <v>1429159.89</v>
      </c>
      <c r="Q79" s="5"/>
      <c r="R79" s="5"/>
      <c r="S79" s="5"/>
      <c r="T79" s="5"/>
      <c r="U79" s="5"/>
      <c r="V79" s="5"/>
      <c r="W79" s="5">
        <v>176161.18</v>
      </c>
      <c r="X79" s="5">
        <v>1</v>
      </c>
      <c r="Y79" s="5">
        <v>176161.18</v>
      </c>
      <c r="Z79" s="5">
        <v>1429159.89</v>
      </c>
      <c r="AA79" s="5">
        <v>1</v>
      </c>
      <c r="AB79" s="5">
        <v>1429159.89</v>
      </c>
    </row>
    <row r="81" spans="1:255" x14ac:dyDescent="0.2">
      <c r="A81" s="1">
        <v>4</v>
      </c>
      <c r="B81" s="1">
        <v>1</v>
      </c>
      <c r="C81" s="1"/>
      <c r="D81" s="1">
        <f>ROW(A116)</f>
        <v>116</v>
      </c>
      <c r="E81" s="1"/>
      <c r="F81" s="1" t="s">
        <v>3</v>
      </c>
      <c r="G81" s="1" t="s">
        <v>130</v>
      </c>
      <c r="H81" s="1" t="s">
        <v>3</v>
      </c>
      <c r="I81" s="1">
        <v>0</v>
      </c>
      <c r="J81" s="1"/>
      <c r="K81" s="1">
        <v>-1</v>
      </c>
      <c r="L81" s="1"/>
      <c r="M81" s="1" t="s">
        <v>3</v>
      </c>
      <c r="N81" s="1"/>
      <c r="O81" s="1"/>
      <c r="P81" s="1"/>
      <c r="Q81" s="1"/>
      <c r="R81" s="1"/>
      <c r="S81" s="1">
        <v>0</v>
      </c>
      <c r="T81" s="1">
        <v>0</v>
      </c>
      <c r="U81" s="1" t="s">
        <v>3</v>
      </c>
      <c r="V81" s="1">
        <v>2</v>
      </c>
      <c r="W81" s="1"/>
      <c r="X81" s="1"/>
      <c r="Y81" s="1"/>
      <c r="Z81" s="1"/>
      <c r="AA81" s="1"/>
      <c r="AB81" s="1" t="s">
        <v>3</v>
      </c>
      <c r="AC81" s="1" t="s">
        <v>3</v>
      </c>
      <c r="AD81" s="1" t="s">
        <v>3</v>
      </c>
      <c r="AE81" s="1" t="s">
        <v>3</v>
      </c>
      <c r="AF81" s="1" t="s">
        <v>3</v>
      </c>
      <c r="AG81" s="1" t="s">
        <v>3</v>
      </c>
      <c r="AH81" s="1"/>
      <c r="AI81" s="1"/>
      <c r="AJ81" s="1"/>
      <c r="AK81" s="1"/>
      <c r="AL81" s="1"/>
      <c r="AM81" s="1"/>
      <c r="AN81" s="1"/>
      <c r="AO81" s="1"/>
      <c r="AP81" s="1" t="s">
        <v>3</v>
      </c>
      <c r="AQ81" s="1" t="s">
        <v>3</v>
      </c>
      <c r="AR81" s="1" t="s">
        <v>3</v>
      </c>
      <c r="AS81" s="1"/>
      <c r="AT81" s="1"/>
      <c r="AU81" s="1"/>
      <c r="AV81" s="1"/>
      <c r="AW81" s="1"/>
      <c r="AX81" s="1"/>
      <c r="AY81" s="1"/>
      <c r="AZ81" s="1" t="s">
        <v>3</v>
      </c>
      <c r="BA81" s="1"/>
      <c r="BB81" s="1" t="s">
        <v>3</v>
      </c>
      <c r="BC81" s="1" t="s">
        <v>3</v>
      </c>
      <c r="BD81" s="1" t="s">
        <v>3</v>
      </c>
      <c r="BE81" s="1" t="s">
        <v>3</v>
      </c>
      <c r="BF81" s="1" t="s">
        <v>3</v>
      </c>
      <c r="BG81" s="1" t="s">
        <v>3</v>
      </c>
      <c r="BH81" s="1" t="s">
        <v>3</v>
      </c>
      <c r="BI81" s="1" t="s">
        <v>3</v>
      </c>
      <c r="BJ81" s="1" t="s">
        <v>3</v>
      </c>
      <c r="BK81" s="1" t="s">
        <v>3</v>
      </c>
      <c r="BL81" s="1" t="s">
        <v>3</v>
      </c>
      <c r="BM81" s="1" t="s">
        <v>3</v>
      </c>
      <c r="BN81" s="1" t="s">
        <v>3</v>
      </c>
      <c r="BO81" s="1" t="s">
        <v>3</v>
      </c>
      <c r="BP81" s="1" t="s">
        <v>3</v>
      </c>
      <c r="BQ81" s="1"/>
      <c r="BR81" s="1"/>
      <c r="BS81" s="1"/>
      <c r="BT81" s="1"/>
      <c r="BU81" s="1"/>
      <c r="BV81" s="1"/>
      <c r="BW81" s="1"/>
      <c r="BX81" s="1">
        <v>0</v>
      </c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>
        <v>0</v>
      </c>
    </row>
    <row r="83" spans="1:255" x14ac:dyDescent="0.2">
      <c r="A83" s="3">
        <v>52</v>
      </c>
      <c r="B83" s="3">
        <f t="shared" ref="B83:G83" si="53">B116</f>
        <v>1</v>
      </c>
      <c r="C83" s="3">
        <f t="shared" si="53"/>
        <v>4</v>
      </c>
      <c r="D83" s="3">
        <f t="shared" si="53"/>
        <v>81</v>
      </c>
      <c r="E83" s="3">
        <f t="shared" si="53"/>
        <v>0</v>
      </c>
      <c r="F83" s="3" t="str">
        <f t="shared" si="53"/>
        <v/>
      </c>
      <c r="G83" s="3" t="str">
        <f t="shared" si="53"/>
        <v>Кабельные  изделия</v>
      </c>
      <c r="H83" s="3"/>
      <c r="I83" s="3"/>
      <c r="J83" s="3"/>
      <c r="K83" s="3"/>
      <c r="L83" s="3"/>
      <c r="M83" s="3"/>
      <c r="N83" s="3"/>
      <c r="O83" s="3">
        <f t="shared" ref="O83:AT83" si="54">O116</f>
        <v>8376.25</v>
      </c>
      <c r="P83" s="3">
        <f t="shared" si="54"/>
        <v>7374.74</v>
      </c>
      <c r="Q83" s="3">
        <f t="shared" si="54"/>
        <v>146.88</v>
      </c>
      <c r="R83" s="3">
        <f t="shared" si="54"/>
        <v>17.03</v>
      </c>
      <c r="S83" s="3">
        <f t="shared" si="54"/>
        <v>854.63</v>
      </c>
      <c r="T83" s="3">
        <f t="shared" si="54"/>
        <v>0</v>
      </c>
      <c r="U83" s="3">
        <f t="shared" si="54"/>
        <v>68.011340099999998</v>
      </c>
      <c r="V83" s="3">
        <f t="shared" si="54"/>
        <v>0</v>
      </c>
      <c r="W83" s="3">
        <f t="shared" si="54"/>
        <v>0</v>
      </c>
      <c r="X83" s="3">
        <f t="shared" si="54"/>
        <v>845.51</v>
      </c>
      <c r="Y83" s="3">
        <f t="shared" si="54"/>
        <v>444.55</v>
      </c>
      <c r="Z83" s="3">
        <f t="shared" si="54"/>
        <v>0</v>
      </c>
      <c r="AA83" s="3">
        <f t="shared" si="54"/>
        <v>0</v>
      </c>
      <c r="AB83" s="3">
        <f t="shared" si="54"/>
        <v>8376.25</v>
      </c>
      <c r="AC83" s="3">
        <f t="shared" si="54"/>
        <v>7374.74</v>
      </c>
      <c r="AD83" s="3">
        <f t="shared" si="54"/>
        <v>146.88</v>
      </c>
      <c r="AE83" s="3">
        <f t="shared" si="54"/>
        <v>17.03</v>
      </c>
      <c r="AF83" s="3">
        <f t="shared" si="54"/>
        <v>854.63</v>
      </c>
      <c r="AG83" s="3">
        <f t="shared" si="54"/>
        <v>0</v>
      </c>
      <c r="AH83" s="3">
        <f t="shared" si="54"/>
        <v>68.011340099999998</v>
      </c>
      <c r="AI83" s="3">
        <f t="shared" si="54"/>
        <v>0</v>
      </c>
      <c r="AJ83" s="3">
        <f t="shared" si="54"/>
        <v>0</v>
      </c>
      <c r="AK83" s="3">
        <f t="shared" si="54"/>
        <v>845.51</v>
      </c>
      <c r="AL83" s="3">
        <f t="shared" si="54"/>
        <v>444.55</v>
      </c>
      <c r="AM83" s="3">
        <f t="shared" si="54"/>
        <v>0</v>
      </c>
      <c r="AN83" s="3">
        <f t="shared" si="54"/>
        <v>0</v>
      </c>
      <c r="AO83" s="3">
        <f t="shared" si="54"/>
        <v>0</v>
      </c>
      <c r="AP83" s="3">
        <f t="shared" si="54"/>
        <v>0</v>
      </c>
      <c r="AQ83" s="3">
        <f t="shared" si="54"/>
        <v>0</v>
      </c>
      <c r="AR83" s="3">
        <f t="shared" si="54"/>
        <v>9666.31</v>
      </c>
      <c r="AS83" s="3">
        <f t="shared" si="54"/>
        <v>0</v>
      </c>
      <c r="AT83" s="3">
        <f t="shared" si="54"/>
        <v>9666.31</v>
      </c>
      <c r="AU83" s="3">
        <f t="shared" ref="AU83:BZ83" si="55">AU116</f>
        <v>0</v>
      </c>
      <c r="AV83" s="3">
        <f t="shared" si="55"/>
        <v>7374.74</v>
      </c>
      <c r="AW83" s="3">
        <f t="shared" si="55"/>
        <v>7374.74</v>
      </c>
      <c r="AX83" s="3">
        <f t="shared" si="55"/>
        <v>0</v>
      </c>
      <c r="AY83" s="3">
        <f t="shared" si="55"/>
        <v>7374.74</v>
      </c>
      <c r="AZ83" s="3">
        <f t="shared" si="55"/>
        <v>0</v>
      </c>
      <c r="BA83" s="3">
        <f t="shared" si="55"/>
        <v>0</v>
      </c>
      <c r="BB83" s="3">
        <f t="shared" si="55"/>
        <v>0</v>
      </c>
      <c r="BC83" s="3">
        <f t="shared" si="55"/>
        <v>0</v>
      </c>
      <c r="BD83" s="3">
        <f t="shared" si="55"/>
        <v>0</v>
      </c>
      <c r="BE83" s="3">
        <f t="shared" si="55"/>
        <v>0</v>
      </c>
      <c r="BF83" s="3">
        <f t="shared" si="55"/>
        <v>0</v>
      </c>
      <c r="BG83" s="3">
        <f t="shared" si="55"/>
        <v>0</v>
      </c>
      <c r="BH83" s="3">
        <f t="shared" si="55"/>
        <v>0</v>
      </c>
      <c r="BI83" s="3">
        <f t="shared" si="55"/>
        <v>0</v>
      </c>
      <c r="BJ83" s="3">
        <f t="shared" si="55"/>
        <v>0</v>
      </c>
      <c r="BK83" s="3">
        <f t="shared" si="55"/>
        <v>0</v>
      </c>
      <c r="BL83" s="3">
        <f t="shared" si="55"/>
        <v>0</v>
      </c>
      <c r="BM83" s="3">
        <f t="shared" si="55"/>
        <v>0</v>
      </c>
      <c r="BN83" s="3">
        <f t="shared" si="55"/>
        <v>0</v>
      </c>
      <c r="BO83" s="3">
        <f t="shared" si="55"/>
        <v>0</v>
      </c>
      <c r="BP83" s="3">
        <f t="shared" si="55"/>
        <v>0</v>
      </c>
      <c r="BQ83" s="3">
        <f t="shared" si="55"/>
        <v>0</v>
      </c>
      <c r="BR83" s="3">
        <f t="shared" si="55"/>
        <v>0</v>
      </c>
      <c r="BS83" s="3">
        <f t="shared" si="55"/>
        <v>0</v>
      </c>
      <c r="BT83" s="3">
        <f t="shared" si="55"/>
        <v>0</v>
      </c>
      <c r="BU83" s="3">
        <f t="shared" si="55"/>
        <v>0</v>
      </c>
      <c r="BV83" s="3">
        <f t="shared" si="55"/>
        <v>0</v>
      </c>
      <c r="BW83" s="3">
        <f t="shared" si="55"/>
        <v>0</v>
      </c>
      <c r="BX83" s="3">
        <f t="shared" si="55"/>
        <v>0</v>
      </c>
      <c r="BY83" s="3">
        <f t="shared" si="55"/>
        <v>0</v>
      </c>
      <c r="BZ83" s="3">
        <f t="shared" si="55"/>
        <v>0</v>
      </c>
      <c r="CA83" s="3">
        <f t="shared" ref="CA83:DF83" si="56">CA116</f>
        <v>9666.31</v>
      </c>
      <c r="CB83" s="3">
        <f t="shared" si="56"/>
        <v>0</v>
      </c>
      <c r="CC83" s="3">
        <f t="shared" si="56"/>
        <v>9666.31</v>
      </c>
      <c r="CD83" s="3">
        <f t="shared" si="56"/>
        <v>0</v>
      </c>
      <c r="CE83" s="3">
        <f t="shared" si="56"/>
        <v>7374.74</v>
      </c>
      <c r="CF83" s="3">
        <f t="shared" si="56"/>
        <v>7374.74</v>
      </c>
      <c r="CG83" s="3">
        <f t="shared" si="56"/>
        <v>0</v>
      </c>
      <c r="CH83" s="3">
        <f t="shared" si="56"/>
        <v>7374.74</v>
      </c>
      <c r="CI83" s="3">
        <f t="shared" si="56"/>
        <v>0</v>
      </c>
      <c r="CJ83" s="3">
        <f t="shared" si="56"/>
        <v>0</v>
      </c>
      <c r="CK83" s="3">
        <f t="shared" si="56"/>
        <v>0</v>
      </c>
      <c r="CL83" s="3">
        <f t="shared" si="56"/>
        <v>0</v>
      </c>
      <c r="CM83" s="3">
        <f t="shared" si="56"/>
        <v>0</v>
      </c>
      <c r="CN83" s="3">
        <f t="shared" si="56"/>
        <v>0</v>
      </c>
      <c r="CO83" s="3">
        <f t="shared" si="56"/>
        <v>0</v>
      </c>
      <c r="CP83" s="3">
        <f t="shared" si="56"/>
        <v>0</v>
      </c>
      <c r="CQ83" s="3">
        <f t="shared" si="56"/>
        <v>0</v>
      </c>
      <c r="CR83" s="3">
        <f t="shared" si="56"/>
        <v>0</v>
      </c>
      <c r="CS83" s="3">
        <f t="shared" si="56"/>
        <v>0</v>
      </c>
      <c r="CT83" s="3">
        <f t="shared" si="56"/>
        <v>0</v>
      </c>
      <c r="CU83" s="3">
        <f t="shared" si="56"/>
        <v>0</v>
      </c>
      <c r="CV83" s="3">
        <f t="shared" si="56"/>
        <v>0</v>
      </c>
      <c r="CW83" s="3">
        <f t="shared" si="56"/>
        <v>0</v>
      </c>
      <c r="CX83" s="3">
        <f t="shared" si="56"/>
        <v>0</v>
      </c>
      <c r="CY83" s="3">
        <f t="shared" si="56"/>
        <v>0</v>
      </c>
      <c r="CZ83" s="3">
        <f t="shared" si="56"/>
        <v>0</v>
      </c>
      <c r="DA83" s="3">
        <f t="shared" si="56"/>
        <v>0</v>
      </c>
      <c r="DB83" s="3">
        <f t="shared" si="56"/>
        <v>0</v>
      </c>
      <c r="DC83" s="3">
        <f t="shared" si="56"/>
        <v>0</v>
      </c>
      <c r="DD83" s="3">
        <f t="shared" si="56"/>
        <v>0</v>
      </c>
      <c r="DE83" s="3">
        <f t="shared" si="56"/>
        <v>0</v>
      </c>
      <c r="DF83" s="3">
        <f t="shared" si="56"/>
        <v>0</v>
      </c>
      <c r="DG83" s="4">
        <f t="shared" ref="DG83:EL83" si="57">DG116</f>
        <v>109884.41</v>
      </c>
      <c r="DH83" s="4">
        <f t="shared" si="57"/>
        <v>60611.39</v>
      </c>
      <c r="DI83" s="4">
        <f t="shared" si="57"/>
        <v>2276.92</v>
      </c>
      <c r="DJ83" s="4">
        <f t="shared" si="57"/>
        <v>936.48</v>
      </c>
      <c r="DK83" s="4">
        <f t="shared" si="57"/>
        <v>46996.1</v>
      </c>
      <c r="DL83" s="4">
        <f t="shared" si="57"/>
        <v>0</v>
      </c>
      <c r="DM83" s="4">
        <f t="shared" si="57"/>
        <v>68.011340099999998</v>
      </c>
      <c r="DN83" s="4">
        <f t="shared" si="57"/>
        <v>0</v>
      </c>
      <c r="DO83" s="4">
        <f t="shared" si="57"/>
        <v>0</v>
      </c>
      <c r="DP83" s="4">
        <f t="shared" si="57"/>
        <v>46494.61</v>
      </c>
      <c r="DQ83" s="4">
        <f t="shared" si="57"/>
        <v>24445.61</v>
      </c>
      <c r="DR83" s="4">
        <f t="shared" si="57"/>
        <v>0</v>
      </c>
      <c r="DS83" s="4">
        <f t="shared" si="57"/>
        <v>0</v>
      </c>
      <c r="DT83" s="4">
        <f t="shared" si="57"/>
        <v>109884.41</v>
      </c>
      <c r="DU83" s="4">
        <f t="shared" si="57"/>
        <v>60611.39</v>
      </c>
      <c r="DV83" s="4">
        <f t="shared" si="57"/>
        <v>2276.92</v>
      </c>
      <c r="DW83" s="4">
        <f t="shared" si="57"/>
        <v>936.48</v>
      </c>
      <c r="DX83" s="4">
        <f t="shared" si="57"/>
        <v>46996.1</v>
      </c>
      <c r="DY83" s="4">
        <f t="shared" si="57"/>
        <v>0</v>
      </c>
      <c r="DZ83" s="4">
        <f t="shared" si="57"/>
        <v>68.011340099999998</v>
      </c>
      <c r="EA83" s="4">
        <f t="shared" si="57"/>
        <v>0</v>
      </c>
      <c r="EB83" s="4">
        <f t="shared" si="57"/>
        <v>0</v>
      </c>
      <c r="EC83" s="4">
        <f t="shared" si="57"/>
        <v>46494.61</v>
      </c>
      <c r="ED83" s="4">
        <f t="shared" si="57"/>
        <v>24445.61</v>
      </c>
      <c r="EE83" s="4">
        <f t="shared" si="57"/>
        <v>0</v>
      </c>
      <c r="EF83" s="4">
        <f t="shared" si="57"/>
        <v>0</v>
      </c>
      <c r="EG83" s="4">
        <f t="shared" si="57"/>
        <v>0</v>
      </c>
      <c r="EH83" s="4">
        <f t="shared" si="57"/>
        <v>0</v>
      </c>
      <c r="EI83" s="4">
        <f t="shared" si="57"/>
        <v>0</v>
      </c>
      <c r="EJ83" s="4">
        <f t="shared" si="57"/>
        <v>180824.63</v>
      </c>
      <c r="EK83" s="4">
        <f t="shared" si="57"/>
        <v>0</v>
      </c>
      <c r="EL83" s="4">
        <f t="shared" si="57"/>
        <v>180824.63</v>
      </c>
      <c r="EM83" s="4">
        <f t="shared" ref="EM83:FR83" si="58">EM116</f>
        <v>0</v>
      </c>
      <c r="EN83" s="4">
        <f t="shared" si="58"/>
        <v>60611.39</v>
      </c>
      <c r="EO83" s="4">
        <f t="shared" si="58"/>
        <v>60611.39</v>
      </c>
      <c r="EP83" s="4">
        <f t="shared" si="58"/>
        <v>0</v>
      </c>
      <c r="EQ83" s="4">
        <f t="shared" si="58"/>
        <v>60611.39</v>
      </c>
      <c r="ER83" s="4">
        <f t="shared" si="58"/>
        <v>0</v>
      </c>
      <c r="ES83" s="4">
        <f t="shared" si="58"/>
        <v>0</v>
      </c>
      <c r="ET83" s="4">
        <f t="shared" si="58"/>
        <v>0</v>
      </c>
      <c r="EU83" s="4">
        <f t="shared" si="58"/>
        <v>0</v>
      </c>
      <c r="EV83" s="4">
        <f t="shared" si="58"/>
        <v>0</v>
      </c>
      <c r="EW83" s="4">
        <f t="shared" si="58"/>
        <v>0</v>
      </c>
      <c r="EX83" s="4">
        <f t="shared" si="58"/>
        <v>0</v>
      </c>
      <c r="EY83" s="4">
        <f t="shared" si="58"/>
        <v>0</v>
      </c>
      <c r="EZ83" s="4">
        <f t="shared" si="58"/>
        <v>0</v>
      </c>
      <c r="FA83" s="4">
        <f t="shared" si="58"/>
        <v>0</v>
      </c>
      <c r="FB83" s="4">
        <f t="shared" si="58"/>
        <v>0</v>
      </c>
      <c r="FC83" s="4">
        <f t="shared" si="58"/>
        <v>0</v>
      </c>
      <c r="FD83" s="4">
        <f t="shared" si="58"/>
        <v>0</v>
      </c>
      <c r="FE83" s="4">
        <f t="shared" si="58"/>
        <v>0</v>
      </c>
      <c r="FF83" s="4">
        <f t="shared" si="58"/>
        <v>0</v>
      </c>
      <c r="FG83" s="4">
        <f t="shared" si="58"/>
        <v>0</v>
      </c>
      <c r="FH83" s="4">
        <f t="shared" si="58"/>
        <v>0</v>
      </c>
      <c r="FI83" s="4">
        <f t="shared" si="58"/>
        <v>0</v>
      </c>
      <c r="FJ83" s="4">
        <f t="shared" si="58"/>
        <v>0</v>
      </c>
      <c r="FK83" s="4">
        <f t="shared" si="58"/>
        <v>0</v>
      </c>
      <c r="FL83" s="4">
        <f t="shared" si="58"/>
        <v>0</v>
      </c>
      <c r="FM83" s="4">
        <f t="shared" si="58"/>
        <v>0</v>
      </c>
      <c r="FN83" s="4">
        <f t="shared" si="58"/>
        <v>0</v>
      </c>
      <c r="FO83" s="4">
        <f t="shared" si="58"/>
        <v>0</v>
      </c>
      <c r="FP83" s="4">
        <f t="shared" si="58"/>
        <v>0</v>
      </c>
      <c r="FQ83" s="4">
        <f t="shared" si="58"/>
        <v>0</v>
      </c>
      <c r="FR83" s="4">
        <f t="shared" si="58"/>
        <v>0</v>
      </c>
      <c r="FS83" s="4">
        <f t="shared" ref="FS83:GX83" si="59">FS116</f>
        <v>180824.63</v>
      </c>
      <c r="FT83" s="4">
        <f t="shared" si="59"/>
        <v>0</v>
      </c>
      <c r="FU83" s="4">
        <f t="shared" si="59"/>
        <v>180824.63</v>
      </c>
      <c r="FV83" s="4">
        <f t="shared" si="59"/>
        <v>0</v>
      </c>
      <c r="FW83" s="4">
        <f t="shared" si="59"/>
        <v>60611.39</v>
      </c>
      <c r="FX83" s="4">
        <f t="shared" si="59"/>
        <v>60611.39</v>
      </c>
      <c r="FY83" s="4">
        <f t="shared" si="59"/>
        <v>0</v>
      </c>
      <c r="FZ83" s="4">
        <f t="shared" si="59"/>
        <v>60611.39</v>
      </c>
      <c r="GA83" s="4">
        <f t="shared" si="59"/>
        <v>0</v>
      </c>
      <c r="GB83" s="4">
        <f t="shared" si="59"/>
        <v>0</v>
      </c>
      <c r="GC83" s="4">
        <f t="shared" si="59"/>
        <v>0</v>
      </c>
      <c r="GD83" s="4">
        <f t="shared" si="59"/>
        <v>0</v>
      </c>
      <c r="GE83" s="4">
        <f t="shared" si="59"/>
        <v>0</v>
      </c>
      <c r="GF83" s="4">
        <f t="shared" si="59"/>
        <v>0</v>
      </c>
      <c r="GG83" s="4">
        <f t="shared" si="59"/>
        <v>0</v>
      </c>
      <c r="GH83" s="4">
        <f t="shared" si="59"/>
        <v>0</v>
      </c>
      <c r="GI83" s="4">
        <f t="shared" si="59"/>
        <v>0</v>
      </c>
      <c r="GJ83" s="4">
        <f t="shared" si="59"/>
        <v>0</v>
      </c>
      <c r="GK83" s="4">
        <f t="shared" si="59"/>
        <v>0</v>
      </c>
      <c r="GL83" s="4">
        <f t="shared" si="59"/>
        <v>0</v>
      </c>
      <c r="GM83" s="4">
        <f t="shared" si="59"/>
        <v>0</v>
      </c>
      <c r="GN83" s="4">
        <f t="shared" si="59"/>
        <v>0</v>
      </c>
      <c r="GO83" s="4">
        <f t="shared" si="59"/>
        <v>0</v>
      </c>
      <c r="GP83" s="4">
        <f t="shared" si="59"/>
        <v>0</v>
      </c>
      <c r="GQ83" s="4">
        <f t="shared" si="59"/>
        <v>0</v>
      </c>
      <c r="GR83" s="4">
        <f t="shared" si="59"/>
        <v>0</v>
      </c>
      <c r="GS83" s="4">
        <f t="shared" si="59"/>
        <v>0</v>
      </c>
      <c r="GT83" s="4">
        <f t="shared" si="59"/>
        <v>0</v>
      </c>
      <c r="GU83" s="4">
        <f t="shared" si="59"/>
        <v>0</v>
      </c>
      <c r="GV83" s="4">
        <f t="shared" si="59"/>
        <v>0</v>
      </c>
      <c r="GW83" s="4">
        <f t="shared" si="59"/>
        <v>0</v>
      </c>
      <c r="GX83" s="4">
        <f t="shared" si="59"/>
        <v>0</v>
      </c>
    </row>
    <row r="85" spans="1:255" x14ac:dyDescent="0.2">
      <c r="A85" s="2">
        <v>17</v>
      </c>
      <c r="B85" s="2">
        <v>1</v>
      </c>
      <c r="C85" s="2">
        <f>ROW(SmtRes!A81)</f>
        <v>81</v>
      </c>
      <c r="D85" s="2">
        <f>ROW(EtalonRes!A80)</f>
        <v>80</v>
      </c>
      <c r="E85" s="2" t="s">
        <v>131</v>
      </c>
      <c r="F85" s="2" t="s">
        <v>132</v>
      </c>
      <c r="G85" s="2" t="s">
        <v>133</v>
      </c>
      <c r="H85" s="2" t="s">
        <v>134</v>
      </c>
      <c r="I85" s="2">
        <f>ROUND(200/100,9)</f>
        <v>2</v>
      </c>
      <c r="J85" s="2">
        <v>0</v>
      </c>
      <c r="K85" s="2">
        <f>ROUND(200/100,9)</f>
        <v>2</v>
      </c>
      <c r="L85" s="2"/>
      <c r="M85" s="2"/>
      <c r="N85" s="2"/>
      <c r="O85" s="2">
        <f t="shared" ref="O85:O114" si="60">ROUND(CP85,2)</f>
        <v>1147.1400000000001</v>
      </c>
      <c r="P85" s="2">
        <f t="shared" ref="P85:P114" si="61">ROUND((ROUND((AC85*AW85*I85),2)*BC85),2)</f>
        <v>628.58000000000004</v>
      </c>
      <c r="Q85" s="2">
        <f>(ROUND((ROUND((((ET85*1.1))*AV85*I85),2)*BB85),2)+ROUND((ROUND(((AE85-((EU85*1.1)))*AV85*I85),2)*BS85),2))</f>
        <v>75.709999999999994</v>
      </c>
      <c r="R85" s="2">
        <f>(ROUND((ROUND((((EU85*1.1))*AV85*I85),2)*BS85),2)+ROUND((ROUND(((AE85-((EU85*1.1)))*AV85*I85),2)*BS85),2))</f>
        <v>13.15</v>
      </c>
      <c r="S85" s="2">
        <f t="shared" ref="S85:S114" si="62">ROUND((ROUND((AF85*AV85*I85),2)*BA85),2)</f>
        <v>442.85</v>
      </c>
      <c r="T85" s="2">
        <f t="shared" ref="T85:T114" si="63">ROUND(CU85*I85,2)</f>
        <v>0</v>
      </c>
      <c r="U85" s="2">
        <f t="shared" ref="U85:U114" si="64">CV85*I85</f>
        <v>34.550999999999995</v>
      </c>
      <c r="V85" s="2">
        <f t="shared" ref="V85:V114" si="65">CW85*I85</f>
        <v>0</v>
      </c>
      <c r="W85" s="2">
        <f t="shared" ref="W85:W114" si="66">ROUND(CX85*I85,2)</f>
        <v>0</v>
      </c>
      <c r="X85" s="2">
        <f>(ROUND((((S85+ROUND((ROUND((((EU85*1.1))*AV85*I85),2)*BS85),2))*AT85)/100),2)+ROUND(((ROUND((ROUND(((AE85-((EU85*1.1)))*AV85*I85),2)*BS85),2)*AT85)/100),2))</f>
        <v>442.32</v>
      </c>
      <c r="Y85" s="2">
        <f>(ROUND((((S85+ROUND((ROUND((((EU85*1.1))*AV85*I85),2)*BS85),2))*AU85)/100),2)+ROUND(((ROUND((ROUND(((AE85-((EU85*1.1)))*AV85*I85),2)*BS85),2)*AU85)/100),2))</f>
        <v>232.56</v>
      </c>
      <c r="Z85" s="2"/>
      <c r="AA85" s="2">
        <v>60256985</v>
      </c>
      <c r="AB85" s="2">
        <f t="shared" ref="AB85:AB114" si="67">ROUND((AC85+AD85+AF85),6)</f>
        <v>561.93299999999999</v>
      </c>
      <c r="AC85" s="2">
        <f t="shared" ref="AC85:AC114" si="68">ROUND((ES85),6)</f>
        <v>314.29000000000002</v>
      </c>
      <c r="AD85" s="2">
        <f>ROUND(((((ET85*1.1))-((EU85*1.1)))+AE85),6)</f>
        <v>36.156999999999996</v>
      </c>
      <c r="AE85" s="2">
        <f>ROUND(((EU85*1.1)),6)</f>
        <v>6.2809999999999997</v>
      </c>
      <c r="AF85" s="2">
        <f>ROUND(((EV85*1.1)),6)</f>
        <v>211.48599999999999</v>
      </c>
      <c r="AG85" s="2">
        <f t="shared" ref="AG85:AG114" si="69">ROUND((AP85),6)</f>
        <v>0</v>
      </c>
      <c r="AH85" s="2">
        <f>((EW85*1.1))</f>
        <v>16.5</v>
      </c>
      <c r="AI85" s="2">
        <f>((EX85*1.1))</f>
        <v>0</v>
      </c>
      <c r="AJ85" s="2">
        <f t="shared" ref="AJ85:AJ114" si="70">(AS85)</f>
        <v>0</v>
      </c>
      <c r="AK85" s="2">
        <v>539.41999999999996</v>
      </c>
      <c r="AL85" s="2">
        <v>314.29000000000002</v>
      </c>
      <c r="AM85" s="2">
        <v>32.869999999999997</v>
      </c>
      <c r="AN85" s="2">
        <v>5.71</v>
      </c>
      <c r="AO85" s="2">
        <v>192.26</v>
      </c>
      <c r="AP85" s="2">
        <v>0</v>
      </c>
      <c r="AQ85" s="2">
        <v>15</v>
      </c>
      <c r="AR85" s="2">
        <v>0</v>
      </c>
      <c r="AS85" s="2">
        <v>0</v>
      </c>
      <c r="AT85" s="2">
        <v>97</v>
      </c>
      <c r="AU85" s="2">
        <v>51</v>
      </c>
      <c r="AV85" s="2">
        <v>1.0469999999999999</v>
      </c>
      <c r="AW85" s="2">
        <v>1</v>
      </c>
      <c r="AX85" s="2"/>
      <c r="AY85" s="2"/>
      <c r="AZ85" s="2">
        <v>1</v>
      </c>
      <c r="BA85" s="2">
        <v>1</v>
      </c>
      <c r="BB85" s="2">
        <v>1</v>
      </c>
      <c r="BC85" s="2">
        <v>1</v>
      </c>
      <c r="BD85" s="2" t="s">
        <v>3</v>
      </c>
      <c r="BE85" s="2" t="s">
        <v>3</v>
      </c>
      <c r="BF85" s="2" t="s">
        <v>3</v>
      </c>
      <c r="BG85" s="2" t="s">
        <v>3</v>
      </c>
      <c r="BH85" s="2">
        <v>0</v>
      </c>
      <c r="BI85" s="2">
        <v>2</v>
      </c>
      <c r="BJ85" s="2" t="s">
        <v>135</v>
      </c>
      <c r="BK85" s="2"/>
      <c r="BL85" s="2"/>
      <c r="BM85" s="2">
        <v>67</v>
      </c>
      <c r="BN85" s="2">
        <v>58973116</v>
      </c>
      <c r="BO85" s="2" t="s">
        <v>132</v>
      </c>
      <c r="BP85" s="2">
        <v>1</v>
      </c>
      <c r="BQ85" s="2">
        <v>40</v>
      </c>
      <c r="BR85" s="2">
        <v>0</v>
      </c>
      <c r="BS85" s="2">
        <v>1</v>
      </c>
      <c r="BT85" s="2">
        <v>1</v>
      </c>
      <c r="BU85" s="2">
        <v>1</v>
      </c>
      <c r="BV85" s="2">
        <v>1</v>
      </c>
      <c r="BW85" s="2">
        <v>1</v>
      </c>
      <c r="BX85" s="2">
        <v>1</v>
      </c>
      <c r="BY85" s="2" t="s">
        <v>3</v>
      </c>
      <c r="BZ85" s="2">
        <v>97</v>
      </c>
      <c r="CA85" s="2">
        <v>51</v>
      </c>
      <c r="CB85" s="2" t="s">
        <v>3</v>
      </c>
      <c r="CC85" s="2"/>
      <c r="CD85" s="2"/>
      <c r="CE85" s="2">
        <v>1566</v>
      </c>
      <c r="CF85" s="2">
        <v>0</v>
      </c>
      <c r="CG85" s="2">
        <v>0</v>
      </c>
      <c r="CH85" s="2"/>
      <c r="CI85" s="2"/>
      <c r="CJ85" s="2"/>
      <c r="CK85" s="2"/>
      <c r="CL85" s="2"/>
      <c r="CM85" s="2">
        <v>0</v>
      </c>
      <c r="CN85" s="2" t="s">
        <v>474</v>
      </c>
      <c r="CO85" s="2">
        <v>0</v>
      </c>
      <c r="CP85" s="2">
        <f t="shared" ref="CP85:CP114" si="71">(P85+Q85+S85)</f>
        <v>1147.1400000000001</v>
      </c>
      <c r="CQ85" s="2">
        <f t="shared" ref="CQ85:CQ114" si="72">ROUND((ROUND((AC85*AW85*1),2)*BC85),2)</f>
        <v>314.29000000000002</v>
      </c>
      <c r="CR85" s="2">
        <f>(ROUND((ROUND((((ET85*1.1))*AV85*1),2)*BB85),2)+ROUND((ROUND(((AE85-((EU85*1.1)))*AV85*1),2)*BS85),2))</f>
        <v>37.86</v>
      </c>
      <c r="CS85" s="2">
        <f>(ROUND((ROUND((((EU85*1.1))*AV85*1),2)*BS85),2)+ROUND((ROUND(((AE85-((EU85*1.1)))*AV85*1),2)*BS85),2))</f>
        <v>6.58</v>
      </c>
      <c r="CT85" s="2">
        <f t="shared" ref="CT85:CT114" si="73">ROUND((ROUND((AF85*AV85*1),2)*BA85),2)</f>
        <v>221.43</v>
      </c>
      <c r="CU85" s="2">
        <f t="shared" ref="CU85:CU114" si="74">AG85</f>
        <v>0</v>
      </c>
      <c r="CV85" s="2">
        <f t="shared" ref="CV85:CV114" si="75">(AH85*AV85)</f>
        <v>17.275499999999997</v>
      </c>
      <c r="CW85" s="2">
        <f t="shared" ref="CW85:CW114" si="76">AI85</f>
        <v>0</v>
      </c>
      <c r="CX85" s="2">
        <f t="shared" ref="CX85:CX114" si="77">AJ85</f>
        <v>0</v>
      </c>
      <c r="CY85" s="2">
        <f>(ROUND((((S85+ROUND((ROUND((((EU85*1.1))*AV85*1),2)*BS85),2))*AT85)/100),2)+ROUND(((ROUND((ROUND(((AE85-((EU85*1.1)))*AV85*1),2)*BS85),2)*AT85)/100),2))</f>
        <v>435.95</v>
      </c>
      <c r="CZ85" s="2">
        <f>(ROUND((((S85+ROUND((ROUND((((EU85*1.1))*AV85*1),2)*BS85),2))*AU85)/100),2)+ROUND(((ROUND((ROUND(((AE85-((EU85*1.1)))*AV85*1),2)*BS85),2)*AU85)/100),2))</f>
        <v>229.21</v>
      </c>
      <c r="DA85" s="2"/>
      <c r="DB85" s="2">
        <v>11</v>
      </c>
      <c r="DC85" s="2" t="s">
        <v>3</v>
      </c>
      <c r="DD85" s="2" t="s">
        <v>3</v>
      </c>
      <c r="DE85" s="2" t="s">
        <v>23</v>
      </c>
      <c r="DF85" s="2" t="s">
        <v>23</v>
      </c>
      <c r="DG85" s="2" t="s">
        <v>23</v>
      </c>
      <c r="DH85" s="2" t="s">
        <v>3</v>
      </c>
      <c r="DI85" s="2" t="s">
        <v>23</v>
      </c>
      <c r="DJ85" s="2" t="s">
        <v>23</v>
      </c>
      <c r="DK85" s="2" t="s">
        <v>3</v>
      </c>
      <c r="DL85" s="2" t="s">
        <v>3</v>
      </c>
      <c r="DM85" s="2" t="s">
        <v>3</v>
      </c>
      <c r="DN85" s="2">
        <v>0</v>
      </c>
      <c r="DO85" s="2">
        <v>0</v>
      </c>
      <c r="DP85" s="2">
        <v>1</v>
      </c>
      <c r="DQ85" s="2">
        <v>1</v>
      </c>
      <c r="DR85" s="2"/>
      <c r="DS85" s="2"/>
      <c r="DT85" s="2"/>
      <c r="DU85" s="2">
        <v>1003</v>
      </c>
      <c r="DV85" s="2" t="s">
        <v>134</v>
      </c>
      <c r="DW85" s="2" t="s">
        <v>134</v>
      </c>
      <c r="DX85" s="2">
        <v>100</v>
      </c>
      <c r="DY85" s="2"/>
      <c r="DZ85" s="2" t="s">
        <v>3</v>
      </c>
      <c r="EA85" s="2" t="s">
        <v>3</v>
      </c>
      <c r="EB85" s="2" t="s">
        <v>3</v>
      </c>
      <c r="EC85" s="2" t="s">
        <v>3</v>
      </c>
      <c r="ED85" s="2"/>
      <c r="EE85" s="2">
        <v>60088531</v>
      </c>
      <c r="EF85" s="2">
        <v>40</v>
      </c>
      <c r="EG85" s="2" t="s">
        <v>24</v>
      </c>
      <c r="EH85" s="2">
        <v>0</v>
      </c>
      <c r="EI85" s="2" t="s">
        <v>3</v>
      </c>
      <c r="EJ85" s="2">
        <v>2</v>
      </c>
      <c r="EK85" s="2">
        <v>67</v>
      </c>
      <c r="EL85" s="2" t="s">
        <v>65</v>
      </c>
      <c r="EM85" s="2" t="s">
        <v>66</v>
      </c>
      <c r="EN85" s="2"/>
      <c r="EO85" s="2" t="s">
        <v>27</v>
      </c>
      <c r="EP85" s="2"/>
      <c r="EQ85" s="2">
        <v>0</v>
      </c>
      <c r="ER85" s="2">
        <v>539.41999999999996</v>
      </c>
      <c r="ES85" s="2">
        <v>314.29000000000002</v>
      </c>
      <c r="ET85" s="2">
        <v>32.869999999999997</v>
      </c>
      <c r="EU85" s="2">
        <v>5.71</v>
      </c>
      <c r="EV85" s="2">
        <v>192.26</v>
      </c>
      <c r="EW85" s="2">
        <v>15</v>
      </c>
      <c r="EX85" s="2">
        <v>0</v>
      </c>
      <c r="EY85" s="2">
        <v>0</v>
      </c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>
        <v>0</v>
      </c>
      <c r="FR85" s="2">
        <v>0</v>
      </c>
      <c r="FS85" s="2">
        <v>0</v>
      </c>
      <c r="FT85" s="2"/>
      <c r="FU85" s="2"/>
      <c r="FV85" s="2"/>
      <c r="FW85" s="2"/>
      <c r="FX85" s="2">
        <v>97</v>
      </c>
      <c r="FY85" s="2">
        <v>51</v>
      </c>
      <c r="FZ85" s="2"/>
      <c r="GA85" s="2" t="s">
        <v>3</v>
      </c>
      <c r="GB85" s="2"/>
      <c r="GC85" s="2"/>
      <c r="GD85" s="2">
        <v>1</v>
      </c>
      <c r="GE85" s="2"/>
      <c r="GF85" s="2">
        <v>1705749599</v>
      </c>
      <c r="GG85" s="2">
        <v>2</v>
      </c>
      <c r="GH85" s="2">
        <v>1</v>
      </c>
      <c r="GI85" s="2">
        <v>2</v>
      </c>
      <c r="GJ85" s="2">
        <v>0</v>
      </c>
      <c r="GK85" s="2">
        <v>0</v>
      </c>
      <c r="GL85" s="2">
        <f t="shared" ref="GL85:GL114" si="78">ROUND(IF(AND(BH85=3,BI85=3,FS85&lt;&gt;0),P85,0),2)</f>
        <v>0</v>
      </c>
      <c r="GM85" s="2">
        <f t="shared" ref="GM85:GM114" si="79">ROUND(O85+X85+Y85,2)+GX85</f>
        <v>1822.02</v>
      </c>
      <c r="GN85" s="2">
        <f t="shared" ref="GN85:GN114" si="80">IF(OR(BI85=0,BI85=1),GM85-GX85,0)</f>
        <v>0</v>
      </c>
      <c r="GO85" s="2">
        <f t="shared" ref="GO85:GO114" si="81">IF(BI85=2,GM85-GX85,0)</f>
        <v>1822.02</v>
      </c>
      <c r="GP85" s="2">
        <f t="shared" ref="GP85:GP114" si="82">IF(BI85=4,GM85-GX85,0)</f>
        <v>0</v>
      </c>
      <c r="GQ85" s="2"/>
      <c r="GR85" s="2">
        <v>0</v>
      </c>
      <c r="GS85" s="2">
        <v>3</v>
      </c>
      <c r="GT85" s="2">
        <v>0</v>
      </c>
      <c r="GU85" s="2" t="s">
        <v>3</v>
      </c>
      <c r="GV85" s="2">
        <f t="shared" ref="GV85:GV114" si="83">ROUND((GT85),6)</f>
        <v>0</v>
      </c>
      <c r="GW85" s="2">
        <v>1</v>
      </c>
      <c r="GX85" s="2">
        <f t="shared" ref="GX85:GX114" si="84">ROUND(HC85*I85,2)</f>
        <v>0</v>
      </c>
      <c r="GY85" s="2"/>
      <c r="GZ85" s="2"/>
      <c r="HA85" s="2">
        <v>0</v>
      </c>
      <c r="HB85" s="2">
        <v>0</v>
      </c>
      <c r="HC85" s="2">
        <f t="shared" ref="HC85:HC114" si="85">GV85*GW85</f>
        <v>0</v>
      </c>
      <c r="HD85" s="2"/>
      <c r="HE85" s="2" t="s">
        <v>3</v>
      </c>
      <c r="HF85" s="2" t="s">
        <v>3</v>
      </c>
      <c r="HG85" s="2"/>
      <c r="HH85" s="2"/>
      <c r="HI85" s="2"/>
      <c r="HJ85" s="2"/>
      <c r="HK85" s="2"/>
      <c r="HL85" s="2"/>
      <c r="HM85" s="2" t="s">
        <v>3</v>
      </c>
      <c r="HN85" s="2" t="s">
        <v>3</v>
      </c>
      <c r="HO85" s="2" t="s">
        <v>3</v>
      </c>
      <c r="HP85" s="2" t="s">
        <v>3</v>
      </c>
      <c r="HQ85" s="2" t="s">
        <v>3</v>
      </c>
      <c r="HR85" s="2"/>
      <c r="HS85" s="2">
        <v>0</v>
      </c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>
        <v>0</v>
      </c>
      <c r="IL85" s="2"/>
      <c r="IM85" s="2"/>
      <c r="IN85" s="2"/>
      <c r="IO85" s="2"/>
      <c r="IP85" s="2"/>
      <c r="IQ85" s="2"/>
      <c r="IR85" s="2"/>
      <c r="IS85" s="2"/>
      <c r="IT85" s="2"/>
      <c r="IU85" s="2"/>
    </row>
    <row r="86" spans="1:255" x14ac:dyDescent="0.2">
      <c r="A86">
        <v>17</v>
      </c>
      <c r="B86">
        <v>1</v>
      </c>
      <c r="C86">
        <f>ROW(SmtRes!A84)</f>
        <v>84</v>
      </c>
      <c r="D86">
        <f>ROW(EtalonRes!A84)</f>
        <v>84</v>
      </c>
      <c r="E86" t="s">
        <v>131</v>
      </c>
      <c r="F86" t="s">
        <v>132</v>
      </c>
      <c r="G86" t="s">
        <v>133</v>
      </c>
      <c r="H86" t="s">
        <v>134</v>
      </c>
      <c r="I86">
        <f>ROUND(200/100,9)</f>
        <v>2</v>
      </c>
      <c r="J86">
        <v>0</v>
      </c>
      <c r="K86">
        <f>ROUND(200/100,9)</f>
        <v>2</v>
      </c>
      <c r="O86">
        <f t="shared" si="60"/>
        <v>31920.400000000001</v>
      </c>
      <c r="P86">
        <f t="shared" si="61"/>
        <v>6216.66</v>
      </c>
      <c r="Q86">
        <f>(ROUND((ROUND((((ET86*1.1))*AV86*I86),2)*BB86),2)+ROUND((ROUND(((AE86-((EU86*1.1)))*AV86*I86),2)*BS86),2))</f>
        <v>1351.42</v>
      </c>
      <c r="R86">
        <f>(ROUND((ROUND((((EU86*1.1))*AV86*I86),2)*BS86),2)+ROUND((ROUND(((AE86-((EU86*1.1)))*AV86*I86),2)*BS86),2))</f>
        <v>723.12</v>
      </c>
      <c r="S86">
        <f t="shared" si="62"/>
        <v>24352.32</v>
      </c>
      <c r="T86">
        <f t="shared" si="63"/>
        <v>0</v>
      </c>
      <c r="U86">
        <f t="shared" si="64"/>
        <v>34.550999999999995</v>
      </c>
      <c r="V86">
        <f t="shared" si="65"/>
        <v>0</v>
      </c>
      <c r="W86">
        <f t="shared" si="66"/>
        <v>0</v>
      </c>
      <c r="X86">
        <f>(ROUND((((S86+ROUND((ROUND((((EU86*1.1))*AV86*I86),2)*BS86),2))*AT86)/100),2)+ROUND(((ROUND((ROUND(((AE86-((EU86*1.1)))*AV86*I86),2)*BS86),2)*AT86)/100),2))</f>
        <v>24323.18</v>
      </c>
      <c r="Y86">
        <f>(ROUND((((S86+ROUND((ROUND((((EU86*1.1))*AV86*I86),2)*BS86),2))*AU86)/100),2)+ROUND(((ROUND((ROUND(((AE86-((EU86*1.1)))*AV86*I86),2)*BS86),2)*AU86)/100),2))</f>
        <v>12788.47</v>
      </c>
      <c r="AA86">
        <v>60256982</v>
      </c>
      <c r="AB86">
        <f t="shared" si="67"/>
        <v>561.93299999999999</v>
      </c>
      <c r="AC86">
        <f t="shared" si="68"/>
        <v>314.29000000000002</v>
      </c>
      <c r="AD86">
        <f>ROUND(((((ET86*1.1))-((EU86*1.1)))+AE86),6)</f>
        <v>36.156999999999996</v>
      </c>
      <c r="AE86">
        <f>ROUND(((EU86*1.1)),6)</f>
        <v>6.2809999999999997</v>
      </c>
      <c r="AF86">
        <f>ROUND(((EV86*1.1)),6)</f>
        <v>211.48599999999999</v>
      </c>
      <c r="AG86">
        <f t="shared" si="69"/>
        <v>0</v>
      </c>
      <c r="AH86">
        <f>((EW86*1.1))</f>
        <v>16.5</v>
      </c>
      <c r="AI86">
        <f>((EX86*1.1))</f>
        <v>0</v>
      </c>
      <c r="AJ86">
        <f t="shared" si="70"/>
        <v>0</v>
      </c>
      <c r="AK86">
        <v>539.41999999999996</v>
      </c>
      <c r="AL86">
        <v>314.29000000000002</v>
      </c>
      <c r="AM86">
        <v>32.869999999999997</v>
      </c>
      <c r="AN86">
        <v>5.71</v>
      </c>
      <c r="AO86">
        <v>192.26</v>
      </c>
      <c r="AP86">
        <v>0</v>
      </c>
      <c r="AQ86">
        <v>15</v>
      </c>
      <c r="AR86">
        <v>0</v>
      </c>
      <c r="AS86">
        <v>0</v>
      </c>
      <c r="AT86">
        <v>97</v>
      </c>
      <c r="AU86">
        <v>51</v>
      </c>
      <c r="AV86">
        <v>1.0469999999999999</v>
      </c>
      <c r="AW86">
        <v>1</v>
      </c>
      <c r="AZ86">
        <v>1</v>
      </c>
      <c r="BA86">
        <v>54.99</v>
      </c>
      <c r="BB86">
        <v>17.850000000000001</v>
      </c>
      <c r="BC86">
        <v>9.89</v>
      </c>
      <c r="BD86" t="s">
        <v>3</v>
      </c>
      <c r="BE86" t="s">
        <v>3</v>
      </c>
      <c r="BF86" t="s">
        <v>3</v>
      </c>
      <c r="BG86" t="s">
        <v>3</v>
      </c>
      <c r="BH86">
        <v>0</v>
      </c>
      <c r="BI86">
        <v>2</v>
      </c>
      <c r="BJ86" t="s">
        <v>135</v>
      </c>
      <c r="BM86">
        <v>67</v>
      </c>
      <c r="BN86">
        <v>58973116</v>
      </c>
      <c r="BO86" t="s">
        <v>132</v>
      </c>
      <c r="BP86">
        <v>1</v>
      </c>
      <c r="BQ86">
        <v>40</v>
      </c>
      <c r="BR86">
        <v>0</v>
      </c>
      <c r="BS86">
        <v>54.99</v>
      </c>
      <c r="BT86">
        <v>1</v>
      </c>
      <c r="BU86">
        <v>1</v>
      </c>
      <c r="BV86">
        <v>1</v>
      </c>
      <c r="BW86">
        <v>1</v>
      </c>
      <c r="BX86">
        <v>1</v>
      </c>
      <c r="BY86" t="s">
        <v>3</v>
      </c>
      <c r="BZ86">
        <v>97</v>
      </c>
      <c r="CA86">
        <v>51</v>
      </c>
      <c r="CB86" t="s">
        <v>3</v>
      </c>
      <c r="CE86">
        <v>1566</v>
      </c>
      <c r="CF86">
        <v>0</v>
      </c>
      <c r="CG86">
        <v>0</v>
      </c>
      <c r="CM86">
        <v>0</v>
      </c>
      <c r="CN86" t="s">
        <v>474</v>
      </c>
      <c r="CO86">
        <v>0</v>
      </c>
      <c r="CP86">
        <f t="shared" si="71"/>
        <v>31920.400000000001</v>
      </c>
      <c r="CQ86">
        <f t="shared" si="72"/>
        <v>3108.33</v>
      </c>
      <c r="CR86">
        <f>(ROUND((ROUND((((ET86*1.1))*AV86*1),2)*BB86),2)+ROUND((ROUND(((AE86-((EU86*1.1)))*AV86*1),2)*BS86),2))</f>
        <v>675.8</v>
      </c>
      <c r="CS86">
        <f>(ROUND((ROUND((((EU86*1.1))*AV86*1),2)*BS86),2)+ROUND((ROUND(((AE86-((EU86*1.1)))*AV86*1),2)*BS86),2))</f>
        <v>361.83</v>
      </c>
      <c r="CT86">
        <f t="shared" si="73"/>
        <v>12176.44</v>
      </c>
      <c r="CU86">
        <f t="shared" si="74"/>
        <v>0</v>
      </c>
      <c r="CV86">
        <f t="shared" si="75"/>
        <v>17.275499999999997</v>
      </c>
      <c r="CW86">
        <f t="shared" si="76"/>
        <v>0</v>
      </c>
      <c r="CX86">
        <f t="shared" si="77"/>
        <v>0</v>
      </c>
      <c r="CY86">
        <f>(ROUND((((S86+ROUND((ROUND((((EU86*1.1))*AV86*1),2)*BS86),2))*AT86)/100),2)+ROUND(((ROUND((ROUND(((AE86-((EU86*1.1)))*AV86*1),2)*BS86),2)*AT86)/100),2))</f>
        <v>23972.73</v>
      </c>
      <c r="CZ86">
        <f>(ROUND((((S86+ROUND((ROUND((((EU86*1.1))*AV86*1),2)*BS86),2))*AU86)/100),2)+ROUND(((ROUND((ROUND(((AE86-((EU86*1.1)))*AV86*1),2)*BS86),2)*AU86)/100),2))</f>
        <v>12604.22</v>
      </c>
      <c r="DB86">
        <v>12</v>
      </c>
      <c r="DC86" t="s">
        <v>3</v>
      </c>
      <c r="DD86" t="s">
        <v>3</v>
      </c>
      <c r="DE86" t="s">
        <v>23</v>
      </c>
      <c r="DF86" t="s">
        <v>23</v>
      </c>
      <c r="DG86" t="s">
        <v>23</v>
      </c>
      <c r="DH86" t="s">
        <v>3</v>
      </c>
      <c r="DI86" t="s">
        <v>23</v>
      </c>
      <c r="DJ86" t="s">
        <v>23</v>
      </c>
      <c r="DK86" t="s">
        <v>3</v>
      </c>
      <c r="DL86" t="s">
        <v>3</v>
      </c>
      <c r="DM86" t="s">
        <v>3</v>
      </c>
      <c r="DN86">
        <v>0</v>
      </c>
      <c r="DO86">
        <v>0</v>
      </c>
      <c r="DP86">
        <v>1</v>
      </c>
      <c r="DQ86">
        <v>1</v>
      </c>
      <c r="DU86">
        <v>1003</v>
      </c>
      <c r="DV86" t="s">
        <v>134</v>
      </c>
      <c r="DW86" t="s">
        <v>134</v>
      </c>
      <c r="DX86">
        <v>100</v>
      </c>
      <c r="DZ86" t="s">
        <v>3</v>
      </c>
      <c r="EA86" t="s">
        <v>3</v>
      </c>
      <c r="EB86" t="s">
        <v>3</v>
      </c>
      <c r="EC86" t="s">
        <v>3</v>
      </c>
      <c r="EE86">
        <v>60088531</v>
      </c>
      <c r="EF86">
        <v>40</v>
      </c>
      <c r="EG86" t="s">
        <v>24</v>
      </c>
      <c r="EH86">
        <v>0</v>
      </c>
      <c r="EI86" t="s">
        <v>3</v>
      </c>
      <c r="EJ86">
        <v>2</v>
      </c>
      <c r="EK86">
        <v>67</v>
      </c>
      <c r="EL86" t="s">
        <v>65</v>
      </c>
      <c r="EM86" t="s">
        <v>66</v>
      </c>
      <c r="EO86" t="s">
        <v>27</v>
      </c>
      <c r="EQ86">
        <v>0</v>
      </c>
      <c r="ER86">
        <v>539.41999999999996</v>
      </c>
      <c r="ES86">
        <v>314.29000000000002</v>
      </c>
      <c r="ET86">
        <v>32.869999999999997</v>
      </c>
      <c r="EU86">
        <v>5.71</v>
      </c>
      <c r="EV86">
        <v>192.26</v>
      </c>
      <c r="EW86">
        <v>15</v>
      </c>
      <c r="EX86">
        <v>0</v>
      </c>
      <c r="EY86">
        <v>0</v>
      </c>
      <c r="FQ86">
        <v>0</v>
      </c>
      <c r="FR86">
        <v>0</v>
      </c>
      <c r="FS86">
        <v>0</v>
      </c>
      <c r="FX86">
        <v>97</v>
      </c>
      <c r="FY86">
        <v>51</v>
      </c>
      <c r="GA86" t="s">
        <v>3</v>
      </c>
      <c r="GD86">
        <v>1</v>
      </c>
      <c r="GF86">
        <v>1705749599</v>
      </c>
      <c r="GG86">
        <v>2</v>
      </c>
      <c r="GH86">
        <v>1</v>
      </c>
      <c r="GI86">
        <v>2</v>
      </c>
      <c r="GJ86">
        <v>0</v>
      </c>
      <c r="GK86">
        <v>0</v>
      </c>
      <c r="GL86">
        <f t="shared" si="78"/>
        <v>0</v>
      </c>
      <c r="GM86">
        <f t="shared" si="79"/>
        <v>69032.05</v>
      </c>
      <c r="GN86">
        <f t="shared" si="80"/>
        <v>0</v>
      </c>
      <c r="GO86">
        <f t="shared" si="81"/>
        <v>69032.05</v>
      </c>
      <c r="GP86">
        <f t="shared" si="82"/>
        <v>0</v>
      </c>
      <c r="GR86">
        <v>0</v>
      </c>
      <c r="GS86">
        <v>3</v>
      </c>
      <c r="GT86">
        <v>0</v>
      </c>
      <c r="GU86" t="s">
        <v>3</v>
      </c>
      <c r="GV86">
        <f t="shared" si="83"/>
        <v>0</v>
      </c>
      <c r="GW86">
        <v>1</v>
      </c>
      <c r="GX86">
        <f t="shared" si="84"/>
        <v>0</v>
      </c>
      <c r="HA86">
        <v>0</v>
      </c>
      <c r="HB86">
        <v>0</v>
      </c>
      <c r="HC86">
        <f t="shared" si="85"/>
        <v>0</v>
      </c>
      <c r="HE86" t="s">
        <v>3</v>
      </c>
      <c r="HF86" t="s">
        <v>3</v>
      </c>
      <c r="HM86" t="s">
        <v>3</v>
      </c>
      <c r="HN86" t="s">
        <v>3</v>
      </c>
      <c r="HO86" t="s">
        <v>3</v>
      </c>
      <c r="HP86" t="s">
        <v>3</v>
      </c>
      <c r="HQ86" t="s">
        <v>3</v>
      </c>
      <c r="HS86">
        <v>0</v>
      </c>
      <c r="IK86">
        <v>0</v>
      </c>
    </row>
    <row r="87" spans="1:255" x14ac:dyDescent="0.2">
      <c r="A87" s="2">
        <v>18</v>
      </c>
      <c r="B87" s="2">
        <v>1</v>
      </c>
      <c r="C87" s="2">
        <v>80</v>
      </c>
      <c r="D87" s="2"/>
      <c r="E87" s="2" t="s">
        <v>136</v>
      </c>
      <c r="F87" s="2" t="s">
        <v>137</v>
      </c>
      <c r="G87" s="2" t="s">
        <v>138</v>
      </c>
      <c r="H87" s="2" t="s">
        <v>139</v>
      </c>
      <c r="I87" s="2">
        <f>I85*J87</f>
        <v>204</v>
      </c>
      <c r="J87" s="2">
        <v>102</v>
      </c>
      <c r="K87" s="2">
        <v>102</v>
      </c>
      <c r="L87" s="2"/>
      <c r="M87" s="2"/>
      <c r="N87" s="2"/>
      <c r="O87" s="2">
        <f t="shared" si="60"/>
        <v>703.8</v>
      </c>
      <c r="P87" s="2">
        <f t="shared" si="61"/>
        <v>703.8</v>
      </c>
      <c r="Q87" s="2">
        <f>(ROUND((ROUND(((ET87)*AV87*I87),2)*BB87),2)+ROUND((ROUND(((AE87-(EU87))*AV87*I87),2)*BS87),2))</f>
        <v>0</v>
      </c>
      <c r="R87" s="2">
        <f>(ROUND((ROUND(((EU87)*AV87*I87),2)*BS87),2)+ROUND((ROUND(((AE87-(EU87))*AV87*I87),2)*BS87),2))</f>
        <v>0</v>
      </c>
      <c r="S87" s="2">
        <f t="shared" si="62"/>
        <v>0</v>
      </c>
      <c r="T87" s="2">
        <f t="shared" si="63"/>
        <v>0</v>
      </c>
      <c r="U87" s="2">
        <f t="shared" si="64"/>
        <v>0</v>
      </c>
      <c r="V87" s="2">
        <f t="shared" si="65"/>
        <v>0</v>
      </c>
      <c r="W87" s="2">
        <f t="shared" si="66"/>
        <v>0</v>
      </c>
      <c r="X87" s="2">
        <f>(ROUND((((S87+ROUND((ROUND(((EU87)*AV87*I87),2)*BS87),2))*AT87)/100),2)+ROUND(((ROUND((ROUND(((AE87-(EU87))*AV87*I87),2)*BS87),2)*AT87)/100),2))</f>
        <v>0</v>
      </c>
      <c r="Y87" s="2">
        <f>(ROUND((((S87+ROUND((ROUND(((EU87)*AV87*I87),2)*BS87),2))*AU87)/100),2)+ROUND(((ROUND((ROUND(((AE87-(EU87))*AV87*I87),2)*BS87),2)*AU87)/100),2))</f>
        <v>0</v>
      </c>
      <c r="Z87" s="2"/>
      <c r="AA87" s="2">
        <v>60256985</v>
      </c>
      <c r="AB87" s="2">
        <f t="shared" si="67"/>
        <v>3.45</v>
      </c>
      <c r="AC87" s="2">
        <f t="shared" si="68"/>
        <v>3.45</v>
      </c>
      <c r="AD87" s="2">
        <f>ROUND((((ET87)-(EU87))+AE87),6)</f>
        <v>0</v>
      </c>
      <c r="AE87" s="2">
        <f t="shared" ref="AE87:AF90" si="86">ROUND((EU87),6)</f>
        <v>0</v>
      </c>
      <c r="AF87" s="2">
        <f t="shared" si="86"/>
        <v>0</v>
      </c>
      <c r="AG87" s="2">
        <f t="shared" si="69"/>
        <v>0</v>
      </c>
      <c r="AH87" s="2">
        <f t="shared" ref="AH87:AI90" si="87">(EW87)</f>
        <v>0</v>
      </c>
      <c r="AI87" s="2">
        <f t="shared" si="87"/>
        <v>0</v>
      </c>
      <c r="AJ87" s="2">
        <f t="shared" si="70"/>
        <v>0</v>
      </c>
      <c r="AK87" s="2">
        <v>3.45</v>
      </c>
      <c r="AL87" s="2">
        <v>3.45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97</v>
      </c>
      <c r="AU87" s="2">
        <v>51</v>
      </c>
      <c r="AV87" s="2">
        <v>1</v>
      </c>
      <c r="AW87" s="2">
        <v>1</v>
      </c>
      <c r="AX87" s="2"/>
      <c r="AY87" s="2"/>
      <c r="AZ87" s="2">
        <v>1</v>
      </c>
      <c r="BA87" s="2">
        <v>1</v>
      </c>
      <c r="BB87" s="2">
        <v>1</v>
      </c>
      <c r="BC87" s="2">
        <v>1</v>
      </c>
      <c r="BD87" s="2" t="s">
        <v>3</v>
      </c>
      <c r="BE87" s="2" t="s">
        <v>3</v>
      </c>
      <c r="BF87" s="2" t="s">
        <v>3</v>
      </c>
      <c r="BG87" s="2" t="s">
        <v>3</v>
      </c>
      <c r="BH87" s="2">
        <v>3</v>
      </c>
      <c r="BI87" s="2">
        <v>2</v>
      </c>
      <c r="BJ87" s="2" t="s">
        <v>140</v>
      </c>
      <c r="BK87" s="2"/>
      <c r="BL87" s="2"/>
      <c r="BM87" s="2">
        <v>67</v>
      </c>
      <c r="BN87" s="2">
        <v>58973116</v>
      </c>
      <c r="BO87" s="2" t="s">
        <v>3</v>
      </c>
      <c r="BP87" s="2">
        <v>0</v>
      </c>
      <c r="BQ87" s="2">
        <v>40</v>
      </c>
      <c r="BR87" s="2">
        <v>0</v>
      </c>
      <c r="BS87" s="2">
        <v>1</v>
      </c>
      <c r="BT87" s="2">
        <v>1</v>
      </c>
      <c r="BU87" s="2">
        <v>1</v>
      </c>
      <c r="BV87" s="2">
        <v>1</v>
      </c>
      <c r="BW87" s="2">
        <v>1</v>
      </c>
      <c r="BX87" s="2">
        <v>1</v>
      </c>
      <c r="BY87" s="2" t="s">
        <v>3</v>
      </c>
      <c r="BZ87" s="2">
        <v>97</v>
      </c>
      <c r="CA87" s="2">
        <v>51</v>
      </c>
      <c r="CB87" s="2" t="s">
        <v>3</v>
      </c>
      <c r="CC87" s="2"/>
      <c r="CD87" s="2"/>
      <c r="CE87" s="2">
        <v>1566</v>
      </c>
      <c r="CF87" s="2">
        <v>0</v>
      </c>
      <c r="CG87" s="2">
        <v>0</v>
      </c>
      <c r="CH87" s="2"/>
      <c r="CI87" s="2"/>
      <c r="CJ87" s="2"/>
      <c r="CK87" s="2"/>
      <c r="CL87" s="2"/>
      <c r="CM87" s="2">
        <v>0</v>
      </c>
      <c r="CN87" s="2" t="s">
        <v>3</v>
      </c>
      <c r="CO87" s="2">
        <v>0</v>
      </c>
      <c r="CP87" s="2">
        <f t="shared" si="71"/>
        <v>703.8</v>
      </c>
      <c r="CQ87" s="2">
        <f t="shared" si="72"/>
        <v>3.45</v>
      </c>
      <c r="CR87" s="2">
        <f>(ROUND((ROUND(((ET87)*AV87*1),2)*BB87),2)+ROUND((ROUND(((AE87-(EU87))*AV87*1),2)*BS87),2))</f>
        <v>0</v>
      </c>
      <c r="CS87" s="2">
        <f>(ROUND((ROUND(((EU87)*AV87*1),2)*BS87),2)+ROUND((ROUND(((AE87-(EU87))*AV87*1),2)*BS87),2))</f>
        <v>0</v>
      </c>
      <c r="CT87" s="2">
        <f t="shared" si="73"/>
        <v>0</v>
      </c>
      <c r="CU87" s="2">
        <f t="shared" si="74"/>
        <v>0</v>
      </c>
      <c r="CV87" s="2">
        <f t="shared" si="75"/>
        <v>0</v>
      </c>
      <c r="CW87" s="2">
        <f t="shared" si="76"/>
        <v>0</v>
      </c>
      <c r="CX87" s="2">
        <f t="shared" si="77"/>
        <v>0</v>
      </c>
      <c r="CY87" s="2">
        <f>(ROUND((((S87+ROUND((ROUND(((EU87)*AV87*1),2)*BS87),2))*AT87)/100),2)+ROUND(((ROUND((ROUND(((AE87-(EU87))*AV87*1),2)*BS87),2)*AT87)/100),2))</f>
        <v>0</v>
      </c>
      <c r="CZ87" s="2">
        <f>(ROUND((((S87+ROUND((ROUND(((EU87)*AV87*1),2)*BS87),2))*AU87)/100),2)+ROUND(((ROUND((ROUND(((AE87-(EU87))*AV87*1),2)*BS87),2)*AU87)/100),2))</f>
        <v>0</v>
      </c>
      <c r="DA87" s="2"/>
      <c r="DB87" s="2"/>
      <c r="DC87" s="2" t="s">
        <v>3</v>
      </c>
      <c r="DD87" s="2" t="s">
        <v>3</v>
      </c>
      <c r="DE87" s="2" t="s">
        <v>3</v>
      </c>
      <c r="DF87" s="2" t="s">
        <v>3</v>
      </c>
      <c r="DG87" s="2" t="s">
        <v>3</v>
      </c>
      <c r="DH87" s="2" t="s">
        <v>3</v>
      </c>
      <c r="DI87" s="2" t="s">
        <v>3</v>
      </c>
      <c r="DJ87" s="2" t="s">
        <v>3</v>
      </c>
      <c r="DK87" s="2" t="s">
        <v>3</v>
      </c>
      <c r="DL87" s="2" t="s">
        <v>3</v>
      </c>
      <c r="DM87" s="2" t="s">
        <v>3</v>
      </c>
      <c r="DN87" s="2">
        <v>0</v>
      </c>
      <c r="DO87" s="2">
        <v>0</v>
      </c>
      <c r="DP87" s="2">
        <v>1</v>
      </c>
      <c r="DQ87" s="2">
        <v>1</v>
      </c>
      <c r="DR87" s="2"/>
      <c r="DS87" s="2"/>
      <c r="DT87" s="2"/>
      <c r="DU87" s="2">
        <v>1003</v>
      </c>
      <c r="DV87" s="2" t="s">
        <v>139</v>
      </c>
      <c r="DW87" s="2" t="s">
        <v>139</v>
      </c>
      <c r="DX87" s="2">
        <v>1</v>
      </c>
      <c r="DY87" s="2"/>
      <c r="DZ87" s="2" t="s">
        <v>3</v>
      </c>
      <c r="EA87" s="2" t="s">
        <v>3</v>
      </c>
      <c r="EB87" s="2" t="s">
        <v>3</v>
      </c>
      <c r="EC87" s="2" t="s">
        <v>3</v>
      </c>
      <c r="ED87" s="2"/>
      <c r="EE87" s="2">
        <v>60088531</v>
      </c>
      <c r="EF87" s="2">
        <v>40</v>
      </c>
      <c r="EG87" s="2" t="s">
        <v>24</v>
      </c>
      <c r="EH87" s="2">
        <v>0</v>
      </c>
      <c r="EI87" s="2" t="s">
        <v>3</v>
      </c>
      <c r="EJ87" s="2">
        <v>2</v>
      </c>
      <c r="EK87" s="2">
        <v>67</v>
      </c>
      <c r="EL87" s="2" t="s">
        <v>65</v>
      </c>
      <c r="EM87" s="2" t="s">
        <v>66</v>
      </c>
      <c r="EN87" s="2"/>
      <c r="EO87" s="2" t="s">
        <v>3</v>
      </c>
      <c r="EP87" s="2"/>
      <c r="EQ87" s="2">
        <v>0</v>
      </c>
      <c r="ER87" s="2">
        <v>3.45</v>
      </c>
      <c r="ES87" s="2">
        <v>3.45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>
        <v>0</v>
      </c>
      <c r="FR87" s="2">
        <v>0</v>
      </c>
      <c r="FS87" s="2">
        <v>0</v>
      </c>
      <c r="FT87" s="2"/>
      <c r="FU87" s="2"/>
      <c r="FV87" s="2"/>
      <c r="FW87" s="2"/>
      <c r="FX87" s="2">
        <v>97</v>
      </c>
      <c r="FY87" s="2">
        <v>51</v>
      </c>
      <c r="FZ87" s="2"/>
      <c r="GA87" s="2" t="s">
        <v>3</v>
      </c>
      <c r="GB87" s="2"/>
      <c r="GC87" s="2"/>
      <c r="GD87" s="2">
        <v>1</v>
      </c>
      <c r="GE87" s="2"/>
      <c r="GF87" s="2">
        <v>-1305428159</v>
      </c>
      <c r="GG87" s="2">
        <v>2</v>
      </c>
      <c r="GH87" s="2">
        <v>1</v>
      </c>
      <c r="GI87" s="2">
        <v>-2</v>
      </c>
      <c r="GJ87" s="2">
        <v>0</v>
      </c>
      <c r="GK87" s="2">
        <v>0</v>
      </c>
      <c r="GL87" s="2">
        <f t="shared" si="78"/>
        <v>0</v>
      </c>
      <c r="GM87" s="2">
        <f t="shared" si="79"/>
        <v>703.8</v>
      </c>
      <c r="GN87" s="2">
        <f t="shared" si="80"/>
        <v>0</v>
      </c>
      <c r="GO87" s="2">
        <f t="shared" si="81"/>
        <v>703.8</v>
      </c>
      <c r="GP87" s="2">
        <f t="shared" si="82"/>
        <v>0</v>
      </c>
      <c r="GQ87" s="2"/>
      <c r="GR87" s="2">
        <v>0</v>
      </c>
      <c r="GS87" s="2">
        <v>3</v>
      </c>
      <c r="GT87" s="2">
        <v>0</v>
      </c>
      <c r="GU87" s="2" t="s">
        <v>3</v>
      </c>
      <c r="GV87" s="2">
        <f t="shared" si="83"/>
        <v>0</v>
      </c>
      <c r="GW87" s="2">
        <v>1</v>
      </c>
      <c r="GX87" s="2">
        <f t="shared" si="84"/>
        <v>0</v>
      </c>
      <c r="GY87" s="2"/>
      <c r="GZ87" s="2"/>
      <c r="HA87" s="2">
        <v>0</v>
      </c>
      <c r="HB87" s="2">
        <v>0</v>
      </c>
      <c r="HC87" s="2">
        <f t="shared" si="85"/>
        <v>0</v>
      </c>
      <c r="HD87" s="2"/>
      <c r="HE87" s="2" t="s">
        <v>3</v>
      </c>
      <c r="HF87" s="2" t="s">
        <v>3</v>
      </c>
      <c r="HG87" s="2"/>
      <c r="HH87" s="2"/>
      <c r="HI87" s="2"/>
      <c r="HJ87" s="2"/>
      <c r="HK87" s="2"/>
      <c r="HL87" s="2"/>
      <c r="HM87" s="2" t="s">
        <v>3</v>
      </c>
      <c r="HN87" s="2" t="s">
        <v>3</v>
      </c>
      <c r="HO87" s="2" t="s">
        <v>3</v>
      </c>
      <c r="HP87" s="2" t="s">
        <v>3</v>
      </c>
      <c r="HQ87" s="2" t="s">
        <v>3</v>
      </c>
      <c r="HR87" s="2"/>
      <c r="HS87" s="2">
        <v>0</v>
      </c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>
        <v>0</v>
      </c>
      <c r="IL87" s="2"/>
      <c r="IM87" s="2"/>
      <c r="IN87" s="2"/>
      <c r="IO87" s="2"/>
      <c r="IP87" s="2"/>
      <c r="IQ87" s="2"/>
      <c r="IR87" s="2"/>
      <c r="IS87" s="2"/>
      <c r="IT87" s="2"/>
      <c r="IU87" s="2"/>
    </row>
    <row r="88" spans="1:255" x14ac:dyDescent="0.2">
      <c r="A88">
        <v>18</v>
      </c>
      <c r="B88">
        <v>1</v>
      </c>
      <c r="C88">
        <v>83</v>
      </c>
      <c r="E88" t="s">
        <v>136</v>
      </c>
      <c r="F88" t="s">
        <v>137</v>
      </c>
      <c r="G88" t="s">
        <v>138</v>
      </c>
      <c r="H88" t="s">
        <v>139</v>
      </c>
      <c r="I88">
        <f>I86*J88</f>
        <v>204</v>
      </c>
      <c r="J88">
        <v>102</v>
      </c>
      <c r="K88">
        <v>102</v>
      </c>
      <c r="O88">
        <f t="shared" si="60"/>
        <v>2765.93</v>
      </c>
      <c r="P88">
        <f t="shared" si="61"/>
        <v>2765.93</v>
      </c>
      <c r="Q88">
        <f>(ROUND((ROUND(((ET88)*AV88*I88),2)*BB88),2)+ROUND((ROUND(((AE88-(EU88))*AV88*I88),2)*BS88),2))</f>
        <v>0</v>
      </c>
      <c r="R88">
        <f>(ROUND((ROUND(((EU88)*AV88*I88),2)*BS88),2)+ROUND((ROUND(((AE88-(EU88))*AV88*I88),2)*BS88),2))</f>
        <v>0</v>
      </c>
      <c r="S88">
        <f t="shared" si="62"/>
        <v>0</v>
      </c>
      <c r="T88">
        <f t="shared" si="63"/>
        <v>0</v>
      </c>
      <c r="U88">
        <f t="shared" si="64"/>
        <v>0</v>
      </c>
      <c r="V88">
        <f t="shared" si="65"/>
        <v>0</v>
      </c>
      <c r="W88">
        <f t="shared" si="66"/>
        <v>0</v>
      </c>
      <c r="X88">
        <f>(ROUND((((S88+ROUND((ROUND(((EU88)*AV88*I88),2)*BS88),2))*AT88)/100),2)+ROUND(((ROUND((ROUND(((AE88-(EU88))*AV88*I88),2)*BS88),2)*AT88)/100),2))</f>
        <v>0</v>
      </c>
      <c r="Y88">
        <f>(ROUND((((S88+ROUND((ROUND(((EU88)*AV88*I88),2)*BS88),2))*AU88)/100),2)+ROUND(((ROUND((ROUND(((AE88-(EU88))*AV88*I88),2)*BS88),2)*AU88)/100),2))</f>
        <v>0</v>
      </c>
      <c r="AA88">
        <v>60256982</v>
      </c>
      <c r="AB88">
        <f t="shared" si="67"/>
        <v>3.45</v>
      </c>
      <c r="AC88">
        <f t="shared" si="68"/>
        <v>3.45</v>
      </c>
      <c r="AD88">
        <f>ROUND((((ET88)-(EU88))+AE88),6)</f>
        <v>0</v>
      </c>
      <c r="AE88">
        <f t="shared" si="86"/>
        <v>0</v>
      </c>
      <c r="AF88">
        <f t="shared" si="86"/>
        <v>0</v>
      </c>
      <c r="AG88">
        <f t="shared" si="69"/>
        <v>0</v>
      </c>
      <c r="AH88">
        <f t="shared" si="87"/>
        <v>0</v>
      </c>
      <c r="AI88">
        <f t="shared" si="87"/>
        <v>0</v>
      </c>
      <c r="AJ88">
        <f t="shared" si="70"/>
        <v>0</v>
      </c>
      <c r="AK88">
        <v>3.45</v>
      </c>
      <c r="AL88">
        <v>3.45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97</v>
      </c>
      <c r="AU88">
        <v>51</v>
      </c>
      <c r="AV88">
        <v>1</v>
      </c>
      <c r="AW88">
        <v>1</v>
      </c>
      <c r="AZ88">
        <v>1</v>
      </c>
      <c r="BA88">
        <v>1</v>
      </c>
      <c r="BB88">
        <v>1</v>
      </c>
      <c r="BC88">
        <v>3.93</v>
      </c>
      <c r="BD88" t="s">
        <v>3</v>
      </c>
      <c r="BE88" t="s">
        <v>3</v>
      </c>
      <c r="BF88" t="s">
        <v>3</v>
      </c>
      <c r="BG88" t="s">
        <v>3</v>
      </c>
      <c r="BH88">
        <v>3</v>
      </c>
      <c r="BI88">
        <v>2</v>
      </c>
      <c r="BJ88" t="s">
        <v>140</v>
      </c>
      <c r="BM88">
        <v>67</v>
      </c>
      <c r="BN88">
        <v>58973116</v>
      </c>
      <c r="BO88" t="s">
        <v>137</v>
      </c>
      <c r="BP88">
        <v>1</v>
      </c>
      <c r="BQ88">
        <v>40</v>
      </c>
      <c r="BR88">
        <v>0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 t="s">
        <v>3</v>
      </c>
      <c r="BZ88">
        <v>97</v>
      </c>
      <c r="CA88">
        <v>51</v>
      </c>
      <c r="CB88" t="s">
        <v>3</v>
      </c>
      <c r="CE88">
        <v>1566</v>
      </c>
      <c r="CF88">
        <v>0</v>
      </c>
      <c r="CG88">
        <v>0</v>
      </c>
      <c r="CM88">
        <v>0</v>
      </c>
      <c r="CN88" t="s">
        <v>3</v>
      </c>
      <c r="CO88">
        <v>0</v>
      </c>
      <c r="CP88">
        <f t="shared" si="71"/>
        <v>2765.93</v>
      </c>
      <c r="CQ88">
        <f t="shared" si="72"/>
        <v>13.56</v>
      </c>
      <c r="CR88">
        <f>(ROUND((ROUND(((ET88)*AV88*1),2)*BB88),2)+ROUND((ROUND(((AE88-(EU88))*AV88*1),2)*BS88),2))</f>
        <v>0</v>
      </c>
      <c r="CS88">
        <f>(ROUND((ROUND(((EU88)*AV88*1),2)*BS88),2)+ROUND((ROUND(((AE88-(EU88))*AV88*1),2)*BS88),2))</f>
        <v>0</v>
      </c>
      <c r="CT88">
        <f t="shared" si="73"/>
        <v>0</v>
      </c>
      <c r="CU88">
        <f t="shared" si="74"/>
        <v>0</v>
      </c>
      <c r="CV88">
        <f t="shared" si="75"/>
        <v>0</v>
      </c>
      <c r="CW88">
        <f t="shared" si="76"/>
        <v>0</v>
      </c>
      <c r="CX88">
        <f t="shared" si="77"/>
        <v>0</v>
      </c>
      <c r="CY88">
        <f>(ROUND((((S88+ROUND((ROUND(((EU88)*AV88*1),2)*BS88),2))*AT88)/100),2)+ROUND(((ROUND((ROUND(((AE88-(EU88))*AV88*1),2)*BS88),2)*AT88)/100),2))</f>
        <v>0</v>
      </c>
      <c r="CZ88">
        <f>(ROUND((((S88+ROUND((ROUND(((EU88)*AV88*1),2)*BS88),2))*AU88)/100),2)+ROUND(((ROUND((ROUND(((AE88-(EU88))*AV88*1),2)*BS88),2)*AU88)/100),2))</f>
        <v>0</v>
      </c>
      <c r="DC88" t="s">
        <v>3</v>
      </c>
      <c r="DD88" t="s">
        <v>3</v>
      </c>
      <c r="DE88" t="s">
        <v>3</v>
      </c>
      <c r="DF88" t="s">
        <v>3</v>
      </c>
      <c r="DG88" t="s">
        <v>3</v>
      </c>
      <c r="DH88" t="s">
        <v>3</v>
      </c>
      <c r="DI88" t="s">
        <v>3</v>
      </c>
      <c r="DJ88" t="s">
        <v>3</v>
      </c>
      <c r="DK88" t="s">
        <v>3</v>
      </c>
      <c r="DL88" t="s">
        <v>3</v>
      </c>
      <c r="DM88" t="s">
        <v>3</v>
      </c>
      <c r="DN88">
        <v>0</v>
      </c>
      <c r="DO88">
        <v>0</v>
      </c>
      <c r="DP88">
        <v>1</v>
      </c>
      <c r="DQ88">
        <v>1</v>
      </c>
      <c r="DU88">
        <v>1003</v>
      </c>
      <c r="DV88" t="s">
        <v>139</v>
      </c>
      <c r="DW88" t="s">
        <v>139</v>
      </c>
      <c r="DX88">
        <v>1</v>
      </c>
      <c r="DZ88" t="s">
        <v>3</v>
      </c>
      <c r="EA88" t="s">
        <v>3</v>
      </c>
      <c r="EB88" t="s">
        <v>3</v>
      </c>
      <c r="EC88" t="s">
        <v>3</v>
      </c>
      <c r="EE88">
        <v>60088531</v>
      </c>
      <c r="EF88">
        <v>40</v>
      </c>
      <c r="EG88" t="s">
        <v>24</v>
      </c>
      <c r="EH88">
        <v>0</v>
      </c>
      <c r="EI88" t="s">
        <v>3</v>
      </c>
      <c r="EJ88">
        <v>2</v>
      </c>
      <c r="EK88">
        <v>67</v>
      </c>
      <c r="EL88" t="s">
        <v>65</v>
      </c>
      <c r="EM88" t="s">
        <v>66</v>
      </c>
      <c r="EO88" t="s">
        <v>3</v>
      </c>
      <c r="EQ88">
        <v>0</v>
      </c>
      <c r="ER88">
        <v>3.45</v>
      </c>
      <c r="ES88">
        <v>3.45</v>
      </c>
      <c r="ET88">
        <v>0</v>
      </c>
      <c r="EU88">
        <v>0</v>
      </c>
      <c r="EV88">
        <v>0</v>
      </c>
      <c r="EW88">
        <v>0</v>
      </c>
      <c r="EX88">
        <v>0</v>
      </c>
      <c r="FQ88">
        <v>0</v>
      </c>
      <c r="FR88">
        <v>0</v>
      </c>
      <c r="FS88">
        <v>0</v>
      </c>
      <c r="FX88">
        <v>97</v>
      </c>
      <c r="FY88">
        <v>51</v>
      </c>
      <c r="GA88" t="s">
        <v>3</v>
      </c>
      <c r="GD88">
        <v>1</v>
      </c>
      <c r="GF88">
        <v>-1305428159</v>
      </c>
      <c r="GG88">
        <v>2</v>
      </c>
      <c r="GH88">
        <v>1</v>
      </c>
      <c r="GI88">
        <v>2</v>
      </c>
      <c r="GJ88">
        <v>0</v>
      </c>
      <c r="GK88">
        <v>0</v>
      </c>
      <c r="GL88">
        <f t="shared" si="78"/>
        <v>0</v>
      </c>
      <c r="GM88">
        <f t="shared" si="79"/>
        <v>2765.93</v>
      </c>
      <c r="GN88">
        <f t="shared" si="80"/>
        <v>0</v>
      </c>
      <c r="GO88">
        <f t="shared" si="81"/>
        <v>2765.93</v>
      </c>
      <c r="GP88">
        <f t="shared" si="82"/>
        <v>0</v>
      </c>
      <c r="GR88">
        <v>0</v>
      </c>
      <c r="GS88">
        <v>3</v>
      </c>
      <c r="GT88">
        <v>0</v>
      </c>
      <c r="GU88" t="s">
        <v>3</v>
      </c>
      <c r="GV88">
        <f t="shared" si="83"/>
        <v>0</v>
      </c>
      <c r="GW88">
        <v>1</v>
      </c>
      <c r="GX88">
        <f t="shared" si="84"/>
        <v>0</v>
      </c>
      <c r="HA88">
        <v>0</v>
      </c>
      <c r="HB88">
        <v>0</v>
      </c>
      <c r="HC88">
        <f t="shared" si="85"/>
        <v>0</v>
      </c>
      <c r="HE88" t="s">
        <v>3</v>
      </c>
      <c r="HF88" t="s">
        <v>3</v>
      </c>
      <c r="HM88" t="s">
        <v>3</v>
      </c>
      <c r="HN88" t="s">
        <v>3</v>
      </c>
      <c r="HO88" t="s">
        <v>3</v>
      </c>
      <c r="HP88" t="s">
        <v>3</v>
      </c>
      <c r="HQ88" t="s">
        <v>3</v>
      </c>
      <c r="HS88">
        <v>0</v>
      </c>
      <c r="IK88">
        <v>0</v>
      </c>
    </row>
    <row r="89" spans="1:255" x14ac:dyDescent="0.2">
      <c r="A89" s="2">
        <v>18</v>
      </c>
      <c r="B89" s="2">
        <v>1</v>
      </c>
      <c r="C89" s="2">
        <v>81</v>
      </c>
      <c r="D89" s="2"/>
      <c r="E89" s="2" t="s">
        <v>141</v>
      </c>
      <c r="F89" s="2" t="s">
        <v>142</v>
      </c>
      <c r="G89" s="2" t="s">
        <v>143</v>
      </c>
      <c r="H89" s="2" t="s">
        <v>63</v>
      </c>
      <c r="I89" s="2">
        <f>I85*J89</f>
        <v>0</v>
      </c>
      <c r="J89" s="2">
        <v>0</v>
      </c>
      <c r="K89" s="2">
        <v>0</v>
      </c>
      <c r="L89" s="2"/>
      <c r="M89" s="2"/>
      <c r="N89" s="2"/>
      <c r="O89" s="2">
        <f t="shared" si="60"/>
        <v>0</v>
      </c>
      <c r="P89" s="2">
        <f t="shared" si="61"/>
        <v>0</v>
      </c>
      <c r="Q89" s="2">
        <f>(ROUND((ROUND(((ET89)*AV89*I89),2)*BB89),2)+ROUND((ROUND(((AE89-(EU89))*AV89*I89),2)*BS89),2))</f>
        <v>0</v>
      </c>
      <c r="R89" s="2">
        <f>(ROUND((ROUND(((EU89)*AV89*I89),2)*BS89),2)+ROUND((ROUND(((AE89-(EU89))*AV89*I89),2)*BS89),2))</f>
        <v>0</v>
      </c>
      <c r="S89" s="2">
        <f t="shared" si="62"/>
        <v>0</v>
      </c>
      <c r="T89" s="2">
        <f t="shared" si="63"/>
        <v>0</v>
      </c>
      <c r="U89" s="2">
        <f t="shared" si="64"/>
        <v>0</v>
      </c>
      <c r="V89" s="2">
        <f t="shared" si="65"/>
        <v>0</v>
      </c>
      <c r="W89" s="2">
        <f t="shared" si="66"/>
        <v>0</v>
      </c>
      <c r="X89" s="2">
        <f>(ROUND((((S89+ROUND((ROUND(((EU89)*AV89*I89),2)*BS89),2))*AT89)/100),2)+ROUND(((ROUND((ROUND(((AE89-(EU89))*AV89*I89),2)*BS89),2)*AT89)/100),2))</f>
        <v>0</v>
      </c>
      <c r="Y89" s="2">
        <f>(ROUND((((S89+ROUND((ROUND(((EU89)*AV89*I89),2)*BS89),2))*AU89)/100),2)+ROUND(((ROUND((ROUND(((AE89-(EU89))*AV89*I89),2)*BS89),2)*AU89)/100),2))</f>
        <v>0</v>
      </c>
      <c r="Z89" s="2"/>
      <c r="AA89" s="2">
        <v>60256985</v>
      </c>
      <c r="AB89" s="2">
        <f t="shared" si="67"/>
        <v>146.88999999999999</v>
      </c>
      <c r="AC89" s="2">
        <f t="shared" si="68"/>
        <v>146.88999999999999</v>
      </c>
      <c r="AD89" s="2">
        <f>ROUND((((ET89)-(EU89))+AE89),6)</f>
        <v>0</v>
      </c>
      <c r="AE89" s="2">
        <f t="shared" si="86"/>
        <v>0</v>
      </c>
      <c r="AF89" s="2">
        <f t="shared" si="86"/>
        <v>0</v>
      </c>
      <c r="AG89" s="2">
        <f t="shared" si="69"/>
        <v>0</v>
      </c>
      <c r="AH89" s="2">
        <f t="shared" si="87"/>
        <v>0</v>
      </c>
      <c r="AI89" s="2">
        <f t="shared" si="87"/>
        <v>0</v>
      </c>
      <c r="AJ89" s="2">
        <f t="shared" si="70"/>
        <v>0</v>
      </c>
      <c r="AK89" s="2">
        <v>146.88999999999999</v>
      </c>
      <c r="AL89" s="2">
        <v>146.88999999999999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97</v>
      </c>
      <c r="AU89" s="2">
        <v>51</v>
      </c>
      <c r="AV89" s="2">
        <v>1</v>
      </c>
      <c r="AW89" s="2">
        <v>1</v>
      </c>
      <c r="AX89" s="2"/>
      <c r="AY89" s="2"/>
      <c r="AZ89" s="2">
        <v>1</v>
      </c>
      <c r="BA89" s="2">
        <v>1</v>
      </c>
      <c r="BB89" s="2">
        <v>1</v>
      </c>
      <c r="BC89" s="2">
        <v>1</v>
      </c>
      <c r="BD89" s="2" t="s">
        <v>3</v>
      </c>
      <c r="BE89" s="2" t="s">
        <v>3</v>
      </c>
      <c r="BF89" s="2" t="s">
        <v>3</v>
      </c>
      <c r="BG89" s="2" t="s">
        <v>3</v>
      </c>
      <c r="BH89" s="2">
        <v>3</v>
      </c>
      <c r="BI89" s="2">
        <v>2</v>
      </c>
      <c r="BJ89" s="2" t="s">
        <v>144</v>
      </c>
      <c r="BK89" s="2"/>
      <c r="BL89" s="2"/>
      <c r="BM89" s="2">
        <v>67</v>
      </c>
      <c r="BN89" s="2">
        <v>58973116</v>
      </c>
      <c r="BO89" s="2" t="s">
        <v>3</v>
      </c>
      <c r="BP89" s="2">
        <v>0</v>
      </c>
      <c r="BQ89" s="2">
        <v>40</v>
      </c>
      <c r="BR89" s="2">
        <v>0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 t="s">
        <v>3</v>
      </c>
      <c r="BZ89" s="2">
        <v>97</v>
      </c>
      <c r="CA89" s="2">
        <v>51</v>
      </c>
      <c r="CB89" s="2" t="s">
        <v>3</v>
      </c>
      <c r="CC89" s="2"/>
      <c r="CD89" s="2"/>
      <c r="CE89" s="2">
        <v>1566</v>
      </c>
      <c r="CF89" s="2">
        <v>0</v>
      </c>
      <c r="CG89" s="2">
        <v>0</v>
      </c>
      <c r="CH89" s="2"/>
      <c r="CI89" s="2"/>
      <c r="CJ89" s="2"/>
      <c r="CK89" s="2"/>
      <c r="CL89" s="2"/>
      <c r="CM89" s="2">
        <v>0</v>
      </c>
      <c r="CN89" s="2" t="s">
        <v>3</v>
      </c>
      <c r="CO89" s="2">
        <v>0</v>
      </c>
      <c r="CP89" s="2">
        <f t="shared" si="71"/>
        <v>0</v>
      </c>
      <c r="CQ89" s="2">
        <f t="shared" si="72"/>
        <v>146.88999999999999</v>
      </c>
      <c r="CR89" s="2">
        <f>(ROUND((ROUND(((ET89)*AV89*1),2)*BB89),2)+ROUND((ROUND(((AE89-(EU89))*AV89*1),2)*BS89),2))</f>
        <v>0</v>
      </c>
      <c r="CS89" s="2">
        <f>(ROUND((ROUND(((EU89)*AV89*1),2)*BS89),2)+ROUND((ROUND(((AE89-(EU89))*AV89*1),2)*BS89),2))</f>
        <v>0</v>
      </c>
      <c r="CT89" s="2">
        <f t="shared" si="73"/>
        <v>0</v>
      </c>
      <c r="CU89" s="2">
        <f t="shared" si="74"/>
        <v>0</v>
      </c>
      <c r="CV89" s="2">
        <f t="shared" si="75"/>
        <v>0</v>
      </c>
      <c r="CW89" s="2">
        <f t="shared" si="76"/>
        <v>0</v>
      </c>
      <c r="CX89" s="2">
        <f t="shared" si="77"/>
        <v>0</v>
      </c>
      <c r="CY89" s="2">
        <f>(ROUND((((S89+ROUND((ROUND(((EU89)*AV89*1),2)*BS89),2))*AT89)/100),2)+ROUND(((ROUND((ROUND(((AE89-(EU89))*AV89*1),2)*BS89),2)*AT89)/100),2))</f>
        <v>0</v>
      </c>
      <c r="CZ89" s="2">
        <f>(ROUND((((S89+ROUND((ROUND(((EU89)*AV89*1),2)*BS89),2))*AU89)/100),2)+ROUND(((ROUND((ROUND(((AE89-(EU89))*AV89*1),2)*BS89),2)*AU89)/100),2))</f>
        <v>0</v>
      </c>
      <c r="DA89" s="2"/>
      <c r="DB89" s="2"/>
      <c r="DC89" s="2" t="s">
        <v>3</v>
      </c>
      <c r="DD89" s="2" t="s">
        <v>3</v>
      </c>
      <c r="DE89" s="2" t="s">
        <v>3</v>
      </c>
      <c r="DF89" s="2" t="s">
        <v>3</v>
      </c>
      <c r="DG89" s="2" t="s">
        <v>3</v>
      </c>
      <c r="DH89" s="2" t="s">
        <v>3</v>
      </c>
      <c r="DI89" s="2" t="s">
        <v>3</v>
      </c>
      <c r="DJ89" s="2" t="s">
        <v>3</v>
      </c>
      <c r="DK89" s="2" t="s">
        <v>3</v>
      </c>
      <c r="DL89" s="2" t="s">
        <v>3</v>
      </c>
      <c r="DM89" s="2" t="s">
        <v>3</v>
      </c>
      <c r="DN89" s="2">
        <v>0</v>
      </c>
      <c r="DO89" s="2">
        <v>0</v>
      </c>
      <c r="DP89" s="2">
        <v>1</v>
      </c>
      <c r="DQ89" s="2">
        <v>1</v>
      </c>
      <c r="DR89" s="2"/>
      <c r="DS89" s="2"/>
      <c r="DT89" s="2"/>
      <c r="DU89" s="2">
        <v>1010</v>
      </c>
      <c r="DV89" s="2" t="s">
        <v>63</v>
      </c>
      <c r="DW89" s="2" t="s">
        <v>63</v>
      </c>
      <c r="DX89" s="2">
        <v>100</v>
      </c>
      <c r="DY89" s="2"/>
      <c r="DZ89" s="2" t="s">
        <v>3</v>
      </c>
      <c r="EA89" s="2" t="s">
        <v>3</v>
      </c>
      <c r="EB89" s="2" t="s">
        <v>3</v>
      </c>
      <c r="EC89" s="2" t="s">
        <v>3</v>
      </c>
      <c r="ED89" s="2"/>
      <c r="EE89" s="2">
        <v>60088531</v>
      </c>
      <c r="EF89" s="2">
        <v>40</v>
      </c>
      <c r="EG89" s="2" t="s">
        <v>24</v>
      </c>
      <c r="EH89" s="2">
        <v>0</v>
      </c>
      <c r="EI89" s="2" t="s">
        <v>3</v>
      </c>
      <c r="EJ89" s="2">
        <v>2</v>
      </c>
      <c r="EK89" s="2">
        <v>67</v>
      </c>
      <c r="EL89" s="2" t="s">
        <v>65</v>
      </c>
      <c r="EM89" s="2" t="s">
        <v>66</v>
      </c>
      <c r="EN89" s="2"/>
      <c r="EO89" s="2" t="s">
        <v>3</v>
      </c>
      <c r="EP89" s="2"/>
      <c r="EQ89" s="2">
        <v>0</v>
      </c>
      <c r="ER89" s="2">
        <v>146.88999999999999</v>
      </c>
      <c r="ES89" s="2">
        <v>146.88999999999999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>
        <v>0</v>
      </c>
      <c r="FR89" s="2">
        <v>0</v>
      </c>
      <c r="FS89" s="2">
        <v>0</v>
      </c>
      <c r="FT89" s="2"/>
      <c r="FU89" s="2"/>
      <c r="FV89" s="2"/>
      <c r="FW89" s="2"/>
      <c r="FX89" s="2">
        <v>97</v>
      </c>
      <c r="FY89" s="2">
        <v>51</v>
      </c>
      <c r="FZ89" s="2"/>
      <c r="GA89" s="2" t="s">
        <v>3</v>
      </c>
      <c r="GB89" s="2"/>
      <c r="GC89" s="2"/>
      <c r="GD89" s="2">
        <v>1</v>
      </c>
      <c r="GE89" s="2"/>
      <c r="GF89" s="2">
        <v>-1171050213</v>
      </c>
      <c r="GG89" s="2">
        <v>2</v>
      </c>
      <c r="GH89" s="2">
        <v>1</v>
      </c>
      <c r="GI89" s="2">
        <v>-2</v>
      </c>
      <c r="GJ89" s="2">
        <v>0</v>
      </c>
      <c r="GK89" s="2">
        <v>0</v>
      </c>
      <c r="GL89" s="2">
        <f t="shared" si="78"/>
        <v>0</v>
      </c>
      <c r="GM89" s="2">
        <f t="shared" si="79"/>
        <v>0</v>
      </c>
      <c r="GN89" s="2">
        <f t="shared" si="80"/>
        <v>0</v>
      </c>
      <c r="GO89" s="2">
        <f t="shared" si="81"/>
        <v>0</v>
      </c>
      <c r="GP89" s="2">
        <f t="shared" si="82"/>
        <v>0</v>
      </c>
      <c r="GQ89" s="2"/>
      <c r="GR89" s="2">
        <v>0</v>
      </c>
      <c r="GS89" s="2">
        <v>3</v>
      </c>
      <c r="GT89" s="2">
        <v>0</v>
      </c>
      <c r="GU89" s="2" t="s">
        <v>3</v>
      </c>
      <c r="GV89" s="2">
        <f t="shared" si="83"/>
        <v>0</v>
      </c>
      <c r="GW89" s="2">
        <v>1</v>
      </c>
      <c r="GX89" s="2">
        <f t="shared" si="84"/>
        <v>0</v>
      </c>
      <c r="GY89" s="2"/>
      <c r="GZ89" s="2"/>
      <c r="HA89" s="2">
        <v>0</v>
      </c>
      <c r="HB89" s="2">
        <v>0</v>
      </c>
      <c r="HC89" s="2">
        <f t="shared" si="85"/>
        <v>0</v>
      </c>
      <c r="HD89" s="2"/>
      <c r="HE89" s="2" t="s">
        <v>3</v>
      </c>
      <c r="HF89" s="2" t="s">
        <v>3</v>
      </c>
      <c r="HG89" s="2"/>
      <c r="HH89" s="2"/>
      <c r="HI89" s="2"/>
      <c r="HJ89" s="2"/>
      <c r="HK89" s="2"/>
      <c r="HL89" s="2"/>
      <c r="HM89" s="2" t="s">
        <v>3</v>
      </c>
      <c r="HN89" s="2" t="s">
        <v>3</v>
      </c>
      <c r="HO89" s="2" t="s">
        <v>3</v>
      </c>
      <c r="HP89" s="2" t="s">
        <v>3</v>
      </c>
      <c r="HQ89" s="2" t="s">
        <v>3</v>
      </c>
      <c r="HR89" s="2"/>
      <c r="HS89" s="2">
        <v>0</v>
      </c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>
        <v>0</v>
      </c>
      <c r="IL89" s="2"/>
      <c r="IM89" s="2"/>
      <c r="IN89" s="2"/>
      <c r="IO89" s="2"/>
      <c r="IP89" s="2"/>
      <c r="IQ89" s="2"/>
      <c r="IR89" s="2"/>
      <c r="IS89" s="2"/>
      <c r="IT89" s="2"/>
      <c r="IU89" s="2"/>
    </row>
    <row r="90" spans="1:255" x14ac:dyDescent="0.2">
      <c r="A90">
        <v>18</v>
      </c>
      <c r="B90">
        <v>1</v>
      </c>
      <c r="C90">
        <v>84</v>
      </c>
      <c r="E90" t="s">
        <v>141</v>
      </c>
      <c r="F90" t="s">
        <v>142</v>
      </c>
      <c r="G90" t="s">
        <v>143</v>
      </c>
      <c r="H90" t="s">
        <v>63</v>
      </c>
      <c r="I90">
        <f>I86*J90</f>
        <v>0</v>
      </c>
      <c r="J90">
        <v>0</v>
      </c>
      <c r="K90">
        <v>0</v>
      </c>
      <c r="O90">
        <f t="shared" si="60"/>
        <v>0</v>
      </c>
      <c r="P90">
        <f t="shared" si="61"/>
        <v>0</v>
      </c>
      <c r="Q90">
        <f>(ROUND((ROUND(((ET90)*AV90*I90),2)*BB90),2)+ROUND((ROUND(((AE90-(EU90))*AV90*I90),2)*BS90),2))</f>
        <v>0</v>
      </c>
      <c r="R90">
        <f>(ROUND((ROUND(((EU90)*AV90*I90),2)*BS90),2)+ROUND((ROUND(((AE90-(EU90))*AV90*I90),2)*BS90),2))</f>
        <v>0</v>
      </c>
      <c r="S90">
        <f t="shared" si="62"/>
        <v>0</v>
      </c>
      <c r="T90">
        <f t="shared" si="63"/>
        <v>0</v>
      </c>
      <c r="U90">
        <f t="shared" si="64"/>
        <v>0</v>
      </c>
      <c r="V90">
        <f t="shared" si="65"/>
        <v>0</v>
      </c>
      <c r="W90">
        <f t="shared" si="66"/>
        <v>0</v>
      </c>
      <c r="X90">
        <f>(ROUND((((S90+ROUND((ROUND(((EU90)*AV90*I90),2)*BS90),2))*AT90)/100),2)+ROUND(((ROUND((ROUND(((AE90-(EU90))*AV90*I90),2)*BS90),2)*AT90)/100),2))</f>
        <v>0</v>
      </c>
      <c r="Y90">
        <f>(ROUND((((S90+ROUND((ROUND(((EU90)*AV90*I90),2)*BS90),2))*AU90)/100),2)+ROUND(((ROUND((ROUND(((AE90-(EU90))*AV90*I90),2)*BS90),2)*AU90)/100),2))</f>
        <v>0</v>
      </c>
      <c r="AA90">
        <v>60256982</v>
      </c>
      <c r="AB90">
        <f t="shared" si="67"/>
        <v>146.88999999999999</v>
      </c>
      <c r="AC90">
        <f t="shared" si="68"/>
        <v>146.88999999999999</v>
      </c>
      <c r="AD90">
        <f>ROUND((((ET90)-(EU90))+AE90),6)</f>
        <v>0</v>
      </c>
      <c r="AE90">
        <f t="shared" si="86"/>
        <v>0</v>
      </c>
      <c r="AF90">
        <f t="shared" si="86"/>
        <v>0</v>
      </c>
      <c r="AG90">
        <f t="shared" si="69"/>
        <v>0</v>
      </c>
      <c r="AH90">
        <f t="shared" si="87"/>
        <v>0</v>
      </c>
      <c r="AI90">
        <f t="shared" si="87"/>
        <v>0</v>
      </c>
      <c r="AJ90">
        <f t="shared" si="70"/>
        <v>0</v>
      </c>
      <c r="AK90">
        <v>146.88999999999999</v>
      </c>
      <c r="AL90">
        <v>146.88999999999999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97</v>
      </c>
      <c r="AU90">
        <v>51</v>
      </c>
      <c r="AV90">
        <v>1</v>
      </c>
      <c r="AW90">
        <v>1</v>
      </c>
      <c r="AZ90">
        <v>1</v>
      </c>
      <c r="BA90">
        <v>1</v>
      </c>
      <c r="BB90">
        <v>1</v>
      </c>
      <c r="BC90">
        <v>2.0299999999999998</v>
      </c>
      <c r="BD90" t="s">
        <v>3</v>
      </c>
      <c r="BE90" t="s">
        <v>3</v>
      </c>
      <c r="BF90" t="s">
        <v>3</v>
      </c>
      <c r="BG90" t="s">
        <v>3</v>
      </c>
      <c r="BH90">
        <v>3</v>
      </c>
      <c r="BI90">
        <v>2</v>
      </c>
      <c r="BJ90" t="s">
        <v>144</v>
      </c>
      <c r="BM90">
        <v>67</v>
      </c>
      <c r="BN90">
        <v>58973116</v>
      </c>
      <c r="BO90" t="s">
        <v>142</v>
      </c>
      <c r="BP90">
        <v>1</v>
      </c>
      <c r="BQ90">
        <v>40</v>
      </c>
      <c r="BR90">
        <v>0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 t="s">
        <v>3</v>
      </c>
      <c r="BZ90">
        <v>97</v>
      </c>
      <c r="CA90">
        <v>51</v>
      </c>
      <c r="CB90" t="s">
        <v>3</v>
      </c>
      <c r="CE90">
        <v>1566</v>
      </c>
      <c r="CF90">
        <v>0</v>
      </c>
      <c r="CG90">
        <v>0</v>
      </c>
      <c r="CM90">
        <v>0</v>
      </c>
      <c r="CN90" t="s">
        <v>3</v>
      </c>
      <c r="CO90">
        <v>0</v>
      </c>
      <c r="CP90">
        <f t="shared" si="71"/>
        <v>0</v>
      </c>
      <c r="CQ90">
        <f t="shared" si="72"/>
        <v>298.19</v>
      </c>
      <c r="CR90">
        <f>(ROUND((ROUND(((ET90)*AV90*1),2)*BB90),2)+ROUND((ROUND(((AE90-(EU90))*AV90*1),2)*BS90),2))</f>
        <v>0</v>
      </c>
      <c r="CS90">
        <f>(ROUND((ROUND(((EU90)*AV90*1),2)*BS90),2)+ROUND((ROUND(((AE90-(EU90))*AV90*1),2)*BS90),2))</f>
        <v>0</v>
      </c>
      <c r="CT90">
        <f t="shared" si="73"/>
        <v>0</v>
      </c>
      <c r="CU90">
        <f t="shared" si="74"/>
        <v>0</v>
      </c>
      <c r="CV90">
        <f t="shared" si="75"/>
        <v>0</v>
      </c>
      <c r="CW90">
        <f t="shared" si="76"/>
        <v>0</v>
      </c>
      <c r="CX90">
        <f t="shared" si="77"/>
        <v>0</v>
      </c>
      <c r="CY90">
        <f>(ROUND((((S90+ROUND((ROUND(((EU90)*AV90*1),2)*BS90),2))*AT90)/100),2)+ROUND(((ROUND((ROUND(((AE90-(EU90))*AV90*1),2)*BS90),2)*AT90)/100),2))</f>
        <v>0</v>
      </c>
      <c r="CZ90">
        <f>(ROUND((((S90+ROUND((ROUND(((EU90)*AV90*1),2)*BS90),2))*AU90)/100),2)+ROUND(((ROUND((ROUND(((AE90-(EU90))*AV90*1),2)*BS90),2)*AU90)/100),2))</f>
        <v>0</v>
      </c>
      <c r="DC90" t="s">
        <v>3</v>
      </c>
      <c r="DD90" t="s">
        <v>3</v>
      </c>
      <c r="DE90" t="s">
        <v>3</v>
      </c>
      <c r="DF90" t="s">
        <v>3</v>
      </c>
      <c r="DG90" t="s">
        <v>3</v>
      </c>
      <c r="DH90" t="s">
        <v>3</v>
      </c>
      <c r="DI90" t="s">
        <v>3</v>
      </c>
      <c r="DJ90" t="s">
        <v>3</v>
      </c>
      <c r="DK90" t="s">
        <v>3</v>
      </c>
      <c r="DL90" t="s">
        <v>3</v>
      </c>
      <c r="DM90" t="s">
        <v>3</v>
      </c>
      <c r="DN90">
        <v>0</v>
      </c>
      <c r="DO90">
        <v>0</v>
      </c>
      <c r="DP90">
        <v>1</v>
      </c>
      <c r="DQ90">
        <v>1</v>
      </c>
      <c r="DU90">
        <v>1010</v>
      </c>
      <c r="DV90" t="s">
        <v>63</v>
      </c>
      <c r="DW90" t="s">
        <v>63</v>
      </c>
      <c r="DX90">
        <v>100</v>
      </c>
      <c r="DZ90" t="s">
        <v>3</v>
      </c>
      <c r="EA90" t="s">
        <v>3</v>
      </c>
      <c r="EB90" t="s">
        <v>3</v>
      </c>
      <c r="EC90" t="s">
        <v>3</v>
      </c>
      <c r="EE90">
        <v>60088531</v>
      </c>
      <c r="EF90">
        <v>40</v>
      </c>
      <c r="EG90" t="s">
        <v>24</v>
      </c>
      <c r="EH90">
        <v>0</v>
      </c>
      <c r="EI90" t="s">
        <v>3</v>
      </c>
      <c r="EJ90">
        <v>2</v>
      </c>
      <c r="EK90">
        <v>67</v>
      </c>
      <c r="EL90" t="s">
        <v>65</v>
      </c>
      <c r="EM90" t="s">
        <v>66</v>
      </c>
      <c r="EO90" t="s">
        <v>3</v>
      </c>
      <c r="EQ90">
        <v>0</v>
      </c>
      <c r="ER90">
        <v>146.88999999999999</v>
      </c>
      <c r="ES90">
        <v>146.88999999999999</v>
      </c>
      <c r="ET90">
        <v>0</v>
      </c>
      <c r="EU90">
        <v>0</v>
      </c>
      <c r="EV90">
        <v>0</v>
      </c>
      <c r="EW90">
        <v>0</v>
      </c>
      <c r="EX90">
        <v>0</v>
      </c>
      <c r="FQ90">
        <v>0</v>
      </c>
      <c r="FR90">
        <v>0</v>
      </c>
      <c r="FS90">
        <v>0</v>
      </c>
      <c r="FX90">
        <v>97</v>
      </c>
      <c r="FY90">
        <v>51</v>
      </c>
      <c r="GA90" t="s">
        <v>3</v>
      </c>
      <c r="GD90">
        <v>1</v>
      </c>
      <c r="GF90">
        <v>-1171050213</v>
      </c>
      <c r="GG90">
        <v>2</v>
      </c>
      <c r="GH90">
        <v>1</v>
      </c>
      <c r="GI90">
        <v>2</v>
      </c>
      <c r="GJ90">
        <v>0</v>
      </c>
      <c r="GK90">
        <v>0</v>
      </c>
      <c r="GL90">
        <f t="shared" si="78"/>
        <v>0</v>
      </c>
      <c r="GM90">
        <f t="shared" si="79"/>
        <v>0</v>
      </c>
      <c r="GN90">
        <f t="shared" si="80"/>
        <v>0</v>
      </c>
      <c r="GO90">
        <f t="shared" si="81"/>
        <v>0</v>
      </c>
      <c r="GP90">
        <f t="shared" si="82"/>
        <v>0</v>
      </c>
      <c r="GR90">
        <v>0</v>
      </c>
      <c r="GS90">
        <v>3</v>
      </c>
      <c r="GT90">
        <v>0</v>
      </c>
      <c r="GU90" t="s">
        <v>3</v>
      </c>
      <c r="GV90">
        <f t="shared" si="83"/>
        <v>0</v>
      </c>
      <c r="GW90">
        <v>1</v>
      </c>
      <c r="GX90">
        <f t="shared" si="84"/>
        <v>0</v>
      </c>
      <c r="HA90">
        <v>0</v>
      </c>
      <c r="HB90">
        <v>0</v>
      </c>
      <c r="HC90">
        <f t="shared" si="85"/>
        <v>0</v>
      </c>
      <c r="HE90" t="s">
        <v>3</v>
      </c>
      <c r="HF90" t="s">
        <v>3</v>
      </c>
      <c r="HM90" t="s">
        <v>3</v>
      </c>
      <c r="HN90" t="s">
        <v>3</v>
      </c>
      <c r="HO90" t="s">
        <v>3</v>
      </c>
      <c r="HP90" t="s">
        <v>3</v>
      </c>
      <c r="HQ90" t="s">
        <v>3</v>
      </c>
      <c r="HS90">
        <v>0</v>
      </c>
      <c r="IK90">
        <v>0</v>
      </c>
    </row>
    <row r="91" spans="1:255" x14ac:dyDescent="0.2">
      <c r="A91" s="2">
        <v>17</v>
      </c>
      <c r="B91" s="2">
        <v>1</v>
      </c>
      <c r="C91" s="2">
        <f>ROW(SmtRes!A96)</f>
        <v>96</v>
      </c>
      <c r="D91" s="2">
        <f>ROW(EtalonRes!A100)</f>
        <v>100</v>
      </c>
      <c r="E91" s="2" t="s">
        <v>145</v>
      </c>
      <c r="F91" s="2" t="s">
        <v>146</v>
      </c>
      <c r="G91" s="2" t="s">
        <v>147</v>
      </c>
      <c r="H91" s="2" t="s">
        <v>134</v>
      </c>
      <c r="I91" s="2">
        <f>ROUND(30/100,9)</f>
        <v>0.3</v>
      </c>
      <c r="J91" s="2">
        <v>0</v>
      </c>
      <c r="K91" s="2">
        <f>ROUND(30/100,9)</f>
        <v>0.3</v>
      </c>
      <c r="L91" s="2"/>
      <c r="M91" s="2"/>
      <c r="N91" s="2"/>
      <c r="O91" s="2">
        <f t="shared" si="60"/>
        <v>700.99</v>
      </c>
      <c r="P91" s="2">
        <f t="shared" si="61"/>
        <v>529.12</v>
      </c>
      <c r="Q91" s="2">
        <f>(ROUND((ROUND((((ET91*1.1))*AV91*I91),2)*BB91),2)+ROUND((ROUND(((AE91-((EU91*1.1)))*AV91*I91),2)*BS91),2))</f>
        <v>44.59</v>
      </c>
      <c r="R91" s="2">
        <f>(ROUND((ROUND((((EU91*1.1))*AV91*I91),2)*BS91),2)+ROUND((ROUND(((AE91-((EU91*1.1)))*AV91*I91),2)*BS91),2))</f>
        <v>0.87</v>
      </c>
      <c r="S91" s="2">
        <f t="shared" si="62"/>
        <v>127.28</v>
      </c>
      <c r="T91" s="2">
        <f t="shared" si="63"/>
        <v>0</v>
      </c>
      <c r="U91" s="2">
        <f t="shared" si="64"/>
        <v>10.330748999999999</v>
      </c>
      <c r="V91" s="2">
        <f t="shared" si="65"/>
        <v>0</v>
      </c>
      <c r="W91" s="2">
        <f t="shared" si="66"/>
        <v>0</v>
      </c>
      <c r="X91" s="2">
        <f>(ROUND((((S91+ROUND((ROUND((((EU91*1.1))*AV91*I91),2)*BS91),2))*AT91)/100),2)+ROUND(((ROUND((ROUND(((AE91-((EU91*1.1)))*AV91*I91),2)*BS91),2)*AT91)/100),2))</f>
        <v>124.31</v>
      </c>
      <c r="Y91" s="2">
        <f>(ROUND((((S91+ROUND((ROUND((((EU91*1.1))*AV91*I91),2)*BS91),2))*AU91)/100),2)+ROUND(((ROUND((ROUND(((AE91-((EU91*1.1)))*AV91*I91),2)*BS91),2)*AU91)/100),2))</f>
        <v>65.36</v>
      </c>
      <c r="Z91" s="2"/>
      <c r="AA91" s="2">
        <v>60256985</v>
      </c>
      <c r="AB91" s="2">
        <f t="shared" si="67"/>
        <v>2310.913</v>
      </c>
      <c r="AC91" s="2">
        <f t="shared" si="68"/>
        <v>1763.74</v>
      </c>
      <c r="AD91" s="2">
        <f>ROUND(((((ET91*1.1))-((EU91*1.1)))+AE91),6)</f>
        <v>141.96600000000001</v>
      </c>
      <c r="AE91" s="2">
        <f>ROUND(((EU91*1.1)),6)</f>
        <v>2.7719999999999998</v>
      </c>
      <c r="AF91" s="2">
        <f>ROUND(((EV91*1.1)),6)</f>
        <v>405.20699999999999</v>
      </c>
      <c r="AG91" s="2">
        <f t="shared" si="69"/>
        <v>0</v>
      </c>
      <c r="AH91" s="2">
        <f>((EW91*1.1))</f>
        <v>32.89</v>
      </c>
      <c r="AI91" s="2">
        <f>((EX91*1.1))</f>
        <v>0</v>
      </c>
      <c r="AJ91" s="2">
        <f t="shared" si="70"/>
        <v>0</v>
      </c>
      <c r="AK91" s="2">
        <v>2261.17</v>
      </c>
      <c r="AL91" s="2">
        <v>1763.74</v>
      </c>
      <c r="AM91" s="2">
        <v>129.06</v>
      </c>
      <c r="AN91" s="2">
        <v>2.52</v>
      </c>
      <c r="AO91" s="2">
        <v>368.37</v>
      </c>
      <c r="AP91" s="2">
        <v>0</v>
      </c>
      <c r="AQ91" s="2">
        <v>29.9</v>
      </c>
      <c r="AR91" s="2">
        <v>0</v>
      </c>
      <c r="AS91" s="2">
        <v>0</v>
      </c>
      <c r="AT91" s="2">
        <v>97</v>
      </c>
      <c r="AU91" s="2">
        <v>51</v>
      </c>
      <c r="AV91" s="2">
        <v>1.0469999999999999</v>
      </c>
      <c r="AW91" s="2">
        <v>1</v>
      </c>
      <c r="AX91" s="2"/>
      <c r="AY91" s="2"/>
      <c r="AZ91" s="2">
        <v>1</v>
      </c>
      <c r="BA91" s="2">
        <v>1</v>
      </c>
      <c r="BB91" s="2">
        <v>1</v>
      </c>
      <c r="BC91" s="2">
        <v>1</v>
      </c>
      <c r="BD91" s="2" t="s">
        <v>3</v>
      </c>
      <c r="BE91" s="2" t="s">
        <v>3</v>
      </c>
      <c r="BF91" s="2" t="s">
        <v>3</v>
      </c>
      <c r="BG91" s="2" t="s">
        <v>3</v>
      </c>
      <c r="BH91" s="2">
        <v>0</v>
      </c>
      <c r="BI91" s="2">
        <v>2</v>
      </c>
      <c r="BJ91" s="2" t="s">
        <v>148</v>
      </c>
      <c r="BK91" s="2"/>
      <c r="BL91" s="2"/>
      <c r="BM91" s="2">
        <v>67</v>
      </c>
      <c r="BN91" s="2">
        <v>58973116</v>
      </c>
      <c r="BO91" s="2" t="s">
        <v>146</v>
      </c>
      <c r="BP91" s="2">
        <v>1</v>
      </c>
      <c r="BQ91" s="2">
        <v>40</v>
      </c>
      <c r="BR91" s="2">
        <v>0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 t="s">
        <v>3</v>
      </c>
      <c r="BZ91" s="2">
        <v>97</v>
      </c>
      <c r="CA91" s="2">
        <v>51</v>
      </c>
      <c r="CB91" s="2" t="s">
        <v>3</v>
      </c>
      <c r="CC91" s="2"/>
      <c r="CD91" s="2"/>
      <c r="CE91" s="2">
        <v>1566</v>
      </c>
      <c r="CF91" s="2">
        <v>0</v>
      </c>
      <c r="CG91" s="2">
        <v>0</v>
      </c>
      <c r="CH91" s="2"/>
      <c r="CI91" s="2"/>
      <c r="CJ91" s="2"/>
      <c r="CK91" s="2"/>
      <c r="CL91" s="2"/>
      <c r="CM91" s="2">
        <v>0</v>
      </c>
      <c r="CN91" s="2" t="s">
        <v>474</v>
      </c>
      <c r="CO91" s="2">
        <v>0</v>
      </c>
      <c r="CP91" s="2">
        <f t="shared" si="71"/>
        <v>700.99</v>
      </c>
      <c r="CQ91" s="2">
        <f t="shared" si="72"/>
        <v>1763.74</v>
      </c>
      <c r="CR91" s="2">
        <f>(ROUND((ROUND((((ET91*1.1))*AV91*1),2)*BB91),2)+ROUND((ROUND(((AE91-((EU91*1.1)))*AV91*1),2)*BS91),2))</f>
        <v>148.63999999999999</v>
      </c>
      <c r="CS91" s="2">
        <f>(ROUND((ROUND((((EU91*1.1))*AV91*1),2)*BS91),2)+ROUND((ROUND(((AE91-((EU91*1.1)))*AV91*1),2)*BS91),2))</f>
        <v>2.9</v>
      </c>
      <c r="CT91" s="2">
        <f t="shared" si="73"/>
        <v>424.25</v>
      </c>
      <c r="CU91" s="2">
        <f t="shared" si="74"/>
        <v>0</v>
      </c>
      <c r="CV91" s="2">
        <f t="shared" si="75"/>
        <v>34.435829999999996</v>
      </c>
      <c r="CW91" s="2">
        <f t="shared" si="76"/>
        <v>0</v>
      </c>
      <c r="CX91" s="2">
        <f t="shared" si="77"/>
        <v>0</v>
      </c>
      <c r="CY91" s="2">
        <f>(ROUND((((S91+ROUND((ROUND((((EU91*1.1))*AV91*1),2)*BS91),2))*AT91)/100),2)+ROUND(((ROUND((ROUND(((AE91-((EU91*1.1)))*AV91*1),2)*BS91),2)*AT91)/100),2))</f>
        <v>126.27</v>
      </c>
      <c r="CZ91" s="2">
        <f>(ROUND((((S91+ROUND((ROUND((((EU91*1.1))*AV91*1),2)*BS91),2))*AU91)/100),2)+ROUND(((ROUND((ROUND(((AE91-((EU91*1.1)))*AV91*1),2)*BS91),2)*AU91)/100),2))</f>
        <v>66.39</v>
      </c>
      <c r="DA91" s="2"/>
      <c r="DB91" s="2">
        <v>13</v>
      </c>
      <c r="DC91" s="2" t="s">
        <v>3</v>
      </c>
      <c r="DD91" s="2" t="s">
        <v>3</v>
      </c>
      <c r="DE91" s="2" t="s">
        <v>23</v>
      </c>
      <c r="DF91" s="2" t="s">
        <v>23</v>
      </c>
      <c r="DG91" s="2" t="s">
        <v>23</v>
      </c>
      <c r="DH91" s="2" t="s">
        <v>3</v>
      </c>
      <c r="DI91" s="2" t="s">
        <v>23</v>
      </c>
      <c r="DJ91" s="2" t="s">
        <v>23</v>
      </c>
      <c r="DK91" s="2" t="s">
        <v>3</v>
      </c>
      <c r="DL91" s="2" t="s">
        <v>3</v>
      </c>
      <c r="DM91" s="2" t="s">
        <v>3</v>
      </c>
      <c r="DN91" s="2">
        <v>0</v>
      </c>
      <c r="DO91" s="2">
        <v>0</v>
      </c>
      <c r="DP91" s="2">
        <v>1</v>
      </c>
      <c r="DQ91" s="2">
        <v>1</v>
      </c>
      <c r="DR91" s="2"/>
      <c r="DS91" s="2"/>
      <c r="DT91" s="2"/>
      <c r="DU91" s="2">
        <v>1003</v>
      </c>
      <c r="DV91" s="2" t="s">
        <v>134</v>
      </c>
      <c r="DW91" s="2" t="s">
        <v>134</v>
      </c>
      <c r="DX91" s="2">
        <v>100</v>
      </c>
      <c r="DY91" s="2"/>
      <c r="DZ91" s="2" t="s">
        <v>3</v>
      </c>
      <c r="EA91" s="2" t="s">
        <v>3</v>
      </c>
      <c r="EB91" s="2" t="s">
        <v>3</v>
      </c>
      <c r="EC91" s="2" t="s">
        <v>3</v>
      </c>
      <c r="ED91" s="2"/>
      <c r="EE91" s="2">
        <v>60088531</v>
      </c>
      <c r="EF91" s="2">
        <v>40</v>
      </c>
      <c r="EG91" s="2" t="s">
        <v>24</v>
      </c>
      <c r="EH91" s="2">
        <v>0</v>
      </c>
      <c r="EI91" s="2" t="s">
        <v>3</v>
      </c>
      <c r="EJ91" s="2">
        <v>2</v>
      </c>
      <c r="EK91" s="2">
        <v>67</v>
      </c>
      <c r="EL91" s="2" t="s">
        <v>65</v>
      </c>
      <c r="EM91" s="2" t="s">
        <v>66</v>
      </c>
      <c r="EN91" s="2"/>
      <c r="EO91" s="2" t="s">
        <v>27</v>
      </c>
      <c r="EP91" s="2"/>
      <c r="EQ91" s="2">
        <v>0</v>
      </c>
      <c r="ER91" s="2">
        <v>2261.17</v>
      </c>
      <c r="ES91" s="2">
        <v>1763.74</v>
      </c>
      <c r="ET91" s="2">
        <v>129.06</v>
      </c>
      <c r="EU91" s="2">
        <v>2.52</v>
      </c>
      <c r="EV91" s="2">
        <v>368.37</v>
      </c>
      <c r="EW91" s="2">
        <v>29.9</v>
      </c>
      <c r="EX91" s="2">
        <v>0</v>
      </c>
      <c r="EY91" s="2">
        <v>0</v>
      </c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>
        <v>0</v>
      </c>
      <c r="FR91" s="2">
        <v>0</v>
      </c>
      <c r="FS91" s="2">
        <v>0</v>
      </c>
      <c r="FT91" s="2"/>
      <c r="FU91" s="2"/>
      <c r="FV91" s="2"/>
      <c r="FW91" s="2"/>
      <c r="FX91" s="2">
        <v>97</v>
      </c>
      <c r="FY91" s="2">
        <v>51</v>
      </c>
      <c r="FZ91" s="2"/>
      <c r="GA91" s="2" t="s">
        <v>3</v>
      </c>
      <c r="GB91" s="2"/>
      <c r="GC91" s="2"/>
      <c r="GD91" s="2">
        <v>1</v>
      </c>
      <c r="GE91" s="2"/>
      <c r="GF91" s="2">
        <v>1516590241</v>
      </c>
      <c r="GG91" s="2">
        <v>2</v>
      </c>
      <c r="GH91" s="2">
        <v>1</v>
      </c>
      <c r="GI91" s="2">
        <v>2</v>
      </c>
      <c r="GJ91" s="2">
        <v>0</v>
      </c>
      <c r="GK91" s="2">
        <v>0</v>
      </c>
      <c r="GL91" s="2">
        <f t="shared" si="78"/>
        <v>0</v>
      </c>
      <c r="GM91" s="2">
        <f t="shared" si="79"/>
        <v>890.66</v>
      </c>
      <c r="GN91" s="2">
        <f t="shared" si="80"/>
        <v>0</v>
      </c>
      <c r="GO91" s="2">
        <f t="shared" si="81"/>
        <v>890.66</v>
      </c>
      <c r="GP91" s="2">
        <f t="shared" si="82"/>
        <v>0</v>
      </c>
      <c r="GQ91" s="2"/>
      <c r="GR91" s="2">
        <v>0</v>
      </c>
      <c r="GS91" s="2">
        <v>3</v>
      </c>
      <c r="GT91" s="2">
        <v>0</v>
      </c>
      <c r="GU91" s="2" t="s">
        <v>3</v>
      </c>
      <c r="GV91" s="2">
        <f t="shared" si="83"/>
        <v>0</v>
      </c>
      <c r="GW91" s="2">
        <v>1</v>
      </c>
      <c r="GX91" s="2">
        <f t="shared" si="84"/>
        <v>0</v>
      </c>
      <c r="GY91" s="2"/>
      <c r="GZ91" s="2"/>
      <c r="HA91" s="2">
        <v>0</v>
      </c>
      <c r="HB91" s="2">
        <v>0</v>
      </c>
      <c r="HC91" s="2">
        <f t="shared" si="85"/>
        <v>0</v>
      </c>
      <c r="HD91" s="2"/>
      <c r="HE91" s="2" t="s">
        <v>3</v>
      </c>
      <c r="HF91" s="2" t="s">
        <v>3</v>
      </c>
      <c r="HG91" s="2"/>
      <c r="HH91" s="2"/>
      <c r="HI91" s="2"/>
      <c r="HJ91" s="2"/>
      <c r="HK91" s="2"/>
      <c r="HL91" s="2"/>
      <c r="HM91" s="2" t="s">
        <v>3</v>
      </c>
      <c r="HN91" s="2" t="s">
        <v>3</v>
      </c>
      <c r="HO91" s="2" t="s">
        <v>3</v>
      </c>
      <c r="HP91" s="2" t="s">
        <v>3</v>
      </c>
      <c r="HQ91" s="2" t="s">
        <v>3</v>
      </c>
      <c r="HR91" s="2"/>
      <c r="HS91" s="2">
        <v>0</v>
      </c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>
        <v>0</v>
      </c>
      <c r="IL91" s="2"/>
      <c r="IM91" s="2"/>
      <c r="IN91" s="2"/>
      <c r="IO91" s="2"/>
      <c r="IP91" s="2"/>
      <c r="IQ91" s="2"/>
      <c r="IR91" s="2"/>
      <c r="IS91" s="2"/>
      <c r="IT91" s="2"/>
      <c r="IU91" s="2"/>
    </row>
    <row r="92" spans="1:255" x14ac:dyDescent="0.2">
      <c r="A92">
        <v>17</v>
      </c>
      <c r="B92">
        <v>1</v>
      </c>
      <c r="C92">
        <f>ROW(SmtRes!A108)</f>
        <v>108</v>
      </c>
      <c r="D92">
        <f>ROW(EtalonRes!A116)</f>
        <v>116</v>
      </c>
      <c r="E92" t="s">
        <v>145</v>
      </c>
      <c r="F92" t="s">
        <v>146</v>
      </c>
      <c r="G92" t="s">
        <v>147</v>
      </c>
      <c r="H92" t="s">
        <v>134</v>
      </c>
      <c r="I92">
        <f>ROUND(30/100,9)</f>
        <v>0.3</v>
      </c>
      <c r="J92">
        <v>0</v>
      </c>
      <c r="K92">
        <f>ROUND(30/100,9)</f>
        <v>0.3</v>
      </c>
      <c r="O92">
        <f t="shared" si="60"/>
        <v>9966.44</v>
      </c>
      <c r="P92">
        <f t="shared" si="61"/>
        <v>2428.66</v>
      </c>
      <c r="Q92">
        <f>(ROUND((ROUND((((ET92*1.1))*AV92*I92),2)*BB92),2)+ROUND((ROUND(((AE92-((EU92*1.1)))*AV92*I92),2)*BS92),2))</f>
        <v>538.65</v>
      </c>
      <c r="R92">
        <f>(ROUND((ROUND((((EU92*1.1))*AV92*I92),2)*BS92),2)+ROUND((ROUND(((AE92-((EU92*1.1)))*AV92*I92),2)*BS92),2))</f>
        <v>47.84</v>
      </c>
      <c r="S92">
        <f t="shared" si="62"/>
        <v>6999.13</v>
      </c>
      <c r="T92">
        <f t="shared" si="63"/>
        <v>0</v>
      </c>
      <c r="U92">
        <f t="shared" si="64"/>
        <v>10.330748999999999</v>
      </c>
      <c r="V92">
        <f t="shared" si="65"/>
        <v>0</v>
      </c>
      <c r="W92">
        <f t="shared" si="66"/>
        <v>0</v>
      </c>
      <c r="X92">
        <f>(ROUND((((S92+ROUND((ROUND((((EU92*1.1))*AV92*I92),2)*BS92),2))*AT92)/100),2)+ROUND(((ROUND((ROUND(((AE92-((EU92*1.1)))*AV92*I92),2)*BS92),2)*AT92)/100),2))</f>
        <v>6835.56</v>
      </c>
      <c r="Y92">
        <f>(ROUND((((S92+ROUND((ROUND((((EU92*1.1))*AV92*I92),2)*BS92),2))*AU92)/100),2)+ROUND(((ROUND((ROUND(((AE92-((EU92*1.1)))*AV92*I92),2)*BS92),2)*AU92)/100),2))</f>
        <v>3593.95</v>
      </c>
      <c r="AA92">
        <v>60256982</v>
      </c>
      <c r="AB92">
        <f t="shared" si="67"/>
        <v>2310.913</v>
      </c>
      <c r="AC92">
        <f t="shared" si="68"/>
        <v>1763.74</v>
      </c>
      <c r="AD92">
        <f>ROUND(((((ET92*1.1))-((EU92*1.1)))+AE92),6)</f>
        <v>141.96600000000001</v>
      </c>
      <c r="AE92">
        <f>ROUND(((EU92*1.1)),6)</f>
        <v>2.7719999999999998</v>
      </c>
      <c r="AF92">
        <f>ROUND(((EV92*1.1)),6)</f>
        <v>405.20699999999999</v>
      </c>
      <c r="AG92">
        <f t="shared" si="69"/>
        <v>0</v>
      </c>
      <c r="AH92">
        <f>((EW92*1.1))</f>
        <v>32.89</v>
      </c>
      <c r="AI92">
        <f>((EX92*1.1))</f>
        <v>0</v>
      </c>
      <c r="AJ92">
        <f t="shared" si="70"/>
        <v>0</v>
      </c>
      <c r="AK92">
        <v>2261.17</v>
      </c>
      <c r="AL92">
        <v>1763.74</v>
      </c>
      <c r="AM92">
        <v>129.06</v>
      </c>
      <c r="AN92">
        <v>2.52</v>
      </c>
      <c r="AO92">
        <v>368.37</v>
      </c>
      <c r="AP92">
        <v>0</v>
      </c>
      <c r="AQ92">
        <v>29.9</v>
      </c>
      <c r="AR92">
        <v>0</v>
      </c>
      <c r="AS92">
        <v>0</v>
      </c>
      <c r="AT92">
        <v>97</v>
      </c>
      <c r="AU92">
        <v>51</v>
      </c>
      <c r="AV92">
        <v>1.0469999999999999</v>
      </c>
      <c r="AW92">
        <v>1</v>
      </c>
      <c r="AZ92">
        <v>1</v>
      </c>
      <c r="BA92">
        <v>54.99</v>
      </c>
      <c r="BB92">
        <v>12.08</v>
      </c>
      <c r="BC92">
        <v>4.59</v>
      </c>
      <c r="BD92" t="s">
        <v>3</v>
      </c>
      <c r="BE92" t="s">
        <v>3</v>
      </c>
      <c r="BF92" t="s">
        <v>3</v>
      </c>
      <c r="BG92" t="s">
        <v>3</v>
      </c>
      <c r="BH92">
        <v>0</v>
      </c>
      <c r="BI92">
        <v>2</v>
      </c>
      <c r="BJ92" t="s">
        <v>148</v>
      </c>
      <c r="BM92">
        <v>67</v>
      </c>
      <c r="BN92">
        <v>58973116</v>
      </c>
      <c r="BO92" t="s">
        <v>146</v>
      </c>
      <c r="BP92">
        <v>1</v>
      </c>
      <c r="BQ92">
        <v>40</v>
      </c>
      <c r="BR92">
        <v>0</v>
      </c>
      <c r="BS92">
        <v>54.99</v>
      </c>
      <c r="BT92">
        <v>1</v>
      </c>
      <c r="BU92">
        <v>1</v>
      </c>
      <c r="BV92">
        <v>1</v>
      </c>
      <c r="BW92">
        <v>1</v>
      </c>
      <c r="BX92">
        <v>1</v>
      </c>
      <c r="BY92" t="s">
        <v>3</v>
      </c>
      <c r="BZ92">
        <v>97</v>
      </c>
      <c r="CA92">
        <v>51</v>
      </c>
      <c r="CB92" t="s">
        <v>3</v>
      </c>
      <c r="CE92">
        <v>1566</v>
      </c>
      <c r="CF92">
        <v>0</v>
      </c>
      <c r="CG92">
        <v>0</v>
      </c>
      <c r="CM92">
        <v>0</v>
      </c>
      <c r="CN92" t="s">
        <v>474</v>
      </c>
      <c r="CO92">
        <v>0</v>
      </c>
      <c r="CP92">
        <f t="shared" si="71"/>
        <v>9966.44</v>
      </c>
      <c r="CQ92">
        <f t="shared" si="72"/>
        <v>8095.57</v>
      </c>
      <c r="CR92">
        <f>(ROUND((ROUND((((ET92*1.1))*AV92*1),2)*BB92),2)+ROUND((ROUND(((AE92-((EU92*1.1)))*AV92*1),2)*BS92),2))</f>
        <v>1795.57</v>
      </c>
      <c r="CS92">
        <f>(ROUND((ROUND((((EU92*1.1))*AV92*1),2)*BS92),2)+ROUND((ROUND(((AE92-((EU92*1.1)))*AV92*1),2)*BS92),2))</f>
        <v>159.47</v>
      </c>
      <c r="CT92">
        <f t="shared" si="73"/>
        <v>23329.51</v>
      </c>
      <c r="CU92">
        <f t="shared" si="74"/>
        <v>0</v>
      </c>
      <c r="CV92">
        <f t="shared" si="75"/>
        <v>34.435829999999996</v>
      </c>
      <c r="CW92">
        <f t="shared" si="76"/>
        <v>0</v>
      </c>
      <c r="CX92">
        <f t="shared" si="77"/>
        <v>0</v>
      </c>
      <c r="CY92">
        <f>(ROUND((((S92+ROUND((ROUND((((EU92*1.1))*AV92*1),2)*BS92),2))*AT92)/100),2)+ROUND(((ROUND((ROUND(((AE92-((EU92*1.1)))*AV92*1),2)*BS92),2)*AT92)/100),2))</f>
        <v>6943.84</v>
      </c>
      <c r="CZ92">
        <f>(ROUND((((S92+ROUND((ROUND((((EU92*1.1))*AV92*1),2)*BS92),2))*AU92)/100),2)+ROUND(((ROUND((ROUND(((AE92-((EU92*1.1)))*AV92*1),2)*BS92),2)*AU92)/100),2))</f>
        <v>3650.89</v>
      </c>
      <c r="DB92">
        <v>14</v>
      </c>
      <c r="DC92" t="s">
        <v>3</v>
      </c>
      <c r="DD92" t="s">
        <v>3</v>
      </c>
      <c r="DE92" t="s">
        <v>23</v>
      </c>
      <c r="DF92" t="s">
        <v>23</v>
      </c>
      <c r="DG92" t="s">
        <v>23</v>
      </c>
      <c r="DH92" t="s">
        <v>3</v>
      </c>
      <c r="DI92" t="s">
        <v>23</v>
      </c>
      <c r="DJ92" t="s">
        <v>23</v>
      </c>
      <c r="DK92" t="s">
        <v>3</v>
      </c>
      <c r="DL92" t="s">
        <v>3</v>
      </c>
      <c r="DM92" t="s">
        <v>3</v>
      </c>
      <c r="DN92">
        <v>0</v>
      </c>
      <c r="DO92">
        <v>0</v>
      </c>
      <c r="DP92">
        <v>1</v>
      </c>
      <c r="DQ92">
        <v>1</v>
      </c>
      <c r="DU92">
        <v>1003</v>
      </c>
      <c r="DV92" t="s">
        <v>134</v>
      </c>
      <c r="DW92" t="s">
        <v>134</v>
      </c>
      <c r="DX92">
        <v>100</v>
      </c>
      <c r="DZ92" t="s">
        <v>3</v>
      </c>
      <c r="EA92" t="s">
        <v>3</v>
      </c>
      <c r="EB92" t="s">
        <v>3</v>
      </c>
      <c r="EC92" t="s">
        <v>3</v>
      </c>
      <c r="EE92">
        <v>60088531</v>
      </c>
      <c r="EF92">
        <v>40</v>
      </c>
      <c r="EG92" t="s">
        <v>24</v>
      </c>
      <c r="EH92">
        <v>0</v>
      </c>
      <c r="EI92" t="s">
        <v>3</v>
      </c>
      <c r="EJ92">
        <v>2</v>
      </c>
      <c r="EK92">
        <v>67</v>
      </c>
      <c r="EL92" t="s">
        <v>65</v>
      </c>
      <c r="EM92" t="s">
        <v>66</v>
      </c>
      <c r="EO92" t="s">
        <v>27</v>
      </c>
      <c r="EQ92">
        <v>0</v>
      </c>
      <c r="ER92">
        <v>2261.17</v>
      </c>
      <c r="ES92">
        <v>1763.74</v>
      </c>
      <c r="ET92">
        <v>129.06</v>
      </c>
      <c r="EU92">
        <v>2.52</v>
      </c>
      <c r="EV92">
        <v>368.37</v>
      </c>
      <c r="EW92">
        <v>29.9</v>
      </c>
      <c r="EX92">
        <v>0</v>
      </c>
      <c r="EY92">
        <v>0</v>
      </c>
      <c r="FQ92">
        <v>0</v>
      </c>
      <c r="FR92">
        <v>0</v>
      </c>
      <c r="FS92">
        <v>0</v>
      </c>
      <c r="FX92">
        <v>97</v>
      </c>
      <c r="FY92">
        <v>51</v>
      </c>
      <c r="GA92" t="s">
        <v>3</v>
      </c>
      <c r="GD92">
        <v>1</v>
      </c>
      <c r="GF92">
        <v>1516590241</v>
      </c>
      <c r="GG92">
        <v>2</v>
      </c>
      <c r="GH92">
        <v>1</v>
      </c>
      <c r="GI92">
        <v>2</v>
      </c>
      <c r="GJ92">
        <v>0</v>
      </c>
      <c r="GK92">
        <v>0</v>
      </c>
      <c r="GL92">
        <f t="shared" si="78"/>
        <v>0</v>
      </c>
      <c r="GM92">
        <f t="shared" si="79"/>
        <v>20395.95</v>
      </c>
      <c r="GN92">
        <f t="shared" si="80"/>
        <v>0</v>
      </c>
      <c r="GO92">
        <f t="shared" si="81"/>
        <v>20395.95</v>
      </c>
      <c r="GP92">
        <f t="shared" si="82"/>
        <v>0</v>
      </c>
      <c r="GR92">
        <v>0</v>
      </c>
      <c r="GS92">
        <v>3</v>
      </c>
      <c r="GT92">
        <v>0</v>
      </c>
      <c r="GU92" t="s">
        <v>3</v>
      </c>
      <c r="GV92">
        <f t="shared" si="83"/>
        <v>0</v>
      </c>
      <c r="GW92">
        <v>1</v>
      </c>
      <c r="GX92">
        <f t="shared" si="84"/>
        <v>0</v>
      </c>
      <c r="HA92">
        <v>0</v>
      </c>
      <c r="HB92">
        <v>0</v>
      </c>
      <c r="HC92">
        <f t="shared" si="85"/>
        <v>0</v>
      </c>
      <c r="HE92" t="s">
        <v>3</v>
      </c>
      <c r="HF92" t="s">
        <v>3</v>
      </c>
      <c r="HM92" t="s">
        <v>3</v>
      </c>
      <c r="HN92" t="s">
        <v>3</v>
      </c>
      <c r="HO92" t="s">
        <v>3</v>
      </c>
      <c r="HP92" t="s">
        <v>3</v>
      </c>
      <c r="HQ92" t="s">
        <v>3</v>
      </c>
      <c r="HS92">
        <v>0</v>
      </c>
      <c r="IK92">
        <v>0</v>
      </c>
    </row>
    <row r="93" spans="1:255" x14ac:dyDescent="0.2">
      <c r="A93" s="2">
        <v>18</v>
      </c>
      <c r="B93" s="2">
        <v>1</v>
      </c>
      <c r="C93" s="2">
        <v>94</v>
      </c>
      <c r="D93" s="2"/>
      <c r="E93" s="2" t="s">
        <v>149</v>
      </c>
      <c r="F93" s="2" t="s">
        <v>150</v>
      </c>
      <c r="G93" s="2" t="s">
        <v>151</v>
      </c>
      <c r="H93" s="2" t="s">
        <v>139</v>
      </c>
      <c r="I93" s="2">
        <f>I91*J93</f>
        <v>30.9</v>
      </c>
      <c r="J93" s="2">
        <v>103</v>
      </c>
      <c r="K93" s="2">
        <v>103</v>
      </c>
      <c r="L93" s="2"/>
      <c r="M93" s="2"/>
      <c r="N93" s="2"/>
      <c r="O93" s="2">
        <f t="shared" si="60"/>
        <v>998.69</v>
      </c>
      <c r="P93" s="2">
        <f t="shared" si="61"/>
        <v>998.69</v>
      </c>
      <c r="Q93" s="2">
        <f>(ROUND((ROUND(((ET93)*AV93*I93),2)*BB93),2)+ROUND((ROUND(((AE93-(EU93))*AV93*I93),2)*BS93),2))</f>
        <v>0</v>
      </c>
      <c r="R93" s="2">
        <f>(ROUND((ROUND(((EU93)*AV93*I93),2)*BS93),2)+ROUND((ROUND(((AE93-(EU93))*AV93*I93),2)*BS93),2))</f>
        <v>0</v>
      </c>
      <c r="S93" s="2">
        <f t="shared" si="62"/>
        <v>0</v>
      </c>
      <c r="T93" s="2">
        <f t="shared" si="63"/>
        <v>0</v>
      </c>
      <c r="U93" s="2">
        <f t="shared" si="64"/>
        <v>0</v>
      </c>
      <c r="V93" s="2">
        <f t="shared" si="65"/>
        <v>0</v>
      </c>
      <c r="W93" s="2">
        <f t="shared" si="66"/>
        <v>0</v>
      </c>
      <c r="X93" s="2">
        <f>(ROUND((((S93+ROUND((ROUND(((EU93)*AV93*I93),2)*BS93),2))*AT93)/100),2)+ROUND(((ROUND((ROUND(((AE93-(EU93))*AV93*I93),2)*BS93),2)*AT93)/100),2))</f>
        <v>0</v>
      </c>
      <c r="Y93" s="2">
        <f>(ROUND((((S93+ROUND((ROUND(((EU93)*AV93*I93),2)*BS93),2))*AU93)/100),2)+ROUND(((ROUND((ROUND(((AE93-(EU93))*AV93*I93),2)*BS93),2)*AU93)/100),2))</f>
        <v>0</v>
      </c>
      <c r="Z93" s="2"/>
      <c r="AA93" s="2">
        <v>60256985</v>
      </c>
      <c r="AB93" s="2">
        <f t="shared" si="67"/>
        <v>32.32</v>
      </c>
      <c r="AC93" s="2">
        <f t="shared" si="68"/>
        <v>32.32</v>
      </c>
      <c r="AD93" s="2">
        <f>ROUND((((ET93)-(EU93))+AE93),6)</f>
        <v>0</v>
      </c>
      <c r="AE93" s="2">
        <f>ROUND((EU93),6)</f>
        <v>0</v>
      </c>
      <c r="AF93" s="2">
        <f>ROUND((EV93),6)</f>
        <v>0</v>
      </c>
      <c r="AG93" s="2">
        <f t="shared" si="69"/>
        <v>0</v>
      </c>
      <c r="AH93" s="2">
        <f>(EW93)</f>
        <v>0</v>
      </c>
      <c r="AI93" s="2">
        <f>(EX93)</f>
        <v>0</v>
      </c>
      <c r="AJ93" s="2">
        <f t="shared" si="70"/>
        <v>0</v>
      </c>
      <c r="AK93" s="2">
        <v>32.32</v>
      </c>
      <c r="AL93" s="2">
        <v>32.32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97</v>
      </c>
      <c r="AU93" s="2">
        <v>51</v>
      </c>
      <c r="AV93" s="2">
        <v>1</v>
      </c>
      <c r="AW93" s="2">
        <v>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3</v>
      </c>
      <c r="BI93" s="2">
        <v>2</v>
      </c>
      <c r="BJ93" s="2" t="s">
        <v>152</v>
      </c>
      <c r="BK93" s="2"/>
      <c r="BL93" s="2"/>
      <c r="BM93" s="2">
        <v>67</v>
      </c>
      <c r="BN93" s="2">
        <v>58973116</v>
      </c>
      <c r="BO93" s="2" t="s">
        <v>3</v>
      </c>
      <c r="BP93" s="2">
        <v>0</v>
      </c>
      <c r="BQ93" s="2">
        <v>40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97</v>
      </c>
      <c r="CA93" s="2">
        <v>51</v>
      </c>
      <c r="CB93" s="2" t="s">
        <v>3</v>
      </c>
      <c r="CC93" s="2"/>
      <c r="CD93" s="2"/>
      <c r="CE93" s="2">
        <v>1566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2" t="s">
        <v>3</v>
      </c>
      <c r="CO93" s="2">
        <v>0</v>
      </c>
      <c r="CP93" s="2">
        <f t="shared" si="71"/>
        <v>998.69</v>
      </c>
      <c r="CQ93" s="2">
        <f t="shared" si="72"/>
        <v>32.32</v>
      </c>
      <c r="CR93" s="2">
        <f>(ROUND((ROUND(((ET93)*AV93*1),2)*BB93),2)+ROUND((ROUND(((AE93-(EU93))*AV93*1),2)*BS93),2))</f>
        <v>0</v>
      </c>
      <c r="CS93" s="2">
        <f>(ROUND((ROUND(((EU93)*AV93*1),2)*BS93),2)+ROUND((ROUND(((AE93-(EU93))*AV93*1),2)*BS93),2))</f>
        <v>0</v>
      </c>
      <c r="CT93" s="2">
        <f t="shared" si="73"/>
        <v>0</v>
      </c>
      <c r="CU93" s="2">
        <f t="shared" si="74"/>
        <v>0</v>
      </c>
      <c r="CV93" s="2">
        <f t="shared" si="75"/>
        <v>0</v>
      </c>
      <c r="CW93" s="2">
        <f t="shared" si="76"/>
        <v>0</v>
      </c>
      <c r="CX93" s="2">
        <f t="shared" si="77"/>
        <v>0</v>
      </c>
      <c r="CY93" s="2">
        <f>(ROUND((((S93+ROUND((ROUND(((EU93)*AV93*1),2)*BS93),2))*AT93)/100),2)+ROUND(((ROUND((ROUND(((AE93-(EU93))*AV93*1),2)*BS93),2)*AT93)/100),2))</f>
        <v>0</v>
      </c>
      <c r="CZ93" s="2">
        <f>(ROUND((((S93+ROUND((ROUND(((EU93)*AV93*1),2)*BS93),2))*AU93)/100),2)+ROUND(((ROUND((ROUND(((AE93-(EU93))*AV93*1),2)*BS93),2)*AU93)/100),2))</f>
        <v>0</v>
      </c>
      <c r="DA93" s="2"/>
      <c r="DB93" s="2"/>
      <c r="DC93" s="2" t="s">
        <v>3</v>
      </c>
      <c r="DD93" s="2" t="s">
        <v>3</v>
      </c>
      <c r="DE93" s="2" t="s">
        <v>3</v>
      </c>
      <c r="DF93" s="2" t="s">
        <v>3</v>
      </c>
      <c r="DG93" s="2" t="s">
        <v>3</v>
      </c>
      <c r="DH93" s="2" t="s">
        <v>3</v>
      </c>
      <c r="DI93" s="2" t="s">
        <v>3</v>
      </c>
      <c r="DJ93" s="2" t="s">
        <v>3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1003</v>
      </c>
      <c r="DV93" s="2" t="s">
        <v>139</v>
      </c>
      <c r="DW93" s="2" t="s">
        <v>139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60088531</v>
      </c>
      <c r="EF93" s="2">
        <v>40</v>
      </c>
      <c r="EG93" s="2" t="s">
        <v>24</v>
      </c>
      <c r="EH93" s="2">
        <v>0</v>
      </c>
      <c r="EI93" s="2" t="s">
        <v>3</v>
      </c>
      <c r="EJ93" s="2">
        <v>2</v>
      </c>
      <c r="EK93" s="2">
        <v>67</v>
      </c>
      <c r="EL93" s="2" t="s">
        <v>65</v>
      </c>
      <c r="EM93" s="2" t="s">
        <v>66</v>
      </c>
      <c r="EN93" s="2"/>
      <c r="EO93" s="2" t="s">
        <v>3</v>
      </c>
      <c r="EP93" s="2"/>
      <c r="EQ93" s="2">
        <v>0</v>
      </c>
      <c r="ER93" s="2">
        <v>32.32</v>
      </c>
      <c r="ES93" s="2">
        <v>32.32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v>0</v>
      </c>
      <c r="FS93" s="2">
        <v>0</v>
      </c>
      <c r="FT93" s="2"/>
      <c r="FU93" s="2"/>
      <c r="FV93" s="2"/>
      <c r="FW93" s="2"/>
      <c r="FX93" s="2">
        <v>97</v>
      </c>
      <c r="FY93" s="2">
        <v>51</v>
      </c>
      <c r="FZ93" s="2"/>
      <c r="GA93" s="2" t="s">
        <v>3</v>
      </c>
      <c r="GB93" s="2"/>
      <c r="GC93" s="2"/>
      <c r="GD93" s="2">
        <v>1</v>
      </c>
      <c r="GE93" s="2"/>
      <c r="GF93" s="2">
        <v>550947997</v>
      </c>
      <c r="GG93" s="2">
        <v>2</v>
      </c>
      <c r="GH93" s="2">
        <v>1</v>
      </c>
      <c r="GI93" s="2">
        <v>-2</v>
      </c>
      <c r="GJ93" s="2">
        <v>0</v>
      </c>
      <c r="GK93" s="2">
        <v>0</v>
      </c>
      <c r="GL93" s="2">
        <f t="shared" si="78"/>
        <v>0</v>
      </c>
      <c r="GM93" s="2">
        <f t="shared" si="79"/>
        <v>998.69</v>
      </c>
      <c r="GN93" s="2">
        <f t="shared" si="80"/>
        <v>0</v>
      </c>
      <c r="GO93" s="2">
        <f t="shared" si="81"/>
        <v>998.69</v>
      </c>
      <c r="GP93" s="2">
        <f t="shared" si="82"/>
        <v>0</v>
      </c>
      <c r="GQ93" s="2"/>
      <c r="GR93" s="2">
        <v>0</v>
      </c>
      <c r="GS93" s="2">
        <v>3</v>
      </c>
      <c r="GT93" s="2">
        <v>0</v>
      </c>
      <c r="GU93" s="2" t="s">
        <v>3</v>
      </c>
      <c r="GV93" s="2">
        <f t="shared" si="83"/>
        <v>0</v>
      </c>
      <c r="GW93" s="2">
        <v>1</v>
      </c>
      <c r="GX93" s="2">
        <f t="shared" si="84"/>
        <v>0</v>
      </c>
      <c r="GY93" s="2"/>
      <c r="GZ93" s="2"/>
      <c r="HA93" s="2">
        <v>0</v>
      </c>
      <c r="HB93" s="2">
        <v>0</v>
      </c>
      <c r="HC93" s="2">
        <f t="shared" si="85"/>
        <v>0</v>
      </c>
      <c r="HD93" s="2"/>
      <c r="HE93" s="2" t="s">
        <v>3</v>
      </c>
      <c r="HF93" s="2" t="s">
        <v>3</v>
      </c>
      <c r="HG93" s="2"/>
      <c r="HH93" s="2"/>
      <c r="HI93" s="2"/>
      <c r="HJ93" s="2"/>
      <c r="HK93" s="2"/>
      <c r="HL93" s="2"/>
      <c r="HM93" s="2" t="s">
        <v>3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x14ac:dyDescent="0.2">
      <c r="A94">
        <v>18</v>
      </c>
      <c r="B94">
        <v>1</v>
      </c>
      <c r="C94">
        <v>106</v>
      </c>
      <c r="E94" t="s">
        <v>149</v>
      </c>
      <c r="F94" t="s">
        <v>150</v>
      </c>
      <c r="G94" t="s">
        <v>151</v>
      </c>
      <c r="H94" t="s">
        <v>139</v>
      </c>
      <c r="I94">
        <f>I92*J94</f>
        <v>30.9</v>
      </c>
      <c r="J94">
        <v>103</v>
      </c>
      <c r="K94">
        <v>103</v>
      </c>
      <c r="O94">
        <f t="shared" si="60"/>
        <v>6940.9</v>
      </c>
      <c r="P94">
        <f t="shared" si="61"/>
        <v>6940.9</v>
      </c>
      <c r="Q94">
        <f>(ROUND((ROUND(((ET94)*AV94*I94),2)*BB94),2)+ROUND((ROUND(((AE94-(EU94))*AV94*I94),2)*BS94),2))</f>
        <v>0</v>
      </c>
      <c r="R94">
        <f>(ROUND((ROUND(((EU94)*AV94*I94),2)*BS94),2)+ROUND((ROUND(((AE94-(EU94))*AV94*I94),2)*BS94),2))</f>
        <v>0</v>
      </c>
      <c r="S94">
        <f t="shared" si="62"/>
        <v>0</v>
      </c>
      <c r="T94">
        <f t="shared" si="63"/>
        <v>0</v>
      </c>
      <c r="U94">
        <f t="shared" si="64"/>
        <v>0</v>
      </c>
      <c r="V94">
        <f t="shared" si="65"/>
        <v>0</v>
      </c>
      <c r="W94">
        <f t="shared" si="66"/>
        <v>0</v>
      </c>
      <c r="X94">
        <f>(ROUND((((S94+ROUND((ROUND(((EU94)*AV94*I94),2)*BS94),2))*AT94)/100),2)+ROUND(((ROUND((ROUND(((AE94-(EU94))*AV94*I94),2)*BS94),2)*AT94)/100),2))</f>
        <v>0</v>
      </c>
      <c r="Y94">
        <f>(ROUND((((S94+ROUND((ROUND(((EU94)*AV94*I94),2)*BS94),2))*AU94)/100),2)+ROUND(((ROUND((ROUND(((AE94-(EU94))*AV94*I94),2)*BS94),2)*AU94)/100),2))</f>
        <v>0</v>
      </c>
      <c r="AA94">
        <v>60256982</v>
      </c>
      <c r="AB94">
        <f t="shared" si="67"/>
        <v>32.32</v>
      </c>
      <c r="AC94">
        <f t="shared" si="68"/>
        <v>32.32</v>
      </c>
      <c r="AD94">
        <f>ROUND((((ET94)-(EU94))+AE94),6)</f>
        <v>0</v>
      </c>
      <c r="AE94">
        <f>ROUND((EU94),6)</f>
        <v>0</v>
      </c>
      <c r="AF94">
        <f>ROUND((EV94),6)</f>
        <v>0</v>
      </c>
      <c r="AG94">
        <f t="shared" si="69"/>
        <v>0</v>
      </c>
      <c r="AH94">
        <f>(EW94)</f>
        <v>0</v>
      </c>
      <c r="AI94">
        <f>(EX94)</f>
        <v>0</v>
      </c>
      <c r="AJ94">
        <f t="shared" si="70"/>
        <v>0</v>
      </c>
      <c r="AK94">
        <v>32.32</v>
      </c>
      <c r="AL94">
        <v>32.32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97</v>
      </c>
      <c r="AU94">
        <v>51</v>
      </c>
      <c r="AV94">
        <v>1</v>
      </c>
      <c r="AW94">
        <v>1</v>
      </c>
      <c r="AZ94">
        <v>1</v>
      </c>
      <c r="BA94">
        <v>1</v>
      </c>
      <c r="BB94">
        <v>1</v>
      </c>
      <c r="BC94">
        <v>6.95</v>
      </c>
      <c r="BD94" t="s">
        <v>3</v>
      </c>
      <c r="BE94" t="s">
        <v>3</v>
      </c>
      <c r="BF94" t="s">
        <v>3</v>
      </c>
      <c r="BG94" t="s">
        <v>3</v>
      </c>
      <c r="BH94">
        <v>3</v>
      </c>
      <c r="BI94">
        <v>2</v>
      </c>
      <c r="BJ94" t="s">
        <v>152</v>
      </c>
      <c r="BM94">
        <v>67</v>
      </c>
      <c r="BN94">
        <v>58973116</v>
      </c>
      <c r="BO94" t="s">
        <v>150</v>
      </c>
      <c r="BP94">
        <v>1</v>
      </c>
      <c r="BQ94">
        <v>40</v>
      </c>
      <c r="BR94">
        <v>0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 t="s">
        <v>3</v>
      </c>
      <c r="BZ94">
        <v>97</v>
      </c>
      <c r="CA94">
        <v>51</v>
      </c>
      <c r="CB94" t="s">
        <v>3</v>
      </c>
      <c r="CE94">
        <v>1566</v>
      </c>
      <c r="CF94">
        <v>0</v>
      </c>
      <c r="CG94">
        <v>0</v>
      </c>
      <c r="CM94">
        <v>0</v>
      </c>
      <c r="CN94" t="s">
        <v>3</v>
      </c>
      <c r="CO94">
        <v>0</v>
      </c>
      <c r="CP94">
        <f t="shared" si="71"/>
        <v>6940.9</v>
      </c>
      <c r="CQ94">
        <f t="shared" si="72"/>
        <v>224.62</v>
      </c>
      <c r="CR94">
        <f>(ROUND((ROUND(((ET94)*AV94*1),2)*BB94),2)+ROUND((ROUND(((AE94-(EU94))*AV94*1),2)*BS94),2))</f>
        <v>0</v>
      </c>
      <c r="CS94">
        <f>(ROUND((ROUND(((EU94)*AV94*1),2)*BS94),2)+ROUND((ROUND(((AE94-(EU94))*AV94*1),2)*BS94),2))</f>
        <v>0</v>
      </c>
      <c r="CT94">
        <f t="shared" si="73"/>
        <v>0</v>
      </c>
      <c r="CU94">
        <f t="shared" si="74"/>
        <v>0</v>
      </c>
      <c r="CV94">
        <f t="shared" si="75"/>
        <v>0</v>
      </c>
      <c r="CW94">
        <f t="shared" si="76"/>
        <v>0</v>
      </c>
      <c r="CX94">
        <f t="shared" si="77"/>
        <v>0</v>
      </c>
      <c r="CY94">
        <f>(ROUND((((S94+ROUND((ROUND(((EU94)*AV94*1),2)*BS94),2))*AT94)/100),2)+ROUND(((ROUND((ROUND(((AE94-(EU94))*AV94*1),2)*BS94),2)*AT94)/100),2))</f>
        <v>0</v>
      </c>
      <c r="CZ94">
        <f>(ROUND((((S94+ROUND((ROUND(((EU94)*AV94*1),2)*BS94),2))*AU94)/100),2)+ROUND(((ROUND((ROUND(((AE94-(EU94))*AV94*1),2)*BS94),2)*AU94)/100),2))</f>
        <v>0</v>
      </c>
      <c r="DC94" t="s">
        <v>3</v>
      </c>
      <c r="DD94" t="s">
        <v>3</v>
      </c>
      <c r="DE94" t="s">
        <v>3</v>
      </c>
      <c r="DF94" t="s">
        <v>3</v>
      </c>
      <c r="DG94" t="s">
        <v>3</v>
      </c>
      <c r="DH94" t="s">
        <v>3</v>
      </c>
      <c r="DI94" t="s">
        <v>3</v>
      </c>
      <c r="DJ94" t="s">
        <v>3</v>
      </c>
      <c r="DK94" t="s">
        <v>3</v>
      </c>
      <c r="DL94" t="s">
        <v>3</v>
      </c>
      <c r="DM94" t="s">
        <v>3</v>
      </c>
      <c r="DN94">
        <v>0</v>
      </c>
      <c r="DO94">
        <v>0</v>
      </c>
      <c r="DP94">
        <v>1</v>
      </c>
      <c r="DQ94">
        <v>1</v>
      </c>
      <c r="DU94">
        <v>1003</v>
      </c>
      <c r="DV94" t="s">
        <v>139</v>
      </c>
      <c r="DW94" t="s">
        <v>139</v>
      </c>
      <c r="DX94">
        <v>1</v>
      </c>
      <c r="DZ94" t="s">
        <v>3</v>
      </c>
      <c r="EA94" t="s">
        <v>3</v>
      </c>
      <c r="EB94" t="s">
        <v>3</v>
      </c>
      <c r="EC94" t="s">
        <v>3</v>
      </c>
      <c r="EE94">
        <v>60088531</v>
      </c>
      <c r="EF94">
        <v>40</v>
      </c>
      <c r="EG94" t="s">
        <v>24</v>
      </c>
      <c r="EH94">
        <v>0</v>
      </c>
      <c r="EI94" t="s">
        <v>3</v>
      </c>
      <c r="EJ94">
        <v>2</v>
      </c>
      <c r="EK94">
        <v>67</v>
      </c>
      <c r="EL94" t="s">
        <v>65</v>
      </c>
      <c r="EM94" t="s">
        <v>66</v>
      </c>
      <c r="EO94" t="s">
        <v>3</v>
      </c>
      <c r="EQ94">
        <v>0</v>
      </c>
      <c r="ER94">
        <v>32.32</v>
      </c>
      <c r="ES94">
        <v>32.32</v>
      </c>
      <c r="ET94">
        <v>0</v>
      </c>
      <c r="EU94">
        <v>0</v>
      </c>
      <c r="EV94">
        <v>0</v>
      </c>
      <c r="EW94">
        <v>0</v>
      </c>
      <c r="EX94">
        <v>0</v>
      </c>
      <c r="FQ94">
        <v>0</v>
      </c>
      <c r="FR94">
        <v>0</v>
      </c>
      <c r="FS94">
        <v>0</v>
      </c>
      <c r="FX94">
        <v>97</v>
      </c>
      <c r="FY94">
        <v>51</v>
      </c>
      <c r="GA94" t="s">
        <v>3</v>
      </c>
      <c r="GD94">
        <v>1</v>
      </c>
      <c r="GF94">
        <v>550947997</v>
      </c>
      <c r="GG94">
        <v>2</v>
      </c>
      <c r="GH94">
        <v>1</v>
      </c>
      <c r="GI94">
        <v>2</v>
      </c>
      <c r="GJ94">
        <v>0</v>
      </c>
      <c r="GK94">
        <v>0</v>
      </c>
      <c r="GL94">
        <f t="shared" si="78"/>
        <v>0</v>
      </c>
      <c r="GM94">
        <f t="shared" si="79"/>
        <v>6940.9</v>
      </c>
      <c r="GN94">
        <f t="shared" si="80"/>
        <v>0</v>
      </c>
      <c r="GO94">
        <f t="shared" si="81"/>
        <v>6940.9</v>
      </c>
      <c r="GP94">
        <f t="shared" si="82"/>
        <v>0</v>
      </c>
      <c r="GR94">
        <v>0</v>
      </c>
      <c r="GS94">
        <v>3</v>
      </c>
      <c r="GT94">
        <v>0</v>
      </c>
      <c r="GU94" t="s">
        <v>3</v>
      </c>
      <c r="GV94">
        <f t="shared" si="83"/>
        <v>0</v>
      </c>
      <c r="GW94">
        <v>1</v>
      </c>
      <c r="GX94">
        <f t="shared" si="84"/>
        <v>0</v>
      </c>
      <c r="HA94">
        <v>0</v>
      </c>
      <c r="HB94">
        <v>0</v>
      </c>
      <c r="HC94">
        <f t="shared" si="85"/>
        <v>0</v>
      </c>
      <c r="HE94" t="s">
        <v>3</v>
      </c>
      <c r="HF94" t="s">
        <v>3</v>
      </c>
      <c r="HM94" t="s">
        <v>3</v>
      </c>
      <c r="HN94" t="s">
        <v>3</v>
      </c>
      <c r="HO94" t="s">
        <v>3</v>
      </c>
      <c r="HP94" t="s">
        <v>3</v>
      </c>
      <c r="HQ94" t="s">
        <v>3</v>
      </c>
      <c r="HS94">
        <v>0</v>
      </c>
      <c r="IK94">
        <v>0</v>
      </c>
    </row>
    <row r="95" spans="1:255" x14ac:dyDescent="0.2">
      <c r="A95" s="2">
        <v>17</v>
      </c>
      <c r="B95" s="2">
        <v>1</v>
      </c>
      <c r="C95" s="2">
        <f>ROW(SmtRes!A117)</f>
        <v>117</v>
      </c>
      <c r="D95" s="2">
        <f>ROW(EtalonRes!A126)</f>
        <v>126</v>
      </c>
      <c r="E95" s="2" t="s">
        <v>153</v>
      </c>
      <c r="F95" s="2" t="s">
        <v>154</v>
      </c>
      <c r="G95" s="2" t="s">
        <v>155</v>
      </c>
      <c r="H95" s="2" t="s">
        <v>134</v>
      </c>
      <c r="I95" s="2">
        <f>ROUND((200+30)/100,9)</f>
        <v>2.2999999999999998</v>
      </c>
      <c r="J95" s="2">
        <v>0</v>
      </c>
      <c r="K95" s="2">
        <f>ROUND((200+30)/100,9)</f>
        <v>2.2999999999999998</v>
      </c>
      <c r="L95" s="2"/>
      <c r="M95" s="2"/>
      <c r="N95" s="2"/>
      <c r="O95" s="2">
        <f t="shared" si="60"/>
        <v>332.08</v>
      </c>
      <c r="P95" s="2">
        <f t="shared" si="61"/>
        <v>142.55000000000001</v>
      </c>
      <c r="Q95" s="2">
        <f>(ROUND((ROUND((((ET95*1.1))*AV95*I95),2)*BB95),2)+ROUND((ROUND(((AE95-((EU95*1.1)))*AV95*I95),2)*BS95),2))</f>
        <v>13.91</v>
      </c>
      <c r="R95" s="2">
        <f>(ROUND((ROUND((((EU95*1.1))*AV95*I95),2)*BS95),2)+ROUND((ROUND(((AE95-((EU95*1.1)))*AV95*I95),2)*BS95),2))</f>
        <v>1.56</v>
      </c>
      <c r="S95" s="2">
        <f t="shared" si="62"/>
        <v>175.62</v>
      </c>
      <c r="T95" s="2">
        <f t="shared" si="63"/>
        <v>0</v>
      </c>
      <c r="U95" s="2">
        <f t="shared" si="64"/>
        <v>14.277624899999999</v>
      </c>
      <c r="V95" s="2">
        <f t="shared" si="65"/>
        <v>0</v>
      </c>
      <c r="W95" s="2">
        <f t="shared" si="66"/>
        <v>0</v>
      </c>
      <c r="X95" s="2">
        <f>(ROUND((((S95+ROUND((ROUND((((EU95*1.1))*AV95*I95),2)*BS95),2))*AT95)/100),2)+ROUND(((ROUND((ROUND(((AE95-((EU95*1.1)))*AV95*I95),2)*BS95),2)*AT95)/100),2))</f>
        <v>171.86</v>
      </c>
      <c r="Y95" s="2">
        <f>(ROUND((((S95+ROUND((ROUND((((EU95*1.1))*AV95*I95),2)*BS95),2))*AU95)/100),2)+ROUND(((ROUND((ROUND(((AE95-((EU95*1.1)))*AV95*I95),2)*BS95),2)*AU95)/100),2))</f>
        <v>90.36</v>
      </c>
      <c r="Z95" s="2"/>
      <c r="AA95" s="2">
        <v>60256985</v>
      </c>
      <c r="AB95" s="2">
        <f t="shared" si="67"/>
        <v>140.685</v>
      </c>
      <c r="AC95" s="2">
        <f t="shared" si="68"/>
        <v>61.98</v>
      </c>
      <c r="AD95" s="2">
        <f>ROUND(((((ET95*1.1))-((EU95*1.1)))+AE95),6)</f>
        <v>5.7750000000000004</v>
      </c>
      <c r="AE95" s="2">
        <f t="shared" ref="AE95:AF98" si="88">ROUND(((EU95*1.1)),6)</f>
        <v>0.64900000000000002</v>
      </c>
      <c r="AF95" s="2">
        <f t="shared" si="88"/>
        <v>72.930000000000007</v>
      </c>
      <c r="AG95" s="2">
        <f t="shared" si="69"/>
        <v>0</v>
      </c>
      <c r="AH95" s="2">
        <f t="shared" ref="AH95:AI98" si="89">((EW95*1.1))</f>
        <v>5.9290000000000003</v>
      </c>
      <c r="AI95" s="2">
        <f t="shared" si="89"/>
        <v>0</v>
      </c>
      <c r="AJ95" s="2">
        <f t="shared" si="70"/>
        <v>0</v>
      </c>
      <c r="AK95" s="2">
        <v>133.53</v>
      </c>
      <c r="AL95" s="2">
        <v>61.98</v>
      </c>
      <c r="AM95" s="2">
        <v>5.25</v>
      </c>
      <c r="AN95" s="2">
        <v>0.59</v>
      </c>
      <c r="AO95" s="2">
        <v>66.3</v>
      </c>
      <c r="AP95" s="2">
        <v>0</v>
      </c>
      <c r="AQ95" s="2">
        <v>5.39</v>
      </c>
      <c r="AR95" s="2">
        <v>0</v>
      </c>
      <c r="AS95" s="2">
        <v>0</v>
      </c>
      <c r="AT95" s="2">
        <v>97</v>
      </c>
      <c r="AU95" s="2">
        <v>51</v>
      </c>
      <c r="AV95" s="2">
        <v>1.0469999999999999</v>
      </c>
      <c r="AW95" s="2">
        <v>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0</v>
      </c>
      <c r="BI95" s="2">
        <v>2</v>
      </c>
      <c r="BJ95" s="2" t="s">
        <v>156</v>
      </c>
      <c r="BK95" s="2"/>
      <c r="BL95" s="2"/>
      <c r="BM95" s="2">
        <v>67</v>
      </c>
      <c r="BN95" s="2">
        <v>58973116</v>
      </c>
      <c r="BO95" s="2" t="s">
        <v>154</v>
      </c>
      <c r="BP95" s="2">
        <v>1</v>
      </c>
      <c r="BQ95" s="2">
        <v>40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97</v>
      </c>
      <c r="CA95" s="2">
        <v>51</v>
      </c>
      <c r="CB95" s="2" t="s">
        <v>3</v>
      </c>
      <c r="CC95" s="2"/>
      <c r="CD95" s="2"/>
      <c r="CE95" s="2">
        <v>1566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2" t="s">
        <v>474</v>
      </c>
      <c r="CO95" s="2">
        <v>0</v>
      </c>
      <c r="CP95" s="2">
        <f t="shared" si="71"/>
        <v>332.08000000000004</v>
      </c>
      <c r="CQ95" s="2">
        <f t="shared" si="72"/>
        <v>61.98</v>
      </c>
      <c r="CR95" s="2">
        <f>(ROUND((ROUND((((ET95*1.1))*AV95*1),2)*BB95),2)+ROUND((ROUND(((AE95-((EU95*1.1)))*AV95*1),2)*BS95),2))</f>
        <v>6.05</v>
      </c>
      <c r="CS95" s="2">
        <f>(ROUND((ROUND((((EU95*1.1))*AV95*1),2)*BS95),2)+ROUND((ROUND(((AE95-((EU95*1.1)))*AV95*1),2)*BS95),2))</f>
        <v>0.68</v>
      </c>
      <c r="CT95" s="2">
        <f t="shared" si="73"/>
        <v>76.36</v>
      </c>
      <c r="CU95" s="2">
        <f t="shared" si="74"/>
        <v>0</v>
      </c>
      <c r="CV95" s="2">
        <f t="shared" si="75"/>
        <v>6.2076630000000002</v>
      </c>
      <c r="CW95" s="2">
        <f t="shared" si="76"/>
        <v>0</v>
      </c>
      <c r="CX95" s="2">
        <f t="shared" si="77"/>
        <v>0</v>
      </c>
      <c r="CY95" s="2">
        <f>(ROUND((((S95+ROUND((ROUND((((EU95*1.1))*AV95*1),2)*BS95),2))*AT95)/100),2)+ROUND(((ROUND((ROUND(((AE95-((EU95*1.1)))*AV95*1),2)*BS95),2)*AT95)/100),2))</f>
        <v>171.01</v>
      </c>
      <c r="CZ95" s="2">
        <f>(ROUND((((S95+ROUND((ROUND((((EU95*1.1))*AV95*1),2)*BS95),2))*AU95)/100),2)+ROUND(((ROUND((ROUND(((AE95-((EU95*1.1)))*AV95*1),2)*BS95),2)*AU95)/100),2))</f>
        <v>89.91</v>
      </c>
      <c r="DA95" s="2"/>
      <c r="DB95" s="2">
        <v>15</v>
      </c>
      <c r="DC95" s="2" t="s">
        <v>3</v>
      </c>
      <c r="DD95" s="2" t="s">
        <v>3</v>
      </c>
      <c r="DE95" s="2" t="s">
        <v>23</v>
      </c>
      <c r="DF95" s="2" t="s">
        <v>23</v>
      </c>
      <c r="DG95" s="2" t="s">
        <v>23</v>
      </c>
      <c r="DH95" s="2" t="s">
        <v>3</v>
      </c>
      <c r="DI95" s="2" t="s">
        <v>23</v>
      </c>
      <c r="DJ95" s="2" t="s">
        <v>23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1003</v>
      </c>
      <c r="DV95" s="2" t="s">
        <v>134</v>
      </c>
      <c r="DW95" s="2" t="s">
        <v>134</v>
      </c>
      <c r="DX95" s="2">
        <v>100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60088531</v>
      </c>
      <c r="EF95" s="2">
        <v>40</v>
      </c>
      <c r="EG95" s="2" t="s">
        <v>24</v>
      </c>
      <c r="EH95" s="2">
        <v>0</v>
      </c>
      <c r="EI95" s="2" t="s">
        <v>3</v>
      </c>
      <c r="EJ95" s="2">
        <v>2</v>
      </c>
      <c r="EK95" s="2">
        <v>67</v>
      </c>
      <c r="EL95" s="2" t="s">
        <v>65</v>
      </c>
      <c r="EM95" s="2" t="s">
        <v>66</v>
      </c>
      <c r="EN95" s="2"/>
      <c r="EO95" s="2" t="s">
        <v>27</v>
      </c>
      <c r="EP95" s="2"/>
      <c r="EQ95" s="2">
        <v>0</v>
      </c>
      <c r="ER95" s="2">
        <v>133.53</v>
      </c>
      <c r="ES95" s="2">
        <v>61.98</v>
      </c>
      <c r="ET95" s="2">
        <v>5.25</v>
      </c>
      <c r="EU95" s="2">
        <v>0.59</v>
      </c>
      <c r="EV95" s="2">
        <v>66.3</v>
      </c>
      <c r="EW95" s="2">
        <v>5.39</v>
      </c>
      <c r="EX95" s="2">
        <v>0</v>
      </c>
      <c r="EY95" s="2">
        <v>0</v>
      </c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v>0</v>
      </c>
      <c r="FS95" s="2">
        <v>0</v>
      </c>
      <c r="FT95" s="2"/>
      <c r="FU95" s="2"/>
      <c r="FV95" s="2"/>
      <c r="FW95" s="2"/>
      <c r="FX95" s="2">
        <v>97</v>
      </c>
      <c r="FY95" s="2">
        <v>51</v>
      </c>
      <c r="FZ95" s="2"/>
      <c r="GA95" s="2" t="s">
        <v>3</v>
      </c>
      <c r="GB95" s="2"/>
      <c r="GC95" s="2"/>
      <c r="GD95" s="2">
        <v>1</v>
      </c>
      <c r="GE95" s="2"/>
      <c r="GF95" s="2">
        <v>-1822715932</v>
      </c>
      <c r="GG95" s="2">
        <v>2</v>
      </c>
      <c r="GH95" s="2">
        <v>1</v>
      </c>
      <c r="GI95" s="2">
        <v>2</v>
      </c>
      <c r="GJ95" s="2">
        <v>0</v>
      </c>
      <c r="GK95" s="2">
        <v>0</v>
      </c>
      <c r="GL95" s="2">
        <f t="shared" si="78"/>
        <v>0</v>
      </c>
      <c r="GM95" s="2">
        <f t="shared" si="79"/>
        <v>594.29999999999995</v>
      </c>
      <c r="GN95" s="2">
        <f t="shared" si="80"/>
        <v>0</v>
      </c>
      <c r="GO95" s="2">
        <f t="shared" si="81"/>
        <v>594.29999999999995</v>
      </c>
      <c r="GP95" s="2">
        <f t="shared" si="82"/>
        <v>0</v>
      </c>
      <c r="GQ95" s="2"/>
      <c r="GR95" s="2">
        <v>0</v>
      </c>
      <c r="GS95" s="2">
        <v>3</v>
      </c>
      <c r="GT95" s="2">
        <v>0</v>
      </c>
      <c r="GU95" s="2" t="s">
        <v>3</v>
      </c>
      <c r="GV95" s="2">
        <f t="shared" si="83"/>
        <v>0</v>
      </c>
      <c r="GW95" s="2">
        <v>1</v>
      </c>
      <c r="GX95" s="2">
        <f t="shared" si="84"/>
        <v>0</v>
      </c>
      <c r="GY95" s="2"/>
      <c r="GZ95" s="2"/>
      <c r="HA95" s="2">
        <v>0</v>
      </c>
      <c r="HB95" s="2">
        <v>0</v>
      </c>
      <c r="HC95" s="2">
        <f t="shared" si="85"/>
        <v>0</v>
      </c>
      <c r="HD95" s="2"/>
      <c r="HE95" s="2" t="s">
        <v>3</v>
      </c>
      <c r="HF95" s="2" t="s">
        <v>3</v>
      </c>
      <c r="HG95" s="2"/>
      <c r="HH95" s="2"/>
      <c r="HI95" s="2"/>
      <c r="HJ95" s="2"/>
      <c r="HK95" s="2"/>
      <c r="HL95" s="2"/>
      <c r="HM95" s="2" t="s">
        <v>3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x14ac:dyDescent="0.2">
      <c r="A96">
        <v>17</v>
      </c>
      <c r="B96">
        <v>1</v>
      </c>
      <c r="C96">
        <f>ROW(SmtRes!A126)</f>
        <v>126</v>
      </c>
      <c r="D96">
        <f>ROW(EtalonRes!A136)</f>
        <v>136</v>
      </c>
      <c r="E96" t="s">
        <v>153</v>
      </c>
      <c r="F96" t="s">
        <v>154</v>
      </c>
      <c r="G96" t="s">
        <v>155</v>
      </c>
      <c r="H96" t="s">
        <v>134</v>
      </c>
      <c r="I96">
        <f>ROUND((200+30)/100,9)</f>
        <v>2.2999999999999998</v>
      </c>
      <c r="J96">
        <v>0</v>
      </c>
      <c r="K96">
        <f>ROUND((200+30)/100,9)</f>
        <v>2.2999999999999998</v>
      </c>
      <c r="O96">
        <f t="shared" si="60"/>
        <v>10505.34</v>
      </c>
      <c r="P96">
        <f t="shared" si="61"/>
        <v>645.75</v>
      </c>
      <c r="Q96">
        <f>(ROUND((ROUND((((ET96*1.1))*AV96*I96),2)*BB96),2)+ROUND((ROUND(((AE96-((EU96*1.1)))*AV96*I96),2)*BS96),2))</f>
        <v>202.25</v>
      </c>
      <c r="R96">
        <f>(ROUND((ROUND((((EU96*1.1))*AV96*I96),2)*BS96),2)+ROUND((ROUND(((AE96-((EU96*1.1)))*AV96*I96),2)*BS96),2))</f>
        <v>85.78</v>
      </c>
      <c r="S96">
        <f t="shared" si="62"/>
        <v>9657.34</v>
      </c>
      <c r="T96">
        <f t="shared" si="63"/>
        <v>0</v>
      </c>
      <c r="U96">
        <f t="shared" si="64"/>
        <v>14.277624899999999</v>
      </c>
      <c r="V96">
        <f t="shared" si="65"/>
        <v>0</v>
      </c>
      <c r="W96">
        <f t="shared" si="66"/>
        <v>0</v>
      </c>
      <c r="X96">
        <f>(ROUND((((S96+ROUND((ROUND((((EU96*1.1))*AV96*I96),2)*BS96),2))*AT96)/100),2)+ROUND(((ROUND((ROUND(((AE96-((EU96*1.1)))*AV96*I96),2)*BS96),2)*AT96)/100),2))</f>
        <v>9450.83</v>
      </c>
      <c r="Y96">
        <f>(ROUND((((S96+ROUND((ROUND((((EU96*1.1))*AV96*I96),2)*BS96),2))*AU96)/100),2)+ROUND(((ROUND((ROUND(((AE96-((EU96*1.1)))*AV96*I96),2)*BS96),2)*AU96)/100),2))</f>
        <v>4968.99</v>
      </c>
      <c r="AA96">
        <v>60256982</v>
      </c>
      <c r="AB96">
        <f t="shared" si="67"/>
        <v>140.685</v>
      </c>
      <c r="AC96">
        <f t="shared" si="68"/>
        <v>61.98</v>
      </c>
      <c r="AD96">
        <f>ROUND(((((ET96*1.1))-((EU96*1.1)))+AE96),6)</f>
        <v>5.7750000000000004</v>
      </c>
      <c r="AE96">
        <f t="shared" si="88"/>
        <v>0.64900000000000002</v>
      </c>
      <c r="AF96">
        <f t="shared" si="88"/>
        <v>72.930000000000007</v>
      </c>
      <c r="AG96">
        <f t="shared" si="69"/>
        <v>0</v>
      </c>
      <c r="AH96">
        <f t="shared" si="89"/>
        <v>5.9290000000000003</v>
      </c>
      <c r="AI96">
        <f t="shared" si="89"/>
        <v>0</v>
      </c>
      <c r="AJ96">
        <f t="shared" si="70"/>
        <v>0</v>
      </c>
      <c r="AK96">
        <v>133.53</v>
      </c>
      <c r="AL96">
        <v>61.98</v>
      </c>
      <c r="AM96">
        <v>5.25</v>
      </c>
      <c r="AN96">
        <v>0.59</v>
      </c>
      <c r="AO96">
        <v>66.3</v>
      </c>
      <c r="AP96">
        <v>0</v>
      </c>
      <c r="AQ96">
        <v>5.39</v>
      </c>
      <c r="AR96">
        <v>0</v>
      </c>
      <c r="AS96">
        <v>0</v>
      </c>
      <c r="AT96">
        <v>97</v>
      </c>
      <c r="AU96">
        <v>51</v>
      </c>
      <c r="AV96">
        <v>1.0469999999999999</v>
      </c>
      <c r="AW96">
        <v>1</v>
      </c>
      <c r="AZ96">
        <v>1</v>
      </c>
      <c r="BA96">
        <v>54.99</v>
      </c>
      <c r="BB96">
        <v>14.54</v>
      </c>
      <c r="BC96">
        <v>4.53</v>
      </c>
      <c r="BD96" t="s">
        <v>3</v>
      </c>
      <c r="BE96" t="s">
        <v>3</v>
      </c>
      <c r="BF96" t="s">
        <v>3</v>
      </c>
      <c r="BG96" t="s">
        <v>3</v>
      </c>
      <c r="BH96">
        <v>0</v>
      </c>
      <c r="BI96">
        <v>2</v>
      </c>
      <c r="BJ96" t="s">
        <v>156</v>
      </c>
      <c r="BM96">
        <v>67</v>
      </c>
      <c r="BN96">
        <v>58973116</v>
      </c>
      <c r="BO96" t="s">
        <v>154</v>
      </c>
      <c r="BP96">
        <v>1</v>
      </c>
      <c r="BQ96">
        <v>40</v>
      </c>
      <c r="BR96">
        <v>0</v>
      </c>
      <c r="BS96">
        <v>54.99</v>
      </c>
      <c r="BT96">
        <v>1</v>
      </c>
      <c r="BU96">
        <v>1</v>
      </c>
      <c r="BV96">
        <v>1</v>
      </c>
      <c r="BW96">
        <v>1</v>
      </c>
      <c r="BX96">
        <v>1</v>
      </c>
      <c r="BY96" t="s">
        <v>3</v>
      </c>
      <c r="BZ96">
        <v>97</v>
      </c>
      <c r="CA96">
        <v>51</v>
      </c>
      <c r="CB96" t="s">
        <v>3</v>
      </c>
      <c r="CE96">
        <v>1566</v>
      </c>
      <c r="CF96">
        <v>0</v>
      </c>
      <c r="CG96">
        <v>0</v>
      </c>
      <c r="CM96">
        <v>0</v>
      </c>
      <c r="CN96" t="s">
        <v>474</v>
      </c>
      <c r="CO96">
        <v>0</v>
      </c>
      <c r="CP96">
        <f t="shared" si="71"/>
        <v>10505.34</v>
      </c>
      <c r="CQ96">
        <f t="shared" si="72"/>
        <v>280.77</v>
      </c>
      <c r="CR96">
        <f>(ROUND((ROUND((((ET96*1.1))*AV96*1),2)*BB96),2)+ROUND((ROUND(((AE96-((EU96*1.1)))*AV96*1),2)*BS96),2))</f>
        <v>87.97</v>
      </c>
      <c r="CS96">
        <f>(ROUND((ROUND((((EU96*1.1))*AV96*1),2)*BS96),2)+ROUND((ROUND(((AE96-((EU96*1.1)))*AV96*1),2)*BS96),2))</f>
        <v>37.39</v>
      </c>
      <c r="CT96">
        <f t="shared" si="73"/>
        <v>4199.04</v>
      </c>
      <c r="CU96">
        <f t="shared" si="74"/>
        <v>0</v>
      </c>
      <c r="CV96">
        <f t="shared" si="75"/>
        <v>6.2076630000000002</v>
      </c>
      <c r="CW96">
        <f t="shared" si="76"/>
        <v>0</v>
      </c>
      <c r="CX96">
        <f t="shared" si="77"/>
        <v>0</v>
      </c>
      <c r="CY96">
        <f>(ROUND((((S96+ROUND((ROUND((((EU96*1.1))*AV96*1),2)*BS96),2))*AT96)/100),2)+ROUND(((ROUND((ROUND(((AE96-((EU96*1.1)))*AV96*1),2)*BS96),2)*AT96)/100),2))</f>
        <v>9403.89</v>
      </c>
      <c r="CZ96">
        <f>(ROUND((((S96+ROUND((ROUND((((EU96*1.1))*AV96*1),2)*BS96),2))*AU96)/100),2)+ROUND(((ROUND((ROUND(((AE96-((EU96*1.1)))*AV96*1),2)*BS96),2)*AU96)/100),2))</f>
        <v>4944.3100000000004</v>
      </c>
      <c r="DB96">
        <v>16</v>
      </c>
      <c r="DC96" t="s">
        <v>3</v>
      </c>
      <c r="DD96" t="s">
        <v>3</v>
      </c>
      <c r="DE96" t="s">
        <v>23</v>
      </c>
      <c r="DF96" t="s">
        <v>23</v>
      </c>
      <c r="DG96" t="s">
        <v>23</v>
      </c>
      <c r="DH96" t="s">
        <v>3</v>
      </c>
      <c r="DI96" t="s">
        <v>23</v>
      </c>
      <c r="DJ96" t="s">
        <v>23</v>
      </c>
      <c r="DK96" t="s">
        <v>3</v>
      </c>
      <c r="DL96" t="s">
        <v>3</v>
      </c>
      <c r="DM96" t="s">
        <v>3</v>
      </c>
      <c r="DN96">
        <v>0</v>
      </c>
      <c r="DO96">
        <v>0</v>
      </c>
      <c r="DP96">
        <v>1</v>
      </c>
      <c r="DQ96">
        <v>1</v>
      </c>
      <c r="DU96">
        <v>1003</v>
      </c>
      <c r="DV96" t="s">
        <v>134</v>
      </c>
      <c r="DW96" t="s">
        <v>134</v>
      </c>
      <c r="DX96">
        <v>100</v>
      </c>
      <c r="DZ96" t="s">
        <v>3</v>
      </c>
      <c r="EA96" t="s">
        <v>3</v>
      </c>
      <c r="EB96" t="s">
        <v>3</v>
      </c>
      <c r="EC96" t="s">
        <v>3</v>
      </c>
      <c r="EE96">
        <v>60088531</v>
      </c>
      <c r="EF96">
        <v>40</v>
      </c>
      <c r="EG96" t="s">
        <v>24</v>
      </c>
      <c r="EH96">
        <v>0</v>
      </c>
      <c r="EI96" t="s">
        <v>3</v>
      </c>
      <c r="EJ96">
        <v>2</v>
      </c>
      <c r="EK96">
        <v>67</v>
      </c>
      <c r="EL96" t="s">
        <v>65</v>
      </c>
      <c r="EM96" t="s">
        <v>66</v>
      </c>
      <c r="EO96" t="s">
        <v>27</v>
      </c>
      <c r="EQ96">
        <v>0</v>
      </c>
      <c r="ER96">
        <v>133.53</v>
      </c>
      <c r="ES96">
        <v>61.98</v>
      </c>
      <c r="ET96">
        <v>5.25</v>
      </c>
      <c r="EU96">
        <v>0.59</v>
      </c>
      <c r="EV96">
        <v>66.3</v>
      </c>
      <c r="EW96">
        <v>5.39</v>
      </c>
      <c r="EX96">
        <v>0</v>
      </c>
      <c r="EY96">
        <v>0</v>
      </c>
      <c r="FQ96">
        <v>0</v>
      </c>
      <c r="FR96">
        <v>0</v>
      </c>
      <c r="FS96">
        <v>0</v>
      </c>
      <c r="FX96">
        <v>97</v>
      </c>
      <c r="FY96">
        <v>51</v>
      </c>
      <c r="GA96" t="s">
        <v>3</v>
      </c>
      <c r="GD96">
        <v>1</v>
      </c>
      <c r="GF96">
        <v>-1822715932</v>
      </c>
      <c r="GG96">
        <v>2</v>
      </c>
      <c r="GH96">
        <v>1</v>
      </c>
      <c r="GI96">
        <v>2</v>
      </c>
      <c r="GJ96">
        <v>0</v>
      </c>
      <c r="GK96">
        <v>0</v>
      </c>
      <c r="GL96">
        <f t="shared" si="78"/>
        <v>0</v>
      </c>
      <c r="GM96">
        <f t="shared" si="79"/>
        <v>24925.16</v>
      </c>
      <c r="GN96">
        <f t="shared" si="80"/>
        <v>0</v>
      </c>
      <c r="GO96">
        <f t="shared" si="81"/>
        <v>24925.16</v>
      </c>
      <c r="GP96">
        <f t="shared" si="82"/>
        <v>0</v>
      </c>
      <c r="GR96">
        <v>0</v>
      </c>
      <c r="GS96">
        <v>3</v>
      </c>
      <c r="GT96">
        <v>0</v>
      </c>
      <c r="GU96" t="s">
        <v>3</v>
      </c>
      <c r="GV96">
        <f t="shared" si="83"/>
        <v>0</v>
      </c>
      <c r="GW96">
        <v>1</v>
      </c>
      <c r="GX96">
        <f t="shared" si="84"/>
        <v>0</v>
      </c>
      <c r="HA96">
        <v>0</v>
      </c>
      <c r="HB96">
        <v>0</v>
      </c>
      <c r="HC96">
        <f t="shared" si="85"/>
        <v>0</v>
      </c>
      <c r="HE96" t="s">
        <v>3</v>
      </c>
      <c r="HF96" t="s">
        <v>3</v>
      </c>
      <c r="HM96" t="s">
        <v>3</v>
      </c>
      <c r="HN96" t="s">
        <v>3</v>
      </c>
      <c r="HO96" t="s">
        <v>3</v>
      </c>
      <c r="HP96" t="s">
        <v>3</v>
      </c>
      <c r="HQ96" t="s">
        <v>3</v>
      </c>
      <c r="HS96">
        <v>0</v>
      </c>
      <c r="IK96">
        <v>0</v>
      </c>
    </row>
    <row r="97" spans="1:255" x14ac:dyDescent="0.2">
      <c r="A97" s="2">
        <v>17</v>
      </c>
      <c r="B97" s="2">
        <v>1</v>
      </c>
      <c r="C97" s="2">
        <f>ROW(SmtRes!A134)</f>
        <v>134</v>
      </c>
      <c r="D97" s="2">
        <f>ROW(EtalonRes!A145)</f>
        <v>145</v>
      </c>
      <c r="E97" s="2" t="s">
        <v>157</v>
      </c>
      <c r="F97" s="2" t="s">
        <v>158</v>
      </c>
      <c r="G97" s="2" t="s">
        <v>159</v>
      </c>
      <c r="H97" s="2" t="s">
        <v>134</v>
      </c>
      <c r="I97" s="2">
        <f>ROUND((150+350+10+40+20+50+20+10-230)/100,9)</f>
        <v>4.2</v>
      </c>
      <c r="J97" s="2">
        <v>0</v>
      </c>
      <c r="K97" s="2">
        <f>ROUND((150+350+10+40+20+50+20+10-230)/100,9)</f>
        <v>4.2</v>
      </c>
      <c r="L97" s="2"/>
      <c r="M97" s="2"/>
      <c r="N97" s="2"/>
      <c r="O97" s="2">
        <f t="shared" si="60"/>
        <v>354.52</v>
      </c>
      <c r="P97" s="2">
        <f t="shared" si="61"/>
        <v>232.97</v>
      </c>
      <c r="Q97" s="2">
        <f>(ROUND((ROUND((((ET97*1.1))*AV97*I97),2)*BB97),2)+ROUND((ROUND(((AE97-((EU97*1.1)))*AV97*I97),2)*BS97),2))</f>
        <v>12.67</v>
      </c>
      <c r="R97" s="2">
        <f>(ROUND((ROUND((((EU97*1.1))*AV97*I97),2)*BS97),2)+ROUND((ROUND(((AE97-((EU97*1.1)))*AV97*I97),2)*BS97),2))</f>
        <v>1.45</v>
      </c>
      <c r="S97" s="2">
        <f t="shared" si="62"/>
        <v>108.88</v>
      </c>
      <c r="T97" s="2">
        <f t="shared" si="63"/>
        <v>0</v>
      </c>
      <c r="U97" s="2">
        <f t="shared" si="64"/>
        <v>8.8519662000000015</v>
      </c>
      <c r="V97" s="2">
        <f t="shared" si="65"/>
        <v>0</v>
      </c>
      <c r="W97" s="2">
        <f t="shared" si="66"/>
        <v>0</v>
      </c>
      <c r="X97" s="2">
        <f>(ROUND((((S97+ROUND((ROUND((((EU97*1.1))*AV97*I97),2)*BS97),2))*AT97)/100),2)+ROUND(((ROUND((ROUND(((AE97-((EU97*1.1)))*AV97*I97),2)*BS97),2)*AT97)/100),2))</f>
        <v>107.02</v>
      </c>
      <c r="Y97" s="2">
        <f>(ROUND((((S97+ROUND((ROUND((((EU97*1.1))*AV97*I97),2)*BS97),2))*AU97)/100),2)+ROUND(((ROUND((ROUND(((AE97-((EU97*1.1)))*AV97*I97),2)*BS97),2)*AU97)/100),2))</f>
        <v>56.27</v>
      </c>
      <c r="Z97" s="2"/>
      <c r="AA97" s="2">
        <v>60256985</v>
      </c>
      <c r="AB97" s="2">
        <f t="shared" si="67"/>
        <v>83.113</v>
      </c>
      <c r="AC97" s="2">
        <f t="shared" si="68"/>
        <v>55.47</v>
      </c>
      <c r="AD97" s="2">
        <f>ROUND(((((ET97*1.1))-((EU97*1.1)))+AE97),6)</f>
        <v>2.8820000000000001</v>
      </c>
      <c r="AE97" s="2">
        <f t="shared" si="88"/>
        <v>0.33</v>
      </c>
      <c r="AF97" s="2">
        <f t="shared" si="88"/>
        <v>24.760999999999999</v>
      </c>
      <c r="AG97" s="2">
        <f t="shared" si="69"/>
        <v>0</v>
      </c>
      <c r="AH97" s="2">
        <f t="shared" si="89"/>
        <v>2.0130000000000003</v>
      </c>
      <c r="AI97" s="2">
        <f t="shared" si="89"/>
        <v>0</v>
      </c>
      <c r="AJ97" s="2">
        <f t="shared" si="70"/>
        <v>0</v>
      </c>
      <c r="AK97" s="2">
        <v>80.599999999999994</v>
      </c>
      <c r="AL97" s="2">
        <v>55.47</v>
      </c>
      <c r="AM97" s="2">
        <v>2.62</v>
      </c>
      <c r="AN97" s="2">
        <v>0.3</v>
      </c>
      <c r="AO97" s="2">
        <v>22.51</v>
      </c>
      <c r="AP97" s="2">
        <v>0</v>
      </c>
      <c r="AQ97" s="2">
        <v>1.83</v>
      </c>
      <c r="AR97" s="2">
        <v>0</v>
      </c>
      <c r="AS97" s="2">
        <v>0</v>
      </c>
      <c r="AT97" s="2">
        <v>97</v>
      </c>
      <c r="AU97" s="2">
        <v>51</v>
      </c>
      <c r="AV97" s="2">
        <v>1.0469999999999999</v>
      </c>
      <c r="AW97" s="2">
        <v>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0</v>
      </c>
      <c r="BI97" s="2">
        <v>2</v>
      </c>
      <c r="BJ97" s="2" t="s">
        <v>160</v>
      </c>
      <c r="BK97" s="2"/>
      <c r="BL97" s="2"/>
      <c r="BM97" s="2">
        <v>67</v>
      </c>
      <c r="BN97" s="2">
        <v>58973116</v>
      </c>
      <c r="BO97" s="2" t="s">
        <v>158</v>
      </c>
      <c r="BP97" s="2">
        <v>1</v>
      </c>
      <c r="BQ97" s="2">
        <v>40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97</v>
      </c>
      <c r="CA97" s="2">
        <v>51</v>
      </c>
      <c r="CB97" s="2" t="s">
        <v>3</v>
      </c>
      <c r="CC97" s="2"/>
      <c r="CD97" s="2"/>
      <c r="CE97" s="2">
        <v>1566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474</v>
      </c>
      <c r="CO97" s="2">
        <v>0</v>
      </c>
      <c r="CP97" s="2">
        <f t="shared" si="71"/>
        <v>354.52</v>
      </c>
      <c r="CQ97" s="2">
        <f t="shared" si="72"/>
        <v>55.47</v>
      </c>
      <c r="CR97" s="2">
        <f>(ROUND((ROUND((((ET97*1.1))*AV97*1),2)*BB97),2)+ROUND((ROUND(((AE97-((EU97*1.1)))*AV97*1),2)*BS97),2))</f>
        <v>3.02</v>
      </c>
      <c r="CS97" s="2">
        <f>(ROUND((ROUND((((EU97*1.1))*AV97*1),2)*BS97),2)+ROUND((ROUND(((AE97-((EU97*1.1)))*AV97*1),2)*BS97),2))</f>
        <v>0.35</v>
      </c>
      <c r="CT97" s="2">
        <f t="shared" si="73"/>
        <v>25.92</v>
      </c>
      <c r="CU97" s="2">
        <f t="shared" si="74"/>
        <v>0</v>
      </c>
      <c r="CV97" s="2">
        <f t="shared" si="75"/>
        <v>2.1076110000000003</v>
      </c>
      <c r="CW97" s="2">
        <f t="shared" si="76"/>
        <v>0</v>
      </c>
      <c r="CX97" s="2">
        <f t="shared" si="77"/>
        <v>0</v>
      </c>
      <c r="CY97" s="2">
        <f>(ROUND((((S97+ROUND((ROUND((((EU97*1.1))*AV97*1),2)*BS97),2))*AT97)/100),2)+ROUND(((ROUND((ROUND(((AE97-((EU97*1.1)))*AV97*1),2)*BS97),2)*AT97)/100),2))</f>
        <v>105.95</v>
      </c>
      <c r="CZ97" s="2">
        <f>(ROUND((((S97+ROUND((ROUND((((EU97*1.1))*AV97*1),2)*BS97),2))*AU97)/100),2)+ROUND(((ROUND((ROUND(((AE97-((EU97*1.1)))*AV97*1),2)*BS97),2)*AU97)/100),2))</f>
        <v>55.71</v>
      </c>
      <c r="DA97" s="2"/>
      <c r="DB97" s="2">
        <v>17</v>
      </c>
      <c r="DC97" s="2" t="s">
        <v>3</v>
      </c>
      <c r="DD97" s="2" t="s">
        <v>3</v>
      </c>
      <c r="DE97" s="2" t="s">
        <v>23</v>
      </c>
      <c r="DF97" s="2" t="s">
        <v>23</v>
      </c>
      <c r="DG97" s="2" t="s">
        <v>23</v>
      </c>
      <c r="DH97" s="2" t="s">
        <v>3</v>
      </c>
      <c r="DI97" s="2" t="s">
        <v>23</v>
      </c>
      <c r="DJ97" s="2" t="s">
        <v>23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1003</v>
      </c>
      <c r="DV97" s="2" t="s">
        <v>134</v>
      </c>
      <c r="DW97" s="2" t="s">
        <v>134</v>
      </c>
      <c r="DX97" s="2">
        <v>100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60088531</v>
      </c>
      <c r="EF97" s="2">
        <v>40</v>
      </c>
      <c r="EG97" s="2" t="s">
        <v>24</v>
      </c>
      <c r="EH97" s="2">
        <v>0</v>
      </c>
      <c r="EI97" s="2" t="s">
        <v>3</v>
      </c>
      <c r="EJ97" s="2">
        <v>2</v>
      </c>
      <c r="EK97" s="2">
        <v>67</v>
      </c>
      <c r="EL97" s="2" t="s">
        <v>65</v>
      </c>
      <c r="EM97" s="2" t="s">
        <v>66</v>
      </c>
      <c r="EN97" s="2"/>
      <c r="EO97" s="2" t="s">
        <v>27</v>
      </c>
      <c r="EP97" s="2"/>
      <c r="EQ97" s="2">
        <v>0</v>
      </c>
      <c r="ER97" s="2">
        <v>80.599999999999994</v>
      </c>
      <c r="ES97" s="2">
        <v>55.47</v>
      </c>
      <c r="ET97" s="2">
        <v>2.62</v>
      </c>
      <c r="EU97" s="2">
        <v>0.3</v>
      </c>
      <c r="EV97" s="2">
        <v>22.51</v>
      </c>
      <c r="EW97" s="2">
        <v>1.83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0</v>
      </c>
      <c r="FT97" s="2"/>
      <c r="FU97" s="2"/>
      <c r="FV97" s="2"/>
      <c r="FW97" s="2"/>
      <c r="FX97" s="2">
        <v>97</v>
      </c>
      <c r="FY97" s="2">
        <v>51</v>
      </c>
      <c r="FZ97" s="2"/>
      <c r="GA97" s="2" t="s">
        <v>3</v>
      </c>
      <c r="GB97" s="2"/>
      <c r="GC97" s="2"/>
      <c r="GD97" s="2">
        <v>1</v>
      </c>
      <c r="GE97" s="2"/>
      <c r="GF97" s="2">
        <v>1118340632</v>
      </c>
      <c r="GG97" s="2">
        <v>2</v>
      </c>
      <c r="GH97" s="2">
        <v>1</v>
      </c>
      <c r="GI97" s="2">
        <v>2</v>
      </c>
      <c r="GJ97" s="2">
        <v>0</v>
      </c>
      <c r="GK97" s="2">
        <v>0</v>
      </c>
      <c r="GL97" s="2">
        <f t="shared" si="78"/>
        <v>0</v>
      </c>
      <c r="GM97" s="2">
        <f t="shared" si="79"/>
        <v>517.80999999999995</v>
      </c>
      <c r="GN97" s="2">
        <f t="shared" si="80"/>
        <v>0</v>
      </c>
      <c r="GO97" s="2">
        <f t="shared" si="81"/>
        <v>517.80999999999995</v>
      </c>
      <c r="GP97" s="2">
        <f t="shared" si="82"/>
        <v>0</v>
      </c>
      <c r="GQ97" s="2"/>
      <c r="GR97" s="2">
        <v>0</v>
      </c>
      <c r="GS97" s="2">
        <v>3</v>
      </c>
      <c r="GT97" s="2">
        <v>0</v>
      </c>
      <c r="GU97" s="2" t="s">
        <v>3</v>
      </c>
      <c r="GV97" s="2">
        <f t="shared" si="83"/>
        <v>0</v>
      </c>
      <c r="GW97" s="2">
        <v>1</v>
      </c>
      <c r="GX97" s="2">
        <f t="shared" si="84"/>
        <v>0</v>
      </c>
      <c r="GY97" s="2"/>
      <c r="GZ97" s="2"/>
      <c r="HA97" s="2">
        <v>0</v>
      </c>
      <c r="HB97" s="2">
        <v>0</v>
      </c>
      <c r="HC97" s="2">
        <f t="shared" si="85"/>
        <v>0</v>
      </c>
      <c r="HD97" s="2"/>
      <c r="HE97" s="2" t="s">
        <v>3</v>
      </c>
      <c r="HF97" s="2" t="s">
        <v>3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">
      <c r="A98">
        <v>17</v>
      </c>
      <c r="B98">
        <v>1</v>
      </c>
      <c r="C98">
        <f>ROW(SmtRes!A142)</f>
        <v>142</v>
      </c>
      <c r="D98">
        <f>ROW(EtalonRes!A154)</f>
        <v>154</v>
      </c>
      <c r="E98" t="s">
        <v>157</v>
      </c>
      <c r="F98" t="s">
        <v>158</v>
      </c>
      <c r="G98" t="s">
        <v>159</v>
      </c>
      <c r="H98" t="s">
        <v>134</v>
      </c>
      <c r="I98">
        <f>ROUND((150+350+10+40+20+50+20+10-230)/100,9)</f>
        <v>4.2</v>
      </c>
      <c r="J98">
        <v>0</v>
      </c>
      <c r="K98">
        <f>ROUND((150+350+10+40+20+50+20+10-230)/100,9)</f>
        <v>4.2</v>
      </c>
      <c r="O98">
        <f t="shared" si="60"/>
        <v>6891.79</v>
      </c>
      <c r="P98">
        <f t="shared" si="61"/>
        <v>719.88</v>
      </c>
      <c r="Q98">
        <f>(ROUND((ROUND((((ET98*1.1))*AV98*I98),2)*BB98),2)+ROUND((ROUND(((AE98-((EU98*1.1)))*AV98*I98),2)*BS98),2))</f>
        <v>184.6</v>
      </c>
      <c r="R98">
        <f>(ROUND((ROUND((((EU98*1.1))*AV98*I98),2)*BS98),2)+ROUND((ROUND(((AE98-((EU98*1.1)))*AV98*I98),2)*BS98),2))</f>
        <v>79.739999999999995</v>
      </c>
      <c r="S98">
        <f t="shared" si="62"/>
        <v>5987.31</v>
      </c>
      <c r="T98">
        <f t="shared" si="63"/>
        <v>0</v>
      </c>
      <c r="U98">
        <f t="shared" si="64"/>
        <v>8.8519662000000015</v>
      </c>
      <c r="V98">
        <f t="shared" si="65"/>
        <v>0</v>
      </c>
      <c r="W98">
        <f t="shared" si="66"/>
        <v>0</v>
      </c>
      <c r="X98">
        <f>(ROUND((((S98+ROUND((ROUND((((EU98*1.1))*AV98*I98),2)*BS98),2))*AT98)/100),2)+ROUND(((ROUND((ROUND(((AE98-((EU98*1.1)))*AV98*I98),2)*BS98),2)*AT98)/100),2))</f>
        <v>5885.04</v>
      </c>
      <c r="Y98">
        <f>(ROUND((((S98+ROUND((ROUND((((EU98*1.1))*AV98*I98),2)*BS98),2))*AU98)/100),2)+ROUND(((ROUND((ROUND(((AE98-((EU98*1.1)))*AV98*I98),2)*BS98),2)*AU98)/100),2))</f>
        <v>3094.2</v>
      </c>
      <c r="AA98">
        <v>60256982</v>
      </c>
      <c r="AB98">
        <f t="shared" si="67"/>
        <v>83.113</v>
      </c>
      <c r="AC98">
        <f t="shared" si="68"/>
        <v>55.47</v>
      </c>
      <c r="AD98">
        <f>ROUND(((((ET98*1.1))-((EU98*1.1)))+AE98),6)</f>
        <v>2.8820000000000001</v>
      </c>
      <c r="AE98">
        <f t="shared" si="88"/>
        <v>0.33</v>
      </c>
      <c r="AF98">
        <f t="shared" si="88"/>
        <v>24.760999999999999</v>
      </c>
      <c r="AG98">
        <f t="shared" si="69"/>
        <v>0</v>
      </c>
      <c r="AH98">
        <f t="shared" si="89"/>
        <v>2.0130000000000003</v>
      </c>
      <c r="AI98">
        <f t="shared" si="89"/>
        <v>0</v>
      </c>
      <c r="AJ98">
        <f t="shared" si="70"/>
        <v>0</v>
      </c>
      <c r="AK98">
        <v>80.599999999999994</v>
      </c>
      <c r="AL98">
        <v>55.47</v>
      </c>
      <c r="AM98">
        <v>2.62</v>
      </c>
      <c r="AN98">
        <v>0.3</v>
      </c>
      <c r="AO98">
        <v>22.51</v>
      </c>
      <c r="AP98">
        <v>0</v>
      </c>
      <c r="AQ98">
        <v>1.83</v>
      </c>
      <c r="AR98">
        <v>0</v>
      </c>
      <c r="AS98">
        <v>0</v>
      </c>
      <c r="AT98">
        <v>97</v>
      </c>
      <c r="AU98">
        <v>51</v>
      </c>
      <c r="AV98">
        <v>1.0469999999999999</v>
      </c>
      <c r="AW98">
        <v>1</v>
      </c>
      <c r="AZ98">
        <v>1</v>
      </c>
      <c r="BA98">
        <v>54.99</v>
      </c>
      <c r="BB98">
        <v>14.57</v>
      </c>
      <c r="BC98">
        <v>3.09</v>
      </c>
      <c r="BD98" t="s">
        <v>3</v>
      </c>
      <c r="BE98" t="s">
        <v>3</v>
      </c>
      <c r="BF98" t="s">
        <v>3</v>
      </c>
      <c r="BG98" t="s">
        <v>3</v>
      </c>
      <c r="BH98">
        <v>0</v>
      </c>
      <c r="BI98">
        <v>2</v>
      </c>
      <c r="BJ98" t="s">
        <v>160</v>
      </c>
      <c r="BM98">
        <v>67</v>
      </c>
      <c r="BN98">
        <v>58973116</v>
      </c>
      <c r="BO98" t="s">
        <v>158</v>
      </c>
      <c r="BP98">
        <v>1</v>
      </c>
      <c r="BQ98">
        <v>40</v>
      </c>
      <c r="BR98">
        <v>0</v>
      </c>
      <c r="BS98">
        <v>54.99</v>
      </c>
      <c r="BT98">
        <v>1</v>
      </c>
      <c r="BU98">
        <v>1</v>
      </c>
      <c r="BV98">
        <v>1</v>
      </c>
      <c r="BW98">
        <v>1</v>
      </c>
      <c r="BX98">
        <v>1</v>
      </c>
      <c r="BY98" t="s">
        <v>3</v>
      </c>
      <c r="BZ98">
        <v>97</v>
      </c>
      <c r="CA98">
        <v>51</v>
      </c>
      <c r="CB98" t="s">
        <v>3</v>
      </c>
      <c r="CE98">
        <v>1566</v>
      </c>
      <c r="CF98">
        <v>0</v>
      </c>
      <c r="CG98">
        <v>0</v>
      </c>
      <c r="CM98">
        <v>0</v>
      </c>
      <c r="CN98" t="s">
        <v>474</v>
      </c>
      <c r="CO98">
        <v>0</v>
      </c>
      <c r="CP98">
        <f t="shared" si="71"/>
        <v>6891.7900000000009</v>
      </c>
      <c r="CQ98">
        <f t="shared" si="72"/>
        <v>171.4</v>
      </c>
      <c r="CR98">
        <f>(ROUND((ROUND((((ET98*1.1))*AV98*1),2)*BB98),2)+ROUND((ROUND(((AE98-((EU98*1.1)))*AV98*1),2)*BS98),2))</f>
        <v>44</v>
      </c>
      <c r="CS98">
        <f>(ROUND((ROUND((((EU98*1.1))*AV98*1),2)*BS98),2)+ROUND((ROUND(((AE98-((EU98*1.1)))*AV98*1),2)*BS98),2))</f>
        <v>19.25</v>
      </c>
      <c r="CT98">
        <f t="shared" si="73"/>
        <v>1425.34</v>
      </c>
      <c r="CU98">
        <f t="shared" si="74"/>
        <v>0</v>
      </c>
      <c r="CV98">
        <f t="shared" si="75"/>
        <v>2.1076110000000003</v>
      </c>
      <c r="CW98">
        <f t="shared" si="76"/>
        <v>0</v>
      </c>
      <c r="CX98">
        <f t="shared" si="77"/>
        <v>0</v>
      </c>
      <c r="CY98">
        <f>(ROUND((((S98+ROUND((ROUND((((EU98*1.1))*AV98*1),2)*BS98),2))*AT98)/100),2)+ROUND(((ROUND((ROUND(((AE98-((EU98*1.1)))*AV98*1),2)*BS98),2)*AT98)/100),2))</f>
        <v>5826.36</v>
      </c>
      <c r="CZ98">
        <f>(ROUND((((S98+ROUND((ROUND((((EU98*1.1))*AV98*1),2)*BS98),2))*AU98)/100),2)+ROUND(((ROUND((ROUND(((AE98-((EU98*1.1)))*AV98*1),2)*BS98),2)*AU98)/100),2))</f>
        <v>3063.35</v>
      </c>
      <c r="DB98">
        <v>18</v>
      </c>
      <c r="DC98" t="s">
        <v>3</v>
      </c>
      <c r="DD98" t="s">
        <v>3</v>
      </c>
      <c r="DE98" t="s">
        <v>23</v>
      </c>
      <c r="DF98" t="s">
        <v>23</v>
      </c>
      <c r="DG98" t="s">
        <v>23</v>
      </c>
      <c r="DH98" t="s">
        <v>3</v>
      </c>
      <c r="DI98" t="s">
        <v>23</v>
      </c>
      <c r="DJ98" t="s">
        <v>23</v>
      </c>
      <c r="DK98" t="s">
        <v>3</v>
      </c>
      <c r="DL98" t="s">
        <v>3</v>
      </c>
      <c r="DM98" t="s">
        <v>3</v>
      </c>
      <c r="DN98">
        <v>0</v>
      </c>
      <c r="DO98">
        <v>0</v>
      </c>
      <c r="DP98">
        <v>1</v>
      </c>
      <c r="DQ98">
        <v>1</v>
      </c>
      <c r="DU98">
        <v>1003</v>
      </c>
      <c r="DV98" t="s">
        <v>134</v>
      </c>
      <c r="DW98" t="s">
        <v>134</v>
      </c>
      <c r="DX98">
        <v>100</v>
      </c>
      <c r="DZ98" t="s">
        <v>3</v>
      </c>
      <c r="EA98" t="s">
        <v>3</v>
      </c>
      <c r="EB98" t="s">
        <v>3</v>
      </c>
      <c r="EC98" t="s">
        <v>3</v>
      </c>
      <c r="EE98">
        <v>60088531</v>
      </c>
      <c r="EF98">
        <v>40</v>
      </c>
      <c r="EG98" t="s">
        <v>24</v>
      </c>
      <c r="EH98">
        <v>0</v>
      </c>
      <c r="EI98" t="s">
        <v>3</v>
      </c>
      <c r="EJ98">
        <v>2</v>
      </c>
      <c r="EK98">
        <v>67</v>
      </c>
      <c r="EL98" t="s">
        <v>65</v>
      </c>
      <c r="EM98" t="s">
        <v>66</v>
      </c>
      <c r="EO98" t="s">
        <v>27</v>
      </c>
      <c r="EQ98">
        <v>0</v>
      </c>
      <c r="ER98">
        <v>80.599999999999994</v>
      </c>
      <c r="ES98">
        <v>55.47</v>
      </c>
      <c r="ET98">
        <v>2.62</v>
      </c>
      <c r="EU98">
        <v>0.3</v>
      </c>
      <c r="EV98">
        <v>22.51</v>
      </c>
      <c r="EW98">
        <v>1.83</v>
      </c>
      <c r="EX98">
        <v>0</v>
      </c>
      <c r="EY98">
        <v>0</v>
      </c>
      <c r="FQ98">
        <v>0</v>
      </c>
      <c r="FR98">
        <v>0</v>
      </c>
      <c r="FS98">
        <v>0</v>
      </c>
      <c r="FX98">
        <v>97</v>
      </c>
      <c r="FY98">
        <v>51</v>
      </c>
      <c r="GA98" t="s">
        <v>3</v>
      </c>
      <c r="GD98">
        <v>1</v>
      </c>
      <c r="GF98">
        <v>1118340632</v>
      </c>
      <c r="GG98">
        <v>2</v>
      </c>
      <c r="GH98">
        <v>1</v>
      </c>
      <c r="GI98">
        <v>2</v>
      </c>
      <c r="GJ98">
        <v>0</v>
      </c>
      <c r="GK98">
        <v>0</v>
      </c>
      <c r="GL98">
        <f t="shared" si="78"/>
        <v>0</v>
      </c>
      <c r="GM98">
        <f t="shared" si="79"/>
        <v>15871.03</v>
      </c>
      <c r="GN98">
        <f t="shared" si="80"/>
        <v>0</v>
      </c>
      <c r="GO98">
        <f t="shared" si="81"/>
        <v>15871.03</v>
      </c>
      <c r="GP98">
        <f t="shared" si="82"/>
        <v>0</v>
      </c>
      <c r="GR98">
        <v>0</v>
      </c>
      <c r="GS98">
        <v>3</v>
      </c>
      <c r="GT98">
        <v>0</v>
      </c>
      <c r="GU98" t="s">
        <v>3</v>
      </c>
      <c r="GV98">
        <f t="shared" si="83"/>
        <v>0</v>
      </c>
      <c r="GW98">
        <v>1</v>
      </c>
      <c r="GX98">
        <f t="shared" si="84"/>
        <v>0</v>
      </c>
      <c r="HA98">
        <v>0</v>
      </c>
      <c r="HB98">
        <v>0</v>
      </c>
      <c r="HC98">
        <f t="shared" si="85"/>
        <v>0</v>
      </c>
      <c r="HE98" t="s">
        <v>3</v>
      </c>
      <c r="HF98" t="s">
        <v>3</v>
      </c>
      <c r="HM98" t="s">
        <v>3</v>
      </c>
      <c r="HN98" t="s">
        <v>3</v>
      </c>
      <c r="HO98" t="s">
        <v>3</v>
      </c>
      <c r="HP98" t="s">
        <v>3</v>
      </c>
      <c r="HQ98" t="s">
        <v>3</v>
      </c>
      <c r="HS98">
        <v>0</v>
      </c>
      <c r="IK98">
        <v>0</v>
      </c>
    </row>
    <row r="99" spans="1:255" x14ac:dyDescent="0.2">
      <c r="A99" s="2">
        <v>17</v>
      </c>
      <c r="B99" s="2">
        <v>1</v>
      </c>
      <c r="C99" s="2"/>
      <c r="D99" s="2"/>
      <c r="E99" s="2" t="s">
        <v>161</v>
      </c>
      <c r="F99" s="2" t="s">
        <v>162</v>
      </c>
      <c r="G99" s="2" t="s">
        <v>163</v>
      </c>
      <c r="H99" s="2" t="s">
        <v>164</v>
      </c>
      <c r="I99" s="2">
        <f>ROUND((150*1.02)/1000,9)</f>
        <v>0.153</v>
      </c>
      <c r="J99" s="2">
        <v>0</v>
      </c>
      <c r="K99" s="2">
        <f>ROUND((150*1.02)/1000,9)</f>
        <v>0.153</v>
      </c>
      <c r="L99" s="2"/>
      <c r="M99" s="2"/>
      <c r="N99" s="2"/>
      <c r="O99" s="2">
        <f t="shared" si="60"/>
        <v>671.31</v>
      </c>
      <c r="P99" s="2">
        <f t="shared" si="61"/>
        <v>671.31</v>
      </c>
      <c r="Q99" s="2">
        <f t="shared" ref="Q99:Q114" si="90">(ROUND((ROUND(((ET99)*AV99*I99),2)*BB99),2)+ROUND((ROUND(((AE99-(EU99))*AV99*I99),2)*BS99),2))</f>
        <v>0</v>
      </c>
      <c r="R99" s="2">
        <f t="shared" ref="R99:R114" si="91">(ROUND((ROUND(((EU99)*AV99*I99),2)*BS99),2)+ROUND((ROUND(((AE99-(EU99))*AV99*I99),2)*BS99),2))</f>
        <v>0</v>
      </c>
      <c r="S99" s="2">
        <f t="shared" si="62"/>
        <v>0</v>
      </c>
      <c r="T99" s="2">
        <f t="shared" si="63"/>
        <v>0</v>
      </c>
      <c r="U99" s="2">
        <f t="shared" si="64"/>
        <v>0</v>
      </c>
      <c r="V99" s="2">
        <f t="shared" si="65"/>
        <v>0</v>
      </c>
      <c r="W99" s="2">
        <f t="shared" si="66"/>
        <v>0</v>
      </c>
      <c r="X99" s="2">
        <f t="shared" ref="X99:X114" si="92">(ROUND((((S99+ROUND((ROUND(((EU99)*AV99*I99),2)*BS99),2))*AT99)/100),2)+ROUND(((ROUND((ROUND(((AE99-(EU99))*AV99*I99),2)*BS99),2)*AT99)/100),2))</f>
        <v>0</v>
      </c>
      <c r="Y99" s="2">
        <f t="shared" ref="Y99:Y114" si="93">(ROUND((((S99+ROUND((ROUND(((EU99)*AV99*I99),2)*BS99),2))*AU99)/100),2)+ROUND(((ROUND((ROUND(((AE99-(EU99))*AV99*I99),2)*BS99),2)*AU99)/100),2))</f>
        <v>0</v>
      </c>
      <c r="Z99" s="2"/>
      <c r="AA99" s="2">
        <v>60256985</v>
      </c>
      <c r="AB99" s="2">
        <f t="shared" si="67"/>
        <v>4387.6499999999996</v>
      </c>
      <c r="AC99" s="2">
        <f t="shared" si="68"/>
        <v>4387.6499999999996</v>
      </c>
      <c r="AD99" s="2">
        <f t="shared" ref="AD99:AD114" si="94">ROUND((((ET99)-(EU99))+AE99),6)</f>
        <v>0</v>
      </c>
      <c r="AE99" s="2">
        <f t="shared" ref="AE99:AE114" si="95">ROUND((EU99),6)</f>
        <v>0</v>
      </c>
      <c r="AF99" s="2">
        <f t="shared" ref="AF99:AF114" si="96">ROUND((EV99),6)</f>
        <v>0</v>
      </c>
      <c r="AG99" s="2">
        <f t="shared" si="69"/>
        <v>0</v>
      </c>
      <c r="AH99" s="2">
        <f t="shared" ref="AH99:AH114" si="97">(EW99)</f>
        <v>0</v>
      </c>
      <c r="AI99" s="2">
        <f t="shared" ref="AI99:AI114" si="98">(EX99)</f>
        <v>0</v>
      </c>
      <c r="AJ99" s="2">
        <f t="shared" si="70"/>
        <v>0</v>
      </c>
      <c r="AK99" s="2">
        <v>4387.6499999999996</v>
      </c>
      <c r="AL99" s="2">
        <v>4387.6499999999996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1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3</v>
      </c>
      <c r="BI99" s="2">
        <v>2</v>
      </c>
      <c r="BJ99" s="2" t="s">
        <v>3</v>
      </c>
      <c r="BK99" s="2"/>
      <c r="BL99" s="2"/>
      <c r="BM99" s="2">
        <v>400002</v>
      </c>
      <c r="BN99" s="2">
        <v>0</v>
      </c>
      <c r="BO99" s="2" t="s">
        <v>3</v>
      </c>
      <c r="BP99" s="2">
        <v>0</v>
      </c>
      <c r="BQ99" s="2">
        <v>202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0</v>
      </c>
      <c r="CA99" s="2">
        <v>0</v>
      </c>
      <c r="CB99" s="2" t="s">
        <v>3</v>
      </c>
      <c r="CC99" s="2"/>
      <c r="CD99" s="2"/>
      <c r="CE99" s="2">
        <v>1566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3</v>
      </c>
      <c r="CO99" s="2">
        <v>0</v>
      </c>
      <c r="CP99" s="2">
        <f t="shared" si="71"/>
        <v>671.31</v>
      </c>
      <c r="CQ99" s="2">
        <f t="shared" si="72"/>
        <v>4387.6499999999996</v>
      </c>
      <c r="CR99" s="2">
        <f t="shared" ref="CR99:CR114" si="99">(ROUND((ROUND(((ET99)*AV99*1),2)*BB99),2)+ROUND((ROUND(((AE99-(EU99))*AV99*1),2)*BS99),2))</f>
        <v>0</v>
      </c>
      <c r="CS99" s="2">
        <f t="shared" ref="CS99:CS114" si="100">(ROUND((ROUND(((EU99)*AV99*1),2)*BS99),2)+ROUND((ROUND(((AE99-(EU99))*AV99*1),2)*BS99),2))</f>
        <v>0</v>
      </c>
      <c r="CT99" s="2">
        <f t="shared" si="73"/>
        <v>0</v>
      </c>
      <c r="CU99" s="2">
        <f t="shared" si="74"/>
        <v>0</v>
      </c>
      <c r="CV99" s="2">
        <f t="shared" si="75"/>
        <v>0</v>
      </c>
      <c r="CW99" s="2">
        <f t="shared" si="76"/>
        <v>0</v>
      </c>
      <c r="CX99" s="2">
        <f t="shared" si="77"/>
        <v>0</v>
      </c>
      <c r="CY99" s="2">
        <f t="shared" ref="CY99:CY114" si="101">(ROUND((((S99+ROUND((ROUND(((EU99)*AV99*1),2)*BS99),2))*AT99)/100),2)+ROUND(((ROUND((ROUND(((AE99-(EU99))*AV99*1),2)*BS99),2)*AT99)/100),2))</f>
        <v>0</v>
      </c>
      <c r="CZ99" s="2">
        <f t="shared" ref="CZ99:CZ114" si="102">(ROUND((((S99+ROUND((ROUND(((EU99)*AV99*1),2)*BS99),2))*AU99)/100),2)+ROUND(((ROUND((ROUND(((AE99-(EU99))*AV99*1),2)*BS99),2)*AU99)/100),2))</f>
        <v>0</v>
      </c>
      <c r="DA99" s="2"/>
      <c r="DB99" s="2"/>
      <c r="DC99" s="2" t="s">
        <v>3</v>
      </c>
      <c r="DD99" s="2" t="s">
        <v>3</v>
      </c>
      <c r="DE99" s="2" t="s">
        <v>3</v>
      </c>
      <c r="DF99" s="2" t="s">
        <v>3</v>
      </c>
      <c r="DG99" s="2" t="s">
        <v>3</v>
      </c>
      <c r="DH99" s="2" t="s">
        <v>3</v>
      </c>
      <c r="DI99" s="2" t="s">
        <v>3</v>
      </c>
      <c r="DJ99" s="2" t="s">
        <v>3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1003</v>
      </c>
      <c r="DV99" s="2" t="s">
        <v>164</v>
      </c>
      <c r="DW99" s="2" t="s">
        <v>164</v>
      </c>
      <c r="DX99" s="2">
        <v>1000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60088644</v>
      </c>
      <c r="EF99" s="2">
        <v>202</v>
      </c>
      <c r="EG99" s="2" t="s">
        <v>165</v>
      </c>
      <c r="EH99" s="2">
        <v>0</v>
      </c>
      <c r="EI99" s="2" t="s">
        <v>3</v>
      </c>
      <c r="EJ99" s="2">
        <v>1</v>
      </c>
      <c r="EK99" s="2">
        <v>400002</v>
      </c>
      <c r="EL99" s="2" t="s">
        <v>166</v>
      </c>
      <c r="EM99" s="2" t="s">
        <v>165</v>
      </c>
      <c r="EN99" s="2"/>
      <c r="EO99" s="2" t="s">
        <v>3</v>
      </c>
      <c r="EP99" s="2"/>
      <c r="EQ99" s="2">
        <v>0</v>
      </c>
      <c r="ER99" s="2">
        <v>0</v>
      </c>
      <c r="ES99" s="2">
        <v>4387.6499999999996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v>0</v>
      </c>
      <c r="FS99" s="2">
        <v>0</v>
      </c>
      <c r="FT99" s="2"/>
      <c r="FU99" s="2"/>
      <c r="FV99" s="2"/>
      <c r="FW99" s="2"/>
      <c r="FX99" s="2">
        <v>0</v>
      </c>
      <c r="FY99" s="2">
        <v>0</v>
      </c>
      <c r="FZ99" s="2"/>
      <c r="GA99" s="2" t="s">
        <v>167</v>
      </c>
      <c r="GB99" s="2"/>
      <c r="GC99" s="2"/>
      <c r="GD99" s="2">
        <v>1</v>
      </c>
      <c r="GE99" s="2"/>
      <c r="GF99" s="2">
        <v>8023903</v>
      </c>
      <c r="GG99" s="2">
        <v>2</v>
      </c>
      <c r="GH99" s="2">
        <v>4</v>
      </c>
      <c r="GI99" s="2">
        <v>-2</v>
      </c>
      <c r="GJ99" s="2">
        <v>0</v>
      </c>
      <c r="GK99" s="2">
        <v>0</v>
      </c>
      <c r="GL99" s="2">
        <f t="shared" si="78"/>
        <v>0</v>
      </c>
      <c r="GM99" s="2">
        <f t="shared" si="79"/>
        <v>671.31</v>
      </c>
      <c r="GN99" s="2">
        <f t="shared" si="80"/>
        <v>0</v>
      </c>
      <c r="GO99" s="2">
        <f t="shared" si="81"/>
        <v>671.31</v>
      </c>
      <c r="GP99" s="2">
        <f t="shared" si="82"/>
        <v>0</v>
      </c>
      <c r="GQ99" s="2"/>
      <c r="GR99" s="2">
        <v>0</v>
      </c>
      <c r="GS99" s="2">
        <v>2</v>
      </c>
      <c r="GT99" s="2">
        <v>0</v>
      </c>
      <c r="GU99" s="2" t="s">
        <v>3</v>
      </c>
      <c r="GV99" s="2">
        <f t="shared" si="83"/>
        <v>0</v>
      </c>
      <c r="GW99" s="2">
        <v>1</v>
      </c>
      <c r="GX99" s="2">
        <f t="shared" si="84"/>
        <v>0</v>
      </c>
      <c r="GY99" s="2"/>
      <c r="GZ99" s="2"/>
      <c r="HA99" s="2">
        <v>0</v>
      </c>
      <c r="HB99" s="2">
        <v>0</v>
      </c>
      <c r="HC99" s="2">
        <f t="shared" si="85"/>
        <v>0</v>
      </c>
      <c r="HD99" s="2"/>
      <c r="HE99" s="2" t="s">
        <v>168</v>
      </c>
      <c r="HF99" s="2" t="s">
        <v>38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">
      <c r="A100">
        <v>17</v>
      </c>
      <c r="B100">
        <v>1</v>
      </c>
      <c r="E100" t="s">
        <v>161</v>
      </c>
      <c r="F100" t="s">
        <v>162</v>
      </c>
      <c r="G100" t="s">
        <v>163</v>
      </c>
      <c r="H100" t="s">
        <v>164</v>
      </c>
      <c r="I100">
        <f>ROUND((150*1.02)/1000,9)</f>
        <v>0.153</v>
      </c>
      <c r="J100">
        <v>0</v>
      </c>
      <c r="K100">
        <f>ROUND((150*1.02)/1000,9)</f>
        <v>0.153</v>
      </c>
      <c r="O100">
        <f t="shared" si="60"/>
        <v>6632.54</v>
      </c>
      <c r="P100">
        <f t="shared" si="61"/>
        <v>6632.54</v>
      </c>
      <c r="Q100">
        <f t="shared" si="90"/>
        <v>0</v>
      </c>
      <c r="R100">
        <f t="shared" si="91"/>
        <v>0</v>
      </c>
      <c r="S100">
        <f t="shared" si="62"/>
        <v>0</v>
      </c>
      <c r="T100">
        <f t="shared" si="63"/>
        <v>0</v>
      </c>
      <c r="U100">
        <f t="shared" si="64"/>
        <v>0</v>
      </c>
      <c r="V100">
        <f t="shared" si="65"/>
        <v>0</v>
      </c>
      <c r="W100">
        <f t="shared" si="66"/>
        <v>0</v>
      </c>
      <c r="X100">
        <f t="shared" si="92"/>
        <v>0</v>
      </c>
      <c r="Y100">
        <f t="shared" si="93"/>
        <v>0</v>
      </c>
      <c r="AA100">
        <v>60256982</v>
      </c>
      <c r="AB100">
        <f t="shared" si="67"/>
        <v>4387.6499999999996</v>
      </c>
      <c r="AC100">
        <f t="shared" si="68"/>
        <v>4387.6499999999996</v>
      </c>
      <c r="AD100">
        <f t="shared" si="94"/>
        <v>0</v>
      </c>
      <c r="AE100">
        <f t="shared" si="95"/>
        <v>0</v>
      </c>
      <c r="AF100">
        <f t="shared" si="96"/>
        <v>0</v>
      </c>
      <c r="AG100">
        <f t="shared" si="69"/>
        <v>0</v>
      </c>
      <c r="AH100">
        <f t="shared" si="97"/>
        <v>0</v>
      </c>
      <c r="AI100">
        <f t="shared" si="98"/>
        <v>0</v>
      </c>
      <c r="AJ100">
        <f t="shared" si="70"/>
        <v>0</v>
      </c>
      <c r="AK100">
        <v>4387.6499999999996</v>
      </c>
      <c r="AL100">
        <v>4387.6499999999996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1</v>
      </c>
      <c r="AZ100">
        <v>1</v>
      </c>
      <c r="BA100">
        <v>1</v>
      </c>
      <c r="BB100">
        <v>1</v>
      </c>
      <c r="BC100">
        <v>9.8800000000000008</v>
      </c>
      <c r="BD100" t="s">
        <v>3</v>
      </c>
      <c r="BE100" t="s">
        <v>3</v>
      </c>
      <c r="BF100" t="s">
        <v>3</v>
      </c>
      <c r="BG100" t="s">
        <v>3</v>
      </c>
      <c r="BH100">
        <v>3</v>
      </c>
      <c r="BI100">
        <v>2</v>
      </c>
      <c r="BJ100" t="s">
        <v>3</v>
      </c>
      <c r="BM100">
        <v>400002</v>
      </c>
      <c r="BN100">
        <v>0</v>
      </c>
      <c r="BO100" t="s">
        <v>3</v>
      </c>
      <c r="BP100">
        <v>0</v>
      </c>
      <c r="BQ100">
        <v>202</v>
      </c>
      <c r="BR100">
        <v>0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 t="s">
        <v>3</v>
      </c>
      <c r="BZ100">
        <v>0</v>
      </c>
      <c r="CA100">
        <v>0</v>
      </c>
      <c r="CB100" t="s">
        <v>3</v>
      </c>
      <c r="CE100">
        <v>1566</v>
      </c>
      <c r="CF100">
        <v>0</v>
      </c>
      <c r="CG100">
        <v>0</v>
      </c>
      <c r="CM100">
        <v>0</v>
      </c>
      <c r="CN100" t="s">
        <v>3</v>
      </c>
      <c r="CO100">
        <v>0</v>
      </c>
      <c r="CP100">
        <f t="shared" si="71"/>
        <v>6632.54</v>
      </c>
      <c r="CQ100">
        <f t="shared" si="72"/>
        <v>43349.98</v>
      </c>
      <c r="CR100">
        <f t="shared" si="99"/>
        <v>0</v>
      </c>
      <c r="CS100">
        <f t="shared" si="100"/>
        <v>0</v>
      </c>
      <c r="CT100">
        <f t="shared" si="73"/>
        <v>0</v>
      </c>
      <c r="CU100">
        <f t="shared" si="74"/>
        <v>0</v>
      </c>
      <c r="CV100">
        <f t="shared" si="75"/>
        <v>0</v>
      </c>
      <c r="CW100">
        <f t="shared" si="76"/>
        <v>0</v>
      </c>
      <c r="CX100">
        <f t="shared" si="77"/>
        <v>0</v>
      </c>
      <c r="CY100">
        <f t="shared" si="101"/>
        <v>0</v>
      </c>
      <c r="CZ100">
        <f t="shared" si="102"/>
        <v>0</v>
      </c>
      <c r="DC100" t="s">
        <v>3</v>
      </c>
      <c r="DD100" t="s">
        <v>3</v>
      </c>
      <c r="DE100" t="s">
        <v>3</v>
      </c>
      <c r="DF100" t="s">
        <v>3</v>
      </c>
      <c r="DG100" t="s">
        <v>3</v>
      </c>
      <c r="DH100" t="s">
        <v>3</v>
      </c>
      <c r="DI100" t="s">
        <v>3</v>
      </c>
      <c r="DJ100" t="s">
        <v>3</v>
      </c>
      <c r="DK100" t="s">
        <v>3</v>
      </c>
      <c r="DL100" t="s">
        <v>3</v>
      </c>
      <c r="DM100" t="s">
        <v>3</v>
      </c>
      <c r="DN100">
        <v>0</v>
      </c>
      <c r="DO100">
        <v>0</v>
      </c>
      <c r="DP100">
        <v>1</v>
      </c>
      <c r="DQ100">
        <v>1</v>
      </c>
      <c r="DU100">
        <v>1003</v>
      </c>
      <c r="DV100" t="s">
        <v>164</v>
      </c>
      <c r="DW100" t="s">
        <v>164</v>
      </c>
      <c r="DX100">
        <v>1000</v>
      </c>
      <c r="DZ100" t="s">
        <v>3</v>
      </c>
      <c r="EA100" t="s">
        <v>3</v>
      </c>
      <c r="EB100" t="s">
        <v>3</v>
      </c>
      <c r="EC100" t="s">
        <v>3</v>
      </c>
      <c r="EE100">
        <v>60088644</v>
      </c>
      <c r="EF100">
        <v>202</v>
      </c>
      <c r="EG100" t="s">
        <v>165</v>
      </c>
      <c r="EH100">
        <v>0</v>
      </c>
      <c r="EI100" t="s">
        <v>3</v>
      </c>
      <c r="EJ100">
        <v>1</v>
      </c>
      <c r="EK100">
        <v>400002</v>
      </c>
      <c r="EL100" t="s">
        <v>166</v>
      </c>
      <c r="EM100" t="s">
        <v>165</v>
      </c>
      <c r="EO100" t="s">
        <v>3</v>
      </c>
      <c r="EQ100">
        <v>0</v>
      </c>
      <c r="ER100">
        <v>0</v>
      </c>
      <c r="ES100">
        <v>4387.6499999999996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5</v>
      </c>
      <c r="FC100">
        <v>1</v>
      </c>
      <c r="FD100">
        <v>18</v>
      </c>
      <c r="FF100">
        <v>51000</v>
      </c>
      <c r="FQ100">
        <v>0</v>
      </c>
      <c r="FR100">
        <v>0</v>
      </c>
      <c r="FS100">
        <v>0</v>
      </c>
      <c r="FX100">
        <v>0</v>
      </c>
      <c r="FY100">
        <v>0</v>
      </c>
      <c r="GA100" t="s">
        <v>167</v>
      </c>
      <c r="GD100">
        <v>1</v>
      </c>
      <c r="GF100">
        <v>8023903</v>
      </c>
      <c r="GG100">
        <v>2</v>
      </c>
      <c r="GH100">
        <v>3</v>
      </c>
      <c r="GI100">
        <v>5</v>
      </c>
      <c r="GJ100">
        <v>0</v>
      </c>
      <c r="GK100">
        <v>0</v>
      </c>
      <c r="GL100">
        <f t="shared" si="78"/>
        <v>0</v>
      </c>
      <c r="GM100">
        <f t="shared" si="79"/>
        <v>6632.54</v>
      </c>
      <c r="GN100">
        <f t="shared" si="80"/>
        <v>0</v>
      </c>
      <c r="GO100">
        <f t="shared" si="81"/>
        <v>6632.54</v>
      </c>
      <c r="GP100">
        <f t="shared" si="82"/>
        <v>0</v>
      </c>
      <c r="GR100">
        <v>1</v>
      </c>
      <c r="GS100">
        <v>1</v>
      </c>
      <c r="GT100">
        <v>0</v>
      </c>
      <c r="GU100" t="s">
        <v>3</v>
      </c>
      <c r="GV100">
        <f t="shared" si="83"/>
        <v>0</v>
      </c>
      <c r="GW100">
        <v>1</v>
      </c>
      <c r="GX100">
        <f t="shared" si="84"/>
        <v>0</v>
      </c>
      <c r="HA100">
        <v>0</v>
      </c>
      <c r="HB100">
        <v>0</v>
      </c>
      <c r="HC100">
        <f t="shared" si="85"/>
        <v>0</v>
      </c>
      <c r="HE100" t="s">
        <v>168</v>
      </c>
      <c r="HF100" t="s">
        <v>38</v>
      </c>
      <c r="HM100" t="s">
        <v>3</v>
      </c>
      <c r="HN100" t="s">
        <v>3</v>
      </c>
      <c r="HO100" t="s">
        <v>3</v>
      </c>
      <c r="HP100" t="s">
        <v>3</v>
      </c>
      <c r="HQ100" t="s">
        <v>3</v>
      </c>
      <c r="HS100">
        <v>0</v>
      </c>
      <c r="IK100">
        <v>0</v>
      </c>
    </row>
    <row r="101" spans="1:255" x14ac:dyDescent="0.2">
      <c r="A101" s="2">
        <v>17</v>
      </c>
      <c r="B101" s="2">
        <v>1</v>
      </c>
      <c r="C101" s="2"/>
      <c r="D101" s="2"/>
      <c r="E101" s="2" t="s">
        <v>169</v>
      </c>
      <c r="F101" s="2" t="s">
        <v>170</v>
      </c>
      <c r="G101" s="2" t="s">
        <v>171</v>
      </c>
      <c r="H101" s="2" t="s">
        <v>164</v>
      </c>
      <c r="I101" s="2">
        <f>ROUND((350*1.02)/1000,9)</f>
        <v>0.35699999999999998</v>
      </c>
      <c r="J101" s="2">
        <v>0</v>
      </c>
      <c r="K101" s="2">
        <f>ROUND((350*1.02)/1000,9)</f>
        <v>0.35699999999999998</v>
      </c>
      <c r="L101" s="2"/>
      <c r="M101" s="2"/>
      <c r="N101" s="2"/>
      <c r="O101" s="2">
        <f t="shared" si="60"/>
        <v>609.97</v>
      </c>
      <c r="P101" s="2">
        <f t="shared" si="61"/>
        <v>609.97</v>
      </c>
      <c r="Q101" s="2">
        <f t="shared" si="90"/>
        <v>0</v>
      </c>
      <c r="R101" s="2">
        <f t="shared" si="91"/>
        <v>0</v>
      </c>
      <c r="S101" s="2">
        <f t="shared" si="62"/>
        <v>0</v>
      </c>
      <c r="T101" s="2">
        <f t="shared" si="63"/>
        <v>0</v>
      </c>
      <c r="U101" s="2">
        <f t="shared" si="64"/>
        <v>0</v>
      </c>
      <c r="V101" s="2">
        <f t="shared" si="65"/>
        <v>0</v>
      </c>
      <c r="W101" s="2">
        <f t="shared" si="66"/>
        <v>0</v>
      </c>
      <c r="X101" s="2">
        <f t="shared" si="92"/>
        <v>0</v>
      </c>
      <c r="Y101" s="2">
        <f t="shared" si="93"/>
        <v>0</v>
      </c>
      <c r="Z101" s="2"/>
      <c r="AA101" s="2">
        <v>60256985</v>
      </c>
      <c r="AB101" s="2">
        <f t="shared" si="67"/>
        <v>1708.6</v>
      </c>
      <c r="AC101" s="2">
        <f t="shared" si="68"/>
        <v>1708.6</v>
      </c>
      <c r="AD101" s="2">
        <f t="shared" si="94"/>
        <v>0</v>
      </c>
      <c r="AE101" s="2">
        <f t="shared" si="95"/>
        <v>0</v>
      </c>
      <c r="AF101" s="2">
        <f t="shared" si="96"/>
        <v>0</v>
      </c>
      <c r="AG101" s="2">
        <f t="shared" si="69"/>
        <v>0</v>
      </c>
      <c r="AH101" s="2">
        <f t="shared" si="97"/>
        <v>0</v>
      </c>
      <c r="AI101" s="2">
        <f t="shared" si="98"/>
        <v>0</v>
      </c>
      <c r="AJ101" s="2">
        <f t="shared" si="70"/>
        <v>0</v>
      </c>
      <c r="AK101" s="2">
        <v>1708.6</v>
      </c>
      <c r="AL101" s="2">
        <v>1708.6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1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3</v>
      </c>
      <c r="BI101" s="2">
        <v>2</v>
      </c>
      <c r="BJ101" s="2" t="s">
        <v>3</v>
      </c>
      <c r="BK101" s="2"/>
      <c r="BL101" s="2"/>
      <c r="BM101" s="2">
        <v>400002</v>
      </c>
      <c r="BN101" s="2">
        <v>0</v>
      </c>
      <c r="BO101" s="2" t="s">
        <v>3</v>
      </c>
      <c r="BP101" s="2">
        <v>0</v>
      </c>
      <c r="BQ101" s="2">
        <v>202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0</v>
      </c>
      <c r="CA101" s="2">
        <v>0</v>
      </c>
      <c r="CB101" s="2" t="s">
        <v>3</v>
      </c>
      <c r="CC101" s="2"/>
      <c r="CD101" s="2"/>
      <c r="CE101" s="2">
        <v>1566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3</v>
      </c>
      <c r="CO101" s="2">
        <v>0</v>
      </c>
      <c r="CP101" s="2">
        <f t="shared" si="71"/>
        <v>609.97</v>
      </c>
      <c r="CQ101" s="2">
        <f t="shared" si="72"/>
        <v>1708.6</v>
      </c>
      <c r="CR101" s="2">
        <f t="shared" si="99"/>
        <v>0</v>
      </c>
      <c r="CS101" s="2">
        <f t="shared" si="100"/>
        <v>0</v>
      </c>
      <c r="CT101" s="2">
        <f t="shared" si="73"/>
        <v>0</v>
      </c>
      <c r="CU101" s="2">
        <f t="shared" si="74"/>
        <v>0</v>
      </c>
      <c r="CV101" s="2">
        <f t="shared" si="75"/>
        <v>0</v>
      </c>
      <c r="CW101" s="2">
        <f t="shared" si="76"/>
        <v>0</v>
      </c>
      <c r="CX101" s="2">
        <f t="shared" si="77"/>
        <v>0</v>
      </c>
      <c r="CY101" s="2">
        <f t="shared" si="101"/>
        <v>0</v>
      </c>
      <c r="CZ101" s="2">
        <f t="shared" si="102"/>
        <v>0</v>
      </c>
      <c r="DA101" s="2"/>
      <c r="DB101" s="2"/>
      <c r="DC101" s="2" t="s">
        <v>3</v>
      </c>
      <c r="DD101" s="2" t="s">
        <v>3</v>
      </c>
      <c r="DE101" s="2" t="s">
        <v>3</v>
      </c>
      <c r="DF101" s="2" t="s">
        <v>3</v>
      </c>
      <c r="DG101" s="2" t="s">
        <v>3</v>
      </c>
      <c r="DH101" s="2" t="s">
        <v>3</v>
      </c>
      <c r="DI101" s="2" t="s">
        <v>3</v>
      </c>
      <c r="DJ101" s="2" t="s">
        <v>3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1003</v>
      </c>
      <c r="DV101" s="2" t="s">
        <v>164</v>
      </c>
      <c r="DW101" s="2" t="s">
        <v>164</v>
      </c>
      <c r="DX101" s="2">
        <v>1000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60088644</v>
      </c>
      <c r="EF101" s="2">
        <v>202</v>
      </c>
      <c r="EG101" s="2" t="s">
        <v>165</v>
      </c>
      <c r="EH101" s="2">
        <v>0</v>
      </c>
      <c r="EI101" s="2" t="s">
        <v>3</v>
      </c>
      <c r="EJ101" s="2">
        <v>1</v>
      </c>
      <c r="EK101" s="2">
        <v>400002</v>
      </c>
      <c r="EL101" s="2" t="s">
        <v>166</v>
      </c>
      <c r="EM101" s="2" t="s">
        <v>165</v>
      </c>
      <c r="EN101" s="2"/>
      <c r="EO101" s="2" t="s">
        <v>3</v>
      </c>
      <c r="EP101" s="2"/>
      <c r="EQ101" s="2">
        <v>0</v>
      </c>
      <c r="ER101" s="2">
        <v>0</v>
      </c>
      <c r="ES101" s="2">
        <v>1708.6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0</v>
      </c>
      <c r="FT101" s="2"/>
      <c r="FU101" s="2"/>
      <c r="FV101" s="2"/>
      <c r="FW101" s="2"/>
      <c r="FX101" s="2">
        <v>0</v>
      </c>
      <c r="FY101" s="2">
        <v>0</v>
      </c>
      <c r="FZ101" s="2"/>
      <c r="GA101" s="2" t="s">
        <v>172</v>
      </c>
      <c r="GB101" s="2"/>
      <c r="GC101" s="2"/>
      <c r="GD101" s="2">
        <v>1</v>
      </c>
      <c r="GE101" s="2"/>
      <c r="GF101" s="2">
        <v>-2083123476</v>
      </c>
      <c r="GG101" s="2">
        <v>2</v>
      </c>
      <c r="GH101" s="2">
        <v>4</v>
      </c>
      <c r="GI101" s="2">
        <v>-2</v>
      </c>
      <c r="GJ101" s="2">
        <v>0</v>
      </c>
      <c r="GK101" s="2">
        <v>0</v>
      </c>
      <c r="GL101" s="2">
        <f t="shared" si="78"/>
        <v>0</v>
      </c>
      <c r="GM101" s="2">
        <f t="shared" si="79"/>
        <v>609.97</v>
      </c>
      <c r="GN101" s="2">
        <f t="shared" si="80"/>
        <v>0</v>
      </c>
      <c r="GO101" s="2">
        <f t="shared" si="81"/>
        <v>609.97</v>
      </c>
      <c r="GP101" s="2">
        <f t="shared" si="82"/>
        <v>0</v>
      </c>
      <c r="GQ101" s="2"/>
      <c r="GR101" s="2">
        <v>0</v>
      </c>
      <c r="GS101" s="2">
        <v>2</v>
      </c>
      <c r="GT101" s="2">
        <v>0</v>
      </c>
      <c r="GU101" s="2" t="s">
        <v>3</v>
      </c>
      <c r="GV101" s="2">
        <f t="shared" si="83"/>
        <v>0</v>
      </c>
      <c r="GW101" s="2">
        <v>1</v>
      </c>
      <c r="GX101" s="2">
        <f t="shared" si="84"/>
        <v>0</v>
      </c>
      <c r="GY101" s="2"/>
      <c r="GZ101" s="2"/>
      <c r="HA101" s="2">
        <v>0</v>
      </c>
      <c r="HB101" s="2">
        <v>0</v>
      </c>
      <c r="HC101" s="2">
        <f t="shared" si="85"/>
        <v>0</v>
      </c>
      <c r="HD101" s="2"/>
      <c r="HE101" s="2" t="s">
        <v>168</v>
      </c>
      <c r="HF101" s="2" t="s">
        <v>38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">
      <c r="A102">
        <v>17</v>
      </c>
      <c r="B102">
        <v>1</v>
      </c>
      <c r="E102" t="s">
        <v>169</v>
      </c>
      <c r="F102" t="s">
        <v>170</v>
      </c>
      <c r="G102" t="s">
        <v>171</v>
      </c>
      <c r="H102" t="s">
        <v>164</v>
      </c>
      <c r="I102">
        <f>ROUND((350*1.02)/1000,9)</f>
        <v>0.35699999999999998</v>
      </c>
      <c r="J102">
        <v>0</v>
      </c>
      <c r="K102">
        <f>ROUND((350*1.02)/1000,9)</f>
        <v>0.35699999999999998</v>
      </c>
      <c r="O102">
        <f t="shared" si="60"/>
        <v>6026.5</v>
      </c>
      <c r="P102">
        <f t="shared" si="61"/>
        <v>6026.5</v>
      </c>
      <c r="Q102">
        <f t="shared" si="90"/>
        <v>0</v>
      </c>
      <c r="R102">
        <f t="shared" si="91"/>
        <v>0</v>
      </c>
      <c r="S102">
        <f t="shared" si="62"/>
        <v>0</v>
      </c>
      <c r="T102">
        <f t="shared" si="63"/>
        <v>0</v>
      </c>
      <c r="U102">
        <f t="shared" si="64"/>
        <v>0</v>
      </c>
      <c r="V102">
        <f t="shared" si="65"/>
        <v>0</v>
      </c>
      <c r="W102">
        <f t="shared" si="66"/>
        <v>0</v>
      </c>
      <c r="X102">
        <f t="shared" si="92"/>
        <v>0</v>
      </c>
      <c r="Y102">
        <f t="shared" si="93"/>
        <v>0</v>
      </c>
      <c r="AA102">
        <v>60256982</v>
      </c>
      <c r="AB102">
        <f t="shared" si="67"/>
        <v>1708.6</v>
      </c>
      <c r="AC102">
        <f t="shared" si="68"/>
        <v>1708.6</v>
      </c>
      <c r="AD102">
        <f t="shared" si="94"/>
        <v>0</v>
      </c>
      <c r="AE102">
        <f t="shared" si="95"/>
        <v>0</v>
      </c>
      <c r="AF102">
        <f t="shared" si="96"/>
        <v>0</v>
      </c>
      <c r="AG102">
        <f t="shared" si="69"/>
        <v>0</v>
      </c>
      <c r="AH102">
        <f t="shared" si="97"/>
        <v>0</v>
      </c>
      <c r="AI102">
        <f t="shared" si="98"/>
        <v>0</v>
      </c>
      <c r="AJ102">
        <f t="shared" si="70"/>
        <v>0</v>
      </c>
      <c r="AK102">
        <v>1708.6</v>
      </c>
      <c r="AL102">
        <v>1708.6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1</v>
      </c>
      <c r="AZ102">
        <v>1</v>
      </c>
      <c r="BA102">
        <v>1</v>
      </c>
      <c r="BB102">
        <v>1</v>
      </c>
      <c r="BC102">
        <v>9.8800000000000008</v>
      </c>
      <c r="BD102" t="s">
        <v>3</v>
      </c>
      <c r="BE102" t="s">
        <v>3</v>
      </c>
      <c r="BF102" t="s">
        <v>3</v>
      </c>
      <c r="BG102" t="s">
        <v>3</v>
      </c>
      <c r="BH102">
        <v>3</v>
      </c>
      <c r="BI102">
        <v>2</v>
      </c>
      <c r="BJ102" t="s">
        <v>3</v>
      </c>
      <c r="BM102">
        <v>400002</v>
      </c>
      <c r="BN102">
        <v>0</v>
      </c>
      <c r="BO102" t="s">
        <v>3</v>
      </c>
      <c r="BP102">
        <v>0</v>
      </c>
      <c r="BQ102">
        <v>202</v>
      </c>
      <c r="BR102">
        <v>0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 t="s">
        <v>3</v>
      </c>
      <c r="BZ102">
        <v>0</v>
      </c>
      <c r="CA102">
        <v>0</v>
      </c>
      <c r="CB102" t="s">
        <v>3</v>
      </c>
      <c r="CE102">
        <v>1566</v>
      </c>
      <c r="CF102">
        <v>0</v>
      </c>
      <c r="CG102">
        <v>0</v>
      </c>
      <c r="CM102">
        <v>0</v>
      </c>
      <c r="CN102" t="s">
        <v>3</v>
      </c>
      <c r="CO102">
        <v>0</v>
      </c>
      <c r="CP102">
        <f t="shared" si="71"/>
        <v>6026.5</v>
      </c>
      <c r="CQ102">
        <f t="shared" si="72"/>
        <v>16880.97</v>
      </c>
      <c r="CR102">
        <f t="shared" si="99"/>
        <v>0</v>
      </c>
      <c r="CS102">
        <f t="shared" si="100"/>
        <v>0</v>
      </c>
      <c r="CT102">
        <f t="shared" si="73"/>
        <v>0</v>
      </c>
      <c r="CU102">
        <f t="shared" si="74"/>
        <v>0</v>
      </c>
      <c r="CV102">
        <f t="shared" si="75"/>
        <v>0</v>
      </c>
      <c r="CW102">
        <f t="shared" si="76"/>
        <v>0</v>
      </c>
      <c r="CX102">
        <f t="shared" si="77"/>
        <v>0</v>
      </c>
      <c r="CY102">
        <f t="shared" si="101"/>
        <v>0</v>
      </c>
      <c r="CZ102">
        <f t="shared" si="102"/>
        <v>0</v>
      </c>
      <c r="DC102" t="s">
        <v>3</v>
      </c>
      <c r="DD102" t="s">
        <v>3</v>
      </c>
      <c r="DE102" t="s">
        <v>3</v>
      </c>
      <c r="DF102" t="s">
        <v>3</v>
      </c>
      <c r="DG102" t="s">
        <v>3</v>
      </c>
      <c r="DH102" t="s">
        <v>3</v>
      </c>
      <c r="DI102" t="s">
        <v>3</v>
      </c>
      <c r="DJ102" t="s">
        <v>3</v>
      </c>
      <c r="DK102" t="s">
        <v>3</v>
      </c>
      <c r="DL102" t="s">
        <v>3</v>
      </c>
      <c r="DM102" t="s">
        <v>3</v>
      </c>
      <c r="DN102">
        <v>0</v>
      </c>
      <c r="DO102">
        <v>0</v>
      </c>
      <c r="DP102">
        <v>1</v>
      </c>
      <c r="DQ102">
        <v>1</v>
      </c>
      <c r="DU102">
        <v>1003</v>
      </c>
      <c r="DV102" t="s">
        <v>164</v>
      </c>
      <c r="DW102" t="s">
        <v>164</v>
      </c>
      <c r="DX102">
        <v>1000</v>
      </c>
      <c r="DZ102" t="s">
        <v>3</v>
      </c>
      <c r="EA102" t="s">
        <v>3</v>
      </c>
      <c r="EB102" t="s">
        <v>3</v>
      </c>
      <c r="EC102" t="s">
        <v>3</v>
      </c>
      <c r="EE102">
        <v>60088644</v>
      </c>
      <c r="EF102">
        <v>202</v>
      </c>
      <c r="EG102" t="s">
        <v>165</v>
      </c>
      <c r="EH102">
        <v>0</v>
      </c>
      <c r="EI102" t="s">
        <v>3</v>
      </c>
      <c r="EJ102">
        <v>1</v>
      </c>
      <c r="EK102">
        <v>400002</v>
      </c>
      <c r="EL102" t="s">
        <v>166</v>
      </c>
      <c r="EM102" t="s">
        <v>165</v>
      </c>
      <c r="EO102" t="s">
        <v>3</v>
      </c>
      <c r="EQ102">
        <v>0</v>
      </c>
      <c r="ER102">
        <v>0</v>
      </c>
      <c r="ES102">
        <v>1708.6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5</v>
      </c>
      <c r="FC102">
        <v>1</v>
      </c>
      <c r="FD102">
        <v>18</v>
      </c>
      <c r="FF102">
        <v>19860</v>
      </c>
      <c r="FQ102">
        <v>0</v>
      </c>
      <c r="FR102">
        <v>0</v>
      </c>
      <c r="FS102">
        <v>0</v>
      </c>
      <c r="FX102">
        <v>0</v>
      </c>
      <c r="FY102">
        <v>0</v>
      </c>
      <c r="GA102" t="s">
        <v>172</v>
      </c>
      <c r="GD102">
        <v>1</v>
      </c>
      <c r="GF102">
        <v>-2083123476</v>
      </c>
      <c r="GG102">
        <v>2</v>
      </c>
      <c r="GH102">
        <v>3</v>
      </c>
      <c r="GI102">
        <v>5</v>
      </c>
      <c r="GJ102">
        <v>0</v>
      </c>
      <c r="GK102">
        <v>0</v>
      </c>
      <c r="GL102">
        <f t="shared" si="78"/>
        <v>0</v>
      </c>
      <c r="GM102">
        <f t="shared" si="79"/>
        <v>6026.5</v>
      </c>
      <c r="GN102">
        <f t="shared" si="80"/>
        <v>0</v>
      </c>
      <c r="GO102">
        <f t="shared" si="81"/>
        <v>6026.5</v>
      </c>
      <c r="GP102">
        <f t="shared" si="82"/>
        <v>0</v>
      </c>
      <c r="GR102">
        <v>1</v>
      </c>
      <c r="GS102">
        <v>1</v>
      </c>
      <c r="GT102">
        <v>0</v>
      </c>
      <c r="GU102" t="s">
        <v>3</v>
      </c>
      <c r="GV102">
        <f t="shared" si="83"/>
        <v>0</v>
      </c>
      <c r="GW102">
        <v>1</v>
      </c>
      <c r="GX102">
        <f t="shared" si="84"/>
        <v>0</v>
      </c>
      <c r="HA102">
        <v>0</v>
      </c>
      <c r="HB102">
        <v>0</v>
      </c>
      <c r="HC102">
        <f t="shared" si="85"/>
        <v>0</v>
      </c>
      <c r="HE102" t="s">
        <v>168</v>
      </c>
      <c r="HF102" t="s">
        <v>38</v>
      </c>
      <c r="HM102" t="s">
        <v>3</v>
      </c>
      <c r="HN102" t="s">
        <v>3</v>
      </c>
      <c r="HO102" t="s">
        <v>3</v>
      </c>
      <c r="HP102" t="s">
        <v>3</v>
      </c>
      <c r="HQ102" t="s">
        <v>3</v>
      </c>
      <c r="HS102">
        <v>0</v>
      </c>
      <c r="IK102">
        <v>0</v>
      </c>
    </row>
    <row r="103" spans="1:255" x14ac:dyDescent="0.2">
      <c r="A103" s="2">
        <v>17</v>
      </c>
      <c r="B103" s="2">
        <v>1</v>
      </c>
      <c r="C103" s="2"/>
      <c r="D103" s="2"/>
      <c r="E103" s="2" t="s">
        <v>173</v>
      </c>
      <c r="F103" s="2" t="s">
        <v>174</v>
      </c>
      <c r="G103" s="2" t="s">
        <v>175</v>
      </c>
      <c r="H103" s="2" t="s">
        <v>164</v>
      </c>
      <c r="I103" s="2">
        <f>ROUND((10*1.02)/1000,9)</f>
        <v>1.0200000000000001E-2</v>
      </c>
      <c r="J103" s="2">
        <v>0</v>
      </c>
      <c r="K103" s="2">
        <f>ROUND((10*1.02)/1000,9)</f>
        <v>1.0200000000000001E-2</v>
      </c>
      <c r="L103" s="2"/>
      <c r="M103" s="2"/>
      <c r="N103" s="2"/>
      <c r="O103" s="2">
        <f t="shared" si="60"/>
        <v>118.42</v>
      </c>
      <c r="P103" s="2">
        <f t="shared" si="61"/>
        <v>118.42</v>
      </c>
      <c r="Q103" s="2">
        <f t="shared" si="90"/>
        <v>0</v>
      </c>
      <c r="R103" s="2">
        <f t="shared" si="91"/>
        <v>0</v>
      </c>
      <c r="S103" s="2">
        <f t="shared" si="62"/>
        <v>0</v>
      </c>
      <c r="T103" s="2">
        <f t="shared" si="63"/>
        <v>0</v>
      </c>
      <c r="U103" s="2">
        <f t="shared" si="64"/>
        <v>0</v>
      </c>
      <c r="V103" s="2">
        <f t="shared" si="65"/>
        <v>0</v>
      </c>
      <c r="W103" s="2">
        <f t="shared" si="66"/>
        <v>0</v>
      </c>
      <c r="X103" s="2">
        <f t="shared" si="92"/>
        <v>0</v>
      </c>
      <c r="Y103" s="2">
        <f t="shared" si="93"/>
        <v>0</v>
      </c>
      <c r="Z103" s="2"/>
      <c r="AA103" s="2">
        <v>60256985</v>
      </c>
      <c r="AB103" s="2">
        <f t="shared" si="67"/>
        <v>11610.07</v>
      </c>
      <c r="AC103" s="2">
        <f t="shared" si="68"/>
        <v>11610.07</v>
      </c>
      <c r="AD103" s="2">
        <f t="shared" si="94"/>
        <v>0</v>
      </c>
      <c r="AE103" s="2">
        <f t="shared" si="95"/>
        <v>0</v>
      </c>
      <c r="AF103" s="2">
        <f t="shared" si="96"/>
        <v>0</v>
      </c>
      <c r="AG103" s="2">
        <f t="shared" si="69"/>
        <v>0</v>
      </c>
      <c r="AH103" s="2">
        <f t="shared" si="97"/>
        <v>0</v>
      </c>
      <c r="AI103" s="2">
        <f t="shared" si="98"/>
        <v>0</v>
      </c>
      <c r="AJ103" s="2">
        <f t="shared" si="70"/>
        <v>0</v>
      </c>
      <c r="AK103" s="2">
        <v>11610.07</v>
      </c>
      <c r="AL103" s="2">
        <v>11610.07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1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3</v>
      </c>
      <c r="BI103" s="2">
        <v>2</v>
      </c>
      <c r="BJ103" s="2" t="s">
        <v>3</v>
      </c>
      <c r="BK103" s="2"/>
      <c r="BL103" s="2"/>
      <c r="BM103" s="2">
        <v>400002</v>
      </c>
      <c r="BN103" s="2">
        <v>0</v>
      </c>
      <c r="BO103" s="2" t="s">
        <v>3</v>
      </c>
      <c r="BP103" s="2">
        <v>0</v>
      </c>
      <c r="BQ103" s="2">
        <v>202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0</v>
      </c>
      <c r="CA103" s="2">
        <v>0</v>
      </c>
      <c r="CB103" s="2" t="s">
        <v>3</v>
      </c>
      <c r="CC103" s="2"/>
      <c r="CD103" s="2"/>
      <c r="CE103" s="2">
        <v>1566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3</v>
      </c>
      <c r="CO103" s="2">
        <v>0</v>
      </c>
      <c r="CP103" s="2">
        <f t="shared" si="71"/>
        <v>118.42</v>
      </c>
      <c r="CQ103" s="2">
        <f t="shared" si="72"/>
        <v>11610.07</v>
      </c>
      <c r="CR103" s="2">
        <f t="shared" si="99"/>
        <v>0</v>
      </c>
      <c r="CS103" s="2">
        <f t="shared" si="100"/>
        <v>0</v>
      </c>
      <c r="CT103" s="2">
        <f t="shared" si="73"/>
        <v>0</v>
      </c>
      <c r="CU103" s="2">
        <f t="shared" si="74"/>
        <v>0</v>
      </c>
      <c r="CV103" s="2">
        <f t="shared" si="75"/>
        <v>0</v>
      </c>
      <c r="CW103" s="2">
        <f t="shared" si="76"/>
        <v>0</v>
      </c>
      <c r="CX103" s="2">
        <f t="shared" si="77"/>
        <v>0</v>
      </c>
      <c r="CY103" s="2">
        <f t="shared" si="101"/>
        <v>0</v>
      </c>
      <c r="CZ103" s="2">
        <f t="shared" si="102"/>
        <v>0</v>
      </c>
      <c r="DA103" s="2"/>
      <c r="DB103" s="2"/>
      <c r="DC103" s="2" t="s">
        <v>3</v>
      </c>
      <c r="DD103" s="2" t="s">
        <v>3</v>
      </c>
      <c r="DE103" s="2" t="s">
        <v>3</v>
      </c>
      <c r="DF103" s="2" t="s">
        <v>3</v>
      </c>
      <c r="DG103" s="2" t="s">
        <v>3</v>
      </c>
      <c r="DH103" s="2" t="s">
        <v>3</v>
      </c>
      <c r="DI103" s="2" t="s">
        <v>3</v>
      </c>
      <c r="DJ103" s="2" t="s">
        <v>3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1003</v>
      </c>
      <c r="DV103" s="2" t="s">
        <v>164</v>
      </c>
      <c r="DW103" s="2" t="s">
        <v>164</v>
      </c>
      <c r="DX103" s="2">
        <v>1000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60088644</v>
      </c>
      <c r="EF103" s="2">
        <v>202</v>
      </c>
      <c r="EG103" s="2" t="s">
        <v>165</v>
      </c>
      <c r="EH103" s="2">
        <v>0</v>
      </c>
      <c r="EI103" s="2" t="s">
        <v>3</v>
      </c>
      <c r="EJ103" s="2">
        <v>1</v>
      </c>
      <c r="EK103" s="2">
        <v>400002</v>
      </c>
      <c r="EL103" s="2" t="s">
        <v>166</v>
      </c>
      <c r="EM103" s="2" t="s">
        <v>165</v>
      </c>
      <c r="EN103" s="2"/>
      <c r="EO103" s="2" t="s">
        <v>3</v>
      </c>
      <c r="EP103" s="2"/>
      <c r="EQ103" s="2">
        <v>0</v>
      </c>
      <c r="ER103" s="2">
        <v>0</v>
      </c>
      <c r="ES103" s="2">
        <v>11610.07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v>0</v>
      </c>
      <c r="FS103" s="2">
        <v>0</v>
      </c>
      <c r="FT103" s="2"/>
      <c r="FU103" s="2"/>
      <c r="FV103" s="2"/>
      <c r="FW103" s="2"/>
      <c r="FX103" s="2">
        <v>0</v>
      </c>
      <c r="FY103" s="2">
        <v>0</v>
      </c>
      <c r="FZ103" s="2"/>
      <c r="GA103" s="2" t="s">
        <v>176</v>
      </c>
      <c r="GB103" s="2"/>
      <c r="GC103" s="2"/>
      <c r="GD103" s="2">
        <v>1</v>
      </c>
      <c r="GE103" s="2"/>
      <c r="GF103" s="2">
        <v>-1960773283</v>
      </c>
      <c r="GG103" s="2">
        <v>2</v>
      </c>
      <c r="GH103" s="2">
        <v>4</v>
      </c>
      <c r="GI103" s="2">
        <v>-2</v>
      </c>
      <c r="GJ103" s="2">
        <v>0</v>
      </c>
      <c r="GK103" s="2">
        <v>0</v>
      </c>
      <c r="GL103" s="2">
        <f t="shared" si="78"/>
        <v>0</v>
      </c>
      <c r="GM103" s="2">
        <f t="shared" si="79"/>
        <v>118.42</v>
      </c>
      <c r="GN103" s="2">
        <f t="shared" si="80"/>
        <v>0</v>
      </c>
      <c r="GO103" s="2">
        <f t="shared" si="81"/>
        <v>118.42</v>
      </c>
      <c r="GP103" s="2">
        <f t="shared" si="82"/>
        <v>0</v>
      </c>
      <c r="GQ103" s="2"/>
      <c r="GR103" s="2">
        <v>0</v>
      </c>
      <c r="GS103" s="2">
        <v>2</v>
      </c>
      <c r="GT103" s="2">
        <v>0</v>
      </c>
      <c r="GU103" s="2" t="s">
        <v>3</v>
      </c>
      <c r="GV103" s="2">
        <f t="shared" si="83"/>
        <v>0</v>
      </c>
      <c r="GW103" s="2">
        <v>1</v>
      </c>
      <c r="GX103" s="2">
        <f t="shared" si="84"/>
        <v>0</v>
      </c>
      <c r="GY103" s="2"/>
      <c r="GZ103" s="2"/>
      <c r="HA103" s="2">
        <v>0</v>
      </c>
      <c r="HB103" s="2">
        <v>0</v>
      </c>
      <c r="HC103" s="2">
        <f t="shared" si="85"/>
        <v>0</v>
      </c>
      <c r="HD103" s="2"/>
      <c r="HE103" s="2" t="s">
        <v>168</v>
      </c>
      <c r="HF103" s="2" t="s">
        <v>38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">
      <c r="A104">
        <v>17</v>
      </c>
      <c r="B104">
        <v>1</v>
      </c>
      <c r="E104" t="s">
        <v>173</v>
      </c>
      <c r="F104" t="s">
        <v>174</v>
      </c>
      <c r="G104" t="s">
        <v>175</v>
      </c>
      <c r="H104" t="s">
        <v>164</v>
      </c>
      <c r="I104">
        <f>ROUND((10*1.02)/1000,9)</f>
        <v>1.0200000000000001E-2</v>
      </c>
      <c r="J104">
        <v>0</v>
      </c>
      <c r="K104">
        <f>ROUND((10*1.02)/1000,9)</f>
        <v>1.0200000000000001E-2</v>
      </c>
      <c r="O104">
        <f t="shared" si="60"/>
        <v>1169.99</v>
      </c>
      <c r="P104">
        <f t="shared" si="61"/>
        <v>1169.99</v>
      </c>
      <c r="Q104">
        <f t="shared" si="90"/>
        <v>0</v>
      </c>
      <c r="R104">
        <f t="shared" si="91"/>
        <v>0</v>
      </c>
      <c r="S104">
        <f t="shared" si="62"/>
        <v>0</v>
      </c>
      <c r="T104">
        <f t="shared" si="63"/>
        <v>0</v>
      </c>
      <c r="U104">
        <f t="shared" si="64"/>
        <v>0</v>
      </c>
      <c r="V104">
        <f t="shared" si="65"/>
        <v>0</v>
      </c>
      <c r="W104">
        <f t="shared" si="66"/>
        <v>0</v>
      </c>
      <c r="X104">
        <f t="shared" si="92"/>
        <v>0</v>
      </c>
      <c r="Y104">
        <f t="shared" si="93"/>
        <v>0</v>
      </c>
      <c r="AA104">
        <v>60256982</v>
      </c>
      <c r="AB104">
        <f t="shared" si="67"/>
        <v>11610.07</v>
      </c>
      <c r="AC104">
        <f t="shared" si="68"/>
        <v>11610.07</v>
      </c>
      <c r="AD104">
        <f t="shared" si="94"/>
        <v>0</v>
      </c>
      <c r="AE104">
        <f t="shared" si="95"/>
        <v>0</v>
      </c>
      <c r="AF104">
        <f t="shared" si="96"/>
        <v>0</v>
      </c>
      <c r="AG104">
        <f t="shared" si="69"/>
        <v>0</v>
      </c>
      <c r="AH104">
        <f t="shared" si="97"/>
        <v>0</v>
      </c>
      <c r="AI104">
        <f t="shared" si="98"/>
        <v>0</v>
      </c>
      <c r="AJ104">
        <f t="shared" si="70"/>
        <v>0</v>
      </c>
      <c r="AK104">
        <v>11610.07</v>
      </c>
      <c r="AL104">
        <v>11610.07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1</v>
      </c>
      <c r="AZ104">
        <v>1</v>
      </c>
      <c r="BA104">
        <v>1</v>
      </c>
      <c r="BB104">
        <v>1</v>
      </c>
      <c r="BC104">
        <v>9.8800000000000008</v>
      </c>
      <c r="BD104" t="s">
        <v>3</v>
      </c>
      <c r="BE104" t="s">
        <v>3</v>
      </c>
      <c r="BF104" t="s">
        <v>3</v>
      </c>
      <c r="BG104" t="s">
        <v>3</v>
      </c>
      <c r="BH104">
        <v>3</v>
      </c>
      <c r="BI104">
        <v>2</v>
      </c>
      <c r="BJ104" t="s">
        <v>3</v>
      </c>
      <c r="BM104">
        <v>400002</v>
      </c>
      <c r="BN104">
        <v>0</v>
      </c>
      <c r="BO104" t="s">
        <v>3</v>
      </c>
      <c r="BP104">
        <v>0</v>
      </c>
      <c r="BQ104">
        <v>202</v>
      </c>
      <c r="BR104">
        <v>0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 t="s">
        <v>3</v>
      </c>
      <c r="BZ104">
        <v>0</v>
      </c>
      <c r="CA104">
        <v>0</v>
      </c>
      <c r="CB104" t="s">
        <v>3</v>
      </c>
      <c r="CE104">
        <v>1566</v>
      </c>
      <c r="CF104">
        <v>0</v>
      </c>
      <c r="CG104">
        <v>0</v>
      </c>
      <c r="CM104">
        <v>0</v>
      </c>
      <c r="CN104" t="s">
        <v>3</v>
      </c>
      <c r="CO104">
        <v>0</v>
      </c>
      <c r="CP104">
        <f t="shared" si="71"/>
        <v>1169.99</v>
      </c>
      <c r="CQ104">
        <f t="shared" si="72"/>
        <v>114707.49</v>
      </c>
      <c r="CR104">
        <f t="shared" si="99"/>
        <v>0</v>
      </c>
      <c r="CS104">
        <f t="shared" si="100"/>
        <v>0</v>
      </c>
      <c r="CT104">
        <f t="shared" si="73"/>
        <v>0</v>
      </c>
      <c r="CU104">
        <f t="shared" si="74"/>
        <v>0</v>
      </c>
      <c r="CV104">
        <f t="shared" si="75"/>
        <v>0</v>
      </c>
      <c r="CW104">
        <f t="shared" si="76"/>
        <v>0</v>
      </c>
      <c r="CX104">
        <f t="shared" si="77"/>
        <v>0</v>
      </c>
      <c r="CY104">
        <f t="shared" si="101"/>
        <v>0</v>
      </c>
      <c r="CZ104">
        <f t="shared" si="102"/>
        <v>0</v>
      </c>
      <c r="DC104" t="s">
        <v>3</v>
      </c>
      <c r="DD104" t="s">
        <v>3</v>
      </c>
      <c r="DE104" t="s">
        <v>3</v>
      </c>
      <c r="DF104" t="s">
        <v>3</v>
      </c>
      <c r="DG104" t="s">
        <v>3</v>
      </c>
      <c r="DH104" t="s">
        <v>3</v>
      </c>
      <c r="DI104" t="s">
        <v>3</v>
      </c>
      <c r="DJ104" t="s">
        <v>3</v>
      </c>
      <c r="DK104" t="s">
        <v>3</v>
      </c>
      <c r="DL104" t="s">
        <v>3</v>
      </c>
      <c r="DM104" t="s">
        <v>3</v>
      </c>
      <c r="DN104">
        <v>0</v>
      </c>
      <c r="DO104">
        <v>0</v>
      </c>
      <c r="DP104">
        <v>1</v>
      </c>
      <c r="DQ104">
        <v>1</v>
      </c>
      <c r="DU104">
        <v>1003</v>
      </c>
      <c r="DV104" t="s">
        <v>164</v>
      </c>
      <c r="DW104" t="s">
        <v>164</v>
      </c>
      <c r="DX104">
        <v>1000</v>
      </c>
      <c r="DZ104" t="s">
        <v>3</v>
      </c>
      <c r="EA104" t="s">
        <v>3</v>
      </c>
      <c r="EB104" t="s">
        <v>3</v>
      </c>
      <c r="EC104" t="s">
        <v>3</v>
      </c>
      <c r="EE104">
        <v>60088644</v>
      </c>
      <c r="EF104">
        <v>202</v>
      </c>
      <c r="EG104" t="s">
        <v>165</v>
      </c>
      <c r="EH104">
        <v>0</v>
      </c>
      <c r="EI104" t="s">
        <v>3</v>
      </c>
      <c r="EJ104">
        <v>1</v>
      </c>
      <c r="EK104">
        <v>400002</v>
      </c>
      <c r="EL104" t="s">
        <v>166</v>
      </c>
      <c r="EM104" t="s">
        <v>165</v>
      </c>
      <c r="EO104" t="s">
        <v>3</v>
      </c>
      <c r="EQ104">
        <v>0</v>
      </c>
      <c r="ER104">
        <v>0</v>
      </c>
      <c r="ES104">
        <v>11610.07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5</v>
      </c>
      <c r="FC104">
        <v>1</v>
      </c>
      <c r="FD104">
        <v>18</v>
      </c>
      <c r="FF104">
        <v>134950</v>
      </c>
      <c r="FQ104">
        <v>0</v>
      </c>
      <c r="FR104">
        <v>0</v>
      </c>
      <c r="FS104">
        <v>0</v>
      </c>
      <c r="FX104">
        <v>0</v>
      </c>
      <c r="FY104">
        <v>0</v>
      </c>
      <c r="GA104" t="s">
        <v>176</v>
      </c>
      <c r="GD104">
        <v>1</v>
      </c>
      <c r="GF104">
        <v>-1960773283</v>
      </c>
      <c r="GG104">
        <v>2</v>
      </c>
      <c r="GH104">
        <v>3</v>
      </c>
      <c r="GI104">
        <v>5</v>
      </c>
      <c r="GJ104">
        <v>0</v>
      </c>
      <c r="GK104">
        <v>0</v>
      </c>
      <c r="GL104">
        <f t="shared" si="78"/>
        <v>0</v>
      </c>
      <c r="GM104">
        <f t="shared" si="79"/>
        <v>1169.99</v>
      </c>
      <c r="GN104">
        <f t="shared" si="80"/>
        <v>0</v>
      </c>
      <c r="GO104">
        <f t="shared" si="81"/>
        <v>1169.99</v>
      </c>
      <c r="GP104">
        <f t="shared" si="82"/>
        <v>0</v>
      </c>
      <c r="GR104">
        <v>1</v>
      </c>
      <c r="GS104">
        <v>1</v>
      </c>
      <c r="GT104">
        <v>0</v>
      </c>
      <c r="GU104" t="s">
        <v>3</v>
      </c>
      <c r="GV104">
        <f t="shared" si="83"/>
        <v>0</v>
      </c>
      <c r="GW104">
        <v>1</v>
      </c>
      <c r="GX104">
        <f t="shared" si="84"/>
        <v>0</v>
      </c>
      <c r="HA104">
        <v>0</v>
      </c>
      <c r="HB104">
        <v>0</v>
      </c>
      <c r="HC104">
        <f t="shared" si="85"/>
        <v>0</v>
      </c>
      <c r="HE104" t="s">
        <v>168</v>
      </c>
      <c r="HF104" t="s">
        <v>38</v>
      </c>
      <c r="HM104" t="s">
        <v>3</v>
      </c>
      <c r="HN104" t="s">
        <v>3</v>
      </c>
      <c r="HO104" t="s">
        <v>3</v>
      </c>
      <c r="HP104" t="s">
        <v>3</v>
      </c>
      <c r="HQ104" t="s">
        <v>3</v>
      </c>
      <c r="HS104">
        <v>0</v>
      </c>
      <c r="IK104">
        <v>0</v>
      </c>
    </row>
    <row r="105" spans="1:255" x14ac:dyDescent="0.2">
      <c r="A105" s="2">
        <v>17</v>
      </c>
      <c r="B105" s="2">
        <v>1</v>
      </c>
      <c r="C105" s="2"/>
      <c r="D105" s="2"/>
      <c r="E105" s="2" t="s">
        <v>177</v>
      </c>
      <c r="F105" s="2" t="s">
        <v>178</v>
      </c>
      <c r="G105" s="2" t="s">
        <v>179</v>
      </c>
      <c r="H105" s="2" t="s">
        <v>164</v>
      </c>
      <c r="I105" s="2">
        <f>ROUND((40*1.02)/1000,9)</f>
        <v>4.0800000000000003E-2</v>
      </c>
      <c r="J105" s="2">
        <v>0</v>
      </c>
      <c r="K105" s="2">
        <f>ROUND((40*1.02)/1000,9)</f>
        <v>4.0800000000000003E-2</v>
      </c>
      <c r="L105" s="2"/>
      <c r="M105" s="2"/>
      <c r="N105" s="2"/>
      <c r="O105" s="2">
        <f t="shared" si="60"/>
        <v>298.01</v>
      </c>
      <c r="P105" s="2">
        <f t="shared" si="61"/>
        <v>298.01</v>
      </c>
      <c r="Q105" s="2">
        <f t="shared" si="90"/>
        <v>0</v>
      </c>
      <c r="R105" s="2">
        <f t="shared" si="91"/>
        <v>0</v>
      </c>
      <c r="S105" s="2">
        <f t="shared" si="62"/>
        <v>0</v>
      </c>
      <c r="T105" s="2">
        <f t="shared" si="63"/>
        <v>0</v>
      </c>
      <c r="U105" s="2">
        <f t="shared" si="64"/>
        <v>0</v>
      </c>
      <c r="V105" s="2">
        <f t="shared" si="65"/>
        <v>0</v>
      </c>
      <c r="W105" s="2">
        <f t="shared" si="66"/>
        <v>0</v>
      </c>
      <c r="X105" s="2">
        <f t="shared" si="92"/>
        <v>0</v>
      </c>
      <c r="Y105" s="2">
        <f t="shared" si="93"/>
        <v>0</v>
      </c>
      <c r="Z105" s="2"/>
      <c r="AA105" s="2">
        <v>60256985</v>
      </c>
      <c r="AB105" s="2">
        <f t="shared" si="67"/>
        <v>7304.15</v>
      </c>
      <c r="AC105" s="2">
        <f t="shared" si="68"/>
        <v>7304.15</v>
      </c>
      <c r="AD105" s="2">
        <f t="shared" si="94"/>
        <v>0</v>
      </c>
      <c r="AE105" s="2">
        <f t="shared" si="95"/>
        <v>0</v>
      </c>
      <c r="AF105" s="2">
        <f t="shared" si="96"/>
        <v>0</v>
      </c>
      <c r="AG105" s="2">
        <f t="shared" si="69"/>
        <v>0</v>
      </c>
      <c r="AH105" s="2">
        <f t="shared" si="97"/>
        <v>0</v>
      </c>
      <c r="AI105" s="2">
        <f t="shared" si="98"/>
        <v>0</v>
      </c>
      <c r="AJ105" s="2">
        <f t="shared" si="70"/>
        <v>0</v>
      </c>
      <c r="AK105" s="2">
        <v>7304.1500000000005</v>
      </c>
      <c r="AL105" s="2">
        <v>7304.1500000000005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1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3</v>
      </c>
      <c r="BI105" s="2">
        <v>2</v>
      </c>
      <c r="BJ105" s="2" t="s">
        <v>3</v>
      </c>
      <c r="BK105" s="2"/>
      <c r="BL105" s="2"/>
      <c r="BM105" s="2">
        <v>400002</v>
      </c>
      <c r="BN105" s="2">
        <v>0</v>
      </c>
      <c r="BO105" s="2" t="s">
        <v>3</v>
      </c>
      <c r="BP105" s="2">
        <v>0</v>
      </c>
      <c r="BQ105" s="2">
        <v>202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0</v>
      </c>
      <c r="CA105" s="2">
        <v>0</v>
      </c>
      <c r="CB105" s="2" t="s">
        <v>3</v>
      </c>
      <c r="CC105" s="2"/>
      <c r="CD105" s="2"/>
      <c r="CE105" s="2">
        <v>1566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3</v>
      </c>
      <c r="CO105" s="2">
        <v>0</v>
      </c>
      <c r="CP105" s="2">
        <f t="shared" si="71"/>
        <v>298.01</v>
      </c>
      <c r="CQ105" s="2">
        <f t="shared" si="72"/>
        <v>7304.15</v>
      </c>
      <c r="CR105" s="2">
        <f t="shared" si="99"/>
        <v>0</v>
      </c>
      <c r="CS105" s="2">
        <f t="shared" si="100"/>
        <v>0</v>
      </c>
      <c r="CT105" s="2">
        <f t="shared" si="73"/>
        <v>0</v>
      </c>
      <c r="CU105" s="2">
        <f t="shared" si="74"/>
        <v>0</v>
      </c>
      <c r="CV105" s="2">
        <f t="shared" si="75"/>
        <v>0</v>
      </c>
      <c r="CW105" s="2">
        <f t="shared" si="76"/>
        <v>0</v>
      </c>
      <c r="CX105" s="2">
        <f t="shared" si="77"/>
        <v>0</v>
      </c>
      <c r="CY105" s="2">
        <f t="shared" si="101"/>
        <v>0</v>
      </c>
      <c r="CZ105" s="2">
        <f t="shared" si="102"/>
        <v>0</v>
      </c>
      <c r="DA105" s="2"/>
      <c r="DB105" s="2"/>
      <c r="DC105" s="2" t="s">
        <v>3</v>
      </c>
      <c r="DD105" s="2" t="s">
        <v>3</v>
      </c>
      <c r="DE105" s="2" t="s">
        <v>3</v>
      </c>
      <c r="DF105" s="2" t="s">
        <v>3</v>
      </c>
      <c r="DG105" s="2" t="s">
        <v>3</v>
      </c>
      <c r="DH105" s="2" t="s">
        <v>3</v>
      </c>
      <c r="DI105" s="2" t="s">
        <v>3</v>
      </c>
      <c r="DJ105" s="2" t="s">
        <v>3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1003</v>
      </c>
      <c r="DV105" s="2" t="s">
        <v>164</v>
      </c>
      <c r="DW105" s="2" t="s">
        <v>164</v>
      </c>
      <c r="DX105" s="2">
        <v>1000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60088644</v>
      </c>
      <c r="EF105" s="2">
        <v>202</v>
      </c>
      <c r="EG105" s="2" t="s">
        <v>165</v>
      </c>
      <c r="EH105" s="2">
        <v>0</v>
      </c>
      <c r="EI105" s="2" t="s">
        <v>3</v>
      </c>
      <c r="EJ105" s="2">
        <v>1</v>
      </c>
      <c r="EK105" s="2">
        <v>400002</v>
      </c>
      <c r="EL105" s="2" t="s">
        <v>166</v>
      </c>
      <c r="EM105" s="2" t="s">
        <v>165</v>
      </c>
      <c r="EN105" s="2"/>
      <c r="EO105" s="2" t="s">
        <v>3</v>
      </c>
      <c r="EP105" s="2"/>
      <c r="EQ105" s="2">
        <v>0</v>
      </c>
      <c r="ER105" s="2">
        <v>0</v>
      </c>
      <c r="ES105" s="2">
        <v>7304.1500000000005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0</v>
      </c>
      <c r="FY105" s="2">
        <v>0</v>
      </c>
      <c r="FZ105" s="2"/>
      <c r="GA105" s="2" t="s">
        <v>180</v>
      </c>
      <c r="GB105" s="2"/>
      <c r="GC105" s="2"/>
      <c r="GD105" s="2">
        <v>1</v>
      </c>
      <c r="GE105" s="2"/>
      <c r="GF105" s="2">
        <v>-161440595</v>
      </c>
      <c r="GG105" s="2">
        <v>2</v>
      </c>
      <c r="GH105" s="2">
        <v>4</v>
      </c>
      <c r="GI105" s="2">
        <v>-2</v>
      </c>
      <c r="GJ105" s="2">
        <v>0</v>
      </c>
      <c r="GK105" s="2">
        <v>0</v>
      </c>
      <c r="GL105" s="2">
        <f t="shared" si="78"/>
        <v>0</v>
      </c>
      <c r="GM105" s="2">
        <f t="shared" si="79"/>
        <v>298.01</v>
      </c>
      <c r="GN105" s="2">
        <f t="shared" si="80"/>
        <v>0</v>
      </c>
      <c r="GO105" s="2">
        <f t="shared" si="81"/>
        <v>298.01</v>
      </c>
      <c r="GP105" s="2">
        <f t="shared" si="82"/>
        <v>0</v>
      </c>
      <c r="GQ105" s="2"/>
      <c r="GR105" s="2">
        <v>0</v>
      </c>
      <c r="GS105" s="2">
        <v>2</v>
      </c>
      <c r="GT105" s="2">
        <v>0</v>
      </c>
      <c r="GU105" s="2" t="s">
        <v>3</v>
      </c>
      <c r="GV105" s="2">
        <f t="shared" si="83"/>
        <v>0</v>
      </c>
      <c r="GW105" s="2">
        <v>1</v>
      </c>
      <c r="GX105" s="2">
        <f t="shared" si="84"/>
        <v>0</v>
      </c>
      <c r="GY105" s="2"/>
      <c r="GZ105" s="2"/>
      <c r="HA105" s="2">
        <v>0</v>
      </c>
      <c r="HB105" s="2">
        <v>0</v>
      </c>
      <c r="HC105" s="2">
        <f t="shared" si="85"/>
        <v>0</v>
      </c>
      <c r="HD105" s="2"/>
      <c r="HE105" s="2" t="s">
        <v>168</v>
      </c>
      <c r="HF105" s="2" t="s">
        <v>38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">
      <c r="A106">
        <v>17</v>
      </c>
      <c r="B106">
        <v>1</v>
      </c>
      <c r="E106" t="s">
        <v>177</v>
      </c>
      <c r="F106" t="s">
        <v>178</v>
      </c>
      <c r="G106" t="s">
        <v>179</v>
      </c>
      <c r="H106" t="s">
        <v>164</v>
      </c>
      <c r="I106">
        <f>ROUND((40*1.02)/1000,9)</f>
        <v>4.0800000000000003E-2</v>
      </c>
      <c r="J106">
        <v>0</v>
      </c>
      <c r="K106">
        <f>ROUND((40*1.02)/1000,9)</f>
        <v>4.0800000000000003E-2</v>
      </c>
      <c r="O106">
        <f t="shared" si="60"/>
        <v>2944.34</v>
      </c>
      <c r="P106">
        <f t="shared" si="61"/>
        <v>2944.34</v>
      </c>
      <c r="Q106">
        <f t="shared" si="90"/>
        <v>0</v>
      </c>
      <c r="R106">
        <f t="shared" si="91"/>
        <v>0</v>
      </c>
      <c r="S106">
        <f t="shared" si="62"/>
        <v>0</v>
      </c>
      <c r="T106">
        <f t="shared" si="63"/>
        <v>0</v>
      </c>
      <c r="U106">
        <f t="shared" si="64"/>
        <v>0</v>
      </c>
      <c r="V106">
        <f t="shared" si="65"/>
        <v>0</v>
      </c>
      <c r="W106">
        <f t="shared" si="66"/>
        <v>0</v>
      </c>
      <c r="X106">
        <f t="shared" si="92"/>
        <v>0</v>
      </c>
      <c r="Y106">
        <f t="shared" si="93"/>
        <v>0</v>
      </c>
      <c r="AA106">
        <v>60256982</v>
      </c>
      <c r="AB106">
        <f t="shared" si="67"/>
        <v>7304.15</v>
      </c>
      <c r="AC106">
        <f t="shared" si="68"/>
        <v>7304.15</v>
      </c>
      <c r="AD106">
        <f t="shared" si="94"/>
        <v>0</v>
      </c>
      <c r="AE106">
        <f t="shared" si="95"/>
        <v>0</v>
      </c>
      <c r="AF106">
        <f t="shared" si="96"/>
        <v>0</v>
      </c>
      <c r="AG106">
        <f t="shared" si="69"/>
        <v>0</v>
      </c>
      <c r="AH106">
        <f t="shared" si="97"/>
        <v>0</v>
      </c>
      <c r="AI106">
        <f t="shared" si="98"/>
        <v>0</v>
      </c>
      <c r="AJ106">
        <f t="shared" si="70"/>
        <v>0</v>
      </c>
      <c r="AK106">
        <v>7304.1500000000005</v>
      </c>
      <c r="AL106">
        <v>7304.1500000000005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1</v>
      </c>
      <c r="AZ106">
        <v>1</v>
      </c>
      <c r="BA106">
        <v>1</v>
      </c>
      <c r="BB106">
        <v>1</v>
      </c>
      <c r="BC106">
        <v>9.8800000000000008</v>
      </c>
      <c r="BD106" t="s">
        <v>3</v>
      </c>
      <c r="BE106" t="s">
        <v>3</v>
      </c>
      <c r="BF106" t="s">
        <v>3</v>
      </c>
      <c r="BG106" t="s">
        <v>3</v>
      </c>
      <c r="BH106">
        <v>3</v>
      </c>
      <c r="BI106">
        <v>2</v>
      </c>
      <c r="BJ106" t="s">
        <v>3</v>
      </c>
      <c r="BM106">
        <v>400002</v>
      </c>
      <c r="BN106">
        <v>0</v>
      </c>
      <c r="BO106" t="s">
        <v>3</v>
      </c>
      <c r="BP106">
        <v>0</v>
      </c>
      <c r="BQ106">
        <v>202</v>
      </c>
      <c r="BR106">
        <v>0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 t="s">
        <v>3</v>
      </c>
      <c r="BZ106">
        <v>0</v>
      </c>
      <c r="CA106">
        <v>0</v>
      </c>
      <c r="CB106" t="s">
        <v>3</v>
      </c>
      <c r="CE106">
        <v>1566</v>
      </c>
      <c r="CF106">
        <v>0</v>
      </c>
      <c r="CG106">
        <v>0</v>
      </c>
      <c r="CM106">
        <v>0</v>
      </c>
      <c r="CN106" t="s">
        <v>3</v>
      </c>
      <c r="CO106">
        <v>0</v>
      </c>
      <c r="CP106">
        <f t="shared" si="71"/>
        <v>2944.34</v>
      </c>
      <c r="CQ106">
        <f t="shared" si="72"/>
        <v>72165</v>
      </c>
      <c r="CR106">
        <f t="shared" si="99"/>
        <v>0</v>
      </c>
      <c r="CS106">
        <f t="shared" si="100"/>
        <v>0</v>
      </c>
      <c r="CT106">
        <f t="shared" si="73"/>
        <v>0</v>
      </c>
      <c r="CU106">
        <f t="shared" si="74"/>
        <v>0</v>
      </c>
      <c r="CV106">
        <f t="shared" si="75"/>
        <v>0</v>
      </c>
      <c r="CW106">
        <f t="shared" si="76"/>
        <v>0</v>
      </c>
      <c r="CX106">
        <f t="shared" si="77"/>
        <v>0</v>
      </c>
      <c r="CY106">
        <f t="shared" si="101"/>
        <v>0</v>
      </c>
      <c r="CZ106">
        <f t="shared" si="102"/>
        <v>0</v>
      </c>
      <c r="DC106" t="s">
        <v>3</v>
      </c>
      <c r="DD106" t="s">
        <v>3</v>
      </c>
      <c r="DE106" t="s">
        <v>3</v>
      </c>
      <c r="DF106" t="s">
        <v>3</v>
      </c>
      <c r="DG106" t="s">
        <v>3</v>
      </c>
      <c r="DH106" t="s">
        <v>3</v>
      </c>
      <c r="DI106" t="s">
        <v>3</v>
      </c>
      <c r="DJ106" t="s">
        <v>3</v>
      </c>
      <c r="DK106" t="s">
        <v>3</v>
      </c>
      <c r="DL106" t="s">
        <v>3</v>
      </c>
      <c r="DM106" t="s">
        <v>3</v>
      </c>
      <c r="DN106">
        <v>0</v>
      </c>
      <c r="DO106">
        <v>0</v>
      </c>
      <c r="DP106">
        <v>1</v>
      </c>
      <c r="DQ106">
        <v>1</v>
      </c>
      <c r="DU106">
        <v>1003</v>
      </c>
      <c r="DV106" t="s">
        <v>164</v>
      </c>
      <c r="DW106" t="s">
        <v>164</v>
      </c>
      <c r="DX106">
        <v>1000</v>
      </c>
      <c r="DZ106" t="s">
        <v>3</v>
      </c>
      <c r="EA106" t="s">
        <v>3</v>
      </c>
      <c r="EB106" t="s">
        <v>3</v>
      </c>
      <c r="EC106" t="s">
        <v>3</v>
      </c>
      <c r="EE106">
        <v>60088644</v>
      </c>
      <c r="EF106">
        <v>202</v>
      </c>
      <c r="EG106" t="s">
        <v>165</v>
      </c>
      <c r="EH106">
        <v>0</v>
      </c>
      <c r="EI106" t="s">
        <v>3</v>
      </c>
      <c r="EJ106">
        <v>1</v>
      </c>
      <c r="EK106">
        <v>400002</v>
      </c>
      <c r="EL106" t="s">
        <v>166</v>
      </c>
      <c r="EM106" t="s">
        <v>165</v>
      </c>
      <c r="EO106" t="s">
        <v>3</v>
      </c>
      <c r="EQ106">
        <v>0</v>
      </c>
      <c r="ER106">
        <v>0</v>
      </c>
      <c r="ES106">
        <v>7304.1500000000005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5</v>
      </c>
      <c r="FC106">
        <v>1</v>
      </c>
      <c r="FD106">
        <v>18</v>
      </c>
      <c r="FF106">
        <v>84900</v>
      </c>
      <c r="FQ106">
        <v>0</v>
      </c>
      <c r="FR106">
        <v>0</v>
      </c>
      <c r="FS106">
        <v>0</v>
      </c>
      <c r="FX106">
        <v>0</v>
      </c>
      <c r="FY106">
        <v>0</v>
      </c>
      <c r="GA106" t="s">
        <v>180</v>
      </c>
      <c r="GD106">
        <v>1</v>
      </c>
      <c r="GF106">
        <v>-161440595</v>
      </c>
      <c r="GG106">
        <v>2</v>
      </c>
      <c r="GH106">
        <v>3</v>
      </c>
      <c r="GI106">
        <v>5</v>
      </c>
      <c r="GJ106">
        <v>0</v>
      </c>
      <c r="GK106">
        <v>0</v>
      </c>
      <c r="GL106">
        <f t="shared" si="78"/>
        <v>0</v>
      </c>
      <c r="GM106">
        <f t="shared" si="79"/>
        <v>2944.34</v>
      </c>
      <c r="GN106">
        <f t="shared" si="80"/>
        <v>0</v>
      </c>
      <c r="GO106">
        <f t="shared" si="81"/>
        <v>2944.34</v>
      </c>
      <c r="GP106">
        <f t="shared" si="82"/>
        <v>0</v>
      </c>
      <c r="GR106">
        <v>1</v>
      </c>
      <c r="GS106">
        <v>1</v>
      </c>
      <c r="GT106">
        <v>0</v>
      </c>
      <c r="GU106" t="s">
        <v>3</v>
      </c>
      <c r="GV106">
        <f t="shared" si="83"/>
        <v>0</v>
      </c>
      <c r="GW106">
        <v>1</v>
      </c>
      <c r="GX106">
        <f t="shared" si="84"/>
        <v>0</v>
      </c>
      <c r="HA106">
        <v>0</v>
      </c>
      <c r="HB106">
        <v>0</v>
      </c>
      <c r="HC106">
        <f t="shared" si="85"/>
        <v>0</v>
      </c>
      <c r="HE106" t="s">
        <v>168</v>
      </c>
      <c r="HF106" t="s">
        <v>38</v>
      </c>
      <c r="HM106" t="s">
        <v>3</v>
      </c>
      <c r="HN106" t="s">
        <v>3</v>
      </c>
      <c r="HO106" t="s">
        <v>3</v>
      </c>
      <c r="HP106" t="s">
        <v>3</v>
      </c>
      <c r="HQ106" t="s">
        <v>3</v>
      </c>
      <c r="HS106">
        <v>0</v>
      </c>
      <c r="IK106">
        <v>0</v>
      </c>
    </row>
    <row r="107" spans="1:255" x14ac:dyDescent="0.2">
      <c r="A107" s="2">
        <v>17</v>
      </c>
      <c r="B107" s="2">
        <v>1</v>
      </c>
      <c r="C107" s="2"/>
      <c r="D107" s="2"/>
      <c r="E107" s="2" t="s">
        <v>181</v>
      </c>
      <c r="F107" s="2" t="s">
        <v>182</v>
      </c>
      <c r="G107" s="2" t="s">
        <v>183</v>
      </c>
      <c r="H107" s="2" t="s">
        <v>164</v>
      </c>
      <c r="I107" s="2">
        <f>ROUND((20*1.02)/1000,9)</f>
        <v>2.0400000000000001E-2</v>
      </c>
      <c r="J107" s="2">
        <v>0</v>
      </c>
      <c r="K107" s="2">
        <f>ROUND((20*1.02)/1000,9)</f>
        <v>2.0400000000000001E-2</v>
      </c>
      <c r="L107" s="2"/>
      <c r="M107" s="2"/>
      <c r="N107" s="2"/>
      <c r="O107" s="2">
        <f t="shared" si="60"/>
        <v>99.76</v>
      </c>
      <c r="P107" s="2">
        <f t="shared" si="61"/>
        <v>99.76</v>
      </c>
      <c r="Q107" s="2">
        <f t="shared" si="90"/>
        <v>0</v>
      </c>
      <c r="R107" s="2">
        <f t="shared" si="91"/>
        <v>0</v>
      </c>
      <c r="S107" s="2">
        <f t="shared" si="62"/>
        <v>0</v>
      </c>
      <c r="T107" s="2">
        <f t="shared" si="63"/>
        <v>0</v>
      </c>
      <c r="U107" s="2">
        <f t="shared" si="64"/>
        <v>0</v>
      </c>
      <c r="V107" s="2">
        <f t="shared" si="65"/>
        <v>0</v>
      </c>
      <c r="W107" s="2">
        <f t="shared" si="66"/>
        <v>0</v>
      </c>
      <c r="X107" s="2">
        <f t="shared" si="92"/>
        <v>0</v>
      </c>
      <c r="Y107" s="2">
        <f t="shared" si="93"/>
        <v>0</v>
      </c>
      <c r="Z107" s="2"/>
      <c r="AA107" s="2">
        <v>60256985</v>
      </c>
      <c r="AB107" s="2">
        <f t="shared" si="67"/>
        <v>4890.26</v>
      </c>
      <c r="AC107" s="2">
        <f t="shared" si="68"/>
        <v>4890.26</v>
      </c>
      <c r="AD107" s="2">
        <f t="shared" si="94"/>
        <v>0</v>
      </c>
      <c r="AE107" s="2">
        <f t="shared" si="95"/>
        <v>0</v>
      </c>
      <c r="AF107" s="2">
        <f t="shared" si="96"/>
        <v>0</v>
      </c>
      <c r="AG107" s="2">
        <f t="shared" si="69"/>
        <v>0</v>
      </c>
      <c r="AH107" s="2">
        <f t="shared" si="97"/>
        <v>0</v>
      </c>
      <c r="AI107" s="2">
        <f t="shared" si="98"/>
        <v>0</v>
      </c>
      <c r="AJ107" s="2">
        <f t="shared" si="70"/>
        <v>0</v>
      </c>
      <c r="AK107" s="2">
        <v>4890.26</v>
      </c>
      <c r="AL107" s="2">
        <v>4890.26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1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3</v>
      </c>
      <c r="BI107" s="2">
        <v>2</v>
      </c>
      <c r="BJ107" s="2" t="s">
        <v>3</v>
      </c>
      <c r="BK107" s="2"/>
      <c r="BL107" s="2"/>
      <c r="BM107" s="2">
        <v>400002</v>
      </c>
      <c r="BN107" s="2">
        <v>0</v>
      </c>
      <c r="BO107" s="2" t="s">
        <v>3</v>
      </c>
      <c r="BP107" s="2">
        <v>0</v>
      </c>
      <c r="BQ107" s="2">
        <v>202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0</v>
      </c>
      <c r="CA107" s="2">
        <v>0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3</v>
      </c>
      <c r="CO107" s="2">
        <v>0</v>
      </c>
      <c r="CP107" s="2">
        <f t="shared" si="71"/>
        <v>99.76</v>
      </c>
      <c r="CQ107" s="2">
        <f t="shared" si="72"/>
        <v>4890.26</v>
      </c>
      <c r="CR107" s="2">
        <f t="shared" si="99"/>
        <v>0</v>
      </c>
      <c r="CS107" s="2">
        <f t="shared" si="100"/>
        <v>0</v>
      </c>
      <c r="CT107" s="2">
        <f t="shared" si="73"/>
        <v>0</v>
      </c>
      <c r="CU107" s="2">
        <f t="shared" si="74"/>
        <v>0</v>
      </c>
      <c r="CV107" s="2">
        <f t="shared" si="75"/>
        <v>0</v>
      </c>
      <c r="CW107" s="2">
        <f t="shared" si="76"/>
        <v>0</v>
      </c>
      <c r="CX107" s="2">
        <f t="shared" si="77"/>
        <v>0</v>
      </c>
      <c r="CY107" s="2">
        <f t="shared" si="101"/>
        <v>0</v>
      </c>
      <c r="CZ107" s="2">
        <f t="shared" si="102"/>
        <v>0</v>
      </c>
      <c r="DA107" s="2"/>
      <c r="DB107" s="2"/>
      <c r="DC107" s="2" t="s">
        <v>3</v>
      </c>
      <c r="DD107" s="2" t="s">
        <v>3</v>
      </c>
      <c r="DE107" s="2" t="s">
        <v>3</v>
      </c>
      <c r="DF107" s="2" t="s">
        <v>3</v>
      </c>
      <c r="DG107" s="2" t="s">
        <v>3</v>
      </c>
      <c r="DH107" s="2" t="s">
        <v>3</v>
      </c>
      <c r="DI107" s="2" t="s">
        <v>3</v>
      </c>
      <c r="DJ107" s="2" t="s">
        <v>3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1003</v>
      </c>
      <c r="DV107" s="2" t="s">
        <v>164</v>
      </c>
      <c r="DW107" s="2" t="s">
        <v>164</v>
      </c>
      <c r="DX107" s="2">
        <v>1000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60088644</v>
      </c>
      <c r="EF107" s="2">
        <v>202</v>
      </c>
      <c r="EG107" s="2" t="s">
        <v>165</v>
      </c>
      <c r="EH107" s="2">
        <v>0</v>
      </c>
      <c r="EI107" s="2" t="s">
        <v>3</v>
      </c>
      <c r="EJ107" s="2">
        <v>1</v>
      </c>
      <c r="EK107" s="2">
        <v>400002</v>
      </c>
      <c r="EL107" s="2" t="s">
        <v>166</v>
      </c>
      <c r="EM107" s="2" t="s">
        <v>165</v>
      </c>
      <c r="EN107" s="2"/>
      <c r="EO107" s="2" t="s">
        <v>3</v>
      </c>
      <c r="EP107" s="2"/>
      <c r="EQ107" s="2">
        <v>0</v>
      </c>
      <c r="ER107" s="2">
        <v>0</v>
      </c>
      <c r="ES107" s="2">
        <v>4890.26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v>0</v>
      </c>
      <c r="FS107" s="2">
        <v>0</v>
      </c>
      <c r="FT107" s="2"/>
      <c r="FU107" s="2"/>
      <c r="FV107" s="2"/>
      <c r="FW107" s="2"/>
      <c r="FX107" s="2">
        <v>0</v>
      </c>
      <c r="FY107" s="2">
        <v>0</v>
      </c>
      <c r="FZ107" s="2"/>
      <c r="GA107" s="2" t="s">
        <v>184</v>
      </c>
      <c r="GB107" s="2"/>
      <c r="GC107" s="2"/>
      <c r="GD107" s="2">
        <v>1</v>
      </c>
      <c r="GE107" s="2"/>
      <c r="GF107" s="2">
        <v>1781122830</v>
      </c>
      <c r="GG107" s="2">
        <v>2</v>
      </c>
      <c r="GH107" s="2">
        <v>4</v>
      </c>
      <c r="GI107" s="2">
        <v>-2</v>
      </c>
      <c r="GJ107" s="2">
        <v>0</v>
      </c>
      <c r="GK107" s="2">
        <v>0</v>
      </c>
      <c r="GL107" s="2">
        <f t="shared" si="78"/>
        <v>0</v>
      </c>
      <c r="GM107" s="2">
        <f t="shared" si="79"/>
        <v>99.76</v>
      </c>
      <c r="GN107" s="2">
        <f t="shared" si="80"/>
        <v>0</v>
      </c>
      <c r="GO107" s="2">
        <f t="shared" si="81"/>
        <v>99.76</v>
      </c>
      <c r="GP107" s="2">
        <f t="shared" si="82"/>
        <v>0</v>
      </c>
      <c r="GQ107" s="2"/>
      <c r="GR107" s="2">
        <v>0</v>
      </c>
      <c r="GS107" s="2">
        <v>2</v>
      </c>
      <c r="GT107" s="2">
        <v>0</v>
      </c>
      <c r="GU107" s="2" t="s">
        <v>3</v>
      </c>
      <c r="GV107" s="2">
        <f t="shared" si="83"/>
        <v>0</v>
      </c>
      <c r="GW107" s="2">
        <v>1</v>
      </c>
      <c r="GX107" s="2">
        <f t="shared" si="84"/>
        <v>0</v>
      </c>
      <c r="GY107" s="2"/>
      <c r="GZ107" s="2"/>
      <c r="HA107" s="2">
        <v>0</v>
      </c>
      <c r="HB107" s="2">
        <v>0</v>
      </c>
      <c r="HC107" s="2">
        <f t="shared" si="85"/>
        <v>0</v>
      </c>
      <c r="HD107" s="2"/>
      <c r="HE107" s="2" t="s">
        <v>168</v>
      </c>
      <c r="HF107" s="2" t="s">
        <v>38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">
      <c r="A108">
        <v>17</v>
      </c>
      <c r="B108">
        <v>1</v>
      </c>
      <c r="E108" t="s">
        <v>181</v>
      </c>
      <c r="F108" t="s">
        <v>182</v>
      </c>
      <c r="G108" t="s">
        <v>183</v>
      </c>
      <c r="H108" t="s">
        <v>164</v>
      </c>
      <c r="I108">
        <f>ROUND((20*1.02)/1000,9)</f>
        <v>2.0400000000000001E-2</v>
      </c>
      <c r="J108">
        <v>0</v>
      </c>
      <c r="K108">
        <f>ROUND((20*1.02)/1000,9)</f>
        <v>2.0400000000000001E-2</v>
      </c>
      <c r="O108">
        <f t="shared" si="60"/>
        <v>985.63</v>
      </c>
      <c r="P108">
        <f t="shared" si="61"/>
        <v>985.63</v>
      </c>
      <c r="Q108">
        <f t="shared" si="90"/>
        <v>0</v>
      </c>
      <c r="R108">
        <f t="shared" si="91"/>
        <v>0</v>
      </c>
      <c r="S108">
        <f t="shared" si="62"/>
        <v>0</v>
      </c>
      <c r="T108">
        <f t="shared" si="63"/>
        <v>0</v>
      </c>
      <c r="U108">
        <f t="shared" si="64"/>
        <v>0</v>
      </c>
      <c r="V108">
        <f t="shared" si="65"/>
        <v>0</v>
      </c>
      <c r="W108">
        <f t="shared" si="66"/>
        <v>0</v>
      </c>
      <c r="X108">
        <f t="shared" si="92"/>
        <v>0</v>
      </c>
      <c r="Y108">
        <f t="shared" si="93"/>
        <v>0</v>
      </c>
      <c r="AA108">
        <v>60256982</v>
      </c>
      <c r="AB108">
        <f t="shared" si="67"/>
        <v>4890.26</v>
      </c>
      <c r="AC108">
        <f t="shared" si="68"/>
        <v>4890.26</v>
      </c>
      <c r="AD108">
        <f t="shared" si="94"/>
        <v>0</v>
      </c>
      <c r="AE108">
        <f t="shared" si="95"/>
        <v>0</v>
      </c>
      <c r="AF108">
        <f t="shared" si="96"/>
        <v>0</v>
      </c>
      <c r="AG108">
        <f t="shared" si="69"/>
        <v>0</v>
      </c>
      <c r="AH108">
        <f t="shared" si="97"/>
        <v>0</v>
      </c>
      <c r="AI108">
        <f t="shared" si="98"/>
        <v>0</v>
      </c>
      <c r="AJ108">
        <f t="shared" si="70"/>
        <v>0</v>
      </c>
      <c r="AK108">
        <v>4890.26</v>
      </c>
      <c r="AL108">
        <v>4890.26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1</v>
      </c>
      <c r="AZ108">
        <v>1</v>
      </c>
      <c r="BA108">
        <v>1</v>
      </c>
      <c r="BB108">
        <v>1</v>
      </c>
      <c r="BC108">
        <v>9.8800000000000008</v>
      </c>
      <c r="BD108" t="s">
        <v>3</v>
      </c>
      <c r="BE108" t="s">
        <v>3</v>
      </c>
      <c r="BF108" t="s">
        <v>3</v>
      </c>
      <c r="BG108" t="s">
        <v>3</v>
      </c>
      <c r="BH108">
        <v>3</v>
      </c>
      <c r="BI108">
        <v>2</v>
      </c>
      <c r="BJ108" t="s">
        <v>3</v>
      </c>
      <c r="BM108">
        <v>400002</v>
      </c>
      <c r="BN108">
        <v>0</v>
      </c>
      <c r="BO108" t="s">
        <v>3</v>
      </c>
      <c r="BP108">
        <v>0</v>
      </c>
      <c r="BQ108">
        <v>202</v>
      </c>
      <c r="BR108">
        <v>0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 t="s">
        <v>3</v>
      </c>
      <c r="BZ108">
        <v>0</v>
      </c>
      <c r="CA108">
        <v>0</v>
      </c>
      <c r="CB108" t="s">
        <v>3</v>
      </c>
      <c r="CE108">
        <v>1566</v>
      </c>
      <c r="CF108">
        <v>0</v>
      </c>
      <c r="CG108">
        <v>0</v>
      </c>
      <c r="CM108">
        <v>0</v>
      </c>
      <c r="CN108" t="s">
        <v>3</v>
      </c>
      <c r="CO108">
        <v>0</v>
      </c>
      <c r="CP108">
        <f t="shared" si="71"/>
        <v>985.63</v>
      </c>
      <c r="CQ108">
        <f t="shared" si="72"/>
        <v>48315.77</v>
      </c>
      <c r="CR108">
        <f t="shared" si="99"/>
        <v>0</v>
      </c>
      <c r="CS108">
        <f t="shared" si="100"/>
        <v>0</v>
      </c>
      <c r="CT108">
        <f t="shared" si="73"/>
        <v>0</v>
      </c>
      <c r="CU108">
        <f t="shared" si="74"/>
        <v>0</v>
      </c>
      <c r="CV108">
        <f t="shared" si="75"/>
        <v>0</v>
      </c>
      <c r="CW108">
        <f t="shared" si="76"/>
        <v>0</v>
      </c>
      <c r="CX108">
        <f t="shared" si="77"/>
        <v>0</v>
      </c>
      <c r="CY108">
        <f t="shared" si="101"/>
        <v>0</v>
      </c>
      <c r="CZ108">
        <f t="shared" si="102"/>
        <v>0</v>
      </c>
      <c r="DC108" t="s">
        <v>3</v>
      </c>
      <c r="DD108" t="s">
        <v>3</v>
      </c>
      <c r="DE108" t="s">
        <v>3</v>
      </c>
      <c r="DF108" t="s">
        <v>3</v>
      </c>
      <c r="DG108" t="s">
        <v>3</v>
      </c>
      <c r="DH108" t="s">
        <v>3</v>
      </c>
      <c r="DI108" t="s">
        <v>3</v>
      </c>
      <c r="DJ108" t="s">
        <v>3</v>
      </c>
      <c r="DK108" t="s">
        <v>3</v>
      </c>
      <c r="DL108" t="s">
        <v>3</v>
      </c>
      <c r="DM108" t="s">
        <v>3</v>
      </c>
      <c r="DN108">
        <v>0</v>
      </c>
      <c r="DO108">
        <v>0</v>
      </c>
      <c r="DP108">
        <v>1</v>
      </c>
      <c r="DQ108">
        <v>1</v>
      </c>
      <c r="DU108">
        <v>1003</v>
      </c>
      <c r="DV108" t="s">
        <v>164</v>
      </c>
      <c r="DW108" t="s">
        <v>164</v>
      </c>
      <c r="DX108">
        <v>1000</v>
      </c>
      <c r="DZ108" t="s">
        <v>3</v>
      </c>
      <c r="EA108" t="s">
        <v>3</v>
      </c>
      <c r="EB108" t="s">
        <v>3</v>
      </c>
      <c r="EC108" t="s">
        <v>3</v>
      </c>
      <c r="EE108">
        <v>60088644</v>
      </c>
      <c r="EF108">
        <v>202</v>
      </c>
      <c r="EG108" t="s">
        <v>165</v>
      </c>
      <c r="EH108">
        <v>0</v>
      </c>
      <c r="EI108" t="s">
        <v>3</v>
      </c>
      <c r="EJ108">
        <v>1</v>
      </c>
      <c r="EK108">
        <v>400002</v>
      </c>
      <c r="EL108" t="s">
        <v>166</v>
      </c>
      <c r="EM108" t="s">
        <v>165</v>
      </c>
      <c r="EO108" t="s">
        <v>3</v>
      </c>
      <c r="EQ108">
        <v>0</v>
      </c>
      <c r="ER108">
        <v>0</v>
      </c>
      <c r="ES108">
        <v>4890.26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5</v>
      </c>
      <c r="FC108">
        <v>1</v>
      </c>
      <c r="FD108">
        <v>18</v>
      </c>
      <c r="FF108">
        <v>56842</v>
      </c>
      <c r="FQ108">
        <v>0</v>
      </c>
      <c r="FR108">
        <v>0</v>
      </c>
      <c r="FS108">
        <v>0</v>
      </c>
      <c r="FX108">
        <v>0</v>
      </c>
      <c r="FY108">
        <v>0</v>
      </c>
      <c r="GA108" t="s">
        <v>184</v>
      </c>
      <c r="GD108">
        <v>1</v>
      </c>
      <c r="GF108">
        <v>1781122830</v>
      </c>
      <c r="GG108">
        <v>2</v>
      </c>
      <c r="GH108">
        <v>3</v>
      </c>
      <c r="GI108">
        <v>5</v>
      </c>
      <c r="GJ108">
        <v>0</v>
      </c>
      <c r="GK108">
        <v>0</v>
      </c>
      <c r="GL108">
        <f t="shared" si="78"/>
        <v>0</v>
      </c>
      <c r="GM108">
        <f t="shared" si="79"/>
        <v>985.63</v>
      </c>
      <c r="GN108">
        <f t="shared" si="80"/>
        <v>0</v>
      </c>
      <c r="GO108">
        <f t="shared" si="81"/>
        <v>985.63</v>
      </c>
      <c r="GP108">
        <f t="shared" si="82"/>
        <v>0</v>
      </c>
      <c r="GR108">
        <v>1</v>
      </c>
      <c r="GS108">
        <v>1</v>
      </c>
      <c r="GT108">
        <v>0</v>
      </c>
      <c r="GU108" t="s">
        <v>3</v>
      </c>
      <c r="GV108">
        <f t="shared" si="83"/>
        <v>0</v>
      </c>
      <c r="GW108">
        <v>1</v>
      </c>
      <c r="GX108">
        <f t="shared" si="84"/>
        <v>0</v>
      </c>
      <c r="HA108">
        <v>0</v>
      </c>
      <c r="HB108">
        <v>0</v>
      </c>
      <c r="HC108">
        <f t="shared" si="85"/>
        <v>0</v>
      </c>
      <c r="HE108" t="s">
        <v>168</v>
      </c>
      <c r="HF108" t="s">
        <v>38</v>
      </c>
      <c r="HM108" t="s">
        <v>3</v>
      </c>
      <c r="HN108" t="s">
        <v>3</v>
      </c>
      <c r="HO108" t="s">
        <v>3</v>
      </c>
      <c r="HP108" t="s">
        <v>3</v>
      </c>
      <c r="HQ108" t="s">
        <v>3</v>
      </c>
      <c r="HS108">
        <v>0</v>
      </c>
      <c r="IK108">
        <v>0</v>
      </c>
    </row>
    <row r="109" spans="1:255" x14ac:dyDescent="0.2">
      <c r="A109" s="2">
        <v>17</v>
      </c>
      <c r="B109" s="2">
        <v>1</v>
      </c>
      <c r="C109" s="2"/>
      <c r="D109" s="2"/>
      <c r="E109" s="2" t="s">
        <v>185</v>
      </c>
      <c r="F109" s="2" t="s">
        <v>186</v>
      </c>
      <c r="G109" s="2" t="s">
        <v>187</v>
      </c>
      <c r="H109" s="2" t="s">
        <v>164</v>
      </c>
      <c r="I109" s="2">
        <f>ROUND((50*1.02)/1000,9)</f>
        <v>5.0999999999999997E-2</v>
      </c>
      <c r="J109" s="2">
        <v>0</v>
      </c>
      <c r="K109" s="2">
        <f>ROUND((50*1.02)/1000,9)</f>
        <v>5.0999999999999997E-2</v>
      </c>
      <c r="L109" s="2"/>
      <c r="M109" s="2"/>
      <c r="N109" s="2"/>
      <c r="O109" s="2">
        <f t="shared" si="60"/>
        <v>1470.14</v>
      </c>
      <c r="P109" s="2">
        <f t="shared" si="61"/>
        <v>1470.14</v>
      </c>
      <c r="Q109" s="2">
        <f t="shared" si="90"/>
        <v>0</v>
      </c>
      <c r="R109" s="2">
        <f t="shared" si="91"/>
        <v>0</v>
      </c>
      <c r="S109" s="2">
        <f t="shared" si="62"/>
        <v>0</v>
      </c>
      <c r="T109" s="2">
        <f t="shared" si="63"/>
        <v>0</v>
      </c>
      <c r="U109" s="2">
        <f t="shared" si="64"/>
        <v>0</v>
      </c>
      <c r="V109" s="2">
        <f t="shared" si="65"/>
        <v>0</v>
      </c>
      <c r="W109" s="2">
        <f t="shared" si="66"/>
        <v>0</v>
      </c>
      <c r="X109" s="2">
        <f t="shared" si="92"/>
        <v>0</v>
      </c>
      <c r="Y109" s="2">
        <f t="shared" si="93"/>
        <v>0</v>
      </c>
      <c r="Z109" s="2"/>
      <c r="AA109" s="2">
        <v>60256985</v>
      </c>
      <c r="AB109" s="2">
        <f t="shared" si="67"/>
        <v>28826.35</v>
      </c>
      <c r="AC109" s="2">
        <f t="shared" si="68"/>
        <v>28826.35</v>
      </c>
      <c r="AD109" s="2">
        <f t="shared" si="94"/>
        <v>0</v>
      </c>
      <c r="AE109" s="2">
        <f t="shared" si="95"/>
        <v>0</v>
      </c>
      <c r="AF109" s="2">
        <f t="shared" si="96"/>
        <v>0</v>
      </c>
      <c r="AG109" s="2">
        <f t="shared" si="69"/>
        <v>0</v>
      </c>
      <c r="AH109" s="2">
        <f t="shared" si="97"/>
        <v>0</v>
      </c>
      <c r="AI109" s="2">
        <f t="shared" si="98"/>
        <v>0</v>
      </c>
      <c r="AJ109" s="2">
        <f t="shared" si="70"/>
        <v>0</v>
      </c>
      <c r="AK109" s="2">
        <v>28826.350000000002</v>
      </c>
      <c r="AL109" s="2">
        <v>28826.350000000002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1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3</v>
      </c>
      <c r="BI109" s="2">
        <v>2</v>
      </c>
      <c r="BJ109" s="2" t="s">
        <v>3</v>
      </c>
      <c r="BK109" s="2"/>
      <c r="BL109" s="2"/>
      <c r="BM109" s="2">
        <v>400002</v>
      </c>
      <c r="BN109" s="2">
        <v>0</v>
      </c>
      <c r="BO109" s="2" t="s">
        <v>3</v>
      </c>
      <c r="BP109" s="2">
        <v>0</v>
      </c>
      <c r="BQ109" s="2">
        <v>202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0</v>
      </c>
      <c r="CA109" s="2">
        <v>0</v>
      </c>
      <c r="CB109" s="2" t="s">
        <v>3</v>
      </c>
      <c r="CC109" s="2"/>
      <c r="CD109" s="2"/>
      <c r="CE109" s="2">
        <v>1566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3</v>
      </c>
      <c r="CO109" s="2">
        <v>0</v>
      </c>
      <c r="CP109" s="2">
        <f t="shared" si="71"/>
        <v>1470.14</v>
      </c>
      <c r="CQ109" s="2">
        <f t="shared" si="72"/>
        <v>28826.35</v>
      </c>
      <c r="CR109" s="2">
        <f t="shared" si="99"/>
        <v>0</v>
      </c>
      <c r="CS109" s="2">
        <f t="shared" si="100"/>
        <v>0</v>
      </c>
      <c r="CT109" s="2">
        <f t="shared" si="73"/>
        <v>0</v>
      </c>
      <c r="CU109" s="2">
        <f t="shared" si="74"/>
        <v>0</v>
      </c>
      <c r="CV109" s="2">
        <f t="shared" si="75"/>
        <v>0</v>
      </c>
      <c r="CW109" s="2">
        <f t="shared" si="76"/>
        <v>0</v>
      </c>
      <c r="CX109" s="2">
        <f t="shared" si="77"/>
        <v>0</v>
      </c>
      <c r="CY109" s="2">
        <f t="shared" si="101"/>
        <v>0</v>
      </c>
      <c r="CZ109" s="2">
        <f t="shared" si="102"/>
        <v>0</v>
      </c>
      <c r="DA109" s="2"/>
      <c r="DB109" s="2"/>
      <c r="DC109" s="2" t="s">
        <v>3</v>
      </c>
      <c r="DD109" s="2" t="s">
        <v>3</v>
      </c>
      <c r="DE109" s="2" t="s">
        <v>3</v>
      </c>
      <c r="DF109" s="2" t="s">
        <v>3</v>
      </c>
      <c r="DG109" s="2" t="s">
        <v>3</v>
      </c>
      <c r="DH109" s="2" t="s">
        <v>3</v>
      </c>
      <c r="DI109" s="2" t="s">
        <v>3</v>
      </c>
      <c r="DJ109" s="2" t="s">
        <v>3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1003</v>
      </c>
      <c r="DV109" s="2" t="s">
        <v>164</v>
      </c>
      <c r="DW109" s="2" t="s">
        <v>164</v>
      </c>
      <c r="DX109" s="2">
        <v>1000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60088644</v>
      </c>
      <c r="EF109" s="2">
        <v>202</v>
      </c>
      <c r="EG109" s="2" t="s">
        <v>165</v>
      </c>
      <c r="EH109" s="2">
        <v>0</v>
      </c>
      <c r="EI109" s="2" t="s">
        <v>3</v>
      </c>
      <c r="EJ109" s="2">
        <v>1</v>
      </c>
      <c r="EK109" s="2">
        <v>400002</v>
      </c>
      <c r="EL109" s="2" t="s">
        <v>166</v>
      </c>
      <c r="EM109" s="2" t="s">
        <v>165</v>
      </c>
      <c r="EN109" s="2"/>
      <c r="EO109" s="2" t="s">
        <v>3</v>
      </c>
      <c r="EP109" s="2"/>
      <c r="EQ109" s="2">
        <v>0</v>
      </c>
      <c r="ER109" s="2">
        <v>0</v>
      </c>
      <c r="ES109" s="2">
        <v>28826.350000000002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0</v>
      </c>
      <c r="FY109" s="2">
        <v>0</v>
      </c>
      <c r="FZ109" s="2"/>
      <c r="GA109" s="2" t="s">
        <v>188</v>
      </c>
      <c r="GB109" s="2"/>
      <c r="GC109" s="2"/>
      <c r="GD109" s="2">
        <v>1</v>
      </c>
      <c r="GE109" s="2"/>
      <c r="GF109" s="2">
        <v>1555231569</v>
      </c>
      <c r="GG109" s="2">
        <v>2</v>
      </c>
      <c r="GH109" s="2">
        <v>4</v>
      </c>
      <c r="GI109" s="2">
        <v>-2</v>
      </c>
      <c r="GJ109" s="2">
        <v>0</v>
      </c>
      <c r="GK109" s="2">
        <v>0</v>
      </c>
      <c r="GL109" s="2">
        <f t="shared" si="78"/>
        <v>0</v>
      </c>
      <c r="GM109" s="2">
        <f t="shared" si="79"/>
        <v>1470.14</v>
      </c>
      <c r="GN109" s="2">
        <f t="shared" si="80"/>
        <v>0</v>
      </c>
      <c r="GO109" s="2">
        <f t="shared" si="81"/>
        <v>1470.14</v>
      </c>
      <c r="GP109" s="2">
        <f t="shared" si="82"/>
        <v>0</v>
      </c>
      <c r="GQ109" s="2"/>
      <c r="GR109" s="2">
        <v>0</v>
      </c>
      <c r="GS109" s="2">
        <v>2</v>
      </c>
      <c r="GT109" s="2">
        <v>0</v>
      </c>
      <c r="GU109" s="2" t="s">
        <v>3</v>
      </c>
      <c r="GV109" s="2">
        <f t="shared" si="83"/>
        <v>0</v>
      </c>
      <c r="GW109" s="2">
        <v>1</v>
      </c>
      <c r="GX109" s="2">
        <f t="shared" si="84"/>
        <v>0</v>
      </c>
      <c r="GY109" s="2"/>
      <c r="GZ109" s="2"/>
      <c r="HA109" s="2">
        <v>0</v>
      </c>
      <c r="HB109" s="2">
        <v>0</v>
      </c>
      <c r="HC109" s="2">
        <f t="shared" si="85"/>
        <v>0</v>
      </c>
      <c r="HD109" s="2"/>
      <c r="HE109" s="2" t="s">
        <v>168</v>
      </c>
      <c r="HF109" s="2" t="s">
        <v>38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">
      <c r="A110">
        <v>17</v>
      </c>
      <c r="B110">
        <v>1</v>
      </c>
      <c r="E110" t="s">
        <v>185</v>
      </c>
      <c r="F110" t="s">
        <v>186</v>
      </c>
      <c r="G110" t="s">
        <v>187</v>
      </c>
      <c r="H110" t="s">
        <v>164</v>
      </c>
      <c r="I110">
        <f>ROUND((50*1.02)/1000,9)</f>
        <v>5.0999999999999997E-2</v>
      </c>
      <c r="J110">
        <v>0</v>
      </c>
      <c r="K110">
        <f>ROUND((50*1.02)/1000,9)</f>
        <v>5.0999999999999997E-2</v>
      </c>
      <c r="O110">
        <f t="shared" si="60"/>
        <v>14524.98</v>
      </c>
      <c r="P110">
        <f t="shared" si="61"/>
        <v>14524.98</v>
      </c>
      <c r="Q110">
        <f t="shared" si="90"/>
        <v>0</v>
      </c>
      <c r="R110">
        <f t="shared" si="91"/>
        <v>0</v>
      </c>
      <c r="S110">
        <f t="shared" si="62"/>
        <v>0</v>
      </c>
      <c r="T110">
        <f t="shared" si="63"/>
        <v>0</v>
      </c>
      <c r="U110">
        <f t="shared" si="64"/>
        <v>0</v>
      </c>
      <c r="V110">
        <f t="shared" si="65"/>
        <v>0</v>
      </c>
      <c r="W110">
        <f t="shared" si="66"/>
        <v>0</v>
      </c>
      <c r="X110">
        <f t="shared" si="92"/>
        <v>0</v>
      </c>
      <c r="Y110">
        <f t="shared" si="93"/>
        <v>0</v>
      </c>
      <c r="AA110">
        <v>60256982</v>
      </c>
      <c r="AB110">
        <f t="shared" si="67"/>
        <v>28826.35</v>
      </c>
      <c r="AC110">
        <f t="shared" si="68"/>
        <v>28826.35</v>
      </c>
      <c r="AD110">
        <f t="shared" si="94"/>
        <v>0</v>
      </c>
      <c r="AE110">
        <f t="shared" si="95"/>
        <v>0</v>
      </c>
      <c r="AF110">
        <f t="shared" si="96"/>
        <v>0</v>
      </c>
      <c r="AG110">
        <f t="shared" si="69"/>
        <v>0</v>
      </c>
      <c r="AH110">
        <f t="shared" si="97"/>
        <v>0</v>
      </c>
      <c r="AI110">
        <f t="shared" si="98"/>
        <v>0</v>
      </c>
      <c r="AJ110">
        <f t="shared" si="70"/>
        <v>0</v>
      </c>
      <c r="AK110">
        <v>28826.350000000002</v>
      </c>
      <c r="AL110">
        <v>28826.350000000002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1</v>
      </c>
      <c r="AZ110">
        <v>1</v>
      </c>
      <c r="BA110">
        <v>1</v>
      </c>
      <c r="BB110">
        <v>1</v>
      </c>
      <c r="BC110">
        <v>9.8800000000000008</v>
      </c>
      <c r="BD110" t="s">
        <v>3</v>
      </c>
      <c r="BE110" t="s">
        <v>3</v>
      </c>
      <c r="BF110" t="s">
        <v>3</v>
      </c>
      <c r="BG110" t="s">
        <v>3</v>
      </c>
      <c r="BH110">
        <v>3</v>
      </c>
      <c r="BI110">
        <v>2</v>
      </c>
      <c r="BJ110" t="s">
        <v>3</v>
      </c>
      <c r="BM110">
        <v>400002</v>
      </c>
      <c r="BN110">
        <v>0</v>
      </c>
      <c r="BO110" t="s">
        <v>3</v>
      </c>
      <c r="BP110">
        <v>0</v>
      </c>
      <c r="BQ110">
        <v>202</v>
      </c>
      <c r="BR110">
        <v>0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 t="s">
        <v>3</v>
      </c>
      <c r="BZ110">
        <v>0</v>
      </c>
      <c r="CA110">
        <v>0</v>
      </c>
      <c r="CB110" t="s">
        <v>3</v>
      </c>
      <c r="CE110">
        <v>1566</v>
      </c>
      <c r="CF110">
        <v>0</v>
      </c>
      <c r="CG110">
        <v>0</v>
      </c>
      <c r="CM110">
        <v>0</v>
      </c>
      <c r="CN110" t="s">
        <v>3</v>
      </c>
      <c r="CO110">
        <v>0</v>
      </c>
      <c r="CP110">
        <f t="shared" si="71"/>
        <v>14524.98</v>
      </c>
      <c r="CQ110">
        <f t="shared" si="72"/>
        <v>284804.34000000003</v>
      </c>
      <c r="CR110">
        <f t="shared" si="99"/>
        <v>0</v>
      </c>
      <c r="CS110">
        <f t="shared" si="100"/>
        <v>0</v>
      </c>
      <c r="CT110">
        <f t="shared" si="73"/>
        <v>0</v>
      </c>
      <c r="CU110">
        <f t="shared" si="74"/>
        <v>0</v>
      </c>
      <c r="CV110">
        <f t="shared" si="75"/>
        <v>0</v>
      </c>
      <c r="CW110">
        <f t="shared" si="76"/>
        <v>0</v>
      </c>
      <c r="CX110">
        <f t="shared" si="77"/>
        <v>0</v>
      </c>
      <c r="CY110">
        <f t="shared" si="101"/>
        <v>0</v>
      </c>
      <c r="CZ110">
        <f t="shared" si="102"/>
        <v>0</v>
      </c>
      <c r="DC110" t="s">
        <v>3</v>
      </c>
      <c r="DD110" t="s">
        <v>3</v>
      </c>
      <c r="DE110" t="s">
        <v>3</v>
      </c>
      <c r="DF110" t="s">
        <v>3</v>
      </c>
      <c r="DG110" t="s">
        <v>3</v>
      </c>
      <c r="DH110" t="s">
        <v>3</v>
      </c>
      <c r="DI110" t="s">
        <v>3</v>
      </c>
      <c r="DJ110" t="s">
        <v>3</v>
      </c>
      <c r="DK110" t="s">
        <v>3</v>
      </c>
      <c r="DL110" t="s">
        <v>3</v>
      </c>
      <c r="DM110" t="s">
        <v>3</v>
      </c>
      <c r="DN110">
        <v>0</v>
      </c>
      <c r="DO110">
        <v>0</v>
      </c>
      <c r="DP110">
        <v>1</v>
      </c>
      <c r="DQ110">
        <v>1</v>
      </c>
      <c r="DU110">
        <v>1003</v>
      </c>
      <c r="DV110" t="s">
        <v>164</v>
      </c>
      <c r="DW110" t="s">
        <v>164</v>
      </c>
      <c r="DX110">
        <v>1000</v>
      </c>
      <c r="DZ110" t="s">
        <v>3</v>
      </c>
      <c r="EA110" t="s">
        <v>3</v>
      </c>
      <c r="EB110" t="s">
        <v>3</v>
      </c>
      <c r="EC110" t="s">
        <v>3</v>
      </c>
      <c r="EE110">
        <v>60088644</v>
      </c>
      <c r="EF110">
        <v>202</v>
      </c>
      <c r="EG110" t="s">
        <v>165</v>
      </c>
      <c r="EH110">
        <v>0</v>
      </c>
      <c r="EI110" t="s">
        <v>3</v>
      </c>
      <c r="EJ110">
        <v>1</v>
      </c>
      <c r="EK110">
        <v>400002</v>
      </c>
      <c r="EL110" t="s">
        <v>166</v>
      </c>
      <c r="EM110" t="s">
        <v>165</v>
      </c>
      <c r="EO110" t="s">
        <v>3</v>
      </c>
      <c r="EQ110">
        <v>0</v>
      </c>
      <c r="ER110">
        <v>0</v>
      </c>
      <c r="ES110">
        <v>28826.350000000002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5</v>
      </c>
      <c r="FC110">
        <v>1</v>
      </c>
      <c r="FD110">
        <v>18</v>
      </c>
      <c r="FF110">
        <v>335064</v>
      </c>
      <c r="FQ110">
        <v>0</v>
      </c>
      <c r="FR110">
        <v>0</v>
      </c>
      <c r="FS110">
        <v>0</v>
      </c>
      <c r="FX110">
        <v>0</v>
      </c>
      <c r="FY110">
        <v>0</v>
      </c>
      <c r="GA110" t="s">
        <v>188</v>
      </c>
      <c r="GD110">
        <v>1</v>
      </c>
      <c r="GF110">
        <v>1555231569</v>
      </c>
      <c r="GG110">
        <v>2</v>
      </c>
      <c r="GH110">
        <v>3</v>
      </c>
      <c r="GI110">
        <v>5</v>
      </c>
      <c r="GJ110">
        <v>0</v>
      </c>
      <c r="GK110">
        <v>0</v>
      </c>
      <c r="GL110">
        <f t="shared" si="78"/>
        <v>0</v>
      </c>
      <c r="GM110">
        <f t="shared" si="79"/>
        <v>14524.98</v>
      </c>
      <c r="GN110">
        <f t="shared" si="80"/>
        <v>0</v>
      </c>
      <c r="GO110">
        <f t="shared" si="81"/>
        <v>14524.98</v>
      </c>
      <c r="GP110">
        <f t="shared" si="82"/>
        <v>0</v>
      </c>
      <c r="GR110">
        <v>1</v>
      </c>
      <c r="GS110">
        <v>1</v>
      </c>
      <c r="GT110">
        <v>0</v>
      </c>
      <c r="GU110" t="s">
        <v>3</v>
      </c>
      <c r="GV110">
        <f t="shared" si="83"/>
        <v>0</v>
      </c>
      <c r="GW110">
        <v>1</v>
      </c>
      <c r="GX110">
        <f t="shared" si="84"/>
        <v>0</v>
      </c>
      <c r="HA110">
        <v>0</v>
      </c>
      <c r="HB110">
        <v>0</v>
      </c>
      <c r="HC110">
        <f t="shared" si="85"/>
        <v>0</v>
      </c>
      <c r="HE110" t="s">
        <v>168</v>
      </c>
      <c r="HF110" t="s">
        <v>38</v>
      </c>
      <c r="HM110" t="s">
        <v>3</v>
      </c>
      <c r="HN110" t="s">
        <v>3</v>
      </c>
      <c r="HO110" t="s">
        <v>3</v>
      </c>
      <c r="HP110" t="s">
        <v>3</v>
      </c>
      <c r="HQ110" t="s">
        <v>3</v>
      </c>
      <c r="HS110">
        <v>0</v>
      </c>
      <c r="IK110">
        <v>0</v>
      </c>
    </row>
    <row r="111" spans="1:255" x14ac:dyDescent="0.2">
      <c r="A111" s="2">
        <v>17</v>
      </c>
      <c r="B111" s="2">
        <v>1</v>
      </c>
      <c r="C111" s="2"/>
      <c r="D111" s="2"/>
      <c r="E111" s="2" t="s">
        <v>189</v>
      </c>
      <c r="F111" s="2" t="s">
        <v>190</v>
      </c>
      <c r="G111" s="2" t="s">
        <v>191</v>
      </c>
      <c r="H111" s="2" t="s">
        <v>164</v>
      </c>
      <c r="I111" s="2">
        <f>ROUND((20*1.02)/1000,9)</f>
        <v>2.0400000000000001E-2</v>
      </c>
      <c r="J111" s="2">
        <v>0</v>
      </c>
      <c r="K111" s="2">
        <f>ROUND((20*1.02)/1000,9)</f>
        <v>2.0400000000000001E-2</v>
      </c>
      <c r="L111" s="2"/>
      <c r="M111" s="2"/>
      <c r="N111" s="2"/>
      <c r="O111" s="2">
        <f t="shared" si="60"/>
        <v>388.78</v>
      </c>
      <c r="P111" s="2">
        <f t="shared" si="61"/>
        <v>388.78</v>
      </c>
      <c r="Q111" s="2">
        <f t="shared" si="90"/>
        <v>0</v>
      </c>
      <c r="R111" s="2">
        <f t="shared" si="91"/>
        <v>0</v>
      </c>
      <c r="S111" s="2">
        <f t="shared" si="62"/>
        <v>0</v>
      </c>
      <c r="T111" s="2">
        <f t="shared" si="63"/>
        <v>0</v>
      </c>
      <c r="U111" s="2">
        <f t="shared" si="64"/>
        <v>0</v>
      </c>
      <c r="V111" s="2">
        <f t="shared" si="65"/>
        <v>0</v>
      </c>
      <c r="W111" s="2">
        <f t="shared" si="66"/>
        <v>0</v>
      </c>
      <c r="X111" s="2">
        <f t="shared" si="92"/>
        <v>0</v>
      </c>
      <c r="Y111" s="2">
        <f t="shared" si="93"/>
        <v>0</v>
      </c>
      <c r="Z111" s="2"/>
      <c r="AA111" s="2">
        <v>60256985</v>
      </c>
      <c r="AB111" s="2">
        <f t="shared" si="67"/>
        <v>19057.89</v>
      </c>
      <c r="AC111" s="2">
        <f t="shared" si="68"/>
        <v>19057.89</v>
      </c>
      <c r="AD111" s="2">
        <f t="shared" si="94"/>
        <v>0</v>
      </c>
      <c r="AE111" s="2">
        <f t="shared" si="95"/>
        <v>0</v>
      </c>
      <c r="AF111" s="2">
        <f t="shared" si="96"/>
        <v>0</v>
      </c>
      <c r="AG111" s="2">
        <f t="shared" si="69"/>
        <v>0</v>
      </c>
      <c r="AH111" s="2">
        <f t="shared" si="97"/>
        <v>0</v>
      </c>
      <c r="AI111" s="2">
        <f t="shared" si="98"/>
        <v>0</v>
      </c>
      <c r="AJ111" s="2">
        <f t="shared" si="70"/>
        <v>0</v>
      </c>
      <c r="AK111" s="2">
        <v>19057.89</v>
      </c>
      <c r="AL111" s="2">
        <v>19057.89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1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3</v>
      </c>
      <c r="BI111" s="2">
        <v>2</v>
      </c>
      <c r="BJ111" s="2" t="s">
        <v>3</v>
      </c>
      <c r="BK111" s="2"/>
      <c r="BL111" s="2"/>
      <c r="BM111" s="2">
        <v>400002</v>
      </c>
      <c r="BN111" s="2">
        <v>0</v>
      </c>
      <c r="BO111" s="2" t="s">
        <v>3</v>
      </c>
      <c r="BP111" s="2">
        <v>0</v>
      </c>
      <c r="BQ111" s="2">
        <v>202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0</v>
      </c>
      <c r="CA111" s="2">
        <v>0</v>
      </c>
      <c r="CB111" s="2" t="s">
        <v>3</v>
      </c>
      <c r="CC111" s="2"/>
      <c r="CD111" s="2"/>
      <c r="CE111" s="2">
        <v>1566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3</v>
      </c>
      <c r="CO111" s="2">
        <v>0</v>
      </c>
      <c r="CP111" s="2">
        <f t="shared" si="71"/>
        <v>388.78</v>
      </c>
      <c r="CQ111" s="2">
        <f t="shared" si="72"/>
        <v>19057.89</v>
      </c>
      <c r="CR111" s="2">
        <f t="shared" si="99"/>
        <v>0</v>
      </c>
      <c r="CS111" s="2">
        <f t="shared" si="100"/>
        <v>0</v>
      </c>
      <c r="CT111" s="2">
        <f t="shared" si="73"/>
        <v>0</v>
      </c>
      <c r="CU111" s="2">
        <f t="shared" si="74"/>
        <v>0</v>
      </c>
      <c r="CV111" s="2">
        <f t="shared" si="75"/>
        <v>0</v>
      </c>
      <c r="CW111" s="2">
        <f t="shared" si="76"/>
        <v>0</v>
      </c>
      <c r="CX111" s="2">
        <f t="shared" si="77"/>
        <v>0</v>
      </c>
      <c r="CY111" s="2">
        <f t="shared" si="101"/>
        <v>0</v>
      </c>
      <c r="CZ111" s="2">
        <f t="shared" si="102"/>
        <v>0</v>
      </c>
      <c r="DA111" s="2"/>
      <c r="DB111" s="2"/>
      <c r="DC111" s="2" t="s">
        <v>3</v>
      </c>
      <c r="DD111" s="2" t="s">
        <v>3</v>
      </c>
      <c r="DE111" s="2" t="s">
        <v>3</v>
      </c>
      <c r="DF111" s="2" t="s">
        <v>3</v>
      </c>
      <c r="DG111" s="2" t="s">
        <v>3</v>
      </c>
      <c r="DH111" s="2" t="s">
        <v>3</v>
      </c>
      <c r="DI111" s="2" t="s">
        <v>3</v>
      </c>
      <c r="DJ111" s="2" t="s">
        <v>3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1003</v>
      </c>
      <c r="DV111" s="2" t="s">
        <v>164</v>
      </c>
      <c r="DW111" s="2" t="s">
        <v>164</v>
      </c>
      <c r="DX111" s="2">
        <v>1000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60088644</v>
      </c>
      <c r="EF111" s="2">
        <v>202</v>
      </c>
      <c r="EG111" s="2" t="s">
        <v>165</v>
      </c>
      <c r="EH111" s="2">
        <v>0</v>
      </c>
      <c r="EI111" s="2" t="s">
        <v>3</v>
      </c>
      <c r="EJ111" s="2">
        <v>1</v>
      </c>
      <c r="EK111" s="2">
        <v>400002</v>
      </c>
      <c r="EL111" s="2" t="s">
        <v>166</v>
      </c>
      <c r="EM111" s="2" t="s">
        <v>165</v>
      </c>
      <c r="EN111" s="2"/>
      <c r="EO111" s="2" t="s">
        <v>3</v>
      </c>
      <c r="EP111" s="2"/>
      <c r="EQ111" s="2">
        <v>0</v>
      </c>
      <c r="ER111" s="2">
        <v>0</v>
      </c>
      <c r="ES111" s="2">
        <v>19057.89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v>0</v>
      </c>
      <c r="FS111" s="2">
        <v>0</v>
      </c>
      <c r="FT111" s="2"/>
      <c r="FU111" s="2"/>
      <c r="FV111" s="2"/>
      <c r="FW111" s="2"/>
      <c r="FX111" s="2">
        <v>0</v>
      </c>
      <c r="FY111" s="2">
        <v>0</v>
      </c>
      <c r="FZ111" s="2"/>
      <c r="GA111" s="2" t="s">
        <v>192</v>
      </c>
      <c r="GB111" s="2"/>
      <c r="GC111" s="2"/>
      <c r="GD111" s="2">
        <v>1</v>
      </c>
      <c r="GE111" s="2"/>
      <c r="GF111" s="2">
        <v>2044772385</v>
      </c>
      <c r="GG111" s="2">
        <v>2</v>
      </c>
      <c r="GH111" s="2">
        <v>4</v>
      </c>
      <c r="GI111" s="2">
        <v>-2</v>
      </c>
      <c r="GJ111" s="2">
        <v>0</v>
      </c>
      <c r="GK111" s="2">
        <v>0</v>
      </c>
      <c r="GL111" s="2">
        <f t="shared" si="78"/>
        <v>0</v>
      </c>
      <c r="GM111" s="2">
        <f t="shared" si="79"/>
        <v>388.78</v>
      </c>
      <c r="GN111" s="2">
        <f t="shared" si="80"/>
        <v>0</v>
      </c>
      <c r="GO111" s="2">
        <f t="shared" si="81"/>
        <v>388.78</v>
      </c>
      <c r="GP111" s="2">
        <f t="shared" si="82"/>
        <v>0</v>
      </c>
      <c r="GQ111" s="2"/>
      <c r="GR111" s="2">
        <v>0</v>
      </c>
      <c r="GS111" s="2">
        <v>2</v>
      </c>
      <c r="GT111" s="2">
        <v>0</v>
      </c>
      <c r="GU111" s="2" t="s">
        <v>3</v>
      </c>
      <c r="GV111" s="2">
        <f t="shared" si="83"/>
        <v>0</v>
      </c>
      <c r="GW111" s="2">
        <v>1</v>
      </c>
      <c r="GX111" s="2">
        <f t="shared" si="84"/>
        <v>0</v>
      </c>
      <c r="GY111" s="2"/>
      <c r="GZ111" s="2"/>
      <c r="HA111" s="2">
        <v>0</v>
      </c>
      <c r="HB111" s="2">
        <v>0</v>
      </c>
      <c r="HC111" s="2">
        <f t="shared" si="85"/>
        <v>0</v>
      </c>
      <c r="HD111" s="2"/>
      <c r="HE111" s="2" t="s">
        <v>168</v>
      </c>
      <c r="HF111" s="2" t="s">
        <v>38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">
      <c r="A112">
        <v>17</v>
      </c>
      <c r="B112">
        <v>1</v>
      </c>
      <c r="E112" t="s">
        <v>189</v>
      </c>
      <c r="F112" t="s">
        <v>190</v>
      </c>
      <c r="G112" t="s">
        <v>191</v>
      </c>
      <c r="H112" t="s">
        <v>164</v>
      </c>
      <c r="I112">
        <f>ROUND((20*1.02)/1000,9)</f>
        <v>2.0400000000000001E-2</v>
      </c>
      <c r="J112">
        <v>0</v>
      </c>
      <c r="K112">
        <f>ROUND((20*1.02)/1000,9)</f>
        <v>2.0400000000000001E-2</v>
      </c>
      <c r="O112">
        <f t="shared" si="60"/>
        <v>3841.15</v>
      </c>
      <c r="P112">
        <f t="shared" si="61"/>
        <v>3841.15</v>
      </c>
      <c r="Q112">
        <f t="shared" si="90"/>
        <v>0</v>
      </c>
      <c r="R112">
        <f t="shared" si="91"/>
        <v>0</v>
      </c>
      <c r="S112">
        <f t="shared" si="62"/>
        <v>0</v>
      </c>
      <c r="T112">
        <f t="shared" si="63"/>
        <v>0</v>
      </c>
      <c r="U112">
        <f t="shared" si="64"/>
        <v>0</v>
      </c>
      <c r="V112">
        <f t="shared" si="65"/>
        <v>0</v>
      </c>
      <c r="W112">
        <f t="shared" si="66"/>
        <v>0</v>
      </c>
      <c r="X112">
        <f t="shared" si="92"/>
        <v>0</v>
      </c>
      <c r="Y112">
        <f t="shared" si="93"/>
        <v>0</v>
      </c>
      <c r="AA112">
        <v>60256982</v>
      </c>
      <c r="AB112">
        <f t="shared" si="67"/>
        <v>19057.89</v>
      </c>
      <c r="AC112">
        <f t="shared" si="68"/>
        <v>19057.89</v>
      </c>
      <c r="AD112">
        <f t="shared" si="94"/>
        <v>0</v>
      </c>
      <c r="AE112">
        <f t="shared" si="95"/>
        <v>0</v>
      </c>
      <c r="AF112">
        <f t="shared" si="96"/>
        <v>0</v>
      </c>
      <c r="AG112">
        <f t="shared" si="69"/>
        <v>0</v>
      </c>
      <c r="AH112">
        <f t="shared" si="97"/>
        <v>0</v>
      </c>
      <c r="AI112">
        <f t="shared" si="98"/>
        <v>0</v>
      </c>
      <c r="AJ112">
        <f t="shared" si="70"/>
        <v>0</v>
      </c>
      <c r="AK112">
        <v>19057.89</v>
      </c>
      <c r="AL112">
        <v>19057.89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1</v>
      </c>
      <c r="AZ112">
        <v>1</v>
      </c>
      <c r="BA112">
        <v>1</v>
      </c>
      <c r="BB112">
        <v>1</v>
      </c>
      <c r="BC112">
        <v>9.8800000000000008</v>
      </c>
      <c r="BD112" t="s">
        <v>3</v>
      </c>
      <c r="BE112" t="s">
        <v>3</v>
      </c>
      <c r="BF112" t="s">
        <v>3</v>
      </c>
      <c r="BG112" t="s">
        <v>3</v>
      </c>
      <c r="BH112">
        <v>3</v>
      </c>
      <c r="BI112">
        <v>2</v>
      </c>
      <c r="BJ112" t="s">
        <v>3</v>
      </c>
      <c r="BM112">
        <v>400002</v>
      </c>
      <c r="BN112">
        <v>0</v>
      </c>
      <c r="BO112" t="s">
        <v>3</v>
      </c>
      <c r="BP112">
        <v>0</v>
      </c>
      <c r="BQ112">
        <v>202</v>
      </c>
      <c r="BR112">
        <v>0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 t="s">
        <v>3</v>
      </c>
      <c r="BZ112">
        <v>0</v>
      </c>
      <c r="CA112">
        <v>0</v>
      </c>
      <c r="CB112" t="s">
        <v>3</v>
      </c>
      <c r="CE112">
        <v>1566</v>
      </c>
      <c r="CF112">
        <v>0</v>
      </c>
      <c r="CG112">
        <v>0</v>
      </c>
      <c r="CM112">
        <v>0</v>
      </c>
      <c r="CN112" t="s">
        <v>3</v>
      </c>
      <c r="CO112">
        <v>0</v>
      </c>
      <c r="CP112">
        <f t="shared" si="71"/>
        <v>3841.15</v>
      </c>
      <c r="CQ112">
        <f t="shared" si="72"/>
        <v>188291.95</v>
      </c>
      <c r="CR112">
        <f t="shared" si="99"/>
        <v>0</v>
      </c>
      <c r="CS112">
        <f t="shared" si="100"/>
        <v>0</v>
      </c>
      <c r="CT112">
        <f t="shared" si="73"/>
        <v>0</v>
      </c>
      <c r="CU112">
        <f t="shared" si="74"/>
        <v>0</v>
      </c>
      <c r="CV112">
        <f t="shared" si="75"/>
        <v>0</v>
      </c>
      <c r="CW112">
        <f t="shared" si="76"/>
        <v>0</v>
      </c>
      <c r="CX112">
        <f t="shared" si="77"/>
        <v>0</v>
      </c>
      <c r="CY112">
        <f t="shared" si="101"/>
        <v>0</v>
      </c>
      <c r="CZ112">
        <f t="shared" si="102"/>
        <v>0</v>
      </c>
      <c r="DC112" t="s">
        <v>3</v>
      </c>
      <c r="DD112" t="s">
        <v>3</v>
      </c>
      <c r="DE112" t="s">
        <v>3</v>
      </c>
      <c r="DF112" t="s">
        <v>3</v>
      </c>
      <c r="DG112" t="s">
        <v>3</v>
      </c>
      <c r="DH112" t="s">
        <v>3</v>
      </c>
      <c r="DI112" t="s">
        <v>3</v>
      </c>
      <c r="DJ112" t="s">
        <v>3</v>
      </c>
      <c r="DK112" t="s">
        <v>3</v>
      </c>
      <c r="DL112" t="s">
        <v>3</v>
      </c>
      <c r="DM112" t="s">
        <v>3</v>
      </c>
      <c r="DN112">
        <v>0</v>
      </c>
      <c r="DO112">
        <v>0</v>
      </c>
      <c r="DP112">
        <v>1</v>
      </c>
      <c r="DQ112">
        <v>1</v>
      </c>
      <c r="DU112">
        <v>1003</v>
      </c>
      <c r="DV112" t="s">
        <v>164</v>
      </c>
      <c r="DW112" t="s">
        <v>164</v>
      </c>
      <c r="DX112">
        <v>1000</v>
      </c>
      <c r="DZ112" t="s">
        <v>3</v>
      </c>
      <c r="EA112" t="s">
        <v>3</v>
      </c>
      <c r="EB112" t="s">
        <v>3</v>
      </c>
      <c r="EC112" t="s">
        <v>3</v>
      </c>
      <c r="EE112">
        <v>60088644</v>
      </c>
      <c r="EF112">
        <v>202</v>
      </c>
      <c r="EG112" t="s">
        <v>165</v>
      </c>
      <c r="EH112">
        <v>0</v>
      </c>
      <c r="EI112" t="s">
        <v>3</v>
      </c>
      <c r="EJ112">
        <v>1</v>
      </c>
      <c r="EK112">
        <v>400002</v>
      </c>
      <c r="EL112" t="s">
        <v>166</v>
      </c>
      <c r="EM112" t="s">
        <v>165</v>
      </c>
      <c r="EO112" t="s">
        <v>3</v>
      </c>
      <c r="EQ112">
        <v>0</v>
      </c>
      <c r="ER112">
        <v>0</v>
      </c>
      <c r="ES112">
        <v>19057.89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5</v>
      </c>
      <c r="FC112">
        <v>1</v>
      </c>
      <c r="FD112">
        <v>18</v>
      </c>
      <c r="FF112">
        <v>221520</v>
      </c>
      <c r="FQ112">
        <v>0</v>
      </c>
      <c r="FR112">
        <v>0</v>
      </c>
      <c r="FS112">
        <v>0</v>
      </c>
      <c r="FX112">
        <v>0</v>
      </c>
      <c r="FY112">
        <v>0</v>
      </c>
      <c r="GA112" t="s">
        <v>192</v>
      </c>
      <c r="GD112">
        <v>1</v>
      </c>
      <c r="GF112">
        <v>2044772385</v>
      </c>
      <c r="GG112">
        <v>2</v>
      </c>
      <c r="GH112">
        <v>3</v>
      </c>
      <c r="GI112">
        <v>5</v>
      </c>
      <c r="GJ112">
        <v>0</v>
      </c>
      <c r="GK112">
        <v>0</v>
      </c>
      <c r="GL112">
        <f t="shared" si="78"/>
        <v>0</v>
      </c>
      <c r="GM112">
        <f t="shared" si="79"/>
        <v>3841.15</v>
      </c>
      <c r="GN112">
        <f t="shared" si="80"/>
        <v>0</v>
      </c>
      <c r="GO112">
        <f t="shared" si="81"/>
        <v>3841.15</v>
      </c>
      <c r="GP112">
        <f t="shared" si="82"/>
        <v>0</v>
      </c>
      <c r="GR112">
        <v>1</v>
      </c>
      <c r="GS112">
        <v>1</v>
      </c>
      <c r="GT112">
        <v>0</v>
      </c>
      <c r="GU112" t="s">
        <v>3</v>
      </c>
      <c r="GV112">
        <f t="shared" si="83"/>
        <v>0</v>
      </c>
      <c r="GW112">
        <v>1</v>
      </c>
      <c r="GX112">
        <f t="shared" si="84"/>
        <v>0</v>
      </c>
      <c r="HA112">
        <v>0</v>
      </c>
      <c r="HB112">
        <v>0</v>
      </c>
      <c r="HC112">
        <f t="shared" si="85"/>
        <v>0</v>
      </c>
      <c r="HE112" t="s">
        <v>168</v>
      </c>
      <c r="HF112" t="s">
        <v>38</v>
      </c>
      <c r="HM112" t="s">
        <v>3</v>
      </c>
      <c r="HN112" t="s">
        <v>3</v>
      </c>
      <c r="HO112" t="s">
        <v>3</v>
      </c>
      <c r="HP112" t="s">
        <v>3</v>
      </c>
      <c r="HQ112" t="s">
        <v>3</v>
      </c>
      <c r="HS112">
        <v>0</v>
      </c>
      <c r="IK112">
        <v>0</v>
      </c>
    </row>
    <row r="113" spans="1:255" x14ac:dyDescent="0.2">
      <c r="A113" s="2">
        <v>17</v>
      </c>
      <c r="B113" s="2">
        <v>1</v>
      </c>
      <c r="C113" s="2"/>
      <c r="D113" s="2"/>
      <c r="E113" s="2" t="s">
        <v>193</v>
      </c>
      <c r="F113" s="2" t="s">
        <v>194</v>
      </c>
      <c r="G113" s="2" t="s">
        <v>195</v>
      </c>
      <c r="H113" s="2" t="s">
        <v>164</v>
      </c>
      <c r="I113" s="2">
        <f>ROUND((100*1.02)/1000,9)</f>
        <v>0.10199999999999999</v>
      </c>
      <c r="J113" s="2">
        <v>0</v>
      </c>
      <c r="K113" s="2">
        <f>ROUND((100*1.02)/1000,9)</f>
        <v>0.10199999999999999</v>
      </c>
      <c r="L113" s="2"/>
      <c r="M113" s="2"/>
      <c r="N113" s="2"/>
      <c r="O113" s="2">
        <f t="shared" si="60"/>
        <v>482.64</v>
      </c>
      <c r="P113" s="2">
        <f t="shared" si="61"/>
        <v>482.64</v>
      </c>
      <c r="Q113" s="2">
        <f t="shared" si="90"/>
        <v>0</v>
      </c>
      <c r="R113" s="2">
        <f t="shared" si="91"/>
        <v>0</v>
      </c>
      <c r="S113" s="2">
        <f t="shared" si="62"/>
        <v>0</v>
      </c>
      <c r="T113" s="2">
        <f t="shared" si="63"/>
        <v>0</v>
      </c>
      <c r="U113" s="2">
        <f t="shared" si="64"/>
        <v>0</v>
      </c>
      <c r="V113" s="2">
        <f t="shared" si="65"/>
        <v>0</v>
      </c>
      <c r="W113" s="2">
        <f t="shared" si="66"/>
        <v>0</v>
      </c>
      <c r="X113" s="2">
        <f t="shared" si="92"/>
        <v>0</v>
      </c>
      <c r="Y113" s="2">
        <f t="shared" si="93"/>
        <v>0</v>
      </c>
      <c r="Z113" s="2"/>
      <c r="AA113" s="2">
        <v>60256985</v>
      </c>
      <c r="AB113" s="2">
        <f t="shared" si="67"/>
        <v>4731.78</v>
      </c>
      <c r="AC113" s="2">
        <f t="shared" si="68"/>
        <v>4731.78</v>
      </c>
      <c r="AD113" s="2">
        <f t="shared" si="94"/>
        <v>0</v>
      </c>
      <c r="AE113" s="2">
        <f t="shared" si="95"/>
        <v>0</v>
      </c>
      <c r="AF113" s="2">
        <f t="shared" si="96"/>
        <v>0</v>
      </c>
      <c r="AG113" s="2">
        <f t="shared" si="69"/>
        <v>0</v>
      </c>
      <c r="AH113" s="2">
        <f t="shared" si="97"/>
        <v>0</v>
      </c>
      <c r="AI113" s="2">
        <f t="shared" si="98"/>
        <v>0</v>
      </c>
      <c r="AJ113" s="2">
        <f t="shared" si="70"/>
        <v>0</v>
      </c>
      <c r="AK113" s="2">
        <v>4731.78</v>
      </c>
      <c r="AL113" s="2">
        <v>4731.78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1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3</v>
      </c>
      <c r="BI113" s="2">
        <v>2</v>
      </c>
      <c r="BJ113" s="2" t="s">
        <v>3</v>
      </c>
      <c r="BK113" s="2"/>
      <c r="BL113" s="2"/>
      <c r="BM113" s="2">
        <v>400002</v>
      </c>
      <c r="BN113" s="2">
        <v>0</v>
      </c>
      <c r="BO113" s="2" t="s">
        <v>3</v>
      </c>
      <c r="BP113" s="2">
        <v>0</v>
      </c>
      <c r="BQ113" s="2">
        <v>202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0</v>
      </c>
      <c r="CA113" s="2">
        <v>0</v>
      </c>
      <c r="CB113" s="2" t="s">
        <v>3</v>
      </c>
      <c r="CC113" s="2"/>
      <c r="CD113" s="2"/>
      <c r="CE113" s="2">
        <v>1566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3</v>
      </c>
      <c r="CO113" s="2">
        <v>0</v>
      </c>
      <c r="CP113" s="2">
        <f t="shared" si="71"/>
        <v>482.64</v>
      </c>
      <c r="CQ113" s="2">
        <f t="shared" si="72"/>
        <v>4731.78</v>
      </c>
      <c r="CR113" s="2">
        <f t="shared" si="99"/>
        <v>0</v>
      </c>
      <c r="CS113" s="2">
        <f t="shared" si="100"/>
        <v>0</v>
      </c>
      <c r="CT113" s="2">
        <f t="shared" si="73"/>
        <v>0</v>
      </c>
      <c r="CU113" s="2">
        <f t="shared" si="74"/>
        <v>0</v>
      </c>
      <c r="CV113" s="2">
        <f t="shared" si="75"/>
        <v>0</v>
      </c>
      <c r="CW113" s="2">
        <f t="shared" si="76"/>
        <v>0</v>
      </c>
      <c r="CX113" s="2">
        <f t="shared" si="77"/>
        <v>0</v>
      </c>
      <c r="CY113" s="2">
        <f t="shared" si="101"/>
        <v>0</v>
      </c>
      <c r="CZ113" s="2">
        <f t="shared" si="102"/>
        <v>0</v>
      </c>
      <c r="DA113" s="2"/>
      <c r="DB113" s="2"/>
      <c r="DC113" s="2" t="s">
        <v>3</v>
      </c>
      <c r="DD113" s="2" t="s">
        <v>3</v>
      </c>
      <c r="DE113" s="2" t="s">
        <v>3</v>
      </c>
      <c r="DF113" s="2" t="s">
        <v>3</v>
      </c>
      <c r="DG113" s="2" t="s">
        <v>3</v>
      </c>
      <c r="DH113" s="2" t="s">
        <v>3</v>
      </c>
      <c r="DI113" s="2" t="s">
        <v>3</v>
      </c>
      <c r="DJ113" s="2" t="s">
        <v>3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1003</v>
      </c>
      <c r="DV113" s="2" t="s">
        <v>164</v>
      </c>
      <c r="DW113" s="2" t="s">
        <v>164</v>
      </c>
      <c r="DX113" s="2">
        <v>1000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60088644</v>
      </c>
      <c r="EF113" s="2">
        <v>202</v>
      </c>
      <c r="EG113" s="2" t="s">
        <v>165</v>
      </c>
      <c r="EH113" s="2">
        <v>0</v>
      </c>
      <c r="EI113" s="2" t="s">
        <v>3</v>
      </c>
      <c r="EJ113" s="2">
        <v>1</v>
      </c>
      <c r="EK113" s="2">
        <v>400002</v>
      </c>
      <c r="EL113" s="2" t="s">
        <v>166</v>
      </c>
      <c r="EM113" s="2" t="s">
        <v>165</v>
      </c>
      <c r="EN113" s="2"/>
      <c r="EO113" s="2" t="s">
        <v>3</v>
      </c>
      <c r="EP113" s="2"/>
      <c r="EQ113" s="2">
        <v>0</v>
      </c>
      <c r="ER113" s="2">
        <v>0</v>
      </c>
      <c r="ES113" s="2">
        <v>4731.78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v>0</v>
      </c>
      <c r="FS113" s="2">
        <v>0</v>
      </c>
      <c r="FT113" s="2"/>
      <c r="FU113" s="2"/>
      <c r="FV113" s="2"/>
      <c r="FW113" s="2"/>
      <c r="FX113" s="2">
        <v>0</v>
      </c>
      <c r="FY113" s="2">
        <v>0</v>
      </c>
      <c r="FZ113" s="2"/>
      <c r="GA113" s="2" t="s">
        <v>196</v>
      </c>
      <c r="GB113" s="2"/>
      <c r="GC113" s="2"/>
      <c r="GD113" s="2">
        <v>1</v>
      </c>
      <c r="GE113" s="2"/>
      <c r="GF113" s="2">
        <v>1226404290</v>
      </c>
      <c r="GG113" s="2">
        <v>2</v>
      </c>
      <c r="GH113" s="2">
        <v>4</v>
      </c>
      <c r="GI113" s="2">
        <v>-2</v>
      </c>
      <c r="GJ113" s="2">
        <v>0</v>
      </c>
      <c r="GK113" s="2">
        <v>0</v>
      </c>
      <c r="GL113" s="2">
        <f t="shared" si="78"/>
        <v>0</v>
      </c>
      <c r="GM113" s="2">
        <f t="shared" si="79"/>
        <v>482.64</v>
      </c>
      <c r="GN113" s="2">
        <f t="shared" si="80"/>
        <v>0</v>
      </c>
      <c r="GO113" s="2">
        <f t="shared" si="81"/>
        <v>482.64</v>
      </c>
      <c r="GP113" s="2">
        <f t="shared" si="82"/>
        <v>0</v>
      </c>
      <c r="GQ113" s="2"/>
      <c r="GR113" s="2">
        <v>0</v>
      </c>
      <c r="GS113" s="2">
        <v>2</v>
      </c>
      <c r="GT113" s="2">
        <v>0</v>
      </c>
      <c r="GU113" s="2" t="s">
        <v>3</v>
      </c>
      <c r="GV113" s="2">
        <f t="shared" si="83"/>
        <v>0</v>
      </c>
      <c r="GW113" s="2">
        <v>1</v>
      </c>
      <c r="GX113" s="2">
        <f t="shared" si="84"/>
        <v>0</v>
      </c>
      <c r="GY113" s="2"/>
      <c r="GZ113" s="2"/>
      <c r="HA113" s="2">
        <v>0</v>
      </c>
      <c r="HB113" s="2">
        <v>0</v>
      </c>
      <c r="HC113" s="2">
        <f t="shared" si="85"/>
        <v>0</v>
      </c>
      <c r="HD113" s="2"/>
      <c r="HE113" s="2" t="s">
        <v>168</v>
      </c>
      <c r="HF113" s="2" t="s">
        <v>38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">
      <c r="A114">
        <v>17</v>
      </c>
      <c r="B114">
        <v>1</v>
      </c>
      <c r="E114" t="s">
        <v>193</v>
      </c>
      <c r="F114" t="s">
        <v>194</v>
      </c>
      <c r="G114" t="s">
        <v>195</v>
      </c>
      <c r="H114" t="s">
        <v>164</v>
      </c>
      <c r="I114">
        <f>ROUND((100*1.02)/1000,9)</f>
        <v>0.10199999999999999</v>
      </c>
      <c r="J114">
        <v>0</v>
      </c>
      <c r="K114">
        <f>ROUND((100*1.02)/1000,9)</f>
        <v>0.10199999999999999</v>
      </c>
      <c r="O114">
        <f t="shared" si="60"/>
        <v>4768.4799999999996</v>
      </c>
      <c r="P114">
        <f t="shared" si="61"/>
        <v>4768.4799999999996</v>
      </c>
      <c r="Q114">
        <f t="shared" si="90"/>
        <v>0</v>
      </c>
      <c r="R114">
        <f t="shared" si="91"/>
        <v>0</v>
      </c>
      <c r="S114">
        <f t="shared" si="62"/>
        <v>0</v>
      </c>
      <c r="T114">
        <f t="shared" si="63"/>
        <v>0</v>
      </c>
      <c r="U114">
        <f t="shared" si="64"/>
        <v>0</v>
      </c>
      <c r="V114">
        <f t="shared" si="65"/>
        <v>0</v>
      </c>
      <c r="W114">
        <f t="shared" si="66"/>
        <v>0</v>
      </c>
      <c r="X114">
        <f t="shared" si="92"/>
        <v>0</v>
      </c>
      <c r="Y114">
        <f t="shared" si="93"/>
        <v>0</v>
      </c>
      <c r="AA114">
        <v>60256982</v>
      </c>
      <c r="AB114">
        <f t="shared" si="67"/>
        <v>4731.78</v>
      </c>
      <c r="AC114">
        <f t="shared" si="68"/>
        <v>4731.78</v>
      </c>
      <c r="AD114">
        <f t="shared" si="94"/>
        <v>0</v>
      </c>
      <c r="AE114">
        <f t="shared" si="95"/>
        <v>0</v>
      </c>
      <c r="AF114">
        <f t="shared" si="96"/>
        <v>0</v>
      </c>
      <c r="AG114">
        <f t="shared" si="69"/>
        <v>0</v>
      </c>
      <c r="AH114">
        <f t="shared" si="97"/>
        <v>0</v>
      </c>
      <c r="AI114">
        <f t="shared" si="98"/>
        <v>0</v>
      </c>
      <c r="AJ114">
        <f t="shared" si="70"/>
        <v>0</v>
      </c>
      <c r="AK114">
        <v>4731.78</v>
      </c>
      <c r="AL114">
        <v>4731.78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1</v>
      </c>
      <c r="AZ114">
        <v>1</v>
      </c>
      <c r="BA114">
        <v>1</v>
      </c>
      <c r="BB114">
        <v>1</v>
      </c>
      <c r="BC114">
        <v>9.8800000000000008</v>
      </c>
      <c r="BD114" t="s">
        <v>3</v>
      </c>
      <c r="BE114" t="s">
        <v>3</v>
      </c>
      <c r="BF114" t="s">
        <v>3</v>
      </c>
      <c r="BG114" t="s">
        <v>3</v>
      </c>
      <c r="BH114">
        <v>3</v>
      </c>
      <c r="BI114">
        <v>2</v>
      </c>
      <c r="BJ114" t="s">
        <v>3</v>
      </c>
      <c r="BM114">
        <v>400002</v>
      </c>
      <c r="BN114">
        <v>0</v>
      </c>
      <c r="BO114" t="s">
        <v>3</v>
      </c>
      <c r="BP114">
        <v>0</v>
      </c>
      <c r="BQ114">
        <v>202</v>
      </c>
      <c r="BR114">
        <v>0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 t="s">
        <v>3</v>
      </c>
      <c r="BZ114">
        <v>0</v>
      </c>
      <c r="CA114">
        <v>0</v>
      </c>
      <c r="CB114" t="s">
        <v>3</v>
      </c>
      <c r="CE114">
        <v>1566</v>
      </c>
      <c r="CF114">
        <v>0</v>
      </c>
      <c r="CG114">
        <v>0</v>
      </c>
      <c r="CM114">
        <v>0</v>
      </c>
      <c r="CN114" t="s">
        <v>3</v>
      </c>
      <c r="CO114">
        <v>0</v>
      </c>
      <c r="CP114">
        <f t="shared" si="71"/>
        <v>4768.4799999999996</v>
      </c>
      <c r="CQ114">
        <f t="shared" si="72"/>
        <v>46749.99</v>
      </c>
      <c r="CR114">
        <f t="shared" si="99"/>
        <v>0</v>
      </c>
      <c r="CS114">
        <f t="shared" si="100"/>
        <v>0</v>
      </c>
      <c r="CT114">
        <f t="shared" si="73"/>
        <v>0</v>
      </c>
      <c r="CU114">
        <f t="shared" si="74"/>
        <v>0</v>
      </c>
      <c r="CV114">
        <f t="shared" si="75"/>
        <v>0</v>
      </c>
      <c r="CW114">
        <f t="shared" si="76"/>
        <v>0</v>
      </c>
      <c r="CX114">
        <f t="shared" si="77"/>
        <v>0</v>
      </c>
      <c r="CY114">
        <f t="shared" si="101"/>
        <v>0</v>
      </c>
      <c r="CZ114">
        <f t="shared" si="102"/>
        <v>0</v>
      </c>
      <c r="DC114" t="s">
        <v>3</v>
      </c>
      <c r="DD114" t="s">
        <v>3</v>
      </c>
      <c r="DE114" t="s">
        <v>3</v>
      </c>
      <c r="DF114" t="s">
        <v>3</v>
      </c>
      <c r="DG114" t="s">
        <v>3</v>
      </c>
      <c r="DH114" t="s">
        <v>3</v>
      </c>
      <c r="DI114" t="s">
        <v>3</v>
      </c>
      <c r="DJ114" t="s">
        <v>3</v>
      </c>
      <c r="DK114" t="s">
        <v>3</v>
      </c>
      <c r="DL114" t="s">
        <v>3</v>
      </c>
      <c r="DM114" t="s">
        <v>3</v>
      </c>
      <c r="DN114">
        <v>0</v>
      </c>
      <c r="DO114">
        <v>0</v>
      </c>
      <c r="DP114">
        <v>1</v>
      </c>
      <c r="DQ114">
        <v>1</v>
      </c>
      <c r="DU114">
        <v>1003</v>
      </c>
      <c r="DV114" t="s">
        <v>164</v>
      </c>
      <c r="DW114" t="s">
        <v>164</v>
      </c>
      <c r="DX114">
        <v>1000</v>
      </c>
      <c r="DZ114" t="s">
        <v>3</v>
      </c>
      <c r="EA114" t="s">
        <v>3</v>
      </c>
      <c r="EB114" t="s">
        <v>3</v>
      </c>
      <c r="EC114" t="s">
        <v>3</v>
      </c>
      <c r="EE114">
        <v>60088644</v>
      </c>
      <c r="EF114">
        <v>202</v>
      </c>
      <c r="EG114" t="s">
        <v>165</v>
      </c>
      <c r="EH114">
        <v>0</v>
      </c>
      <c r="EI114" t="s">
        <v>3</v>
      </c>
      <c r="EJ114">
        <v>1</v>
      </c>
      <c r="EK114">
        <v>400002</v>
      </c>
      <c r="EL114" t="s">
        <v>166</v>
      </c>
      <c r="EM114" t="s">
        <v>165</v>
      </c>
      <c r="EO114" t="s">
        <v>3</v>
      </c>
      <c r="EQ114">
        <v>0</v>
      </c>
      <c r="ER114">
        <v>0</v>
      </c>
      <c r="ES114">
        <v>4731.78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5</v>
      </c>
      <c r="FC114">
        <v>1</v>
      </c>
      <c r="FD114">
        <v>18</v>
      </c>
      <c r="FF114">
        <v>55000</v>
      </c>
      <c r="FQ114">
        <v>0</v>
      </c>
      <c r="FR114">
        <v>0</v>
      </c>
      <c r="FS114">
        <v>0</v>
      </c>
      <c r="FX114">
        <v>0</v>
      </c>
      <c r="FY114">
        <v>0</v>
      </c>
      <c r="GA114" t="s">
        <v>196</v>
      </c>
      <c r="GD114">
        <v>1</v>
      </c>
      <c r="GF114">
        <v>1226404290</v>
      </c>
      <c r="GG114">
        <v>2</v>
      </c>
      <c r="GH114">
        <v>3</v>
      </c>
      <c r="GI114">
        <v>5</v>
      </c>
      <c r="GJ114">
        <v>0</v>
      </c>
      <c r="GK114">
        <v>0</v>
      </c>
      <c r="GL114">
        <f t="shared" si="78"/>
        <v>0</v>
      </c>
      <c r="GM114">
        <f t="shared" si="79"/>
        <v>4768.4799999999996</v>
      </c>
      <c r="GN114">
        <f t="shared" si="80"/>
        <v>0</v>
      </c>
      <c r="GO114">
        <f t="shared" si="81"/>
        <v>4768.4799999999996</v>
      </c>
      <c r="GP114">
        <f t="shared" si="82"/>
        <v>0</v>
      </c>
      <c r="GR114">
        <v>1</v>
      </c>
      <c r="GS114">
        <v>1</v>
      </c>
      <c r="GT114">
        <v>0</v>
      </c>
      <c r="GU114" t="s">
        <v>3</v>
      </c>
      <c r="GV114">
        <f t="shared" si="83"/>
        <v>0</v>
      </c>
      <c r="GW114">
        <v>1</v>
      </c>
      <c r="GX114">
        <f t="shared" si="84"/>
        <v>0</v>
      </c>
      <c r="HA114">
        <v>0</v>
      </c>
      <c r="HB114">
        <v>0</v>
      </c>
      <c r="HC114">
        <f t="shared" si="85"/>
        <v>0</v>
      </c>
      <c r="HE114" t="s">
        <v>168</v>
      </c>
      <c r="HF114" t="s">
        <v>38</v>
      </c>
      <c r="HM114" t="s">
        <v>3</v>
      </c>
      <c r="HN114" t="s">
        <v>3</v>
      </c>
      <c r="HO114" t="s">
        <v>3</v>
      </c>
      <c r="HP114" t="s">
        <v>3</v>
      </c>
      <c r="HQ114" t="s">
        <v>3</v>
      </c>
      <c r="HS114">
        <v>0</v>
      </c>
      <c r="IK114">
        <v>0</v>
      </c>
    </row>
    <row r="116" spans="1:255" x14ac:dyDescent="0.2">
      <c r="A116" s="3">
        <v>51</v>
      </c>
      <c r="B116" s="3">
        <f>B81</f>
        <v>1</v>
      </c>
      <c r="C116" s="3">
        <f>A81</f>
        <v>4</v>
      </c>
      <c r="D116" s="3">
        <f>ROW(A81)</f>
        <v>81</v>
      </c>
      <c r="E116" s="3"/>
      <c r="F116" s="3" t="str">
        <f>IF(F81&lt;&gt;"",F81,"")</f>
        <v/>
      </c>
      <c r="G116" s="3" t="str">
        <f>IF(G81&lt;&gt;"",G81,"")</f>
        <v>Кабельные  изделия</v>
      </c>
      <c r="H116" s="3">
        <v>0</v>
      </c>
      <c r="I116" s="3"/>
      <c r="J116" s="3"/>
      <c r="K116" s="3"/>
      <c r="L116" s="3"/>
      <c r="M116" s="3"/>
      <c r="N116" s="3"/>
      <c r="O116" s="3">
        <f t="shared" ref="O116:T116" si="103">ROUND(AB116,2)</f>
        <v>8376.25</v>
      </c>
      <c r="P116" s="3">
        <f t="shared" si="103"/>
        <v>7374.74</v>
      </c>
      <c r="Q116" s="3">
        <f t="shared" si="103"/>
        <v>146.88</v>
      </c>
      <c r="R116" s="3">
        <f t="shared" si="103"/>
        <v>17.03</v>
      </c>
      <c r="S116" s="3">
        <f t="shared" si="103"/>
        <v>854.63</v>
      </c>
      <c r="T116" s="3">
        <f t="shared" si="103"/>
        <v>0</v>
      </c>
      <c r="U116" s="3">
        <f>AH116</f>
        <v>68.011340099999998</v>
      </c>
      <c r="V116" s="3">
        <f>AI116</f>
        <v>0</v>
      </c>
      <c r="W116" s="3">
        <f>ROUND(AJ116,2)</f>
        <v>0</v>
      </c>
      <c r="X116" s="3">
        <f>ROUND(AK116,2)</f>
        <v>845.51</v>
      </c>
      <c r="Y116" s="3">
        <f>ROUND(AL116,2)</f>
        <v>444.55</v>
      </c>
      <c r="Z116" s="3"/>
      <c r="AA116" s="3"/>
      <c r="AB116" s="3">
        <f>ROUND(SUMIF(AA85:AA114,"=60256985",O85:O114),2)</f>
        <v>8376.25</v>
      </c>
      <c r="AC116" s="3">
        <f>ROUND(SUMIF(AA85:AA114,"=60256985",P85:P114),2)</f>
        <v>7374.74</v>
      </c>
      <c r="AD116" s="3">
        <f>ROUND(SUMIF(AA85:AA114,"=60256985",Q85:Q114),2)</f>
        <v>146.88</v>
      </c>
      <c r="AE116" s="3">
        <f>ROUND(SUMIF(AA85:AA114,"=60256985",R85:R114),2)</f>
        <v>17.03</v>
      </c>
      <c r="AF116" s="3">
        <f>ROUND(SUMIF(AA85:AA114,"=60256985",S85:S114),2)</f>
        <v>854.63</v>
      </c>
      <c r="AG116" s="3">
        <f>ROUND(SUMIF(AA85:AA114,"=60256985",T85:T114),2)</f>
        <v>0</v>
      </c>
      <c r="AH116" s="3">
        <f>SUMIF(AA85:AA114,"=60256985",U85:U114)</f>
        <v>68.011340099999998</v>
      </c>
      <c r="AI116" s="3">
        <f>SUMIF(AA85:AA114,"=60256985",V85:V114)</f>
        <v>0</v>
      </c>
      <c r="AJ116" s="3">
        <f>ROUND(SUMIF(AA85:AA114,"=60256985",W85:W114),2)</f>
        <v>0</v>
      </c>
      <c r="AK116" s="3">
        <f>ROUND(SUMIF(AA85:AA114,"=60256985",X85:X114),2)</f>
        <v>845.51</v>
      </c>
      <c r="AL116" s="3">
        <f>ROUND(SUMIF(AA85:AA114,"=60256985",Y85:Y114),2)</f>
        <v>444.55</v>
      </c>
      <c r="AM116" s="3"/>
      <c r="AN116" s="3"/>
      <c r="AO116" s="3">
        <f t="shared" ref="AO116:BD116" si="104">ROUND(BX116,2)</f>
        <v>0</v>
      </c>
      <c r="AP116" s="3">
        <f t="shared" si="104"/>
        <v>0</v>
      </c>
      <c r="AQ116" s="3">
        <f t="shared" si="104"/>
        <v>0</v>
      </c>
      <c r="AR116" s="3">
        <f t="shared" si="104"/>
        <v>9666.31</v>
      </c>
      <c r="AS116" s="3">
        <f t="shared" si="104"/>
        <v>0</v>
      </c>
      <c r="AT116" s="3">
        <f t="shared" si="104"/>
        <v>9666.31</v>
      </c>
      <c r="AU116" s="3">
        <f t="shared" si="104"/>
        <v>0</v>
      </c>
      <c r="AV116" s="3">
        <f t="shared" si="104"/>
        <v>7374.74</v>
      </c>
      <c r="AW116" s="3">
        <f t="shared" si="104"/>
        <v>7374.74</v>
      </c>
      <c r="AX116" s="3">
        <f t="shared" si="104"/>
        <v>0</v>
      </c>
      <c r="AY116" s="3">
        <f t="shared" si="104"/>
        <v>7374.74</v>
      </c>
      <c r="AZ116" s="3">
        <f t="shared" si="104"/>
        <v>0</v>
      </c>
      <c r="BA116" s="3">
        <f t="shared" si="104"/>
        <v>0</v>
      </c>
      <c r="BB116" s="3">
        <f t="shared" si="104"/>
        <v>0</v>
      </c>
      <c r="BC116" s="3">
        <f t="shared" si="104"/>
        <v>0</v>
      </c>
      <c r="BD116" s="3">
        <f t="shared" si="104"/>
        <v>0</v>
      </c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>
        <f>ROUND(SUMIF(AA85:AA114,"=60256985",FQ85:FQ114),2)</f>
        <v>0</v>
      </c>
      <c r="BY116" s="3">
        <f>ROUND(SUMIF(AA85:AA114,"=60256985",FR85:FR114),2)</f>
        <v>0</v>
      </c>
      <c r="BZ116" s="3">
        <f>ROUND(SUMIF(AA85:AA114,"=60256985",GL85:GL114),2)</f>
        <v>0</v>
      </c>
      <c r="CA116" s="3">
        <f>ROUND(SUMIF(AA85:AA114,"=60256985",GM85:GM114),2)</f>
        <v>9666.31</v>
      </c>
      <c r="CB116" s="3">
        <f>ROUND(SUMIF(AA85:AA114,"=60256985",GN85:GN114),2)</f>
        <v>0</v>
      </c>
      <c r="CC116" s="3">
        <f>ROUND(SUMIF(AA85:AA114,"=60256985",GO85:GO114),2)</f>
        <v>9666.31</v>
      </c>
      <c r="CD116" s="3">
        <f>ROUND(SUMIF(AA85:AA114,"=60256985",GP85:GP114),2)</f>
        <v>0</v>
      </c>
      <c r="CE116" s="3">
        <f>AC116-BX116</f>
        <v>7374.74</v>
      </c>
      <c r="CF116" s="3">
        <f>AC116-BY116</f>
        <v>7374.74</v>
      </c>
      <c r="CG116" s="3">
        <f>BX116-BZ116</f>
        <v>0</v>
      </c>
      <c r="CH116" s="3">
        <f>AC116-BX116-BY116+BZ116</f>
        <v>7374.74</v>
      </c>
      <c r="CI116" s="3">
        <f>BY116-BZ116</f>
        <v>0</v>
      </c>
      <c r="CJ116" s="3">
        <f>ROUND(SUMIF(AA85:AA114,"=60256985",GX85:GX114),2)</f>
        <v>0</v>
      </c>
      <c r="CK116" s="3">
        <f>ROUND(SUMIF(AA85:AA114,"=60256985",GY85:GY114),2)</f>
        <v>0</v>
      </c>
      <c r="CL116" s="3">
        <f>ROUND(SUMIF(AA85:AA114,"=60256985",GZ85:GZ114),2)</f>
        <v>0</v>
      </c>
      <c r="CM116" s="3">
        <f>ROUND(SUMIF(AA85:AA114,"=60256985",HD85:HD114),2)</f>
        <v>0</v>
      </c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4">
        <f t="shared" ref="DG116:DL116" si="105">ROUND(DT116,2)</f>
        <v>109884.41</v>
      </c>
      <c r="DH116" s="4">
        <f t="shared" si="105"/>
        <v>60611.39</v>
      </c>
      <c r="DI116" s="4">
        <f t="shared" si="105"/>
        <v>2276.92</v>
      </c>
      <c r="DJ116" s="4">
        <f t="shared" si="105"/>
        <v>936.48</v>
      </c>
      <c r="DK116" s="4">
        <f t="shared" si="105"/>
        <v>46996.1</v>
      </c>
      <c r="DL116" s="4">
        <f t="shared" si="105"/>
        <v>0</v>
      </c>
      <c r="DM116" s="4">
        <f>DZ116</f>
        <v>68.011340099999998</v>
      </c>
      <c r="DN116" s="4">
        <f>EA116</f>
        <v>0</v>
      </c>
      <c r="DO116" s="4">
        <f>ROUND(EB116,2)</f>
        <v>0</v>
      </c>
      <c r="DP116" s="4">
        <f>ROUND(EC116,2)</f>
        <v>46494.61</v>
      </c>
      <c r="DQ116" s="4">
        <f>ROUND(ED116,2)</f>
        <v>24445.61</v>
      </c>
      <c r="DR116" s="4"/>
      <c r="DS116" s="4"/>
      <c r="DT116" s="4">
        <f>ROUND(SUMIF(AA85:AA114,"=60256982",O85:O114),2)</f>
        <v>109884.41</v>
      </c>
      <c r="DU116" s="4">
        <f>ROUND(SUMIF(AA85:AA114,"=60256982",P85:P114),2)</f>
        <v>60611.39</v>
      </c>
      <c r="DV116" s="4">
        <f>ROUND(SUMIF(AA85:AA114,"=60256982",Q85:Q114),2)</f>
        <v>2276.92</v>
      </c>
      <c r="DW116" s="4">
        <f>ROUND(SUMIF(AA85:AA114,"=60256982",R85:R114),2)</f>
        <v>936.48</v>
      </c>
      <c r="DX116" s="4">
        <f>ROUND(SUMIF(AA85:AA114,"=60256982",S85:S114),2)</f>
        <v>46996.1</v>
      </c>
      <c r="DY116" s="4">
        <f>ROUND(SUMIF(AA85:AA114,"=60256982",T85:T114),2)</f>
        <v>0</v>
      </c>
      <c r="DZ116" s="4">
        <f>SUMIF(AA85:AA114,"=60256982",U85:U114)</f>
        <v>68.011340099999998</v>
      </c>
      <c r="EA116" s="4">
        <f>SUMIF(AA85:AA114,"=60256982",V85:V114)</f>
        <v>0</v>
      </c>
      <c r="EB116" s="4">
        <f>ROUND(SUMIF(AA85:AA114,"=60256982",W85:W114),2)</f>
        <v>0</v>
      </c>
      <c r="EC116" s="4">
        <f>ROUND(SUMIF(AA85:AA114,"=60256982",X85:X114),2)</f>
        <v>46494.61</v>
      </c>
      <c r="ED116" s="4">
        <f>ROUND(SUMIF(AA85:AA114,"=60256982",Y85:Y114),2)</f>
        <v>24445.61</v>
      </c>
      <c r="EE116" s="4"/>
      <c r="EF116" s="4"/>
      <c r="EG116" s="4">
        <f t="shared" ref="EG116:EV116" si="106">ROUND(FP116,2)</f>
        <v>0</v>
      </c>
      <c r="EH116" s="4">
        <f t="shared" si="106"/>
        <v>0</v>
      </c>
      <c r="EI116" s="4">
        <f t="shared" si="106"/>
        <v>0</v>
      </c>
      <c r="EJ116" s="4">
        <f t="shared" si="106"/>
        <v>180824.63</v>
      </c>
      <c r="EK116" s="4">
        <f t="shared" si="106"/>
        <v>0</v>
      </c>
      <c r="EL116" s="4">
        <f t="shared" si="106"/>
        <v>180824.63</v>
      </c>
      <c r="EM116" s="4">
        <f t="shared" si="106"/>
        <v>0</v>
      </c>
      <c r="EN116" s="4">
        <f t="shared" si="106"/>
        <v>60611.39</v>
      </c>
      <c r="EO116" s="4">
        <f t="shared" si="106"/>
        <v>60611.39</v>
      </c>
      <c r="EP116" s="4">
        <f t="shared" si="106"/>
        <v>0</v>
      </c>
      <c r="EQ116" s="4">
        <f t="shared" si="106"/>
        <v>60611.39</v>
      </c>
      <c r="ER116" s="4">
        <f t="shared" si="106"/>
        <v>0</v>
      </c>
      <c r="ES116" s="4">
        <f t="shared" si="106"/>
        <v>0</v>
      </c>
      <c r="ET116" s="4">
        <f t="shared" si="106"/>
        <v>0</v>
      </c>
      <c r="EU116" s="4">
        <f t="shared" si="106"/>
        <v>0</v>
      </c>
      <c r="EV116" s="4">
        <f t="shared" si="106"/>
        <v>0</v>
      </c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>
        <f>ROUND(SUMIF(AA85:AA114,"=60256982",FQ85:FQ114),2)</f>
        <v>0</v>
      </c>
      <c r="FQ116" s="4">
        <f>ROUND(SUMIF(AA85:AA114,"=60256982",FR85:FR114),2)</f>
        <v>0</v>
      </c>
      <c r="FR116" s="4">
        <f>ROUND(SUMIF(AA85:AA114,"=60256982",GL85:GL114),2)</f>
        <v>0</v>
      </c>
      <c r="FS116" s="4">
        <f>ROUND(SUMIF(AA85:AA114,"=60256982",GM85:GM114),2)</f>
        <v>180824.63</v>
      </c>
      <c r="FT116" s="4">
        <f>ROUND(SUMIF(AA85:AA114,"=60256982",GN85:GN114),2)</f>
        <v>0</v>
      </c>
      <c r="FU116" s="4">
        <f>ROUND(SUMIF(AA85:AA114,"=60256982",GO85:GO114),2)</f>
        <v>180824.63</v>
      </c>
      <c r="FV116" s="4">
        <f>ROUND(SUMIF(AA85:AA114,"=60256982",GP85:GP114),2)</f>
        <v>0</v>
      </c>
      <c r="FW116" s="4">
        <f>DU116-FP116</f>
        <v>60611.39</v>
      </c>
      <c r="FX116" s="4">
        <f>DU116-FQ116</f>
        <v>60611.39</v>
      </c>
      <c r="FY116" s="4">
        <f>FP116-FR116</f>
        <v>0</v>
      </c>
      <c r="FZ116" s="4">
        <f>DU116-FP116-FQ116+FR116</f>
        <v>60611.39</v>
      </c>
      <c r="GA116" s="4">
        <f>FQ116-FR116</f>
        <v>0</v>
      </c>
      <c r="GB116" s="4">
        <f>ROUND(SUMIF(AA85:AA114,"=60256982",GX85:GX114),2)</f>
        <v>0</v>
      </c>
      <c r="GC116" s="4">
        <f>ROUND(SUMIF(AA85:AA114,"=60256982",GY85:GY114),2)</f>
        <v>0</v>
      </c>
      <c r="GD116" s="4">
        <f>ROUND(SUMIF(AA85:AA114,"=60256982",GZ85:GZ114),2)</f>
        <v>0</v>
      </c>
      <c r="GE116" s="4">
        <f>ROUND(SUMIF(AA85:AA114,"=60256982",HD85:HD114),2)</f>
        <v>0</v>
      </c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>
        <v>0</v>
      </c>
    </row>
    <row r="118" spans="1:255" x14ac:dyDescent="0.2">
      <c r="A118" s="5">
        <v>50</v>
      </c>
      <c r="B118" s="5">
        <v>0</v>
      </c>
      <c r="C118" s="5">
        <v>0</v>
      </c>
      <c r="D118" s="5">
        <v>1</v>
      </c>
      <c r="E118" s="5">
        <v>201</v>
      </c>
      <c r="F118" s="5">
        <f>ROUND(Source!O116,O118)</f>
        <v>8376.25</v>
      </c>
      <c r="G118" s="5" t="s">
        <v>76</v>
      </c>
      <c r="H118" s="5" t="s">
        <v>77</v>
      </c>
      <c r="I118" s="5"/>
      <c r="J118" s="5"/>
      <c r="K118" s="5">
        <v>201</v>
      </c>
      <c r="L118" s="5">
        <v>1</v>
      </c>
      <c r="M118" s="5">
        <v>3</v>
      </c>
      <c r="N118" s="5" t="s">
        <v>3</v>
      </c>
      <c r="O118" s="5">
        <v>2</v>
      </c>
      <c r="P118" s="5">
        <f>ROUND(Source!DG116,O118)</f>
        <v>109884.41</v>
      </c>
      <c r="Q118" s="5"/>
      <c r="R118" s="5"/>
      <c r="S118" s="5"/>
      <c r="T118" s="5"/>
      <c r="U118" s="5"/>
      <c r="V118" s="5"/>
      <c r="W118" s="5">
        <v>8376.25</v>
      </c>
      <c r="X118" s="5">
        <v>1</v>
      </c>
      <c r="Y118" s="5">
        <v>8376.25</v>
      </c>
      <c r="Z118" s="5">
        <v>109884.41</v>
      </c>
      <c r="AA118" s="5">
        <v>1</v>
      </c>
      <c r="AB118" s="5">
        <v>109884.41</v>
      </c>
    </row>
    <row r="119" spans="1:255" x14ac:dyDescent="0.2">
      <c r="A119" s="5">
        <v>50</v>
      </c>
      <c r="B119" s="5">
        <v>0</v>
      </c>
      <c r="C119" s="5">
        <v>0</v>
      </c>
      <c r="D119" s="5">
        <v>1</v>
      </c>
      <c r="E119" s="5">
        <v>202</v>
      </c>
      <c r="F119" s="5">
        <f>ROUND(Source!P116,O119)</f>
        <v>7374.74</v>
      </c>
      <c r="G119" s="5" t="s">
        <v>78</v>
      </c>
      <c r="H119" s="5" t="s">
        <v>79</v>
      </c>
      <c r="I119" s="5"/>
      <c r="J119" s="5"/>
      <c r="K119" s="5">
        <v>202</v>
      </c>
      <c r="L119" s="5">
        <v>2</v>
      </c>
      <c r="M119" s="5">
        <v>3</v>
      </c>
      <c r="N119" s="5" t="s">
        <v>3</v>
      </c>
      <c r="O119" s="5">
        <v>2</v>
      </c>
      <c r="P119" s="5">
        <f>ROUND(Source!DH116,O119)</f>
        <v>60611.39</v>
      </c>
      <c r="Q119" s="5"/>
      <c r="R119" s="5"/>
      <c r="S119" s="5"/>
      <c r="T119" s="5"/>
      <c r="U119" s="5"/>
      <c r="V119" s="5"/>
      <c r="W119" s="5">
        <v>7374.74</v>
      </c>
      <c r="X119" s="5">
        <v>1</v>
      </c>
      <c r="Y119" s="5">
        <v>7374.74</v>
      </c>
      <c r="Z119" s="5">
        <v>60611.39</v>
      </c>
      <c r="AA119" s="5">
        <v>1</v>
      </c>
      <c r="AB119" s="5">
        <v>60611.39</v>
      </c>
    </row>
    <row r="120" spans="1:255" x14ac:dyDescent="0.2">
      <c r="A120" s="5">
        <v>50</v>
      </c>
      <c r="B120" s="5">
        <v>0</v>
      </c>
      <c r="C120" s="5">
        <v>0</v>
      </c>
      <c r="D120" s="5">
        <v>1</v>
      </c>
      <c r="E120" s="5">
        <v>222</v>
      </c>
      <c r="F120" s="5">
        <f>ROUND(Source!AO116,O120)</f>
        <v>0</v>
      </c>
      <c r="G120" s="5" t="s">
        <v>80</v>
      </c>
      <c r="H120" s="5" t="s">
        <v>81</v>
      </c>
      <c r="I120" s="5"/>
      <c r="J120" s="5"/>
      <c r="K120" s="5">
        <v>222</v>
      </c>
      <c r="L120" s="5">
        <v>3</v>
      </c>
      <c r="M120" s="5">
        <v>3</v>
      </c>
      <c r="N120" s="5" t="s">
        <v>3</v>
      </c>
      <c r="O120" s="5">
        <v>2</v>
      </c>
      <c r="P120" s="5">
        <f>ROUND(Source!EG116,O120)</f>
        <v>0</v>
      </c>
      <c r="Q120" s="5"/>
      <c r="R120" s="5"/>
      <c r="S120" s="5"/>
      <c r="T120" s="5"/>
      <c r="U120" s="5"/>
      <c r="V120" s="5"/>
      <c r="W120" s="5">
        <v>0</v>
      </c>
      <c r="X120" s="5">
        <v>1</v>
      </c>
      <c r="Y120" s="5">
        <v>0</v>
      </c>
      <c r="Z120" s="5">
        <v>0</v>
      </c>
      <c r="AA120" s="5">
        <v>1</v>
      </c>
      <c r="AB120" s="5">
        <v>0</v>
      </c>
    </row>
    <row r="121" spans="1:255" x14ac:dyDescent="0.2">
      <c r="A121" s="5">
        <v>50</v>
      </c>
      <c r="B121" s="5">
        <v>0</v>
      </c>
      <c r="C121" s="5">
        <v>0</v>
      </c>
      <c r="D121" s="5">
        <v>1</v>
      </c>
      <c r="E121" s="5">
        <v>225</v>
      </c>
      <c r="F121" s="5">
        <f>ROUND(Source!AV116,O121)</f>
        <v>7374.74</v>
      </c>
      <c r="G121" s="5" t="s">
        <v>82</v>
      </c>
      <c r="H121" s="5" t="s">
        <v>83</v>
      </c>
      <c r="I121" s="5"/>
      <c r="J121" s="5"/>
      <c r="K121" s="5">
        <v>225</v>
      </c>
      <c r="L121" s="5">
        <v>4</v>
      </c>
      <c r="M121" s="5">
        <v>3</v>
      </c>
      <c r="N121" s="5" t="s">
        <v>3</v>
      </c>
      <c r="O121" s="5">
        <v>2</v>
      </c>
      <c r="P121" s="5">
        <f>ROUND(Source!EN116,O121)</f>
        <v>60611.39</v>
      </c>
      <c r="Q121" s="5"/>
      <c r="R121" s="5"/>
      <c r="S121" s="5"/>
      <c r="T121" s="5"/>
      <c r="U121" s="5"/>
      <c r="V121" s="5"/>
      <c r="W121" s="5">
        <v>7374.74</v>
      </c>
      <c r="X121" s="5">
        <v>1</v>
      </c>
      <c r="Y121" s="5">
        <v>7374.74</v>
      </c>
      <c r="Z121" s="5">
        <v>60611.39</v>
      </c>
      <c r="AA121" s="5">
        <v>1</v>
      </c>
      <c r="AB121" s="5">
        <v>60611.39</v>
      </c>
    </row>
    <row r="122" spans="1:255" x14ac:dyDescent="0.2">
      <c r="A122" s="5">
        <v>50</v>
      </c>
      <c r="B122" s="5">
        <v>0</v>
      </c>
      <c r="C122" s="5">
        <v>0</v>
      </c>
      <c r="D122" s="5">
        <v>1</v>
      </c>
      <c r="E122" s="5">
        <v>226</v>
      </c>
      <c r="F122" s="5">
        <f>ROUND(Source!AW116,O122)</f>
        <v>7374.74</v>
      </c>
      <c r="G122" s="5" t="s">
        <v>84</v>
      </c>
      <c r="H122" s="5" t="s">
        <v>85</v>
      </c>
      <c r="I122" s="5"/>
      <c r="J122" s="5"/>
      <c r="K122" s="5">
        <v>226</v>
      </c>
      <c r="L122" s="5">
        <v>5</v>
      </c>
      <c r="M122" s="5">
        <v>3</v>
      </c>
      <c r="N122" s="5" t="s">
        <v>3</v>
      </c>
      <c r="O122" s="5">
        <v>2</v>
      </c>
      <c r="P122" s="5">
        <f>ROUND(Source!EO116,O122)</f>
        <v>60611.39</v>
      </c>
      <c r="Q122" s="5"/>
      <c r="R122" s="5"/>
      <c r="S122" s="5"/>
      <c r="T122" s="5"/>
      <c r="U122" s="5"/>
      <c r="V122" s="5"/>
      <c r="W122" s="5">
        <v>7374.74</v>
      </c>
      <c r="X122" s="5">
        <v>1</v>
      </c>
      <c r="Y122" s="5">
        <v>7374.74</v>
      </c>
      <c r="Z122" s="5">
        <v>60611.39</v>
      </c>
      <c r="AA122" s="5">
        <v>1</v>
      </c>
      <c r="AB122" s="5">
        <v>60611.39</v>
      </c>
    </row>
    <row r="123" spans="1:255" x14ac:dyDescent="0.2">
      <c r="A123" s="5">
        <v>50</v>
      </c>
      <c r="B123" s="5">
        <v>0</v>
      </c>
      <c r="C123" s="5">
        <v>0</v>
      </c>
      <c r="D123" s="5">
        <v>1</v>
      </c>
      <c r="E123" s="5">
        <v>227</v>
      </c>
      <c r="F123" s="5">
        <f>ROUND(Source!AX116,O123)</f>
        <v>0</v>
      </c>
      <c r="G123" s="5" t="s">
        <v>86</v>
      </c>
      <c r="H123" s="5" t="s">
        <v>87</v>
      </c>
      <c r="I123" s="5"/>
      <c r="J123" s="5"/>
      <c r="K123" s="5">
        <v>227</v>
      </c>
      <c r="L123" s="5">
        <v>6</v>
      </c>
      <c r="M123" s="5">
        <v>3</v>
      </c>
      <c r="N123" s="5" t="s">
        <v>3</v>
      </c>
      <c r="O123" s="5">
        <v>2</v>
      </c>
      <c r="P123" s="5">
        <f>ROUND(Source!EP116,O123)</f>
        <v>0</v>
      </c>
      <c r="Q123" s="5"/>
      <c r="R123" s="5"/>
      <c r="S123" s="5"/>
      <c r="T123" s="5"/>
      <c r="U123" s="5"/>
      <c r="V123" s="5"/>
      <c r="W123" s="5">
        <v>0</v>
      </c>
      <c r="X123" s="5">
        <v>1</v>
      </c>
      <c r="Y123" s="5">
        <v>0</v>
      </c>
      <c r="Z123" s="5">
        <v>0</v>
      </c>
      <c r="AA123" s="5">
        <v>1</v>
      </c>
      <c r="AB123" s="5">
        <v>0</v>
      </c>
    </row>
    <row r="124" spans="1:255" x14ac:dyDescent="0.2">
      <c r="A124" s="5">
        <v>50</v>
      </c>
      <c r="B124" s="5">
        <v>0</v>
      </c>
      <c r="C124" s="5">
        <v>0</v>
      </c>
      <c r="D124" s="5">
        <v>1</v>
      </c>
      <c r="E124" s="5">
        <v>228</v>
      </c>
      <c r="F124" s="5">
        <f>ROUND(Source!AY116,O124)</f>
        <v>7374.74</v>
      </c>
      <c r="G124" s="5" t="s">
        <v>88</v>
      </c>
      <c r="H124" s="5" t="s">
        <v>89</v>
      </c>
      <c r="I124" s="5"/>
      <c r="J124" s="5"/>
      <c r="K124" s="5">
        <v>228</v>
      </c>
      <c r="L124" s="5">
        <v>7</v>
      </c>
      <c r="M124" s="5">
        <v>3</v>
      </c>
      <c r="N124" s="5" t="s">
        <v>3</v>
      </c>
      <c r="O124" s="5">
        <v>2</v>
      </c>
      <c r="P124" s="5">
        <f>ROUND(Source!EQ116,O124)</f>
        <v>60611.39</v>
      </c>
      <c r="Q124" s="5"/>
      <c r="R124" s="5"/>
      <c r="S124" s="5"/>
      <c r="T124" s="5"/>
      <c r="U124" s="5"/>
      <c r="V124" s="5"/>
      <c r="W124" s="5">
        <v>7374.74</v>
      </c>
      <c r="X124" s="5">
        <v>1</v>
      </c>
      <c r="Y124" s="5">
        <v>7374.74</v>
      </c>
      <c r="Z124" s="5">
        <v>60611.39</v>
      </c>
      <c r="AA124" s="5">
        <v>1</v>
      </c>
      <c r="AB124" s="5">
        <v>60611.39</v>
      </c>
    </row>
    <row r="125" spans="1:255" x14ac:dyDescent="0.2">
      <c r="A125" s="5">
        <v>50</v>
      </c>
      <c r="B125" s="5">
        <v>0</v>
      </c>
      <c r="C125" s="5">
        <v>0</v>
      </c>
      <c r="D125" s="5">
        <v>1</v>
      </c>
      <c r="E125" s="5">
        <v>216</v>
      </c>
      <c r="F125" s="5">
        <f>ROUND(Source!AP116,O125)</f>
        <v>0</v>
      </c>
      <c r="G125" s="5" t="s">
        <v>90</v>
      </c>
      <c r="H125" s="5" t="s">
        <v>91</v>
      </c>
      <c r="I125" s="5"/>
      <c r="J125" s="5"/>
      <c r="K125" s="5">
        <v>216</v>
      </c>
      <c r="L125" s="5">
        <v>8</v>
      </c>
      <c r="M125" s="5">
        <v>3</v>
      </c>
      <c r="N125" s="5" t="s">
        <v>3</v>
      </c>
      <c r="O125" s="5">
        <v>2</v>
      </c>
      <c r="P125" s="5">
        <f>ROUND(Source!EH116,O125)</f>
        <v>0</v>
      </c>
      <c r="Q125" s="5"/>
      <c r="R125" s="5"/>
      <c r="S125" s="5"/>
      <c r="T125" s="5"/>
      <c r="U125" s="5"/>
      <c r="V125" s="5"/>
      <c r="W125" s="5">
        <v>0</v>
      </c>
      <c r="X125" s="5">
        <v>1</v>
      </c>
      <c r="Y125" s="5">
        <v>0</v>
      </c>
      <c r="Z125" s="5">
        <v>0</v>
      </c>
      <c r="AA125" s="5">
        <v>1</v>
      </c>
      <c r="AB125" s="5">
        <v>0</v>
      </c>
    </row>
    <row r="126" spans="1:255" x14ac:dyDescent="0.2">
      <c r="A126" s="5">
        <v>50</v>
      </c>
      <c r="B126" s="5">
        <v>0</v>
      </c>
      <c r="C126" s="5">
        <v>0</v>
      </c>
      <c r="D126" s="5">
        <v>1</v>
      </c>
      <c r="E126" s="5">
        <v>223</v>
      </c>
      <c r="F126" s="5">
        <f>ROUND(Source!AQ116,O126)</f>
        <v>0</v>
      </c>
      <c r="G126" s="5" t="s">
        <v>92</v>
      </c>
      <c r="H126" s="5" t="s">
        <v>93</v>
      </c>
      <c r="I126" s="5"/>
      <c r="J126" s="5"/>
      <c r="K126" s="5">
        <v>223</v>
      </c>
      <c r="L126" s="5">
        <v>9</v>
      </c>
      <c r="M126" s="5">
        <v>3</v>
      </c>
      <c r="N126" s="5" t="s">
        <v>3</v>
      </c>
      <c r="O126" s="5">
        <v>2</v>
      </c>
      <c r="P126" s="5">
        <f>ROUND(Source!EI116,O126)</f>
        <v>0</v>
      </c>
      <c r="Q126" s="5"/>
      <c r="R126" s="5"/>
      <c r="S126" s="5"/>
      <c r="T126" s="5"/>
      <c r="U126" s="5"/>
      <c r="V126" s="5"/>
      <c r="W126" s="5">
        <v>0</v>
      </c>
      <c r="X126" s="5">
        <v>1</v>
      </c>
      <c r="Y126" s="5">
        <v>0</v>
      </c>
      <c r="Z126" s="5">
        <v>0</v>
      </c>
      <c r="AA126" s="5">
        <v>1</v>
      </c>
      <c r="AB126" s="5">
        <v>0</v>
      </c>
    </row>
    <row r="127" spans="1:255" x14ac:dyDescent="0.2">
      <c r="A127" s="5">
        <v>50</v>
      </c>
      <c r="B127" s="5">
        <v>0</v>
      </c>
      <c r="C127" s="5">
        <v>0</v>
      </c>
      <c r="D127" s="5">
        <v>1</v>
      </c>
      <c r="E127" s="5">
        <v>229</v>
      </c>
      <c r="F127" s="5">
        <f>ROUND(Source!AZ116,O127)</f>
        <v>0</v>
      </c>
      <c r="G127" s="5" t="s">
        <v>94</v>
      </c>
      <c r="H127" s="5" t="s">
        <v>95</v>
      </c>
      <c r="I127" s="5"/>
      <c r="J127" s="5"/>
      <c r="K127" s="5">
        <v>229</v>
      </c>
      <c r="L127" s="5">
        <v>10</v>
      </c>
      <c r="M127" s="5">
        <v>3</v>
      </c>
      <c r="N127" s="5" t="s">
        <v>3</v>
      </c>
      <c r="O127" s="5">
        <v>2</v>
      </c>
      <c r="P127" s="5">
        <f>ROUND(Source!ER116,O127)</f>
        <v>0</v>
      </c>
      <c r="Q127" s="5"/>
      <c r="R127" s="5"/>
      <c r="S127" s="5"/>
      <c r="T127" s="5"/>
      <c r="U127" s="5"/>
      <c r="V127" s="5"/>
      <c r="W127" s="5">
        <v>0</v>
      </c>
      <c r="X127" s="5">
        <v>1</v>
      </c>
      <c r="Y127" s="5">
        <v>0</v>
      </c>
      <c r="Z127" s="5">
        <v>0</v>
      </c>
      <c r="AA127" s="5">
        <v>1</v>
      </c>
      <c r="AB127" s="5">
        <v>0</v>
      </c>
    </row>
    <row r="128" spans="1:255" x14ac:dyDescent="0.2">
      <c r="A128" s="5">
        <v>50</v>
      </c>
      <c r="B128" s="5">
        <v>0</v>
      </c>
      <c r="C128" s="5">
        <v>0</v>
      </c>
      <c r="D128" s="5">
        <v>1</v>
      </c>
      <c r="E128" s="5">
        <v>203</v>
      </c>
      <c r="F128" s="5">
        <f>ROUND(Source!Q116,O128)</f>
        <v>146.88</v>
      </c>
      <c r="G128" s="5" t="s">
        <v>96</v>
      </c>
      <c r="H128" s="5" t="s">
        <v>97</v>
      </c>
      <c r="I128" s="5"/>
      <c r="J128" s="5"/>
      <c r="K128" s="5">
        <v>203</v>
      </c>
      <c r="L128" s="5">
        <v>11</v>
      </c>
      <c r="M128" s="5">
        <v>3</v>
      </c>
      <c r="N128" s="5" t="s">
        <v>3</v>
      </c>
      <c r="O128" s="5">
        <v>2</v>
      </c>
      <c r="P128" s="5">
        <f>ROUND(Source!DI116,O128)</f>
        <v>2276.92</v>
      </c>
      <c r="Q128" s="5"/>
      <c r="R128" s="5"/>
      <c r="S128" s="5"/>
      <c r="T128" s="5"/>
      <c r="U128" s="5"/>
      <c r="V128" s="5"/>
      <c r="W128" s="5">
        <v>146.88</v>
      </c>
      <c r="X128" s="5">
        <v>1</v>
      </c>
      <c r="Y128" s="5">
        <v>146.88</v>
      </c>
      <c r="Z128" s="5">
        <v>2276.92</v>
      </c>
      <c r="AA128" s="5">
        <v>1</v>
      </c>
      <c r="AB128" s="5">
        <v>2276.92</v>
      </c>
    </row>
    <row r="129" spans="1:28" x14ac:dyDescent="0.2">
      <c r="A129" s="5">
        <v>50</v>
      </c>
      <c r="B129" s="5">
        <v>0</v>
      </c>
      <c r="C129" s="5">
        <v>0</v>
      </c>
      <c r="D129" s="5">
        <v>1</v>
      </c>
      <c r="E129" s="5">
        <v>231</v>
      </c>
      <c r="F129" s="5">
        <f>ROUND(Source!BB116,O129)</f>
        <v>0</v>
      </c>
      <c r="G129" s="5" t="s">
        <v>98</v>
      </c>
      <c r="H129" s="5" t="s">
        <v>99</v>
      </c>
      <c r="I129" s="5"/>
      <c r="J129" s="5"/>
      <c r="K129" s="5">
        <v>231</v>
      </c>
      <c r="L129" s="5">
        <v>12</v>
      </c>
      <c r="M129" s="5">
        <v>3</v>
      </c>
      <c r="N129" s="5" t="s">
        <v>3</v>
      </c>
      <c r="O129" s="5">
        <v>2</v>
      </c>
      <c r="P129" s="5">
        <f>ROUND(Source!ET116,O129)</f>
        <v>0</v>
      </c>
      <c r="Q129" s="5"/>
      <c r="R129" s="5"/>
      <c r="S129" s="5"/>
      <c r="T129" s="5"/>
      <c r="U129" s="5"/>
      <c r="V129" s="5"/>
      <c r="W129" s="5">
        <v>0</v>
      </c>
      <c r="X129" s="5">
        <v>1</v>
      </c>
      <c r="Y129" s="5">
        <v>0</v>
      </c>
      <c r="Z129" s="5">
        <v>0</v>
      </c>
      <c r="AA129" s="5">
        <v>1</v>
      </c>
      <c r="AB129" s="5">
        <v>0</v>
      </c>
    </row>
    <row r="130" spans="1:28" x14ac:dyDescent="0.2">
      <c r="A130" s="5">
        <v>50</v>
      </c>
      <c r="B130" s="5">
        <v>0</v>
      </c>
      <c r="C130" s="5">
        <v>0</v>
      </c>
      <c r="D130" s="5">
        <v>1</v>
      </c>
      <c r="E130" s="5">
        <v>204</v>
      </c>
      <c r="F130" s="5">
        <f>ROUND(Source!R116,O130)</f>
        <v>17.03</v>
      </c>
      <c r="G130" s="5" t="s">
        <v>100</v>
      </c>
      <c r="H130" s="5" t="s">
        <v>101</v>
      </c>
      <c r="I130" s="5"/>
      <c r="J130" s="5"/>
      <c r="K130" s="5">
        <v>204</v>
      </c>
      <c r="L130" s="5">
        <v>13</v>
      </c>
      <c r="M130" s="5">
        <v>3</v>
      </c>
      <c r="N130" s="5" t="s">
        <v>3</v>
      </c>
      <c r="O130" s="5">
        <v>2</v>
      </c>
      <c r="P130" s="5">
        <f>ROUND(Source!DJ116,O130)</f>
        <v>936.48</v>
      </c>
      <c r="Q130" s="5"/>
      <c r="R130" s="5"/>
      <c r="S130" s="5"/>
      <c r="T130" s="5"/>
      <c r="U130" s="5"/>
      <c r="V130" s="5"/>
      <c r="W130" s="5">
        <v>17.03</v>
      </c>
      <c r="X130" s="5">
        <v>1</v>
      </c>
      <c r="Y130" s="5">
        <v>17.03</v>
      </c>
      <c r="Z130" s="5">
        <v>936.48</v>
      </c>
      <c r="AA130" s="5">
        <v>1</v>
      </c>
      <c r="AB130" s="5">
        <v>936.48</v>
      </c>
    </row>
    <row r="131" spans="1:28" x14ac:dyDescent="0.2">
      <c r="A131" s="5">
        <v>50</v>
      </c>
      <c r="B131" s="5">
        <v>0</v>
      </c>
      <c r="C131" s="5">
        <v>0</v>
      </c>
      <c r="D131" s="5">
        <v>1</v>
      </c>
      <c r="E131" s="5">
        <v>205</v>
      </c>
      <c r="F131" s="5">
        <f>ROUND(Source!S116,O131)</f>
        <v>854.63</v>
      </c>
      <c r="G131" s="5" t="s">
        <v>102</v>
      </c>
      <c r="H131" s="5" t="s">
        <v>103</v>
      </c>
      <c r="I131" s="5"/>
      <c r="J131" s="5"/>
      <c r="K131" s="5">
        <v>205</v>
      </c>
      <c r="L131" s="5">
        <v>14</v>
      </c>
      <c r="M131" s="5">
        <v>3</v>
      </c>
      <c r="N131" s="5" t="s">
        <v>3</v>
      </c>
      <c r="O131" s="5">
        <v>2</v>
      </c>
      <c r="P131" s="5">
        <f>ROUND(Source!DK116,O131)</f>
        <v>46996.1</v>
      </c>
      <c r="Q131" s="5"/>
      <c r="R131" s="5"/>
      <c r="S131" s="5"/>
      <c r="T131" s="5"/>
      <c r="U131" s="5"/>
      <c r="V131" s="5"/>
      <c r="W131" s="5">
        <v>854.63</v>
      </c>
      <c r="X131" s="5">
        <v>1</v>
      </c>
      <c r="Y131" s="5">
        <v>854.63</v>
      </c>
      <c r="Z131" s="5">
        <v>46996.1</v>
      </c>
      <c r="AA131" s="5">
        <v>1</v>
      </c>
      <c r="AB131" s="5">
        <v>46996.1</v>
      </c>
    </row>
    <row r="132" spans="1:28" x14ac:dyDescent="0.2">
      <c r="A132" s="5">
        <v>50</v>
      </c>
      <c r="B132" s="5">
        <v>0</v>
      </c>
      <c r="C132" s="5">
        <v>0</v>
      </c>
      <c r="D132" s="5">
        <v>1</v>
      </c>
      <c r="E132" s="5">
        <v>232</v>
      </c>
      <c r="F132" s="5">
        <f>ROUND(Source!BC116,O132)</f>
        <v>0</v>
      </c>
      <c r="G132" s="5" t="s">
        <v>104</v>
      </c>
      <c r="H132" s="5" t="s">
        <v>105</v>
      </c>
      <c r="I132" s="5"/>
      <c r="J132" s="5"/>
      <c r="K132" s="5">
        <v>232</v>
      </c>
      <c r="L132" s="5">
        <v>15</v>
      </c>
      <c r="M132" s="5">
        <v>3</v>
      </c>
      <c r="N132" s="5" t="s">
        <v>3</v>
      </c>
      <c r="O132" s="5">
        <v>2</v>
      </c>
      <c r="P132" s="5">
        <f>ROUND(Source!EU116,O132)</f>
        <v>0</v>
      </c>
      <c r="Q132" s="5"/>
      <c r="R132" s="5"/>
      <c r="S132" s="5"/>
      <c r="T132" s="5"/>
      <c r="U132" s="5"/>
      <c r="V132" s="5"/>
      <c r="W132" s="5">
        <v>0</v>
      </c>
      <c r="X132" s="5">
        <v>1</v>
      </c>
      <c r="Y132" s="5">
        <v>0</v>
      </c>
      <c r="Z132" s="5">
        <v>0</v>
      </c>
      <c r="AA132" s="5">
        <v>1</v>
      </c>
      <c r="AB132" s="5">
        <v>0</v>
      </c>
    </row>
    <row r="133" spans="1:28" x14ac:dyDescent="0.2">
      <c r="A133" s="5">
        <v>50</v>
      </c>
      <c r="B133" s="5">
        <v>0</v>
      </c>
      <c r="C133" s="5">
        <v>0</v>
      </c>
      <c r="D133" s="5">
        <v>1</v>
      </c>
      <c r="E133" s="5">
        <v>214</v>
      </c>
      <c r="F133" s="5">
        <f>ROUND(Source!AS116,O133)</f>
        <v>0</v>
      </c>
      <c r="G133" s="5" t="s">
        <v>106</v>
      </c>
      <c r="H133" s="5" t="s">
        <v>107</v>
      </c>
      <c r="I133" s="5"/>
      <c r="J133" s="5"/>
      <c r="K133" s="5">
        <v>214</v>
      </c>
      <c r="L133" s="5">
        <v>16</v>
      </c>
      <c r="M133" s="5">
        <v>3</v>
      </c>
      <c r="N133" s="5" t="s">
        <v>3</v>
      </c>
      <c r="O133" s="5">
        <v>2</v>
      </c>
      <c r="P133" s="5">
        <f>ROUND(Source!EK116,O133)</f>
        <v>0</v>
      </c>
      <c r="Q133" s="5"/>
      <c r="R133" s="5"/>
      <c r="S133" s="5"/>
      <c r="T133" s="5"/>
      <c r="U133" s="5"/>
      <c r="V133" s="5"/>
      <c r="W133" s="5">
        <v>0</v>
      </c>
      <c r="X133" s="5">
        <v>1</v>
      </c>
      <c r="Y133" s="5">
        <v>0</v>
      </c>
      <c r="Z133" s="5">
        <v>0</v>
      </c>
      <c r="AA133" s="5">
        <v>1</v>
      </c>
      <c r="AB133" s="5">
        <v>0</v>
      </c>
    </row>
    <row r="134" spans="1:28" x14ac:dyDescent="0.2">
      <c r="A134" s="5">
        <v>50</v>
      </c>
      <c r="B134" s="5">
        <v>0</v>
      </c>
      <c r="C134" s="5">
        <v>0</v>
      </c>
      <c r="D134" s="5">
        <v>1</v>
      </c>
      <c r="E134" s="5">
        <v>215</v>
      </c>
      <c r="F134" s="5">
        <f>ROUND(Source!AT116,O134)</f>
        <v>9666.31</v>
      </c>
      <c r="G134" s="5" t="s">
        <v>108</v>
      </c>
      <c r="H134" s="5" t="s">
        <v>109</v>
      </c>
      <c r="I134" s="5"/>
      <c r="J134" s="5"/>
      <c r="K134" s="5">
        <v>215</v>
      </c>
      <c r="L134" s="5">
        <v>17</v>
      </c>
      <c r="M134" s="5">
        <v>3</v>
      </c>
      <c r="N134" s="5" t="s">
        <v>3</v>
      </c>
      <c r="O134" s="5">
        <v>2</v>
      </c>
      <c r="P134" s="5">
        <f>ROUND(Source!EL116,O134)</f>
        <v>180824.63</v>
      </c>
      <c r="Q134" s="5"/>
      <c r="R134" s="5"/>
      <c r="S134" s="5"/>
      <c r="T134" s="5"/>
      <c r="U134" s="5"/>
      <c r="V134" s="5"/>
      <c r="W134" s="5">
        <v>9666.31</v>
      </c>
      <c r="X134" s="5">
        <v>1</v>
      </c>
      <c r="Y134" s="5">
        <v>9666.31</v>
      </c>
      <c r="Z134" s="5">
        <v>180824.63</v>
      </c>
      <c r="AA134" s="5">
        <v>1</v>
      </c>
      <c r="AB134" s="5">
        <v>180824.63</v>
      </c>
    </row>
    <row r="135" spans="1:28" x14ac:dyDescent="0.2">
      <c r="A135" s="5">
        <v>50</v>
      </c>
      <c r="B135" s="5">
        <v>0</v>
      </c>
      <c r="C135" s="5">
        <v>0</v>
      </c>
      <c r="D135" s="5">
        <v>1</v>
      </c>
      <c r="E135" s="5">
        <v>217</v>
      </c>
      <c r="F135" s="5">
        <f>ROUND(Source!AU116,O135)</f>
        <v>0</v>
      </c>
      <c r="G135" s="5" t="s">
        <v>110</v>
      </c>
      <c r="H135" s="5" t="s">
        <v>111</v>
      </c>
      <c r="I135" s="5"/>
      <c r="J135" s="5"/>
      <c r="K135" s="5">
        <v>217</v>
      </c>
      <c r="L135" s="5">
        <v>18</v>
      </c>
      <c r="M135" s="5">
        <v>3</v>
      </c>
      <c r="N135" s="5" t="s">
        <v>3</v>
      </c>
      <c r="O135" s="5">
        <v>2</v>
      </c>
      <c r="P135" s="5">
        <f>ROUND(Source!EM116,O135)</f>
        <v>0</v>
      </c>
      <c r="Q135" s="5"/>
      <c r="R135" s="5"/>
      <c r="S135" s="5"/>
      <c r="T135" s="5"/>
      <c r="U135" s="5"/>
      <c r="V135" s="5"/>
      <c r="W135" s="5">
        <v>0</v>
      </c>
      <c r="X135" s="5">
        <v>1</v>
      </c>
      <c r="Y135" s="5">
        <v>0</v>
      </c>
      <c r="Z135" s="5">
        <v>0</v>
      </c>
      <c r="AA135" s="5">
        <v>1</v>
      </c>
      <c r="AB135" s="5">
        <v>0</v>
      </c>
    </row>
    <row r="136" spans="1:28" x14ac:dyDescent="0.2">
      <c r="A136" s="5">
        <v>50</v>
      </c>
      <c r="B136" s="5">
        <v>0</v>
      </c>
      <c r="C136" s="5">
        <v>0</v>
      </c>
      <c r="D136" s="5">
        <v>1</v>
      </c>
      <c r="E136" s="5">
        <v>230</v>
      </c>
      <c r="F136" s="5">
        <f>ROUND(Source!BA116,O136)</f>
        <v>0</v>
      </c>
      <c r="G136" s="5" t="s">
        <v>112</v>
      </c>
      <c r="H136" s="5" t="s">
        <v>113</v>
      </c>
      <c r="I136" s="5"/>
      <c r="J136" s="5"/>
      <c r="K136" s="5">
        <v>230</v>
      </c>
      <c r="L136" s="5">
        <v>19</v>
      </c>
      <c r="M136" s="5">
        <v>3</v>
      </c>
      <c r="N136" s="5" t="s">
        <v>3</v>
      </c>
      <c r="O136" s="5">
        <v>2</v>
      </c>
      <c r="P136" s="5">
        <f>ROUND(Source!ES116,O136)</f>
        <v>0</v>
      </c>
      <c r="Q136" s="5"/>
      <c r="R136" s="5"/>
      <c r="S136" s="5"/>
      <c r="T136" s="5"/>
      <c r="U136" s="5"/>
      <c r="V136" s="5"/>
      <c r="W136" s="5">
        <v>0</v>
      </c>
      <c r="X136" s="5">
        <v>1</v>
      </c>
      <c r="Y136" s="5">
        <v>0</v>
      </c>
      <c r="Z136" s="5">
        <v>0</v>
      </c>
      <c r="AA136" s="5">
        <v>1</v>
      </c>
      <c r="AB136" s="5">
        <v>0</v>
      </c>
    </row>
    <row r="137" spans="1:28" x14ac:dyDescent="0.2">
      <c r="A137" s="5">
        <v>50</v>
      </c>
      <c r="B137" s="5">
        <v>0</v>
      </c>
      <c r="C137" s="5">
        <v>0</v>
      </c>
      <c r="D137" s="5">
        <v>1</v>
      </c>
      <c r="E137" s="5">
        <v>206</v>
      </c>
      <c r="F137" s="5">
        <f>ROUND(Source!T116,O137)</f>
        <v>0</v>
      </c>
      <c r="G137" s="5" t="s">
        <v>114</v>
      </c>
      <c r="H137" s="5" t="s">
        <v>115</v>
      </c>
      <c r="I137" s="5"/>
      <c r="J137" s="5"/>
      <c r="K137" s="5">
        <v>206</v>
      </c>
      <c r="L137" s="5">
        <v>20</v>
      </c>
      <c r="M137" s="5">
        <v>3</v>
      </c>
      <c r="N137" s="5" t="s">
        <v>3</v>
      </c>
      <c r="O137" s="5">
        <v>2</v>
      </c>
      <c r="P137" s="5">
        <f>ROUND(Source!DL116,O137)</f>
        <v>0</v>
      </c>
      <c r="Q137" s="5"/>
      <c r="R137" s="5"/>
      <c r="S137" s="5"/>
      <c r="T137" s="5"/>
      <c r="U137" s="5"/>
      <c r="V137" s="5"/>
      <c r="W137" s="5">
        <v>0</v>
      </c>
      <c r="X137" s="5">
        <v>1</v>
      </c>
      <c r="Y137" s="5">
        <v>0</v>
      </c>
      <c r="Z137" s="5">
        <v>0</v>
      </c>
      <c r="AA137" s="5">
        <v>1</v>
      </c>
      <c r="AB137" s="5">
        <v>0</v>
      </c>
    </row>
    <row r="138" spans="1:28" x14ac:dyDescent="0.2">
      <c r="A138" s="5">
        <v>50</v>
      </c>
      <c r="B138" s="5">
        <v>0</v>
      </c>
      <c r="C138" s="5">
        <v>0</v>
      </c>
      <c r="D138" s="5">
        <v>1</v>
      </c>
      <c r="E138" s="5">
        <v>207</v>
      </c>
      <c r="F138" s="5">
        <f>Source!U116</f>
        <v>68.011340099999998</v>
      </c>
      <c r="G138" s="5" t="s">
        <v>116</v>
      </c>
      <c r="H138" s="5" t="s">
        <v>117</v>
      </c>
      <c r="I138" s="5"/>
      <c r="J138" s="5"/>
      <c r="K138" s="5">
        <v>207</v>
      </c>
      <c r="L138" s="5">
        <v>21</v>
      </c>
      <c r="M138" s="5">
        <v>3</v>
      </c>
      <c r="N138" s="5" t="s">
        <v>3</v>
      </c>
      <c r="O138" s="5">
        <v>-1</v>
      </c>
      <c r="P138" s="5">
        <f>Source!DM116</f>
        <v>68.011340099999998</v>
      </c>
      <c r="Q138" s="5"/>
      <c r="R138" s="5"/>
      <c r="S138" s="5"/>
      <c r="T138" s="5"/>
      <c r="U138" s="5"/>
      <c r="V138" s="5"/>
      <c r="W138" s="5">
        <v>68.011340099999998</v>
      </c>
      <c r="X138" s="5">
        <v>1</v>
      </c>
      <c r="Y138" s="5">
        <v>68.011340099999998</v>
      </c>
      <c r="Z138" s="5">
        <v>68.011340099999998</v>
      </c>
      <c r="AA138" s="5">
        <v>1</v>
      </c>
      <c r="AB138" s="5">
        <v>68.011340099999998</v>
      </c>
    </row>
    <row r="139" spans="1:28" x14ac:dyDescent="0.2">
      <c r="A139" s="5">
        <v>50</v>
      </c>
      <c r="B139" s="5">
        <v>0</v>
      </c>
      <c r="C139" s="5">
        <v>0</v>
      </c>
      <c r="D139" s="5">
        <v>1</v>
      </c>
      <c r="E139" s="5">
        <v>208</v>
      </c>
      <c r="F139" s="5">
        <f>Source!V116</f>
        <v>0</v>
      </c>
      <c r="G139" s="5" t="s">
        <v>118</v>
      </c>
      <c r="H139" s="5" t="s">
        <v>119</v>
      </c>
      <c r="I139" s="5"/>
      <c r="J139" s="5"/>
      <c r="K139" s="5">
        <v>208</v>
      </c>
      <c r="L139" s="5">
        <v>22</v>
      </c>
      <c r="M139" s="5">
        <v>3</v>
      </c>
      <c r="N139" s="5" t="s">
        <v>3</v>
      </c>
      <c r="O139" s="5">
        <v>-1</v>
      </c>
      <c r="P139" s="5">
        <f>Source!DN116</f>
        <v>0</v>
      </c>
      <c r="Q139" s="5"/>
      <c r="R139" s="5"/>
      <c r="S139" s="5"/>
      <c r="T139" s="5"/>
      <c r="U139" s="5"/>
      <c r="V139" s="5"/>
      <c r="W139" s="5">
        <v>0</v>
      </c>
      <c r="X139" s="5">
        <v>1</v>
      </c>
      <c r="Y139" s="5">
        <v>0</v>
      </c>
      <c r="Z139" s="5">
        <v>0</v>
      </c>
      <c r="AA139" s="5">
        <v>1</v>
      </c>
      <c r="AB139" s="5">
        <v>0</v>
      </c>
    </row>
    <row r="140" spans="1:28" x14ac:dyDescent="0.2">
      <c r="A140" s="5">
        <v>50</v>
      </c>
      <c r="B140" s="5">
        <v>0</v>
      </c>
      <c r="C140" s="5">
        <v>0</v>
      </c>
      <c r="D140" s="5">
        <v>1</v>
      </c>
      <c r="E140" s="5">
        <v>209</v>
      </c>
      <c r="F140" s="5">
        <f>ROUND(Source!W116,O140)</f>
        <v>0</v>
      </c>
      <c r="G140" s="5" t="s">
        <v>120</v>
      </c>
      <c r="H140" s="5" t="s">
        <v>121</v>
      </c>
      <c r="I140" s="5"/>
      <c r="J140" s="5"/>
      <c r="K140" s="5">
        <v>209</v>
      </c>
      <c r="L140" s="5">
        <v>23</v>
      </c>
      <c r="M140" s="5">
        <v>3</v>
      </c>
      <c r="N140" s="5" t="s">
        <v>3</v>
      </c>
      <c r="O140" s="5">
        <v>2</v>
      </c>
      <c r="P140" s="5">
        <f>ROUND(Source!DO116,O140)</f>
        <v>0</v>
      </c>
      <c r="Q140" s="5"/>
      <c r="R140" s="5"/>
      <c r="S140" s="5"/>
      <c r="T140" s="5"/>
      <c r="U140" s="5"/>
      <c r="V140" s="5"/>
      <c r="W140" s="5">
        <v>0</v>
      </c>
      <c r="X140" s="5">
        <v>1</v>
      </c>
      <c r="Y140" s="5">
        <v>0</v>
      </c>
      <c r="Z140" s="5">
        <v>0</v>
      </c>
      <c r="AA140" s="5">
        <v>1</v>
      </c>
      <c r="AB140" s="5">
        <v>0</v>
      </c>
    </row>
    <row r="141" spans="1:28" x14ac:dyDescent="0.2">
      <c r="A141" s="5">
        <v>50</v>
      </c>
      <c r="B141" s="5">
        <v>0</v>
      </c>
      <c r="C141" s="5">
        <v>0</v>
      </c>
      <c r="D141" s="5">
        <v>1</v>
      </c>
      <c r="E141" s="5">
        <v>233</v>
      </c>
      <c r="F141" s="5">
        <f>ROUND(Source!BD116,O141)</f>
        <v>0</v>
      </c>
      <c r="G141" s="5" t="s">
        <v>122</v>
      </c>
      <c r="H141" s="5" t="s">
        <v>123</v>
      </c>
      <c r="I141" s="5"/>
      <c r="J141" s="5"/>
      <c r="K141" s="5">
        <v>233</v>
      </c>
      <c r="L141" s="5">
        <v>24</v>
      </c>
      <c r="M141" s="5">
        <v>3</v>
      </c>
      <c r="N141" s="5" t="s">
        <v>3</v>
      </c>
      <c r="O141" s="5">
        <v>2</v>
      </c>
      <c r="P141" s="5">
        <f>ROUND(Source!EV116,O141)</f>
        <v>0</v>
      </c>
      <c r="Q141" s="5"/>
      <c r="R141" s="5"/>
      <c r="S141" s="5"/>
      <c r="T141" s="5"/>
      <c r="U141" s="5"/>
      <c r="V141" s="5"/>
      <c r="W141" s="5">
        <v>0</v>
      </c>
      <c r="X141" s="5">
        <v>1</v>
      </c>
      <c r="Y141" s="5">
        <v>0</v>
      </c>
      <c r="Z141" s="5">
        <v>0</v>
      </c>
      <c r="AA141" s="5">
        <v>1</v>
      </c>
      <c r="AB141" s="5">
        <v>0</v>
      </c>
    </row>
    <row r="142" spans="1:28" x14ac:dyDescent="0.2">
      <c r="A142" s="5">
        <v>50</v>
      </c>
      <c r="B142" s="5">
        <v>0</v>
      </c>
      <c r="C142" s="5">
        <v>0</v>
      </c>
      <c r="D142" s="5">
        <v>1</v>
      </c>
      <c r="E142" s="5">
        <v>210</v>
      </c>
      <c r="F142" s="5">
        <f>ROUND(Source!X116,O142)</f>
        <v>845.51</v>
      </c>
      <c r="G142" s="5" t="s">
        <v>124</v>
      </c>
      <c r="H142" s="5" t="s">
        <v>125</v>
      </c>
      <c r="I142" s="5"/>
      <c r="J142" s="5"/>
      <c r="K142" s="5">
        <v>210</v>
      </c>
      <c r="L142" s="5">
        <v>25</v>
      </c>
      <c r="M142" s="5">
        <v>3</v>
      </c>
      <c r="N142" s="5" t="s">
        <v>3</v>
      </c>
      <c r="O142" s="5">
        <v>2</v>
      </c>
      <c r="P142" s="5">
        <f>ROUND(Source!DP116,O142)</f>
        <v>46494.61</v>
      </c>
      <c r="Q142" s="5"/>
      <c r="R142" s="5"/>
      <c r="S142" s="5"/>
      <c r="T142" s="5"/>
      <c r="U142" s="5"/>
      <c r="V142" s="5"/>
      <c r="W142" s="5">
        <v>845.51</v>
      </c>
      <c r="X142" s="5">
        <v>1</v>
      </c>
      <c r="Y142" s="5">
        <v>845.51</v>
      </c>
      <c r="Z142" s="5">
        <v>46494.61</v>
      </c>
      <c r="AA142" s="5">
        <v>1</v>
      </c>
      <c r="AB142" s="5">
        <v>46494.61</v>
      </c>
    </row>
    <row r="143" spans="1:28" x14ac:dyDescent="0.2">
      <c r="A143" s="5">
        <v>50</v>
      </c>
      <c r="B143" s="5">
        <v>0</v>
      </c>
      <c r="C143" s="5">
        <v>0</v>
      </c>
      <c r="D143" s="5">
        <v>1</v>
      </c>
      <c r="E143" s="5">
        <v>211</v>
      </c>
      <c r="F143" s="5">
        <f>ROUND(Source!Y116,O143)</f>
        <v>444.55</v>
      </c>
      <c r="G143" s="5" t="s">
        <v>126</v>
      </c>
      <c r="H143" s="5" t="s">
        <v>127</v>
      </c>
      <c r="I143" s="5"/>
      <c r="J143" s="5"/>
      <c r="K143" s="5">
        <v>211</v>
      </c>
      <c r="L143" s="5">
        <v>26</v>
      </c>
      <c r="M143" s="5">
        <v>3</v>
      </c>
      <c r="N143" s="5" t="s">
        <v>3</v>
      </c>
      <c r="O143" s="5">
        <v>2</v>
      </c>
      <c r="P143" s="5">
        <f>ROUND(Source!DQ116,O143)</f>
        <v>24445.61</v>
      </c>
      <c r="Q143" s="5"/>
      <c r="R143" s="5"/>
      <c r="S143" s="5"/>
      <c r="T143" s="5"/>
      <c r="U143" s="5"/>
      <c r="V143" s="5"/>
      <c r="W143" s="5">
        <v>444.55</v>
      </c>
      <c r="X143" s="5">
        <v>1</v>
      </c>
      <c r="Y143" s="5">
        <v>444.55</v>
      </c>
      <c r="Z143" s="5">
        <v>24445.61</v>
      </c>
      <c r="AA143" s="5">
        <v>1</v>
      </c>
      <c r="AB143" s="5">
        <v>24445.61</v>
      </c>
    </row>
    <row r="144" spans="1:28" x14ac:dyDescent="0.2">
      <c r="A144" s="5">
        <v>50</v>
      </c>
      <c r="B144" s="5">
        <v>0</v>
      </c>
      <c r="C144" s="5">
        <v>0</v>
      </c>
      <c r="D144" s="5">
        <v>1</v>
      </c>
      <c r="E144" s="5">
        <v>224</v>
      </c>
      <c r="F144" s="5">
        <f>ROUND(Source!AR116,O144)</f>
        <v>9666.31</v>
      </c>
      <c r="G144" s="5" t="s">
        <v>128</v>
      </c>
      <c r="H144" s="5" t="s">
        <v>129</v>
      </c>
      <c r="I144" s="5"/>
      <c r="J144" s="5"/>
      <c r="K144" s="5">
        <v>224</v>
      </c>
      <c r="L144" s="5">
        <v>27</v>
      </c>
      <c r="M144" s="5">
        <v>3</v>
      </c>
      <c r="N144" s="5" t="s">
        <v>3</v>
      </c>
      <c r="O144" s="5">
        <v>2</v>
      </c>
      <c r="P144" s="5">
        <f>ROUND(Source!EJ116,O144)</f>
        <v>180824.63</v>
      </c>
      <c r="Q144" s="5"/>
      <c r="R144" s="5"/>
      <c r="S144" s="5"/>
      <c r="T144" s="5"/>
      <c r="U144" s="5"/>
      <c r="V144" s="5"/>
      <c r="W144" s="5">
        <v>9666.31</v>
      </c>
      <c r="X144" s="5">
        <v>1</v>
      </c>
      <c r="Y144" s="5">
        <v>9666.31</v>
      </c>
      <c r="Z144" s="5">
        <v>180824.63</v>
      </c>
      <c r="AA144" s="5">
        <v>1</v>
      </c>
      <c r="AB144" s="5">
        <v>180824.63</v>
      </c>
    </row>
    <row r="146" spans="1:255" x14ac:dyDescent="0.2">
      <c r="A146" s="1">
        <v>4</v>
      </c>
      <c r="B146" s="1">
        <v>1</v>
      </c>
      <c r="C146" s="1"/>
      <c r="D146" s="1">
        <f>ROW(A191)</f>
        <v>191</v>
      </c>
      <c r="E146" s="1"/>
      <c r="F146" s="1" t="s">
        <v>3</v>
      </c>
      <c r="G146" s="1" t="s">
        <v>165</v>
      </c>
      <c r="H146" s="1" t="s">
        <v>3</v>
      </c>
      <c r="I146" s="1">
        <v>0</v>
      </c>
      <c r="J146" s="1"/>
      <c r="K146" s="1">
        <v>-1</v>
      </c>
      <c r="L146" s="1"/>
      <c r="M146" s="1" t="s">
        <v>3</v>
      </c>
      <c r="N146" s="1"/>
      <c r="O146" s="1"/>
      <c r="P146" s="1"/>
      <c r="Q146" s="1"/>
      <c r="R146" s="1"/>
      <c r="S146" s="1">
        <v>0</v>
      </c>
      <c r="T146" s="1">
        <v>0</v>
      </c>
      <c r="U146" s="1" t="s">
        <v>3</v>
      </c>
      <c r="V146" s="1">
        <v>2</v>
      </c>
      <c r="W146" s="1"/>
      <c r="X146" s="1"/>
      <c r="Y146" s="1"/>
      <c r="Z146" s="1"/>
      <c r="AA146" s="1"/>
      <c r="AB146" s="1" t="s">
        <v>3</v>
      </c>
      <c r="AC146" s="1" t="s">
        <v>3</v>
      </c>
      <c r="AD146" s="1" t="s">
        <v>3</v>
      </c>
      <c r="AE146" s="1" t="s">
        <v>3</v>
      </c>
      <c r="AF146" s="1" t="s">
        <v>3</v>
      </c>
      <c r="AG146" s="1" t="s">
        <v>3</v>
      </c>
      <c r="AH146" s="1"/>
      <c r="AI146" s="1"/>
      <c r="AJ146" s="1"/>
      <c r="AK146" s="1"/>
      <c r="AL146" s="1"/>
      <c r="AM146" s="1"/>
      <c r="AN146" s="1"/>
      <c r="AO146" s="1"/>
      <c r="AP146" s="1" t="s">
        <v>3</v>
      </c>
      <c r="AQ146" s="1" t="s">
        <v>3</v>
      </c>
      <c r="AR146" s="1" t="s">
        <v>3</v>
      </c>
      <c r="AS146" s="1"/>
      <c r="AT146" s="1"/>
      <c r="AU146" s="1"/>
      <c r="AV146" s="1"/>
      <c r="AW146" s="1"/>
      <c r="AX146" s="1"/>
      <c r="AY146" s="1"/>
      <c r="AZ146" s="1" t="s">
        <v>3</v>
      </c>
      <c r="BA146" s="1"/>
      <c r="BB146" s="1" t="s">
        <v>3</v>
      </c>
      <c r="BC146" s="1" t="s">
        <v>3</v>
      </c>
      <c r="BD146" s="1" t="s">
        <v>3</v>
      </c>
      <c r="BE146" s="1" t="s">
        <v>3</v>
      </c>
      <c r="BF146" s="1" t="s">
        <v>3</v>
      </c>
      <c r="BG146" s="1" t="s">
        <v>3</v>
      </c>
      <c r="BH146" s="1" t="s">
        <v>3</v>
      </c>
      <c r="BI146" s="1" t="s">
        <v>3</v>
      </c>
      <c r="BJ146" s="1" t="s">
        <v>3</v>
      </c>
      <c r="BK146" s="1" t="s">
        <v>3</v>
      </c>
      <c r="BL146" s="1" t="s">
        <v>3</v>
      </c>
      <c r="BM146" s="1" t="s">
        <v>3</v>
      </c>
      <c r="BN146" s="1" t="s">
        <v>3</v>
      </c>
      <c r="BO146" s="1" t="s">
        <v>3</v>
      </c>
      <c r="BP146" s="1" t="s">
        <v>3</v>
      </c>
      <c r="BQ146" s="1"/>
      <c r="BR146" s="1"/>
      <c r="BS146" s="1"/>
      <c r="BT146" s="1"/>
      <c r="BU146" s="1"/>
      <c r="BV146" s="1"/>
      <c r="BW146" s="1"/>
      <c r="BX146" s="1">
        <v>0</v>
      </c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>
        <v>0</v>
      </c>
    </row>
    <row r="148" spans="1:255" x14ac:dyDescent="0.2">
      <c r="A148" s="3">
        <v>52</v>
      </c>
      <c r="B148" s="3">
        <f t="shared" ref="B148:G148" si="107">B191</f>
        <v>1</v>
      </c>
      <c r="C148" s="3">
        <f t="shared" si="107"/>
        <v>4</v>
      </c>
      <c r="D148" s="3">
        <f t="shared" si="107"/>
        <v>146</v>
      </c>
      <c r="E148" s="3">
        <f t="shared" si="107"/>
        <v>0</v>
      </c>
      <c r="F148" s="3" t="str">
        <f t="shared" si="107"/>
        <v/>
      </c>
      <c r="G148" s="3" t="str">
        <f t="shared" si="107"/>
        <v>Материалы</v>
      </c>
      <c r="H148" s="3"/>
      <c r="I148" s="3"/>
      <c r="J148" s="3"/>
      <c r="K148" s="3"/>
      <c r="L148" s="3"/>
      <c r="M148" s="3"/>
      <c r="N148" s="3"/>
      <c r="O148" s="3">
        <f t="shared" ref="O148:AT148" si="108">O191</f>
        <v>8905.14</v>
      </c>
      <c r="P148" s="3">
        <f t="shared" si="108"/>
        <v>8663.74</v>
      </c>
      <c r="Q148" s="3">
        <f t="shared" si="108"/>
        <v>0.01</v>
      </c>
      <c r="R148" s="3">
        <f t="shared" si="108"/>
        <v>0</v>
      </c>
      <c r="S148" s="3">
        <f t="shared" si="108"/>
        <v>241.39</v>
      </c>
      <c r="T148" s="3">
        <f t="shared" si="108"/>
        <v>0</v>
      </c>
      <c r="U148" s="3">
        <f t="shared" si="108"/>
        <v>17.943968240000004</v>
      </c>
      <c r="V148" s="3">
        <f t="shared" si="108"/>
        <v>0</v>
      </c>
      <c r="W148" s="3">
        <f t="shared" si="108"/>
        <v>0</v>
      </c>
      <c r="X148" s="3">
        <f t="shared" si="108"/>
        <v>224.33</v>
      </c>
      <c r="Y148" s="3">
        <f t="shared" si="108"/>
        <v>120.93</v>
      </c>
      <c r="Z148" s="3">
        <f t="shared" si="108"/>
        <v>0</v>
      </c>
      <c r="AA148" s="3">
        <f t="shared" si="108"/>
        <v>0</v>
      </c>
      <c r="AB148" s="3">
        <f t="shared" si="108"/>
        <v>8905.14</v>
      </c>
      <c r="AC148" s="3">
        <f t="shared" si="108"/>
        <v>8663.74</v>
      </c>
      <c r="AD148" s="3">
        <f t="shared" si="108"/>
        <v>0.01</v>
      </c>
      <c r="AE148" s="3">
        <f t="shared" si="108"/>
        <v>0</v>
      </c>
      <c r="AF148" s="3">
        <f t="shared" si="108"/>
        <v>241.39</v>
      </c>
      <c r="AG148" s="3">
        <f t="shared" si="108"/>
        <v>0</v>
      </c>
      <c r="AH148" s="3">
        <f t="shared" si="108"/>
        <v>17.943968240000004</v>
      </c>
      <c r="AI148" s="3">
        <f t="shared" si="108"/>
        <v>0</v>
      </c>
      <c r="AJ148" s="3">
        <f t="shared" si="108"/>
        <v>0</v>
      </c>
      <c r="AK148" s="3">
        <f t="shared" si="108"/>
        <v>224.33</v>
      </c>
      <c r="AL148" s="3">
        <f t="shared" si="108"/>
        <v>120.93</v>
      </c>
      <c r="AM148" s="3">
        <f t="shared" si="108"/>
        <v>0</v>
      </c>
      <c r="AN148" s="3">
        <f t="shared" si="108"/>
        <v>0</v>
      </c>
      <c r="AO148" s="3">
        <f t="shared" si="108"/>
        <v>0</v>
      </c>
      <c r="AP148" s="3">
        <f t="shared" si="108"/>
        <v>3876.22</v>
      </c>
      <c r="AQ148" s="3">
        <f t="shared" si="108"/>
        <v>0</v>
      </c>
      <c r="AR148" s="3">
        <f t="shared" si="108"/>
        <v>9250.4</v>
      </c>
      <c r="AS148" s="3">
        <f t="shared" si="108"/>
        <v>0</v>
      </c>
      <c r="AT148" s="3">
        <f t="shared" si="108"/>
        <v>5374.18</v>
      </c>
      <c r="AU148" s="3">
        <f t="shared" ref="AU148:BZ148" si="109">AU191</f>
        <v>0</v>
      </c>
      <c r="AV148" s="3">
        <f t="shared" si="109"/>
        <v>8663.74</v>
      </c>
      <c r="AW148" s="3">
        <f t="shared" si="109"/>
        <v>4787.5200000000004</v>
      </c>
      <c r="AX148" s="3">
        <f t="shared" si="109"/>
        <v>0</v>
      </c>
      <c r="AY148" s="3">
        <f t="shared" si="109"/>
        <v>4787.5200000000004</v>
      </c>
      <c r="AZ148" s="3">
        <f t="shared" si="109"/>
        <v>3876.22</v>
      </c>
      <c r="BA148" s="3">
        <f t="shared" si="109"/>
        <v>0</v>
      </c>
      <c r="BB148" s="3">
        <f t="shared" si="109"/>
        <v>0</v>
      </c>
      <c r="BC148" s="3">
        <f t="shared" si="109"/>
        <v>0</v>
      </c>
      <c r="BD148" s="3">
        <f t="shared" si="109"/>
        <v>0</v>
      </c>
      <c r="BE148" s="3">
        <f t="shared" si="109"/>
        <v>0</v>
      </c>
      <c r="BF148" s="3">
        <f t="shared" si="109"/>
        <v>0</v>
      </c>
      <c r="BG148" s="3">
        <f t="shared" si="109"/>
        <v>0</v>
      </c>
      <c r="BH148" s="3">
        <f t="shared" si="109"/>
        <v>0</v>
      </c>
      <c r="BI148" s="3">
        <f t="shared" si="109"/>
        <v>0</v>
      </c>
      <c r="BJ148" s="3">
        <f t="shared" si="109"/>
        <v>0</v>
      </c>
      <c r="BK148" s="3">
        <f t="shared" si="109"/>
        <v>0</v>
      </c>
      <c r="BL148" s="3">
        <f t="shared" si="109"/>
        <v>0</v>
      </c>
      <c r="BM148" s="3">
        <f t="shared" si="109"/>
        <v>0</v>
      </c>
      <c r="BN148" s="3">
        <f t="shared" si="109"/>
        <v>0</v>
      </c>
      <c r="BO148" s="3">
        <f t="shared" si="109"/>
        <v>0</v>
      </c>
      <c r="BP148" s="3">
        <f t="shared" si="109"/>
        <v>0</v>
      </c>
      <c r="BQ148" s="3">
        <f t="shared" si="109"/>
        <v>0</v>
      </c>
      <c r="BR148" s="3">
        <f t="shared" si="109"/>
        <v>0</v>
      </c>
      <c r="BS148" s="3">
        <f t="shared" si="109"/>
        <v>0</v>
      </c>
      <c r="BT148" s="3">
        <f t="shared" si="109"/>
        <v>0</v>
      </c>
      <c r="BU148" s="3">
        <f t="shared" si="109"/>
        <v>0</v>
      </c>
      <c r="BV148" s="3">
        <f t="shared" si="109"/>
        <v>0</v>
      </c>
      <c r="BW148" s="3">
        <f t="shared" si="109"/>
        <v>0</v>
      </c>
      <c r="BX148" s="3">
        <f t="shared" si="109"/>
        <v>0</v>
      </c>
      <c r="BY148" s="3">
        <f t="shared" si="109"/>
        <v>3876.22</v>
      </c>
      <c r="BZ148" s="3">
        <f t="shared" si="109"/>
        <v>0</v>
      </c>
      <c r="CA148" s="3">
        <f t="shared" ref="CA148:DF148" si="110">CA191</f>
        <v>9250.4</v>
      </c>
      <c r="CB148" s="3">
        <f t="shared" si="110"/>
        <v>0</v>
      </c>
      <c r="CC148" s="3">
        <f t="shared" si="110"/>
        <v>5374.18</v>
      </c>
      <c r="CD148" s="3">
        <f t="shared" si="110"/>
        <v>0</v>
      </c>
      <c r="CE148" s="3">
        <f t="shared" si="110"/>
        <v>8663.74</v>
      </c>
      <c r="CF148" s="3">
        <f t="shared" si="110"/>
        <v>4787.5200000000004</v>
      </c>
      <c r="CG148" s="3">
        <f t="shared" si="110"/>
        <v>0</v>
      </c>
      <c r="CH148" s="3">
        <f t="shared" si="110"/>
        <v>4787.5200000000004</v>
      </c>
      <c r="CI148" s="3">
        <f t="shared" si="110"/>
        <v>3876.22</v>
      </c>
      <c r="CJ148" s="3">
        <f t="shared" si="110"/>
        <v>0</v>
      </c>
      <c r="CK148" s="3">
        <f t="shared" si="110"/>
        <v>0</v>
      </c>
      <c r="CL148" s="3">
        <f t="shared" si="110"/>
        <v>0</v>
      </c>
      <c r="CM148" s="3">
        <f t="shared" si="110"/>
        <v>0</v>
      </c>
      <c r="CN148" s="3">
        <f t="shared" si="110"/>
        <v>0</v>
      </c>
      <c r="CO148" s="3">
        <f t="shared" si="110"/>
        <v>0</v>
      </c>
      <c r="CP148" s="3">
        <f t="shared" si="110"/>
        <v>0</v>
      </c>
      <c r="CQ148" s="3">
        <f t="shared" si="110"/>
        <v>0</v>
      </c>
      <c r="CR148" s="3">
        <f t="shared" si="110"/>
        <v>0</v>
      </c>
      <c r="CS148" s="3">
        <f t="shared" si="110"/>
        <v>0</v>
      </c>
      <c r="CT148" s="3">
        <f t="shared" si="110"/>
        <v>0</v>
      </c>
      <c r="CU148" s="3">
        <f t="shared" si="110"/>
        <v>0</v>
      </c>
      <c r="CV148" s="3">
        <f t="shared" si="110"/>
        <v>0</v>
      </c>
      <c r="CW148" s="3">
        <f t="shared" si="110"/>
        <v>0</v>
      </c>
      <c r="CX148" s="3">
        <f t="shared" si="110"/>
        <v>0</v>
      </c>
      <c r="CY148" s="3">
        <f t="shared" si="110"/>
        <v>0</v>
      </c>
      <c r="CZ148" s="3">
        <f t="shared" si="110"/>
        <v>0</v>
      </c>
      <c r="DA148" s="3">
        <f t="shared" si="110"/>
        <v>0</v>
      </c>
      <c r="DB148" s="3">
        <f t="shared" si="110"/>
        <v>0</v>
      </c>
      <c r="DC148" s="3">
        <f t="shared" si="110"/>
        <v>0</v>
      </c>
      <c r="DD148" s="3">
        <f t="shared" si="110"/>
        <v>0</v>
      </c>
      <c r="DE148" s="3">
        <f t="shared" si="110"/>
        <v>0</v>
      </c>
      <c r="DF148" s="3">
        <f t="shared" si="110"/>
        <v>0</v>
      </c>
      <c r="DG148" s="4">
        <f t="shared" ref="DG148:EL148" si="111">DG191</f>
        <v>88513.27</v>
      </c>
      <c r="DH148" s="4">
        <f t="shared" si="111"/>
        <v>75239.12</v>
      </c>
      <c r="DI148" s="4">
        <f t="shared" si="111"/>
        <v>0.12</v>
      </c>
      <c r="DJ148" s="4">
        <f t="shared" si="111"/>
        <v>0</v>
      </c>
      <c r="DK148" s="4">
        <f t="shared" si="111"/>
        <v>13274.03</v>
      </c>
      <c r="DL148" s="4">
        <f t="shared" si="111"/>
        <v>0</v>
      </c>
      <c r="DM148" s="4">
        <f t="shared" si="111"/>
        <v>17.943968240000004</v>
      </c>
      <c r="DN148" s="4">
        <f t="shared" si="111"/>
        <v>0</v>
      </c>
      <c r="DO148" s="4">
        <f t="shared" si="111"/>
        <v>0</v>
      </c>
      <c r="DP148" s="4">
        <f t="shared" si="111"/>
        <v>12335.27</v>
      </c>
      <c r="DQ148" s="4">
        <f t="shared" si="111"/>
        <v>6650.16</v>
      </c>
      <c r="DR148" s="4">
        <f t="shared" si="111"/>
        <v>0</v>
      </c>
      <c r="DS148" s="4">
        <f t="shared" si="111"/>
        <v>0</v>
      </c>
      <c r="DT148" s="4">
        <f t="shared" si="111"/>
        <v>88513.27</v>
      </c>
      <c r="DU148" s="4">
        <f t="shared" si="111"/>
        <v>75239.12</v>
      </c>
      <c r="DV148" s="4">
        <f t="shared" si="111"/>
        <v>0.12</v>
      </c>
      <c r="DW148" s="4">
        <f t="shared" si="111"/>
        <v>0</v>
      </c>
      <c r="DX148" s="4">
        <f t="shared" si="111"/>
        <v>13274.03</v>
      </c>
      <c r="DY148" s="4">
        <f t="shared" si="111"/>
        <v>0</v>
      </c>
      <c r="DZ148" s="4">
        <f t="shared" si="111"/>
        <v>17.943968240000004</v>
      </c>
      <c r="EA148" s="4">
        <f t="shared" si="111"/>
        <v>0</v>
      </c>
      <c r="EB148" s="4">
        <f t="shared" si="111"/>
        <v>0</v>
      </c>
      <c r="EC148" s="4">
        <f t="shared" si="111"/>
        <v>12335.27</v>
      </c>
      <c r="ED148" s="4">
        <f t="shared" si="111"/>
        <v>6650.16</v>
      </c>
      <c r="EE148" s="4">
        <f t="shared" si="111"/>
        <v>0</v>
      </c>
      <c r="EF148" s="4">
        <f t="shared" si="111"/>
        <v>0</v>
      </c>
      <c r="EG148" s="4">
        <f t="shared" si="111"/>
        <v>0</v>
      </c>
      <c r="EH148" s="4">
        <f t="shared" si="111"/>
        <v>30153.88</v>
      </c>
      <c r="EI148" s="4">
        <f t="shared" si="111"/>
        <v>0</v>
      </c>
      <c r="EJ148" s="4">
        <f t="shared" si="111"/>
        <v>107498.7</v>
      </c>
      <c r="EK148" s="4">
        <f t="shared" si="111"/>
        <v>0</v>
      </c>
      <c r="EL148" s="4">
        <f t="shared" si="111"/>
        <v>77344.820000000007</v>
      </c>
      <c r="EM148" s="4">
        <f t="shared" ref="EM148:FR148" si="112">EM191</f>
        <v>0</v>
      </c>
      <c r="EN148" s="4">
        <f t="shared" si="112"/>
        <v>75239.12</v>
      </c>
      <c r="EO148" s="4">
        <f t="shared" si="112"/>
        <v>45085.24</v>
      </c>
      <c r="EP148" s="4">
        <f t="shared" si="112"/>
        <v>0</v>
      </c>
      <c r="EQ148" s="4">
        <f t="shared" si="112"/>
        <v>45085.24</v>
      </c>
      <c r="ER148" s="4">
        <f t="shared" si="112"/>
        <v>30153.88</v>
      </c>
      <c r="ES148" s="4">
        <f t="shared" si="112"/>
        <v>0</v>
      </c>
      <c r="ET148" s="4">
        <f t="shared" si="112"/>
        <v>0</v>
      </c>
      <c r="EU148" s="4">
        <f t="shared" si="112"/>
        <v>0</v>
      </c>
      <c r="EV148" s="4">
        <f t="shared" si="112"/>
        <v>0</v>
      </c>
      <c r="EW148" s="4">
        <f t="shared" si="112"/>
        <v>0</v>
      </c>
      <c r="EX148" s="4">
        <f t="shared" si="112"/>
        <v>0</v>
      </c>
      <c r="EY148" s="4">
        <f t="shared" si="112"/>
        <v>0</v>
      </c>
      <c r="EZ148" s="4">
        <f t="shared" si="112"/>
        <v>0</v>
      </c>
      <c r="FA148" s="4">
        <f t="shared" si="112"/>
        <v>0</v>
      </c>
      <c r="FB148" s="4">
        <f t="shared" si="112"/>
        <v>0</v>
      </c>
      <c r="FC148" s="4">
        <f t="shared" si="112"/>
        <v>0</v>
      </c>
      <c r="FD148" s="4">
        <f t="shared" si="112"/>
        <v>0</v>
      </c>
      <c r="FE148" s="4">
        <f t="shared" si="112"/>
        <v>0</v>
      </c>
      <c r="FF148" s="4">
        <f t="shared" si="112"/>
        <v>0</v>
      </c>
      <c r="FG148" s="4">
        <f t="shared" si="112"/>
        <v>0</v>
      </c>
      <c r="FH148" s="4">
        <f t="shared" si="112"/>
        <v>0</v>
      </c>
      <c r="FI148" s="4">
        <f t="shared" si="112"/>
        <v>0</v>
      </c>
      <c r="FJ148" s="4">
        <f t="shared" si="112"/>
        <v>0</v>
      </c>
      <c r="FK148" s="4">
        <f t="shared" si="112"/>
        <v>0</v>
      </c>
      <c r="FL148" s="4">
        <f t="shared" si="112"/>
        <v>0</v>
      </c>
      <c r="FM148" s="4">
        <f t="shared" si="112"/>
        <v>0</v>
      </c>
      <c r="FN148" s="4">
        <f t="shared" si="112"/>
        <v>0</v>
      </c>
      <c r="FO148" s="4">
        <f t="shared" si="112"/>
        <v>0</v>
      </c>
      <c r="FP148" s="4">
        <f t="shared" si="112"/>
        <v>0</v>
      </c>
      <c r="FQ148" s="4">
        <f t="shared" si="112"/>
        <v>30153.88</v>
      </c>
      <c r="FR148" s="4">
        <f t="shared" si="112"/>
        <v>0</v>
      </c>
      <c r="FS148" s="4">
        <f t="shared" ref="FS148:GX148" si="113">FS191</f>
        <v>107498.7</v>
      </c>
      <c r="FT148" s="4">
        <f t="shared" si="113"/>
        <v>0</v>
      </c>
      <c r="FU148" s="4">
        <f t="shared" si="113"/>
        <v>77344.820000000007</v>
      </c>
      <c r="FV148" s="4">
        <f t="shared" si="113"/>
        <v>0</v>
      </c>
      <c r="FW148" s="4">
        <f t="shared" si="113"/>
        <v>75239.12</v>
      </c>
      <c r="FX148" s="4">
        <f t="shared" si="113"/>
        <v>45085.239999999991</v>
      </c>
      <c r="FY148" s="4">
        <f t="shared" si="113"/>
        <v>0</v>
      </c>
      <c r="FZ148" s="4">
        <f t="shared" si="113"/>
        <v>45085.239999999991</v>
      </c>
      <c r="GA148" s="4">
        <f t="shared" si="113"/>
        <v>30153.88</v>
      </c>
      <c r="GB148" s="4">
        <f t="shared" si="113"/>
        <v>0</v>
      </c>
      <c r="GC148" s="4">
        <f t="shared" si="113"/>
        <v>0</v>
      </c>
      <c r="GD148" s="4">
        <f t="shared" si="113"/>
        <v>0</v>
      </c>
      <c r="GE148" s="4">
        <f t="shared" si="113"/>
        <v>0</v>
      </c>
      <c r="GF148" s="4">
        <f t="shared" si="113"/>
        <v>0</v>
      </c>
      <c r="GG148" s="4">
        <f t="shared" si="113"/>
        <v>0</v>
      </c>
      <c r="GH148" s="4">
        <f t="shared" si="113"/>
        <v>0</v>
      </c>
      <c r="GI148" s="4">
        <f t="shared" si="113"/>
        <v>0</v>
      </c>
      <c r="GJ148" s="4">
        <f t="shared" si="113"/>
        <v>0</v>
      </c>
      <c r="GK148" s="4">
        <f t="shared" si="113"/>
        <v>0</v>
      </c>
      <c r="GL148" s="4">
        <f t="shared" si="113"/>
        <v>0</v>
      </c>
      <c r="GM148" s="4">
        <f t="shared" si="113"/>
        <v>0</v>
      </c>
      <c r="GN148" s="4">
        <f t="shared" si="113"/>
        <v>0</v>
      </c>
      <c r="GO148" s="4">
        <f t="shared" si="113"/>
        <v>0</v>
      </c>
      <c r="GP148" s="4">
        <f t="shared" si="113"/>
        <v>0</v>
      </c>
      <c r="GQ148" s="4">
        <f t="shared" si="113"/>
        <v>0</v>
      </c>
      <c r="GR148" s="4">
        <f t="shared" si="113"/>
        <v>0</v>
      </c>
      <c r="GS148" s="4">
        <f t="shared" si="113"/>
        <v>0</v>
      </c>
      <c r="GT148" s="4">
        <f t="shared" si="113"/>
        <v>0</v>
      </c>
      <c r="GU148" s="4">
        <f t="shared" si="113"/>
        <v>0</v>
      </c>
      <c r="GV148" s="4">
        <f t="shared" si="113"/>
        <v>0</v>
      </c>
      <c r="GW148" s="4">
        <f t="shared" si="113"/>
        <v>0</v>
      </c>
      <c r="GX148" s="4">
        <f t="shared" si="113"/>
        <v>0</v>
      </c>
    </row>
    <row r="150" spans="1:255" x14ac:dyDescent="0.2">
      <c r="A150" s="2">
        <v>17</v>
      </c>
      <c r="B150" s="2">
        <v>1</v>
      </c>
      <c r="C150" s="2">
        <f>ROW(SmtRes!A148)</f>
        <v>148</v>
      </c>
      <c r="D150" s="2">
        <f>ROW(EtalonRes!A160)</f>
        <v>160</v>
      </c>
      <c r="E150" s="2" t="s">
        <v>197</v>
      </c>
      <c r="F150" s="2" t="s">
        <v>198</v>
      </c>
      <c r="G150" s="2" t="s">
        <v>199</v>
      </c>
      <c r="H150" s="2" t="s">
        <v>63</v>
      </c>
      <c r="I150" s="2">
        <f>ROUND(2/100,9)</f>
        <v>0.02</v>
      </c>
      <c r="J150" s="2">
        <v>0</v>
      </c>
      <c r="K150" s="2">
        <f>ROUND(2/100,9)</f>
        <v>0.02</v>
      </c>
      <c r="L150" s="2"/>
      <c r="M150" s="2"/>
      <c r="N150" s="2"/>
      <c r="O150" s="2">
        <f t="shared" ref="O150:O189" si="114">ROUND(CP150,2)</f>
        <v>8.1300000000000008</v>
      </c>
      <c r="P150" s="2">
        <f t="shared" ref="P150:P159" si="115">ROUND((ROUND((AC150*AW150*I150),2)*BC150),2)</f>
        <v>1.71</v>
      </c>
      <c r="Q150" s="2">
        <f>(ROUND((ROUND((((ET150*1.1))*AV150*I150),2)*BB150),2)+ROUND((ROUND(((AE150-((EU150*1.1)))*AV150*I150),2)*BS150),2))</f>
        <v>0</v>
      </c>
      <c r="R150" s="2">
        <f>(ROUND((ROUND((((EU150*1.1))*AV150*I150),2)*BS150),2)+ROUND((ROUND(((AE150-((EU150*1.1)))*AV150*I150),2)*BS150),2))</f>
        <v>0</v>
      </c>
      <c r="S150" s="2">
        <f t="shared" ref="S150:S189" si="116">ROUND((ROUND((AF150*AV150*I150),2)*BA150),2)</f>
        <v>6.42</v>
      </c>
      <c r="T150" s="2">
        <f t="shared" ref="T150:T189" si="117">ROUND(CU150*I150,2)</f>
        <v>0</v>
      </c>
      <c r="U150" s="2">
        <f t="shared" ref="U150:U189" si="118">CV150*I150</f>
        <v>0.55281599999999997</v>
      </c>
      <c r="V150" s="2">
        <f t="shared" ref="V150:V189" si="119">CW150*I150</f>
        <v>0</v>
      </c>
      <c r="W150" s="2">
        <f t="shared" ref="W150:W189" si="120">ROUND(CX150*I150,2)</f>
        <v>0</v>
      </c>
      <c r="X150" s="2">
        <f>(ROUND((((S150+ROUND((ROUND((((EU150*1.1))*AV150*I150),2)*BS150),2))*AT150)/100),2)+ROUND(((ROUND((ROUND(((AE150-((EU150*1.1)))*AV150*I150),2)*BS150),2)*AT150)/100),2))</f>
        <v>5.78</v>
      </c>
      <c r="Y150" s="2">
        <f>(ROUND((((S150+ROUND((ROUND((((EU150*1.1))*AV150*I150),2)*BS150),2))*AU150)/100),2)+ROUND(((ROUND((ROUND(((AE150-((EU150*1.1)))*AV150*I150),2)*BS150),2)*AU150)/100),2))</f>
        <v>2.95</v>
      </c>
      <c r="Z150" s="2"/>
      <c r="AA150" s="2">
        <v>60256985</v>
      </c>
      <c r="AB150" s="2">
        <f t="shared" ref="AB150:AB189" si="121">ROUND((AC150+AD150+AF150),6)</f>
        <v>392.10399999999998</v>
      </c>
      <c r="AC150" s="2">
        <f t="shared" ref="AC150:AC189" si="122">ROUND((ES150),6)</f>
        <v>85.6</v>
      </c>
      <c r="AD150" s="2">
        <f>ROUND(((((ET150*1.1))-((EU150*1.1)))+AE150),6)</f>
        <v>0</v>
      </c>
      <c r="AE150" s="2">
        <f>ROUND(((EU150*1.1)),6)</f>
        <v>0</v>
      </c>
      <c r="AF150" s="2">
        <f>ROUND(((EV150*1.1)),6)</f>
        <v>306.50400000000002</v>
      </c>
      <c r="AG150" s="2">
        <f t="shared" ref="AG150:AG189" si="123">ROUND((AP150),6)</f>
        <v>0</v>
      </c>
      <c r="AH150" s="2">
        <f>((EW150*1.1))</f>
        <v>26.400000000000002</v>
      </c>
      <c r="AI150" s="2">
        <f>((EX150*1.1))</f>
        <v>0</v>
      </c>
      <c r="AJ150" s="2">
        <f t="shared" ref="AJ150:AJ189" si="124">(AS150)</f>
        <v>0</v>
      </c>
      <c r="AK150" s="2">
        <v>364.24</v>
      </c>
      <c r="AL150" s="2">
        <v>85.6</v>
      </c>
      <c r="AM150" s="2">
        <v>0</v>
      </c>
      <c r="AN150" s="2">
        <v>0</v>
      </c>
      <c r="AO150" s="2">
        <v>278.64</v>
      </c>
      <c r="AP150" s="2">
        <v>0</v>
      </c>
      <c r="AQ150" s="2">
        <v>24</v>
      </c>
      <c r="AR150" s="2">
        <v>0</v>
      </c>
      <c r="AS150" s="2">
        <v>0</v>
      </c>
      <c r="AT150" s="2">
        <v>90</v>
      </c>
      <c r="AU150" s="2">
        <v>46</v>
      </c>
      <c r="AV150" s="2">
        <v>1.0469999999999999</v>
      </c>
      <c r="AW150" s="2">
        <v>1</v>
      </c>
      <c r="AX150" s="2"/>
      <c r="AY150" s="2"/>
      <c r="AZ150" s="2">
        <v>1</v>
      </c>
      <c r="BA150" s="2">
        <v>1</v>
      </c>
      <c r="BB150" s="2">
        <v>1</v>
      </c>
      <c r="BC150" s="2">
        <v>1</v>
      </c>
      <c r="BD150" s="2" t="s">
        <v>3</v>
      </c>
      <c r="BE150" s="2" t="s">
        <v>3</v>
      </c>
      <c r="BF150" s="2" t="s">
        <v>3</v>
      </c>
      <c r="BG150" s="2" t="s">
        <v>3</v>
      </c>
      <c r="BH150" s="2">
        <v>0</v>
      </c>
      <c r="BI150" s="2">
        <v>2</v>
      </c>
      <c r="BJ150" s="2" t="s">
        <v>200</v>
      </c>
      <c r="BK150" s="2"/>
      <c r="BL150" s="2"/>
      <c r="BM150" s="2">
        <v>68</v>
      </c>
      <c r="BN150" s="2">
        <v>58973116</v>
      </c>
      <c r="BO150" s="2" t="s">
        <v>198</v>
      </c>
      <c r="BP150" s="2">
        <v>1</v>
      </c>
      <c r="BQ150" s="2">
        <v>40</v>
      </c>
      <c r="BR150" s="2">
        <v>0</v>
      </c>
      <c r="BS150" s="2">
        <v>1</v>
      </c>
      <c r="BT150" s="2">
        <v>1</v>
      </c>
      <c r="BU150" s="2">
        <v>1</v>
      </c>
      <c r="BV150" s="2">
        <v>1</v>
      </c>
      <c r="BW150" s="2">
        <v>1</v>
      </c>
      <c r="BX150" s="2">
        <v>1</v>
      </c>
      <c r="BY150" s="2" t="s">
        <v>3</v>
      </c>
      <c r="BZ150" s="2">
        <v>90</v>
      </c>
      <c r="CA150" s="2">
        <v>46</v>
      </c>
      <c r="CB150" s="2" t="s">
        <v>3</v>
      </c>
      <c r="CC150" s="2"/>
      <c r="CD150" s="2"/>
      <c r="CE150" s="2">
        <v>1566</v>
      </c>
      <c r="CF150" s="2">
        <v>0</v>
      </c>
      <c r="CG150" s="2">
        <v>0</v>
      </c>
      <c r="CH150" s="2"/>
      <c r="CI150" s="2"/>
      <c r="CJ150" s="2"/>
      <c r="CK150" s="2"/>
      <c r="CL150" s="2"/>
      <c r="CM150" s="2">
        <v>0</v>
      </c>
      <c r="CN150" s="2" t="s">
        <v>474</v>
      </c>
      <c r="CO150" s="2">
        <v>0</v>
      </c>
      <c r="CP150" s="2">
        <f t="shared" ref="CP150:CP189" si="125">(P150+Q150+S150)</f>
        <v>8.129999999999999</v>
      </c>
      <c r="CQ150" s="2">
        <f t="shared" ref="CQ150:CQ159" si="126">ROUND((ROUND((AC150*AW150*1),2)*BC150),2)</f>
        <v>85.6</v>
      </c>
      <c r="CR150" s="2">
        <f>(ROUND((ROUND((((ET150*1.1))*AV150*1),2)*BB150),2)+ROUND((ROUND(((AE150-((EU150*1.1)))*AV150*1),2)*BS150),2))</f>
        <v>0</v>
      </c>
      <c r="CS150" s="2">
        <f>(ROUND((ROUND((((EU150*1.1))*AV150*1),2)*BS150),2)+ROUND((ROUND(((AE150-((EU150*1.1)))*AV150*1),2)*BS150),2))</f>
        <v>0</v>
      </c>
      <c r="CT150" s="2">
        <f t="shared" ref="CT150:CT189" si="127">ROUND((ROUND((AF150*AV150*1),2)*BA150),2)</f>
        <v>320.91000000000003</v>
      </c>
      <c r="CU150" s="2">
        <f t="shared" ref="CU150:CU189" si="128">AG150</f>
        <v>0</v>
      </c>
      <c r="CV150" s="2">
        <f t="shared" ref="CV150:CV189" si="129">(AH150*AV150)</f>
        <v>27.640799999999999</v>
      </c>
      <c r="CW150" s="2">
        <f t="shared" ref="CW150:CW189" si="130">AI150</f>
        <v>0</v>
      </c>
      <c r="CX150" s="2">
        <f t="shared" ref="CX150:CX189" si="131">AJ150</f>
        <v>0</v>
      </c>
      <c r="CY150" s="2">
        <f>(ROUND((((S150+ROUND((ROUND((((EU150*1.1))*AV150*1),2)*BS150),2))*AT150)/100),2)+ROUND(((ROUND((ROUND(((AE150-((EU150*1.1)))*AV150*1),2)*BS150),2)*AT150)/100),2))</f>
        <v>5.78</v>
      </c>
      <c r="CZ150" s="2">
        <f>(ROUND((((S150+ROUND((ROUND((((EU150*1.1))*AV150*1),2)*BS150),2))*AU150)/100),2)+ROUND(((ROUND((ROUND(((AE150-((EU150*1.1)))*AV150*1),2)*BS150),2)*AU150)/100),2))</f>
        <v>2.95</v>
      </c>
      <c r="DA150" s="2"/>
      <c r="DB150" s="2">
        <v>19</v>
      </c>
      <c r="DC150" s="2" t="s">
        <v>3</v>
      </c>
      <c r="DD150" s="2" t="s">
        <v>3</v>
      </c>
      <c r="DE150" s="2" t="s">
        <v>23</v>
      </c>
      <c r="DF150" s="2" t="s">
        <v>23</v>
      </c>
      <c r="DG150" s="2" t="s">
        <v>23</v>
      </c>
      <c r="DH150" s="2" t="s">
        <v>3</v>
      </c>
      <c r="DI150" s="2" t="s">
        <v>23</v>
      </c>
      <c r="DJ150" s="2" t="s">
        <v>23</v>
      </c>
      <c r="DK150" s="2" t="s">
        <v>3</v>
      </c>
      <c r="DL150" s="2" t="s">
        <v>3</v>
      </c>
      <c r="DM150" s="2" t="s">
        <v>3</v>
      </c>
      <c r="DN150" s="2">
        <v>0</v>
      </c>
      <c r="DO150" s="2">
        <v>0</v>
      </c>
      <c r="DP150" s="2">
        <v>1</v>
      </c>
      <c r="DQ150" s="2">
        <v>1</v>
      </c>
      <c r="DR150" s="2"/>
      <c r="DS150" s="2"/>
      <c r="DT150" s="2"/>
      <c r="DU150" s="2">
        <v>1010</v>
      </c>
      <c r="DV150" s="2" t="s">
        <v>63</v>
      </c>
      <c r="DW150" s="2" t="s">
        <v>63</v>
      </c>
      <c r="DX150" s="2">
        <v>100</v>
      </c>
      <c r="DY150" s="2"/>
      <c r="DZ150" s="2" t="s">
        <v>3</v>
      </c>
      <c r="EA150" s="2" t="s">
        <v>3</v>
      </c>
      <c r="EB150" s="2" t="s">
        <v>3</v>
      </c>
      <c r="EC150" s="2" t="s">
        <v>3</v>
      </c>
      <c r="ED150" s="2"/>
      <c r="EE150" s="2">
        <v>60088532</v>
      </c>
      <c r="EF150" s="2">
        <v>40</v>
      </c>
      <c r="EG150" s="2" t="s">
        <v>24</v>
      </c>
      <c r="EH150" s="2">
        <v>0</v>
      </c>
      <c r="EI150" s="2" t="s">
        <v>3</v>
      </c>
      <c r="EJ150" s="2">
        <v>2</v>
      </c>
      <c r="EK150" s="2">
        <v>68</v>
      </c>
      <c r="EL150" s="2" t="s">
        <v>201</v>
      </c>
      <c r="EM150" s="2" t="s">
        <v>202</v>
      </c>
      <c r="EN150" s="2"/>
      <c r="EO150" s="2" t="s">
        <v>27</v>
      </c>
      <c r="EP150" s="2"/>
      <c r="EQ150" s="2">
        <v>0</v>
      </c>
      <c r="ER150" s="2">
        <v>364.24</v>
      </c>
      <c r="ES150" s="2">
        <v>85.6</v>
      </c>
      <c r="ET150" s="2">
        <v>0</v>
      </c>
      <c r="EU150" s="2">
        <v>0</v>
      </c>
      <c r="EV150" s="2">
        <v>278.64</v>
      </c>
      <c r="EW150" s="2">
        <v>24</v>
      </c>
      <c r="EX150" s="2">
        <v>0</v>
      </c>
      <c r="EY150" s="2">
        <v>0</v>
      </c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>
        <v>0</v>
      </c>
      <c r="FR150" s="2">
        <v>0</v>
      </c>
      <c r="FS150" s="2">
        <v>0</v>
      </c>
      <c r="FT150" s="2"/>
      <c r="FU150" s="2"/>
      <c r="FV150" s="2"/>
      <c r="FW150" s="2"/>
      <c r="FX150" s="2">
        <v>90</v>
      </c>
      <c r="FY150" s="2">
        <v>46</v>
      </c>
      <c r="FZ150" s="2"/>
      <c r="GA150" s="2" t="s">
        <v>3</v>
      </c>
      <c r="GB150" s="2"/>
      <c r="GC150" s="2"/>
      <c r="GD150" s="2">
        <v>1</v>
      </c>
      <c r="GE150" s="2"/>
      <c r="GF150" s="2">
        <v>1364637921</v>
      </c>
      <c r="GG150" s="2">
        <v>2</v>
      </c>
      <c r="GH150" s="2">
        <v>1</v>
      </c>
      <c r="GI150" s="2">
        <v>2</v>
      </c>
      <c r="GJ150" s="2">
        <v>0</v>
      </c>
      <c r="GK150" s="2">
        <v>0</v>
      </c>
      <c r="GL150" s="2">
        <f t="shared" ref="GL150:GL189" si="132">ROUND(IF(AND(BH150=3,BI150=3,FS150&lt;&gt;0),P150,0),2)</f>
        <v>0</v>
      </c>
      <c r="GM150" s="2">
        <f t="shared" ref="GM150:GM189" si="133">ROUND(O150+X150+Y150,2)+GX150</f>
        <v>16.86</v>
      </c>
      <c r="GN150" s="2">
        <f t="shared" ref="GN150:GN189" si="134">IF(OR(BI150=0,BI150=1),GM150-GX150,0)</f>
        <v>0</v>
      </c>
      <c r="GO150" s="2">
        <f t="shared" ref="GO150:GO189" si="135">IF(BI150=2,GM150-GX150,0)</f>
        <v>16.86</v>
      </c>
      <c r="GP150" s="2">
        <f t="shared" ref="GP150:GP189" si="136">IF(BI150=4,GM150-GX150,0)</f>
        <v>0</v>
      </c>
      <c r="GQ150" s="2"/>
      <c r="GR150" s="2">
        <v>0</v>
      </c>
      <c r="GS150" s="2">
        <v>3</v>
      </c>
      <c r="GT150" s="2">
        <v>0</v>
      </c>
      <c r="GU150" s="2" t="s">
        <v>3</v>
      </c>
      <c r="GV150" s="2">
        <f t="shared" ref="GV150:GV189" si="137">ROUND((GT150),6)</f>
        <v>0</v>
      </c>
      <c r="GW150" s="2">
        <v>1</v>
      </c>
      <c r="GX150" s="2">
        <f t="shared" ref="GX150:GX189" si="138">ROUND(HC150*I150,2)</f>
        <v>0</v>
      </c>
      <c r="GY150" s="2"/>
      <c r="GZ150" s="2"/>
      <c r="HA150" s="2">
        <v>0</v>
      </c>
      <c r="HB150" s="2">
        <v>0</v>
      </c>
      <c r="HC150" s="2">
        <f t="shared" ref="HC150:HC189" si="139">GV150*GW150</f>
        <v>0</v>
      </c>
      <c r="HD150" s="2"/>
      <c r="HE150" s="2" t="s">
        <v>3</v>
      </c>
      <c r="HF150" s="2" t="s">
        <v>3</v>
      </c>
      <c r="HG150" s="2"/>
      <c r="HH150" s="2"/>
      <c r="HI150" s="2"/>
      <c r="HJ150" s="2"/>
      <c r="HK150" s="2"/>
      <c r="HL150" s="2"/>
      <c r="HM150" s="2" t="s">
        <v>3</v>
      </c>
      <c r="HN150" s="2" t="s">
        <v>3</v>
      </c>
      <c r="HO150" s="2" t="s">
        <v>3</v>
      </c>
      <c r="HP150" s="2" t="s">
        <v>3</v>
      </c>
      <c r="HQ150" s="2" t="s">
        <v>3</v>
      </c>
      <c r="HR150" s="2"/>
      <c r="HS150" s="2">
        <v>0</v>
      </c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>
        <v>0</v>
      </c>
      <c r="IL150" s="2"/>
      <c r="IM150" s="2"/>
      <c r="IN150" s="2"/>
      <c r="IO150" s="2"/>
      <c r="IP150" s="2"/>
      <c r="IQ150" s="2"/>
      <c r="IR150" s="2"/>
      <c r="IS150" s="2"/>
      <c r="IT150" s="2"/>
      <c r="IU150" s="2"/>
    </row>
    <row r="151" spans="1:255" x14ac:dyDescent="0.2">
      <c r="A151">
        <v>17</v>
      </c>
      <c r="B151">
        <v>1</v>
      </c>
      <c r="C151">
        <f>ROW(SmtRes!A154)</f>
        <v>154</v>
      </c>
      <c r="D151">
        <f>ROW(EtalonRes!A166)</f>
        <v>166</v>
      </c>
      <c r="E151" t="s">
        <v>197</v>
      </c>
      <c r="F151" t="s">
        <v>198</v>
      </c>
      <c r="G151" t="s">
        <v>199</v>
      </c>
      <c r="H151" t="s">
        <v>63</v>
      </c>
      <c r="I151">
        <f>ROUND(2/100,9)</f>
        <v>0.02</v>
      </c>
      <c r="J151">
        <v>0</v>
      </c>
      <c r="K151">
        <f>ROUND(2/100,9)</f>
        <v>0.02</v>
      </c>
      <c r="O151">
        <f t="shared" si="114"/>
        <v>362.43</v>
      </c>
      <c r="P151">
        <f t="shared" si="115"/>
        <v>9.39</v>
      </c>
      <c r="Q151">
        <f>(ROUND((ROUND((((ET151*1.1))*AV151*I151),2)*BB151),2)+ROUND((ROUND(((AE151-((EU151*1.1)))*AV151*I151),2)*BS151),2))</f>
        <v>0</v>
      </c>
      <c r="R151">
        <f>(ROUND((ROUND((((EU151*1.1))*AV151*I151),2)*BS151),2)+ROUND((ROUND(((AE151-((EU151*1.1)))*AV151*I151),2)*BS151),2))</f>
        <v>0</v>
      </c>
      <c r="S151">
        <f t="shared" si="116"/>
        <v>353.04</v>
      </c>
      <c r="T151">
        <f t="shared" si="117"/>
        <v>0</v>
      </c>
      <c r="U151">
        <f t="shared" si="118"/>
        <v>0.55281599999999997</v>
      </c>
      <c r="V151">
        <f t="shared" si="119"/>
        <v>0</v>
      </c>
      <c r="W151">
        <f t="shared" si="120"/>
        <v>0</v>
      </c>
      <c r="X151">
        <f>(ROUND((((S151+ROUND((ROUND((((EU151*1.1))*AV151*I151),2)*BS151),2))*AT151)/100),2)+ROUND(((ROUND((ROUND(((AE151-((EU151*1.1)))*AV151*I151),2)*BS151),2)*AT151)/100),2))</f>
        <v>317.74</v>
      </c>
      <c r="Y151">
        <f>(ROUND((((S151+ROUND((ROUND((((EU151*1.1))*AV151*I151),2)*BS151),2))*AU151)/100),2)+ROUND(((ROUND((ROUND(((AE151-((EU151*1.1)))*AV151*I151),2)*BS151),2)*AU151)/100),2))</f>
        <v>162.4</v>
      </c>
      <c r="AA151">
        <v>60256982</v>
      </c>
      <c r="AB151">
        <f t="shared" si="121"/>
        <v>392.10399999999998</v>
      </c>
      <c r="AC151">
        <f t="shared" si="122"/>
        <v>85.6</v>
      </c>
      <c r="AD151">
        <f>ROUND(((((ET151*1.1))-((EU151*1.1)))+AE151),6)</f>
        <v>0</v>
      </c>
      <c r="AE151">
        <f>ROUND(((EU151*1.1)),6)</f>
        <v>0</v>
      </c>
      <c r="AF151">
        <f>ROUND(((EV151*1.1)),6)</f>
        <v>306.50400000000002</v>
      </c>
      <c r="AG151">
        <f t="shared" si="123"/>
        <v>0</v>
      </c>
      <c r="AH151">
        <f>((EW151*1.1))</f>
        <v>26.400000000000002</v>
      </c>
      <c r="AI151">
        <f>((EX151*1.1))</f>
        <v>0</v>
      </c>
      <c r="AJ151">
        <f t="shared" si="124"/>
        <v>0</v>
      </c>
      <c r="AK151">
        <v>364.24</v>
      </c>
      <c r="AL151">
        <v>85.6</v>
      </c>
      <c r="AM151">
        <v>0</v>
      </c>
      <c r="AN151">
        <v>0</v>
      </c>
      <c r="AO151">
        <v>278.64</v>
      </c>
      <c r="AP151">
        <v>0</v>
      </c>
      <c r="AQ151">
        <v>24</v>
      </c>
      <c r="AR151">
        <v>0</v>
      </c>
      <c r="AS151">
        <v>0</v>
      </c>
      <c r="AT151">
        <v>90</v>
      </c>
      <c r="AU151">
        <v>46</v>
      </c>
      <c r="AV151">
        <v>1.0469999999999999</v>
      </c>
      <c r="AW151">
        <v>1</v>
      </c>
      <c r="AZ151">
        <v>1</v>
      </c>
      <c r="BA151">
        <v>54.99</v>
      </c>
      <c r="BB151">
        <v>1</v>
      </c>
      <c r="BC151">
        <v>5.49</v>
      </c>
      <c r="BD151" t="s">
        <v>3</v>
      </c>
      <c r="BE151" t="s">
        <v>3</v>
      </c>
      <c r="BF151" t="s">
        <v>3</v>
      </c>
      <c r="BG151" t="s">
        <v>3</v>
      </c>
      <c r="BH151">
        <v>0</v>
      </c>
      <c r="BI151">
        <v>2</v>
      </c>
      <c r="BJ151" t="s">
        <v>200</v>
      </c>
      <c r="BM151">
        <v>68</v>
      </c>
      <c r="BN151">
        <v>58973116</v>
      </c>
      <c r="BO151" t="s">
        <v>198</v>
      </c>
      <c r="BP151">
        <v>1</v>
      </c>
      <c r="BQ151">
        <v>40</v>
      </c>
      <c r="BR151">
        <v>0</v>
      </c>
      <c r="BS151">
        <v>54.99</v>
      </c>
      <c r="BT151">
        <v>1</v>
      </c>
      <c r="BU151">
        <v>1</v>
      </c>
      <c r="BV151">
        <v>1</v>
      </c>
      <c r="BW151">
        <v>1</v>
      </c>
      <c r="BX151">
        <v>1</v>
      </c>
      <c r="BY151" t="s">
        <v>3</v>
      </c>
      <c r="BZ151">
        <v>90</v>
      </c>
      <c r="CA151">
        <v>46</v>
      </c>
      <c r="CB151" t="s">
        <v>3</v>
      </c>
      <c r="CE151">
        <v>1566</v>
      </c>
      <c r="CF151">
        <v>0</v>
      </c>
      <c r="CG151">
        <v>0</v>
      </c>
      <c r="CM151">
        <v>0</v>
      </c>
      <c r="CN151" t="s">
        <v>474</v>
      </c>
      <c r="CO151">
        <v>0</v>
      </c>
      <c r="CP151">
        <f t="shared" si="125"/>
        <v>362.43</v>
      </c>
      <c r="CQ151">
        <f t="shared" si="126"/>
        <v>469.94</v>
      </c>
      <c r="CR151">
        <f>(ROUND((ROUND((((ET151*1.1))*AV151*1),2)*BB151),2)+ROUND((ROUND(((AE151-((EU151*1.1)))*AV151*1),2)*BS151),2))</f>
        <v>0</v>
      </c>
      <c r="CS151">
        <f>(ROUND((ROUND((((EU151*1.1))*AV151*1),2)*BS151),2)+ROUND((ROUND(((AE151-((EU151*1.1)))*AV151*1),2)*BS151),2))</f>
        <v>0</v>
      </c>
      <c r="CT151">
        <f t="shared" si="127"/>
        <v>17646.84</v>
      </c>
      <c r="CU151">
        <f t="shared" si="128"/>
        <v>0</v>
      </c>
      <c r="CV151">
        <f t="shared" si="129"/>
        <v>27.640799999999999</v>
      </c>
      <c r="CW151">
        <f t="shared" si="130"/>
        <v>0</v>
      </c>
      <c r="CX151">
        <f t="shared" si="131"/>
        <v>0</v>
      </c>
      <c r="CY151">
        <f>(ROUND((((S151+ROUND((ROUND((((EU151*1.1))*AV151*1),2)*BS151),2))*AT151)/100),2)+ROUND(((ROUND((ROUND(((AE151-((EU151*1.1)))*AV151*1),2)*BS151),2)*AT151)/100),2))</f>
        <v>317.74</v>
      </c>
      <c r="CZ151">
        <f>(ROUND((((S151+ROUND((ROUND((((EU151*1.1))*AV151*1),2)*BS151),2))*AU151)/100),2)+ROUND(((ROUND((ROUND(((AE151-((EU151*1.1)))*AV151*1),2)*BS151),2)*AU151)/100),2))</f>
        <v>162.4</v>
      </c>
      <c r="DB151">
        <v>20</v>
      </c>
      <c r="DC151" t="s">
        <v>3</v>
      </c>
      <c r="DD151" t="s">
        <v>3</v>
      </c>
      <c r="DE151" t="s">
        <v>23</v>
      </c>
      <c r="DF151" t="s">
        <v>23</v>
      </c>
      <c r="DG151" t="s">
        <v>23</v>
      </c>
      <c r="DH151" t="s">
        <v>3</v>
      </c>
      <c r="DI151" t="s">
        <v>23</v>
      </c>
      <c r="DJ151" t="s">
        <v>23</v>
      </c>
      <c r="DK151" t="s">
        <v>3</v>
      </c>
      <c r="DL151" t="s">
        <v>3</v>
      </c>
      <c r="DM151" t="s">
        <v>3</v>
      </c>
      <c r="DN151">
        <v>0</v>
      </c>
      <c r="DO151">
        <v>0</v>
      </c>
      <c r="DP151">
        <v>1</v>
      </c>
      <c r="DQ151">
        <v>1</v>
      </c>
      <c r="DU151">
        <v>1010</v>
      </c>
      <c r="DV151" t="s">
        <v>63</v>
      </c>
      <c r="DW151" t="s">
        <v>63</v>
      </c>
      <c r="DX151">
        <v>100</v>
      </c>
      <c r="DZ151" t="s">
        <v>3</v>
      </c>
      <c r="EA151" t="s">
        <v>3</v>
      </c>
      <c r="EB151" t="s">
        <v>3</v>
      </c>
      <c r="EC151" t="s">
        <v>3</v>
      </c>
      <c r="EE151">
        <v>60088532</v>
      </c>
      <c r="EF151">
        <v>40</v>
      </c>
      <c r="EG151" t="s">
        <v>24</v>
      </c>
      <c r="EH151">
        <v>0</v>
      </c>
      <c r="EI151" t="s">
        <v>3</v>
      </c>
      <c r="EJ151">
        <v>2</v>
      </c>
      <c r="EK151">
        <v>68</v>
      </c>
      <c r="EL151" t="s">
        <v>201</v>
      </c>
      <c r="EM151" t="s">
        <v>202</v>
      </c>
      <c r="EO151" t="s">
        <v>27</v>
      </c>
      <c r="EQ151">
        <v>0</v>
      </c>
      <c r="ER151">
        <v>364.24</v>
      </c>
      <c r="ES151">
        <v>85.6</v>
      </c>
      <c r="ET151">
        <v>0</v>
      </c>
      <c r="EU151">
        <v>0</v>
      </c>
      <c r="EV151">
        <v>278.64</v>
      </c>
      <c r="EW151">
        <v>24</v>
      </c>
      <c r="EX151">
        <v>0</v>
      </c>
      <c r="EY151">
        <v>0</v>
      </c>
      <c r="FQ151">
        <v>0</v>
      </c>
      <c r="FR151">
        <v>0</v>
      </c>
      <c r="FS151">
        <v>0</v>
      </c>
      <c r="FX151">
        <v>90</v>
      </c>
      <c r="FY151">
        <v>46</v>
      </c>
      <c r="GA151" t="s">
        <v>3</v>
      </c>
      <c r="GD151">
        <v>1</v>
      </c>
      <c r="GF151">
        <v>1364637921</v>
      </c>
      <c r="GG151">
        <v>2</v>
      </c>
      <c r="GH151">
        <v>1</v>
      </c>
      <c r="GI151">
        <v>2</v>
      </c>
      <c r="GJ151">
        <v>0</v>
      </c>
      <c r="GK151">
        <v>0</v>
      </c>
      <c r="GL151">
        <f t="shared" si="132"/>
        <v>0</v>
      </c>
      <c r="GM151">
        <f t="shared" si="133"/>
        <v>842.57</v>
      </c>
      <c r="GN151">
        <f t="shared" si="134"/>
        <v>0</v>
      </c>
      <c r="GO151">
        <f t="shared" si="135"/>
        <v>842.57</v>
      </c>
      <c r="GP151">
        <f t="shared" si="136"/>
        <v>0</v>
      </c>
      <c r="GR151">
        <v>0</v>
      </c>
      <c r="GS151">
        <v>3</v>
      </c>
      <c r="GT151">
        <v>0</v>
      </c>
      <c r="GU151" t="s">
        <v>3</v>
      </c>
      <c r="GV151">
        <f t="shared" si="137"/>
        <v>0</v>
      </c>
      <c r="GW151">
        <v>1</v>
      </c>
      <c r="GX151">
        <f t="shared" si="138"/>
        <v>0</v>
      </c>
      <c r="HA151">
        <v>0</v>
      </c>
      <c r="HB151">
        <v>0</v>
      </c>
      <c r="HC151">
        <f t="shared" si="139"/>
        <v>0</v>
      </c>
      <c r="HE151" t="s">
        <v>3</v>
      </c>
      <c r="HF151" t="s">
        <v>3</v>
      </c>
      <c r="HM151" t="s">
        <v>3</v>
      </c>
      <c r="HN151" t="s">
        <v>3</v>
      </c>
      <c r="HO151" t="s">
        <v>3</v>
      </c>
      <c r="HP151" t="s">
        <v>3</v>
      </c>
      <c r="HQ151" t="s">
        <v>3</v>
      </c>
      <c r="HS151">
        <v>0</v>
      </c>
      <c r="IK151">
        <v>0</v>
      </c>
    </row>
    <row r="152" spans="1:255" x14ac:dyDescent="0.2">
      <c r="A152" s="2">
        <v>18</v>
      </c>
      <c r="B152" s="2">
        <v>1</v>
      </c>
      <c r="C152" s="2">
        <v>148</v>
      </c>
      <c r="D152" s="2"/>
      <c r="E152" s="2" t="s">
        <v>203</v>
      </c>
      <c r="F152" s="2" t="s">
        <v>204</v>
      </c>
      <c r="G152" s="2" t="s">
        <v>205</v>
      </c>
      <c r="H152" s="2" t="s">
        <v>206</v>
      </c>
      <c r="I152" s="2">
        <f>I150*J152</f>
        <v>2.0400000000000001E-3</v>
      </c>
      <c r="J152" s="2">
        <v>0.10200000000000001</v>
      </c>
      <c r="K152" s="2">
        <v>0.10199999999999999</v>
      </c>
      <c r="L152" s="2"/>
      <c r="M152" s="2"/>
      <c r="N152" s="2"/>
      <c r="O152" s="2">
        <f t="shared" si="114"/>
        <v>0.06</v>
      </c>
      <c r="P152" s="2">
        <f t="shared" si="115"/>
        <v>0.06</v>
      </c>
      <c r="Q152" s="2">
        <f>(ROUND((ROUND(((ET152)*AV152*I152),2)*BB152),2)+ROUND((ROUND(((AE152-(EU152))*AV152*I152),2)*BS152),2))</f>
        <v>0</v>
      </c>
      <c r="R152" s="2">
        <f>(ROUND((ROUND(((EU152)*AV152*I152),2)*BS152),2)+ROUND((ROUND(((AE152-(EU152))*AV152*I152),2)*BS152),2))</f>
        <v>0</v>
      </c>
      <c r="S152" s="2">
        <f t="shared" si="116"/>
        <v>0</v>
      </c>
      <c r="T152" s="2">
        <f t="shared" si="117"/>
        <v>0</v>
      </c>
      <c r="U152" s="2">
        <f t="shared" si="118"/>
        <v>0</v>
      </c>
      <c r="V152" s="2">
        <f t="shared" si="119"/>
        <v>0</v>
      </c>
      <c r="W152" s="2">
        <f t="shared" si="120"/>
        <v>0</v>
      </c>
      <c r="X152" s="2">
        <f>(ROUND((((S152+ROUND((ROUND(((EU152)*AV152*I152),2)*BS152),2))*AT152)/100),2)+ROUND(((ROUND((ROUND(((AE152-(EU152))*AV152*I152),2)*BS152),2)*AT152)/100),2))</f>
        <v>0</v>
      </c>
      <c r="Y152" s="2">
        <f>(ROUND((((S152+ROUND((ROUND(((EU152)*AV152*I152),2)*BS152),2))*AU152)/100),2)+ROUND(((ROUND((ROUND(((AE152-(EU152))*AV152*I152),2)*BS152),2)*AU152)/100),2))</f>
        <v>0</v>
      </c>
      <c r="Z152" s="2"/>
      <c r="AA152" s="2">
        <v>60256985</v>
      </c>
      <c r="AB152" s="2">
        <f t="shared" si="121"/>
        <v>31.51</v>
      </c>
      <c r="AC152" s="2">
        <f t="shared" si="122"/>
        <v>31.51</v>
      </c>
      <c r="AD152" s="2">
        <f>ROUND((((ET152)-(EU152))+AE152),6)</f>
        <v>0</v>
      </c>
      <c r="AE152" s="2">
        <f>ROUND((EU152),6)</f>
        <v>0</v>
      </c>
      <c r="AF152" s="2">
        <f>ROUND((EV152),6)</f>
        <v>0</v>
      </c>
      <c r="AG152" s="2">
        <f t="shared" si="123"/>
        <v>0</v>
      </c>
      <c r="AH152" s="2">
        <f>(EW152)</f>
        <v>0</v>
      </c>
      <c r="AI152" s="2">
        <f>(EX152)</f>
        <v>0</v>
      </c>
      <c r="AJ152" s="2">
        <f t="shared" si="124"/>
        <v>0</v>
      </c>
      <c r="AK152" s="2">
        <v>31.51</v>
      </c>
      <c r="AL152" s="2">
        <v>31.51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90</v>
      </c>
      <c r="AU152" s="2">
        <v>46</v>
      </c>
      <c r="AV152" s="2">
        <v>1</v>
      </c>
      <c r="AW152" s="2">
        <v>1</v>
      </c>
      <c r="AX152" s="2"/>
      <c r="AY152" s="2"/>
      <c r="AZ152" s="2">
        <v>1</v>
      </c>
      <c r="BA152" s="2">
        <v>1</v>
      </c>
      <c r="BB152" s="2">
        <v>1</v>
      </c>
      <c r="BC152" s="2">
        <v>1</v>
      </c>
      <c r="BD152" s="2" t="s">
        <v>3</v>
      </c>
      <c r="BE152" s="2" t="s">
        <v>3</v>
      </c>
      <c r="BF152" s="2" t="s">
        <v>3</v>
      </c>
      <c r="BG152" s="2" t="s">
        <v>3</v>
      </c>
      <c r="BH152" s="2">
        <v>3</v>
      </c>
      <c r="BI152" s="2">
        <v>2</v>
      </c>
      <c r="BJ152" s="2" t="s">
        <v>3</v>
      </c>
      <c r="BK152" s="2"/>
      <c r="BL152" s="2"/>
      <c r="BM152" s="2">
        <v>68</v>
      </c>
      <c r="BN152" s="2">
        <v>0</v>
      </c>
      <c r="BO152" s="2" t="s">
        <v>3</v>
      </c>
      <c r="BP152" s="2">
        <v>0</v>
      </c>
      <c r="BQ152" s="2">
        <v>40</v>
      </c>
      <c r="BR152" s="2">
        <v>0</v>
      </c>
      <c r="BS152" s="2">
        <v>1</v>
      </c>
      <c r="BT152" s="2">
        <v>1</v>
      </c>
      <c r="BU152" s="2">
        <v>1</v>
      </c>
      <c r="BV152" s="2">
        <v>1</v>
      </c>
      <c r="BW152" s="2">
        <v>1</v>
      </c>
      <c r="BX152" s="2">
        <v>1</v>
      </c>
      <c r="BY152" s="2" t="s">
        <v>3</v>
      </c>
      <c r="BZ152" s="2">
        <v>90</v>
      </c>
      <c r="CA152" s="2">
        <v>46</v>
      </c>
      <c r="CB152" s="2" t="s">
        <v>3</v>
      </c>
      <c r="CC152" s="2"/>
      <c r="CD152" s="2"/>
      <c r="CE152" s="2">
        <v>1566</v>
      </c>
      <c r="CF152" s="2">
        <v>0</v>
      </c>
      <c r="CG152" s="2">
        <v>0</v>
      </c>
      <c r="CH152" s="2"/>
      <c r="CI152" s="2"/>
      <c r="CJ152" s="2"/>
      <c r="CK152" s="2"/>
      <c r="CL152" s="2"/>
      <c r="CM152" s="2">
        <v>0</v>
      </c>
      <c r="CN152" s="2" t="s">
        <v>3</v>
      </c>
      <c r="CO152" s="2">
        <v>0</v>
      </c>
      <c r="CP152" s="2">
        <f t="shared" si="125"/>
        <v>0.06</v>
      </c>
      <c r="CQ152" s="2">
        <f t="shared" si="126"/>
        <v>31.51</v>
      </c>
      <c r="CR152" s="2">
        <f>(ROUND((ROUND(((ET152)*AV152*1),2)*BB152),2)+ROUND((ROUND(((AE152-(EU152))*AV152*1),2)*BS152),2))</f>
        <v>0</v>
      </c>
      <c r="CS152" s="2">
        <f>(ROUND((ROUND(((EU152)*AV152*1),2)*BS152),2)+ROUND((ROUND(((AE152-(EU152))*AV152*1),2)*BS152),2))</f>
        <v>0</v>
      </c>
      <c r="CT152" s="2">
        <f t="shared" si="127"/>
        <v>0</v>
      </c>
      <c r="CU152" s="2">
        <f t="shared" si="128"/>
        <v>0</v>
      </c>
      <c r="CV152" s="2">
        <f t="shared" si="129"/>
        <v>0</v>
      </c>
      <c r="CW152" s="2">
        <f t="shared" si="130"/>
        <v>0</v>
      </c>
      <c r="CX152" s="2">
        <f t="shared" si="131"/>
        <v>0</v>
      </c>
      <c r="CY152" s="2">
        <f>(ROUND((((S152+ROUND((ROUND(((EU152)*AV152*1),2)*BS152),2))*AT152)/100),2)+ROUND(((ROUND((ROUND(((AE152-(EU152))*AV152*1),2)*BS152),2)*AT152)/100),2))</f>
        <v>0</v>
      </c>
      <c r="CZ152" s="2">
        <f>(ROUND((((S152+ROUND((ROUND(((EU152)*AV152*1),2)*BS152),2))*AU152)/100),2)+ROUND(((ROUND((ROUND(((AE152-(EU152))*AV152*1),2)*BS152),2)*AU152)/100),2))</f>
        <v>0</v>
      </c>
      <c r="DA152" s="2"/>
      <c r="DB152" s="2"/>
      <c r="DC152" s="2" t="s">
        <v>3</v>
      </c>
      <c r="DD152" s="2" t="s">
        <v>3</v>
      </c>
      <c r="DE152" s="2" t="s">
        <v>3</v>
      </c>
      <c r="DF152" s="2" t="s">
        <v>3</v>
      </c>
      <c r="DG152" s="2" t="s">
        <v>3</v>
      </c>
      <c r="DH152" s="2" t="s">
        <v>3</v>
      </c>
      <c r="DI152" s="2" t="s">
        <v>3</v>
      </c>
      <c r="DJ152" s="2" t="s">
        <v>3</v>
      </c>
      <c r="DK152" s="2" t="s">
        <v>3</v>
      </c>
      <c r="DL152" s="2" t="s">
        <v>3</v>
      </c>
      <c r="DM152" s="2" t="s">
        <v>3</v>
      </c>
      <c r="DN152" s="2">
        <v>0</v>
      </c>
      <c r="DO152" s="2">
        <v>0</v>
      </c>
      <c r="DP152" s="2">
        <v>1</v>
      </c>
      <c r="DQ152" s="2">
        <v>1</v>
      </c>
      <c r="DR152" s="2"/>
      <c r="DS152" s="2"/>
      <c r="DT152" s="2"/>
      <c r="DU152" s="2">
        <v>1013</v>
      </c>
      <c r="DV152" s="2" t="s">
        <v>206</v>
      </c>
      <c r="DW152" s="2" t="s">
        <v>206</v>
      </c>
      <c r="DX152" s="2">
        <v>1</v>
      </c>
      <c r="DY152" s="2"/>
      <c r="DZ152" s="2" t="s">
        <v>3</v>
      </c>
      <c r="EA152" s="2" t="s">
        <v>3</v>
      </c>
      <c r="EB152" s="2" t="s">
        <v>3</v>
      </c>
      <c r="EC152" s="2" t="s">
        <v>3</v>
      </c>
      <c r="ED152" s="2"/>
      <c r="EE152" s="2">
        <v>60088532</v>
      </c>
      <c r="EF152" s="2">
        <v>40</v>
      </c>
      <c r="EG152" s="2" t="s">
        <v>24</v>
      </c>
      <c r="EH152" s="2">
        <v>0</v>
      </c>
      <c r="EI152" s="2" t="s">
        <v>3</v>
      </c>
      <c r="EJ152" s="2">
        <v>2</v>
      </c>
      <c r="EK152" s="2">
        <v>68</v>
      </c>
      <c r="EL152" s="2" t="s">
        <v>201</v>
      </c>
      <c r="EM152" s="2" t="s">
        <v>202</v>
      </c>
      <c r="EN152" s="2"/>
      <c r="EO152" s="2" t="s">
        <v>3</v>
      </c>
      <c r="EP152" s="2"/>
      <c r="EQ152" s="2">
        <v>0</v>
      </c>
      <c r="ER152" s="2">
        <v>0</v>
      </c>
      <c r="ES152" s="2">
        <v>31.51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>
        <v>0</v>
      </c>
      <c r="FR152" s="2">
        <v>0</v>
      </c>
      <c r="FS152" s="2">
        <v>0</v>
      </c>
      <c r="FT152" s="2"/>
      <c r="FU152" s="2"/>
      <c r="FV152" s="2"/>
      <c r="FW152" s="2"/>
      <c r="FX152" s="2">
        <v>90</v>
      </c>
      <c r="FY152" s="2">
        <v>46</v>
      </c>
      <c r="FZ152" s="2"/>
      <c r="GA152" s="2" t="s">
        <v>207</v>
      </c>
      <c r="GB152" s="2"/>
      <c r="GC152" s="2"/>
      <c r="GD152" s="2">
        <v>1</v>
      </c>
      <c r="GE152" s="2"/>
      <c r="GF152" s="2">
        <v>1326286393</v>
      </c>
      <c r="GG152" s="2">
        <v>2</v>
      </c>
      <c r="GH152" s="2">
        <v>4</v>
      </c>
      <c r="GI152" s="2">
        <v>-2</v>
      </c>
      <c r="GJ152" s="2">
        <v>0</v>
      </c>
      <c r="GK152" s="2">
        <v>0</v>
      </c>
      <c r="GL152" s="2">
        <f t="shared" si="132"/>
        <v>0</v>
      </c>
      <c r="GM152" s="2">
        <f t="shared" si="133"/>
        <v>0.06</v>
      </c>
      <c r="GN152" s="2">
        <f t="shared" si="134"/>
        <v>0</v>
      </c>
      <c r="GO152" s="2">
        <f t="shared" si="135"/>
        <v>0.06</v>
      </c>
      <c r="GP152" s="2">
        <f t="shared" si="136"/>
        <v>0</v>
      </c>
      <c r="GQ152" s="2"/>
      <c r="GR152" s="2">
        <v>0</v>
      </c>
      <c r="GS152" s="2">
        <v>2</v>
      </c>
      <c r="GT152" s="2">
        <v>0</v>
      </c>
      <c r="GU152" s="2" t="s">
        <v>3</v>
      </c>
      <c r="GV152" s="2">
        <f t="shared" si="137"/>
        <v>0</v>
      </c>
      <c r="GW152" s="2">
        <v>1</v>
      </c>
      <c r="GX152" s="2">
        <f t="shared" si="138"/>
        <v>0</v>
      </c>
      <c r="GY152" s="2"/>
      <c r="GZ152" s="2"/>
      <c r="HA152" s="2">
        <v>0</v>
      </c>
      <c r="HB152" s="2">
        <v>0</v>
      </c>
      <c r="HC152" s="2">
        <f t="shared" si="139"/>
        <v>0</v>
      </c>
      <c r="HD152" s="2"/>
      <c r="HE152" s="2" t="s">
        <v>168</v>
      </c>
      <c r="HF152" s="2" t="s">
        <v>38</v>
      </c>
      <c r="HG152" s="2"/>
      <c r="HH152" s="2"/>
      <c r="HI152" s="2"/>
      <c r="HJ152" s="2"/>
      <c r="HK152" s="2"/>
      <c r="HL152" s="2"/>
      <c r="HM152" s="2" t="s">
        <v>3</v>
      </c>
      <c r="HN152" s="2" t="s">
        <v>3</v>
      </c>
      <c r="HO152" s="2" t="s">
        <v>3</v>
      </c>
      <c r="HP152" s="2" t="s">
        <v>3</v>
      </c>
      <c r="HQ152" s="2" t="s">
        <v>3</v>
      </c>
      <c r="HR152" s="2"/>
      <c r="HS152" s="2">
        <v>0</v>
      </c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>
        <v>0</v>
      </c>
      <c r="IL152" s="2"/>
      <c r="IM152" s="2"/>
      <c r="IN152" s="2"/>
      <c r="IO152" s="2"/>
      <c r="IP152" s="2"/>
      <c r="IQ152" s="2"/>
      <c r="IR152" s="2"/>
      <c r="IS152" s="2"/>
      <c r="IT152" s="2"/>
      <c r="IU152" s="2"/>
    </row>
    <row r="153" spans="1:255" x14ac:dyDescent="0.2">
      <c r="A153">
        <v>18</v>
      </c>
      <c r="B153">
        <v>1</v>
      </c>
      <c r="C153">
        <v>154</v>
      </c>
      <c r="E153" t="s">
        <v>203</v>
      </c>
      <c r="F153" t="s">
        <v>204</v>
      </c>
      <c r="G153" t="s">
        <v>205</v>
      </c>
      <c r="H153" t="s">
        <v>206</v>
      </c>
      <c r="I153">
        <f>I151*J153</f>
        <v>2.0400000000000001E-3</v>
      </c>
      <c r="J153">
        <v>0.10200000000000001</v>
      </c>
      <c r="K153">
        <v>0.10199999999999999</v>
      </c>
      <c r="O153">
        <f t="shared" si="114"/>
        <v>0.59</v>
      </c>
      <c r="P153">
        <f t="shared" si="115"/>
        <v>0.59</v>
      </c>
      <c r="Q153">
        <f>(ROUND((ROUND(((ET153)*AV153*I153),2)*BB153),2)+ROUND((ROUND(((AE153-(EU153))*AV153*I153),2)*BS153),2))</f>
        <v>0</v>
      </c>
      <c r="R153">
        <f>(ROUND((ROUND(((EU153)*AV153*I153),2)*BS153),2)+ROUND((ROUND(((AE153-(EU153))*AV153*I153),2)*BS153),2))</f>
        <v>0</v>
      </c>
      <c r="S153">
        <f t="shared" si="116"/>
        <v>0</v>
      </c>
      <c r="T153">
        <f t="shared" si="117"/>
        <v>0</v>
      </c>
      <c r="U153">
        <f t="shared" si="118"/>
        <v>0</v>
      </c>
      <c r="V153">
        <f t="shared" si="119"/>
        <v>0</v>
      </c>
      <c r="W153">
        <f t="shared" si="120"/>
        <v>0</v>
      </c>
      <c r="X153">
        <f>(ROUND((((S153+ROUND((ROUND(((EU153)*AV153*I153),2)*BS153),2))*AT153)/100),2)+ROUND(((ROUND((ROUND(((AE153-(EU153))*AV153*I153),2)*BS153),2)*AT153)/100),2))</f>
        <v>0</v>
      </c>
      <c r="Y153">
        <f>(ROUND((((S153+ROUND((ROUND(((EU153)*AV153*I153),2)*BS153),2))*AU153)/100),2)+ROUND(((ROUND((ROUND(((AE153-(EU153))*AV153*I153),2)*BS153),2)*AU153)/100),2))</f>
        <v>0</v>
      </c>
      <c r="AA153">
        <v>60256982</v>
      </c>
      <c r="AB153">
        <f t="shared" si="121"/>
        <v>31.51</v>
      </c>
      <c r="AC153">
        <f t="shared" si="122"/>
        <v>31.51</v>
      </c>
      <c r="AD153">
        <f>ROUND((((ET153)-(EU153))+AE153),6)</f>
        <v>0</v>
      </c>
      <c r="AE153">
        <f>ROUND((EU153),6)</f>
        <v>0</v>
      </c>
      <c r="AF153">
        <f>ROUND((EV153),6)</f>
        <v>0</v>
      </c>
      <c r="AG153">
        <f t="shared" si="123"/>
        <v>0</v>
      </c>
      <c r="AH153">
        <f>(EW153)</f>
        <v>0</v>
      </c>
      <c r="AI153">
        <f>(EX153)</f>
        <v>0</v>
      </c>
      <c r="AJ153">
        <f t="shared" si="124"/>
        <v>0</v>
      </c>
      <c r="AK153">
        <v>31.51</v>
      </c>
      <c r="AL153">
        <v>31.51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90</v>
      </c>
      <c r="AU153">
        <v>46</v>
      </c>
      <c r="AV153">
        <v>1</v>
      </c>
      <c r="AW153">
        <v>1</v>
      </c>
      <c r="AZ153">
        <v>1</v>
      </c>
      <c r="BA153">
        <v>1</v>
      </c>
      <c r="BB153">
        <v>1</v>
      </c>
      <c r="BC153">
        <v>9.8800000000000008</v>
      </c>
      <c r="BD153" t="s">
        <v>3</v>
      </c>
      <c r="BE153" t="s">
        <v>3</v>
      </c>
      <c r="BF153" t="s">
        <v>3</v>
      </c>
      <c r="BG153" t="s">
        <v>3</v>
      </c>
      <c r="BH153">
        <v>3</v>
      </c>
      <c r="BI153">
        <v>2</v>
      </c>
      <c r="BJ153" t="s">
        <v>3</v>
      </c>
      <c r="BM153">
        <v>68</v>
      </c>
      <c r="BN153">
        <v>0</v>
      </c>
      <c r="BO153" t="s">
        <v>3</v>
      </c>
      <c r="BP153">
        <v>0</v>
      </c>
      <c r="BQ153">
        <v>40</v>
      </c>
      <c r="BR153">
        <v>0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 t="s">
        <v>3</v>
      </c>
      <c r="BZ153">
        <v>90</v>
      </c>
      <c r="CA153">
        <v>46</v>
      </c>
      <c r="CB153" t="s">
        <v>3</v>
      </c>
      <c r="CE153">
        <v>1566</v>
      </c>
      <c r="CF153">
        <v>0</v>
      </c>
      <c r="CG153">
        <v>0</v>
      </c>
      <c r="CM153">
        <v>0</v>
      </c>
      <c r="CN153" t="s">
        <v>3</v>
      </c>
      <c r="CO153">
        <v>0</v>
      </c>
      <c r="CP153">
        <f t="shared" si="125"/>
        <v>0.59</v>
      </c>
      <c r="CQ153">
        <f t="shared" si="126"/>
        <v>311.32</v>
      </c>
      <c r="CR153">
        <f>(ROUND((ROUND(((ET153)*AV153*1),2)*BB153),2)+ROUND((ROUND(((AE153-(EU153))*AV153*1),2)*BS153),2))</f>
        <v>0</v>
      </c>
      <c r="CS153">
        <f>(ROUND((ROUND(((EU153)*AV153*1),2)*BS153),2)+ROUND((ROUND(((AE153-(EU153))*AV153*1),2)*BS153),2))</f>
        <v>0</v>
      </c>
      <c r="CT153">
        <f t="shared" si="127"/>
        <v>0</v>
      </c>
      <c r="CU153">
        <f t="shared" si="128"/>
        <v>0</v>
      </c>
      <c r="CV153">
        <f t="shared" si="129"/>
        <v>0</v>
      </c>
      <c r="CW153">
        <f t="shared" si="130"/>
        <v>0</v>
      </c>
      <c r="CX153">
        <f t="shared" si="131"/>
        <v>0</v>
      </c>
      <c r="CY153">
        <f>(ROUND((((S153+ROUND((ROUND(((EU153)*AV153*1),2)*BS153),2))*AT153)/100),2)+ROUND(((ROUND((ROUND(((AE153-(EU153))*AV153*1),2)*BS153),2)*AT153)/100),2))</f>
        <v>0</v>
      </c>
      <c r="CZ153">
        <f>(ROUND((((S153+ROUND((ROUND(((EU153)*AV153*1),2)*BS153),2))*AU153)/100),2)+ROUND(((ROUND((ROUND(((AE153-(EU153))*AV153*1),2)*BS153),2)*AU153)/100),2))</f>
        <v>0</v>
      </c>
      <c r="DC153" t="s">
        <v>3</v>
      </c>
      <c r="DD153" t="s">
        <v>3</v>
      </c>
      <c r="DE153" t="s">
        <v>3</v>
      </c>
      <c r="DF153" t="s">
        <v>3</v>
      </c>
      <c r="DG153" t="s">
        <v>3</v>
      </c>
      <c r="DH153" t="s">
        <v>3</v>
      </c>
      <c r="DI153" t="s">
        <v>3</v>
      </c>
      <c r="DJ153" t="s">
        <v>3</v>
      </c>
      <c r="DK153" t="s">
        <v>3</v>
      </c>
      <c r="DL153" t="s">
        <v>3</v>
      </c>
      <c r="DM153" t="s">
        <v>3</v>
      </c>
      <c r="DN153">
        <v>0</v>
      </c>
      <c r="DO153">
        <v>0</v>
      </c>
      <c r="DP153">
        <v>1</v>
      </c>
      <c r="DQ153">
        <v>1</v>
      </c>
      <c r="DU153">
        <v>1013</v>
      </c>
      <c r="DV153" t="s">
        <v>206</v>
      </c>
      <c r="DW153" t="s">
        <v>206</v>
      </c>
      <c r="DX153">
        <v>1</v>
      </c>
      <c r="DZ153" t="s">
        <v>3</v>
      </c>
      <c r="EA153" t="s">
        <v>3</v>
      </c>
      <c r="EB153" t="s">
        <v>3</v>
      </c>
      <c r="EC153" t="s">
        <v>3</v>
      </c>
      <c r="EE153">
        <v>60088532</v>
      </c>
      <c r="EF153">
        <v>40</v>
      </c>
      <c r="EG153" t="s">
        <v>24</v>
      </c>
      <c r="EH153">
        <v>0</v>
      </c>
      <c r="EI153" t="s">
        <v>3</v>
      </c>
      <c r="EJ153">
        <v>2</v>
      </c>
      <c r="EK153">
        <v>68</v>
      </c>
      <c r="EL153" t="s">
        <v>201</v>
      </c>
      <c r="EM153" t="s">
        <v>202</v>
      </c>
      <c r="EO153" t="s">
        <v>3</v>
      </c>
      <c r="EQ153">
        <v>0</v>
      </c>
      <c r="ER153">
        <v>0</v>
      </c>
      <c r="ES153">
        <v>31.51</v>
      </c>
      <c r="ET153">
        <v>0</v>
      </c>
      <c r="EU153">
        <v>0</v>
      </c>
      <c r="EV153">
        <v>0</v>
      </c>
      <c r="EW153">
        <v>0</v>
      </c>
      <c r="EX153">
        <v>0</v>
      </c>
      <c r="EZ153">
        <v>5</v>
      </c>
      <c r="FC153">
        <v>1</v>
      </c>
      <c r="FD153">
        <v>18</v>
      </c>
      <c r="FF153">
        <v>366.24</v>
      </c>
      <c r="FQ153">
        <v>0</v>
      </c>
      <c r="FR153">
        <v>0</v>
      </c>
      <c r="FS153">
        <v>0</v>
      </c>
      <c r="FX153">
        <v>90</v>
      </c>
      <c r="FY153">
        <v>46</v>
      </c>
      <c r="GA153" t="s">
        <v>207</v>
      </c>
      <c r="GD153">
        <v>1</v>
      </c>
      <c r="GF153">
        <v>1326286393</v>
      </c>
      <c r="GG153">
        <v>2</v>
      </c>
      <c r="GH153">
        <v>3</v>
      </c>
      <c r="GI153">
        <v>5</v>
      </c>
      <c r="GJ153">
        <v>0</v>
      </c>
      <c r="GK153">
        <v>0</v>
      </c>
      <c r="GL153">
        <f t="shared" si="132"/>
        <v>0</v>
      </c>
      <c r="GM153">
        <f t="shared" si="133"/>
        <v>0.59</v>
      </c>
      <c r="GN153">
        <f t="shared" si="134"/>
        <v>0</v>
      </c>
      <c r="GO153">
        <f t="shared" si="135"/>
        <v>0.59</v>
      </c>
      <c r="GP153">
        <f t="shared" si="136"/>
        <v>0</v>
      </c>
      <c r="GR153">
        <v>1</v>
      </c>
      <c r="GS153">
        <v>1</v>
      </c>
      <c r="GT153">
        <v>0</v>
      </c>
      <c r="GU153" t="s">
        <v>3</v>
      </c>
      <c r="GV153">
        <f t="shared" si="137"/>
        <v>0</v>
      </c>
      <c r="GW153">
        <v>1</v>
      </c>
      <c r="GX153">
        <f t="shared" si="138"/>
        <v>0</v>
      </c>
      <c r="HA153">
        <v>0</v>
      </c>
      <c r="HB153">
        <v>0</v>
      </c>
      <c r="HC153">
        <f t="shared" si="139"/>
        <v>0</v>
      </c>
      <c r="HE153" t="s">
        <v>168</v>
      </c>
      <c r="HF153" t="s">
        <v>38</v>
      </c>
      <c r="HM153" t="s">
        <v>3</v>
      </c>
      <c r="HN153" t="s">
        <v>3</v>
      </c>
      <c r="HO153" t="s">
        <v>3</v>
      </c>
      <c r="HP153" t="s">
        <v>3</v>
      </c>
      <c r="HQ153" t="s">
        <v>3</v>
      </c>
      <c r="HS153">
        <v>0</v>
      </c>
      <c r="IK153">
        <v>0</v>
      </c>
    </row>
    <row r="154" spans="1:255" x14ac:dyDescent="0.2">
      <c r="A154" s="2">
        <v>17</v>
      </c>
      <c r="B154" s="2">
        <v>1</v>
      </c>
      <c r="C154" s="2">
        <f>ROW(SmtRes!A160)</f>
        <v>160</v>
      </c>
      <c r="D154" s="2">
        <f>ROW(EtalonRes!A172)</f>
        <v>172</v>
      </c>
      <c r="E154" s="2" t="s">
        <v>208</v>
      </c>
      <c r="F154" s="2" t="s">
        <v>198</v>
      </c>
      <c r="G154" s="2" t="s">
        <v>199</v>
      </c>
      <c r="H154" s="2" t="s">
        <v>63</v>
      </c>
      <c r="I154" s="2">
        <f>ROUND(2/100,9)</f>
        <v>0.02</v>
      </c>
      <c r="J154" s="2">
        <v>0</v>
      </c>
      <c r="K154" s="2">
        <f>ROUND(2/100,9)</f>
        <v>0.02</v>
      </c>
      <c r="L154" s="2"/>
      <c r="M154" s="2"/>
      <c r="N154" s="2"/>
      <c r="O154" s="2">
        <f t="shared" si="114"/>
        <v>8.1300000000000008</v>
      </c>
      <c r="P154" s="2">
        <f t="shared" si="115"/>
        <v>1.71</v>
      </c>
      <c r="Q154" s="2">
        <f>(ROUND((ROUND((((ET154*1.1))*AV154*I154),2)*BB154),2)+ROUND((ROUND(((AE154-((EU154*1.1)))*AV154*I154),2)*BS154),2))</f>
        <v>0</v>
      </c>
      <c r="R154" s="2">
        <f>(ROUND((ROUND((((EU154*1.1))*AV154*I154),2)*BS154),2)+ROUND((ROUND(((AE154-((EU154*1.1)))*AV154*I154),2)*BS154),2))</f>
        <v>0</v>
      </c>
      <c r="S154" s="2">
        <f t="shared" si="116"/>
        <v>6.42</v>
      </c>
      <c r="T154" s="2">
        <f t="shared" si="117"/>
        <v>0</v>
      </c>
      <c r="U154" s="2">
        <f t="shared" si="118"/>
        <v>0.55281599999999997</v>
      </c>
      <c r="V154" s="2">
        <f t="shared" si="119"/>
        <v>0</v>
      </c>
      <c r="W154" s="2">
        <f t="shared" si="120"/>
        <v>0</v>
      </c>
      <c r="X154" s="2">
        <f>(ROUND((((S154+ROUND((ROUND((((EU154*1.1))*AV154*I154),2)*BS154),2))*AT154)/100),2)+ROUND(((ROUND((ROUND(((AE154-((EU154*1.1)))*AV154*I154),2)*BS154),2)*AT154)/100),2))</f>
        <v>5.78</v>
      </c>
      <c r="Y154" s="2">
        <f>(ROUND((((S154+ROUND((ROUND((((EU154*1.1))*AV154*I154),2)*BS154),2))*AU154)/100),2)+ROUND(((ROUND((ROUND(((AE154-((EU154*1.1)))*AV154*I154),2)*BS154),2)*AU154)/100),2))</f>
        <v>2.95</v>
      </c>
      <c r="Z154" s="2"/>
      <c r="AA154" s="2">
        <v>60256985</v>
      </c>
      <c r="AB154" s="2">
        <f t="shared" si="121"/>
        <v>392.10399999999998</v>
      </c>
      <c r="AC154" s="2">
        <f t="shared" si="122"/>
        <v>85.6</v>
      </c>
      <c r="AD154" s="2">
        <f>ROUND(((((ET154*1.1))-((EU154*1.1)))+AE154),6)</f>
        <v>0</v>
      </c>
      <c r="AE154" s="2">
        <f>ROUND(((EU154*1.1)),6)</f>
        <v>0</v>
      </c>
      <c r="AF154" s="2">
        <f>ROUND(((EV154*1.1)),6)</f>
        <v>306.50400000000002</v>
      </c>
      <c r="AG154" s="2">
        <f t="shared" si="123"/>
        <v>0</v>
      </c>
      <c r="AH154" s="2">
        <f>((EW154*1.1))</f>
        <v>26.400000000000002</v>
      </c>
      <c r="AI154" s="2">
        <f>((EX154*1.1))</f>
        <v>0</v>
      </c>
      <c r="AJ154" s="2">
        <f t="shared" si="124"/>
        <v>0</v>
      </c>
      <c r="AK154" s="2">
        <v>364.24</v>
      </c>
      <c r="AL154" s="2">
        <v>85.6</v>
      </c>
      <c r="AM154" s="2">
        <v>0</v>
      </c>
      <c r="AN154" s="2">
        <v>0</v>
      </c>
      <c r="AO154" s="2">
        <v>278.64</v>
      </c>
      <c r="AP154" s="2">
        <v>0</v>
      </c>
      <c r="AQ154" s="2">
        <v>24</v>
      </c>
      <c r="AR154" s="2">
        <v>0</v>
      </c>
      <c r="AS154" s="2">
        <v>0</v>
      </c>
      <c r="AT154" s="2">
        <v>90</v>
      </c>
      <c r="AU154" s="2">
        <v>46</v>
      </c>
      <c r="AV154" s="2">
        <v>1.0469999999999999</v>
      </c>
      <c r="AW154" s="2">
        <v>1</v>
      </c>
      <c r="AX154" s="2"/>
      <c r="AY154" s="2"/>
      <c r="AZ154" s="2">
        <v>1</v>
      </c>
      <c r="BA154" s="2">
        <v>1</v>
      </c>
      <c r="BB154" s="2">
        <v>1</v>
      </c>
      <c r="BC154" s="2">
        <v>1</v>
      </c>
      <c r="BD154" s="2" t="s">
        <v>3</v>
      </c>
      <c r="BE154" s="2" t="s">
        <v>3</v>
      </c>
      <c r="BF154" s="2" t="s">
        <v>3</v>
      </c>
      <c r="BG154" s="2" t="s">
        <v>3</v>
      </c>
      <c r="BH154" s="2">
        <v>0</v>
      </c>
      <c r="BI154" s="2">
        <v>2</v>
      </c>
      <c r="BJ154" s="2" t="s">
        <v>200</v>
      </c>
      <c r="BK154" s="2"/>
      <c r="BL154" s="2"/>
      <c r="BM154" s="2">
        <v>68</v>
      </c>
      <c r="BN154" s="2">
        <v>58973116</v>
      </c>
      <c r="BO154" s="2" t="s">
        <v>198</v>
      </c>
      <c r="BP154" s="2">
        <v>1</v>
      </c>
      <c r="BQ154" s="2">
        <v>40</v>
      </c>
      <c r="BR154" s="2">
        <v>0</v>
      </c>
      <c r="BS154" s="2">
        <v>1</v>
      </c>
      <c r="BT154" s="2">
        <v>1</v>
      </c>
      <c r="BU154" s="2">
        <v>1</v>
      </c>
      <c r="BV154" s="2">
        <v>1</v>
      </c>
      <c r="BW154" s="2">
        <v>1</v>
      </c>
      <c r="BX154" s="2">
        <v>1</v>
      </c>
      <c r="BY154" s="2" t="s">
        <v>3</v>
      </c>
      <c r="BZ154" s="2">
        <v>90</v>
      </c>
      <c r="CA154" s="2">
        <v>46</v>
      </c>
      <c r="CB154" s="2" t="s">
        <v>3</v>
      </c>
      <c r="CC154" s="2"/>
      <c r="CD154" s="2"/>
      <c r="CE154" s="2">
        <v>1566</v>
      </c>
      <c r="CF154" s="2">
        <v>0</v>
      </c>
      <c r="CG154" s="2">
        <v>0</v>
      </c>
      <c r="CH154" s="2"/>
      <c r="CI154" s="2"/>
      <c r="CJ154" s="2"/>
      <c r="CK154" s="2"/>
      <c r="CL154" s="2"/>
      <c r="CM154" s="2">
        <v>0</v>
      </c>
      <c r="CN154" s="2" t="s">
        <v>474</v>
      </c>
      <c r="CO154" s="2">
        <v>0</v>
      </c>
      <c r="CP154" s="2">
        <f t="shared" si="125"/>
        <v>8.129999999999999</v>
      </c>
      <c r="CQ154" s="2">
        <f t="shared" si="126"/>
        <v>85.6</v>
      </c>
      <c r="CR154" s="2">
        <f>(ROUND((ROUND((((ET154*1.1))*AV154*1),2)*BB154),2)+ROUND((ROUND(((AE154-((EU154*1.1)))*AV154*1),2)*BS154),2))</f>
        <v>0</v>
      </c>
      <c r="CS154" s="2">
        <f>(ROUND((ROUND((((EU154*1.1))*AV154*1),2)*BS154),2)+ROUND((ROUND(((AE154-((EU154*1.1)))*AV154*1),2)*BS154),2))</f>
        <v>0</v>
      </c>
      <c r="CT154" s="2">
        <f t="shared" si="127"/>
        <v>320.91000000000003</v>
      </c>
      <c r="CU154" s="2">
        <f t="shared" si="128"/>
        <v>0</v>
      </c>
      <c r="CV154" s="2">
        <f t="shared" si="129"/>
        <v>27.640799999999999</v>
      </c>
      <c r="CW154" s="2">
        <f t="shared" si="130"/>
        <v>0</v>
      </c>
      <c r="CX154" s="2">
        <f t="shared" si="131"/>
        <v>0</v>
      </c>
      <c r="CY154" s="2">
        <f>(ROUND((((S154+ROUND((ROUND((((EU154*1.1))*AV154*1),2)*BS154),2))*AT154)/100),2)+ROUND(((ROUND((ROUND(((AE154-((EU154*1.1)))*AV154*1),2)*BS154),2)*AT154)/100),2))</f>
        <v>5.78</v>
      </c>
      <c r="CZ154" s="2">
        <f>(ROUND((((S154+ROUND((ROUND((((EU154*1.1))*AV154*1),2)*BS154),2))*AU154)/100),2)+ROUND(((ROUND((ROUND(((AE154-((EU154*1.1)))*AV154*1),2)*BS154),2)*AU154)/100),2))</f>
        <v>2.95</v>
      </c>
      <c r="DA154" s="2"/>
      <c r="DB154" s="2">
        <v>21</v>
      </c>
      <c r="DC154" s="2" t="s">
        <v>3</v>
      </c>
      <c r="DD154" s="2" t="s">
        <v>3</v>
      </c>
      <c r="DE154" s="2" t="s">
        <v>23</v>
      </c>
      <c r="DF154" s="2" t="s">
        <v>23</v>
      </c>
      <c r="DG154" s="2" t="s">
        <v>23</v>
      </c>
      <c r="DH154" s="2" t="s">
        <v>3</v>
      </c>
      <c r="DI154" s="2" t="s">
        <v>23</v>
      </c>
      <c r="DJ154" s="2" t="s">
        <v>23</v>
      </c>
      <c r="DK154" s="2" t="s">
        <v>3</v>
      </c>
      <c r="DL154" s="2" t="s">
        <v>3</v>
      </c>
      <c r="DM154" s="2" t="s">
        <v>3</v>
      </c>
      <c r="DN154" s="2">
        <v>0</v>
      </c>
      <c r="DO154" s="2">
        <v>0</v>
      </c>
      <c r="DP154" s="2">
        <v>1</v>
      </c>
      <c r="DQ154" s="2">
        <v>1</v>
      </c>
      <c r="DR154" s="2"/>
      <c r="DS154" s="2"/>
      <c r="DT154" s="2"/>
      <c r="DU154" s="2">
        <v>1010</v>
      </c>
      <c r="DV154" s="2" t="s">
        <v>63</v>
      </c>
      <c r="DW154" s="2" t="s">
        <v>63</v>
      </c>
      <c r="DX154" s="2">
        <v>100</v>
      </c>
      <c r="DY154" s="2"/>
      <c r="DZ154" s="2" t="s">
        <v>3</v>
      </c>
      <c r="EA154" s="2" t="s">
        <v>3</v>
      </c>
      <c r="EB154" s="2" t="s">
        <v>3</v>
      </c>
      <c r="EC154" s="2" t="s">
        <v>3</v>
      </c>
      <c r="ED154" s="2"/>
      <c r="EE154" s="2">
        <v>60088532</v>
      </c>
      <c r="EF154" s="2">
        <v>40</v>
      </c>
      <c r="EG154" s="2" t="s">
        <v>24</v>
      </c>
      <c r="EH154" s="2">
        <v>0</v>
      </c>
      <c r="EI154" s="2" t="s">
        <v>3</v>
      </c>
      <c r="EJ154" s="2">
        <v>2</v>
      </c>
      <c r="EK154" s="2">
        <v>68</v>
      </c>
      <c r="EL154" s="2" t="s">
        <v>201</v>
      </c>
      <c r="EM154" s="2" t="s">
        <v>202</v>
      </c>
      <c r="EN154" s="2"/>
      <c r="EO154" s="2" t="s">
        <v>27</v>
      </c>
      <c r="EP154" s="2"/>
      <c r="EQ154" s="2">
        <v>0</v>
      </c>
      <c r="ER154" s="2">
        <v>364.24</v>
      </c>
      <c r="ES154" s="2">
        <v>85.6</v>
      </c>
      <c r="ET154" s="2">
        <v>0</v>
      </c>
      <c r="EU154" s="2">
        <v>0</v>
      </c>
      <c r="EV154" s="2">
        <v>278.64</v>
      </c>
      <c r="EW154" s="2">
        <v>24</v>
      </c>
      <c r="EX154" s="2">
        <v>0</v>
      </c>
      <c r="EY154" s="2">
        <v>0</v>
      </c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>
        <v>0</v>
      </c>
      <c r="FR154" s="2">
        <v>0</v>
      </c>
      <c r="FS154" s="2">
        <v>0</v>
      </c>
      <c r="FT154" s="2"/>
      <c r="FU154" s="2"/>
      <c r="FV154" s="2"/>
      <c r="FW154" s="2"/>
      <c r="FX154" s="2">
        <v>90</v>
      </c>
      <c r="FY154" s="2">
        <v>46</v>
      </c>
      <c r="FZ154" s="2"/>
      <c r="GA154" s="2" t="s">
        <v>3</v>
      </c>
      <c r="GB154" s="2"/>
      <c r="GC154" s="2"/>
      <c r="GD154" s="2">
        <v>1</v>
      </c>
      <c r="GE154" s="2"/>
      <c r="GF154" s="2">
        <v>1364637921</v>
      </c>
      <c r="GG154" s="2">
        <v>2</v>
      </c>
      <c r="GH154" s="2">
        <v>1</v>
      </c>
      <c r="GI154" s="2">
        <v>2</v>
      </c>
      <c r="GJ154" s="2">
        <v>0</v>
      </c>
      <c r="GK154" s="2">
        <v>0</v>
      </c>
      <c r="GL154" s="2">
        <f t="shared" si="132"/>
        <v>0</v>
      </c>
      <c r="GM154" s="2">
        <f t="shared" si="133"/>
        <v>16.86</v>
      </c>
      <c r="GN154" s="2">
        <f t="shared" si="134"/>
        <v>0</v>
      </c>
      <c r="GO154" s="2">
        <f t="shared" si="135"/>
        <v>16.86</v>
      </c>
      <c r="GP154" s="2">
        <f t="shared" si="136"/>
        <v>0</v>
      </c>
      <c r="GQ154" s="2"/>
      <c r="GR154" s="2">
        <v>0</v>
      </c>
      <c r="GS154" s="2">
        <v>3</v>
      </c>
      <c r="GT154" s="2">
        <v>0</v>
      </c>
      <c r="GU154" s="2" t="s">
        <v>3</v>
      </c>
      <c r="GV154" s="2">
        <f t="shared" si="137"/>
        <v>0</v>
      </c>
      <c r="GW154" s="2">
        <v>1</v>
      </c>
      <c r="GX154" s="2">
        <f t="shared" si="138"/>
        <v>0</v>
      </c>
      <c r="GY154" s="2"/>
      <c r="GZ154" s="2"/>
      <c r="HA154" s="2">
        <v>0</v>
      </c>
      <c r="HB154" s="2">
        <v>0</v>
      </c>
      <c r="HC154" s="2">
        <f t="shared" si="139"/>
        <v>0</v>
      </c>
      <c r="HD154" s="2"/>
      <c r="HE154" s="2" t="s">
        <v>3</v>
      </c>
      <c r="HF154" s="2" t="s">
        <v>3</v>
      </c>
      <c r="HG154" s="2"/>
      <c r="HH154" s="2"/>
      <c r="HI154" s="2"/>
      <c r="HJ154" s="2"/>
      <c r="HK154" s="2"/>
      <c r="HL154" s="2"/>
      <c r="HM154" s="2" t="s">
        <v>3</v>
      </c>
      <c r="HN154" s="2" t="s">
        <v>3</v>
      </c>
      <c r="HO154" s="2" t="s">
        <v>3</v>
      </c>
      <c r="HP154" s="2" t="s">
        <v>3</v>
      </c>
      <c r="HQ154" s="2" t="s">
        <v>3</v>
      </c>
      <c r="HR154" s="2"/>
      <c r="HS154" s="2">
        <v>0</v>
      </c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>
        <v>0</v>
      </c>
      <c r="IL154" s="2"/>
      <c r="IM154" s="2"/>
      <c r="IN154" s="2"/>
      <c r="IO154" s="2"/>
      <c r="IP154" s="2"/>
      <c r="IQ154" s="2"/>
      <c r="IR154" s="2"/>
      <c r="IS154" s="2"/>
      <c r="IT154" s="2"/>
      <c r="IU154" s="2"/>
    </row>
    <row r="155" spans="1:255" x14ac:dyDescent="0.2">
      <c r="A155">
        <v>17</v>
      </c>
      <c r="B155">
        <v>1</v>
      </c>
      <c r="C155">
        <f>ROW(SmtRes!A166)</f>
        <v>166</v>
      </c>
      <c r="D155">
        <f>ROW(EtalonRes!A178)</f>
        <v>178</v>
      </c>
      <c r="E155" t="s">
        <v>208</v>
      </c>
      <c r="F155" t="s">
        <v>198</v>
      </c>
      <c r="G155" t="s">
        <v>199</v>
      </c>
      <c r="H155" t="s">
        <v>63</v>
      </c>
      <c r="I155">
        <f>ROUND(2/100,9)</f>
        <v>0.02</v>
      </c>
      <c r="J155">
        <v>0</v>
      </c>
      <c r="K155">
        <f>ROUND(2/100,9)</f>
        <v>0.02</v>
      </c>
      <c r="O155">
        <f t="shared" si="114"/>
        <v>362.43</v>
      </c>
      <c r="P155">
        <f t="shared" si="115"/>
        <v>9.39</v>
      </c>
      <c r="Q155">
        <f>(ROUND((ROUND((((ET155*1.1))*AV155*I155),2)*BB155),2)+ROUND((ROUND(((AE155-((EU155*1.1)))*AV155*I155),2)*BS155),2))</f>
        <v>0</v>
      </c>
      <c r="R155">
        <f>(ROUND((ROUND((((EU155*1.1))*AV155*I155),2)*BS155),2)+ROUND((ROUND(((AE155-((EU155*1.1)))*AV155*I155),2)*BS155),2))</f>
        <v>0</v>
      </c>
      <c r="S155">
        <f t="shared" si="116"/>
        <v>353.04</v>
      </c>
      <c r="T155">
        <f t="shared" si="117"/>
        <v>0</v>
      </c>
      <c r="U155">
        <f t="shared" si="118"/>
        <v>0.55281599999999997</v>
      </c>
      <c r="V155">
        <f t="shared" si="119"/>
        <v>0</v>
      </c>
      <c r="W155">
        <f t="shared" si="120"/>
        <v>0</v>
      </c>
      <c r="X155">
        <f>(ROUND((((S155+ROUND((ROUND((((EU155*1.1))*AV155*I155),2)*BS155),2))*AT155)/100),2)+ROUND(((ROUND((ROUND(((AE155-((EU155*1.1)))*AV155*I155),2)*BS155),2)*AT155)/100),2))</f>
        <v>317.74</v>
      </c>
      <c r="Y155">
        <f>(ROUND((((S155+ROUND((ROUND((((EU155*1.1))*AV155*I155),2)*BS155),2))*AU155)/100),2)+ROUND(((ROUND((ROUND(((AE155-((EU155*1.1)))*AV155*I155),2)*BS155),2)*AU155)/100),2))</f>
        <v>162.4</v>
      </c>
      <c r="AA155">
        <v>60256982</v>
      </c>
      <c r="AB155">
        <f t="shared" si="121"/>
        <v>392.10399999999998</v>
      </c>
      <c r="AC155">
        <f t="shared" si="122"/>
        <v>85.6</v>
      </c>
      <c r="AD155">
        <f>ROUND(((((ET155*1.1))-((EU155*1.1)))+AE155),6)</f>
        <v>0</v>
      </c>
      <c r="AE155">
        <f>ROUND(((EU155*1.1)),6)</f>
        <v>0</v>
      </c>
      <c r="AF155">
        <f>ROUND(((EV155*1.1)),6)</f>
        <v>306.50400000000002</v>
      </c>
      <c r="AG155">
        <f t="shared" si="123"/>
        <v>0</v>
      </c>
      <c r="AH155">
        <f>((EW155*1.1))</f>
        <v>26.400000000000002</v>
      </c>
      <c r="AI155">
        <f>((EX155*1.1))</f>
        <v>0</v>
      </c>
      <c r="AJ155">
        <f t="shared" si="124"/>
        <v>0</v>
      </c>
      <c r="AK155">
        <v>364.24</v>
      </c>
      <c r="AL155">
        <v>85.6</v>
      </c>
      <c r="AM155">
        <v>0</v>
      </c>
      <c r="AN155">
        <v>0</v>
      </c>
      <c r="AO155">
        <v>278.64</v>
      </c>
      <c r="AP155">
        <v>0</v>
      </c>
      <c r="AQ155">
        <v>24</v>
      </c>
      <c r="AR155">
        <v>0</v>
      </c>
      <c r="AS155">
        <v>0</v>
      </c>
      <c r="AT155">
        <v>90</v>
      </c>
      <c r="AU155">
        <v>46</v>
      </c>
      <c r="AV155">
        <v>1.0469999999999999</v>
      </c>
      <c r="AW155">
        <v>1</v>
      </c>
      <c r="AZ155">
        <v>1</v>
      </c>
      <c r="BA155">
        <v>54.99</v>
      </c>
      <c r="BB155">
        <v>1</v>
      </c>
      <c r="BC155">
        <v>5.49</v>
      </c>
      <c r="BD155" t="s">
        <v>3</v>
      </c>
      <c r="BE155" t="s">
        <v>3</v>
      </c>
      <c r="BF155" t="s">
        <v>3</v>
      </c>
      <c r="BG155" t="s">
        <v>3</v>
      </c>
      <c r="BH155">
        <v>0</v>
      </c>
      <c r="BI155">
        <v>2</v>
      </c>
      <c r="BJ155" t="s">
        <v>200</v>
      </c>
      <c r="BM155">
        <v>68</v>
      </c>
      <c r="BN155">
        <v>58973116</v>
      </c>
      <c r="BO155" t="s">
        <v>198</v>
      </c>
      <c r="BP155">
        <v>1</v>
      </c>
      <c r="BQ155">
        <v>40</v>
      </c>
      <c r="BR155">
        <v>0</v>
      </c>
      <c r="BS155">
        <v>54.99</v>
      </c>
      <c r="BT155">
        <v>1</v>
      </c>
      <c r="BU155">
        <v>1</v>
      </c>
      <c r="BV155">
        <v>1</v>
      </c>
      <c r="BW155">
        <v>1</v>
      </c>
      <c r="BX155">
        <v>1</v>
      </c>
      <c r="BY155" t="s">
        <v>3</v>
      </c>
      <c r="BZ155">
        <v>90</v>
      </c>
      <c r="CA155">
        <v>46</v>
      </c>
      <c r="CB155" t="s">
        <v>3</v>
      </c>
      <c r="CE155">
        <v>1566</v>
      </c>
      <c r="CF155">
        <v>0</v>
      </c>
      <c r="CG155">
        <v>0</v>
      </c>
      <c r="CM155">
        <v>0</v>
      </c>
      <c r="CN155" t="s">
        <v>474</v>
      </c>
      <c r="CO155">
        <v>0</v>
      </c>
      <c r="CP155">
        <f t="shared" si="125"/>
        <v>362.43</v>
      </c>
      <c r="CQ155">
        <f t="shared" si="126"/>
        <v>469.94</v>
      </c>
      <c r="CR155">
        <f>(ROUND((ROUND((((ET155*1.1))*AV155*1),2)*BB155),2)+ROUND((ROUND(((AE155-((EU155*1.1)))*AV155*1),2)*BS155),2))</f>
        <v>0</v>
      </c>
      <c r="CS155">
        <f>(ROUND((ROUND((((EU155*1.1))*AV155*1),2)*BS155),2)+ROUND((ROUND(((AE155-((EU155*1.1)))*AV155*1),2)*BS155),2))</f>
        <v>0</v>
      </c>
      <c r="CT155">
        <f t="shared" si="127"/>
        <v>17646.84</v>
      </c>
      <c r="CU155">
        <f t="shared" si="128"/>
        <v>0</v>
      </c>
      <c r="CV155">
        <f t="shared" si="129"/>
        <v>27.640799999999999</v>
      </c>
      <c r="CW155">
        <f t="shared" si="130"/>
        <v>0</v>
      </c>
      <c r="CX155">
        <f t="shared" si="131"/>
        <v>0</v>
      </c>
      <c r="CY155">
        <f>(ROUND((((S155+ROUND((ROUND((((EU155*1.1))*AV155*1),2)*BS155),2))*AT155)/100),2)+ROUND(((ROUND((ROUND(((AE155-((EU155*1.1)))*AV155*1),2)*BS155),2)*AT155)/100),2))</f>
        <v>317.74</v>
      </c>
      <c r="CZ155">
        <f>(ROUND((((S155+ROUND((ROUND((((EU155*1.1))*AV155*1),2)*BS155),2))*AU155)/100),2)+ROUND(((ROUND((ROUND(((AE155-((EU155*1.1)))*AV155*1),2)*BS155),2)*AU155)/100),2))</f>
        <v>162.4</v>
      </c>
      <c r="DB155">
        <v>22</v>
      </c>
      <c r="DC155" t="s">
        <v>3</v>
      </c>
      <c r="DD155" t="s">
        <v>3</v>
      </c>
      <c r="DE155" t="s">
        <v>23</v>
      </c>
      <c r="DF155" t="s">
        <v>23</v>
      </c>
      <c r="DG155" t="s">
        <v>23</v>
      </c>
      <c r="DH155" t="s">
        <v>3</v>
      </c>
      <c r="DI155" t="s">
        <v>23</v>
      </c>
      <c r="DJ155" t="s">
        <v>23</v>
      </c>
      <c r="DK155" t="s">
        <v>3</v>
      </c>
      <c r="DL155" t="s">
        <v>3</v>
      </c>
      <c r="DM155" t="s">
        <v>3</v>
      </c>
      <c r="DN155">
        <v>0</v>
      </c>
      <c r="DO155">
        <v>0</v>
      </c>
      <c r="DP155">
        <v>1</v>
      </c>
      <c r="DQ155">
        <v>1</v>
      </c>
      <c r="DU155">
        <v>1010</v>
      </c>
      <c r="DV155" t="s">
        <v>63</v>
      </c>
      <c r="DW155" t="s">
        <v>63</v>
      </c>
      <c r="DX155">
        <v>100</v>
      </c>
      <c r="DZ155" t="s">
        <v>3</v>
      </c>
      <c r="EA155" t="s">
        <v>3</v>
      </c>
      <c r="EB155" t="s">
        <v>3</v>
      </c>
      <c r="EC155" t="s">
        <v>3</v>
      </c>
      <c r="EE155">
        <v>60088532</v>
      </c>
      <c r="EF155">
        <v>40</v>
      </c>
      <c r="EG155" t="s">
        <v>24</v>
      </c>
      <c r="EH155">
        <v>0</v>
      </c>
      <c r="EI155" t="s">
        <v>3</v>
      </c>
      <c r="EJ155">
        <v>2</v>
      </c>
      <c r="EK155">
        <v>68</v>
      </c>
      <c r="EL155" t="s">
        <v>201</v>
      </c>
      <c r="EM155" t="s">
        <v>202</v>
      </c>
      <c r="EO155" t="s">
        <v>27</v>
      </c>
      <c r="EQ155">
        <v>0</v>
      </c>
      <c r="ER155">
        <v>364.24</v>
      </c>
      <c r="ES155">
        <v>85.6</v>
      </c>
      <c r="ET155">
        <v>0</v>
      </c>
      <c r="EU155">
        <v>0</v>
      </c>
      <c r="EV155">
        <v>278.64</v>
      </c>
      <c r="EW155">
        <v>24</v>
      </c>
      <c r="EX155">
        <v>0</v>
      </c>
      <c r="EY155">
        <v>0</v>
      </c>
      <c r="FQ155">
        <v>0</v>
      </c>
      <c r="FR155">
        <v>0</v>
      </c>
      <c r="FS155">
        <v>0</v>
      </c>
      <c r="FX155">
        <v>90</v>
      </c>
      <c r="FY155">
        <v>46</v>
      </c>
      <c r="GA155" t="s">
        <v>3</v>
      </c>
      <c r="GD155">
        <v>1</v>
      </c>
      <c r="GF155">
        <v>1364637921</v>
      </c>
      <c r="GG155">
        <v>2</v>
      </c>
      <c r="GH155">
        <v>1</v>
      </c>
      <c r="GI155">
        <v>2</v>
      </c>
      <c r="GJ155">
        <v>0</v>
      </c>
      <c r="GK155">
        <v>0</v>
      </c>
      <c r="GL155">
        <f t="shared" si="132"/>
        <v>0</v>
      </c>
      <c r="GM155">
        <f t="shared" si="133"/>
        <v>842.57</v>
      </c>
      <c r="GN155">
        <f t="shared" si="134"/>
        <v>0</v>
      </c>
      <c r="GO155">
        <f t="shared" si="135"/>
        <v>842.57</v>
      </c>
      <c r="GP155">
        <f t="shared" si="136"/>
        <v>0</v>
      </c>
      <c r="GR155">
        <v>0</v>
      </c>
      <c r="GS155">
        <v>3</v>
      </c>
      <c r="GT155">
        <v>0</v>
      </c>
      <c r="GU155" t="s">
        <v>3</v>
      </c>
      <c r="GV155">
        <f t="shared" si="137"/>
        <v>0</v>
      </c>
      <c r="GW155">
        <v>1</v>
      </c>
      <c r="GX155">
        <f t="shared" si="138"/>
        <v>0</v>
      </c>
      <c r="HA155">
        <v>0</v>
      </c>
      <c r="HB155">
        <v>0</v>
      </c>
      <c r="HC155">
        <f t="shared" si="139"/>
        <v>0</v>
      </c>
      <c r="HE155" t="s">
        <v>3</v>
      </c>
      <c r="HF155" t="s">
        <v>3</v>
      </c>
      <c r="HM155" t="s">
        <v>3</v>
      </c>
      <c r="HN155" t="s">
        <v>3</v>
      </c>
      <c r="HO155" t="s">
        <v>3</v>
      </c>
      <c r="HP155" t="s">
        <v>3</v>
      </c>
      <c r="HQ155" t="s">
        <v>3</v>
      </c>
      <c r="HS155">
        <v>0</v>
      </c>
      <c r="IK155">
        <v>0</v>
      </c>
    </row>
    <row r="156" spans="1:255" x14ac:dyDescent="0.2">
      <c r="A156" s="2">
        <v>18</v>
      </c>
      <c r="B156" s="2">
        <v>1</v>
      </c>
      <c r="C156" s="2">
        <v>159</v>
      </c>
      <c r="D156" s="2"/>
      <c r="E156" s="2" t="s">
        <v>209</v>
      </c>
      <c r="F156" s="2" t="s">
        <v>210</v>
      </c>
      <c r="G156" s="2" t="s">
        <v>211</v>
      </c>
      <c r="H156" s="2" t="s">
        <v>31</v>
      </c>
      <c r="I156" s="2">
        <f>I154*J156</f>
        <v>2</v>
      </c>
      <c r="J156" s="2">
        <v>100</v>
      </c>
      <c r="K156" s="2">
        <v>100</v>
      </c>
      <c r="L156" s="2"/>
      <c r="M156" s="2"/>
      <c r="N156" s="2"/>
      <c r="O156" s="2">
        <f t="shared" si="114"/>
        <v>59.2</v>
      </c>
      <c r="P156" s="2">
        <f t="shared" si="115"/>
        <v>59.2</v>
      </c>
      <c r="Q156" s="2">
        <f>(ROUND((ROUND(((ET156)*AV156*I156),2)*BB156),2)+ROUND((ROUND(((AE156-(EU156))*AV156*I156),2)*BS156),2))</f>
        <v>0</v>
      </c>
      <c r="R156" s="2">
        <f>(ROUND((ROUND(((EU156)*AV156*I156),2)*BS156),2)+ROUND((ROUND(((AE156-(EU156))*AV156*I156),2)*BS156),2))</f>
        <v>0</v>
      </c>
      <c r="S156" s="2">
        <f t="shared" si="116"/>
        <v>0</v>
      </c>
      <c r="T156" s="2">
        <f t="shared" si="117"/>
        <v>0</v>
      </c>
      <c r="U156" s="2">
        <f t="shared" si="118"/>
        <v>0</v>
      </c>
      <c r="V156" s="2">
        <f t="shared" si="119"/>
        <v>0</v>
      </c>
      <c r="W156" s="2">
        <f t="shared" si="120"/>
        <v>0</v>
      </c>
      <c r="X156" s="2">
        <f>(ROUND((((S156+ROUND((ROUND(((EU156)*AV156*I156),2)*BS156),2))*AT156)/100),2)+ROUND(((ROUND((ROUND(((AE156-(EU156))*AV156*I156),2)*BS156),2)*AT156)/100),2))</f>
        <v>0</v>
      </c>
      <c r="Y156" s="2">
        <f>(ROUND((((S156+ROUND((ROUND(((EU156)*AV156*I156),2)*BS156),2))*AU156)/100),2)+ROUND(((ROUND((ROUND(((AE156-(EU156))*AV156*I156),2)*BS156),2)*AU156)/100),2))</f>
        <v>0</v>
      </c>
      <c r="Z156" s="2"/>
      <c r="AA156" s="2">
        <v>60256985</v>
      </c>
      <c r="AB156" s="2">
        <f t="shared" si="121"/>
        <v>29.6</v>
      </c>
      <c r="AC156" s="2">
        <f t="shared" si="122"/>
        <v>29.6</v>
      </c>
      <c r="AD156" s="2">
        <f>ROUND((((ET156)-(EU156))+AE156),6)</f>
        <v>0</v>
      </c>
      <c r="AE156" s="2">
        <f>ROUND((EU156),6)</f>
        <v>0</v>
      </c>
      <c r="AF156" s="2">
        <f>ROUND((EV156),6)</f>
        <v>0</v>
      </c>
      <c r="AG156" s="2">
        <f t="shared" si="123"/>
        <v>0</v>
      </c>
      <c r="AH156" s="2">
        <f>(EW156)</f>
        <v>0</v>
      </c>
      <c r="AI156" s="2">
        <f>(EX156)</f>
        <v>0</v>
      </c>
      <c r="AJ156" s="2">
        <f t="shared" si="124"/>
        <v>0</v>
      </c>
      <c r="AK156" s="2">
        <v>29.6</v>
      </c>
      <c r="AL156" s="2">
        <v>29.6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90</v>
      </c>
      <c r="AU156" s="2">
        <v>46</v>
      </c>
      <c r="AV156" s="2">
        <v>1</v>
      </c>
      <c r="AW156" s="2">
        <v>1</v>
      </c>
      <c r="AX156" s="2"/>
      <c r="AY156" s="2"/>
      <c r="AZ156" s="2">
        <v>1</v>
      </c>
      <c r="BA156" s="2">
        <v>1</v>
      </c>
      <c r="BB156" s="2">
        <v>1</v>
      </c>
      <c r="BC156" s="2">
        <v>1</v>
      </c>
      <c r="BD156" s="2" t="s">
        <v>3</v>
      </c>
      <c r="BE156" s="2" t="s">
        <v>3</v>
      </c>
      <c r="BF156" s="2" t="s">
        <v>3</v>
      </c>
      <c r="BG156" s="2" t="s">
        <v>3</v>
      </c>
      <c r="BH156" s="2">
        <v>3</v>
      </c>
      <c r="BI156" s="2">
        <v>2</v>
      </c>
      <c r="BJ156" s="2" t="s">
        <v>212</v>
      </c>
      <c r="BK156" s="2"/>
      <c r="BL156" s="2"/>
      <c r="BM156" s="2">
        <v>68</v>
      </c>
      <c r="BN156" s="2">
        <v>58973116</v>
      </c>
      <c r="BO156" s="2" t="s">
        <v>3</v>
      </c>
      <c r="BP156" s="2">
        <v>0</v>
      </c>
      <c r="BQ156" s="2">
        <v>40</v>
      </c>
      <c r="BR156" s="2">
        <v>0</v>
      </c>
      <c r="BS156" s="2">
        <v>1</v>
      </c>
      <c r="BT156" s="2">
        <v>1</v>
      </c>
      <c r="BU156" s="2">
        <v>1</v>
      </c>
      <c r="BV156" s="2">
        <v>1</v>
      </c>
      <c r="BW156" s="2">
        <v>1</v>
      </c>
      <c r="BX156" s="2">
        <v>1</v>
      </c>
      <c r="BY156" s="2" t="s">
        <v>3</v>
      </c>
      <c r="BZ156" s="2">
        <v>90</v>
      </c>
      <c r="CA156" s="2">
        <v>46</v>
      </c>
      <c r="CB156" s="2" t="s">
        <v>3</v>
      </c>
      <c r="CC156" s="2"/>
      <c r="CD156" s="2"/>
      <c r="CE156" s="2">
        <v>1566</v>
      </c>
      <c r="CF156" s="2">
        <v>0</v>
      </c>
      <c r="CG156" s="2">
        <v>0</v>
      </c>
      <c r="CH156" s="2"/>
      <c r="CI156" s="2"/>
      <c r="CJ156" s="2"/>
      <c r="CK156" s="2"/>
      <c r="CL156" s="2"/>
      <c r="CM156" s="2">
        <v>0</v>
      </c>
      <c r="CN156" s="2" t="s">
        <v>3</v>
      </c>
      <c r="CO156" s="2">
        <v>0</v>
      </c>
      <c r="CP156" s="2">
        <f t="shared" si="125"/>
        <v>59.2</v>
      </c>
      <c r="CQ156" s="2">
        <f t="shared" si="126"/>
        <v>29.6</v>
      </c>
      <c r="CR156" s="2">
        <f>(ROUND((ROUND(((ET156)*AV156*1),2)*BB156),2)+ROUND((ROUND(((AE156-(EU156))*AV156*1),2)*BS156),2))</f>
        <v>0</v>
      </c>
      <c r="CS156" s="2">
        <f>(ROUND((ROUND(((EU156)*AV156*1),2)*BS156),2)+ROUND((ROUND(((AE156-(EU156))*AV156*1),2)*BS156),2))</f>
        <v>0</v>
      </c>
      <c r="CT156" s="2">
        <f t="shared" si="127"/>
        <v>0</v>
      </c>
      <c r="CU156" s="2">
        <f t="shared" si="128"/>
        <v>0</v>
      </c>
      <c r="CV156" s="2">
        <f t="shared" si="129"/>
        <v>0</v>
      </c>
      <c r="CW156" s="2">
        <f t="shared" si="130"/>
        <v>0</v>
      </c>
      <c r="CX156" s="2">
        <f t="shared" si="131"/>
        <v>0</v>
      </c>
      <c r="CY156" s="2">
        <f>(ROUND((((S156+ROUND((ROUND(((EU156)*AV156*1),2)*BS156),2))*AT156)/100),2)+ROUND(((ROUND((ROUND(((AE156-(EU156))*AV156*1),2)*BS156),2)*AT156)/100),2))</f>
        <v>0</v>
      </c>
      <c r="CZ156" s="2">
        <f>(ROUND((((S156+ROUND((ROUND(((EU156)*AV156*1),2)*BS156),2))*AU156)/100),2)+ROUND(((ROUND((ROUND(((AE156-(EU156))*AV156*1),2)*BS156),2)*AU156)/100),2))</f>
        <v>0</v>
      </c>
      <c r="DA156" s="2"/>
      <c r="DB156" s="2"/>
      <c r="DC156" s="2" t="s">
        <v>3</v>
      </c>
      <c r="DD156" s="2" t="s">
        <v>3</v>
      </c>
      <c r="DE156" s="2" t="s">
        <v>3</v>
      </c>
      <c r="DF156" s="2" t="s">
        <v>3</v>
      </c>
      <c r="DG156" s="2" t="s">
        <v>3</v>
      </c>
      <c r="DH156" s="2" t="s">
        <v>3</v>
      </c>
      <c r="DI156" s="2" t="s">
        <v>3</v>
      </c>
      <c r="DJ156" s="2" t="s">
        <v>3</v>
      </c>
      <c r="DK156" s="2" t="s">
        <v>3</v>
      </c>
      <c r="DL156" s="2" t="s">
        <v>3</v>
      </c>
      <c r="DM156" s="2" t="s">
        <v>3</v>
      </c>
      <c r="DN156" s="2">
        <v>0</v>
      </c>
      <c r="DO156" s="2">
        <v>0</v>
      </c>
      <c r="DP156" s="2">
        <v>1</v>
      </c>
      <c r="DQ156" s="2">
        <v>1</v>
      </c>
      <c r="DR156" s="2"/>
      <c r="DS156" s="2"/>
      <c r="DT156" s="2"/>
      <c r="DU156" s="2">
        <v>1010</v>
      </c>
      <c r="DV156" s="2" t="s">
        <v>31</v>
      </c>
      <c r="DW156" s="2" t="s">
        <v>31</v>
      </c>
      <c r="DX156" s="2">
        <v>1</v>
      </c>
      <c r="DY156" s="2"/>
      <c r="DZ156" s="2" t="s">
        <v>3</v>
      </c>
      <c r="EA156" s="2" t="s">
        <v>3</v>
      </c>
      <c r="EB156" s="2" t="s">
        <v>3</v>
      </c>
      <c r="EC156" s="2" t="s">
        <v>3</v>
      </c>
      <c r="ED156" s="2"/>
      <c r="EE156" s="2">
        <v>60088532</v>
      </c>
      <c r="EF156" s="2">
        <v>40</v>
      </c>
      <c r="EG156" s="2" t="s">
        <v>24</v>
      </c>
      <c r="EH156" s="2">
        <v>0</v>
      </c>
      <c r="EI156" s="2" t="s">
        <v>3</v>
      </c>
      <c r="EJ156" s="2">
        <v>2</v>
      </c>
      <c r="EK156" s="2">
        <v>68</v>
      </c>
      <c r="EL156" s="2" t="s">
        <v>201</v>
      </c>
      <c r="EM156" s="2" t="s">
        <v>202</v>
      </c>
      <c r="EN156" s="2"/>
      <c r="EO156" s="2" t="s">
        <v>3</v>
      </c>
      <c r="EP156" s="2"/>
      <c r="EQ156" s="2">
        <v>0</v>
      </c>
      <c r="ER156" s="2">
        <v>29.6</v>
      </c>
      <c r="ES156" s="2">
        <v>29.6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>
        <v>0</v>
      </c>
      <c r="FR156" s="2">
        <v>0</v>
      </c>
      <c r="FS156" s="2">
        <v>0</v>
      </c>
      <c r="FT156" s="2"/>
      <c r="FU156" s="2"/>
      <c r="FV156" s="2"/>
      <c r="FW156" s="2"/>
      <c r="FX156" s="2">
        <v>90</v>
      </c>
      <c r="FY156" s="2">
        <v>46</v>
      </c>
      <c r="FZ156" s="2"/>
      <c r="GA156" s="2" t="s">
        <v>3</v>
      </c>
      <c r="GB156" s="2"/>
      <c r="GC156" s="2"/>
      <c r="GD156" s="2">
        <v>1</v>
      </c>
      <c r="GE156" s="2"/>
      <c r="GF156" s="2">
        <v>639455440</v>
      </c>
      <c r="GG156" s="2">
        <v>2</v>
      </c>
      <c r="GH156" s="2">
        <v>1</v>
      </c>
      <c r="GI156" s="2">
        <v>-2</v>
      </c>
      <c r="GJ156" s="2">
        <v>0</v>
      </c>
      <c r="GK156" s="2">
        <v>0</v>
      </c>
      <c r="GL156" s="2">
        <f t="shared" si="132"/>
        <v>0</v>
      </c>
      <c r="GM156" s="2">
        <f t="shared" si="133"/>
        <v>59.2</v>
      </c>
      <c r="GN156" s="2">
        <f t="shared" si="134"/>
        <v>0</v>
      </c>
      <c r="GO156" s="2">
        <f t="shared" si="135"/>
        <v>59.2</v>
      </c>
      <c r="GP156" s="2">
        <f t="shared" si="136"/>
        <v>0</v>
      </c>
      <c r="GQ156" s="2"/>
      <c r="GR156" s="2">
        <v>0</v>
      </c>
      <c r="GS156" s="2">
        <v>3</v>
      </c>
      <c r="GT156" s="2">
        <v>0</v>
      </c>
      <c r="GU156" s="2" t="s">
        <v>3</v>
      </c>
      <c r="GV156" s="2">
        <f t="shared" si="137"/>
        <v>0</v>
      </c>
      <c r="GW156" s="2">
        <v>1</v>
      </c>
      <c r="GX156" s="2">
        <f t="shared" si="138"/>
        <v>0</v>
      </c>
      <c r="GY156" s="2"/>
      <c r="GZ156" s="2"/>
      <c r="HA156" s="2">
        <v>0</v>
      </c>
      <c r="HB156" s="2">
        <v>0</v>
      </c>
      <c r="HC156" s="2">
        <f t="shared" si="139"/>
        <v>0</v>
      </c>
      <c r="HD156" s="2"/>
      <c r="HE156" s="2" t="s">
        <v>3</v>
      </c>
      <c r="HF156" s="2" t="s">
        <v>3</v>
      </c>
      <c r="HG156" s="2"/>
      <c r="HH156" s="2"/>
      <c r="HI156" s="2"/>
      <c r="HJ156" s="2"/>
      <c r="HK156" s="2"/>
      <c r="HL156" s="2"/>
      <c r="HM156" s="2" t="s">
        <v>3</v>
      </c>
      <c r="HN156" s="2" t="s">
        <v>3</v>
      </c>
      <c r="HO156" s="2" t="s">
        <v>3</v>
      </c>
      <c r="HP156" s="2" t="s">
        <v>3</v>
      </c>
      <c r="HQ156" s="2" t="s">
        <v>3</v>
      </c>
      <c r="HR156" s="2"/>
      <c r="HS156" s="2">
        <v>0</v>
      </c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>
        <v>0</v>
      </c>
      <c r="IL156" s="2"/>
      <c r="IM156" s="2"/>
      <c r="IN156" s="2"/>
      <c r="IO156" s="2"/>
      <c r="IP156" s="2"/>
      <c r="IQ156" s="2"/>
      <c r="IR156" s="2"/>
      <c r="IS156" s="2"/>
      <c r="IT156" s="2"/>
      <c r="IU156" s="2"/>
    </row>
    <row r="157" spans="1:255" x14ac:dyDescent="0.2">
      <c r="A157">
        <v>18</v>
      </c>
      <c r="B157">
        <v>1</v>
      </c>
      <c r="C157">
        <v>165</v>
      </c>
      <c r="E157" t="s">
        <v>209</v>
      </c>
      <c r="F157" t="s">
        <v>210</v>
      </c>
      <c r="G157" t="s">
        <v>211</v>
      </c>
      <c r="H157" t="s">
        <v>31</v>
      </c>
      <c r="I157">
        <f>I155*J157</f>
        <v>2</v>
      </c>
      <c r="J157">
        <v>100</v>
      </c>
      <c r="K157">
        <v>100</v>
      </c>
      <c r="O157">
        <f t="shared" si="114"/>
        <v>365.26</v>
      </c>
      <c r="P157">
        <f t="shared" si="115"/>
        <v>365.26</v>
      </c>
      <c r="Q157">
        <f>(ROUND((ROUND(((ET157)*AV157*I157),2)*BB157),2)+ROUND((ROUND(((AE157-(EU157))*AV157*I157),2)*BS157),2))</f>
        <v>0</v>
      </c>
      <c r="R157">
        <f>(ROUND((ROUND(((EU157)*AV157*I157),2)*BS157),2)+ROUND((ROUND(((AE157-(EU157))*AV157*I157),2)*BS157),2))</f>
        <v>0</v>
      </c>
      <c r="S157">
        <f t="shared" si="116"/>
        <v>0</v>
      </c>
      <c r="T157">
        <f t="shared" si="117"/>
        <v>0</v>
      </c>
      <c r="U157">
        <f t="shared" si="118"/>
        <v>0</v>
      </c>
      <c r="V157">
        <f t="shared" si="119"/>
        <v>0</v>
      </c>
      <c r="W157">
        <f t="shared" si="120"/>
        <v>0</v>
      </c>
      <c r="X157">
        <f>(ROUND((((S157+ROUND((ROUND(((EU157)*AV157*I157),2)*BS157),2))*AT157)/100),2)+ROUND(((ROUND((ROUND(((AE157-(EU157))*AV157*I157),2)*BS157),2)*AT157)/100),2))</f>
        <v>0</v>
      </c>
      <c r="Y157">
        <f>(ROUND((((S157+ROUND((ROUND(((EU157)*AV157*I157),2)*BS157),2))*AU157)/100),2)+ROUND(((ROUND((ROUND(((AE157-(EU157))*AV157*I157),2)*BS157),2)*AU157)/100),2))</f>
        <v>0</v>
      </c>
      <c r="AA157">
        <v>60256982</v>
      </c>
      <c r="AB157">
        <f t="shared" si="121"/>
        <v>29.6</v>
      </c>
      <c r="AC157">
        <f t="shared" si="122"/>
        <v>29.6</v>
      </c>
      <c r="AD157">
        <f>ROUND((((ET157)-(EU157))+AE157),6)</f>
        <v>0</v>
      </c>
      <c r="AE157">
        <f>ROUND((EU157),6)</f>
        <v>0</v>
      </c>
      <c r="AF157">
        <f>ROUND((EV157),6)</f>
        <v>0</v>
      </c>
      <c r="AG157">
        <f t="shared" si="123"/>
        <v>0</v>
      </c>
      <c r="AH157">
        <f>(EW157)</f>
        <v>0</v>
      </c>
      <c r="AI157">
        <f>(EX157)</f>
        <v>0</v>
      </c>
      <c r="AJ157">
        <f t="shared" si="124"/>
        <v>0</v>
      </c>
      <c r="AK157">
        <v>29.6</v>
      </c>
      <c r="AL157">
        <v>29.6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90</v>
      </c>
      <c r="AU157">
        <v>46</v>
      </c>
      <c r="AV157">
        <v>1</v>
      </c>
      <c r="AW157">
        <v>1</v>
      </c>
      <c r="AZ157">
        <v>1</v>
      </c>
      <c r="BA157">
        <v>1</v>
      </c>
      <c r="BB157">
        <v>1</v>
      </c>
      <c r="BC157">
        <v>6.17</v>
      </c>
      <c r="BD157" t="s">
        <v>3</v>
      </c>
      <c r="BE157" t="s">
        <v>3</v>
      </c>
      <c r="BF157" t="s">
        <v>3</v>
      </c>
      <c r="BG157" t="s">
        <v>3</v>
      </c>
      <c r="BH157">
        <v>3</v>
      </c>
      <c r="BI157">
        <v>2</v>
      </c>
      <c r="BJ157" t="s">
        <v>212</v>
      </c>
      <c r="BM157">
        <v>68</v>
      </c>
      <c r="BN157">
        <v>58973116</v>
      </c>
      <c r="BO157" t="s">
        <v>210</v>
      </c>
      <c r="BP157">
        <v>1</v>
      </c>
      <c r="BQ157">
        <v>40</v>
      </c>
      <c r="BR157">
        <v>0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 t="s">
        <v>3</v>
      </c>
      <c r="BZ157">
        <v>90</v>
      </c>
      <c r="CA157">
        <v>46</v>
      </c>
      <c r="CB157" t="s">
        <v>3</v>
      </c>
      <c r="CE157">
        <v>1566</v>
      </c>
      <c r="CF157">
        <v>0</v>
      </c>
      <c r="CG157">
        <v>0</v>
      </c>
      <c r="CM157">
        <v>0</v>
      </c>
      <c r="CN157" t="s">
        <v>3</v>
      </c>
      <c r="CO157">
        <v>0</v>
      </c>
      <c r="CP157">
        <f t="shared" si="125"/>
        <v>365.26</v>
      </c>
      <c r="CQ157">
        <f t="shared" si="126"/>
        <v>182.63</v>
      </c>
      <c r="CR157">
        <f>(ROUND((ROUND(((ET157)*AV157*1),2)*BB157),2)+ROUND((ROUND(((AE157-(EU157))*AV157*1),2)*BS157),2))</f>
        <v>0</v>
      </c>
      <c r="CS157">
        <f>(ROUND((ROUND(((EU157)*AV157*1),2)*BS157),2)+ROUND((ROUND(((AE157-(EU157))*AV157*1),2)*BS157),2))</f>
        <v>0</v>
      </c>
      <c r="CT157">
        <f t="shared" si="127"/>
        <v>0</v>
      </c>
      <c r="CU157">
        <f t="shared" si="128"/>
        <v>0</v>
      </c>
      <c r="CV157">
        <f t="shared" si="129"/>
        <v>0</v>
      </c>
      <c r="CW157">
        <f t="shared" si="130"/>
        <v>0</v>
      </c>
      <c r="CX157">
        <f t="shared" si="131"/>
        <v>0</v>
      </c>
      <c r="CY157">
        <f>(ROUND((((S157+ROUND((ROUND(((EU157)*AV157*1),2)*BS157),2))*AT157)/100),2)+ROUND(((ROUND((ROUND(((AE157-(EU157))*AV157*1),2)*BS157),2)*AT157)/100),2))</f>
        <v>0</v>
      </c>
      <c r="CZ157">
        <f>(ROUND((((S157+ROUND((ROUND(((EU157)*AV157*1),2)*BS157),2))*AU157)/100),2)+ROUND(((ROUND((ROUND(((AE157-(EU157))*AV157*1),2)*BS157),2)*AU157)/100),2))</f>
        <v>0</v>
      </c>
      <c r="DC157" t="s">
        <v>3</v>
      </c>
      <c r="DD157" t="s">
        <v>3</v>
      </c>
      <c r="DE157" t="s">
        <v>3</v>
      </c>
      <c r="DF157" t="s">
        <v>3</v>
      </c>
      <c r="DG157" t="s">
        <v>3</v>
      </c>
      <c r="DH157" t="s">
        <v>3</v>
      </c>
      <c r="DI157" t="s">
        <v>3</v>
      </c>
      <c r="DJ157" t="s">
        <v>3</v>
      </c>
      <c r="DK157" t="s">
        <v>3</v>
      </c>
      <c r="DL157" t="s">
        <v>3</v>
      </c>
      <c r="DM157" t="s">
        <v>3</v>
      </c>
      <c r="DN157">
        <v>0</v>
      </c>
      <c r="DO157">
        <v>0</v>
      </c>
      <c r="DP157">
        <v>1</v>
      </c>
      <c r="DQ157">
        <v>1</v>
      </c>
      <c r="DU157">
        <v>1010</v>
      </c>
      <c r="DV157" t="s">
        <v>31</v>
      </c>
      <c r="DW157" t="s">
        <v>31</v>
      </c>
      <c r="DX157">
        <v>1</v>
      </c>
      <c r="DZ157" t="s">
        <v>3</v>
      </c>
      <c r="EA157" t="s">
        <v>3</v>
      </c>
      <c r="EB157" t="s">
        <v>3</v>
      </c>
      <c r="EC157" t="s">
        <v>3</v>
      </c>
      <c r="EE157">
        <v>60088532</v>
      </c>
      <c r="EF157">
        <v>40</v>
      </c>
      <c r="EG157" t="s">
        <v>24</v>
      </c>
      <c r="EH157">
        <v>0</v>
      </c>
      <c r="EI157" t="s">
        <v>3</v>
      </c>
      <c r="EJ157">
        <v>2</v>
      </c>
      <c r="EK157">
        <v>68</v>
      </c>
      <c r="EL157" t="s">
        <v>201</v>
      </c>
      <c r="EM157" t="s">
        <v>202</v>
      </c>
      <c r="EO157" t="s">
        <v>3</v>
      </c>
      <c r="EQ157">
        <v>0</v>
      </c>
      <c r="ER157">
        <v>29.6</v>
      </c>
      <c r="ES157">
        <v>29.6</v>
      </c>
      <c r="ET157">
        <v>0</v>
      </c>
      <c r="EU157">
        <v>0</v>
      </c>
      <c r="EV157">
        <v>0</v>
      </c>
      <c r="EW157">
        <v>0</v>
      </c>
      <c r="EX157">
        <v>0</v>
      </c>
      <c r="FQ157">
        <v>0</v>
      </c>
      <c r="FR157">
        <v>0</v>
      </c>
      <c r="FS157">
        <v>0</v>
      </c>
      <c r="FX157">
        <v>90</v>
      </c>
      <c r="FY157">
        <v>46</v>
      </c>
      <c r="GA157" t="s">
        <v>3</v>
      </c>
      <c r="GD157">
        <v>1</v>
      </c>
      <c r="GF157">
        <v>639455440</v>
      </c>
      <c r="GG157">
        <v>2</v>
      </c>
      <c r="GH157">
        <v>1</v>
      </c>
      <c r="GI157">
        <v>2</v>
      </c>
      <c r="GJ157">
        <v>0</v>
      </c>
      <c r="GK157">
        <v>0</v>
      </c>
      <c r="GL157">
        <f t="shared" si="132"/>
        <v>0</v>
      </c>
      <c r="GM157">
        <f t="shared" si="133"/>
        <v>365.26</v>
      </c>
      <c r="GN157">
        <f t="shared" si="134"/>
        <v>0</v>
      </c>
      <c r="GO157">
        <f t="shared" si="135"/>
        <v>365.26</v>
      </c>
      <c r="GP157">
        <f t="shared" si="136"/>
        <v>0</v>
      </c>
      <c r="GR157">
        <v>0</v>
      </c>
      <c r="GS157">
        <v>3</v>
      </c>
      <c r="GT157">
        <v>0</v>
      </c>
      <c r="GU157" t="s">
        <v>3</v>
      </c>
      <c r="GV157">
        <f t="shared" si="137"/>
        <v>0</v>
      </c>
      <c r="GW157">
        <v>1</v>
      </c>
      <c r="GX157">
        <f t="shared" si="138"/>
        <v>0</v>
      </c>
      <c r="HA157">
        <v>0</v>
      </c>
      <c r="HB157">
        <v>0</v>
      </c>
      <c r="HC157">
        <f t="shared" si="139"/>
        <v>0</v>
      </c>
      <c r="HE157" t="s">
        <v>3</v>
      </c>
      <c r="HF157" t="s">
        <v>3</v>
      </c>
      <c r="HM157" t="s">
        <v>3</v>
      </c>
      <c r="HN157" t="s">
        <v>3</v>
      </c>
      <c r="HO157" t="s">
        <v>3</v>
      </c>
      <c r="HP157" t="s">
        <v>3</v>
      </c>
      <c r="HQ157" t="s">
        <v>3</v>
      </c>
      <c r="HS157">
        <v>0</v>
      </c>
      <c r="IK157">
        <v>0</v>
      </c>
    </row>
    <row r="158" spans="1:255" x14ac:dyDescent="0.2">
      <c r="A158" s="2">
        <v>17</v>
      </c>
      <c r="B158" s="2">
        <v>1</v>
      </c>
      <c r="C158" s="2">
        <f>ROW(SmtRes!A168)</f>
        <v>168</v>
      </c>
      <c r="D158" s="2">
        <f>ROW(EtalonRes!A179)</f>
        <v>179</v>
      </c>
      <c r="E158" s="2" t="s">
        <v>213</v>
      </c>
      <c r="F158" s="2" t="s">
        <v>214</v>
      </c>
      <c r="G158" s="2" t="s">
        <v>215</v>
      </c>
      <c r="H158" s="2" t="s">
        <v>216</v>
      </c>
      <c r="I158" s="2">
        <v>1</v>
      </c>
      <c r="J158" s="2">
        <v>0</v>
      </c>
      <c r="K158" s="2">
        <v>1</v>
      </c>
      <c r="L158" s="2"/>
      <c r="M158" s="2"/>
      <c r="N158" s="2"/>
      <c r="O158" s="2">
        <f t="shared" si="114"/>
        <v>47.84</v>
      </c>
      <c r="P158" s="2">
        <f t="shared" si="115"/>
        <v>0.19</v>
      </c>
      <c r="Q158" s="2">
        <f>(ROUND((ROUND((((ET158*1.1))*AV158*I158),2)*BB158),2)+ROUND((ROUND(((AE158-((EU158*1.1)))*AV158*I158),2)*BS158),2))</f>
        <v>0</v>
      </c>
      <c r="R158" s="2">
        <f>(ROUND((ROUND((((EU158*1.1))*AV158*I158),2)*BS158),2)+ROUND((ROUND(((AE158-((EU158*1.1)))*AV158*I158),2)*BS158),2))</f>
        <v>0</v>
      </c>
      <c r="S158" s="2">
        <f t="shared" si="116"/>
        <v>47.65</v>
      </c>
      <c r="T158" s="2">
        <f t="shared" si="117"/>
        <v>0</v>
      </c>
      <c r="U158" s="2">
        <f t="shared" si="118"/>
        <v>3.3120890000000003</v>
      </c>
      <c r="V158" s="2">
        <f t="shared" si="119"/>
        <v>0</v>
      </c>
      <c r="W158" s="2">
        <f t="shared" si="120"/>
        <v>0</v>
      </c>
      <c r="X158" s="2">
        <f>(ROUND((((S158+ROUND((ROUND((((EU158*1.1))*AV158*I158),2)*BS158),2))*AT158)/100),2)+ROUND(((ROUND((ROUND(((AE158-((EU158*1.1)))*AV158*I158),2)*BS158),2)*AT158)/100),2))</f>
        <v>45.27</v>
      </c>
      <c r="Y158" s="2">
        <f>(ROUND((((S158+ROUND((ROUND((((EU158*1.1))*AV158*I158),2)*BS158),2))*AU158)/100),2)+ROUND(((ROUND((ROUND(((AE158-((EU158*1.1)))*AV158*I158),2)*BS158),2)*AU158)/100),2))</f>
        <v>25.25</v>
      </c>
      <c r="Z158" s="2"/>
      <c r="AA158" s="2">
        <v>60256985</v>
      </c>
      <c r="AB158" s="2">
        <f t="shared" si="121"/>
        <v>44.024999999999999</v>
      </c>
      <c r="AC158" s="2">
        <f t="shared" si="122"/>
        <v>0.19</v>
      </c>
      <c r="AD158" s="2">
        <f>ROUND(((((ET158*1.1))-((EU158*1.1)))+AE158),6)</f>
        <v>0</v>
      </c>
      <c r="AE158" s="2">
        <f>ROUND(((EU158*1.1)),6)</f>
        <v>0</v>
      </c>
      <c r="AF158" s="2">
        <f>ROUND(((EV158*1.1)),6)</f>
        <v>43.835000000000001</v>
      </c>
      <c r="AG158" s="2">
        <f t="shared" si="123"/>
        <v>0</v>
      </c>
      <c r="AH158" s="2">
        <f>((EW158*1.1))</f>
        <v>3.0470000000000002</v>
      </c>
      <c r="AI158" s="2">
        <f>((EX158*1.1))</f>
        <v>0</v>
      </c>
      <c r="AJ158" s="2">
        <f t="shared" si="124"/>
        <v>0</v>
      </c>
      <c r="AK158" s="2">
        <v>40.04</v>
      </c>
      <c r="AL158" s="2">
        <v>0.19</v>
      </c>
      <c r="AM158" s="2">
        <v>0</v>
      </c>
      <c r="AN158" s="2">
        <v>0</v>
      </c>
      <c r="AO158" s="2">
        <v>39.85</v>
      </c>
      <c r="AP158" s="2">
        <v>0</v>
      </c>
      <c r="AQ158" s="2">
        <v>2.77</v>
      </c>
      <c r="AR158" s="2">
        <v>0</v>
      </c>
      <c r="AS158" s="2">
        <v>0</v>
      </c>
      <c r="AT158" s="2">
        <v>95</v>
      </c>
      <c r="AU158" s="2">
        <v>53</v>
      </c>
      <c r="AV158" s="2">
        <v>1.087</v>
      </c>
      <c r="AW158" s="2">
        <v>1</v>
      </c>
      <c r="AX158" s="2"/>
      <c r="AY158" s="2"/>
      <c r="AZ158" s="2">
        <v>1</v>
      </c>
      <c r="BA158" s="2">
        <v>1</v>
      </c>
      <c r="BB158" s="2">
        <v>1</v>
      </c>
      <c r="BC158" s="2">
        <v>1</v>
      </c>
      <c r="BD158" s="2" t="s">
        <v>3</v>
      </c>
      <c r="BE158" s="2" t="s">
        <v>3</v>
      </c>
      <c r="BF158" s="2" t="s">
        <v>3</v>
      </c>
      <c r="BG158" s="2" t="s">
        <v>3</v>
      </c>
      <c r="BH158" s="2">
        <v>0</v>
      </c>
      <c r="BI158" s="2">
        <v>2</v>
      </c>
      <c r="BJ158" s="2" t="s">
        <v>217</v>
      </c>
      <c r="BK158" s="2"/>
      <c r="BL158" s="2"/>
      <c r="BM158" s="2">
        <v>69</v>
      </c>
      <c r="BN158" s="2">
        <v>58973116</v>
      </c>
      <c r="BO158" s="2" t="s">
        <v>214</v>
      </c>
      <c r="BP158" s="2">
        <v>1</v>
      </c>
      <c r="BQ158" s="2">
        <v>40</v>
      </c>
      <c r="BR158" s="2">
        <v>0</v>
      </c>
      <c r="BS158" s="2">
        <v>1</v>
      </c>
      <c r="BT158" s="2">
        <v>1</v>
      </c>
      <c r="BU158" s="2">
        <v>1</v>
      </c>
      <c r="BV158" s="2">
        <v>1</v>
      </c>
      <c r="BW158" s="2">
        <v>1</v>
      </c>
      <c r="BX158" s="2">
        <v>1</v>
      </c>
      <c r="BY158" s="2" t="s">
        <v>3</v>
      </c>
      <c r="BZ158" s="2">
        <v>95</v>
      </c>
      <c r="CA158" s="2">
        <v>53</v>
      </c>
      <c r="CB158" s="2" t="s">
        <v>3</v>
      </c>
      <c r="CC158" s="2"/>
      <c r="CD158" s="2"/>
      <c r="CE158" s="2">
        <v>1566</v>
      </c>
      <c r="CF158" s="2">
        <v>0</v>
      </c>
      <c r="CG158" s="2">
        <v>0</v>
      </c>
      <c r="CH158" s="2"/>
      <c r="CI158" s="2"/>
      <c r="CJ158" s="2"/>
      <c r="CK158" s="2"/>
      <c r="CL158" s="2"/>
      <c r="CM158" s="2">
        <v>0</v>
      </c>
      <c r="CN158" s="2" t="s">
        <v>474</v>
      </c>
      <c r="CO158" s="2">
        <v>0</v>
      </c>
      <c r="CP158" s="2">
        <f t="shared" si="125"/>
        <v>47.839999999999996</v>
      </c>
      <c r="CQ158" s="2">
        <f t="shared" si="126"/>
        <v>0.19</v>
      </c>
      <c r="CR158" s="2">
        <f>(ROUND((ROUND((((ET158*1.1))*AV158*1),2)*BB158),2)+ROUND((ROUND(((AE158-((EU158*1.1)))*AV158*1),2)*BS158),2))</f>
        <v>0</v>
      </c>
      <c r="CS158" s="2">
        <f>(ROUND((ROUND((((EU158*1.1))*AV158*1),2)*BS158),2)+ROUND((ROUND(((AE158-((EU158*1.1)))*AV158*1),2)*BS158),2))</f>
        <v>0</v>
      </c>
      <c r="CT158" s="2">
        <f t="shared" si="127"/>
        <v>47.65</v>
      </c>
      <c r="CU158" s="2">
        <f t="shared" si="128"/>
        <v>0</v>
      </c>
      <c r="CV158" s="2">
        <f t="shared" si="129"/>
        <v>3.3120890000000003</v>
      </c>
      <c r="CW158" s="2">
        <f t="shared" si="130"/>
        <v>0</v>
      </c>
      <c r="CX158" s="2">
        <f t="shared" si="131"/>
        <v>0</v>
      </c>
      <c r="CY158" s="2">
        <f>(ROUND((((S158+ROUND((ROUND((((EU158*1.1))*AV158*1),2)*BS158),2))*AT158)/100),2)+ROUND(((ROUND((ROUND(((AE158-((EU158*1.1)))*AV158*1),2)*BS158),2)*AT158)/100),2))</f>
        <v>45.27</v>
      </c>
      <c r="CZ158" s="2">
        <f>(ROUND((((S158+ROUND((ROUND((((EU158*1.1))*AV158*1),2)*BS158),2))*AU158)/100),2)+ROUND(((ROUND((ROUND(((AE158-((EU158*1.1)))*AV158*1),2)*BS158),2)*AU158)/100),2))</f>
        <v>25.25</v>
      </c>
      <c r="DA158" s="2"/>
      <c r="DB158" s="2">
        <v>23</v>
      </c>
      <c r="DC158" s="2" t="s">
        <v>3</v>
      </c>
      <c r="DD158" s="2" t="s">
        <v>3</v>
      </c>
      <c r="DE158" s="2" t="s">
        <v>23</v>
      </c>
      <c r="DF158" s="2" t="s">
        <v>23</v>
      </c>
      <c r="DG158" s="2" t="s">
        <v>23</v>
      </c>
      <c r="DH158" s="2" t="s">
        <v>3</v>
      </c>
      <c r="DI158" s="2" t="s">
        <v>23</v>
      </c>
      <c r="DJ158" s="2" t="s">
        <v>23</v>
      </c>
      <c r="DK158" s="2" t="s">
        <v>3</v>
      </c>
      <c r="DL158" s="2" t="s">
        <v>3</v>
      </c>
      <c r="DM158" s="2" t="s">
        <v>3</v>
      </c>
      <c r="DN158" s="2">
        <v>0</v>
      </c>
      <c r="DO158" s="2">
        <v>0</v>
      </c>
      <c r="DP158" s="2">
        <v>1</v>
      </c>
      <c r="DQ158" s="2">
        <v>1</v>
      </c>
      <c r="DR158" s="2"/>
      <c r="DS158" s="2"/>
      <c r="DT158" s="2"/>
      <c r="DU158" s="2">
        <v>1013</v>
      </c>
      <c r="DV158" s="2" t="s">
        <v>216</v>
      </c>
      <c r="DW158" s="2" t="s">
        <v>216</v>
      </c>
      <c r="DX158" s="2">
        <v>1</v>
      </c>
      <c r="DY158" s="2"/>
      <c r="DZ158" s="2" t="s">
        <v>3</v>
      </c>
      <c r="EA158" s="2" t="s">
        <v>3</v>
      </c>
      <c r="EB158" s="2" t="s">
        <v>3</v>
      </c>
      <c r="EC158" s="2" t="s">
        <v>3</v>
      </c>
      <c r="ED158" s="2"/>
      <c r="EE158" s="2">
        <v>60088533</v>
      </c>
      <c r="EF158" s="2">
        <v>40</v>
      </c>
      <c r="EG158" s="2" t="s">
        <v>24</v>
      </c>
      <c r="EH158" s="2">
        <v>0</v>
      </c>
      <c r="EI158" s="2" t="s">
        <v>3</v>
      </c>
      <c r="EJ158" s="2">
        <v>2</v>
      </c>
      <c r="EK158" s="2">
        <v>69</v>
      </c>
      <c r="EL158" s="2" t="s">
        <v>54</v>
      </c>
      <c r="EM158" s="2" t="s">
        <v>55</v>
      </c>
      <c r="EN158" s="2"/>
      <c r="EO158" s="2" t="s">
        <v>27</v>
      </c>
      <c r="EP158" s="2"/>
      <c r="EQ158" s="2">
        <v>0</v>
      </c>
      <c r="ER158" s="2">
        <v>40.04</v>
      </c>
      <c r="ES158" s="2">
        <v>0.19</v>
      </c>
      <c r="ET158" s="2">
        <v>0</v>
      </c>
      <c r="EU158" s="2">
        <v>0</v>
      </c>
      <c r="EV158" s="2">
        <v>39.85</v>
      </c>
      <c r="EW158" s="2">
        <v>2.77</v>
      </c>
      <c r="EX158" s="2">
        <v>0</v>
      </c>
      <c r="EY158" s="2">
        <v>0</v>
      </c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>
        <v>0</v>
      </c>
      <c r="FR158" s="2">
        <v>0</v>
      </c>
      <c r="FS158" s="2">
        <v>0</v>
      </c>
      <c r="FT158" s="2"/>
      <c r="FU158" s="2"/>
      <c r="FV158" s="2"/>
      <c r="FW158" s="2"/>
      <c r="FX158" s="2">
        <v>95</v>
      </c>
      <c r="FY158" s="2">
        <v>53</v>
      </c>
      <c r="FZ158" s="2"/>
      <c r="GA158" s="2" t="s">
        <v>3</v>
      </c>
      <c r="GB158" s="2"/>
      <c r="GC158" s="2"/>
      <c r="GD158" s="2">
        <v>1</v>
      </c>
      <c r="GE158" s="2"/>
      <c r="GF158" s="2">
        <v>-1206834441</v>
      </c>
      <c r="GG158" s="2">
        <v>2</v>
      </c>
      <c r="GH158" s="2">
        <v>1</v>
      </c>
      <c r="GI158" s="2">
        <v>2</v>
      </c>
      <c r="GJ158" s="2">
        <v>0</v>
      </c>
      <c r="GK158" s="2">
        <v>0</v>
      </c>
      <c r="GL158" s="2">
        <f t="shared" si="132"/>
        <v>0</v>
      </c>
      <c r="GM158" s="2">
        <f t="shared" si="133"/>
        <v>118.36</v>
      </c>
      <c r="GN158" s="2">
        <f t="shared" si="134"/>
        <v>0</v>
      </c>
      <c r="GO158" s="2">
        <f t="shared" si="135"/>
        <v>118.36</v>
      </c>
      <c r="GP158" s="2">
        <f t="shared" si="136"/>
        <v>0</v>
      </c>
      <c r="GQ158" s="2"/>
      <c r="GR158" s="2">
        <v>0</v>
      </c>
      <c r="GS158" s="2">
        <v>3</v>
      </c>
      <c r="GT158" s="2">
        <v>0</v>
      </c>
      <c r="GU158" s="2" t="s">
        <v>3</v>
      </c>
      <c r="GV158" s="2">
        <f t="shared" si="137"/>
        <v>0</v>
      </c>
      <c r="GW158" s="2">
        <v>1</v>
      </c>
      <c r="GX158" s="2">
        <f t="shared" si="138"/>
        <v>0</v>
      </c>
      <c r="GY158" s="2"/>
      <c r="GZ158" s="2"/>
      <c r="HA158" s="2">
        <v>0</v>
      </c>
      <c r="HB158" s="2">
        <v>0</v>
      </c>
      <c r="HC158" s="2">
        <f t="shared" si="139"/>
        <v>0</v>
      </c>
      <c r="HD158" s="2"/>
      <c r="HE158" s="2" t="s">
        <v>3</v>
      </c>
      <c r="HF158" s="2" t="s">
        <v>3</v>
      </c>
      <c r="HG158" s="2"/>
      <c r="HH158" s="2"/>
      <c r="HI158" s="2"/>
      <c r="HJ158" s="2"/>
      <c r="HK158" s="2"/>
      <c r="HL158" s="2"/>
      <c r="HM158" s="2" t="s">
        <v>3</v>
      </c>
      <c r="HN158" s="2" t="s">
        <v>3</v>
      </c>
      <c r="HO158" s="2" t="s">
        <v>3</v>
      </c>
      <c r="HP158" s="2" t="s">
        <v>3</v>
      </c>
      <c r="HQ158" s="2" t="s">
        <v>3</v>
      </c>
      <c r="HR158" s="2"/>
      <c r="HS158" s="2">
        <v>0</v>
      </c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>
        <v>0</v>
      </c>
      <c r="IL158" s="2"/>
      <c r="IM158" s="2"/>
      <c r="IN158" s="2"/>
      <c r="IO158" s="2"/>
      <c r="IP158" s="2"/>
      <c r="IQ158" s="2"/>
      <c r="IR158" s="2"/>
      <c r="IS158" s="2"/>
      <c r="IT158" s="2"/>
      <c r="IU158" s="2"/>
    </row>
    <row r="159" spans="1:255" x14ac:dyDescent="0.2">
      <c r="A159">
        <v>17</v>
      </c>
      <c r="B159">
        <v>1</v>
      </c>
      <c r="C159">
        <f>ROW(SmtRes!A170)</f>
        <v>170</v>
      </c>
      <c r="D159">
        <f>ROW(EtalonRes!A180)</f>
        <v>180</v>
      </c>
      <c r="E159" t="s">
        <v>213</v>
      </c>
      <c r="F159" t="s">
        <v>214</v>
      </c>
      <c r="G159" t="s">
        <v>215</v>
      </c>
      <c r="H159" t="s">
        <v>216</v>
      </c>
      <c r="I159">
        <v>1</v>
      </c>
      <c r="J159">
        <v>0</v>
      </c>
      <c r="K159">
        <v>1</v>
      </c>
      <c r="O159">
        <f t="shared" si="114"/>
        <v>2622.15</v>
      </c>
      <c r="P159">
        <f t="shared" si="115"/>
        <v>1.88</v>
      </c>
      <c r="Q159">
        <f>(ROUND((ROUND((((ET159*1.1))*AV159*I159),2)*BB159),2)+ROUND((ROUND(((AE159-((EU159*1.1)))*AV159*I159),2)*BS159),2))</f>
        <v>0</v>
      </c>
      <c r="R159">
        <f>(ROUND((ROUND((((EU159*1.1))*AV159*I159),2)*BS159),2)+ROUND((ROUND(((AE159-((EU159*1.1)))*AV159*I159),2)*BS159),2))</f>
        <v>0</v>
      </c>
      <c r="S159">
        <f t="shared" si="116"/>
        <v>2620.27</v>
      </c>
      <c r="T159">
        <f t="shared" si="117"/>
        <v>0</v>
      </c>
      <c r="U159">
        <f t="shared" si="118"/>
        <v>3.3120890000000003</v>
      </c>
      <c r="V159">
        <f t="shared" si="119"/>
        <v>0</v>
      </c>
      <c r="W159">
        <f t="shared" si="120"/>
        <v>0</v>
      </c>
      <c r="X159">
        <f>(ROUND((((S159+ROUND((ROUND((((EU159*1.1))*AV159*I159),2)*BS159),2))*AT159)/100),2)+ROUND(((ROUND((ROUND(((AE159-((EU159*1.1)))*AV159*I159),2)*BS159),2)*AT159)/100),2))</f>
        <v>2489.2600000000002</v>
      </c>
      <c r="Y159">
        <f>(ROUND((((S159+ROUND((ROUND((((EU159*1.1))*AV159*I159),2)*BS159),2))*AU159)/100),2)+ROUND(((ROUND((ROUND(((AE159-((EU159*1.1)))*AV159*I159),2)*BS159),2)*AU159)/100),2))</f>
        <v>1388.74</v>
      </c>
      <c r="AA159">
        <v>60256982</v>
      </c>
      <c r="AB159">
        <f t="shared" si="121"/>
        <v>44.024999999999999</v>
      </c>
      <c r="AC159">
        <f t="shared" si="122"/>
        <v>0.19</v>
      </c>
      <c r="AD159">
        <f>ROUND(((((ET159*1.1))-((EU159*1.1)))+AE159),6)</f>
        <v>0</v>
      </c>
      <c r="AE159">
        <f>ROUND(((EU159*1.1)),6)</f>
        <v>0</v>
      </c>
      <c r="AF159">
        <f>ROUND(((EV159*1.1)),6)</f>
        <v>43.835000000000001</v>
      </c>
      <c r="AG159">
        <f t="shared" si="123"/>
        <v>0</v>
      </c>
      <c r="AH159">
        <f>((EW159*1.1))</f>
        <v>3.0470000000000002</v>
      </c>
      <c r="AI159">
        <f>((EX159*1.1))</f>
        <v>0</v>
      </c>
      <c r="AJ159">
        <f t="shared" si="124"/>
        <v>0</v>
      </c>
      <c r="AK159">
        <v>40.04</v>
      </c>
      <c r="AL159">
        <v>0.19</v>
      </c>
      <c r="AM159">
        <v>0</v>
      </c>
      <c r="AN159">
        <v>0</v>
      </c>
      <c r="AO159">
        <v>39.85</v>
      </c>
      <c r="AP159">
        <v>0</v>
      </c>
      <c r="AQ159">
        <v>2.77</v>
      </c>
      <c r="AR159">
        <v>0</v>
      </c>
      <c r="AS159">
        <v>0</v>
      </c>
      <c r="AT159">
        <v>95</v>
      </c>
      <c r="AU159">
        <v>53</v>
      </c>
      <c r="AV159">
        <v>1.087</v>
      </c>
      <c r="AW159">
        <v>1</v>
      </c>
      <c r="AZ159">
        <v>1</v>
      </c>
      <c r="BA159">
        <v>54.99</v>
      </c>
      <c r="BB159">
        <v>1</v>
      </c>
      <c r="BC159">
        <v>9.89</v>
      </c>
      <c r="BD159" t="s">
        <v>3</v>
      </c>
      <c r="BE159" t="s">
        <v>3</v>
      </c>
      <c r="BF159" t="s">
        <v>3</v>
      </c>
      <c r="BG159" t="s">
        <v>3</v>
      </c>
      <c r="BH159">
        <v>0</v>
      </c>
      <c r="BI159">
        <v>2</v>
      </c>
      <c r="BJ159" t="s">
        <v>217</v>
      </c>
      <c r="BM159">
        <v>69</v>
      </c>
      <c r="BN159">
        <v>58973116</v>
      </c>
      <c r="BO159" t="s">
        <v>214</v>
      </c>
      <c r="BP159">
        <v>1</v>
      </c>
      <c r="BQ159">
        <v>40</v>
      </c>
      <c r="BR159">
        <v>0</v>
      </c>
      <c r="BS159">
        <v>54.99</v>
      </c>
      <c r="BT159">
        <v>1</v>
      </c>
      <c r="BU159">
        <v>1</v>
      </c>
      <c r="BV159">
        <v>1</v>
      </c>
      <c r="BW159">
        <v>1</v>
      </c>
      <c r="BX159">
        <v>1</v>
      </c>
      <c r="BY159" t="s">
        <v>3</v>
      </c>
      <c r="BZ159">
        <v>95</v>
      </c>
      <c r="CA159">
        <v>53</v>
      </c>
      <c r="CB159" t="s">
        <v>3</v>
      </c>
      <c r="CE159">
        <v>1566</v>
      </c>
      <c r="CF159">
        <v>0</v>
      </c>
      <c r="CG159">
        <v>0</v>
      </c>
      <c r="CM159">
        <v>0</v>
      </c>
      <c r="CN159" t="s">
        <v>474</v>
      </c>
      <c r="CO159">
        <v>0</v>
      </c>
      <c r="CP159">
        <f t="shared" si="125"/>
        <v>2622.15</v>
      </c>
      <c r="CQ159">
        <f t="shared" si="126"/>
        <v>1.88</v>
      </c>
      <c r="CR159">
        <f>(ROUND((ROUND((((ET159*1.1))*AV159*1),2)*BB159),2)+ROUND((ROUND(((AE159-((EU159*1.1)))*AV159*1),2)*BS159),2))</f>
        <v>0</v>
      </c>
      <c r="CS159">
        <f>(ROUND((ROUND((((EU159*1.1))*AV159*1),2)*BS159),2)+ROUND((ROUND(((AE159-((EU159*1.1)))*AV159*1),2)*BS159),2))</f>
        <v>0</v>
      </c>
      <c r="CT159">
        <f t="shared" si="127"/>
        <v>2620.27</v>
      </c>
      <c r="CU159">
        <f t="shared" si="128"/>
        <v>0</v>
      </c>
      <c r="CV159">
        <f t="shared" si="129"/>
        <v>3.3120890000000003</v>
      </c>
      <c r="CW159">
        <f t="shared" si="130"/>
        <v>0</v>
      </c>
      <c r="CX159">
        <f t="shared" si="131"/>
        <v>0</v>
      </c>
      <c r="CY159">
        <f>(ROUND((((S159+ROUND((ROUND((((EU159*1.1))*AV159*1),2)*BS159),2))*AT159)/100),2)+ROUND(((ROUND((ROUND(((AE159-((EU159*1.1)))*AV159*1),2)*BS159),2)*AT159)/100),2))</f>
        <v>2489.2600000000002</v>
      </c>
      <c r="CZ159">
        <f>(ROUND((((S159+ROUND((ROUND((((EU159*1.1))*AV159*1),2)*BS159),2))*AU159)/100),2)+ROUND(((ROUND((ROUND(((AE159-((EU159*1.1)))*AV159*1),2)*BS159),2)*AU159)/100),2))</f>
        <v>1388.74</v>
      </c>
      <c r="DB159">
        <v>24</v>
      </c>
      <c r="DC159" t="s">
        <v>3</v>
      </c>
      <c r="DD159" t="s">
        <v>3</v>
      </c>
      <c r="DE159" t="s">
        <v>23</v>
      </c>
      <c r="DF159" t="s">
        <v>23</v>
      </c>
      <c r="DG159" t="s">
        <v>23</v>
      </c>
      <c r="DH159" t="s">
        <v>3</v>
      </c>
      <c r="DI159" t="s">
        <v>23</v>
      </c>
      <c r="DJ159" t="s">
        <v>23</v>
      </c>
      <c r="DK159" t="s">
        <v>3</v>
      </c>
      <c r="DL159" t="s">
        <v>3</v>
      </c>
      <c r="DM159" t="s">
        <v>3</v>
      </c>
      <c r="DN159">
        <v>0</v>
      </c>
      <c r="DO159">
        <v>0</v>
      </c>
      <c r="DP159">
        <v>1</v>
      </c>
      <c r="DQ159">
        <v>1</v>
      </c>
      <c r="DU159">
        <v>1013</v>
      </c>
      <c r="DV159" t="s">
        <v>216</v>
      </c>
      <c r="DW159" t="s">
        <v>216</v>
      </c>
      <c r="DX159">
        <v>1</v>
      </c>
      <c r="DZ159" t="s">
        <v>3</v>
      </c>
      <c r="EA159" t="s">
        <v>3</v>
      </c>
      <c r="EB159" t="s">
        <v>3</v>
      </c>
      <c r="EC159" t="s">
        <v>3</v>
      </c>
      <c r="EE159">
        <v>60088533</v>
      </c>
      <c r="EF159">
        <v>40</v>
      </c>
      <c r="EG159" t="s">
        <v>24</v>
      </c>
      <c r="EH159">
        <v>0</v>
      </c>
      <c r="EI159" t="s">
        <v>3</v>
      </c>
      <c r="EJ159">
        <v>2</v>
      </c>
      <c r="EK159">
        <v>69</v>
      </c>
      <c r="EL159" t="s">
        <v>54</v>
      </c>
      <c r="EM159" t="s">
        <v>55</v>
      </c>
      <c r="EO159" t="s">
        <v>27</v>
      </c>
      <c r="EQ159">
        <v>0</v>
      </c>
      <c r="ER159">
        <v>40.04</v>
      </c>
      <c r="ES159">
        <v>0.19</v>
      </c>
      <c r="ET159">
        <v>0</v>
      </c>
      <c r="EU159">
        <v>0</v>
      </c>
      <c r="EV159">
        <v>39.85</v>
      </c>
      <c r="EW159">
        <v>2.77</v>
      </c>
      <c r="EX159">
        <v>0</v>
      </c>
      <c r="EY159">
        <v>0</v>
      </c>
      <c r="FQ159">
        <v>0</v>
      </c>
      <c r="FR159">
        <v>0</v>
      </c>
      <c r="FS159">
        <v>0</v>
      </c>
      <c r="FX159">
        <v>95</v>
      </c>
      <c r="FY159">
        <v>53</v>
      </c>
      <c r="GA159" t="s">
        <v>3</v>
      </c>
      <c r="GD159">
        <v>1</v>
      </c>
      <c r="GF159">
        <v>-1206834441</v>
      </c>
      <c r="GG159">
        <v>2</v>
      </c>
      <c r="GH159">
        <v>1</v>
      </c>
      <c r="GI159">
        <v>2</v>
      </c>
      <c r="GJ159">
        <v>0</v>
      </c>
      <c r="GK159">
        <v>0</v>
      </c>
      <c r="GL159">
        <f t="shared" si="132"/>
        <v>0</v>
      </c>
      <c r="GM159">
        <f t="shared" si="133"/>
        <v>6500.15</v>
      </c>
      <c r="GN159">
        <f t="shared" si="134"/>
        <v>0</v>
      </c>
      <c r="GO159">
        <f t="shared" si="135"/>
        <v>6500.15</v>
      </c>
      <c r="GP159">
        <f t="shared" si="136"/>
        <v>0</v>
      </c>
      <c r="GR159">
        <v>0</v>
      </c>
      <c r="GS159">
        <v>3</v>
      </c>
      <c r="GT159">
        <v>0</v>
      </c>
      <c r="GU159" t="s">
        <v>3</v>
      </c>
      <c r="GV159">
        <f t="shared" si="137"/>
        <v>0</v>
      </c>
      <c r="GW159">
        <v>1</v>
      </c>
      <c r="GX159">
        <f t="shared" si="138"/>
        <v>0</v>
      </c>
      <c r="HA159">
        <v>0</v>
      </c>
      <c r="HB159">
        <v>0</v>
      </c>
      <c r="HC159">
        <f t="shared" si="139"/>
        <v>0</v>
      </c>
      <c r="HE159" t="s">
        <v>3</v>
      </c>
      <c r="HF159" t="s">
        <v>3</v>
      </c>
      <c r="HM159" t="s">
        <v>3</v>
      </c>
      <c r="HN159" t="s">
        <v>3</v>
      </c>
      <c r="HO159" t="s">
        <v>3</v>
      </c>
      <c r="HP159" t="s">
        <v>3</v>
      </c>
      <c r="HQ159" t="s">
        <v>3</v>
      </c>
      <c r="HS159">
        <v>0</v>
      </c>
      <c r="IK159">
        <v>0</v>
      </c>
    </row>
    <row r="160" spans="1:255" x14ac:dyDescent="0.2">
      <c r="A160" s="2">
        <v>18</v>
      </c>
      <c r="B160" s="2">
        <v>1</v>
      </c>
      <c r="C160" s="2">
        <v>168</v>
      </c>
      <c r="D160" s="2"/>
      <c r="E160" s="2" t="s">
        <v>218</v>
      </c>
      <c r="F160" s="2" t="s">
        <v>219</v>
      </c>
      <c r="G160" s="2" t="s">
        <v>220</v>
      </c>
      <c r="H160" s="2" t="s">
        <v>31</v>
      </c>
      <c r="I160" s="2">
        <f>I158*J160</f>
        <v>1</v>
      </c>
      <c r="J160" s="2">
        <v>1</v>
      </c>
      <c r="K160" s="2">
        <v>1</v>
      </c>
      <c r="L160" s="2"/>
      <c r="M160" s="2"/>
      <c r="N160" s="2"/>
      <c r="O160" s="2">
        <f t="shared" si="114"/>
        <v>1144.1099999999999</v>
      </c>
      <c r="P160" s="2">
        <f>ROUND((ROUND((AC160*I160),2)*BC160),2)</f>
        <v>1144.1099999999999</v>
      </c>
      <c r="Q160" s="2">
        <f>(ROUND((ROUND(((ET160)*AV160*I160),2)*BB160),2)+ROUND((ROUND(((AE160-(EU160))*AV160*I160),2)*BS160),2))</f>
        <v>0</v>
      </c>
      <c r="R160" s="2">
        <f>(ROUND((ROUND(((EU160)*AV160*I160),2)*BS160),2)+ROUND((ROUND(((AE160-(EU160))*AV160*I160),2)*BS160),2))</f>
        <v>0</v>
      </c>
      <c r="S160" s="2">
        <f t="shared" si="116"/>
        <v>0</v>
      </c>
      <c r="T160" s="2">
        <f t="shared" si="117"/>
        <v>0</v>
      </c>
      <c r="U160" s="2">
        <f t="shared" si="118"/>
        <v>0</v>
      </c>
      <c r="V160" s="2">
        <f t="shared" si="119"/>
        <v>0</v>
      </c>
      <c r="W160" s="2">
        <f t="shared" si="120"/>
        <v>0</v>
      </c>
      <c r="X160" s="2">
        <f>(ROUND((((S160+ROUND((ROUND(((EU160)*AV160*I160),2)*BS160),2))*AT160)/100),2)+ROUND(((ROUND((ROUND(((AE160-(EU160))*AV160*I160),2)*BS160),2)*AT160)/100),2))</f>
        <v>0</v>
      </c>
      <c r="Y160" s="2">
        <f>(ROUND((((S160+ROUND((ROUND(((EU160)*AV160*I160),2)*BS160),2))*AU160)/100),2)+ROUND(((ROUND((ROUND(((AE160-(EU160))*AV160*I160),2)*BS160),2)*AU160)/100),2))</f>
        <v>0</v>
      </c>
      <c r="Z160" s="2"/>
      <c r="AA160" s="2">
        <v>60256985</v>
      </c>
      <c r="AB160" s="2">
        <f t="shared" si="121"/>
        <v>1144.1099999999999</v>
      </c>
      <c r="AC160" s="2">
        <f t="shared" si="122"/>
        <v>1144.1099999999999</v>
      </c>
      <c r="AD160" s="2">
        <f>ROUND((((ET160)-(EU160))+AE160),6)</f>
        <v>0</v>
      </c>
      <c r="AE160" s="2">
        <f>ROUND((EU160),6)</f>
        <v>0</v>
      </c>
      <c r="AF160" s="2">
        <f>ROUND((EV160),6)</f>
        <v>0</v>
      </c>
      <c r="AG160" s="2">
        <f t="shared" si="123"/>
        <v>0</v>
      </c>
      <c r="AH160" s="2">
        <f>(EW160)</f>
        <v>0</v>
      </c>
      <c r="AI160" s="2">
        <f>(EX160)</f>
        <v>0</v>
      </c>
      <c r="AJ160" s="2">
        <f t="shared" si="124"/>
        <v>0</v>
      </c>
      <c r="AK160" s="2">
        <v>1144.1099999999999</v>
      </c>
      <c r="AL160" s="2">
        <v>1144.1099999999999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1</v>
      </c>
      <c r="AW160" s="2">
        <v>1</v>
      </c>
      <c r="AX160" s="2"/>
      <c r="AY160" s="2"/>
      <c r="AZ160" s="2">
        <v>1</v>
      </c>
      <c r="BA160" s="2">
        <v>1</v>
      </c>
      <c r="BB160" s="2">
        <v>1</v>
      </c>
      <c r="BC160" s="2">
        <v>1</v>
      </c>
      <c r="BD160" s="2" t="s">
        <v>3</v>
      </c>
      <c r="BE160" s="2" t="s">
        <v>3</v>
      </c>
      <c r="BF160" s="2" t="s">
        <v>3</v>
      </c>
      <c r="BG160" s="2" t="s">
        <v>3</v>
      </c>
      <c r="BH160" s="2">
        <v>3</v>
      </c>
      <c r="BI160" s="2">
        <v>3</v>
      </c>
      <c r="BJ160" s="2" t="s">
        <v>3</v>
      </c>
      <c r="BK160" s="2"/>
      <c r="BL160" s="2"/>
      <c r="BM160" s="2">
        <v>746</v>
      </c>
      <c r="BN160" s="2">
        <v>58973116</v>
      </c>
      <c r="BO160" s="2" t="s">
        <v>3</v>
      </c>
      <c r="BP160" s="2">
        <v>0</v>
      </c>
      <c r="BQ160" s="2">
        <v>130</v>
      </c>
      <c r="BR160" s="2">
        <v>0</v>
      </c>
      <c r="BS160" s="2">
        <v>1</v>
      </c>
      <c r="BT160" s="2">
        <v>1</v>
      </c>
      <c r="BU160" s="2">
        <v>1</v>
      </c>
      <c r="BV160" s="2">
        <v>1</v>
      </c>
      <c r="BW160" s="2">
        <v>1</v>
      </c>
      <c r="BX160" s="2">
        <v>1</v>
      </c>
      <c r="BY160" s="2" t="s">
        <v>3</v>
      </c>
      <c r="BZ160" s="2">
        <v>95</v>
      </c>
      <c r="CA160" s="2">
        <v>53</v>
      </c>
      <c r="CB160" s="2" t="s">
        <v>3</v>
      </c>
      <c r="CC160" s="2"/>
      <c r="CD160" s="2"/>
      <c r="CE160" s="2">
        <v>1566</v>
      </c>
      <c r="CF160" s="2">
        <v>0</v>
      </c>
      <c r="CG160" s="2">
        <v>0</v>
      </c>
      <c r="CH160" s="2"/>
      <c r="CI160" s="2"/>
      <c r="CJ160" s="2"/>
      <c r="CK160" s="2"/>
      <c r="CL160" s="2"/>
      <c r="CM160" s="2">
        <v>0</v>
      </c>
      <c r="CN160" s="2" t="s">
        <v>3</v>
      </c>
      <c r="CO160" s="2">
        <v>0</v>
      </c>
      <c r="CP160" s="2">
        <f t="shared" si="125"/>
        <v>1144.1099999999999</v>
      </c>
      <c r="CQ160" s="2">
        <f>ROUND((ROUND((AC160*1),2)*BC160),2)</f>
        <v>1144.1099999999999</v>
      </c>
      <c r="CR160" s="2">
        <f>(ROUND((ROUND(((ET160)*AV160*1),2)*BB160),2)+ROUND((ROUND(((AE160-(EU160))*AV160*1),2)*BS160),2))</f>
        <v>0</v>
      </c>
      <c r="CS160" s="2">
        <f>(ROUND((ROUND(((EU160)*AV160*1),2)*BS160),2)+ROUND((ROUND(((AE160-(EU160))*AV160*1),2)*BS160),2))</f>
        <v>0</v>
      </c>
      <c r="CT160" s="2">
        <f t="shared" si="127"/>
        <v>0</v>
      </c>
      <c r="CU160" s="2">
        <f t="shared" si="128"/>
        <v>0</v>
      </c>
      <c r="CV160" s="2">
        <f t="shared" si="129"/>
        <v>0</v>
      </c>
      <c r="CW160" s="2">
        <f t="shared" si="130"/>
        <v>0</v>
      </c>
      <c r="CX160" s="2">
        <f t="shared" si="131"/>
        <v>0</v>
      </c>
      <c r="CY160" s="2">
        <f>(ROUND((((S160+ROUND((ROUND(((EU160)*AV160*1),2)*BS160),2))*AT160)/100),2)+ROUND(((ROUND((ROUND(((AE160-(EU160))*AV160*1),2)*BS160),2)*AT160)/100),2))</f>
        <v>0</v>
      </c>
      <c r="CZ160" s="2">
        <f>(ROUND((((S160+ROUND((ROUND(((EU160)*AV160*1),2)*BS160),2))*AU160)/100),2)+ROUND(((ROUND((ROUND(((AE160-(EU160))*AV160*1),2)*BS160),2)*AU160)/100),2))</f>
        <v>0</v>
      </c>
      <c r="DA160" s="2"/>
      <c r="DB160" s="2"/>
      <c r="DC160" s="2" t="s">
        <v>3</v>
      </c>
      <c r="DD160" s="2" t="s">
        <v>3</v>
      </c>
      <c r="DE160" s="2" t="s">
        <v>3</v>
      </c>
      <c r="DF160" s="2" t="s">
        <v>3</v>
      </c>
      <c r="DG160" s="2" t="s">
        <v>3</v>
      </c>
      <c r="DH160" s="2" t="s">
        <v>3</v>
      </c>
      <c r="DI160" s="2" t="s">
        <v>3</v>
      </c>
      <c r="DJ160" s="2" t="s">
        <v>3</v>
      </c>
      <c r="DK160" s="2" t="s">
        <v>3</v>
      </c>
      <c r="DL160" s="2" t="s">
        <v>3</v>
      </c>
      <c r="DM160" s="2" t="s">
        <v>3</v>
      </c>
      <c r="DN160" s="2">
        <v>0</v>
      </c>
      <c r="DO160" s="2">
        <v>0</v>
      </c>
      <c r="DP160" s="2">
        <v>1</v>
      </c>
      <c r="DQ160" s="2">
        <v>1</v>
      </c>
      <c r="DR160" s="2"/>
      <c r="DS160" s="2"/>
      <c r="DT160" s="2"/>
      <c r="DU160" s="2">
        <v>1010</v>
      </c>
      <c r="DV160" s="2" t="s">
        <v>31</v>
      </c>
      <c r="DW160" s="2" t="s">
        <v>31</v>
      </c>
      <c r="DX160" s="2">
        <v>1</v>
      </c>
      <c r="DY160" s="2"/>
      <c r="DZ160" s="2" t="s">
        <v>3</v>
      </c>
      <c r="EA160" s="2" t="s">
        <v>3</v>
      </c>
      <c r="EB160" s="2" t="s">
        <v>3</v>
      </c>
      <c r="EC160" s="2" t="s">
        <v>3</v>
      </c>
      <c r="ED160" s="2"/>
      <c r="EE160" s="2">
        <v>60088638</v>
      </c>
      <c r="EF160" s="2">
        <v>130</v>
      </c>
      <c r="EG160" s="2" t="s">
        <v>32</v>
      </c>
      <c r="EH160" s="2">
        <v>0</v>
      </c>
      <c r="EI160" s="2" t="s">
        <v>3</v>
      </c>
      <c r="EJ160" s="2">
        <v>3</v>
      </c>
      <c r="EK160" s="2">
        <v>746</v>
      </c>
      <c r="EL160" s="2" t="s">
        <v>33</v>
      </c>
      <c r="EM160" s="2" t="s">
        <v>34</v>
      </c>
      <c r="EN160" s="2"/>
      <c r="EO160" s="2" t="s">
        <v>3</v>
      </c>
      <c r="EP160" s="2"/>
      <c r="EQ160" s="2">
        <v>0</v>
      </c>
      <c r="ER160" s="2">
        <v>1144.1099999999999</v>
      </c>
      <c r="ES160" s="2">
        <v>1144.1099999999999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>
        <v>0</v>
      </c>
      <c r="FR160" s="2">
        <f>P160</f>
        <v>1144.1099999999999</v>
      </c>
      <c r="FS160" s="2">
        <v>0</v>
      </c>
      <c r="FT160" s="2"/>
      <c r="FU160" s="2"/>
      <c r="FV160" s="2"/>
      <c r="FW160" s="2"/>
      <c r="FX160" s="2">
        <v>95</v>
      </c>
      <c r="FY160" s="2">
        <v>53</v>
      </c>
      <c r="FZ160" s="2"/>
      <c r="GA160" s="2" t="s">
        <v>3</v>
      </c>
      <c r="GB160" s="2"/>
      <c r="GC160" s="2"/>
      <c r="GD160" s="2">
        <v>1</v>
      </c>
      <c r="GE160" s="2"/>
      <c r="GF160" s="2">
        <v>529010501</v>
      </c>
      <c r="GG160" s="2">
        <v>2</v>
      </c>
      <c r="GH160" s="2">
        <v>1</v>
      </c>
      <c r="GI160" s="2">
        <v>-2</v>
      </c>
      <c r="GJ160" s="2">
        <v>0</v>
      </c>
      <c r="GK160" s="2">
        <v>0</v>
      </c>
      <c r="GL160" s="2">
        <f t="shared" si="132"/>
        <v>0</v>
      </c>
      <c r="GM160" s="2">
        <f t="shared" si="133"/>
        <v>1144.1099999999999</v>
      </c>
      <c r="GN160" s="2">
        <f t="shared" si="134"/>
        <v>0</v>
      </c>
      <c r="GO160" s="2">
        <f t="shared" si="135"/>
        <v>0</v>
      </c>
      <c r="GP160" s="2">
        <f t="shared" si="136"/>
        <v>0</v>
      </c>
      <c r="GQ160" s="2"/>
      <c r="GR160" s="2">
        <v>0</v>
      </c>
      <c r="GS160" s="2">
        <v>3</v>
      </c>
      <c r="GT160" s="2">
        <v>0</v>
      </c>
      <c r="GU160" s="2" t="s">
        <v>3</v>
      </c>
      <c r="GV160" s="2">
        <f t="shared" si="137"/>
        <v>0</v>
      </c>
      <c r="GW160" s="2">
        <v>1</v>
      </c>
      <c r="GX160" s="2">
        <f t="shared" si="138"/>
        <v>0</v>
      </c>
      <c r="GY160" s="2"/>
      <c r="GZ160" s="2"/>
      <c r="HA160" s="2">
        <v>0</v>
      </c>
      <c r="HB160" s="2">
        <v>0</v>
      </c>
      <c r="HC160" s="2">
        <f t="shared" si="139"/>
        <v>0</v>
      </c>
      <c r="HD160" s="2"/>
      <c r="HE160" s="2" t="s">
        <v>3</v>
      </c>
      <c r="HF160" s="2" t="s">
        <v>3</v>
      </c>
      <c r="HG160" s="2"/>
      <c r="HH160" s="2"/>
      <c r="HI160" s="2"/>
      <c r="HJ160" s="2"/>
      <c r="HK160" s="2"/>
      <c r="HL160" s="2"/>
      <c r="HM160" s="2" t="s">
        <v>3</v>
      </c>
      <c r="HN160" s="2" t="s">
        <v>3</v>
      </c>
      <c r="HO160" s="2" t="s">
        <v>3</v>
      </c>
      <c r="HP160" s="2" t="s">
        <v>3</v>
      </c>
      <c r="HQ160" s="2" t="s">
        <v>3</v>
      </c>
      <c r="HR160" s="2"/>
      <c r="HS160" s="2">
        <v>0</v>
      </c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>
        <v>0</v>
      </c>
      <c r="IL160" s="2"/>
      <c r="IM160" s="2"/>
      <c r="IN160" s="2"/>
      <c r="IO160" s="2"/>
      <c r="IP160" s="2"/>
      <c r="IQ160" s="2"/>
      <c r="IR160" s="2"/>
      <c r="IS160" s="2"/>
      <c r="IT160" s="2"/>
      <c r="IU160" s="2"/>
    </row>
    <row r="161" spans="1:255" x14ac:dyDescent="0.2">
      <c r="A161">
        <v>18</v>
      </c>
      <c r="B161">
        <v>1</v>
      </c>
      <c r="C161">
        <v>170</v>
      </c>
      <c r="E161" t="s">
        <v>218</v>
      </c>
      <c r="F161" t="s">
        <v>219</v>
      </c>
      <c r="G161" t="s">
        <v>220</v>
      </c>
      <c r="H161" t="s">
        <v>31</v>
      </c>
      <c r="I161">
        <f>I159*J161</f>
        <v>1</v>
      </c>
      <c r="J161">
        <v>1</v>
      </c>
      <c r="K161">
        <v>1</v>
      </c>
      <c r="O161">
        <f t="shared" si="114"/>
        <v>7036.28</v>
      </c>
      <c r="P161">
        <f>ROUND((ROUND((AC161*I161),2)*BC161),2)</f>
        <v>7036.28</v>
      </c>
      <c r="Q161">
        <f>(ROUND((ROUND(((ET161)*AV161*I161),2)*BB161),2)+ROUND((ROUND(((AE161-(EU161))*AV161*I161),2)*BS161),2))</f>
        <v>0</v>
      </c>
      <c r="R161">
        <f>(ROUND((ROUND(((EU161)*AV161*I161),2)*BS161),2)+ROUND((ROUND(((AE161-(EU161))*AV161*I161),2)*BS161),2))</f>
        <v>0</v>
      </c>
      <c r="S161">
        <f t="shared" si="116"/>
        <v>0</v>
      </c>
      <c r="T161">
        <f t="shared" si="117"/>
        <v>0</v>
      </c>
      <c r="U161">
        <f t="shared" si="118"/>
        <v>0</v>
      </c>
      <c r="V161">
        <f t="shared" si="119"/>
        <v>0</v>
      </c>
      <c r="W161">
        <f t="shared" si="120"/>
        <v>0</v>
      </c>
      <c r="X161">
        <f>(ROUND((((S161+ROUND((ROUND(((EU161)*AV161*I161),2)*BS161),2))*AT161)/100),2)+ROUND(((ROUND((ROUND(((AE161-(EU161))*AV161*I161),2)*BS161),2)*AT161)/100),2))</f>
        <v>0</v>
      </c>
      <c r="Y161">
        <f>(ROUND((((S161+ROUND((ROUND(((EU161)*AV161*I161),2)*BS161),2))*AU161)/100),2)+ROUND(((ROUND((ROUND(((AE161-(EU161))*AV161*I161),2)*BS161),2)*AU161)/100),2))</f>
        <v>0</v>
      </c>
      <c r="AA161">
        <v>60256982</v>
      </c>
      <c r="AB161">
        <f t="shared" si="121"/>
        <v>1144.1099999999999</v>
      </c>
      <c r="AC161">
        <f t="shared" si="122"/>
        <v>1144.1099999999999</v>
      </c>
      <c r="AD161">
        <f>ROUND((((ET161)-(EU161))+AE161),6)</f>
        <v>0</v>
      </c>
      <c r="AE161">
        <f>ROUND((EU161),6)</f>
        <v>0</v>
      </c>
      <c r="AF161">
        <f>ROUND((EV161),6)</f>
        <v>0</v>
      </c>
      <c r="AG161">
        <f t="shared" si="123"/>
        <v>0</v>
      </c>
      <c r="AH161">
        <f>(EW161)</f>
        <v>0</v>
      </c>
      <c r="AI161">
        <f>(EX161)</f>
        <v>0</v>
      </c>
      <c r="AJ161">
        <f t="shared" si="124"/>
        <v>0</v>
      </c>
      <c r="AK161">
        <v>1144.1099999999999</v>
      </c>
      <c r="AL161">
        <v>1144.1099999999999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1</v>
      </c>
      <c r="AW161">
        <v>1</v>
      </c>
      <c r="AZ161">
        <v>1</v>
      </c>
      <c r="BA161">
        <v>1</v>
      </c>
      <c r="BB161">
        <v>1</v>
      </c>
      <c r="BC161">
        <v>6.15</v>
      </c>
      <c r="BD161" t="s">
        <v>3</v>
      </c>
      <c r="BE161" t="s">
        <v>3</v>
      </c>
      <c r="BF161" t="s">
        <v>3</v>
      </c>
      <c r="BG161" t="s">
        <v>3</v>
      </c>
      <c r="BH161">
        <v>3</v>
      </c>
      <c r="BI161">
        <v>3</v>
      </c>
      <c r="BJ161" t="s">
        <v>3</v>
      </c>
      <c r="BM161">
        <v>746</v>
      </c>
      <c r="BN161">
        <v>58973116</v>
      </c>
      <c r="BO161" t="s">
        <v>3</v>
      </c>
      <c r="BP161">
        <v>0</v>
      </c>
      <c r="BQ161">
        <v>130</v>
      </c>
      <c r="BR161">
        <v>0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 t="s">
        <v>3</v>
      </c>
      <c r="BZ161">
        <v>95</v>
      </c>
      <c r="CA161">
        <v>53</v>
      </c>
      <c r="CB161" t="s">
        <v>3</v>
      </c>
      <c r="CE161">
        <v>1566</v>
      </c>
      <c r="CF161">
        <v>0</v>
      </c>
      <c r="CG161">
        <v>0</v>
      </c>
      <c r="CM161">
        <v>0</v>
      </c>
      <c r="CN161" t="s">
        <v>3</v>
      </c>
      <c r="CO161">
        <v>0</v>
      </c>
      <c r="CP161">
        <f t="shared" si="125"/>
        <v>7036.28</v>
      </c>
      <c r="CQ161">
        <f>ROUND((ROUND((AC161*1),2)*BC161),2)</f>
        <v>7036.28</v>
      </c>
      <c r="CR161">
        <f>(ROUND((ROUND(((ET161)*AV161*1),2)*BB161),2)+ROUND((ROUND(((AE161-(EU161))*AV161*1),2)*BS161),2))</f>
        <v>0</v>
      </c>
      <c r="CS161">
        <f>(ROUND((ROUND(((EU161)*AV161*1),2)*BS161),2)+ROUND((ROUND(((AE161-(EU161))*AV161*1),2)*BS161),2))</f>
        <v>0</v>
      </c>
      <c r="CT161">
        <f t="shared" si="127"/>
        <v>0</v>
      </c>
      <c r="CU161">
        <f t="shared" si="128"/>
        <v>0</v>
      </c>
      <c r="CV161">
        <f t="shared" si="129"/>
        <v>0</v>
      </c>
      <c r="CW161">
        <f t="shared" si="130"/>
        <v>0</v>
      </c>
      <c r="CX161">
        <f t="shared" si="131"/>
        <v>0</v>
      </c>
      <c r="CY161">
        <f>(ROUND((((S161+ROUND((ROUND(((EU161)*AV161*1),2)*BS161),2))*AT161)/100),2)+ROUND(((ROUND((ROUND(((AE161-(EU161))*AV161*1),2)*BS161),2)*AT161)/100),2))</f>
        <v>0</v>
      </c>
      <c r="CZ161">
        <f>(ROUND((((S161+ROUND((ROUND(((EU161)*AV161*1),2)*BS161),2))*AU161)/100),2)+ROUND(((ROUND((ROUND(((AE161-(EU161))*AV161*1),2)*BS161),2)*AU161)/100),2))</f>
        <v>0</v>
      </c>
      <c r="DC161" t="s">
        <v>3</v>
      </c>
      <c r="DD161" t="s">
        <v>3</v>
      </c>
      <c r="DE161" t="s">
        <v>3</v>
      </c>
      <c r="DF161" t="s">
        <v>3</v>
      </c>
      <c r="DG161" t="s">
        <v>3</v>
      </c>
      <c r="DH161" t="s">
        <v>3</v>
      </c>
      <c r="DI161" t="s">
        <v>3</v>
      </c>
      <c r="DJ161" t="s">
        <v>3</v>
      </c>
      <c r="DK161" t="s">
        <v>3</v>
      </c>
      <c r="DL161" t="s">
        <v>3</v>
      </c>
      <c r="DM161" t="s">
        <v>3</v>
      </c>
      <c r="DN161">
        <v>0</v>
      </c>
      <c r="DO161">
        <v>0</v>
      </c>
      <c r="DP161">
        <v>1</v>
      </c>
      <c r="DQ161">
        <v>1</v>
      </c>
      <c r="DU161">
        <v>1010</v>
      </c>
      <c r="DV161" t="s">
        <v>31</v>
      </c>
      <c r="DW161" t="s">
        <v>31</v>
      </c>
      <c r="DX161">
        <v>1</v>
      </c>
      <c r="DZ161" t="s">
        <v>3</v>
      </c>
      <c r="EA161" t="s">
        <v>3</v>
      </c>
      <c r="EB161" t="s">
        <v>3</v>
      </c>
      <c r="EC161" t="s">
        <v>3</v>
      </c>
      <c r="EE161">
        <v>60088638</v>
      </c>
      <c r="EF161">
        <v>130</v>
      </c>
      <c r="EG161" t="s">
        <v>32</v>
      </c>
      <c r="EH161">
        <v>0</v>
      </c>
      <c r="EI161" t="s">
        <v>3</v>
      </c>
      <c r="EJ161">
        <v>3</v>
      </c>
      <c r="EK161">
        <v>746</v>
      </c>
      <c r="EL161" t="s">
        <v>33</v>
      </c>
      <c r="EM161" t="s">
        <v>34</v>
      </c>
      <c r="EO161" t="s">
        <v>3</v>
      </c>
      <c r="EQ161">
        <v>0</v>
      </c>
      <c r="ER161">
        <v>1144.1099999999999</v>
      </c>
      <c r="ES161">
        <v>1144.1099999999999</v>
      </c>
      <c r="ET161">
        <v>0</v>
      </c>
      <c r="EU161">
        <v>0</v>
      </c>
      <c r="EV161">
        <v>0</v>
      </c>
      <c r="EW161">
        <v>0</v>
      </c>
      <c r="EX161">
        <v>0</v>
      </c>
      <c r="FQ161">
        <v>0</v>
      </c>
      <c r="FR161">
        <f>P161</f>
        <v>7036.28</v>
      </c>
      <c r="FS161">
        <v>0</v>
      </c>
      <c r="FX161">
        <v>95</v>
      </c>
      <c r="FY161">
        <v>53</v>
      </c>
      <c r="GA161" t="s">
        <v>3</v>
      </c>
      <c r="GD161">
        <v>1</v>
      </c>
      <c r="GF161">
        <v>529010501</v>
      </c>
      <c r="GG161">
        <v>2</v>
      </c>
      <c r="GH161">
        <v>1</v>
      </c>
      <c r="GI161">
        <v>2</v>
      </c>
      <c r="GJ161">
        <v>0</v>
      </c>
      <c r="GK161">
        <v>0</v>
      </c>
      <c r="GL161">
        <f t="shared" si="132"/>
        <v>0</v>
      </c>
      <c r="GM161">
        <f t="shared" si="133"/>
        <v>7036.28</v>
      </c>
      <c r="GN161">
        <f t="shared" si="134"/>
        <v>0</v>
      </c>
      <c r="GO161">
        <f t="shared" si="135"/>
        <v>0</v>
      </c>
      <c r="GP161">
        <f t="shared" si="136"/>
        <v>0</v>
      </c>
      <c r="GR161">
        <v>0</v>
      </c>
      <c r="GS161">
        <v>3</v>
      </c>
      <c r="GT161">
        <v>0</v>
      </c>
      <c r="GU161" t="s">
        <v>3</v>
      </c>
      <c r="GV161">
        <f t="shared" si="137"/>
        <v>0</v>
      </c>
      <c r="GW161">
        <v>1</v>
      </c>
      <c r="GX161">
        <f t="shared" si="138"/>
        <v>0</v>
      </c>
      <c r="HA161">
        <v>0</v>
      </c>
      <c r="HB161">
        <v>0</v>
      </c>
      <c r="HC161">
        <f t="shared" si="139"/>
        <v>0</v>
      </c>
      <c r="HE161" t="s">
        <v>3</v>
      </c>
      <c r="HF161" t="s">
        <v>3</v>
      </c>
      <c r="HM161" t="s">
        <v>3</v>
      </c>
      <c r="HN161" t="s">
        <v>3</v>
      </c>
      <c r="HO161" t="s">
        <v>3</v>
      </c>
      <c r="HP161" t="s">
        <v>3</v>
      </c>
      <c r="HQ161" t="s">
        <v>3</v>
      </c>
      <c r="HS161">
        <v>0</v>
      </c>
      <c r="IK161">
        <v>0</v>
      </c>
    </row>
    <row r="162" spans="1:255" x14ac:dyDescent="0.2">
      <c r="A162" s="2">
        <v>17</v>
      </c>
      <c r="B162" s="2">
        <v>1</v>
      </c>
      <c r="C162" s="2">
        <f>ROW(SmtRes!A172)</f>
        <v>172</v>
      </c>
      <c r="D162" s="2">
        <f>ROW(EtalonRes!A181)</f>
        <v>181</v>
      </c>
      <c r="E162" s="2" t="s">
        <v>221</v>
      </c>
      <c r="F162" s="2" t="s">
        <v>222</v>
      </c>
      <c r="G162" s="2" t="s">
        <v>223</v>
      </c>
      <c r="H162" s="2" t="s">
        <v>216</v>
      </c>
      <c r="I162" s="2">
        <v>1</v>
      </c>
      <c r="J162" s="2">
        <v>0</v>
      </c>
      <c r="K162" s="2">
        <v>1</v>
      </c>
      <c r="L162" s="2"/>
      <c r="M162" s="2"/>
      <c r="N162" s="2"/>
      <c r="O162" s="2">
        <f t="shared" si="114"/>
        <v>91.42</v>
      </c>
      <c r="P162" s="2">
        <f>ROUND((ROUND((AC162*AW162*I162),2)*BC162),2)</f>
        <v>0.37</v>
      </c>
      <c r="Q162" s="2">
        <f>(ROUND((ROUND((((ET162*1.1))*AV162*I162),2)*BB162),2)+ROUND((ROUND(((AE162-((EU162*1.1)))*AV162*I162),2)*BS162),2))</f>
        <v>0</v>
      </c>
      <c r="R162" s="2">
        <f>(ROUND((ROUND((((EU162*1.1))*AV162*I162),2)*BS162),2)+ROUND((ROUND(((AE162-((EU162*1.1)))*AV162*I162),2)*BS162),2))</f>
        <v>0</v>
      </c>
      <c r="S162" s="2">
        <f t="shared" si="116"/>
        <v>91.05</v>
      </c>
      <c r="T162" s="2">
        <f t="shared" si="117"/>
        <v>0</v>
      </c>
      <c r="U162" s="2">
        <f t="shared" si="118"/>
        <v>6.4209090000000009</v>
      </c>
      <c r="V162" s="2">
        <f t="shared" si="119"/>
        <v>0</v>
      </c>
      <c r="W162" s="2">
        <f t="shared" si="120"/>
        <v>0</v>
      </c>
      <c r="X162" s="2">
        <f>(ROUND((((S162+ROUND((ROUND((((EU162*1.1))*AV162*I162),2)*BS162),2))*AT162)/100),2)+ROUND(((ROUND((ROUND(((AE162-((EU162*1.1)))*AV162*I162),2)*BS162),2)*AT162)/100),2))</f>
        <v>86.5</v>
      </c>
      <c r="Y162" s="2">
        <f>(ROUND((((S162+ROUND((ROUND((((EU162*1.1))*AV162*I162),2)*BS162),2))*AU162)/100),2)+ROUND(((ROUND((ROUND(((AE162-((EU162*1.1)))*AV162*I162),2)*BS162),2)*AU162)/100),2))</f>
        <v>48.26</v>
      </c>
      <c r="Z162" s="2"/>
      <c r="AA162" s="2">
        <v>60256985</v>
      </c>
      <c r="AB162" s="2">
        <f t="shared" si="121"/>
        <v>84.135000000000005</v>
      </c>
      <c r="AC162" s="2">
        <f t="shared" si="122"/>
        <v>0.37</v>
      </c>
      <c r="AD162" s="2">
        <f>ROUND(((((ET162*1.1))-((EU162*1.1)))+AE162),6)</f>
        <v>0</v>
      </c>
      <c r="AE162" s="2">
        <f>ROUND(((EU162*1.1)),6)</f>
        <v>0</v>
      </c>
      <c r="AF162" s="2">
        <f>ROUND(((EV162*1.1)),6)</f>
        <v>83.765000000000001</v>
      </c>
      <c r="AG162" s="2">
        <f t="shared" si="123"/>
        <v>0</v>
      </c>
      <c r="AH162" s="2">
        <f>((EW162*1.1))</f>
        <v>5.9070000000000009</v>
      </c>
      <c r="AI162" s="2">
        <f>((EX162*1.1))</f>
        <v>0</v>
      </c>
      <c r="AJ162" s="2">
        <f t="shared" si="124"/>
        <v>0</v>
      </c>
      <c r="AK162" s="2">
        <v>76.52</v>
      </c>
      <c r="AL162" s="2">
        <v>0.37</v>
      </c>
      <c r="AM162" s="2">
        <v>0</v>
      </c>
      <c r="AN162" s="2">
        <v>0</v>
      </c>
      <c r="AO162" s="2">
        <v>76.150000000000006</v>
      </c>
      <c r="AP162" s="2">
        <v>0</v>
      </c>
      <c r="AQ162" s="2">
        <v>5.37</v>
      </c>
      <c r="AR162" s="2">
        <v>0</v>
      </c>
      <c r="AS162" s="2">
        <v>0</v>
      </c>
      <c r="AT162" s="2">
        <v>95</v>
      </c>
      <c r="AU162" s="2">
        <v>53</v>
      </c>
      <c r="AV162" s="2">
        <v>1.087</v>
      </c>
      <c r="AW162" s="2">
        <v>1</v>
      </c>
      <c r="AX162" s="2"/>
      <c r="AY162" s="2"/>
      <c r="AZ162" s="2">
        <v>1</v>
      </c>
      <c r="BA162" s="2">
        <v>1</v>
      </c>
      <c r="BB162" s="2">
        <v>1</v>
      </c>
      <c r="BC162" s="2">
        <v>1</v>
      </c>
      <c r="BD162" s="2" t="s">
        <v>3</v>
      </c>
      <c r="BE162" s="2" t="s">
        <v>3</v>
      </c>
      <c r="BF162" s="2" t="s">
        <v>3</v>
      </c>
      <c r="BG162" s="2" t="s">
        <v>3</v>
      </c>
      <c r="BH162" s="2">
        <v>0</v>
      </c>
      <c r="BI162" s="2">
        <v>2</v>
      </c>
      <c r="BJ162" s="2" t="s">
        <v>224</v>
      </c>
      <c r="BK162" s="2"/>
      <c r="BL162" s="2"/>
      <c r="BM162" s="2">
        <v>69</v>
      </c>
      <c r="BN162" s="2">
        <v>58973116</v>
      </c>
      <c r="BO162" s="2" t="s">
        <v>222</v>
      </c>
      <c r="BP162" s="2">
        <v>1</v>
      </c>
      <c r="BQ162" s="2">
        <v>40</v>
      </c>
      <c r="BR162" s="2">
        <v>0</v>
      </c>
      <c r="BS162" s="2">
        <v>1</v>
      </c>
      <c r="BT162" s="2">
        <v>1</v>
      </c>
      <c r="BU162" s="2">
        <v>1</v>
      </c>
      <c r="BV162" s="2">
        <v>1</v>
      </c>
      <c r="BW162" s="2">
        <v>1</v>
      </c>
      <c r="BX162" s="2">
        <v>1</v>
      </c>
      <c r="BY162" s="2" t="s">
        <v>3</v>
      </c>
      <c r="BZ162" s="2">
        <v>95</v>
      </c>
      <c r="CA162" s="2">
        <v>53</v>
      </c>
      <c r="CB162" s="2" t="s">
        <v>3</v>
      </c>
      <c r="CC162" s="2"/>
      <c r="CD162" s="2"/>
      <c r="CE162" s="2">
        <v>1566</v>
      </c>
      <c r="CF162" s="2">
        <v>0</v>
      </c>
      <c r="CG162" s="2">
        <v>0</v>
      </c>
      <c r="CH162" s="2"/>
      <c r="CI162" s="2"/>
      <c r="CJ162" s="2"/>
      <c r="CK162" s="2"/>
      <c r="CL162" s="2"/>
      <c r="CM162" s="2">
        <v>0</v>
      </c>
      <c r="CN162" s="2" t="s">
        <v>474</v>
      </c>
      <c r="CO162" s="2">
        <v>0</v>
      </c>
      <c r="CP162" s="2">
        <f t="shared" si="125"/>
        <v>91.42</v>
      </c>
      <c r="CQ162" s="2">
        <f>ROUND((ROUND((AC162*AW162*1),2)*BC162),2)</f>
        <v>0.37</v>
      </c>
      <c r="CR162" s="2">
        <f>(ROUND((ROUND((((ET162*1.1))*AV162*1),2)*BB162),2)+ROUND((ROUND(((AE162-((EU162*1.1)))*AV162*1),2)*BS162),2))</f>
        <v>0</v>
      </c>
      <c r="CS162" s="2">
        <f>(ROUND((ROUND((((EU162*1.1))*AV162*1),2)*BS162),2)+ROUND((ROUND(((AE162-((EU162*1.1)))*AV162*1),2)*BS162),2))</f>
        <v>0</v>
      </c>
      <c r="CT162" s="2">
        <f t="shared" si="127"/>
        <v>91.05</v>
      </c>
      <c r="CU162" s="2">
        <f t="shared" si="128"/>
        <v>0</v>
      </c>
      <c r="CV162" s="2">
        <f t="shared" si="129"/>
        <v>6.4209090000000009</v>
      </c>
      <c r="CW162" s="2">
        <f t="shared" si="130"/>
        <v>0</v>
      </c>
      <c r="CX162" s="2">
        <f t="shared" si="131"/>
        <v>0</v>
      </c>
      <c r="CY162" s="2">
        <f>(ROUND((((S162+ROUND((ROUND((((EU162*1.1))*AV162*1),2)*BS162),2))*AT162)/100),2)+ROUND(((ROUND((ROUND(((AE162-((EU162*1.1)))*AV162*1),2)*BS162),2)*AT162)/100),2))</f>
        <v>86.5</v>
      </c>
      <c r="CZ162" s="2">
        <f>(ROUND((((S162+ROUND((ROUND((((EU162*1.1))*AV162*1),2)*BS162),2))*AU162)/100),2)+ROUND(((ROUND((ROUND(((AE162-((EU162*1.1)))*AV162*1),2)*BS162),2)*AU162)/100),2))</f>
        <v>48.26</v>
      </c>
      <c r="DA162" s="2"/>
      <c r="DB162" s="2">
        <v>25</v>
      </c>
      <c r="DC162" s="2" t="s">
        <v>3</v>
      </c>
      <c r="DD162" s="2" t="s">
        <v>3</v>
      </c>
      <c r="DE162" s="2" t="s">
        <v>23</v>
      </c>
      <c r="DF162" s="2" t="s">
        <v>23</v>
      </c>
      <c r="DG162" s="2" t="s">
        <v>23</v>
      </c>
      <c r="DH162" s="2" t="s">
        <v>3</v>
      </c>
      <c r="DI162" s="2" t="s">
        <v>23</v>
      </c>
      <c r="DJ162" s="2" t="s">
        <v>23</v>
      </c>
      <c r="DK162" s="2" t="s">
        <v>3</v>
      </c>
      <c r="DL162" s="2" t="s">
        <v>3</v>
      </c>
      <c r="DM162" s="2" t="s">
        <v>3</v>
      </c>
      <c r="DN162" s="2">
        <v>0</v>
      </c>
      <c r="DO162" s="2">
        <v>0</v>
      </c>
      <c r="DP162" s="2">
        <v>1</v>
      </c>
      <c r="DQ162" s="2">
        <v>1</v>
      </c>
      <c r="DR162" s="2"/>
      <c r="DS162" s="2"/>
      <c r="DT162" s="2"/>
      <c r="DU162" s="2">
        <v>1013</v>
      </c>
      <c r="DV162" s="2" t="s">
        <v>216</v>
      </c>
      <c r="DW162" s="2" t="s">
        <v>216</v>
      </c>
      <c r="DX162" s="2">
        <v>1</v>
      </c>
      <c r="DY162" s="2"/>
      <c r="DZ162" s="2" t="s">
        <v>3</v>
      </c>
      <c r="EA162" s="2" t="s">
        <v>3</v>
      </c>
      <c r="EB162" s="2" t="s">
        <v>3</v>
      </c>
      <c r="EC162" s="2" t="s">
        <v>3</v>
      </c>
      <c r="ED162" s="2"/>
      <c r="EE162" s="2">
        <v>60088533</v>
      </c>
      <c r="EF162" s="2">
        <v>40</v>
      </c>
      <c r="EG162" s="2" t="s">
        <v>24</v>
      </c>
      <c r="EH162" s="2">
        <v>0</v>
      </c>
      <c r="EI162" s="2" t="s">
        <v>3</v>
      </c>
      <c r="EJ162" s="2">
        <v>2</v>
      </c>
      <c r="EK162" s="2">
        <v>69</v>
      </c>
      <c r="EL162" s="2" t="s">
        <v>54</v>
      </c>
      <c r="EM162" s="2" t="s">
        <v>55</v>
      </c>
      <c r="EN162" s="2"/>
      <c r="EO162" s="2" t="s">
        <v>27</v>
      </c>
      <c r="EP162" s="2"/>
      <c r="EQ162" s="2">
        <v>0</v>
      </c>
      <c r="ER162" s="2">
        <v>76.52</v>
      </c>
      <c r="ES162" s="2">
        <v>0.37</v>
      </c>
      <c r="ET162" s="2">
        <v>0</v>
      </c>
      <c r="EU162" s="2">
        <v>0</v>
      </c>
      <c r="EV162" s="2">
        <v>76.150000000000006</v>
      </c>
      <c r="EW162" s="2">
        <v>5.37</v>
      </c>
      <c r="EX162" s="2">
        <v>0</v>
      </c>
      <c r="EY162" s="2">
        <v>0</v>
      </c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>
        <v>0</v>
      </c>
      <c r="FR162" s="2">
        <v>0</v>
      </c>
      <c r="FS162" s="2">
        <v>0</v>
      </c>
      <c r="FT162" s="2"/>
      <c r="FU162" s="2"/>
      <c r="FV162" s="2"/>
      <c r="FW162" s="2"/>
      <c r="FX162" s="2">
        <v>95</v>
      </c>
      <c r="FY162" s="2">
        <v>53</v>
      </c>
      <c r="FZ162" s="2"/>
      <c r="GA162" s="2" t="s">
        <v>3</v>
      </c>
      <c r="GB162" s="2"/>
      <c r="GC162" s="2"/>
      <c r="GD162" s="2">
        <v>1</v>
      </c>
      <c r="GE162" s="2"/>
      <c r="GF162" s="2">
        <v>951999700</v>
      </c>
      <c r="GG162" s="2">
        <v>2</v>
      </c>
      <c r="GH162" s="2">
        <v>1</v>
      </c>
      <c r="GI162" s="2">
        <v>2</v>
      </c>
      <c r="GJ162" s="2">
        <v>0</v>
      </c>
      <c r="GK162" s="2">
        <v>0</v>
      </c>
      <c r="GL162" s="2">
        <f t="shared" si="132"/>
        <v>0</v>
      </c>
      <c r="GM162" s="2">
        <f t="shared" si="133"/>
        <v>226.18</v>
      </c>
      <c r="GN162" s="2">
        <f t="shared" si="134"/>
        <v>0</v>
      </c>
      <c r="GO162" s="2">
        <f t="shared" si="135"/>
        <v>226.18</v>
      </c>
      <c r="GP162" s="2">
        <f t="shared" si="136"/>
        <v>0</v>
      </c>
      <c r="GQ162" s="2"/>
      <c r="GR162" s="2">
        <v>0</v>
      </c>
      <c r="GS162" s="2">
        <v>3</v>
      </c>
      <c r="GT162" s="2">
        <v>0</v>
      </c>
      <c r="GU162" s="2" t="s">
        <v>3</v>
      </c>
      <c r="GV162" s="2">
        <f t="shared" si="137"/>
        <v>0</v>
      </c>
      <c r="GW162" s="2">
        <v>1</v>
      </c>
      <c r="GX162" s="2">
        <f t="shared" si="138"/>
        <v>0</v>
      </c>
      <c r="GY162" s="2"/>
      <c r="GZ162" s="2"/>
      <c r="HA162" s="2">
        <v>0</v>
      </c>
      <c r="HB162" s="2">
        <v>0</v>
      </c>
      <c r="HC162" s="2">
        <f t="shared" si="139"/>
        <v>0</v>
      </c>
      <c r="HD162" s="2"/>
      <c r="HE162" s="2" t="s">
        <v>3</v>
      </c>
      <c r="HF162" s="2" t="s">
        <v>3</v>
      </c>
      <c r="HG162" s="2"/>
      <c r="HH162" s="2"/>
      <c r="HI162" s="2"/>
      <c r="HJ162" s="2"/>
      <c r="HK162" s="2"/>
      <c r="HL162" s="2"/>
      <c r="HM162" s="2" t="s">
        <v>3</v>
      </c>
      <c r="HN162" s="2" t="s">
        <v>3</v>
      </c>
      <c r="HO162" s="2" t="s">
        <v>3</v>
      </c>
      <c r="HP162" s="2" t="s">
        <v>3</v>
      </c>
      <c r="HQ162" s="2" t="s">
        <v>3</v>
      </c>
      <c r="HR162" s="2"/>
      <c r="HS162" s="2">
        <v>0</v>
      </c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>
        <v>0</v>
      </c>
      <c r="IL162" s="2"/>
      <c r="IM162" s="2"/>
      <c r="IN162" s="2"/>
      <c r="IO162" s="2"/>
      <c r="IP162" s="2"/>
      <c r="IQ162" s="2"/>
      <c r="IR162" s="2"/>
      <c r="IS162" s="2"/>
      <c r="IT162" s="2"/>
      <c r="IU162" s="2"/>
    </row>
    <row r="163" spans="1:255" x14ac:dyDescent="0.2">
      <c r="A163">
        <v>17</v>
      </c>
      <c r="B163">
        <v>1</v>
      </c>
      <c r="C163">
        <f>ROW(SmtRes!A174)</f>
        <v>174</v>
      </c>
      <c r="D163">
        <f>ROW(EtalonRes!A182)</f>
        <v>182</v>
      </c>
      <c r="E163" t="s">
        <v>221</v>
      </c>
      <c r="F163" t="s">
        <v>222</v>
      </c>
      <c r="G163" t="s">
        <v>223</v>
      </c>
      <c r="H163" t="s">
        <v>216</v>
      </c>
      <c r="I163">
        <v>1</v>
      </c>
      <c r="J163">
        <v>0</v>
      </c>
      <c r="K163">
        <v>1</v>
      </c>
      <c r="O163">
        <f t="shared" si="114"/>
        <v>5010.5</v>
      </c>
      <c r="P163">
        <f>ROUND((ROUND((AC163*AW163*I163),2)*BC163),2)</f>
        <v>3.66</v>
      </c>
      <c r="Q163">
        <f>(ROUND((ROUND((((ET163*1.1))*AV163*I163),2)*BB163),2)+ROUND((ROUND(((AE163-((EU163*1.1)))*AV163*I163),2)*BS163),2))</f>
        <v>0</v>
      </c>
      <c r="R163">
        <f>(ROUND((ROUND((((EU163*1.1))*AV163*I163),2)*BS163),2)+ROUND((ROUND(((AE163-((EU163*1.1)))*AV163*I163),2)*BS163),2))</f>
        <v>0</v>
      </c>
      <c r="S163">
        <f t="shared" si="116"/>
        <v>5006.84</v>
      </c>
      <c r="T163">
        <f t="shared" si="117"/>
        <v>0</v>
      </c>
      <c r="U163">
        <f t="shared" si="118"/>
        <v>6.4209090000000009</v>
      </c>
      <c r="V163">
        <f t="shared" si="119"/>
        <v>0</v>
      </c>
      <c r="W163">
        <f t="shared" si="120"/>
        <v>0</v>
      </c>
      <c r="X163">
        <f>(ROUND((((S163+ROUND((ROUND((((EU163*1.1))*AV163*I163),2)*BS163),2))*AT163)/100),2)+ROUND(((ROUND((ROUND(((AE163-((EU163*1.1)))*AV163*I163),2)*BS163),2)*AT163)/100),2))</f>
        <v>4756.5</v>
      </c>
      <c r="Y163">
        <f>(ROUND((((S163+ROUND((ROUND((((EU163*1.1))*AV163*I163),2)*BS163),2))*AU163)/100),2)+ROUND(((ROUND((ROUND(((AE163-((EU163*1.1)))*AV163*I163),2)*BS163),2)*AU163)/100),2))</f>
        <v>2653.63</v>
      </c>
      <c r="AA163">
        <v>60256982</v>
      </c>
      <c r="AB163">
        <f t="shared" si="121"/>
        <v>84.135000000000005</v>
      </c>
      <c r="AC163">
        <f t="shared" si="122"/>
        <v>0.37</v>
      </c>
      <c r="AD163">
        <f>ROUND(((((ET163*1.1))-((EU163*1.1)))+AE163),6)</f>
        <v>0</v>
      </c>
      <c r="AE163">
        <f>ROUND(((EU163*1.1)),6)</f>
        <v>0</v>
      </c>
      <c r="AF163">
        <f>ROUND(((EV163*1.1)),6)</f>
        <v>83.765000000000001</v>
      </c>
      <c r="AG163">
        <f t="shared" si="123"/>
        <v>0</v>
      </c>
      <c r="AH163">
        <f>((EW163*1.1))</f>
        <v>5.9070000000000009</v>
      </c>
      <c r="AI163">
        <f>((EX163*1.1))</f>
        <v>0</v>
      </c>
      <c r="AJ163">
        <f t="shared" si="124"/>
        <v>0</v>
      </c>
      <c r="AK163">
        <v>76.52</v>
      </c>
      <c r="AL163">
        <v>0.37</v>
      </c>
      <c r="AM163">
        <v>0</v>
      </c>
      <c r="AN163">
        <v>0</v>
      </c>
      <c r="AO163">
        <v>76.150000000000006</v>
      </c>
      <c r="AP163">
        <v>0</v>
      </c>
      <c r="AQ163">
        <v>5.37</v>
      </c>
      <c r="AR163">
        <v>0</v>
      </c>
      <c r="AS163">
        <v>0</v>
      </c>
      <c r="AT163">
        <v>95</v>
      </c>
      <c r="AU163">
        <v>53</v>
      </c>
      <c r="AV163">
        <v>1.087</v>
      </c>
      <c r="AW163">
        <v>1</v>
      </c>
      <c r="AZ163">
        <v>1</v>
      </c>
      <c r="BA163">
        <v>54.99</v>
      </c>
      <c r="BB163">
        <v>1</v>
      </c>
      <c r="BC163">
        <v>9.89</v>
      </c>
      <c r="BD163" t="s">
        <v>3</v>
      </c>
      <c r="BE163" t="s">
        <v>3</v>
      </c>
      <c r="BF163" t="s">
        <v>3</v>
      </c>
      <c r="BG163" t="s">
        <v>3</v>
      </c>
      <c r="BH163">
        <v>0</v>
      </c>
      <c r="BI163">
        <v>2</v>
      </c>
      <c r="BJ163" t="s">
        <v>224</v>
      </c>
      <c r="BM163">
        <v>69</v>
      </c>
      <c r="BN163">
        <v>58973116</v>
      </c>
      <c r="BO163" t="s">
        <v>222</v>
      </c>
      <c r="BP163">
        <v>1</v>
      </c>
      <c r="BQ163">
        <v>40</v>
      </c>
      <c r="BR163">
        <v>0</v>
      </c>
      <c r="BS163">
        <v>54.99</v>
      </c>
      <c r="BT163">
        <v>1</v>
      </c>
      <c r="BU163">
        <v>1</v>
      </c>
      <c r="BV163">
        <v>1</v>
      </c>
      <c r="BW163">
        <v>1</v>
      </c>
      <c r="BX163">
        <v>1</v>
      </c>
      <c r="BY163" t="s">
        <v>3</v>
      </c>
      <c r="BZ163">
        <v>95</v>
      </c>
      <c r="CA163">
        <v>53</v>
      </c>
      <c r="CB163" t="s">
        <v>3</v>
      </c>
      <c r="CE163">
        <v>1566</v>
      </c>
      <c r="CF163">
        <v>0</v>
      </c>
      <c r="CG163">
        <v>0</v>
      </c>
      <c r="CM163">
        <v>0</v>
      </c>
      <c r="CN163" t="s">
        <v>474</v>
      </c>
      <c r="CO163">
        <v>0</v>
      </c>
      <c r="CP163">
        <f t="shared" si="125"/>
        <v>5010.5</v>
      </c>
      <c r="CQ163">
        <f>ROUND((ROUND((AC163*AW163*1),2)*BC163),2)</f>
        <v>3.66</v>
      </c>
      <c r="CR163">
        <f>(ROUND((ROUND((((ET163*1.1))*AV163*1),2)*BB163),2)+ROUND((ROUND(((AE163-((EU163*1.1)))*AV163*1),2)*BS163),2))</f>
        <v>0</v>
      </c>
      <c r="CS163">
        <f>(ROUND((ROUND((((EU163*1.1))*AV163*1),2)*BS163),2)+ROUND((ROUND(((AE163-((EU163*1.1)))*AV163*1),2)*BS163),2))</f>
        <v>0</v>
      </c>
      <c r="CT163">
        <f t="shared" si="127"/>
        <v>5006.84</v>
      </c>
      <c r="CU163">
        <f t="shared" si="128"/>
        <v>0</v>
      </c>
      <c r="CV163">
        <f t="shared" si="129"/>
        <v>6.4209090000000009</v>
      </c>
      <c r="CW163">
        <f t="shared" si="130"/>
        <v>0</v>
      </c>
      <c r="CX163">
        <f t="shared" si="131"/>
        <v>0</v>
      </c>
      <c r="CY163">
        <f>(ROUND((((S163+ROUND((ROUND((((EU163*1.1))*AV163*1),2)*BS163),2))*AT163)/100),2)+ROUND(((ROUND((ROUND(((AE163-((EU163*1.1)))*AV163*1),2)*BS163),2)*AT163)/100),2))</f>
        <v>4756.5</v>
      </c>
      <c r="CZ163">
        <f>(ROUND((((S163+ROUND((ROUND((((EU163*1.1))*AV163*1),2)*BS163),2))*AU163)/100),2)+ROUND(((ROUND((ROUND(((AE163-((EU163*1.1)))*AV163*1),2)*BS163),2)*AU163)/100),2))</f>
        <v>2653.63</v>
      </c>
      <c r="DB163">
        <v>26</v>
      </c>
      <c r="DC163" t="s">
        <v>3</v>
      </c>
      <c r="DD163" t="s">
        <v>3</v>
      </c>
      <c r="DE163" t="s">
        <v>23</v>
      </c>
      <c r="DF163" t="s">
        <v>23</v>
      </c>
      <c r="DG163" t="s">
        <v>23</v>
      </c>
      <c r="DH163" t="s">
        <v>3</v>
      </c>
      <c r="DI163" t="s">
        <v>23</v>
      </c>
      <c r="DJ163" t="s">
        <v>23</v>
      </c>
      <c r="DK163" t="s">
        <v>3</v>
      </c>
      <c r="DL163" t="s">
        <v>3</v>
      </c>
      <c r="DM163" t="s">
        <v>3</v>
      </c>
      <c r="DN163">
        <v>0</v>
      </c>
      <c r="DO163">
        <v>0</v>
      </c>
      <c r="DP163">
        <v>1</v>
      </c>
      <c r="DQ163">
        <v>1</v>
      </c>
      <c r="DU163">
        <v>1013</v>
      </c>
      <c r="DV163" t="s">
        <v>216</v>
      </c>
      <c r="DW163" t="s">
        <v>216</v>
      </c>
      <c r="DX163">
        <v>1</v>
      </c>
      <c r="DZ163" t="s">
        <v>3</v>
      </c>
      <c r="EA163" t="s">
        <v>3</v>
      </c>
      <c r="EB163" t="s">
        <v>3</v>
      </c>
      <c r="EC163" t="s">
        <v>3</v>
      </c>
      <c r="EE163">
        <v>60088533</v>
      </c>
      <c r="EF163">
        <v>40</v>
      </c>
      <c r="EG163" t="s">
        <v>24</v>
      </c>
      <c r="EH163">
        <v>0</v>
      </c>
      <c r="EI163" t="s">
        <v>3</v>
      </c>
      <c r="EJ163">
        <v>2</v>
      </c>
      <c r="EK163">
        <v>69</v>
      </c>
      <c r="EL163" t="s">
        <v>54</v>
      </c>
      <c r="EM163" t="s">
        <v>55</v>
      </c>
      <c r="EO163" t="s">
        <v>27</v>
      </c>
      <c r="EQ163">
        <v>0</v>
      </c>
      <c r="ER163">
        <v>76.52</v>
      </c>
      <c r="ES163">
        <v>0.37</v>
      </c>
      <c r="ET163">
        <v>0</v>
      </c>
      <c r="EU163">
        <v>0</v>
      </c>
      <c r="EV163">
        <v>76.150000000000006</v>
      </c>
      <c r="EW163">
        <v>5.37</v>
      </c>
      <c r="EX163">
        <v>0</v>
      </c>
      <c r="EY163">
        <v>0</v>
      </c>
      <c r="FQ163">
        <v>0</v>
      </c>
      <c r="FR163">
        <v>0</v>
      </c>
      <c r="FS163">
        <v>0</v>
      </c>
      <c r="FX163">
        <v>95</v>
      </c>
      <c r="FY163">
        <v>53</v>
      </c>
      <c r="GA163" t="s">
        <v>3</v>
      </c>
      <c r="GD163">
        <v>1</v>
      </c>
      <c r="GF163">
        <v>951999700</v>
      </c>
      <c r="GG163">
        <v>2</v>
      </c>
      <c r="GH163">
        <v>1</v>
      </c>
      <c r="GI163">
        <v>2</v>
      </c>
      <c r="GJ163">
        <v>0</v>
      </c>
      <c r="GK163">
        <v>0</v>
      </c>
      <c r="GL163">
        <f t="shared" si="132"/>
        <v>0</v>
      </c>
      <c r="GM163">
        <f t="shared" si="133"/>
        <v>12420.63</v>
      </c>
      <c r="GN163">
        <f t="shared" si="134"/>
        <v>0</v>
      </c>
      <c r="GO163">
        <f t="shared" si="135"/>
        <v>12420.63</v>
      </c>
      <c r="GP163">
        <f t="shared" si="136"/>
        <v>0</v>
      </c>
      <c r="GR163">
        <v>0</v>
      </c>
      <c r="GS163">
        <v>3</v>
      </c>
      <c r="GT163">
        <v>0</v>
      </c>
      <c r="GU163" t="s">
        <v>3</v>
      </c>
      <c r="GV163">
        <f t="shared" si="137"/>
        <v>0</v>
      </c>
      <c r="GW163">
        <v>1</v>
      </c>
      <c r="GX163">
        <f t="shared" si="138"/>
        <v>0</v>
      </c>
      <c r="HA163">
        <v>0</v>
      </c>
      <c r="HB163">
        <v>0</v>
      </c>
      <c r="HC163">
        <f t="shared" si="139"/>
        <v>0</v>
      </c>
      <c r="HE163" t="s">
        <v>3</v>
      </c>
      <c r="HF163" t="s">
        <v>3</v>
      </c>
      <c r="HM163" t="s">
        <v>3</v>
      </c>
      <c r="HN163" t="s">
        <v>3</v>
      </c>
      <c r="HO163" t="s">
        <v>3</v>
      </c>
      <c r="HP163" t="s">
        <v>3</v>
      </c>
      <c r="HQ163" t="s">
        <v>3</v>
      </c>
      <c r="HS163">
        <v>0</v>
      </c>
      <c r="IK163">
        <v>0</v>
      </c>
    </row>
    <row r="164" spans="1:255" x14ac:dyDescent="0.2">
      <c r="A164" s="2">
        <v>18</v>
      </c>
      <c r="B164" s="2">
        <v>1</v>
      </c>
      <c r="C164" s="2">
        <v>172</v>
      </c>
      <c r="D164" s="2"/>
      <c r="E164" s="2" t="s">
        <v>225</v>
      </c>
      <c r="F164" s="2" t="s">
        <v>226</v>
      </c>
      <c r="G164" s="2" t="s">
        <v>227</v>
      </c>
      <c r="H164" s="2" t="s">
        <v>206</v>
      </c>
      <c r="I164" s="2">
        <f>I162*J164</f>
        <v>1</v>
      </c>
      <c r="J164" s="2">
        <v>1</v>
      </c>
      <c r="K164" s="2">
        <v>1</v>
      </c>
      <c r="L164" s="2"/>
      <c r="M164" s="2"/>
      <c r="N164" s="2"/>
      <c r="O164" s="2">
        <f t="shared" si="114"/>
        <v>1349.44</v>
      </c>
      <c r="P164" s="2">
        <f>ROUND((ROUND((AC164*I164),2)*BC164),2)</f>
        <v>1349.44</v>
      </c>
      <c r="Q164" s="2">
        <f>(ROUND((ROUND(((ET164)*AV164*I164),2)*BB164),2)+ROUND((ROUND(((AE164-(EU164))*AV164*I164),2)*BS164),2))</f>
        <v>0</v>
      </c>
      <c r="R164" s="2">
        <f>(ROUND((ROUND(((EU164)*AV164*I164),2)*BS164),2)+ROUND((ROUND(((AE164-(EU164))*AV164*I164),2)*BS164),2))</f>
        <v>0</v>
      </c>
      <c r="S164" s="2">
        <f t="shared" si="116"/>
        <v>0</v>
      </c>
      <c r="T164" s="2">
        <f t="shared" si="117"/>
        <v>0</v>
      </c>
      <c r="U164" s="2">
        <f t="shared" si="118"/>
        <v>0</v>
      </c>
      <c r="V164" s="2">
        <f t="shared" si="119"/>
        <v>0</v>
      </c>
      <c r="W164" s="2">
        <f t="shared" si="120"/>
        <v>0</v>
      </c>
      <c r="X164" s="2">
        <f>(ROUND((((S164+ROUND((ROUND(((EU164)*AV164*I164),2)*BS164),2))*AT164)/100),2)+ROUND(((ROUND((ROUND(((AE164-(EU164))*AV164*I164),2)*BS164),2)*AT164)/100),2))</f>
        <v>0</v>
      </c>
      <c r="Y164" s="2">
        <f>(ROUND((((S164+ROUND((ROUND(((EU164)*AV164*I164),2)*BS164),2))*AU164)/100),2)+ROUND(((ROUND((ROUND(((AE164-(EU164))*AV164*I164),2)*BS164),2)*AU164)/100),2))</f>
        <v>0</v>
      </c>
      <c r="Z164" s="2"/>
      <c r="AA164" s="2">
        <v>60256985</v>
      </c>
      <c r="AB164" s="2">
        <f t="shared" si="121"/>
        <v>1349.44</v>
      </c>
      <c r="AC164" s="2">
        <f t="shared" si="122"/>
        <v>1349.44</v>
      </c>
      <c r="AD164" s="2">
        <f>ROUND((((ET164)-(EU164))+AE164),6)</f>
        <v>0</v>
      </c>
      <c r="AE164" s="2">
        <f>ROUND((EU164),6)</f>
        <v>0</v>
      </c>
      <c r="AF164" s="2">
        <f>ROUND((EV164),6)</f>
        <v>0</v>
      </c>
      <c r="AG164" s="2">
        <f t="shared" si="123"/>
        <v>0</v>
      </c>
      <c r="AH164" s="2">
        <f>(EW164)</f>
        <v>0</v>
      </c>
      <c r="AI164" s="2">
        <f>(EX164)</f>
        <v>0</v>
      </c>
      <c r="AJ164" s="2">
        <f t="shared" si="124"/>
        <v>0</v>
      </c>
      <c r="AK164" s="2">
        <v>1349.4399999999998</v>
      </c>
      <c r="AL164" s="2">
        <v>1349.4399999999998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1</v>
      </c>
      <c r="AW164" s="2">
        <v>1</v>
      </c>
      <c r="AX164" s="2"/>
      <c r="AY164" s="2"/>
      <c r="AZ164" s="2">
        <v>1</v>
      </c>
      <c r="BA164" s="2">
        <v>1</v>
      </c>
      <c r="BB164" s="2">
        <v>1</v>
      </c>
      <c r="BC164" s="2">
        <v>1</v>
      </c>
      <c r="BD164" s="2" t="s">
        <v>3</v>
      </c>
      <c r="BE164" s="2" t="s">
        <v>3</v>
      </c>
      <c r="BF164" s="2" t="s">
        <v>3</v>
      </c>
      <c r="BG164" s="2" t="s">
        <v>3</v>
      </c>
      <c r="BH164" s="2">
        <v>3</v>
      </c>
      <c r="BI164" s="2">
        <v>3</v>
      </c>
      <c r="BJ164" s="2" t="s">
        <v>3</v>
      </c>
      <c r="BK164" s="2"/>
      <c r="BL164" s="2"/>
      <c r="BM164" s="2">
        <v>746</v>
      </c>
      <c r="BN164" s="2">
        <v>0</v>
      </c>
      <c r="BO164" s="2" t="s">
        <v>3</v>
      </c>
      <c r="BP164" s="2">
        <v>0</v>
      </c>
      <c r="BQ164" s="2">
        <v>130</v>
      </c>
      <c r="BR164" s="2">
        <v>0</v>
      </c>
      <c r="BS164" s="2">
        <v>1</v>
      </c>
      <c r="BT164" s="2">
        <v>1</v>
      </c>
      <c r="BU164" s="2">
        <v>1</v>
      </c>
      <c r="BV164" s="2">
        <v>1</v>
      </c>
      <c r="BW164" s="2">
        <v>1</v>
      </c>
      <c r="BX164" s="2">
        <v>1</v>
      </c>
      <c r="BY164" s="2" t="s">
        <v>3</v>
      </c>
      <c r="BZ164" s="2">
        <v>95</v>
      </c>
      <c r="CA164" s="2">
        <v>53</v>
      </c>
      <c r="CB164" s="2" t="s">
        <v>3</v>
      </c>
      <c r="CC164" s="2"/>
      <c r="CD164" s="2"/>
      <c r="CE164" s="2">
        <v>1566</v>
      </c>
      <c r="CF164" s="2">
        <v>0</v>
      </c>
      <c r="CG164" s="2">
        <v>0</v>
      </c>
      <c r="CH164" s="2"/>
      <c r="CI164" s="2"/>
      <c r="CJ164" s="2"/>
      <c r="CK164" s="2"/>
      <c r="CL164" s="2"/>
      <c r="CM164" s="2">
        <v>0</v>
      </c>
      <c r="CN164" s="2" t="s">
        <v>3</v>
      </c>
      <c r="CO164" s="2">
        <v>0</v>
      </c>
      <c r="CP164" s="2">
        <f t="shared" si="125"/>
        <v>1349.44</v>
      </c>
      <c r="CQ164" s="2">
        <f>ROUND((ROUND((AC164*1),2)*BC164),2)</f>
        <v>1349.44</v>
      </c>
      <c r="CR164" s="2">
        <f>(ROUND((ROUND(((ET164)*AV164*1),2)*BB164),2)+ROUND((ROUND(((AE164-(EU164))*AV164*1),2)*BS164),2))</f>
        <v>0</v>
      </c>
      <c r="CS164" s="2">
        <f>(ROUND((ROUND(((EU164)*AV164*1),2)*BS164),2)+ROUND((ROUND(((AE164-(EU164))*AV164*1),2)*BS164),2))</f>
        <v>0</v>
      </c>
      <c r="CT164" s="2">
        <f t="shared" si="127"/>
        <v>0</v>
      </c>
      <c r="CU164" s="2">
        <f t="shared" si="128"/>
        <v>0</v>
      </c>
      <c r="CV164" s="2">
        <f t="shared" si="129"/>
        <v>0</v>
      </c>
      <c r="CW164" s="2">
        <f t="shared" si="130"/>
        <v>0</v>
      </c>
      <c r="CX164" s="2">
        <f t="shared" si="131"/>
        <v>0</v>
      </c>
      <c r="CY164" s="2">
        <f>(ROUND((((S164+ROUND((ROUND(((EU164)*AV164*1),2)*BS164),2))*AT164)/100),2)+ROUND(((ROUND((ROUND(((AE164-(EU164))*AV164*1),2)*BS164),2)*AT164)/100),2))</f>
        <v>0</v>
      </c>
      <c r="CZ164" s="2">
        <f>(ROUND((((S164+ROUND((ROUND(((EU164)*AV164*1),2)*BS164),2))*AU164)/100),2)+ROUND(((ROUND((ROUND(((AE164-(EU164))*AV164*1),2)*BS164),2)*AU164)/100),2))</f>
        <v>0</v>
      </c>
      <c r="DA164" s="2"/>
      <c r="DB164" s="2"/>
      <c r="DC164" s="2" t="s">
        <v>3</v>
      </c>
      <c r="DD164" s="2" t="s">
        <v>3</v>
      </c>
      <c r="DE164" s="2" t="s">
        <v>3</v>
      </c>
      <c r="DF164" s="2" t="s">
        <v>3</v>
      </c>
      <c r="DG164" s="2" t="s">
        <v>3</v>
      </c>
      <c r="DH164" s="2" t="s">
        <v>3</v>
      </c>
      <c r="DI164" s="2" t="s">
        <v>3</v>
      </c>
      <c r="DJ164" s="2" t="s">
        <v>3</v>
      </c>
      <c r="DK164" s="2" t="s">
        <v>3</v>
      </c>
      <c r="DL164" s="2" t="s">
        <v>3</v>
      </c>
      <c r="DM164" s="2" t="s">
        <v>3</v>
      </c>
      <c r="DN164" s="2">
        <v>0</v>
      </c>
      <c r="DO164" s="2">
        <v>0</v>
      </c>
      <c r="DP164" s="2">
        <v>1</v>
      </c>
      <c r="DQ164" s="2">
        <v>1</v>
      </c>
      <c r="DR164" s="2"/>
      <c r="DS164" s="2"/>
      <c r="DT164" s="2"/>
      <c r="DU164" s="2">
        <v>1013</v>
      </c>
      <c r="DV164" s="2" t="s">
        <v>206</v>
      </c>
      <c r="DW164" s="2" t="s">
        <v>206</v>
      </c>
      <c r="DX164" s="2">
        <v>1</v>
      </c>
      <c r="DY164" s="2"/>
      <c r="DZ164" s="2" t="s">
        <v>3</v>
      </c>
      <c r="EA164" s="2" t="s">
        <v>3</v>
      </c>
      <c r="EB164" s="2" t="s">
        <v>3</v>
      </c>
      <c r="EC164" s="2" t="s">
        <v>3</v>
      </c>
      <c r="ED164" s="2"/>
      <c r="EE164" s="2">
        <v>60088638</v>
      </c>
      <c r="EF164" s="2">
        <v>130</v>
      </c>
      <c r="EG164" s="2" t="s">
        <v>32</v>
      </c>
      <c r="EH164" s="2">
        <v>0</v>
      </c>
      <c r="EI164" s="2" t="s">
        <v>3</v>
      </c>
      <c r="EJ164" s="2">
        <v>3</v>
      </c>
      <c r="EK164" s="2">
        <v>746</v>
      </c>
      <c r="EL164" s="2" t="s">
        <v>33</v>
      </c>
      <c r="EM164" s="2" t="s">
        <v>34</v>
      </c>
      <c r="EN164" s="2"/>
      <c r="EO164" s="2" t="s">
        <v>3</v>
      </c>
      <c r="EP164" s="2"/>
      <c r="EQ164" s="2">
        <v>0</v>
      </c>
      <c r="ER164" s="2">
        <v>0</v>
      </c>
      <c r="ES164" s="2">
        <v>1349.4399999999998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>
        <v>0</v>
      </c>
      <c r="FR164" s="2">
        <f>P164</f>
        <v>1349.44</v>
      </c>
      <c r="FS164" s="2">
        <v>0</v>
      </c>
      <c r="FT164" s="2"/>
      <c r="FU164" s="2"/>
      <c r="FV164" s="2"/>
      <c r="FW164" s="2"/>
      <c r="FX164" s="2">
        <v>95</v>
      </c>
      <c r="FY164" s="2">
        <v>53</v>
      </c>
      <c r="FZ164" s="2"/>
      <c r="GA164" s="2" t="s">
        <v>228</v>
      </c>
      <c r="GB164" s="2"/>
      <c r="GC164" s="2"/>
      <c r="GD164" s="2">
        <v>1</v>
      </c>
      <c r="GE164" s="2"/>
      <c r="GF164" s="2">
        <v>-862413032</v>
      </c>
      <c r="GG164" s="2">
        <v>2</v>
      </c>
      <c r="GH164" s="2">
        <v>4</v>
      </c>
      <c r="GI164" s="2">
        <v>-2</v>
      </c>
      <c r="GJ164" s="2">
        <v>0</v>
      </c>
      <c r="GK164" s="2">
        <v>0</v>
      </c>
      <c r="GL164" s="2">
        <f t="shared" si="132"/>
        <v>0</v>
      </c>
      <c r="GM164" s="2">
        <f t="shared" si="133"/>
        <v>1349.44</v>
      </c>
      <c r="GN164" s="2">
        <f t="shared" si="134"/>
        <v>0</v>
      </c>
      <c r="GO164" s="2">
        <f t="shared" si="135"/>
        <v>0</v>
      </c>
      <c r="GP164" s="2">
        <f t="shared" si="136"/>
        <v>0</v>
      </c>
      <c r="GQ164" s="2"/>
      <c r="GR164" s="2">
        <v>0</v>
      </c>
      <c r="GS164" s="2">
        <v>2</v>
      </c>
      <c r="GT164" s="2">
        <v>0</v>
      </c>
      <c r="GU164" s="2" t="s">
        <v>3</v>
      </c>
      <c r="GV164" s="2">
        <f t="shared" si="137"/>
        <v>0</v>
      </c>
      <c r="GW164" s="2">
        <v>1</v>
      </c>
      <c r="GX164" s="2">
        <f t="shared" si="138"/>
        <v>0</v>
      </c>
      <c r="GY164" s="2"/>
      <c r="GZ164" s="2"/>
      <c r="HA164" s="2">
        <v>0</v>
      </c>
      <c r="HB164" s="2">
        <v>0</v>
      </c>
      <c r="HC164" s="2">
        <f t="shared" si="139"/>
        <v>0</v>
      </c>
      <c r="HD164" s="2"/>
      <c r="HE164" s="2" t="s">
        <v>36</v>
      </c>
      <c r="HF164" s="2" t="s">
        <v>37</v>
      </c>
      <c r="HG164" s="2"/>
      <c r="HH164" s="2"/>
      <c r="HI164" s="2"/>
      <c r="HJ164" s="2"/>
      <c r="HK164" s="2"/>
      <c r="HL164" s="2"/>
      <c r="HM164" s="2" t="s">
        <v>3</v>
      </c>
      <c r="HN164" s="2" t="s">
        <v>3</v>
      </c>
      <c r="HO164" s="2" t="s">
        <v>3</v>
      </c>
      <c r="HP164" s="2" t="s">
        <v>3</v>
      </c>
      <c r="HQ164" s="2" t="s">
        <v>3</v>
      </c>
      <c r="HR164" s="2"/>
      <c r="HS164" s="2">
        <v>0</v>
      </c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>
        <v>0</v>
      </c>
      <c r="IL164" s="2"/>
      <c r="IM164" s="2"/>
      <c r="IN164" s="2"/>
      <c r="IO164" s="2"/>
      <c r="IP164" s="2"/>
      <c r="IQ164" s="2"/>
      <c r="IR164" s="2"/>
      <c r="IS164" s="2"/>
      <c r="IT164" s="2"/>
      <c r="IU164" s="2"/>
    </row>
    <row r="165" spans="1:255" x14ac:dyDescent="0.2">
      <c r="A165">
        <v>18</v>
      </c>
      <c r="B165">
        <v>1</v>
      </c>
      <c r="C165">
        <v>174</v>
      </c>
      <c r="E165" t="s">
        <v>225</v>
      </c>
      <c r="F165" t="s">
        <v>226</v>
      </c>
      <c r="G165" t="s">
        <v>227</v>
      </c>
      <c r="H165" t="s">
        <v>206</v>
      </c>
      <c r="I165">
        <f>I163*J165</f>
        <v>1</v>
      </c>
      <c r="J165">
        <v>1</v>
      </c>
      <c r="K165">
        <v>1</v>
      </c>
      <c r="O165">
        <f t="shared" si="114"/>
        <v>10336.709999999999</v>
      </c>
      <c r="P165">
        <f>ROUND((ROUND((AC165*I165),2)*BC165),2)</f>
        <v>10336.709999999999</v>
      </c>
      <c r="Q165">
        <f>(ROUND((ROUND(((ET165)*AV165*I165),2)*BB165),2)+ROUND((ROUND(((AE165-(EU165))*AV165*I165),2)*BS165),2))</f>
        <v>0</v>
      </c>
      <c r="R165">
        <f>(ROUND((ROUND(((EU165)*AV165*I165),2)*BS165),2)+ROUND((ROUND(((AE165-(EU165))*AV165*I165),2)*BS165),2))</f>
        <v>0</v>
      </c>
      <c r="S165">
        <f t="shared" si="116"/>
        <v>0</v>
      </c>
      <c r="T165">
        <f t="shared" si="117"/>
        <v>0</v>
      </c>
      <c r="U165">
        <f t="shared" si="118"/>
        <v>0</v>
      </c>
      <c r="V165">
        <f t="shared" si="119"/>
        <v>0</v>
      </c>
      <c r="W165">
        <f t="shared" si="120"/>
        <v>0</v>
      </c>
      <c r="X165">
        <f>(ROUND((((S165+ROUND((ROUND(((EU165)*AV165*I165),2)*BS165),2))*AT165)/100),2)+ROUND(((ROUND((ROUND(((AE165-(EU165))*AV165*I165),2)*BS165),2)*AT165)/100),2))</f>
        <v>0</v>
      </c>
      <c r="Y165">
        <f>(ROUND((((S165+ROUND((ROUND(((EU165)*AV165*I165),2)*BS165),2))*AU165)/100),2)+ROUND(((ROUND((ROUND(((AE165-(EU165))*AV165*I165),2)*BS165),2)*AU165)/100),2))</f>
        <v>0</v>
      </c>
      <c r="AA165">
        <v>60256982</v>
      </c>
      <c r="AB165">
        <f t="shared" si="121"/>
        <v>1349.44</v>
      </c>
      <c r="AC165">
        <f t="shared" si="122"/>
        <v>1349.44</v>
      </c>
      <c r="AD165">
        <f>ROUND((((ET165)-(EU165))+AE165),6)</f>
        <v>0</v>
      </c>
      <c r="AE165">
        <f>ROUND((EU165),6)</f>
        <v>0</v>
      </c>
      <c r="AF165">
        <f>ROUND((EV165),6)</f>
        <v>0</v>
      </c>
      <c r="AG165">
        <f t="shared" si="123"/>
        <v>0</v>
      </c>
      <c r="AH165">
        <f>(EW165)</f>
        <v>0</v>
      </c>
      <c r="AI165">
        <f>(EX165)</f>
        <v>0</v>
      </c>
      <c r="AJ165">
        <f t="shared" si="124"/>
        <v>0</v>
      </c>
      <c r="AK165">
        <v>1349.4399999999998</v>
      </c>
      <c r="AL165">
        <v>1349.4399999999998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1</v>
      </c>
      <c r="AZ165">
        <v>1</v>
      </c>
      <c r="BA165">
        <v>1</v>
      </c>
      <c r="BB165">
        <v>1</v>
      </c>
      <c r="BC165">
        <v>7.66</v>
      </c>
      <c r="BD165" t="s">
        <v>3</v>
      </c>
      <c r="BE165" t="s">
        <v>3</v>
      </c>
      <c r="BF165" t="s">
        <v>3</v>
      </c>
      <c r="BG165" t="s">
        <v>3</v>
      </c>
      <c r="BH165">
        <v>3</v>
      </c>
      <c r="BI165">
        <v>3</v>
      </c>
      <c r="BJ165" t="s">
        <v>3</v>
      </c>
      <c r="BM165">
        <v>746</v>
      </c>
      <c r="BN165">
        <v>0</v>
      </c>
      <c r="BO165" t="s">
        <v>3</v>
      </c>
      <c r="BP165">
        <v>0</v>
      </c>
      <c r="BQ165">
        <v>130</v>
      </c>
      <c r="BR165">
        <v>0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 t="s">
        <v>3</v>
      </c>
      <c r="BZ165">
        <v>95</v>
      </c>
      <c r="CA165">
        <v>53</v>
      </c>
      <c r="CB165" t="s">
        <v>3</v>
      </c>
      <c r="CE165">
        <v>1566</v>
      </c>
      <c r="CF165">
        <v>0</v>
      </c>
      <c r="CG165">
        <v>0</v>
      </c>
      <c r="CM165">
        <v>0</v>
      </c>
      <c r="CN165" t="s">
        <v>3</v>
      </c>
      <c r="CO165">
        <v>0</v>
      </c>
      <c r="CP165">
        <f t="shared" si="125"/>
        <v>10336.709999999999</v>
      </c>
      <c r="CQ165">
        <f>ROUND((ROUND((AC165*1),2)*BC165),2)</f>
        <v>10336.709999999999</v>
      </c>
      <c r="CR165">
        <f>(ROUND((ROUND(((ET165)*AV165*1),2)*BB165),2)+ROUND((ROUND(((AE165-(EU165))*AV165*1),2)*BS165),2))</f>
        <v>0</v>
      </c>
      <c r="CS165">
        <f>(ROUND((ROUND(((EU165)*AV165*1),2)*BS165),2)+ROUND((ROUND(((AE165-(EU165))*AV165*1),2)*BS165),2))</f>
        <v>0</v>
      </c>
      <c r="CT165">
        <f t="shared" si="127"/>
        <v>0</v>
      </c>
      <c r="CU165">
        <f t="shared" si="128"/>
        <v>0</v>
      </c>
      <c r="CV165">
        <f t="shared" si="129"/>
        <v>0</v>
      </c>
      <c r="CW165">
        <f t="shared" si="130"/>
        <v>0</v>
      </c>
      <c r="CX165">
        <f t="shared" si="131"/>
        <v>0</v>
      </c>
      <c r="CY165">
        <f>(ROUND((((S165+ROUND((ROUND(((EU165)*AV165*1),2)*BS165),2))*AT165)/100),2)+ROUND(((ROUND((ROUND(((AE165-(EU165))*AV165*1),2)*BS165),2)*AT165)/100),2))</f>
        <v>0</v>
      </c>
      <c r="CZ165">
        <f>(ROUND((((S165+ROUND((ROUND(((EU165)*AV165*1),2)*BS165),2))*AU165)/100),2)+ROUND(((ROUND((ROUND(((AE165-(EU165))*AV165*1),2)*BS165),2)*AU165)/100),2))</f>
        <v>0</v>
      </c>
      <c r="DC165" t="s">
        <v>3</v>
      </c>
      <c r="DD165" t="s">
        <v>3</v>
      </c>
      <c r="DE165" t="s">
        <v>3</v>
      </c>
      <c r="DF165" t="s">
        <v>3</v>
      </c>
      <c r="DG165" t="s">
        <v>3</v>
      </c>
      <c r="DH165" t="s">
        <v>3</v>
      </c>
      <c r="DI165" t="s">
        <v>3</v>
      </c>
      <c r="DJ165" t="s">
        <v>3</v>
      </c>
      <c r="DK165" t="s">
        <v>3</v>
      </c>
      <c r="DL165" t="s">
        <v>3</v>
      </c>
      <c r="DM165" t="s">
        <v>3</v>
      </c>
      <c r="DN165">
        <v>0</v>
      </c>
      <c r="DO165">
        <v>0</v>
      </c>
      <c r="DP165">
        <v>1</v>
      </c>
      <c r="DQ165">
        <v>1</v>
      </c>
      <c r="DU165">
        <v>1013</v>
      </c>
      <c r="DV165" t="s">
        <v>206</v>
      </c>
      <c r="DW165" t="s">
        <v>206</v>
      </c>
      <c r="DX165">
        <v>1</v>
      </c>
      <c r="DZ165" t="s">
        <v>3</v>
      </c>
      <c r="EA165" t="s">
        <v>3</v>
      </c>
      <c r="EB165" t="s">
        <v>3</v>
      </c>
      <c r="EC165" t="s">
        <v>3</v>
      </c>
      <c r="EE165">
        <v>60088638</v>
      </c>
      <c r="EF165">
        <v>130</v>
      </c>
      <c r="EG165" t="s">
        <v>32</v>
      </c>
      <c r="EH165">
        <v>0</v>
      </c>
      <c r="EI165" t="s">
        <v>3</v>
      </c>
      <c r="EJ165">
        <v>3</v>
      </c>
      <c r="EK165">
        <v>746</v>
      </c>
      <c r="EL165" t="s">
        <v>33</v>
      </c>
      <c r="EM165" t="s">
        <v>34</v>
      </c>
      <c r="EO165" t="s">
        <v>3</v>
      </c>
      <c r="EQ165">
        <v>0</v>
      </c>
      <c r="ER165">
        <v>0</v>
      </c>
      <c r="ES165">
        <v>1349.4399999999998</v>
      </c>
      <c r="ET165">
        <v>0</v>
      </c>
      <c r="EU165">
        <v>0</v>
      </c>
      <c r="EV165">
        <v>0</v>
      </c>
      <c r="EW165">
        <v>0</v>
      </c>
      <c r="EX165">
        <v>0</v>
      </c>
      <c r="EZ165">
        <v>5</v>
      </c>
      <c r="FC165">
        <v>1</v>
      </c>
      <c r="FD165">
        <v>18</v>
      </c>
      <c r="FF165">
        <v>11900</v>
      </c>
      <c r="FQ165">
        <v>0</v>
      </c>
      <c r="FR165">
        <f>P165</f>
        <v>10336.709999999999</v>
      </c>
      <c r="FS165">
        <v>0</v>
      </c>
      <c r="FX165">
        <v>95</v>
      </c>
      <c r="FY165">
        <v>53</v>
      </c>
      <c r="GA165" t="s">
        <v>228</v>
      </c>
      <c r="GD165">
        <v>1</v>
      </c>
      <c r="GF165">
        <v>-862413032</v>
      </c>
      <c r="GG165">
        <v>2</v>
      </c>
      <c r="GH165">
        <v>3</v>
      </c>
      <c r="GI165">
        <v>5</v>
      </c>
      <c r="GJ165">
        <v>0</v>
      </c>
      <c r="GK165">
        <v>0</v>
      </c>
      <c r="GL165">
        <f t="shared" si="132"/>
        <v>0</v>
      </c>
      <c r="GM165">
        <f t="shared" si="133"/>
        <v>10336.709999999999</v>
      </c>
      <c r="GN165">
        <f t="shared" si="134"/>
        <v>0</v>
      </c>
      <c r="GO165">
        <f t="shared" si="135"/>
        <v>0</v>
      </c>
      <c r="GP165">
        <f t="shared" si="136"/>
        <v>0</v>
      </c>
      <c r="GR165">
        <v>1</v>
      </c>
      <c r="GS165">
        <v>1</v>
      </c>
      <c r="GT165">
        <v>0</v>
      </c>
      <c r="GU165" t="s">
        <v>3</v>
      </c>
      <c r="GV165">
        <f t="shared" si="137"/>
        <v>0</v>
      </c>
      <c r="GW165">
        <v>1</v>
      </c>
      <c r="GX165">
        <f t="shared" si="138"/>
        <v>0</v>
      </c>
      <c r="HA165">
        <v>0</v>
      </c>
      <c r="HB165">
        <v>0</v>
      </c>
      <c r="HC165">
        <f t="shared" si="139"/>
        <v>0</v>
      </c>
      <c r="HE165" t="s">
        <v>36</v>
      </c>
      <c r="HF165" t="s">
        <v>37</v>
      </c>
      <c r="HM165" t="s">
        <v>3</v>
      </c>
      <c r="HN165" t="s">
        <v>3</v>
      </c>
      <c r="HO165" t="s">
        <v>3</v>
      </c>
      <c r="HP165" t="s">
        <v>3</v>
      </c>
      <c r="HQ165" t="s">
        <v>3</v>
      </c>
      <c r="HS165">
        <v>0</v>
      </c>
      <c r="IK165">
        <v>0</v>
      </c>
    </row>
    <row r="166" spans="1:255" x14ac:dyDescent="0.2">
      <c r="A166" s="2">
        <v>17</v>
      </c>
      <c r="B166" s="2">
        <v>1</v>
      </c>
      <c r="C166" s="2">
        <f>ROW(SmtRes!A175)</f>
        <v>175</v>
      </c>
      <c r="D166" s="2">
        <f>ROW(EtalonRes!A183)</f>
        <v>183</v>
      </c>
      <c r="E166" s="2" t="s">
        <v>229</v>
      </c>
      <c r="F166" s="2" t="s">
        <v>230</v>
      </c>
      <c r="G166" s="2" t="s">
        <v>231</v>
      </c>
      <c r="H166" s="2" t="s">
        <v>232</v>
      </c>
      <c r="I166" s="2">
        <f>ROUND(5.1/1000,9)</f>
        <v>5.1000000000000004E-3</v>
      </c>
      <c r="J166" s="2">
        <v>0</v>
      </c>
      <c r="K166" s="2">
        <f>ROUND(5.1/1000,9)</f>
        <v>5.1000000000000004E-3</v>
      </c>
      <c r="L166" s="2"/>
      <c r="M166" s="2"/>
      <c r="N166" s="2"/>
      <c r="O166" s="2">
        <f t="shared" si="114"/>
        <v>3.22</v>
      </c>
      <c r="P166" s="2">
        <f>ROUND((ROUND((AC166*AW166*I166),2)*BC166),2)</f>
        <v>0.56000000000000005</v>
      </c>
      <c r="Q166" s="2">
        <f>(ROUND((ROUND((((ET166*1.1))*AV166*I166),2)*BB166),2)+ROUND((ROUND(((AE166-((EU166*1.1)))*AV166*I166),2)*BS166),2))</f>
        <v>0.01</v>
      </c>
      <c r="R166" s="2">
        <f>(ROUND((ROUND((((EU166*1.1))*AV166*I166),2)*BS166),2)+ROUND((ROUND(((AE166-((EU166*1.1)))*AV166*I166),2)*BS166),2))</f>
        <v>0</v>
      </c>
      <c r="S166" s="2">
        <f t="shared" si="116"/>
        <v>2.65</v>
      </c>
      <c r="T166" s="2">
        <f t="shared" si="117"/>
        <v>0</v>
      </c>
      <c r="U166" s="2">
        <f t="shared" si="118"/>
        <v>0.19513824000000002</v>
      </c>
      <c r="V166" s="2">
        <f t="shared" si="119"/>
        <v>0</v>
      </c>
      <c r="W166" s="2">
        <f t="shared" si="120"/>
        <v>0</v>
      </c>
      <c r="X166" s="2">
        <f>(ROUND((((S166+ROUND((ROUND((((EU166*1.1))*AV166*I166),2)*BS166),2))*AT166)/100),2)+ROUND(((ROUND((ROUND(((AE166-((EU166*1.1)))*AV166*I166),2)*BS166),2)*AT166)/100),2))</f>
        <v>2.52</v>
      </c>
      <c r="Y166" s="2">
        <f>(ROUND((((S166+ROUND((ROUND((((EU166*1.1))*AV166*I166),2)*BS166),2))*AU166)/100),2)+ROUND(((ROUND((ROUND(((AE166-((EU166*1.1)))*AV166*I166),2)*BS166),2)*AU166)/100),2))</f>
        <v>1.4</v>
      </c>
      <c r="Z166" s="2"/>
      <c r="AA166" s="2">
        <v>60256985</v>
      </c>
      <c r="AB166" s="2">
        <f t="shared" si="121"/>
        <v>589.09</v>
      </c>
      <c r="AC166" s="2">
        <f t="shared" si="122"/>
        <v>109.27</v>
      </c>
      <c r="AD166" s="2">
        <f>ROUND(((((ET166*1.1))-((EU166*1.1)))+AE166),6)</f>
        <v>2.1560000000000001</v>
      </c>
      <c r="AE166" s="2">
        <f>ROUND(((EU166*1.1)),6)</f>
        <v>9.9000000000000005E-2</v>
      </c>
      <c r="AF166" s="2">
        <f>ROUND(((EV166*1.1)),6)</f>
        <v>477.66399999999999</v>
      </c>
      <c r="AG166" s="2">
        <f t="shared" si="123"/>
        <v>0</v>
      </c>
      <c r="AH166" s="2">
        <f>((EW166*1.1))</f>
        <v>35.200000000000003</v>
      </c>
      <c r="AI166" s="2">
        <f>((EX166*1.1))</f>
        <v>0</v>
      </c>
      <c r="AJ166" s="2">
        <f t="shared" si="124"/>
        <v>0</v>
      </c>
      <c r="AK166" s="2">
        <v>545.47</v>
      </c>
      <c r="AL166" s="2">
        <v>109.27</v>
      </c>
      <c r="AM166" s="2">
        <v>1.96</v>
      </c>
      <c r="AN166" s="2">
        <v>0.09</v>
      </c>
      <c r="AO166" s="2">
        <v>434.24</v>
      </c>
      <c r="AP166" s="2">
        <v>0</v>
      </c>
      <c r="AQ166" s="2">
        <v>32</v>
      </c>
      <c r="AR166" s="2">
        <v>0</v>
      </c>
      <c r="AS166" s="2">
        <v>0</v>
      </c>
      <c r="AT166" s="2">
        <v>95</v>
      </c>
      <c r="AU166" s="2">
        <v>53</v>
      </c>
      <c r="AV166" s="2">
        <v>1.087</v>
      </c>
      <c r="AW166" s="2">
        <v>1</v>
      </c>
      <c r="AX166" s="2"/>
      <c r="AY166" s="2"/>
      <c r="AZ166" s="2">
        <v>1</v>
      </c>
      <c r="BA166" s="2">
        <v>1</v>
      </c>
      <c r="BB166" s="2">
        <v>1</v>
      </c>
      <c r="BC166" s="2">
        <v>1</v>
      </c>
      <c r="BD166" s="2" t="s">
        <v>3</v>
      </c>
      <c r="BE166" s="2" t="s">
        <v>3</v>
      </c>
      <c r="BF166" s="2" t="s">
        <v>3</v>
      </c>
      <c r="BG166" s="2" t="s">
        <v>3</v>
      </c>
      <c r="BH166" s="2">
        <v>0</v>
      </c>
      <c r="BI166" s="2">
        <v>2</v>
      </c>
      <c r="BJ166" s="2" t="s">
        <v>233</v>
      </c>
      <c r="BK166" s="2"/>
      <c r="BL166" s="2"/>
      <c r="BM166" s="2">
        <v>69</v>
      </c>
      <c r="BN166" s="2">
        <v>58973116</v>
      </c>
      <c r="BO166" s="2" t="s">
        <v>230</v>
      </c>
      <c r="BP166" s="2">
        <v>1</v>
      </c>
      <c r="BQ166" s="2">
        <v>40</v>
      </c>
      <c r="BR166" s="2">
        <v>0</v>
      </c>
      <c r="BS166" s="2">
        <v>1</v>
      </c>
      <c r="BT166" s="2">
        <v>1</v>
      </c>
      <c r="BU166" s="2">
        <v>1</v>
      </c>
      <c r="BV166" s="2">
        <v>1</v>
      </c>
      <c r="BW166" s="2">
        <v>1</v>
      </c>
      <c r="BX166" s="2">
        <v>1</v>
      </c>
      <c r="BY166" s="2" t="s">
        <v>3</v>
      </c>
      <c r="BZ166" s="2">
        <v>95</v>
      </c>
      <c r="CA166" s="2">
        <v>53</v>
      </c>
      <c r="CB166" s="2" t="s">
        <v>3</v>
      </c>
      <c r="CC166" s="2"/>
      <c r="CD166" s="2"/>
      <c r="CE166" s="2">
        <v>1566</v>
      </c>
      <c r="CF166" s="2">
        <v>0</v>
      </c>
      <c r="CG166" s="2">
        <v>0</v>
      </c>
      <c r="CH166" s="2"/>
      <c r="CI166" s="2"/>
      <c r="CJ166" s="2"/>
      <c r="CK166" s="2"/>
      <c r="CL166" s="2"/>
      <c r="CM166" s="2">
        <v>0</v>
      </c>
      <c r="CN166" s="2" t="s">
        <v>474</v>
      </c>
      <c r="CO166" s="2">
        <v>0</v>
      </c>
      <c r="CP166" s="2">
        <f t="shared" si="125"/>
        <v>3.2199999999999998</v>
      </c>
      <c r="CQ166" s="2">
        <f>ROUND((ROUND((AC166*AW166*1),2)*BC166),2)</f>
        <v>109.27</v>
      </c>
      <c r="CR166" s="2">
        <f>(ROUND((ROUND((((ET166*1.1))*AV166*1),2)*BB166),2)+ROUND((ROUND(((AE166-((EU166*1.1)))*AV166*1),2)*BS166),2))</f>
        <v>2.34</v>
      </c>
      <c r="CS166" s="2">
        <f>(ROUND((ROUND((((EU166*1.1))*AV166*1),2)*BS166),2)+ROUND((ROUND(((AE166-((EU166*1.1)))*AV166*1),2)*BS166),2))</f>
        <v>0.11</v>
      </c>
      <c r="CT166" s="2">
        <f t="shared" si="127"/>
        <v>519.22</v>
      </c>
      <c r="CU166" s="2">
        <f t="shared" si="128"/>
        <v>0</v>
      </c>
      <c r="CV166" s="2">
        <f t="shared" si="129"/>
        <v>38.2624</v>
      </c>
      <c r="CW166" s="2">
        <f t="shared" si="130"/>
        <v>0</v>
      </c>
      <c r="CX166" s="2">
        <f t="shared" si="131"/>
        <v>0</v>
      </c>
      <c r="CY166" s="2">
        <f>(ROUND((((S166+ROUND((ROUND((((EU166*1.1))*AV166*1),2)*BS166),2))*AT166)/100),2)+ROUND(((ROUND((ROUND(((AE166-((EU166*1.1)))*AV166*1),2)*BS166),2)*AT166)/100),2))</f>
        <v>2.62</v>
      </c>
      <c r="CZ166" s="2">
        <f>(ROUND((((S166+ROUND((ROUND((((EU166*1.1))*AV166*1),2)*BS166),2))*AU166)/100),2)+ROUND(((ROUND((ROUND(((AE166-((EU166*1.1)))*AV166*1),2)*BS166),2)*AU166)/100),2))</f>
        <v>1.46</v>
      </c>
      <c r="DA166" s="2"/>
      <c r="DB166" s="2">
        <v>27</v>
      </c>
      <c r="DC166" s="2" t="s">
        <v>3</v>
      </c>
      <c r="DD166" s="2" t="s">
        <v>3</v>
      </c>
      <c r="DE166" s="2" t="s">
        <v>23</v>
      </c>
      <c r="DF166" s="2" t="s">
        <v>23</v>
      </c>
      <c r="DG166" s="2" t="s">
        <v>23</v>
      </c>
      <c r="DH166" s="2" t="s">
        <v>3</v>
      </c>
      <c r="DI166" s="2" t="s">
        <v>23</v>
      </c>
      <c r="DJ166" s="2" t="s">
        <v>23</v>
      </c>
      <c r="DK166" s="2" t="s">
        <v>3</v>
      </c>
      <c r="DL166" s="2" t="s">
        <v>3</v>
      </c>
      <c r="DM166" s="2" t="s">
        <v>3</v>
      </c>
      <c r="DN166" s="2">
        <v>0</v>
      </c>
      <c r="DO166" s="2">
        <v>0</v>
      </c>
      <c r="DP166" s="2">
        <v>1</v>
      </c>
      <c r="DQ166" s="2">
        <v>1</v>
      </c>
      <c r="DR166" s="2"/>
      <c r="DS166" s="2"/>
      <c r="DT166" s="2"/>
      <c r="DU166" s="2">
        <v>1013</v>
      </c>
      <c r="DV166" s="2" t="s">
        <v>232</v>
      </c>
      <c r="DW166" s="2" t="s">
        <v>232</v>
      </c>
      <c r="DX166" s="2">
        <v>1</v>
      </c>
      <c r="DY166" s="2"/>
      <c r="DZ166" s="2" t="s">
        <v>3</v>
      </c>
      <c r="EA166" s="2" t="s">
        <v>3</v>
      </c>
      <c r="EB166" s="2" t="s">
        <v>3</v>
      </c>
      <c r="EC166" s="2" t="s">
        <v>3</v>
      </c>
      <c r="ED166" s="2"/>
      <c r="EE166" s="2">
        <v>60088533</v>
      </c>
      <c r="EF166" s="2">
        <v>40</v>
      </c>
      <c r="EG166" s="2" t="s">
        <v>24</v>
      </c>
      <c r="EH166" s="2">
        <v>0</v>
      </c>
      <c r="EI166" s="2" t="s">
        <v>3</v>
      </c>
      <c r="EJ166" s="2">
        <v>2</v>
      </c>
      <c r="EK166" s="2">
        <v>69</v>
      </c>
      <c r="EL166" s="2" t="s">
        <v>54</v>
      </c>
      <c r="EM166" s="2" t="s">
        <v>55</v>
      </c>
      <c r="EN166" s="2"/>
      <c r="EO166" s="2" t="s">
        <v>27</v>
      </c>
      <c r="EP166" s="2"/>
      <c r="EQ166" s="2">
        <v>0</v>
      </c>
      <c r="ER166" s="2">
        <v>545.47</v>
      </c>
      <c r="ES166" s="2">
        <v>109.27</v>
      </c>
      <c r="ET166" s="2">
        <v>1.96</v>
      </c>
      <c r="EU166" s="2">
        <v>0.09</v>
      </c>
      <c r="EV166" s="2">
        <v>434.24</v>
      </c>
      <c r="EW166" s="2">
        <v>32</v>
      </c>
      <c r="EX166" s="2">
        <v>0</v>
      </c>
      <c r="EY166" s="2">
        <v>0</v>
      </c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>
        <v>0</v>
      </c>
      <c r="FR166" s="2">
        <v>0</v>
      </c>
      <c r="FS166" s="2">
        <v>0</v>
      </c>
      <c r="FT166" s="2"/>
      <c r="FU166" s="2"/>
      <c r="FV166" s="2"/>
      <c r="FW166" s="2"/>
      <c r="FX166" s="2">
        <v>95</v>
      </c>
      <c r="FY166" s="2">
        <v>53</v>
      </c>
      <c r="FZ166" s="2"/>
      <c r="GA166" s="2" t="s">
        <v>3</v>
      </c>
      <c r="GB166" s="2"/>
      <c r="GC166" s="2"/>
      <c r="GD166" s="2">
        <v>1</v>
      </c>
      <c r="GE166" s="2"/>
      <c r="GF166" s="2">
        <v>-1860817573</v>
      </c>
      <c r="GG166" s="2">
        <v>2</v>
      </c>
      <c r="GH166" s="2">
        <v>1</v>
      </c>
      <c r="GI166" s="2">
        <v>2</v>
      </c>
      <c r="GJ166" s="2">
        <v>0</v>
      </c>
      <c r="GK166" s="2">
        <v>0</v>
      </c>
      <c r="GL166" s="2">
        <f t="shared" si="132"/>
        <v>0</v>
      </c>
      <c r="GM166" s="2">
        <f t="shared" si="133"/>
        <v>7.14</v>
      </c>
      <c r="GN166" s="2">
        <f t="shared" si="134"/>
        <v>0</v>
      </c>
      <c r="GO166" s="2">
        <f t="shared" si="135"/>
        <v>7.14</v>
      </c>
      <c r="GP166" s="2">
        <f t="shared" si="136"/>
        <v>0</v>
      </c>
      <c r="GQ166" s="2"/>
      <c r="GR166" s="2">
        <v>0</v>
      </c>
      <c r="GS166" s="2">
        <v>3</v>
      </c>
      <c r="GT166" s="2">
        <v>0</v>
      </c>
      <c r="GU166" s="2" t="s">
        <v>3</v>
      </c>
      <c r="GV166" s="2">
        <f t="shared" si="137"/>
        <v>0</v>
      </c>
      <c r="GW166" s="2">
        <v>1</v>
      </c>
      <c r="GX166" s="2">
        <f t="shared" si="138"/>
        <v>0</v>
      </c>
      <c r="GY166" s="2"/>
      <c r="GZ166" s="2"/>
      <c r="HA166" s="2">
        <v>0</v>
      </c>
      <c r="HB166" s="2">
        <v>0</v>
      </c>
      <c r="HC166" s="2">
        <f t="shared" si="139"/>
        <v>0</v>
      </c>
      <c r="HD166" s="2"/>
      <c r="HE166" s="2" t="s">
        <v>3</v>
      </c>
      <c r="HF166" s="2" t="s">
        <v>3</v>
      </c>
      <c r="HG166" s="2"/>
      <c r="HH166" s="2"/>
      <c r="HI166" s="2"/>
      <c r="HJ166" s="2"/>
      <c r="HK166" s="2"/>
      <c r="HL166" s="2"/>
      <c r="HM166" s="2" t="s">
        <v>3</v>
      </c>
      <c r="HN166" s="2" t="s">
        <v>3</v>
      </c>
      <c r="HO166" s="2" t="s">
        <v>3</v>
      </c>
      <c r="HP166" s="2" t="s">
        <v>3</v>
      </c>
      <c r="HQ166" s="2" t="s">
        <v>3</v>
      </c>
      <c r="HR166" s="2"/>
      <c r="HS166" s="2">
        <v>0</v>
      </c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>
        <v>0</v>
      </c>
      <c r="IL166" s="2"/>
      <c r="IM166" s="2"/>
      <c r="IN166" s="2"/>
      <c r="IO166" s="2"/>
      <c r="IP166" s="2"/>
      <c r="IQ166" s="2"/>
      <c r="IR166" s="2"/>
      <c r="IS166" s="2"/>
      <c r="IT166" s="2"/>
      <c r="IU166" s="2"/>
    </row>
    <row r="167" spans="1:255" x14ac:dyDescent="0.2">
      <c r="A167">
        <v>17</v>
      </c>
      <c r="B167">
        <v>1</v>
      </c>
      <c r="C167">
        <f>ROW(SmtRes!A176)</f>
        <v>176</v>
      </c>
      <c r="D167">
        <f>ROW(EtalonRes!A184)</f>
        <v>184</v>
      </c>
      <c r="E167" t="s">
        <v>229</v>
      </c>
      <c r="F167" t="s">
        <v>230</v>
      </c>
      <c r="G167" t="s">
        <v>231</v>
      </c>
      <c r="H167" t="s">
        <v>232</v>
      </c>
      <c r="I167">
        <f>ROUND(5.1/1000,9)</f>
        <v>5.1000000000000004E-3</v>
      </c>
      <c r="J167">
        <v>0</v>
      </c>
      <c r="K167">
        <f>ROUND(5.1/1000,9)</f>
        <v>5.1000000000000004E-3</v>
      </c>
      <c r="O167">
        <f t="shared" si="114"/>
        <v>151.38</v>
      </c>
      <c r="P167">
        <f>ROUND((ROUND((AC167*AW167*I167),2)*BC167),2)</f>
        <v>5.54</v>
      </c>
      <c r="Q167">
        <f>(ROUND((ROUND((((ET167*1.1))*AV167*I167),2)*BB167),2)+ROUND((ROUND(((AE167-((EU167*1.1)))*AV167*I167),2)*BS167),2))</f>
        <v>0.12</v>
      </c>
      <c r="R167">
        <f>(ROUND((ROUND((((EU167*1.1))*AV167*I167),2)*BS167),2)+ROUND((ROUND(((AE167-((EU167*1.1)))*AV167*I167),2)*BS167),2))</f>
        <v>0</v>
      </c>
      <c r="S167">
        <f t="shared" si="116"/>
        <v>145.72</v>
      </c>
      <c r="T167">
        <f t="shared" si="117"/>
        <v>0</v>
      </c>
      <c r="U167">
        <f t="shared" si="118"/>
        <v>0.19513824000000002</v>
      </c>
      <c r="V167">
        <f t="shared" si="119"/>
        <v>0</v>
      </c>
      <c r="W167">
        <f t="shared" si="120"/>
        <v>0</v>
      </c>
      <c r="X167">
        <f>(ROUND((((S167+ROUND((ROUND((((EU167*1.1))*AV167*I167),2)*BS167),2))*AT167)/100),2)+ROUND(((ROUND((ROUND(((AE167-((EU167*1.1)))*AV167*I167),2)*BS167),2)*AT167)/100),2))</f>
        <v>138.43</v>
      </c>
      <c r="Y167">
        <f>(ROUND((((S167+ROUND((ROUND((((EU167*1.1))*AV167*I167),2)*BS167),2))*AU167)/100),2)+ROUND(((ROUND((ROUND(((AE167-((EU167*1.1)))*AV167*I167),2)*BS167),2)*AU167)/100),2))</f>
        <v>77.23</v>
      </c>
      <c r="AA167">
        <v>60256982</v>
      </c>
      <c r="AB167">
        <f t="shared" si="121"/>
        <v>589.09</v>
      </c>
      <c r="AC167">
        <f t="shared" si="122"/>
        <v>109.27</v>
      </c>
      <c r="AD167">
        <f>ROUND(((((ET167*1.1))-((EU167*1.1)))+AE167),6)</f>
        <v>2.1560000000000001</v>
      </c>
      <c r="AE167">
        <f>ROUND(((EU167*1.1)),6)</f>
        <v>9.9000000000000005E-2</v>
      </c>
      <c r="AF167">
        <f>ROUND(((EV167*1.1)),6)</f>
        <v>477.66399999999999</v>
      </c>
      <c r="AG167">
        <f t="shared" si="123"/>
        <v>0</v>
      </c>
      <c r="AH167">
        <f>((EW167*1.1))</f>
        <v>35.200000000000003</v>
      </c>
      <c r="AI167">
        <f>((EX167*1.1))</f>
        <v>0</v>
      </c>
      <c r="AJ167">
        <f t="shared" si="124"/>
        <v>0</v>
      </c>
      <c r="AK167">
        <v>545.47</v>
      </c>
      <c r="AL167">
        <v>109.27</v>
      </c>
      <c r="AM167">
        <v>1.96</v>
      </c>
      <c r="AN167">
        <v>0.09</v>
      </c>
      <c r="AO167">
        <v>434.24</v>
      </c>
      <c r="AP167">
        <v>0</v>
      </c>
      <c r="AQ167">
        <v>32</v>
      </c>
      <c r="AR167">
        <v>0</v>
      </c>
      <c r="AS167">
        <v>0</v>
      </c>
      <c r="AT167">
        <v>95</v>
      </c>
      <c r="AU167">
        <v>53</v>
      </c>
      <c r="AV167">
        <v>1.087</v>
      </c>
      <c r="AW167">
        <v>1</v>
      </c>
      <c r="AZ167">
        <v>1</v>
      </c>
      <c r="BA167">
        <v>54.99</v>
      </c>
      <c r="BB167">
        <v>12.1</v>
      </c>
      <c r="BC167">
        <v>9.89</v>
      </c>
      <c r="BD167" t="s">
        <v>3</v>
      </c>
      <c r="BE167" t="s">
        <v>3</v>
      </c>
      <c r="BF167" t="s">
        <v>3</v>
      </c>
      <c r="BG167" t="s">
        <v>3</v>
      </c>
      <c r="BH167">
        <v>0</v>
      </c>
      <c r="BI167">
        <v>2</v>
      </c>
      <c r="BJ167" t="s">
        <v>233</v>
      </c>
      <c r="BM167">
        <v>69</v>
      </c>
      <c r="BN167">
        <v>58973116</v>
      </c>
      <c r="BO167" t="s">
        <v>230</v>
      </c>
      <c r="BP167">
        <v>1</v>
      </c>
      <c r="BQ167">
        <v>40</v>
      </c>
      <c r="BR167">
        <v>0</v>
      </c>
      <c r="BS167">
        <v>54.99</v>
      </c>
      <c r="BT167">
        <v>1</v>
      </c>
      <c r="BU167">
        <v>1</v>
      </c>
      <c r="BV167">
        <v>1</v>
      </c>
      <c r="BW167">
        <v>1</v>
      </c>
      <c r="BX167">
        <v>1</v>
      </c>
      <c r="BY167" t="s">
        <v>3</v>
      </c>
      <c r="BZ167">
        <v>95</v>
      </c>
      <c r="CA167">
        <v>53</v>
      </c>
      <c r="CB167" t="s">
        <v>3</v>
      </c>
      <c r="CE167">
        <v>1566</v>
      </c>
      <c r="CF167">
        <v>0</v>
      </c>
      <c r="CG167">
        <v>0</v>
      </c>
      <c r="CM167">
        <v>0</v>
      </c>
      <c r="CN167" t="s">
        <v>474</v>
      </c>
      <c r="CO167">
        <v>0</v>
      </c>
      <c r="CP167">
        <f t="shared" si="125"/>
        <v>151.38</v>
      </c>
      <c r="CQ167">
        <f>ROUND((ROUND((AC167*AW167*1),2)*BC167),2)</f>
        <v>1080.68</v>
      </c>
      <c r="CR167">
        <f>(ROUND((ROUND((((ET167*1.1))*AV167*1),2)*BB167),2)+ROUND((ROUND(((AE167-((EU167*1.1)))*AV167*1),2)*BS167),2))</f>
        <v>28.31</v>
      </c>
      <c r="CS167">
        <f>(ROUND((ROUND((((EU167*1.1))*AV167*1),2)*BS167),2)+ROUND((ROUND(((AE167-((EU167*1.1)))*AV167*1),2)*BS167),2))</f>
        <v>6.05</v>
      </c>
      <c r="CT167">
        <f t="shared" si="127"/>
        <v>28551.91</v>
      </c>
      <c r="CU167">
        <f t="shared" si="128"/>
        <v>0</v>
      </c>
      <c r="CV167">
        <f t="shared" si="129"/>
        <v>38.2624</v>
      </c>
      <c r="CW167">
        <f t="shared" si="130"/>
        <v>0</v>
      </c>
      <c r="CX167">
        <f t="shared" si="131"/>
        <v>0</v>
      </c>
      <c r="CY167">
        <f>(ROUND((((S167+ROUND((ROUND((((EU167*1.1))*AV167*1),2)*BS167),2))*AT167)/100),2)+ROUND(((ROUND((ROUND(((AE167-((EU167*1.1)))*AV167*1),2)*BS167),2)*AT167)/100),2))</f>
        <v>144.18</v>
      </c>
      <c r="CZ167">
        <f>(ROUND((((S167+ROUND((ROUND((((EU167*1.1))*AV167*1),2)*BS167),2))*AU167)/100),2)+ROUND(((ROUND((ROUND(((AE167-((EU167*1.1)))*AV167*1),2)*BS167),2)*AU167)/100),2))</f>
        <v>80.44</v>
      </c>
      <c r="DB167">
        <v>28</v>
      </c>
      <c r="DC167" t="s">
        <v>3</v>
      </c>
      <c r="DD167" t="s">
        <v>3</v>
      </c>
      <c r="DE167" t="s">
        <v>23</v>
      </c>
      <c r="DF167" t="s">
        <v>23</v>
      </c>
      <c r="DG167" t="s">
        <v>23</v>
      </c>
      <c r="DH167" t="s">
        <v>3</v>
      </c>
      <c r="DI167" t="s">
        <v>23</v>
      </c>
      <c r="DJ167" t="s">
        <v>23</v>
      </c>
      <c r="DK167" t="s">
        <v>3</v>
      </c>
      <c r="DL167" t="s">
        <v>3</v>
      </c>
      <c r="DM167" t="s">
        <v>3</v>
      </c>
      <c r="DN167">
        <v>0</v>
      </c>
      <c r="DO167">
        <v>0</v>
      </c>
      <c r="DP167">
        <v>1</v>
      </c>
      <c r="DQ167">
        <v>1</v>
      </c>
      <c r="DU167">
        <v>1013</v>
      </c>
      <c r="DV167" t="s">
        <v>232</v>
      </c>
      <c r="DW167" t="s">
        <v>232</v>
      </c>
      <c r="DX167">
        <v>1</v>
      </c>
      <c r="DZ167" t="s">
        <v>3</v>
      </c>
      <c r="EA167" t="s">
        <v>3</v>
      </c>
      <c r="EB167" t="s">
        <v>3</v>
      </c>
      <c r="EC167" t="s">
        <v>3</v>
      </c>
      <c r="EE167">
        <v>60088533</v>
      </c>
      <c r="EF167">
        <v>40</v>
      </c>
      <c r="EG167" t="s">
        <v>24</v>
      </c>
      <c r="EH167">
        <v>0</v>
      </c>
      <c r="EI167" t="s">
        <v>3</v>
      </c>
      <c r="EJ167">
        <v>2</v>
      </c>
      <c r="EK167">
        <v>69</v>
      </c>
      <c r="EL167" t="s">
        <v>54</v>
      </c>
      <c r="EM167" t="s">
        <v>55</v>
      </c>
      <c r="EO167" t="s">
        <v>27</v>
      </c>
      <c r="EQ167">
        <v>0</v>
      </c>
      <c r="ER167">
        <v>545.47</v>
      </c>
      <c r="ES167">
        <v>109.27</v>
      </c>
      <c r="ET167">
        <v>1.96</v>
      </c>
      <c r="EU167">
        <v>0.09</v>
      </c>
      <c r="EV167">
        <v>434.24</v>
      </c>
      <c r="EW167">
        <v>32</v>
      </c>
      <c r="EX167">
        <v>0</v>
      </c>
      <c r="EY167">
        <v>0</v>
      </c>
      <c r="FQ167">
        <v>0</v>
      </c>
      <c r="FR167">
        <v>0</v>
      </c>
      <c r="FS167">
        <v>0</v>
      </c>
      <c r="FX167">
        <v>95</v>
      </c>
      <c r="FY167">
        <v>53</v>
      </c>
      <c r="GA167" t="s">
        <v>3</v>
      </c>
      <c r="GD167">
        <v>1</v>
      </c>
      <c r="GF167">
        <v>-1860817573</v>
      </c>
      <c r="GG167">
        <v>2</v>
      </c>
      <c r="GH167">
        <v>1</v>
      </c>
      <c r="GI167">
        <v>2</v>
      </c>
      <c r="GJ167">
        <v>0</v>
      </c>
      <c r="GK167">
        <v>0</v>
      </c>
      <c r="GL167">
        <f t="shared" si="132"/>
        <v>0</v>
      </c>
      <c r="GM167">
        <f t="shared" si="133"/>
        <v>367.04</v>
      </c>
      <c r="GN167">
        <f t="shared" si="134"/>
        <v>0</v>
      </c>
      <c r="GO167">
        <f t="shared" si="135"/>
        <v>367.04</v>
      </c>
      <c r="GP167">
        <f t="shared" si="136"/>
        <v>0</v>
      </c>
      <c r="GR167">
        <v>0</v>
      </c>
      <c r="GS167">
        <v>3</v>
      </c>
      <c r="GT167">
        <v>0</v>
      </c>
      <c r="GU167" t="s">
        <v>3</v>
      </c>
      <c r="GV167">
        <f t="shared" si="137"/>
        <v>0</v>
      </c>
      <c r="GW167">
        <v>1</v>
      </c>
      <c r="GX167">
        <f t="shared" si="138"/>
        <v>0</v>
      </c>
      <c r="HA167">
        <v>0</v>
      </c>
      <c r="HB167">
        <v>0</v>
      </c>
      <c r="HC167">
        <f t="shared" si="139"/>
        <v>0</v>
      </c>
      <c r="HE167" t="s">
        <v>3</v>
      </c>
      <c r="HF167" t="s">
        <v>3</v>
      </c>
      <c r="HM167" t="s">
        <v>3</v>
      </c>
      <c r="HN167" t="s">
        <v>3</v>
      </c>
      <c r="HO167" t="s">
        <v>3</v>
      </c>
      <c r="HP167" t="s">
        <v>3</v>
      </c>
      <c r="HQ167" t="s">
        <v>3</v>
      </c>
      <c r="HS167">
        <v>0</v>
      </c>
      <c r="IK167">
        <v>0</v>
      </c>
    </row>
    <row r="168" spans="1:255" x14ac:dyDescent="0.2">
      <c r="A168" s="2">
        <v>17</v>
      </c>
      <c r="B168" s="2">
        <v>1</v>
      </c>
      <c r="C168" s="2"/>
      <c r="D168" s="2"/>
      <c r="E168" s="2" t="s">
        <v>234</v>
      </c>
      <c r="F168" s="2" t="s">
        <v>235</v>
      </c>
      <c r="G168" s="2" t="s">
        <v>236</v>
      </c>
      <c r="H168" s="2" t="s">
        <v>31</v>
      </c>
      <c r="I168" s="2">
        <v>1</v>
      </c>
      <c r="J168" s="2">
        <v>0</v>
      </c>
      <c r="K168" s="2">
        <v>1</v>
      </c>
      <c r="L168" s="2"/>
      <c r="M168" s="2"/>
      <c r="N168" s="2"/>
      <c r="O168" s="2">
        <f t="shared" si="114"/>
        <v>342.13</v>
      </c>
      <c r="P168" s="2">
        <f>ROUND((ROUND((AC168*I168),2)*BC168),2)</f>
        <v>342.13</v>
      </c>
      <c r="Q168" s="2">
        <f t="shared" ref="Q168:Q173" si="140">(ROUND((ROUND(((ET168)*AV168*I168),2)*BB168),2)+ROUND((ROUND(((AE168-(EU168))*AV168*I168),2)*BS168),2))</f>
        <v>0</v>
      </c>
      <c r="R168" s="2">
        <f t="shared" ref="R168:R173" si="141">(ROUND((ROUND(((EU168)*AV168*I168),2)*BS168),2)+ROUND((ROUND(((AE168-(EU168))*AV168*I168),2)*BS168),2))</f>
        <v>0</v>
      </c>
      <c r="S168" s="2">
        <f t="shared" si="116"/>
        <v>0</v>
      </c>
      <c r="T168" s="2">
        <f t="shared" si="117"/>
        <v>0</v>
      </c>
      <c r="U168" s="2">
        <f t="shared" si="118"/>
        <v>0</v>
      </c>
      <c r="V168" s="2">
        <f t="shared" si="119"/>
        <v>0</v>
      </c>
      <c r="W168" s="2">
        <f t="shared" si="120"/>
        <v>0</v>
      </c>
      <c r="X168" s="2">
        <f t="shared" ref="X168:X173" si="142">(ROUND((((S168+ROUND((ROUND(((EU168)*AV168*I168),2)*BS168),2))*AT168)/100),2)+ROUND(((ROUND((ROUND(((AE168-(EU168))*AV168*I168),2)*BS168),2)*AT168)/100),2))</f>
        <v>0</v>
      </c>
      <c r="Y168" s="2">
        <f t="shared" ref="Y168:Y173" si="143">(ROUND((((S168+ROUND((ROUND(((EU168)*AV168*I168),2)*BS168),2))*AU168)/100),2)+ROUND(((ROUND((ROUND(((AE168-(EU168))*AV168*I168),2)*BS168),2)*AU168)/100),2))</f>
        <v>0</v>
      </c>
      <c r="Z168" s="2"/>
      <c r="AA168" s="2">
        <v>60256985</v>
      </c>
      <c r="AB168" s="2">
        <f t="shared" si="121"/>
        <v>342.13</v>
      </c>
      <c r="AC168" s="2">
        <f t="shared" si="122"/>
        <v>342.13</v>
      </c>
      <c r="AD168" s="2">
        <f t="shared" ref="AD168:AD173" si="144">ROUND((((ET168)-(EU168))+AE168),6)</f>
        <v>0</v>
      </c>
      <c r="AE168" s="2">
        <f t="shared" ref="AE168:AF173" si="145">ROUND((EU168),6)</f>
        <v>0</v>
      </c>
      <c r="AF168" s="2">
        <f t="shared" si="145"/>
        <v>0</v>
      </c>
      <c r="AG168" s="2">
        <f t="shared" si="123"/>
        <v>0</v>
      </c>
      <c r="AH168" s="2">
        <f t="shared" ref="AH168:AI173" si="146">(EW168)</f>
        <v>0</v>
      </c>
      <c r="AI168" s="2">
        <f t="shared" si="146"/>
        <v>0</v>
      </c>
      <c r="AJ168" s="2">
        <f t="shared" si="124"/>
        <v>0</v>
      </c>
      <c r="AK168" s="2">
        <v>342.13</v>
      </c>
      <c r="AL168" s="2">
        <v>342.13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1</v>
      </c>
      <c r="AW168" s="2">
        <v>1</v>
      </c>
      <c r="AX168" s="2"/>
      <c r="AY168" s="2"/>
      <c r="AZ168" s="2">
        <v>1</v>
      </c>
      <c r="BA168" s="2">
        <v>1</v>
      </c>
      <c r="BB168" s="2">
        <v>1</v>
      </c>
      <c r="BC168" s="2">
        <v>1</v>
      </c>
      <c r="BD168" s="2" t="s">
        <v>3</v>
      </c>
      <c r="BE168" s="2" t="s">
        <v>3</v>
      </c>
      <c r="BF168" s="2" t="s">
        <v>3</v>
      </c>
      <c r="BG168" s="2" t="s">
        <v>3</v>
      </c>
      <c r="BH168" s="2">
        <v>3</v>
      </c>
      <c r="BI168" s="2">
        <v>3</v>
      </c>
      <c r="BJ168" s="2" t="s">
        <v>3</v>
      </c>
      <c r="BK168" s="2"/>
      <c r="BL168" s="2"/>
      <c r="BM168" s="2">
        <v>746</v>
      </c>
      <c r="BN168" s="2">
        <v>58973116</v>
      </c>
      <c r="BO168" s="2" t="s">
        <v>3</v>
      </c>
      <c r="BP168" s="2">
        <v>0</v>
      </c>
      <c r="BQ168" s="2">
        <v>130</v>
      </c>
      <c r="BR168" s="2">
        <v>0</v>
      </c>
      <c r="BS168" s="2">
        <v>1</v>
      </c>
      <c r="BT168" s="2">
        <v>1</v>
      </c>
      <c r="BU168" s="2">
        <v>1</v>
      </c>
      <c r="BV168" s="2">
        <v>1</v>
      </c>
      <c r="BW168" s="2">
        <v>1</v>
      </c>
      <c r="BX168" s="2">
        <v>1</v>
      </c>
      <c r="BY168" s="2" t="s">
        <v>3</v>
      </c>
      <c r="BZ168" s="2">
        <v>0</v>
      </c>
      <c r="CA168" s="2">
        <v>0</v>
      </c>
      <c r="CB168" s="2" t="s">
        <v>3</v>
      </c>
      <c r="CC168" s="2"/>
      <c r="CD168" s="2"/>
      <c r="CE168" s="2">
        <v>1566</v>
      </c>
      <c r="CF168" s="2">
        <v>0</v>
      </c>
      <c r="CG168" s="2">
        <v>0</v>
      </c>
      <c r="CH168" s="2"/>
      <c r="CI168" s="2"/>
      <c r="CJ168" s="2"/>
      <c r="CK168" s="2"/>
      <c r="CL168" s="2"/>
      <c r="CM168" s="2">
        <v>0</v>
      </c>
      <c r="CN168" s="2" t="s">
        <v>3</v>
      </c>
      <c r="CO168" s="2">
        <v>0</v>
      </c>
      <c r="CP168" s="2">
        <f t="shared" si="125"/>
        <v>342.13</v>
      </c>
      <c r="CQ168" s="2">
        <f>ROUND((ROUND((AC168*1),2)*BC168),2)</f>
        <v>342.13</v>
      </c>
      <c r="CR168" s="2">
        <f t="shared" ref="CR168:CR173" si="147">(ROUND((ROUND(((ET168)*AV168*1),2)*BB168),2)+ROUND((ROUND(((AE168-(EU168))*AV168*1),2)*BS168),2))</f>
        <v>0</v>
      </c>
      <c r="CS168" s="2">
        <f t="shared" ref="CS168:CS173" si="148">(ROUND((ROUND(((EU168)*AV168*1),2)*BS168),2)+ROUND((ROUND(((AE168-(EU168))*AV168*1),2)*BS168),2))</f>
        <v>0</v>
      </c>
      <c r="CT168" s="2">
        <f t="shared" si="127"/>
        <v>0</v>
      </c>
      <c r="CU168" s="2">
        <f t="shared" si="128"/>
        <v>0</v>
      </c>
      <c r="CV168" s="2">
        <f t="shared" si="129"/>
        <v>0</v>
      </c>
      <c r="CW168" s="2">
        <f t="shared" si="130"/>
        <v>0</v>
      </c>
      <c r="CX168" s="2">
        <f t="shared" si="131"/>
        <v>0</v>
      </c>
      <c r="CY168" s="2">
        <f t="shared" ref="CY168:CY173" si="149">(ROUND((((S168+ROUND((ROUND(((EU168)*AV168*1),2)*BS168),2))*AT168)/100),2)+ROUND(((ROUND((ROUND(((AE168-(EU168))*AV168*1),2)*BS168),2)*AT168)/100),2))</f>
        <v>0</v>
      </c>
      <c r="CZ168" s="2">
        <f t="shared" ref="CZ168:CZ173" si="150">(ROUND((((S168+ROUND((ROUND(((EU168)*AV168*1),2)*BS168),2))*AU168)/100),2)+ROUND(((ROUND((ROUND(((AE168-(EU168))*AV168*1),2)*BS168),2)*AU168)/100),2))</f>
        <v>0</v>
      </c>
      <c r="DA168" s="2"/>
      <c r="DB168" s="2"/>
      <c r="DC168" s="2" t="s">
        <v>3</v>
      </c>
      <c r="DD168" s="2" t="s">
        <v>3</v>
      </c>
      <c r="DE168" s="2" t="s">
        <v>3</v>
      </c>
      <c r="DF168" s="2" t="s">
        <v>3</v>
      </c>
      <c r="DG168" s="2" t="s">
        <v>3</v>
      </c>
      <c r="DH168" s="2" t="s">
        <v>3</v>
      </c>
      <c r="DI168" s="2" t="s">
        <v>3</v>
      </c>
      <c r="DJ168" s="2" t="s">
        <v>3</v>
      </c>
      <c r="DK168" s="2" t="s">
        <v>3</v>
      </c>
      <c r="DL168" s="2" t="s">
        <v>3</v>
      </c>
      <c r="DM168" s="2" t="s">
        <v>3</v>
      </c>
      <c r="DN168" s="2">
        <v>0</v>
      </c>
      <c r="DO168" s="2">
        <v>0</v>
      </c>
      <c r="DP168" s="2">
        <v>1</v>
      </c>
      <c r="DQ168" s="2">
        <v>1</v>
      </c>
      <c r="DR168" s="2"/>
      <c r="DS168" s="2"/>
      <c r="DT168" s="2"/>
      <c r="DU168" s="2">
        <v>1010</v>
      </c>
      <c r="DV168" s="2" t="s">
        <v>31</v>
      </c>
      <c r="DW168" s="2" t="s">
        <v>31</v>
      </c>
      <c r="DX168" s="2">
        <v>1</v>
      </c>
      <c r="DY168" s="2"/>
      <c r="DZ168" s="2" t="s">
        <v>3</v>
      </c>
      <c r="EA168" s="2" t="s">
        <v>3</v>
      </c>
      <c r="EB168" s="2" t="s">
        <v>3</v>
      </c>
      <c r="EC168" s="2" t="s">
        <v>3</v>
      </c>
      <c r="ED168" s="2"/>
      <c r="EE168" s="2">
        <v>60088638</v>
      </c>
      <c r="EF168" s="2">
        <v>130</v>
      </c>
      <c r="EG168" s="2" t="s">
        <v>32</v>
      </c>
      <c r="EH168" s="2">
        <v>0</v>
      </c>
      <c r="EI168" s="2" t="s">
        <v>3</v>
      </c>
      <c r="EJ168" s="2">
        <v>3</v>
      </c>
      <c r="EK168" s="2">
        <v>746</v>
      </c>
      <c r="EL168" s="2" t="s">
        <v>33</v>
      </c>
      <c r="EM168" s="2" t="s">
        <v>34</v>
      </c>
      <c r="EN168" s="2"/>
      <c r="EO168" s="2" t="s">
        <v>3</v>
      </c>
      <c r="EP168" s="2"/>
      <c r="EQ168" s="2">
        <v>0</v>
      </c>
      <c r="ER168" s="2">
        <v>342.13</v>
      </c>
      <c r="ES168" s="2">
        <v>342.13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>
        <v>0</v>
      </c>
      <c r="FR168" s="2">
        <f>P168</f>
        <v>342.13</v>
      </c>
      <c r="FS168" s="2">
        <v>0</v>
      </c>
      <c r="FT168" s="2"/>
      <c r="FU168" s="2"/>
      <c r="FV168" s="2"/>
      <c r="FW168" s="2"/>
      <c r="FX168" s="2">
        <v>0</v>
      </c>
      <c r="FY168" s="2">
        <v>0</v>
      </c>
      <c r="FZ168" s="2"/>
      <c r="GA168" s="2" t="s">
        <v>3</v>
      </c>
      <c r="GB168" s="2"/>
      <c r="GC168" s="2"/>
      <c r="GD168" s="2">
        <v>1</v>
      </c>
      <c r="GE168" s="2"/>
      <c r="GF168" s="2">
        <v>131400307</v>
      </c>
      <c r="GG168" s="2">
        <v>2</v>
      </c>
      <c r="GH168" s="2">
        <v>1</v>
      </c>
      <c r="GI168" s="2">
        <v>-2</v>
      </c>
      <c r="GJ168" s="2">
        <v>0</v>
      </c>
      <c r="GK168" s="2">
        <v>0</v>
      </c>
      <c r="GL168" s="2">
        <f t="shared" si="132"/>
        <v>0</v>
      </c>
      <c r="GM168" s="2">
        <f t="shared" si="133"/>
        <v>342.13</v>
      </c>
      <c r="GN168" s="2">
        <f t="shared" si="134"/>
        <v>0</v>
      </c>
      <c r="GO168" s="2">
        <f t="shared" si="135"/>
        <v>0</v>
      </c>
      <c r="GP168" s="2">
        <f t="shared" si="136"/>
        <v>0</v>
      </c>
      <c r="GQ168" s="2"/>
      <c r="GR168" s="2">
        <v>0</v>
      </c>
      <c r="GS168" s="2">
        <v>3</v>
      </c>
      <c r="GT168" s="2">
        <v>0</v>
      </c>
      <c r="GU168" s="2" t="s">
        <v>3</v>
      </c>
      <c r="GV168" s="2">
        <f t="shared" si="137"/>
        <v>0</v>
      </c>
      <c r="GW168" s="2">
        <v>1</v>
      </c>
      <c r="GX168" s="2">
        <f t="shared" si="138"/>
        <v>0</v>
      </c>
      <c r="GY168" s="2"/>
      <c r="GZ168" s="2"/>
      <c r="HA168" s="2">
        <v>0</v>
      </c>
      <c r="HB168" s="2">
        <v>0</v>
      </c>
      <c r="HC168" s="2">
        <f t="shared" si="139"/>
        <v>0</v>
      </c>
      <c r="HD168" s="2"/>
      <c r="HE168" s="2" t="s">
        <v>3</v>
      </c>
      <c r="HF168" s="2" t="s">
        <v>3</v>
      </c>
      <c r="HG168" s="2"/>
      <c r="HH168" s="2"/>
      <c r="HI168" s="2"/>
      <c r="HJ168" s="2"/>
      <c r="HK168" s="2"/>
      <c r="HL168" s="2"/>
      <c r="HM168" s="2" t="s">
        <v>3</v>
      </c>
      <c r="HN168" s="2" t="s">
        <v>3</v>
      </c>
      <c r="HO168" s="2" t="s">
        <v>3</v>
      </c>
      <c r="HP168" s="2" t="s">
        <v>3</v>
      </c>
      <c r="HQ168" s="2" t="s">
        <v>3</v>
      </c>
      <c r="HR168" s="2"/>
      <c r="HS168" s="2">
        <v>0</v>
      </c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>
        <v>0</v>
      </c>
      <c r="IL168" s="2"/>
      <c r="IM168" s="2"/>
      <c r="IN168" s="2"/>
      <c r="IO168" s="2"/>
      <c r="IP168" s="2"/>
      <c r="IQ168" s="2"/>
      <c r="IR168" s="2"/>
      <c r="IS168" s="2"/>
      <c r="IT168" s="2"/>
      <c r="IU168" s="2"/>
    </row>
    <row r="169" spans="1:255" x14ac:dyDescent="0.2">
      <c r="A169">
        <v>17</v>
      </c>
      <c r="B169">
        <v>1</v>
      </c>
      <c r="E169" t="s">
        <v>234</v>
      </c>
      <c r="F169" t="s">
        <v>235</v>
      </c>
      <c r="G169" t="s">
        <v>236</v>
      </c>
      <c r="H169" t="s">
        <v>31</v>
      </c>
      <c r="I169">
        <v>1</v>
      </c>
      <c r="J169">
        <v>0</v>
      </c>
      <c r="K169">
        <v>1</v>
      </c>
      <c r="O169">
        <f t="shared" si="114"/>
        <v>4810.3500000000004</v>
      </c>
      <c r="P169">
        <f>ROUND((ROUND((AC169*I169),2)*BC169),2)</f>
        <v>4810.3500000000004</v>
      </c>
      <c r="Q169">
        <f t="shared" si="140"/>
        <v>0</v>
      </c>
      <c r="R169">
        <f t="shared" si="141"/>
        <v>0</v>
      </c>
      <c r="S169">
        <f t="shared" si="116"/>
        <v>0</v>
      </c>
      <c r="T169">
        <f t="shared" si="117"/>
        <v>0</v>
      </c>
      <c r="U169">
        <f t="shared" si="118"/>
        <v>0</v>
      </c>
      <c r="V169">
        <f t="shared" si="119"/>
        <v>0</v>
      </c>
      <c r="W169">
        <f t="shared" si="120"/>
        <v>0</v>
      </c>
      <c r="X169">
        <f t="shared" si="142"/>
        <v>0</v>
      </c>
      <c r="Y169">
        <f t="shared" si="143"/>
        <v>0</v>
      </c>
      <c r="AA169">
        <v>60256982</v>
      </c>
      <c r="AB169">
        <f t="shared" si="121"/>
        <v>342.13</v>
      </c>
      <c r="AC169">
        <f t="shared" si="122"/>
        <v>342.13</v>
      </c>
      <c r="AD169">
        <f t="shared" si="144"/>
        <v>0</v>
      </c>
      <c r="AE169">
        <f t="shared" si="145"/>
        <v>0</v>
      </c>
      <c r="AF169">
        <f t="shared" si="145"/>
        <v>0</v>
      </c>
      <c r="AG169">
        <f t="shared" si="123"/>
        <v>0</v>
      </c>
      <c r="AH169">
        <f t="shared" si="146"/>
        <v>0</v>
      </c>
      <c r="AI169">
        <f t="shared" si="146"/>
        <v>0</v>
      </c>
      <c r="AJ169">
        <f t="shared" si="124"/>
        <v>0</v>
      </c>
      <c r="AK169">
        <v>342.13</v>
      </c>
      <c r="AL169">
        <v>342.13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1</v>
      </c>
      <c r="AZ169">
        <v>1</v>
      </c>
      <c r="BA169">
        <v>1</v>
      </c>
      <c r="BB169">
        <v>1</v>
      </c>
      <c r="BC169">
        <v>14.06</v>
      </c>
      <c r="BD169" t="s">
        <v>3</v>
      </c>
      <c r="BE169" t="s">
        <v>3</v>
      </c>
      <c r="BF169" t="s">
        <v>3</v>
      </c>
      <c r="BG169" t="s">
        <v>3</v>
      </c>
      <c r="BH169">
        <v>3</v>
      </c>
      <c r="BI169">
        <v>3</v>
      </c>
      <c r="BJ169" t="s">
        <v>3</v>
      </c>
      <c r="BM169">
        <v>746</v>
      </c>
      <c r="BN169">
        <v>58973116</v>
      </c>
      <c r="BO169" t="s">
        <v>3</v>
      </c>
      <c r="BP169">
        <v>0</v>
      </c>
      <c r="BQ169">
        <v>130</v>
      </c>
      <c r="BR169">
        <v>0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 t="s">
        <v>3</v>
      </c>
      <c r="BZ169">
        <v>0</v>
      </c>
      <c r="CA169">
        <v>0</v>
      </c>
      <c r="CB169" t="s">
        <v>3</v>
      </c>
      <c r="CE169">
        <v>1566</v>
      </c>
      <c r="CF169">
        <v>0</v>
      </c>
      <c r="CG169">
        <v>0</v>
      </c>
      <c r="CM169">
        <v>0</v>
      </c>
      <c r="CN169" t="s">
        <v>3</v>
      </c>
      <c r="CO169">
        <v>0</v>
      </c>
      <c r="CP169">
        <f t="shared" si="125"/>
        <v>4810.3500000000004</v>
      </c>
      <c r="CQ169">
        <f>ROUND((ROUND((AC169*1),2)*BC169),2)</f>
        <v>4810.3500000000004</v>
      </c>
      <c r="CR169">
        <f t="shared" si="147"/>
        <v>0</v>
      </c>
      <c r="CS169">
        <f t="shared" si="148"/>
        <v>0</v>
      </c>
      <c r="CT169">
        <f t="shared" si="127"/>
        <v>0</v>
      </c>
      <c r="CU169">
        <f t="shared" si="128"/>
        <v>0</v>
      </c>
      <c r="CV169">
        <f t="shared" si="129"/>
        <v>0</v>
      </c>
      <c r="CW169">
        <f t="shared" si="130"/>
        <v>0</v>
      </c>
      <c r="CX169">
        <f t="shared" si="131"/>
        <v>0</v>
      </c>
      <c r="CY169">
        <f t="shared" si="149"/>
        <v>0</v>
      </c>
      <c r="CZ169">
        <f t="shared" si="150"/>
        <v>0</v>
      </c>
      <c r="DC169" t="s">
        <v>3</v>
      </c>
      <c r="DD169" t="s">
        <v>3</v>
      </c>
      <c r="DE169" t="s">
        <v>3</v>
      </c>
      <c r="DF169" t="s">
        <v>3</v>
      </c>
      <c r="DG169" t="s">
        <v>3</v>
      </c>
      <c r="DH169" t="s">
        <v>3</v>
      </c>
      <c r="DI169" t="s">
        <v>3</v>
      </c>
      <c r="DJ169" t="s">
        <v>3</v>
      </c>
      <c r="DK169" t="s">
        <v>3</v>
      </c>
      <c r="DL169" t="s">
        <v>3</v>
      </c>
      <c r="DM169" t="s">
        <v>3</v>
      </c>
      <c r="DN169">
        <v>0</v>
      </c>
      <c r="DO169">
        <v>0</v>
      </c>
      <c r="DP169">
        <v>1</v>
      </c>
      <c r="DQ169">
        <v>1</v>
      </c>
      <c r="DU169">
        <v>1010</v>
      </c>
      <c r="DV169" t="s">
        <v>31</v>
      </c>
      <c r="DW169" t="s">
        <v>31</v>
      </c>
      <c r="DX169">
        <v>1</v>
      </c>
      <c r="DZ169" t="s">
        <v>3</v>
      </c>
      <c r="EA169" t="s">
        <v>3</v>
      </c>
      <c r="EB169" t="s">
        <v>3</v>
      </c>
      <c r="EC169" t="s">
        <v>3</v>
      </c>
      <c r="EE169">
        <v>60088638</v>
      </c>
      <c r="EF169">
        <v>130</v>
      </c>
      <c r="EG169" t="s">
        <v>32</v>
      </c>
      <c r="EH169">
        <v>0</v>
      </c>
      <c r="EI169" t="s">
        <v>3</v>
      </c>
      <c r="EJ169">
        <v>3</v>
      </c>
      <c r="EK169">
        <v>746</v>
      </c>
      <c r="EL169" t="s">
        <v>33</v>
      </c>
      <c r="EM169" t="s">
        <v>34</v>
      </c>
      <c r="EO169" t="s">
        <v>3</v>
      </c>
      <c r="EQ169">
        <v>0</v>
      </c>
      <c r="ER169">
        <v>342.13</v>
      </c>
      <c r="ES169">
        <v>342.13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FQ169">
        <v>0</v>
      </c>
      <c r="FR169">
        <f>P169</f>
        <v>4810.3500000000004</v>
      </c>
      <c r="FS169">
        <v>0</v>
      </c>
      <c r="FX169">
        <v>0</v>
      </c>
      <c r="FY169">
        <v>0</v>
      </c>
      <c r="GA169" t="s">
        <v>3</v>
      </c>
      <c r="GD169">
        <v>1</v>
      </c>
      <c r="GF169">
        <v>131400307</v>
      </c>
      <c r="GG169">
        <v>2</v>
      </c>
      <c r="GH169">
        <v>1</v>
      </c>
      <c r="GI169">
        <v>2</v>
      </c>
      <c r="GJ169">
        <v>0</v>
      </c>
      <c r="GK169">
        <v>0</v>
      </c>
      <c r="GL169">
        <f t="shared" si="132"/>
        <v>0</v>
      </c>
      <c r="GM169">
        <f t="shared" si="133"/>
        <v>4810.3500000000004</v>
      </c>
      <c r="GN169">
        <f t="shared" si="134"/>
        <v>0</v>
      </c>
      <c r="GO169">
        <f t="shared" si="135"/>
        <v>0</v>
      </c>
      <c r="GP169">
        <f t="shared" si="136"/>
        <v>0</v>
      </c>
      <c r="GR169">
        <v>0</v>
      </c>
      <c r="GS169">
        <v>3</v>
      </c>
      <c r="GT169">
        <v>0</v>
      </c>
      <c r="GU169" t="s">
        <v>3</v>
      </c>
      <c r="GV169">
        <f t="shared" si="137"/>
        <v>0</v>
      </c>
      <c r="GW169">
        <v>1</v>
      </c>
      <c r="GX169">
        <f t="shared" si="138"/>
        <v>0</v>
      </c>
      <c r="HA169">
        <v>0</v>
      </c>
      <c r="HB169">
        <v>0</v>
      </c>
      <c r="HC169">
        <f t="shared" si="139"/>
        <v>0</v>
      </c>
      <c r="HE169" t="s">
        <v>3</v>
      </c>
      <c r="HF169" t="s">
        <v>3</v>
      </c>
      <c r="HM169" t="s">
        <v>3</v>
      </c>
      <c r="HN169" t="s">
        <v>3</v>
      </c>
      <c r="HO169" t="s">
        <v>3</v>
      </c>
      <c r="HP169" t="s">
        <v>3</v>
      </c>
      <c r="HQ169" t="s">
        <v>3</v>
      </c>
      <c r="HS169">
        <v>0</v>
      </c>
      <c r="IK169">
        <v>0</v>
      </c>
    </row>
    <row r="170" spans="1:255" x14ac:dyDescent="0.2">
      <c r="A170" s="2">
        <v>17</v>
      </c>
      <c r="B170" s="2">
        <v>1</v>
      </c>
      <c r="C170" s="2"/>
      <c r="D170" s="2"/>
      <c r="E170" s="2" t="s">
        <v>237</v>
      </c>
      <c r="F170" s="2" t="s">
        <v>238</v>
      </c>
      <c r="G170" s="2" t="s">
        <v>239</v>
      </c>
      <c r="H170" s="2" t="s">
        <v>206</v>
      </c>
      <c r="I170" s="2">
        <v>1</v>
      </c>
      <c r="J170" s="2">
        <v>0</v>
      </c>
      <c r="K170" s="2">
        <v>1</v>
      </c>
      <c r="L170" s="2"/>
      <c r="M170" s="2"/>
      <c r="N170" s="2"/>
      <c r="O170" s="2">
        <f t="shared" si="114"/>
        <v>4183.2299999999996</v>
      </c>
      <c r="P170" s="2">
        <f t="shared" ref="P170:P175" si="151">ROUND((ROUND((AC170*AW170*I170),2)*BC170),2)</f>
        <v>4183.2299999999996</v>
      </c>
      <c r="Q170" s="2">
        <f t="shared" si="140"/>
        <v>0</v>
      </c>
      <c r="R170" s="2">
        <f t="shared" si="141"/>
        <v>0</v>
      </c>
      <c r="S170" s="2">
        <f t="shared" si="116"/>
        <v>0</v>
      </c>
      <c r="T170" s="2">
        <f t="shared" si="117"/>
        <v>0</v>
      </c>
      <c r="U170" s="2">
        <f t="shared" si="118"/>
        <v>0</v>
      </c>
      <c r="V170" s="2">
        <f t="shared" si="119"/>
        <v>0</v>
      </c>
      <c r="W170" s="2">
        <f t="shared" si="120"/>
        <v>0</v>
      </c>
      <c r="X170" s="2">
        <f t="shared" si="142"/>
        <v>0</v>
      </c>
      <c r="Y170" s="2">
        <f t="shared" si="143"/>
        <v>0</v>
      </c>
      <c r="Z170" s="2"/>
      <c r="AA170" s="2">
        <v>60256985</v>
      </c>
      <c r="AB170" s="2">
        <f t="shared" si="121"/>
        <v>4183.2299999999996</v>
      </c>
      <c r="AC170" s="2">
        <f t="shared" si="122"/>
        <v>4183.2299999999996</v>
      </c>
      <c r="AD170" s="2">
        <f t="shared" si="144"/>
        <v>0</v>
      </c>
      <c r="AE170" s="2">
        <f t="shared" si="145"/>
        <v>0</v>
      </c>
      <c r="AF170" s="2">
        <f t="shared" si="145"/>
        <v>0</v>
      </c>
      <c r="AG170" s="2">
        <f t="shared" si="123"/>
        <v>0</v>
      </c>
      <c r="AH170" s="2">
        <f t="shared" si="146"/>
        <v>0</v>
      </c>
      <c r="AI170" s="2">
        <f t="shared" si="146"/>
        <v>0</v>
      </c>
      <c r="AJ170" s="2">
        <f t="shared" si="124"/>
        <v>0</v>
      </c>
      <c r="AK170" s="2">
        <v>4183.2300000000005</v>
      </c>
      <c r="AL170" s="2">
        <v>4183.2300000000005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1</v>
      </c>
      <c r="AW170" s="2">
        <v>1</v>
      </c>
      <c r="AX170" s="2"/>
      <c r="AY170" s="2"/>
      <c r="AZ170" s="2">
        <v>1</v>
      </c>
      <c r="BA170" s="2">
        <v>1</v>
      </c>
      <c r="BB170" s="2">
        <v>1</v>
      </c>
      <c r="BC170" s="2">
        <v>1</v>
      </c>
      <c r="BD170" s="2" t="s">
        <v>3</v>
      </c>
      <c r="BE170" s="2" t="s">
        <v>3</v>
      </c>
      <c r="BF170" s="2" t="s">
        <v>3</v>
      </c>
      <c r="BG170" s="2" t="s">
        <v>3</v>
      </c>
      <c r="BH170" s="2">
        <v>3</v>
      </c>
      <c r="BI170" s="2">
        <v>2</v>
      </c>
      <c r="BJ170" s="2" t="s">
        <v>3</v>
      </c>
      <c r="BK170" s="2"/>
      <c r="BL170" s="2"/>
      <c r="BM170" s="2">
        <v>400002</v>
      </c>
      <c r="BN170" s="2">
        <v>0</v>
      </c>
      <c r="BO170" s="2" t="s">
        <v>3</v>
      </c>
      <c r="BP170" s="2">
        <v>0</v>
      </c>
      <c r="BQ170" s="2">
        <v>202</v>
      </c>
      <c r="BR170" s="2">
        <v>0</v>
      </c>
      <c r="BS170" s="2">
        <v>1</v>
      </c>
      <c r="BT170" s="2">
        <v>1</v>
      </c>
      <c r="BU170" s="2">
        <v>1</v>
      </c>
      <c r="BV170" s="2">
        <v>1</v>
      </c>
      <c r="BW170" s="2">
        <v>1</v>
      </c>
      <c r="BX170" s="2">
        <v>1</v>
      </c>
      <c r="BY170" s="2" t="s">
        <v>3</v>
      </c>
      <c r="BZ170" s="2">
        <v>0</v>
      </c>
      <c r="CA170" s="2">
        <v>0</v>
      </c>
      <c r="CB170" s="2" t="s">
        <v>3</v>
      </c>
      <c r="CC170" s="2"/>
      <c r="CD170" s="2"/>
      <c r="CE170" s="2">
        <v>1566</v>
      </c>
      <c r="CF170" s="2">
        <v>0</v>
      </c>
      <c r="CG170" s="2">
        <v>0</v>
      </c>
      <c r="CH170" s="2"/>
      <c r="CI170" s="2"/>
      <c r="CJ170" s="2"/>
      <c r="CK170" s="2"/>
      <c r="CL170" s="2"/>
      <c r="CM170" s="2">
        <v>0</v>
      </c>
      <c r="CN170" s="2" t="s">
        <v>3</v>
      </c>
      <c r="CO170" s="2">
        <v>0</v>
      </c>
      <c r="CP170" s="2">
        <f t="shared" si="125"/>
        <v>4183.2299999999996</v>
      </c>
      <c r="CQ170" s="2">
        <f t="shared" ref="CQ170:CQ175" si="152">ROUND((ROUND((AC170*AW170*1),2)*BC170),2)</f>
        <v>4183.2299999999996</v>
      </c>
      <c r="CR170" s="2">
        <f t="shared" si="147"/>
        <v>0</v>
      </c>
      <c r="CS170" s="2">
        <f t="shared" si="148"/>
        <v>0</v>
      </c>
      <c r="CT170" s="2">
        <f t="shared" si="127"/>
        <v>0</v>
      </c>
      <c r="CU170" s="2">
        <f t="shared" si="128"/>
        <v>0</v>
      </c>
      <c r="CV170" s="2">
        <f t="shared" si="129"/>
        <v>0</v>
      </c>
      <c r="CW170" s="2">
        <f t="shared" si="130"/>
        <v>0</v>
      </c>
      <c r="CX170" s="2">
        <f t="shared" si="131"/>
        <v>0</v>
      </c>
      <c r="CY170" s="2">
        <f t="shared" si="149"/>
        <v>0</v>
      </c>
      <c r="CZ170" s="2">
        <f t="shared" si="150"/>
        <v>0</v>
      </c>
      <c r="DA170" s="2"/>
      <c r="DB170" s="2"/>
      <c r="DC170" s="2" t="s">
        <v>3</v>
      </c>
      <c r="DD170" s="2" t="s">
        <v>3</v>
      </c>
      <c r="DE170" s="2" t="s">
        <v>3</v>
      </c>
      <c r="DF170" s="2" t="s">
        <v>3</v>
      </c>
      <c r="DG170" s="2" t="s">
        <v>3</v>
      </c>
      <c r="DH170" s="2" t="s">
        <v>3</v>
      </c>
      <c r="DI170" s="2" t="s">
        <v>3</v>
      </c>
      <c r="DJ170" s="2" t="s">
        <v>3</v>
      </c>
      <c r="DK170" s="2" t="s">
        <v>3</v>
      </c>
      <c r="DL170" s="2" t="s">
        <v>3</v>
      </c>
      <c r="DM170" s="2" t="s">
        <v>3</v>
      </c>
      <c r="DN170" s="2">
        <v>0</v>
      </c>
      <c r="DO170" s="2">
        <v>0</v>
      </c>
      <c r="DP170" s="2">
        <v>1</v>
      </c>
      <c r="DQ170" s="2">
        <v>1</v>
      </c>
      <c r="DR170" s="2"/>
      <c r="DS170" s="2"/>
      <c r="DT170" s="2"/>
      <c r="DU170" s="2">
        <v>1013</v>
      </c>
      <c r="DV170" s="2" t="s">
        <v>206</v>
      </c>
      <c r="DW170" s="2" t="s">
        <v>206</v>
      </c>
      <c r="DX170" s="2">
        <v>1</v>
      </c>
      <c r="DY170" s="2"/>
      <c r="DZ170" s="2" t="s">
        <v>3</v>
      </c>
      <c r="EA170" s="2" t="s">
        <v>3</v>
      </c>
      <c r="EB170" s="2" t="s">
        <v>3</v>
      </c>
      <c r="EC170" s="2" t="s">
        <v>3</v>
      </c>
      <c r="ED170" s="2"/>
      <c r="EE170" s="2">
        <v>60088644</v>
      </c>
      <c r="EF170" s="2">
        <v>202</v>
      </c>
      <c r="EG170" s="2" t="s">
        <v>165</v>
      </c>
      <c r="EH170" s="2">
        <v>0</v>
      </c>
      <c r="EI170" s="2" t="s">
        <v>3</v>
      </c>
      <c r="EJ170" s="2">
        <v>1</v>
      </c>
      <c r="EK170" s="2">
        <v>400002</v>
      </c>
      <c r="EL170" s="2" t="s">
        <v>166</v>
      </c>
      <c r="EM170" s="2" t="s">
        <v>165</v>
      </c>
      <c r="EN170" s="2"/>
      <c r="EO170" s="2" t="s">
        <v>3</v>
      </c>
      <c r="EP170" s="2"/>
      <c r="EQ170" s="2">
        <v>0</v>
      </c>
      <c r="ER170" s="2">
        <v>0</v>
      </c>
      <c r="ES170" s="2">
        <v>4183.2300000000005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>
        <v>0</v>
      </c>
      <c r="FR170" s="2">
        <v>0</v>
      </c>
      <c r="FS170" s="2">
        <v>0</v>
      </c>
      <c r="FT170" s="2"/>
      <c r="FU170" s="2"/>
      <c r="FV170" s="2"/>
      <c r="FW170" s="2"/>
      <c r="FX170" s="2">
        <v>0</v>
      </c>
      <c r="FY170" s="2">
        <v>0</v>
      </c>
      <c r="FZ170" s="2"/>
      <c r="GA170" s="2" t="s">
        <v>240</v>
      </c>
      <c r="GB170" s="2"/>
      <c r="GC170" s="2"/>
      <c r="GD170" s="2">
        <v>1</v>
      </c>
      <c r="GE170" s="2"/>
      <c r="GF170" s="2">
        <v>-113424443</v>
      </c>
      <c r="GG170" s="2">
        <v>2</v>
      </c>
      <c r="GH170" s="2">
        <v>4</v>
      </c>
      <c r="GI170" s="2">
        <v>-2</v>
      </c>
      <c r="GJ170" s="2">
        <v>0</v>
      </c>
      <c r="GK170" s="2">
        <v>0</v>
      </c>
      <c r="GL170" s="2">
        <f t="shared" si="132"/>
        <v>0</v>
      </c>
      <c r="GM170" s="2">
        <f t="shared" si="133"/>
        <v>4183.2299999999996</v>
      </c>
      <c r="GN170" s="2">
        <f t="shared" si="134"/>
        <v>0</v>
      </c>
      <c r="GO170" s="2">
        <f t="shared" si="135"/>
        <v>4183.2299999999996</v>
      </c>
      <c r="GP170" s="2">
        <f t="shared" si="136"/>
        <v>0</v>
      </c>
      <c r="GQ170" s="2"/>
      <c r="GR170" s="2">
        <v>0</v>
      </c>
      <c r="GS170" s="2">
        <v>2</v>
      </c>
      <c r="GT170" s="2">
        <v>0</v>
      </c>
      <c r="GU170" s="2" t="s">
        <v>3</v>
      </c>
      <c r="GV170" s="2">
        <f t="shared" si="137"/>
        <v>0</v>
      </c>
      <c r="GW170" s="2">
        <v>1</v>
      </c>
      <c r="GX170" s="2">
        <f t="shared" si="138"/>
        <v>0</v>
      </c>
      <c r="GY170" s="2"/>
      <c r="GZ170" s="2"/>
      <c r="HA170" s="2">
        <v>0</v>
      </c>
      <c r="HB170" s="2">
        <v>0</v>
      </c>
      <c r="HC170" s="2">
        <f t="shared" si="139"/>
        <v>0</v>
      </c>
      <c r="HD170" s="2"/>
      <c r="HE170" s="2" t="s">
        <v>168</v>
      </c>
      <c r="HF170" s="2" t="s">
        <v>38</v>
      </c>
      <c r="HG170" s="2"/>
      <c r="HH170" s="2"/>
      <c r="HI170" s="2"/>
      <c r="HJ170" s="2"/>
      <c r="HK170" s="2"/>
      <c r="HL170" s="2"/>
      <c r="HM170" s="2" t="s">
        <v>3</v>
      </c>
      <c r="HN170" s="2" t="s">
        <v>3</v>
      </c>
      <c r="HO170" s="2" t="s">
        <v>3</v>
      </c>
      <c r="HP170" s="2" t="s">
        <v>3</v>
      </c>
      <c r="HQ170" s="2" t="s">
        <v>3</v>
      </c>
      <c r="HR170" s="2"/>
      <c r="HS170" s="2">
        <v>0</v>
      </c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>
        <v>0</v>
      </c>
      <c r="IL170" s="2"/>
      <c r="IM170" s="2"/>
      <c r="IN170" s="2"/>
      <c r="IO170" s="2"/>
      <c r="IP170" s="2"/>
      <c r="IQ170" s="2"/>
      <c r="IR170" s="2"/>
      <c r="IS170" s="2"/>
      <c r="IT170" s="2"/>
      <c r="IU170" s="2"/>
    </row>
    <row r="171" spans="1:255" x14ac:dyDescent="0.2">
      <c r="A171">
        <v>17</v>
      </c>
      <c r="B171">
        <v>1</v>
      </c>
      <c r="E171" t="s">
        <v>237</v>
      </c>
      <c r="F171" t="s">
        <v>238</v>
      </c>
      <c r="G171" t="s">
        <v>239</v>
      </c>
      <c r="H171" t="s">
        <v>206</v>
      </c>
      <c r="I171">
        <v>1</v>
      </c>
      <c r="J171">
        <v>0</v>
      </c>
      <c r="K171">
        <v>1</v>
      </c>
      <c r="O171">
        <f t="shared" si="114"/>
        <v>41330.31</v>
      </c>
      <c r="P171">
        <f t="shared" si="151"/>
        <v>41330.31</v>
      </c>
      <c r="Q171">
        <f t="shared" si="140"/>
        <v>0</v>
      </c>
      <c r="R171">
        <f t="shared" si="141"/>
        <v>0</v>
      </c>
      <c r="S171">
        <f t="shared" si="116"/>
        <v>0</v>
      </c>
      <c r="T171">
        <f t="shared" si="117"/>
        <v>0</v>
      </c>
      <c r="U171">
        <f t="shared" si="118"/>
        <v>0</v>
      </c>
      <c r="V171">
        <f t="shared" si="119"/>
        <v>0</v>
      </c>
      <c r="W171">
        <f t="shared" si="120"/>
        <v>0</v>
      </c>
      <c r="X171">
        <f t="shared" si="142"/>
        <v>0</v>
      </c>
      <c r="Y171">
        <f t="shared" si="143"/>
        <v>0</v>
      </c>
      <c r="AA171">
        <v>60256982</v>
      </c>
      <c r="AB171">
        <f t="shared" si="121"/>
        <v>4183.2299999999996</v>
      </c>
      <c r="AC171">
        <f t="shared" si="122"/>
        <v>4183.2299999999996</v>
      </c>
      <c r="AD171">
        <f t="shared" si="144"/>
        <v>0</v>
      </c>
      <c r="AE171">
        <f t="shared" si="145"/>
        <v>0</v>
      </c>
      <c r="AF171">
        <f t="shared" si="145"/>
        <v>0</v>
      </c>
      <c r="AG171">
        <f t="shared" si="123"/>
        <v>0</v>
      </c>
      <c r="AH171">
        <f t="shared" si="146"/>
        <v>0</v>
      </c>
      <c r="AI171">
        <f t="shared" si="146"/>
        <v>0</v>
      </c>
      <c r="AJ171">
        <f t="shared" si="124"/>
        <v>0</v>
      </c>
      <c r="AK171">
        <v>4183.2300000000005</v>
      </c>
      <c r="AL171">
        <v>4183.2300000000005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1</v>
      </c>
      <c r="AZ171">
        <v>1</v>
      </c>
      <c r="BA171">
        <v>1</v>
      </c>
      <c r="BB171">
        <v>1</v>
      </c>
      <c r="BC171">
        <v>9.8800000000000008</v>
      </c>
      <c r="BD171" t="s">
        <v>3</v>
      </c>
      <c r="BE171" t="s">
        <v>3</v>
      </c>
      <c r="BF171" t="s">
        <v>3</v>
      </c>
      <c r="BG171" t="s">
        <v>3</v>
      </c>
      <c r="BH171">
        <v>3</v>
      </c>
      <c r="BI171">
        <v>2</v>
      </c>
      <c r="BJ171" t="s">
        <v>3</v>
      </c>
      <c r="BM171">
        <v>400002</v>
      </c>
      <c r="BN171">
        <v>0</v>
      </c>
      <c r="BO171" t="s">
        <v>3</v>
      </c>
      <c r="BP171">
        <v>0</v>
      </c>
      <c r="BQ171">
        <v>202</v>
      </c>
      <c r="BR171">
        <v>0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 t="s">
        <v>3</v>
      </c>
      <c r="BZ171">
        <v>0</v>
      </c>
      <c r="CA171">
        <v>0</v>
      </c>
      <c r="CB171" t="s">
        <v>3</v>
      </c>
      <c r="CE171">
        <v>1566</v>
      </c>
      <c r="CF171">
        <v>0</v>
      </c>
      <c r="CG171">
        <v>0</v>
      </c>
      <c r="CM171">
        <v>0</v>
      </c>
      <c r="CN171" t="s">
        <v>3</v>
      </c>
      <c r="CO171">
        <v>0</v>
      </c>
      <c r="CP171">
        <f t="shared" si="125"/>
        <v>41330.31</v>
      </c>
      <c r="CQ171">
        <f t="shared" si="152"/>
        <v>41330.31</v>
      </c>
      <c r="CR171">
        <f t="shared" si="147"/>
        <v>0</v>
      </c>
      <c r="CS171">
        <f t="shared" si="148"/>
        <v>0</v>
      </c>
      <c r="CT171">
        <f t="shared" si="127"/>
        <v>0</v>
      </c>
      <c r="CU171">
        <f t="shared" si="128"/>
        <v>0</v>
      </c>
      <c r="CV171">
        <f t="shared" si="129"/>
        <v>0</v>
      </c>
      <c r="CW171">
        <f t="shared" si="130"/>
        <v>0</v>
      </c>
      <c r="CX171">
        <f t="shared" si="131"/>
        <v>0</v>
      </c>
      <c r="CY171">
        <f t="shared" si="149"/>
        <v>0</v>
      </c>
      <c r="CZ171">
        <f t="shared" si="150"/>
        <v>0</v>
      </c>
      <c r="DC171" t="s">
        <v>3</v>
      </c>
      <c r="DD171" t="s">
        <v>3</v>
      </c>
      <c r="DE171" t="s">
        <v>3</v>
      </c>
      <c r="DF171" t="s">
        <v>3</v>
      </c>
      <c r="DG171" t="s">
        <v>3</v>
      </c>
      <c r="DH171" t="s">
        <v>3</v>
      </c>
      <c r="DI171" t="s">
        <v>3</v>
      </c>
      <c r="DJ171" t="s">
        <v>3</v>
      </c>
      <c r="DK171" t="s">
        <v>3</v>
      </c>
      <c r="DL171" t="s">
        <v>3</v>
      </c>
      <c r="DM171" t="s">
        <v>3</v>
      </c>
      <c r="DN171">
        <v>0</v>
      </c>
      <c r="DO171">
        <v>0</v>
      </c>
      <c r="DP171">
        <v>1</v>
      </c>
      <c r="DQ171">
        <v>1</v>
      </c>
      <c r="DU171">
        <v>1013</v>
      </c>
      <c r="DV171" t="s">
        <v>206</v>
      </c>
      <c r="DW171" t="s">
        <v>206</v>
      </c>
      <c r="DX171">
        <v>1</v>
      </c>
      <c r="DZ171" t="s">
        <v>3</v>
      </c>
      <c r="EA171" t="s">
        <v>3</v>
      </c>
      <c r="EB171" t="s">
        <v>3</v>
      </c>
      <c r="EC171" t="s">
        <v>3</v>
      </c>
      <c r="EE171">
        <v>60088644</v>
      </c>
      <c r="EF171">
        <v>202</v>
      </c>
      <c r="EG171" t="s">
        <v>165</v>
      </c>
      <c r="EH171">
        <v>0</v>
      </c>
      <c r="EI171" t="s">
        <v>3</v>
      </c>
      <c r="EJ171">
        <v>1</v>
      </c>
      <c r="EK171">
        <v>400002</v>
      </c>
      <c r="EL171" t="s">
        <v>166</v>
      </c>
      <c r="EM171" t="s">
        <v>165</v>
      </c>
      <c r="EO171" t="s">
        <v>3</v>
      </c>
      <c r="EQ171">
        <v>0</v>
      </c>
      <c r="ER171">
        <v>0</v>
      </c>
      <c r="ES171">
        <v>4183.2300000000005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5</v>
      </c>
      <c r="FC171">
        <v>1</v>
      </c>
      <c r="FD171">
        <v>18</v>
      </c>
      <c r="FF171">
        <v>48624</v>
      </c>
      <c r="FQ171">
        <v>0</v>
      </c>
      <c r="FR171">
        <v>0</v>
      </c>
      <c r="FS171">
        <v>0</v>
      </c>
      <c r="FX171">
        <v>0</v>
      </c>
      <c r="FY171">
        <v>0</v>
      </c>
      <c r="GA171" t="s">
        <v>240</v>
      </c>
      <c r="GD171">
        <v>1</v>
      </c>
      <c r="GF171">
        <v>-113424443</v>
      </c>
      <c r="GG171">
        <v>2</v>
      </c>
      <c r="GH171">
        <v>3</v>
      </c>
      <c r="GI171">
        <v>5</v>
      </c>
      <c r="GJ171">
        <v>0</v>
      </c>
      <c r="GK171">
        <v>0</v>
      </c>
      <c r="GL171">
        <f t="shared" si="132"/>
        <v>0</v>
      </c>
      <c r="GM171">
        <f t="shared" si="133"/>
        <v>41330.31</v>
      </c>
      <c r="GN171">
        <f t="shared" si="134"/>
        <v>0</v>
      </c>
      <c r="GO171">
        <f t="shared" si="135"/>
        <v>41330.31</v>
      </c>
      <c r="GP171">
        <f t="shared" si="136"/>
        <v>0</v>
      </c>
      <c r="GR171">
        <v>1</v>
      </c>
      <c r="GS171">
        <v>1</v>
      </c>
      <c r="GT171">
        <v>0</v>
      </c>
      <c r="GU171" t="s">
        <v>3</v>
      </c>
      <c r="GV171">
        <f t="shared" si="137"/>
        <v>0</v>
      </c>
      <c r="GW171">
        <v>1</v>
      </c>
      <c r="GX171">
        <f t="shared" si="138"/>
        <v>0</v>
      </c>
      <c r="HA171">
        <v>0</v>
      </c>
      <c r="HB171">
        <v>0</v>
      </c>
      <c r="HC171">
        <f t="shared" si="139"/>
        <v>0</v>
      </c>
      <c r="HE171" t="s">
        <v>168</v>
      </c>
      <c r="HF171" t="s">
        <v>38</v>
      </c>
      <c r="HM171" t="s">
        <v>3</v>
      </c>
      <c r="HN171" t="s">
        <v>3</v>
      </c>
      <c r="HO171" t="s">
        <v>3</v>
      </c>
      <c r="HP171" t="s">
        <v>3</v>
      </c>
      <c r="HQ171" t="s">
        <v>3</v>
      </c>
      <c r="HS171">
        <v>0</v>
      </c>
      <c r="IK171">
        <v>0</v>
      </c>
    </row>
    <row r="172" spans="1:255" x14ac:dyDescent="0.2">
      <c r="A172" s="2">
        <v>17</v>
      </c>
      <c r="B172" s="2">
        <v>1</v>
      </c>
      <c r="C172" s="2"/>
      <c r="D172" s="2"/>
      <c r="E172" s="2" t="s">
        <v>241</v>
      </c>
      <c r="F172" s="2" t="s">
        <v>242</v>
      </c>
      <c r="G172" s="2" t="s">
        <v>243</v>
      </c>
      <c r="H172" s="2" t="s">
        <v>206</v>
      </c>
      <c r="I172" s="2">
        <v>1</v>
      </c>
      <c r="J172" s="2">
        <v>0</v>
      </c>
      <c r="K172" s="2">
        <v>1</v>
      </c>
      <c r="L172" s="2"/>
      <c r="M172" s="2"/>
      <c r="N172" s="2"/>
      <c r="O172" s="2">
        <f t="shared" si="114"/>
        <v>249.49</v>
      </c>
      <c r="P172" s="2">
        <f t="shared" si="151"/>
        <v>249.49</v>
      </c>
      <c r="Q172" s="2">
        <f t="shared" si="140"/>
        <v>0</v>
      </c>
      <c r="R172" s="2">
        <f t="shared" si="141"/>
        <v>0</v>
      </c>
      <c r="S172" s="2">
        <f t="shared" si="116"/>
        <v>0</v>
      </c>
      <c r="T172" s="2">
        <f t="shared" si="117"/>
        <v>0</v>
      </c>
      <c r="U172" s="2">
        <f t="shared" si="118"/>
        <v>0</v>
      </c>
      <c r="V172" s="2">
        <f t="shared" si="119"/>
        <v>0</v>
      </c>
      <c r="W172" s="2">
        <f t="shared" si="120"/>
        <v>0</v>
      </c>
      <c r="X172" s="2">
        <f t="shared" si="142"/>
        <v>0</v>
      </c>
      <c r="Y172" s="2">
        <f t="shared" si="143"/>
        <v>0</v>
      </c>
      <c r="Z172" s="2"/>
      <c r="AA172" s="2">
        <v>60256985</v>
      </c>
      <c r="AB172" s="2">
        <f t="shared" si="121"/>
        <v>249.49</v>
      </c>
      <c r="AC172" s="2">
        <f t="shared" si="122"/>
        <v>249.49</v>
      </c>
      <c r="AD172" s="2">
        <f t="shared" si="144"/>
        <v>0</v>
      </c>
      <c r="AE172" s="2">
        <f t="shared" si="145"/>
        <v>0</v>
      </c>
      <c r="AF172" s="2">
        <f t="shared" si="145"/>
        <v>0</v>
      </c>
      <c r="AG172" s="2">
        <f t="shared" si="123"/>
        <v>0</v>
      </c>
      <c r="AH172" s="2">
        <f t="shared" si="146"/>
        <v>0</v>
      </c>
      <c r="AI172" s="2">
        <f t="shared" si="146"/>
        <v>0</v>
      </c>
      <c r="AJ172" s="2">
        <f t="shared" si="124"/>
        <v>0</v>
      </c>
      <c r="AK172" s="2">
        <v>249.48999999999998</v>
      </c>
      <c r="AL172" s="2">
        <v>249.48999999999998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1</v>
      </c>
      <c r="AW172" s="2">
        <v>1</v>
      </c>
      <c r="AX172" s="2"/>
      <c r="AY172" s="2"/>
      <c r="AZ172" s="2">
        <v>1</v>
      </c>
      <c r="BA172" s="2">
        <v>1</v>
      </c>
      <c r="BB172" s="2">
        <v>1</v>
      </c>
      <c r="BC172" s="2">
        <v>1</v>
      </c>
      <c r="BD172" s="2" t="s">
        <v>3</v>
      </c>
      <c r="BE172" s="2" t="s">
        <v>3</v>
      </c>
      <c r="BF172" s="2" t="s">
        <v>3</v>
      </c>
      <c r="BG172" s="2" t="s">
        <v>3</v>
      </c>
      <c r="BH172" s="2">
        <v>3</v>
      </c>
      <c r="BI172" s="2">
        <v>2</v>
      </c>
      <c r="BJ172" s="2" t="s">
        <v>3</v>
      </c>
      <c r="BK172" s="2"/>
      <c r="BL172" s="2"/>
      <c r="BM172" s="2">
        <v>400002</v>
      </c>
      <c r="BN172" s="2">
        <v>0</v>
      </c>
      <c r="BO172" s="2" t="s">
        <v>3</v>
      </c>
      <c r="BP172" s="2">
        <v>0</v>
      </c>
      <c r="BQ172" s="2">
        <v>202</v>
      </c>
      <c r="BR172" s="2">
        <v>0</v>
      </c>
      <c r="BS172" s="2">
        <v>1</v>
      </c>
      <c r="BT172" s="2">
        <v>1</v>
      </c>
      <c r="BU172" s="2">
        <v>1</v>
      </c>
      <c r="BV172" s="2">
        <v>1</v>
      </c>
      <c r="BW172" s="2">
        <v>1</v>
      </c>
      <c r="BX172" s="2">
        <v>1</v>
      </c>
      <c r="BY172" s="2" t="s">
        <v>3</v>
      </c>
      <c r="BZ172" s="2">
        <v>0</v>
      </c>
      <c r="CA172" s="2">
        <v>0</v>
      </c>
      <c r="CB172" s="2" t="s">
        <v>3</v>
      </c>
      <c r="CC172" s="2"/>
      <c r="CD172" s="2"/>
      <c r="CE172" s="2">
        <v>1566</v>
      </c>
      <c r="CF172" s="2">
        <v>0</v>
      </c>
      <c r="CG172" s="2">
        <v>0</v>
      </c>
      <c r="CH172" s="2"/>
      <c r="CI172" s="2"/>
      <c r="CJ172" s="2"/>
      <c r="CK172" s="2"/>
      <c r="CL172" s="2"/>
      <c r="CM172" s="2">
        <v>0</v>
      </c>
      <c r="CN172" s="2" t="s">
        <v>3</v>
      </c>
      <c r="CO172" s="2">
        <v>0</v>
      </c>
      <c r="CP172" s="2">
        <f t="shared" si="125"/>
        <v>249.49</v>
      </c>
      <c r="CQ172" s="2">
        <f t="shared" si="152"/>
        <v>249.49</v>
      </c>
      <c r="CR172" s="2">
        <f t="shared" si="147"/>
        <v>0</v>
      </c>
      <c r="CS172" s="2">
        <f t="shared" si="148"/>
        <v>0</v>
      </c>
      <c r="CT172" s="2">
        <f t="shared" si="127"/>
        <v>0</v>
      </c>
      <c r="CU172" s="2">
        <f t="shared" si="128"/>
        <v>0</v>
      </c>
      <c r="CV172" s="2">
        <f t="shared" si="129"/>
        <v>0</v>
      </c>
      <c r="CW172" s="2">
        <f t="shared" si="130"/>
        <v>0</v>
      </c>
      <c r="CX172" s="2">
        <f t="shared" si="131"/>
        <v>0</v>
      </c>
      <c r="CY172" s="2">
        <f t="shared" si="149"/>
        <v>0</v>
      </c>
      <c r="CZ172" s="2">
        <f t="shared" si="150"/>
        <v>0</v>
      </c>
      <c r="DA172" s="2"/>
      <c r="DB172" s="2"/>
      <c r="DC172" s="2" t="s">
        <v>3</v>
      </c>
      <c r="DD172" s="2" t="s">
        <v>3</v>
      </c>
      <c r="DE172" s="2" t="s">
        <v>3</v>
      </c>
      <c r="DF172" s="2" t="s">
        <v>3</v>
      </c>
      <c r="DG172" s="2" t="s">
        <v>3</v>
      </c>
      <c r="DH172" s="2" t="s">
        <v>3</v>
      </c>
      <c r="DI172" s="2" t="s">
        <v>3</v>
      </c>
      <c r="DJ172" s="2" t="s">
        <v>3</v>
      </c>
      <c r="DK172" s="2" t="s">
        <v>3</v>
      </c>
      <c r="DL172" s="2" t="s">
        <v>3</v>
      </c>
      <c r="DM172" s="2" t="s">
        <v>3</v>
      </c>
      <c r="DN172" s="2">
        <v>0</v>
      </c>
      <c r="DO172" s="2">
        <v>0</v>
      </c>
      <c r="DP172" s="2">
        <v>1</v>
      </c>
      <c r="DQ172" s="2">
        <v>1</v>
      </c>
      <c r="DR172" s="2"/>
      <c r="DS172" s="2"/>
      <c r="DT172" s="2"/>
      <c r="DU172" s="2">
        <v>1013</v>
      </c>
      <c r="DV172" s="2" t="s">
        <v>206</v>
      </c>
      <c r="DW172" s="2" t="s">
        <v>206</v>
      </c>
      <c r="DX172" s="2">
        <v>1</v>
      </c>
      <c r="DY172" s="2"/>
      <c r="DZ172" s="2" t="s">
        <v>3</v>
      </c>
      <c r="EA172" s="2" t="s">
        <v>3</v>
      </c>
      <c r="EB172" s="2" t="s">
        <v>3</v>
      </c>
      <c r="EC172" s="2" t="s">
        <v>3</v>
      </c>
      <c r="ED172" s="2"/>
      <c r="EE172" s="2">
        <v>60088644</v>
      </c>
      <c r="EF172" s="2">
        <v>202</v>
      </c>
      <c r="EG172" s="2" t="s">
        <v>165</v>
      </c>
      <c r="EH172" s="2">
        <v>0</v>
      </c>
      <c r="EI172" s="2" t="s">
        <v>3</v>
      </c>
      <c r="EJ172" s="2">
        <v>1</v>
      </c>
      <c r="EK172" s="2">
        <v>400002</v>
      </c>
      <c r="EL172" s="2" t="s">
        <v>166</v>
      </c>
      <c r="EM172" s="2" t="s">
        <v>165</v>
      </c>
      <c r="EN172" s="2"/>
      <c r="EO172" s="2" t="s">
        <v>3</v>
      </c>
      <c r="EP172" s="2"/>
      <c r="EQ172" s="2">
        <v>0</v>
      </c>
      <c r="ER172" s="2">
        <v>0</v>
      </c>
      <c r="ES172" s="2">
        <v>249.48999999999998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>
        <v>0</v>
      </c>
      <c r="FR172" s="2">
        <v>0</v>
      </c>
      <c r="FS172" s="2">
        <v>0</v>
      </c>
      <c r="FT172" s="2"/>
      <c r="FU172" s="2"/>
      <c r="FV172" s="2"/>
      <c r="FW172" s="2"/>
      <c r="FX172" s="2">
        <v>0</v>
      </c>
      <c r="FY172" s="2">
        <v>0</v>
      </c>
      <c r="FZ172" s="2"/>
      <c r="GA172" s="2" t="s">
        <v>244</v>
      </c>
      <c r="GB172" s="2"/>
      <c r="GC172" s="2"/>
      <c r="GD172" s="2">
        <v>1</v>
      </c>
      <c r="GE172" s="2"/>
      <c r="GF172" s="2">
        <v>-252612035</v>
      </c>
      <c r="GG172" s="2">
        <v>2</v>
      </c>
      <c r="GH172" s="2">
        <v>4</v>
      </c>
      <c r="GI172" s="2">
        <v>-2</v>
      </c>
      <c r="GJ172" s="2">
        <v>0</v>
      </c>
      <c r="GK172" s="2">
        <v>0</v>
      </c>
      <c r="GL172" s="2">
        <f t="shared" si="132"/>
        <v>0</v>
      </c>
      <c r="GM172" s="2">
        <f t="shared" si="133"/>
        <v>249.49</v>
      </c>
      <c r="GN172" s="2">
        <f t="shared" si="134"/>
        <v>0</v>
      </c>
      <c r="GO172" s="2">
        <f t="shared" si="135"/>
        <v>249.49</v>
      </c>
      <c r="GP172" s="2">
        <f t="shared" si="136"/>
        <v>0</v>
      </c>
      <c r="GQ172" s="2"/>
      <c r="GR172" s="2">
        <v>0</v>
      </c>
      <c r="GS172" s="2">
        <v>2</v>
      </c>
      <c r="GT172" s="2">
        <v>0</v>
      </c>
      <c r="GU172" s="2" t="s">
        <v>3</v>
      </c>
      <c r="GV172" s="2">
        <f t="shared" si="137"/>
        <v>0</v>
      </c>
      <c r="GW172" s="2">
        <v>1</v>
      </c>
      <c r="GX172" s="2">
        <f t="shared" si="138"/>
        <v>0</v>
      </c>
      <c r="GY172" s="2"/>
      <c r="GZ172" s="2"/>
      <c r="HA172" s="2">
        <v>0</v>
      </c>
      <c r="HB172" s="2">
        <v>0</v>
      </c>
      <c r="HC172" s="2">
        <f t="shared" si="139"/>
        <v>0</v>
      </c>
      <c r="HD172" s="2"/>
      <c r="HE172" s="2" t="s">
        <v>168</v>
      </c>
      <c r="HF172" s="2" t="s">
        <v>38</v>
      </c>
      <c r="HG172" s="2"/>
      <c r="HH172" s="2"/>
      <c r="HI172" s="2"/>
      <c r="HJ172" s="2"/>
      <c r="HK172" s="2"/>
      <c r="HL172" s="2"/>
      <c r="HM172" s="2" t="s">
        <v>3</v>
      </c>
      <c r="HN172" s="2" t="s">
        <v>3</v>
      </c>
      <c r="HO172" s="2" t="s">
        <v>3</v>
      </c>
      <c r="HP172" s="2" t="s">
        <v>3</v>
      </c>
      <c r="HQ172" s="2" t="s">
        <v>3</v>
      </c>
      <c r="HR172" s="2"/>
      <c r="HS172" s="2">
        <v>0</v>
      </c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>
        <v>0</v>
      </c>
      <c r="IL172" s="2"/>
      <c r="IM172" s="2"/>
      <c r="IN172" s="2"/>
      <c r="IO172" s="2"/>
      <c r="IP172" s="2"/>
      <c r="IQ172" s="2"/>
      <c r="IR172" s="2"/>
      <c r="IS172" s="2"/>
      <c r="IT172" s="2"/>
      <c r="IU172" s="2"/>
    </row>
    <row r="173" spans="1:255" x14ac:dyDescent="0.2">
      <c r="A173">
        <v>17</v>
      </c>
      <c r="B173">
        <v>1</v>
      </c>
      <c r="E173" t="s">
        <v>241</v>
      </c>
      <c r="F173" t="s">
        <v>242</v>
      </c>
      <c r="G173" t="s">
        <v>243</v>
      </c>
      <c r="H173" t="s">
        <v>206</v>
      </c>
      <c r="I173">
        <v>1</v>
      </c>
      <c r="J173">
        <v>0</v>
      </c>
      <c r="K173">
        <v>1</v>
      </c>
      <c r="O173">
        <f t="shared" si="114"/>
        <v>2464.96</v>
      </c>
      <c r="P173">
        <f t="shared" si="151"/>
        <v>2464.96</v>
      </c>
      <c r="Q173">
        <f t="shared" si="140"/>
        <v>0</v>
      </c>
      <c r="R173">
        <f t="shared" si="141"/>
        <v>0</v>
      </c>
      <c r="S173">
        <f t="shared" si="116"/>
        <v>0</v>
      </c>
      <c r="T173">
        <f t="shared" si="117"/>
        <v>0</v>
      </c>
      <c r="U173">
        <f t="shared" si="118"/>
        <v>0</v>
      </c>
      <c r="V173">
        <f t="shared" si="119"/>
        <v>0</v>
      </c>
      <c r="W173">
        <f t="shared" si="120"/>
        <v>0</v>
      </c>
      <c r="X173">
        <f t="shared" si="142"/>
        <v>0</v>
      </c>
      <c r="Y173">
        <f t="shared" si="143"/>
        <v>0</v>
      </c>
      <c r="AA173">
        <v>60256982</v>
      </c>
      <c r="AB173">
        <f t="shared" si="121"/>
        <v>249.49</v>
      </c>
      <c r="AC173">
        <f t="shared" si="122"/>
        <v>249.49</v>
      </c>
      <c r="AD173">
        <f t="shared" si="144"/>
        <v>0</v>
      </c>
      <c r="AE173">
        <f t="shared" si="145"/>
        <v>0</v>
      </c>
      <c r="AF173">
        <f t="shared" si="145"/>
        <v>0</v>
      </c>
      <c r="AG173">
        <f t="shared" si="123"/>
        <v>0</v>
      </c>
      <c r="AH173">
        <f t="shared" si="146"/>
        <v>0</v>
      </c>
      <c r="AI173">
        <f t="shared" si="146"/>
        <v>0</v>
      </c>
      <c r="AJ173">
        <f t="shared" si="124"/>
        <v>0</v>
      </c>
      <c r="AK173">
        <v>249.48999999999998</v>
      </c>
      <c r="AL173">
        <v>249.48999999999998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1</v>
      </c>
      <c r="AZ173">
        <v>1</v>
      </c>
      <c r="BA173">
        <v>1</v>
      </c>
      <c r="BB173">
        <v>1</v>
      </c>
      <c r="BC173">
        <v>9.8800000000000008</v>
      </c>
      <c r="BD173" t="s">
        <v>3</v>
      </c>
      <c r="BE173" t="s">
        <v>3</v>
      </c>
      <c r="BF173" t="s">
        <v>3</v>
      </c>
      <c r="BG173" t="s">
        <v>3</v>
      </c>
      <c r="BH173">
        <v>3</v>
      </c>
      <c r="BI173">
        <v>2</v>
      </c>
      <c r="BJ173" t="s">
        <v>3</v>
      </c>
      <c r="BM173">
        <v>400002</v>
      </c>
      <c r="BN173">
        <v>0</v>
      </c>
      <c r="BO173" t="s">
        <v>3</v>
      </c>
      <c r="BP173">
        <v>0</v>
      </c>
      <c r="BQ173">
        <v>202</v>
      </c>
      <c r="BR173">
        <v>0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 t="s">
        <v>3</v>
      </c>
      <c r="BZ173">
        <v>0</v>
      </c>
      <c r="CA173">
        <v>0</v>
      </c>
      <c r="CB173" t="s">
        <v>3</v>
      </c>
      <c r="CE173">
        <v>1566</v>
      </c>
      <c r="CF173">
        <v>0</v>
      </c>
      <c r="CG173">
        <v>0</v>
      </c>
      <c r="CM173">
        <v>0</v>
      </c>
      <c r="CN173" t="s">
        <v>3</v>
      </c>
      <c r="CO173">
        <v>0</v>
      </c>
      <c r="CP173">
        <f t="shared" si="125"/>
        <v>2464.96</v>
      </c>
      <c r="CQ173">
        <f t="shared" si="152"/>
        <v>2464.96</v>
      </c>
      <c r="CR173">
        <f t="shared" si="147"/>
        <v>0</v>
      </c>
      <c r="CS173">
        <f t="shared" si="148"/>
        <v>0</v>
      </c>
      <c r="CT173">
        <f t="shared" si="127"/>
        <v>0</v>
      </c>
      <c r="CU173">
        <f t="shared" si="128"/>
        <v>0</v>
      </c>
      <c r="CV173">
        <f t="shared" si="129"/>
        <v>0</v>
      </c>
      <c r="CW173">
        <f t="shared" si="130"/>
        <v>0</v>
      </c>
      <c r="CX173">
        <f t="shared" si="131"/>
        <v>0</v>
      </c>
      <c r="CY173">
        <f t="shared" si="149"/>
        <v>0</v>
      </c>
      <c r="CZ173">
        <f t="shared" si="150"/>
        <v>0</v>
      </c>
      <c r="DC173" t="s">
        <v>3</v>
      </c>
      <c r="DD173" t="s">
        <v>3</v>
      </c>
      <c r="DE173" t="s">
        <v>3</v>
      </c>
      <c r="DF173" t="s">
        <v>3</v>
      </c>
      <c r="DG173" t="s">
        <v>3</v>
      </c>
      <c r="DH173" t="s">
        <v>3</v>
      </c>
      <c r="DI173" t="s">
        <v>3</v>
      </c>
      <c r="DJ173" t="s">
        <v>3</v>
      </c>
      <c r="DK173" t="s">
        <v>3</v>
      </c>
      <c r="DL173" t="s">
        <v>3</v>
      </c>
      <c r="DM173" t="s">
        <v>3</v>
      </c>
      <c r="DN173">
        <v>0</v>
      </c>
      <c r="DO173">
        <v>0</v>
      </c>
      <c r="DP173">
        <v>1</v>
      </c>
      <c r="DQ173">
        <v>1</v>
      </c>
      <c r="DU173">
        <v>1013</v>
      </c>
      <c r="DV173" t="s">
        <v>206</v>
      </c>
      <c r="DW173" t="s">
        <v>206</v>
      </c>
      <c r="DX173">
        <v>1</v>
      </c>
      <c r="DZ173" t="s">
        <v>3</v>
      </c>
      <c r="EA173" t="s">
        <v>3</v>
      </c>
      <c r="EB173" t="s">
        <v>3</v>
      </c>
      <c r="EC173" t="s">
        <v>3</v>
      </c>
      <c r="EE173">
        <v>60088644</v>
      </c>
      <c r="EF173">
        <v>202</v>
      </c>
      <c r="EG173" t="s">
        <v>165</v>
      </c>
      <c r="EH173">
        <v>0</v>
      </c>
      <c r="EI173" t="s">
        <v>3</v>
      </c>
      <c r="EJ173">
        <v>1</v>
      </c>
      <c r="EK173">
        <v>400002</v>
      </c>
      <c r="EL173" t="s">
        <v>166</v>
      </c>
      <c r="EM173" t="s">
        <v>165</v>
      </c>
      <c r="EO173" t="s">
        <v>3</v>
      </c>
      <c r="EQ173">
        <v>0</v>
      </c>
      <c r="ER173">
        <v>0</v>
      </c>
      <c r="ES173">
        <v>249.48999999999998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5</v>
      </c>
      <c r="FC173">
        <v>1</v>
      </c>
      <c r="FD173">
        <v>18</v>
      </c>
      <c r="FF173">
        <v>2900</v>
      </c>
      <c r="FQ173">
        <v>0</v>
      </c>
      <c r="FR173">
        <v>0</v>
      </c>
      <c r="FS173">
        <v>0</v>
      </c>
      <c r="FX173">
        <v>0</v>
      </c>
      <c r="FY173">
        <v>0</v>
      </c>
      <c r="GA173" t="s">
        <v>244</v>
      </c>
      <c r="GD173">
        <v>1</v>
      </c>
      <c r="GF173">
        <v>-252612035</v>
      </c>
      <c r="GG173">
        <v>2</v>
      </c>
      <c r="GH173">
        <v>3</v>
      </c>
      <c r="GI173">
        <v>5</v>
      </c>
      <c r="GJ173">
        <v>0</v>
      </c>
      <c r="GK173">
        <v>0</v>
      </c>
      <c r="GL173">
        <f t="shared" si="132"/>
        <v>0</v>
      </c>
      <c r="GM173">
        <f t="shared" si="133"/>
        <v>2464.96</v>
      </c>
      <c r="GN173">
        <f t="shared" si="134"/>
        <v>0</v>
      </c>
      <c r="GO173">
        <f t="shared" si="135"/>
        <v>2464.96</v>
      </c>
      <c r="GP173">
        <f t="shared" si="136"/>
        <v>0</v>
      </c>
      <c r="GR173">
        <v>1</v>
      </c>
      <c r="GS173">
        <v>1</v>
      </c>
      <c r="GT173">
        <v>0</v>
      </c>
      <c r="GU173" t="s">
        <v>3</v>
      </c>
      <c r="GV173">
        <f t="shared" si="137"/>
        <v>0</v>
      </c>
      <c r="GW173">
        <v>1</v>
      </c>
      <c r="GX173">
        <f t="shared" si="138"/>
        <v>0</v>
      </c>
      <c r="HA173">
        <v>0</v>
      </c>
      <c r="HB173">
        <v>0</v>
      </c>
      <c r="HC173">
        <f t="shared" si="139"/>
        <v>0</v>
      </c>
      <c r="HE173" t="s">
        <v>168</v>
      </c>
      <c r="HF173" t="s">
        <v>38</v>
      </c>
      <c r="HM173" t="s">
        <v>3</v>
      </c>
      <c r="HN173" t="s">
        <v>3</v>
      </c>
      <c r="HO173" t="s">
        <v>3</v>
      </c>
      <c r="HP173" t="s">
        <v>3</v>
      </c>
      <c r="HQ173" t="s">
        <v>3</v>
      </c>
      <c r="HS173">
        <v>0</v>
      </c>
      <c r="IK173">
        <v>0</v>
      </c>
    </row>
    <row r="174" spans="1:255" x14ac:dyDescent="0.2">
      <c r="A174" s="2">
        <v>17</v>
      </c>
      <c r="B174" s="2">
        <v>1</v>
      </c>
      <c r="C174" s="2">
        <f>ROW(SmtRes!A192)</f>
        <v>192</v>
      </c>
      <c r="D174" s="2">
        <f>ROW(EtalonRes!A201)</f>
        <v>201</v>
      </c>
      <c r="E174" s="2" t="s">
        <v>245</v>
      </c>
      <c r="F174" s="2" t="s">
        <v>246</v>
      </c>
      <c r="G174" s="2" t="s">
        <v>247</v>
      </c>
      <c r="H174" s="2" t="s">
        <v>248</v>
      </c>
      <c r="I174" s="2">
        <v>1</v>
      </c>
      <c r="J174" s="2">
        <v>0</v>
      </c>
      <c r="K174" s="2">
        <v>1</v>
      </c>
      <c r="L174" s="2"/>
      <c r="M174" s="2"/>
      <c r="N174" s="2"/>
      <c r="O174" s="2">
        <f t="shared" si="114"/>
        <v>86.21</v>
      </c>
      <c r="P174" s="2">
        <f t="shared" si="151"/>
        <v>42.61</v>
      </c>
      <c r="Q174" s="2">
        <f>(ROUND((ROUND((((ET174*1.1))*AV174*I174),2)*BB174),2)+ROUND((ROUND(((AE174-((EU174*1.1)))*AV174*I174),2)*BS174),2))</f>
        <v>0</v>
      </c>
      <c r="R174" s="2">
        <f>(ROUND((ROUND((((EU174*1.1))*AV174*I174),2)*BS174),2)+ROUND((ROUND(((AE174-((EU174*1.1)))*AV174*I174),2)*BS174),2))</f>
        <v>0</v>
      </c>
      <c r="S174" s="2">
        <f t="shared" si="116"/>
        <v>43.6</v>
      </c>
      <c r="T174" s="2">
        <f t="shared" si="117"/>
        <v>0</v>
      </c>
      <c r="U174" s="2">
        <f t="shared" si="118"/>
        <v>3.4550999999999998</v>
      </c>
      <c r="V174" s="2">
        <f t="shared" si="119"/>
        <v>0</v>
      </c>
      <c r="W174" s="2">
        <f t="shared" si="120"/>
        <v>0</v>
      </c>
      <c r="X174" s="2">
        <f>(ROUND((((S174+ROUND((ROUND((((EU174*1.1))*AV174*I174),2)*BS174),2))*AT174)/100),2)+ROUND(((ROUND((ROUND(((AE174-((EU174*1.1)))*AV174*I174),2)*BS174),2)*AT174)/100),2))</f>
        <v>39.24</v>
      </c>
      <c r="Y174" s="2">
        <f>(ROUND((((S174+ROUND((ROUND((((EU174*1.1))*AV174*I174),2)*BS174),2))*AU174)/100),2)+ROUND(((ROUND((ROUND(((AE174-((EU174*1.1)))*AV174*I174),2)*BS174),2)*AU174)/100),2))</f>
        <v>20.059999999999999</v>
      </c>
      <c r="Z174" s="2"/>
      <c r="AA174" s="2">
        <v>60256985</v>
      </c>
      <c r="AB174" s="2">
        <f t="shared" si="121"/>
        <v>84.256</v>
      </c>
      <c r="AC174" s="2">
        <f t="shared" si="122"/>
        <v>42.61</v>
      </c>
      <c r="AD174" s="2">
        <f>ROUND(((((ET174*1.1))-((EU174*1.1)))+AE174),6)</f>
        <v>0</v>
      </c>
      <c r="AE174" s="2">
        <f>ROUND(((EU174*1.1)),6)</f>
        <v>0</v>
      </c>
      <c r="AF174" s="2">
        <f>ROUND(((EV174*1.1)),6)</f>
        <v>41.646000000000001</v>
      </c>
      <c r="AG174" s="2">
        <f t="shared" si="123"/>
        <v>0</v>
      </c>
      <c r="AH174" s="2">
        <f>((EW174*1.1))</f>
        <v>3.3000000000000003</v>
      </c>
      <c r="AI174" s="2">
        <f>((EX174*1.1))</f>
        <v>0</v>
      </c>
      <c r="AJ174" s="2">
        <f t="shared" si="124"/>
        <v>0</v>
      </c>
      <c r="AK174" s="2">
        <v>80.47</v>
      </c>
      <c r="AL174" s="2">
        <v>42.61</v>
      </c>
      <c r="AM174" s="2">
        <v>0</v>
      </c>
      <c r="AN174" s="2">
        <v>0</v>
      </c>
      <c r="AO174" s="2">
        <v>37.86</v>
      </c>
      <c r="AP174" s="2">
        <v>0</v>
      </c>
      <c r="AQ174" s="2">
        <v>3</v>
      </c>
      <c r="AR174" s="2">
        <v>0</v>
      </c>
      <c r="AS174" s="2">
        <v>0</v>
      </c>
      <c r="AT174" s="2">
        <v>90</v>
      </c>
      <c r="AU174" s="2">
        <v>46</v>
      </c>
      <c r="AV174" s="2">
        <v>1.0469999999999999</v>
      </c>
      <c r="AW174" s="2">
        <v>1</v>
      </c>
      <c r="AX174" s="2"/>
      <c r="AY174" s="2"/>
      <c r="AZ174" s="2">
        <v>1</v>
      </c>
      <c r="BA174" s="2">
        <v>1</v>
      </c>
      <c r="BB174" s="2">
        <v>1</v>
      </c>
      <c r="BC174" s="2">
        <v>1</v>
      </c>
      <c r="BD174" s="2" t="s">
        <v>3</v>
      </c>
      <c r="BE174" s="2" t="s">
        <v>3</v>
      </c>
      <c r="BF174" s="2" t="s">
        <v>3</v>
      </c>
      <c r="BG174" s="2" t="s">
        <v>3</v>
      </c>
      <c r="BH174" s="2">
        <v>0</v>
      </c>
      <c r="BI174" s="2">
        <v>2</v>
      </c>
      <c r="BJ174" s="2" t="s">
        <v>249</v>
      </c>
      <c r="BK174" s="2"/>
      <c r="BL174" s="2"/>
      <c r="BM174" s="2">
        <v>68</v>
      </c>
      <c r="BN174" s="2">
        <v>58973116</v>
      </c>
      <c r="BO174" s="2" t="s">
        <v>246</v>
      </c>
      <c r="BP174" s="2">
        <v>1</v>
      </c>
      <c r="BQ174" s="2">
        <v>40</v>
      </c>
      <c r="BR174" s="2">
        <v>0</v>
      </c>
      <c r="BS174" s="2">
        <v>1</v>
      </c>
      <c r="BT174" s="2">
        <v>1</v>
      </c>
      <c r="BU174" s="2">
        <v>1</v>
      </c>
      <c r="BV174" s="2">
        <v>1</v>
      </c>
      <c r="BW174" s="2">
        <v>1</v>
      </c>
      <c r="BX174" s="2">
        <v>1</v>
      </c>
      <c r="BY174" s="2" t="s">
        <v>3</v>
      </c>
      <c r="BZ174" s="2">
        <v>90</v>
      </c>
      <c r="CA174" s="2">
        <v>46</v>
      </c>
      <c r="CB174" s="2" t="s">
        <v>3</v>
      </c>
      <c r="CC174" s="2"/>
      <c r="CD174" s="2"/>
      <c r="CE174" s="2">
        <v>1566</v>
      </c>
      <c r="CF174" s="2">
        <v>0</v>
      </c>
      <c r="CG174" s="2">
        <v>0</v>
      </c>
      <c r="CH174" s="2"/>
      <c r="CI174" s="2"/>
      <c r="CJ174" s="2"/>
      <c r="CK174" s="2"/>
      <c r="CL174" s="2"/>
      <c r="CM174" s="2">
        <v>0</v>
      </c>
      <c r="CN174" s="2" t="s">
        <v>474</v>
      </c>
      <c r="CO174" s="2">
        <v>0</v>
      </c>
      <c r="CP174" s="2">
        <f t="shared" si="125"/>
        <v>86.210000000000008</v>
      </c>
      <c r="CQ174" s="2">
        <f t="shared" si="152"/>
        <v>42.61</v>
      </c>
      <c r="CR174" s="2">
        <f>(ROUND((ROUND((((ET174*1.1))*AV174*1),2)*BB174),2)+ROUND((ROUND(((AE174-((EU174*1.1)))*AV174*1),2)*BS174),2))</f>
        <v>0</v>
      </c>
      <c r="CS174" s="2">
        <f>(ROUND((ROUND((((EU174*1.1))*AV174*1),2)*BS174),2)+ROUND((ROUND(((AE174-((EU174*1.1)))*AV174*1),2)*BS174),2))</f>
        <v>0</v>
      </c>
      <c r="CT174" s="2">
        <f t="shared" si="127"/>
        <v>43.6</v>
      </c>
      <c r="CU174" s="2">
        <f t="shared" si="128"/>
        <v>0</v>
      </c>
      <c r="CV174" s="2">
        <f t="shared" si="129"/>
        <v>3.4550999999999998</v>
      </c>
      <c r="CW174" s="2">
        <f t="shared" si="130"/>
        <v>0</v>
      </c>
      <c r="CX174" s="2">
        <f t="shared" si="131"/>
        <v>0</v>
      </c>
      <c r="CY174" s="2">
        <f>(ROUND((((S174+ROUND((ROUND((((EU174*1.1))*AV174*1),2)*BS174),2))*AT174)/100),2)+ROUND(((ROUND((ROUND(((AE174-((EU174*1.1)))*AV174*1),2)*BS174),2)*AT174)/100),2))</f>
        <v>39.24</v>
      </c>
      <c r="CZ174" s="2">
        <f>(ROUND((((S174+ROUND((ROUND((((EU174*1.1))*AV174*1),2)*BS174),2))*AU174)/100),2)+ROUND(((ROUND((ROUND(((AE174-((EU174*1.1)))*AV174*1),2)*BS174),2)*AU174)/100),2))</f>
        <v>20.059999999999999</v>
      </c>
      <c r="DA174" s="2"/>
      <c r="DB174" s="2">
        <v>29</v>
      </c>
      <c r="DC174" s="2" t="s">
        <v>3</v>
      </c>
      <c r="DD174" s="2" t="s">
        <v>3</v>
      </c>
      <c r="DE174" s="2" t="s">
        <v>23</v>
      </c>
      <c r="DF174" s="2" t="s">
        <v>23</v>
      </c>
      <c r="DG174" s="2" t="s">
        <v>23</v>
      </c>
      <c r="DH174" s="2" t="s">
        <v>3</v>
      </c>
      <c r="DI174" s="2" t="s">
        <v>23</v>
      </c>
      <c r="DJ174" s="2" t="s">
        <v>23</v>
      </c>
      <c r="DK174" s="2" t="s">
        <v>3</v>
      </c>
      <c r="DL174" s="2" t="s">
        <v>3</v>
      </c>
      <c r="DM174" s="2" t="s">
        <v>3</v>
      </c>
      <c r="DN174" s="2">
        <v>0</v>
      </c>
      <c r="DO174" s="2">
        <v>0</v>
      </c>
      <c r="DP174" s="2">
        <v>1</v>
      </c>
      <c r="DQ174" s="2">
        <v>1</v>
      </c>
      <c r="DR174" s="2"/>
      <c r="DS174" s="2"/>
      <c r="DT174" s="2"/>
      <c r="DU174" s="2">
        <v>1013</v>
      </c>
      <c r="DV174" s="2" t="s">
        <v>248</v>
      </c>
      <c r="DW174" s="2" t="s">
        <v>248</v>
      </c>
      <c r="DX174" s="2">
        <v>1</v>
      </c>
      <c r="DY174" s="2"/>
      <c r="DZ174" s="2" t="s">
        <v>3</v>
      </c>
      <c r="EA174" s="2" t="s">
        <v>3</v>
      </c>
      <c r="EB174" s="2" t="s">
        <v>3</v>
      </c>
      <c r="EC174" s="2" t="s">
        <v>3</v>
      </c>
      <c r="ED174" s="2"/>
      <c r="EE174" s="2">
        <v>60088532</v>
      </c>
      <c r="EF174" s="2">
        <v>40</v>
      </c>
      <c r="EG174" s="2" t="s">
        <v>24</v>
      </c>
      <c r="EH174" s="2">
        <v>0</v>
      </c>
      <c r="EI174" s="2" t="s">
        <v>3</v>
      </c>
      <c r="EJ174" s="2">
        <v>2</v>
      </c>
      <c r="EK174" s="2">
        <v>68</v>
      </c>
      <c r="EL174" s="2" t="s">
        <v>201</v>
      </c>
      <c r="EM174" s="2" t="s">
        <v>202</v>
      </c>
      <c r="EN174" s="2"/>
      <c r="EO174" s="2" t="s">
        <v>27</v>
      </c>
      <c r="EP174" s="2"/>
      <c r="EQ174" s="2">
        <v>0</v>
      </c>
      <c r="ER174" s="2">
        <v>80.47</v>
      </c>
      <c r="ES174" s="2">
        <v>42.61</v>
      </c>
      <c r="ET174" s="2">
        <v>0</v>
      </c>
      <c r="EU174" s="2">
        <v>0</v>
      </c>
      <c r="EV174" s="2">
        <v>37.86</v>
      </c>
      <c r="EW174" s="2">
        <v>3</v>
      </c>
      <c r="EX174" s="2">
        <v>0</v>
      </c>
      <c r="EY174" s="2">
        <v>0</v>
      </c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>
        <v>0</v>
      </c>
      <c r="FR174" s="2">
        <v>0</v>
      </c>
      <c r="FS174" s="2">
        <v>0</v>
      </c>
      <c r="FT174" s="2"/>
      <c r="FU174" s="2"/>
      <c r="FV174" s="2"/>
      <c r="FW174" s="2"/>
      <c r="FX174" s="2">
        <v>90</v>
      </c>
      <c r="FY174" s="2">
        <v>46</v>
      </c>
      <c r="FZ174" s="2"/>
      <c r="GA174" s="2" t="s">
        <v>3</v>
      </c>
      <c r="GB174" s="2"/>
      <c r="GC174" s="2"/>
      <c r="GD174" s="2">
        <v>1</v>
      </c>
      <c r="GE174" s="2"/>
      <c r="GF174" s="2">
        <v>-644758659</v>
      </c>
      <c r="GG174" s="2">
        <v>2</v>
      </c>
      <c r="GH174" s="2">
        <v>1</v>
      </c>
      <c r="GI174" s="2">
        <v>2</v>
      </c>
      <c r="GJ174" s="2">
        <v>0</v>
      </c>
      <c r="GK174" s="2">
        <v>0</v>
      </c>
      <c r="GL174" s="2">
        <f t="shared" si="132"/>
        <v>0</v>
      </c>
      <c r="GM174" s="2">
        <f t="shared" si="133"/>
        <v>145.51</v>
      </c>
      <c r="GN174" s="2">
        <f t="shared" si="134"/>
        <v>0</v>
      </c>
      <c r="GO174" s="2">
        <f t="shared" si="135"/>
        <v>145.51</v>
      </c>
      <c r="GP174" s="2">
        <f t="shared" si="136"/>
        <v>0</v>
      </c>
      <c r="GQ174" s="2"/>
      <c r="GR174" s="2">
        <v>0</v>
      </c>
      <c r="GS174" s="2">
        <v>3</v>
      </c>
      <c r="GT174" s="2">
        <v>0</v>
      </c>
      <c r="GU174" s="2" t="s">
        <v>3</v>
      </c>
      <c r="GV174" s="2">
        <f t="shared" si="137"/>
        <v>0</v>
      </c>
      <c r="GW174" s="2">
        <v>1</v>
      </c>
      <c r="GX174" s="2">
        <f t="shared" si="138"/>
        <v>0</v>
      </c>
      <c r="GY174" s="2"/>
      <c r="GZ174" s="2"/>
      <c r="HA174" s="2">
        <v>0</v>
      </c>
      <c r="HB174" s="2">
        <v>0</v>
      </c>
      <c r="HC174" s="2">
        <f t="shared" si="139"/>
        <v>0</v>
      </c>
      <c r="HD174" s="2"/>
      <c r="HE174" s="2" t="s">
        <v>3</v>
      </c>
      <c r="HF174" s="2" t="s">
        <v>3</v>
      </c>
      <c r="HG174" s="2"/>
      <c r="HH174" s="2"/>
      <c r="HI174" s="2"/>
      <c r="HJ174" s="2"/>
      <c r="HK174" s="2"/>
      <c r="HL174" s="2"/>
      <c r="HM174" s="2" t="s">
        <v>3</v>
      </c>
      <c r="HN174" s="2" t="s">
        <v>3</v>
      </c>
      <c r="HO174" s="2" t="s">
        <v>3</v>
      </c>
      <c r="HP174" s="2" t="s">
        <v>3</v>
      </c>
      <c r="HQ174" s="2" t="s">
        <v>3</v>
      </c>
      <c r="HR174" s="2"/>
      <c r="HS174" s="2">
        <v>0</v>
      </c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>
        <v>0</v>
      </c>
      <c r="IL174" s="2"/>
      <c r="IM174" s="2"/>
      <c r="IN174" s="2"/>
      <c r="IO174" s="2"/>
      <c r="IP174" s="2"/>
      <c r="IQ174" s="2"/>
      <c r="IR174" s="2"/>
      <c r="IS174" s="2"/>
      <c r="IT174" s="2"/>
      <c r="IU174" s="2"/>
    </row>
    <row r="175" spans="1:255" x14ac:dyDescent="0.2">
      <c r="A175">
        <v>17</v>
      </c>
      <c r="B175">
        <v>1</v>
      </c>
      <c r="C175">
        <f>ROW(SmtRes!A208)</f>
        <v>208</v>
      </c>
      <c r="D175">
        <f>ROW(EtalonRes!A218)</f>
        <v>218</v>
      </c>
      <c r="E175" t="s">
        <v>245</v>
      </c>
      <c r="F175" t="s">
        <v>246</v>
      </c>
      <c r="G175" t="s">
        <v>247</v>
      </c>
      <c r="H175" t="s">
        <v>248</v>
      </c>
      <c r="I175">
        <v>1</v>
      </c>
      <c r="J175">
        <v>0</v>
      </c>
      <c r="K175">
        <v>1</v>
      </c>
      <c r="O175">
        <f t="shared" si="114"/>
        <v>2625.52</v>
      </c>
      <c r="P175">
        <f t="shared" si="151"/>
        <v>227.96</v>
      </c>
      <c r="Q175">
        <f>(ROUND((ROUND((((ET175*1.1))*AV175*I175),2)*BB175),2)+ROUND((ROUND(((AE175-((EU175*1.1)))*AV175*I175),2)*BS175),2))</f>
        <v>0</v>
      </c>
      <c r="R175">
        <f>(ROUND((ROUND((((EU175*1.1))*AV175*I175),2)*BS175),2)+ROUND((ROUND(((AE175-((EU175*1.1)))*AV175*I175),2)*BS175),2))</f>
        <v>0</v>
      </c>
      <c r="S175">
        <f t="shared" si="116"/>
        <v>2397.56</v>
      </c>
      <c r="T175">
        <f t="shared" si="117"/>
        <v>0</v>
      </c>
      <c r="U175">
        <f t="shared" si="118"/>
        <v>3.4550999999999998</v>
      </c>
      <c r="V175">
        <f t="shared" si="119"/>
        <v>0</v>
      </c>
      <c r="W175">
        <f t="shared" si="120"/>
        <v>0</v>
      </c>
      <c r="X175">
        <f>(ROUND((((S175+ROUND((ROUND((((EU175*1.1))*AV175*I175),2)*BS175),2))*AT175)/100),2)+ROUND(((ROUND((ROUND(((AE175-((EU175*1.1)))*AV175*I175),2)*BS175),2)*AT175)/100),2))</f>
        <v>2157.8000000000002</v>
      </c>
      <c r="Y175">
        <f>(ROUND((((S175+ROUND((ROUND((((EU175*1.1))*AV175*I175),2)*BS175),2))*AU175)/100),2)+ROUND(((ROUND((ROUND(((AE175-((EU175*1.1)))*AV175*I175),2)*BS175),2)*AU175)/100),2))</f>
        <v>1102.8800000000001</v>
      </c>
      <c r="AA175">
        <v>60256982</v>
      </c>
      <c r="AB175">
        <f t="shared" si="121"/>
        <v>84.256</v>
      </c>
      <c r="AC175">
        <f t="shared" si="122"/>
        <v>42.61</v>
      </c>
      <c r="AD175">
        <f>ROUND(((((ET175*1.1))-((EU175*1.1)))+AE175),6)</f>
        <v>0</v>
      </c>
      <c r="AE175">
        <f>ROUND(((EU175*1.1)),6)</f>
        <v>0</v>
      </c>
      <c r="AF175">
        <f>ROUND(((EV175*1.1)),6)</f>
        <v>41.646000000000001</v>
      </c>
      <c r="AG175">
        <f t="shared" si="123"/>
        <v>0</v>
      </c>
      <c r="AH175">
        <f>((EW175*1.1))</f>
        <v>3.3000000000000003</v>
      </c>
      <c r="AI175">
        <f>((EX175*1.1))</f>
        <v>0</v>
      </c>
      <c r="AJ175">
        <f t="shared" si="124"/>
        <v>0</v>
      </c>
      <c r="AK175">
        <v>80.47</v>
      </c>
      <c r="AL175">
        <v>42.61</v>
      </c>
      <c r="AM175">
        <v>0</v>
      </c>
      <c r="AN175">
        <v>0</v>
      </c>
      <c r="AO175">
        <v>37.86</v>
      </c>
      <c r="AP175">
        <v>0</v>
      </c>
      <c r="AQ175">
        <v>3</v>
      </c>
      <c r="AR175">
        <v>0</v>
      </c>
      <c r="AS175">
        <v>0</v>
      </c>
      <c r="AT175">
        <v>90</v>
      </c>
      <c r="AU175">
        <v>46</v>
      </c>
      <c r="AV175">
        <v>1.0469999999999999</v>
      </c>
      <c r="AW175">
        <v>1</v>
      </c>
      <c r="AZ175">
        <v>1</v>
      </c>
      <c r="BA175">
        <v>54.99</v>
      </c>
      <c r="BB175">
        <v>1</v>
      </c>
      <c r="BC175">
        <v>5.35</v>
      </c>
      <c r="BD175" t="s">
        <v>3</v>
      </c>
      <c r="BE175" t="s">
        <v>3</v>
      </c>
      <c r="BF175" t="s">
        <v>3</v>
      </c>
      <c r="BG175" t="s">
        <v>3</v>
      </c>
      <c r="BH175">
        <v>0</v>
      </c>
      <c r="BI175">
        <v>2</v>
      </c>
      <c r="BJ175" t="s">
        <v>249</v>
      </c>
      <c r="BM175">
        <v>68</v>
      </c>
      <c r="BN175">
        <v>58973116</v>
      </c>
      <c r="BO175" t="s">
        <v>246</v>
      </c>
      <c r="BP175">
        <v>1</v>
      </c>
      <c r="BQ175">
        <v>40</v>
      </c>
      <c r="BR175">
        <v>0</v>
      </c>
      <c r="BS175">
        <v>54.99</v>
      </c>
      <c r="BT175">
        <v>1</v>
      </c>
      <c r="BU175">
        <v>1</v>
      </c>
      <c r="BV175">
        <v>1</v>
      </c>
      <c r="BW175">
        <v>1</v>
      </c>
      <c r="BX175">
        <v>1</v>
      </c>
      <c r="BY175" t="s">
        <v>3</v>
      </c>
      <c r="BZ175">
        <v>90</v>
      </c>
      <c r="CA175">
        <v>46</v>
      </c>
      <c r="CB175" t="s">
        <v>3</v>
      </c>
      <c r="CE175">
        <v>1566</v>
      </c>
      <c r="CF175">
        <v>0</v>
      </c>
      <c r="CG175">
        <v>0</v>
      </c>
      <c r="CM175">
        <v>0</v>
      </c>
      <c r="CN175" t="s">
        <v>474</v>
      </c>
      <c r="CO175">
        <v>0</v>
      </c>
      <c r="CP175">
        <f t="shared" si="125"/>
        <v>2625.52</v>
      </c>
      <c r="CQ175">
        <f t="shared" si="152"/>
        <v>227.96</v>
      </c>
      <c r="CR175">
        <f>(ROUND((ROUND((((ET175*1.1))*AV175*1),2)*BB175),2)+ROUND((ROUND(((AE175-((EU175*1.1)))*AV175*1),2)*BS175),2))</f>
        <v>0</v>
      </c>
      <c r="CS175">
        <f>(ROUND((ROUND((((EU175*1.1))*AV175*1),2)*BS175),2)+ROUND((ROUND(((AE175-((EU175*1.1)))*AV175*1),2)*BS175),2))</f>
        <v>0</v>
      </c>
      <c r="CT175">
        <f t="shared" si="127"/>
        <v>2397.56</v>
      </c>
      <c r="CU175">
        <f t="shared" si="128"/>
        <v>0</v>
      </c>
      <c r="CV175">
        <f t="shared" si="129"/>
        <v>3.4550999999999998</v>
      </c>
      <c r="CW175">
        <f t="shared" si="130"/>
        <v>0</v>
      </c>
      <c r="CX175">
        <f t="shared" si="131"/>
        <v>0</v>
      </c>
      <c r="CY175">
        <f>(ROUND((((S175+ROUND((ROUND((((EU175*1.1))*AV175*1),2)*BS175),2))*AT175)/100),2)+ROUND(((ROUND((ROUND(((AE175-((EU175*1.1)))*AV175*1),2)*BS175),2)*AT175)/100),2))</f>
        <v>2157.8000000000002</v>
      </c>
      <c r="CZ175">
        <f>(ROUND((((S175+ROUND((ROUND((((EU175*1.1))*AV175*1),2)*BS175),2))*AU175)/100),2)+ROUND(((ROUND((ROUND(((AE175-((EU175*1.1)))*AV175*1),2)*BS175),2)*AU175)/100),2))</f>
        <v>1102.8800000000001</v>
      </c>
      <c r="DB175">
        <v>30</v>
      </c>
      <c r="DC175" t="s">
        <v>3</v>
      </c>
      <c r="DD175" t="s">
        <v>3</v>
      </c>
      <c r="DE175" t="s">
        <v>23</v>
      </c>
      <c r="DF175" t="s">
        <v>23</v>
      </c>
      <c r="DG175" t="s">
        <v>23</v>
      </c>
      <c r="DH175" t="s">
        <v>3</v>
      </c>
      <c r="DI175" t="s">
        <v>23</v>
      </c>
      <c r="DJ175" t="s">
        <v>23</v>
      </c>
      <c r="DK175" t="s">
        <v>3</v>
      </c>
      <c r="DL175" t="s">
        <v>3</v>
      </c>
      <c r="DM175" t="s">
        <v>3</v>
      </c>
      <c r="DN175">
        <v>0</v>
      </c>
      <c r="DO175">
        <v>0</v>
      </c>
      <c r="DP175">
        <v>1</v>
      </c>
      <c r="DQ175">
        <v>1</v>
      </c>
      <c r="DU175">
        <v>1013</v>
      </c>
      <c r="DV175" t="s">
        <v>248</v>
      </c>
      <c r="DW175" t="s">
        <v>248</v>
      </c>
      <c r="DX175">
        <v>1</v>
      </c>
      <c r="DZ175" t="s">
        <v>3</v>
      </c>
      <c r="EA175" t="s">
        <v>3</v>
      </c>
      <c r="EB175" t="s">
        <v>3</v>
      </c>
      <c r="EC175" t="s">
        <v>3</v>
      </c>
      <c r="EE175">
        <v>60088532</v>
      </c>
      <c r="EF175">
        <v>40</v>
      </c>
      <c r="EG175" t="s">
        <v>24</v>
      </c>
      <c r="EH175">
        <v>0</v>
      </c>
      <c r="EI175" t="s">
        <v>3</v>
      </c>
      <c r="EJ175">
        <v>2</v>
      </c>
      <c r="EK175">
        <v>68</v>
      </c>
      <c r="EL175" t="s">
        <v>201</v>
      </c>
      <c r="EM175" t="s">
        <v>202</v>
      </c>
      <c r="EO175" t="s">
        <v>27</v>
      </c>
      <c r="EQ175">
        <v>0</v>
      </c>
      <c r="ER175">
        <v>80.47</v>
      </c>
      <c r="ES175">
        <v>42.61</v>
      </c>
      <c r="ET175">
        <v>0</v>
      </c>
      <c r="EU175">
        <v>0</v>
      </c>
      <c r="EV175">
        <v>37.86</v>
      </c>
      <c r="EW175">
        <v>3</v>
      </c>
      <c r="EX175">
        <v>0</v>
      </c>
      <c r="EY175">
        <v>0</v>
      </c>
      <c r="FQ175">
        <v>0</v>
      </c>
      <c r="FR175">
        <v>0</v>
      </c>
      <c r="FS175">
        <v>0</v>
      </c>
      <c r="FX175">
        <v>90</v>
      </c>
      <c r="FY175">
        <v>46</v>
      </c>
      <c r="GA175" t="s">
        <v>3</v>
      </c>
      <c r="GD175">
        <v>1</v>
      </c>
      <c r="GF175">
        <v>-644758659</v>
      </c>
      <c r="GG175">
        <v>2</v>
      </c>
      <c r="GH175">
        <v>1</v>
      </c>
      <c r="GI175">
        <v>2</v>
      </c>
      <c r="GJ175">
        <v>0</v>
      </c>
      <c r="GK175">
        <v>0</v>
      </c>
      <c r="GL175">
        <f t="shared" si="132"/>
        <v>0</v>
      </c>
      <c r="GM175">
        <f t="shared" si="133"/>
        <v>5886.2</v>
      </c>
      <c r="GN175">
        <f t="shared" si="134"/>
        <v>0</v>
      </c>
      <c r="GO175">
        <f t="shared" si="135"/>
        <v>5886.2</v>
      </c>
      <c r="GP175">
        <f t="shared" si="136"/>
        <v>0</v>
      </c>
      <c r="GR175">
        <v>0</v>
      </c>
      <c r="GS175">
        <v>3</v>
      </c>
      <c r="GT175">
        <v>0</v>
      </c>
      <c r="GU175" t="s">
        <v>3</v>
      </c>
      <c r="GV175">
        <f t="shared" si="137"/>
        <v>0</v>
      </c>
      <c r="GW175">
        <v>1</v>
      </c>
      <c r="GX175">
        <f t="shared" si="138"/>
        <v>0</v>
      </c>
      <c r="HA175">
        <v>0</v>
      </c>
      <c r="HB175">
        <v>0</v>
      </c>
      <c r="HC175">
        <f t="shared" si="139"/>
        <v>0</v>
      </c>
      <c r="HE175" t="s">
        <v>3</v>
      </c>
      <c r="HF175" t="s">
        <v>3</v>
      </c>
      <c r="HM175" t="s">
        <v>3</v>
      </c>
      <c r="HN175" t="s">
        <v>3</v>
      </c>
      <c r="HO175" t="s">
        <v>3</v>
      </c>
      <c r="HP175" t="s">
        <v>3</v>
      </c>
      <c r="HQ175" t="s">
        <v>3</v>
      </c>
      <c r="HS175">
        <v>0</v>
      </c>
      <c r="IK175">
        <v>0</v>
      </c>
    </row>
    <row r="176" spans="1:255" x14ac:dyDescent="0.2">
      <c r="A176" s="2">
        <v>18</v>
      </c>
      <c r="B176" s="2">
        <v>1</v>
      </c>
      <c r="C176" s="2">
        <v>192</v>
      </c>
      <c r="D176" s="2"/>
      <c r="E176" s="2" t="s">
        <v>250</v>
      </c>
      <c r="F176" s="2" t="s">
        <v>251</v>
      </c>
      <c r="G176" s="2" t="s">
        <v>252</v>
      </c>
      <c r="H176" s="2" t="s">
        <v>206</v>
      </c>
      <c r="I176" s="2">
        <f>I174*J176</f>
        <v>1</v>
      </c>
      <c r="J176" s="2">
        <v>1</v>
      </c>
      <c r="K176" s="2">
        <v>1</v>
      </c>
      <c r="L176" s="2"/>
      <c r="M176" s="2"/>
      <c r="N176" s="2"/>
      <c r="O176" s="2">
        <f t="shared" si="114"/>
        <v>462.21</v>
      </c>
      <c r="P176" s="2">
        <f>ROUND((ROUND((AC176*I176),2)*BC176),2)</f>
        <v>462.21</v>
      </c>
      <c r="Q176" s="2">
        <f t="shared" ref="Q176:Q185" si="153">(ROUND((ROUND(((ET176)*AV176*I176),2)*BB176),2)+ROUND((ROUND(((AE176-(EU176))*AV176*I176),2)*BS176),2))</f>
        <v>0</v>
      </c>
      <c r="R176" s="2">
        <f t="shared" ref="R176:R185" si="154">(ROUND((ROUND(((EU176)*AV176*I176),2)*BS176),2)+ROUND((ROUND(((AE176-(EU176))*AV176*I176),2)*BS176),2))</f>
        <v>0</v>
      </c>
      <c r="S176" s="2">
        <f t="shared" si="116"/>
        <v>0</v>
      </c>
      <c r="T176" s="2">
        <f t="shared" si="117"/>
        <v>0</v>
      </c>
      <c r="U176" s="2">
        <f t="shared" si="118"/>
        <v>0</v>
      </c>
      <c r="V176" s="2">
        <f t="shared" si="119"/>
        <v>0</v>
      </c>
      <c r="W176" s="2">
        <f t="shared" si="120"/>
        <v>0</v>
      </c>
      <c r="X176" s="2">
        <f t="shared" ref="X176:X185" si="155">(ROUND((((S176+ROUND((ROUND(((EU176)*AV176*I176),2)*BS176),2))*AT176)/100),2)+ROUND(((ROUND((ROUND(((AE176-(EU176))*AV176*I176),2)*BS176),2)*AT176)/100),2))</f>
        <v>0</v>
      </c>
      <c r="Y176" s="2">
        <f t="shared" ref="Y176:Y185" si="156">(ROUND((((S176+ROUND((ROUND(((EU176)*AV176*I176),2)*BS176),2))*AU176)/100),2)+ROUND(((ROUND((ROUND(((AE176-(EU176))*AV176*I176),2)*BS176),2)*AU176)/100),2))</f>
        <v>0</v>
      </c>
      <c r="Z176" s="2"/>
      <c r="AA176" s="2">
        <v>60256985</v>
      </c>
      <c r="AB176" s="2">
        <f t="shared" si="121"/>
        <v>462.21</v>
      </c>
      <c r="AC176" s="2">
        <f t="shared" si="122"/>
        <v>462.21</v>
      </c>
      <c r="AD176" s="2">
        <f t="shared" ref="AD176:AD185" si="157">ROUND((((ET176)-(EU176))+AE176),6)</f>
        <v>0</v>
      </c>
      <c r="AE176" s="2">
        <f t="shared" ref="AE176:AE185" si="158">ROUND((EU176),6)</f>
        <v>0</v>
      </c>
      <c r="AF176" s="2">
        <f t="shared" ref="AF176:AF185" si="159">ROUND((EV176),6)</f>
        <v>0</v>
      </c>
      <c r="AG176" s="2">
        <f t="shared" si="123"/>
        <v>0</v>
      </c>
      <c r="AH176" s="2">
        <f t="shared" ref="AH176:AH185" si="160">(EW176)</f>
        <v>0</v>
      </c>
      <c r="AI176" s="2">
        <f t="shared" ref="AI176:AI185" si="161">(EX176)</f>
        <v>0</v>
      </c>
      <c r="AJ176" s="2">
        <f t="shared" si="124"/>
        <v>0</v>
      </c>
      <c r="AK176" s="2">
        <v>462.21000000000004</v>
      </c>
      <c r="AL176" s="2">
        <v>462.21000000000004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1</v>
      </c>
      <c r="AW176" s="2">
        <v>1</v>
      </c>
      <c r="AX176" s="2"/>
      <c r="AY176" s="2"/>
      <c r="AZ176" s="2">
        <v>1</v>
      </c>
      <c r="BA176" s="2">
        <v>1</v>
      </c>
      <c r="BB176" s="2">
        <v>1</v>
      </c>
      <c r="BC176" s="2">
        <v>1</v>
      </c>
      <c r="BD176" s="2" t="s">
        <v>3</v>
      </c>
      <c r="BE176" s="2" t="s">
        <v>3</v>
      </c>
      <c r="BF176" s="2" t="s">
        <v>3</v>
      </c>
      <c r="BG176" s="2" t="s">
        <v>3</v>
      </c>
      <c r="BH176" s="2">
        <v>3</v>
      </c>
      <c r="BI176" s="2">
        <v>3</v>
      </c>
      <c r="BJ176" s="2" t="s">
        <v>3</v>
      </c>
      <c r="BK176" s="2"/>
      <c r="BL176" s="2"/>
      <c r="BM176" s="2">
        <v>746</v>
      </c>
      <c r="BN176" s="2">
        <v>0</v>
      </c>
      <c r="BO176" s="2" t="s">
        <v>3</v>
      </c>
      <c r="BP176" s="2">
        <v>0</v>
      </c>
      <c r="BQ176" s="2">
        <v>130</v>
      </c>
      <c r="BR176" s="2">
        <v>0</v>
      </c>
      <c r="BS176" s="2">
        <v>1</v>
      </c>
      <c r="BT176" s="2">
        <v>1</v>
      </c>
      <c r="BU176" s="2">
        <v>1</v>
      </c>
      <c r="BV176" s="2">
        <v>1</v>
      </c>
      <c r="BW176" s="2">
        <v>1</v>
      </c>
      <c r="BX176" s="2">
        <v>1</v>
      </c>
      <c r="BY176" s="2" t="s">
        <v>3</v>
      </c>
      <c r="BZ176" s="2">
        <v>90</v>
      </c>
      <c r="CA176" s="2">
        <v>46</v>
      </c>
      <c r="CB176" s="2" t="s">
        <v>3</v>
      </c>
      <c r="CC176" s="2"/>
      <c r="CD176" s="2"/>
      <c r="CE176" s="2">
        <v>1566</v>
      </c>
      <c r="CF176" s="2">
        <v>0</v>
      </c>
      <c r="CG176" s="2">
        <v>0</v>
      </c>
      <c r="CH176" s="2"/>
      <c r="CI176" s="2"/>
      <c r="CJ176" s="2"/>
      <c r="CK176" s="2"/>
      <c r="CL176" s="2"/>
      <c r="CM176" s="2">
        <v>0</v>
      </c>
      <c r="CN176" s="2" t="s">
        <v>3</v>
      </c>
      <c r="CO176" s="2">
        <v>0</v>
      </c>
      <c r="CP176" s="2">
        <f t="shared" si="125"/>
        <v>462.21</v>
      </c>
      <c r="CQ176" s="2">
        <f>ROUND((ROUND((AC176*1),2)*BC176),2)</f>
        <v>462.21</v>
      </c>
      <c r="CR176" s="2">
        <f t="shared" ref="CR176:CR185" si="162">(ROUND((ROUND(((ET176)*AV176*1),2)*BB176),2)+ROUND((ROUND(((AE176-(EU176))*AV176*1),2)*BS176),2))</f>
        <v>0</v>
      </c>
      <c r="CS176" s="2">
        <f t="shared" ref="CS176:CS185" si="163">(ROUND((ROUND(((EU176)*AV176*1),2)*BS176),2)+ROUND((ROUND(((AE176-(EU176))*AV176*1),2)*BS176),2))</f>
        <v>0</v>
      </c>
      <c r="CT176" s="2">
        <f t="shared" si="127"/>
        <v>0</v>
      </c>
      <c r="CU176" s="2">
        <f t="shared" si="128"/>
        <v>0</v>
      </c>
      <c r="CV176" s="2">
        <f t="shared" si="129"/>
        <v>0</v>
      </c>
      <c r="CW176" s="2">
        <f t="shared" si="130"/>
        <v>0</v>
      </c>
      <c r="CX176" s="2">
        <f t="shared" si="131"/>
        <v>0</v>
      </c>
      <c r="CY176" s="2">
        <f t="shared" ref="CY176:CY185" si="164">(ROUND((((S176+ROUND((ROUND(((EU176)*AV176*1),2)*BS176),2))*AT176)/100),2)+ROUND(((ROUND((ROUND(((AE176-(EU176))*AV176*1),2)*BS176),2)*AT176)/100),2))</f>
        <v>0</v>
      </c>
      <c r="CZ176" s="2">
        <f t="shared" ref="CZ176:CZ185" si="165">(ROUND((((S176+ROUND((ROUND(((EU176)*AV176*1),2)*BS176),2))*AU176)/100),2)+ROUND(((ROUND((ROUND(((AE176-(EU176))*AV176*1),2)*BS176),2)*AU176)/100),2))</f>
        <v>0</v>
      </c>
      <c r="DA176" s="2"/>
      <c r="DB176" s="2"/>
      <c r="DC176" s="2" t="s">
        <v>3</v>
      </c>
      <c r="DD176" s="2" t="s">
        <v>3</v>
      </c>
      <c r="DE176" s="2" t="s">
        <v>3</v>
      </c>
      <c r="DF176" s="2" t="s">
        <v>3</v>
      </c>
      <c r="DG176" s="2" t="s">
        <v>3</v>
      </c>
      <c r="DH176" s="2" t="s">
        <v>3</v>
      </c>
      <c r="DI176" s="2" t="s">
        <v>3</v>
      </c>
      <c r="DJ176" s="2" t="s">
        <v>3</v>
      </c>
      <c r="DK176" s="2" t="s">
        <v>3</v>
      </c>
      <c r="DL176" s="2" t="s">
        <v>3</v>
      </c>
      <c r="DM176" s="2" t="s">
        <v>3</v>
      </c>
      <c r="DN176" s="2">
        <v>0</v>
      </c>
      <c r="DO176" s="2">
        <v>0</v>
      </c>
      <c r="DP176" s="2">
        <v>1</v>
      </c>
      <c r="DQ176" s="2">
        <v>1</v>
      </c>
      <c r="DR176" s="2"/>
      <c r="DS176" s="2"/>
      <c r="DT176" s="2"/>
      <c r="DU176" s="2">
        <v>1013</v>
      </c>
      <c r="DV176" s="2" t="s">
        <v>206</v>
      </c>
      <c r="DW176" s="2" t="s">
        <v>206</v>
      </c>
      <c r="DX176" s="2">
        <v>1</v>
      </c>
      <c r="DY176" s="2"/>
      <c r="DZ176" s="2" t="s">
        <v>3</v>
      </c>
      <c r="EA176" s="2" t="s">
        <v>3</v>
      </c>
      <c r="EB176" s="2" t="s">
        <v>3</v>
      </c>
      <c r="EC176" s="2" t="s">
        <v>3</v>
      </c>
      <c r="ED176" s="2"/>
      <c r="EE176" s="2">
        <v>60088638</v>
      </c>
      <c r="EF176" s="2">
        <v>130</v>
      </c>
      <c r="EG176" s="2" t="s">
        <v>32</v>
      </c>
      <c r="EH176" s="2">
        <v>0</v>
      </c>
      <c r="EI176" s="2" t="s">
        <v>3</v>
      </c>
      <c r="EJ176" s="2">
        <v>3</v>
      </c>
      <c r="EK176" s="2">
        <v>746</v>
      </c>
      <c r="EL176" s="2" t="s">
        <v>33</v>
      </c>
      <c r="EM176" s="2" t="s">
        <v>34</v>
      </c>
      <c r="EN176" s="2"/>
      <c r="EO176" s="2" t="s">
        <v>3</v>
      </c>
      <c r="EP176" s="2"/>
      <c r="EQ176" s="2">
        <v>0</v>
      </c>
      <c r="ER176" s="2">
        <v>0</v>
      </c>
      <c r="ES176" s="2">
        <v>462.21000000000004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>
        <v>0</v>
      </c>
      <c r="FR176" s="2">
        <f>P176</f>
        <v>462.21</v>
      </c>
      <c r="FS176" s="2">
        <v>0</v>
      </c>
      <c r="FT176" s="2"/>
      <c r="FU176" s="2"/>
      <c r="FV176" s="2"/>
      <c r="FW176" s="2"/>
      <c r="FX176" s="2">
        <v>90</v>
      </c>
      <c r="FY176" s="2">
        <v>46</v>
      </c>
      <c r="FZ176" s="2"/>
      <c r="GA176" s="2" t="s">
        <v>253</v>
      </c>
      <c r="GB176" s="2"/>
      <c r="GC176" s="2"/>
      <c r="GD176" s="2">
        <v>1</v>
      </c>
      <c r="GE176" s="2"/>
      <c r="GF176" s="2">
        <v>-149838834</v>
      </c>
      <c r="GG176" s="2">
        <v>2</v>
      </c>
      <c r="GH176" s="2">
        <v>4</v>
      </c>
      <c r="GI176" s="2">
        <v>-2</v>
      </c>
      <c r="GJ176" s="2">
        <v>0</v>
      </c>
      <c r="GK176" s="2">
        <v>0</v>
      </c>
      <c r="GL176" s="2">
        <f t="shared" si="132"/>
        <v>0</v>
      </c>
      <c r="GM176" s="2">
        <f t="shared" si="133"/>
        <v>462.21</v>
      </c>
      <c r="GN176" s="2">
        <f t="shared" si="134"/>
        <v>0</v>
      </c>
      <c r="GO176" s="2">
        <f t="shared" si="135"/>
        <v>0</v>
      </c>
      <c r="GP176" s="2">
        <f t="shared" si="136"/>
        <v>0</v>
      </c>
      <c r="GQ176" s="2"/>
      <c r="GR176" s="2">
        <v>0</v>
      </c>
      <c r="GS176" s="2">
        <v>2</v>
      </c>
      <c r="GT176" s="2">
        <v>0</v>
      </c>
      <c r="GU176" s="2" t="s">
        <v>3</v>
      </c>
      <c r="GV176" s="2">
        <f t="shared" si="137"/>
        <v>0</v>
      </c>
      <c r="GW176" s="2">
        <v>1</v>
      </c>
      <c r="GX176" s="2">
        <f t="shared" si="138"/>
        <v>0</v>
      </c>
      <c r="GY176" s="2"/>
      <c r="GZ176" s="2"/>
      <c r="HA176" s="2">
        <v>0</v>
      </c>
      <c r="HB176" s="2">
        <v>0</v>
      </c>
      <c r="HC176" s="2">
        <f t="shared" si="139"/>
        <v>0</v>
      </c>
      <c r="HD176" s="2"/>
      <c r="HE176" s="2" t="s">
        <v>36</v>
      </c>
      <c r="HF176" s="2" t="s">
        <v>37</v>
      </c>
      <c r="HG176" s="2"/>
      <c r="HH176" s="2"/>
      <c r="HI176" s="2"/>
      <c r="HJ176" s="2"/>
      <c r="HK176" s="2"/>
      <c r="HL176" s="2"/>
      <c r="HM176" s="2" t="s">
        <v>3</v>
      </c>
      <c r="HN176" s="2" t="s">
        <v>3</v>
      </c>
      <c r="HO176" s="2" t="s">
        <v>3</v>
      </c>
      <c r="HP176" s="2" t="s">
        <v>3</v>
      </c>
      <c r="HQ176" s="2" t="s">
        <v>3</v>
      </c>
      <c r="HR176" s="2"/>
      <c r="HS176" s="2">
        <v>0</v>
      </c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>
        <v>0</v>
      </c>
      <c r="IL176" s="2"/>
      <c r="IM176" s="2"/>
      <c r="IN176" s="2"/>
      <c r="IO176" s="2"/>
      <c r="IP176" s="2"/>
      <c r="IQ176" s="2"/>
      <c r="IR176" s="2"/>
      <c r="IS176" s="2"/>
      <c r="IT176" s="2"/>
      <c r="IU176" s="2"/>
    </row>
    <row r="177" spans="1:255" x14ac:dyDescent="0.2">
      <c r="A177">
        <v>18</v>
      </c>
      <c r="B177">
        <v>1</v>
      </c>
      <c r="C177">
        <v>208</v>
      </c>
      <c r="E177" t="s">
        <v>250</v>
      </c>
      <c r="F177" t="s">
        <v>251</v>
      </c>
      <c r="G177" t="s">
        <v>252</v>
      </c>
      <c r="H177" t="s">
        <v>206</v>
      </c>
      <c r="I177">
        <f>I175*J177</f>
        <v>1</v>
      </c>
      <c r="J177">
        <v>1</v>
      </c>
      <c r="K177">
        <v>1</v>
      </c>
      <c r="O177">
        <f t="shared" si="114"/>
        <v>3540.53</v>
      </c>
      <c r="P177">
        <f>ROUND((ROUND((AC177*I177),2)*BC177),2)</f>
        <v>3540.53</v>
      </c>
      <c r="Q177">
        <f t="shared" si="153"/>
        <v>0</v>
      </c>
      <c r="R177">
        <f t="shared" si="154"/>
        <v>0</v>
      </c>
      <c r="S177">
        <f t="shared" si="116"/>
        <v>0</v>
      </c>
      <c r="T177">
        <f t="shared" si="117"/>
        <v>0</v>
      </c>
      <c r="U177">
        <f t="shared" si="118"/>
        <v>0</v>
      </c>
      <c r="V177">
        <f t="shared" si="119"/>
        <v>0</v>
      </c>
      <c r="W177">
        <f t="shared" si="120"/>
        <v>0</v>
      </c>
      <c r="X177">
        <f t="shared" si="155"/>
        <v>0</v>
      </c>
      <c r="Y177">
        <f t="shared" si="156"/>
        <v>0</v>
      </c>
      <c r="AA177">
        <v>60256982</v>
      </c>
      <c r="AB177">
        <f t="shared" si="121"/>
        <v>462.21</v>
      </c>
      <c r="AC177">
        <f t="shared" si="122"/>
        <v>462.21</v>
      </c>
      <c r="AD177">
        <f t="shared" si="157"/>
        <v>0</v>
      </c>
      <c r="AE177">
        <f t="shared" si="158"/>
        <v>0</v>
      </c>
      <c r="AF177">
        <f t="shared" si="159"/>
        <v>0</v>
      </c>
      <c r="AG177">
        <f t="shared" si="123"/>
        <v>0</v>
      </c>
      <c r="AH177">
        <f t="shared" si="160"/>
        <v>0</v>
      </c>
      <c r="AI177">
        <f t="shared" si="161"/>
        <v>0</v>
      </c>
      <c r="AJ177">
        <f t="shared" si="124"/>
        <v>0</v>
      </c>
      <c r="AK177">
        <v>462.21000000000004</v>
      </c>
      <c r="AL177">
        <v>462.21000000000004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1</v>
      </c>
      <c r="AZ177">
        <v>1</v>
      </c>
      <c r="BA177">
        <v>1</v>
      </c>
      <c r="BB177">
        <v>1</v>
      </c>
      <c r="BC177">
        <v>7.66</v>
      </c>
      <c r="BD177" t="s">
        <v>3</v>
      </c>
      <c r="BE177" t="s">
        <v>3</v>
      </c>
      <c r="BF177" t="s">
        <v>3</v>
      </c>
      <c r="BG177" t="s">
        <v>3</v>
      </c>
      <c r="BH177">
        <v>3</v>
      </c>
      <c r="BI177">
        <v>3</v>
      </c>
      <c r="BJ177" t="s">
        <v>3</v>
      </c>
      <c r="BM177">
        <v>746</v>
      </c>
      <c r="BN177">
        <v>0</v>
      </c>
      <c r="BO177" t="s">
        <v>3</v>
      </c>
      <c r="BP177">
        <v>0</v>
      </c>
      <c r="BQ177">
        <v>130</v>
      </c>
      <c r="BR177">
        <v>0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 t="s">
        <v>3</v>
      </c>
      <c r="BZ177">
        <v>90</v>
      </c>
      <c r="CA177">
        <v>46</v>
      </c>
      <c r="CB177" t="s">
        <v>3</v>
      </c>
      <c r="CE177">
        <v>1566</v>
      </c>
      <c r="CF177">
        <v>0</v>
      </c>
      <c r="CG177">
        <v>0</v>
      </c>
      <c r="CM177">
        <v>0</v>
      </c>
      <c r="CN177" t="s">
        <v>3</v>
      </c>
      <c r="CO177">
        <v>0</v>
      </c>
      <c r="CP177">
        <f t="shared" si="125"/>
        <v>3540.53</v>
      </c>
      <c r="CQ177">
        <f>ROUND((ROUND((AC177*1),2)*BC177),2)</f>
        <v>3540.53</v>
      </c>
      <c r="CR177">
        <f t="shared" si="162"/>
        <v>0</v>
      </c>
      <c r="CS177">
        <f t="shared" si="163"/>
        <v>0</v>
      </c>
      <c r="CT177">
        <f t="shared" si="127"/>
        <v>0</v>
      </c>
      <c r="CU177">
        <f t="shared" si="128"/>
        <v>0</v>
      </c>
      <c r="CV177">
        <f t="shared" si="129"/>
        <v>0</v>
      </c>
      <c r="CW177">
        <f t="shared" si="130"/>
        <v>0</v>
      </c>
      <c r="CX177">
        <f t="shared" si="131"/>
        <v>0</v>
      </c>
      <c r="CY177">
        <f t="shared" si="164"/>
        <v>0</v>
      </c>
      <c r="CZ177">
        <f t="shared" si="165"/>
        <v>0</v>
      </c>
      <c r="DC177" t="s">
        <v>3</v>
      </c>
      <c r="DD177" t="s">
        <v>3</v>
      </c>
      <c r="DE177" t="s">
        <v>3</v>
      </c>
      <c r="DF177" t="s">
        <v>3</v>
      </c>
      <c r="DG177" t="s">
        <v>3</v>
      </c>
      <c r="DH177" t="s">
        <v>3</v>
      </c>
      <c r="DI177" t="s">
        <v>3</v>
      </c>
      <c r="DJ177" t="s">
        <v>3</v>
      </c>
      <c r="DK177" t="s">
        <v>3</v>
      </c>
      <c r="DL177" t="s">
        <v>3</v>
      </c>
      <c r="DM177" t="s">
        <v>3</v>
      </c>
      <c r="DN177">
        <v>0</v>
      </c>
      <c r="DO177">
        <v>0</v>
      </c>
      <c r="DP177">
        <v>1</v>
      </c>
      <c r="DQ177">
        <v>1</v>
      </c>
      <c r="DU177">
        <v>1013</v>
      </c>
      <c r="DV177" t="s">
        <v>206</v>
      </c>
      <c r="DW177" t="s">
        <v>206</v>
      </c>
      <c r="DX177">
        <v>1</v>
      </c>
      <c r="DZ177" t="s">
        <v>3</v>
      </c>
      <c r="EA177" t="s">
        <v>3</v>
      </c>
      <c r="EB177" t="s">
        <v>3</v>
      </c>
      <c r="EC177" t="s">
        <v>3</v>
      </c>
      <c r="EE177">
        <v>60088638</v>
      </c>
      <c r="EF177">
        <v>130</v>
      </c>
      <c r="EG177" t="s">
        <v>32</v>
      </c>
      <c r="EH177">
        <v>0</v>
      </c>
      <c r="EI177" t="s">
        <v>3</v>
      </c>
      <c r="EJ177">
        <v>3</v>
      </c>
      <c r="EK177">
        <v>746</v>
      </c>
      <c r="EL177" t="s">
        <v>33</v>
      </c>
      <c r="EM177" t="s">
        <v>34</v>
      </c>
      <c r="EO177" t="s">
        <v>3</v>
      </c>
      <c r="EQ177">
        <v>0</v>
      </c>
      <c r="ER177">
        <v>0</v>
      </c>
      <c r="ES177">
        <v>462.21000000000004</v>
      </c>
      <c r="ET177">
        <v>0</v>
      </c>
      <c r="EU177">
        <v>0</v>
      </c>
      <c r="EV177">
        <v>0</v>
      </c>
      <c r="EW177">
        <v>0</v>
      </c>
      <c r="EX177">
        <v>0</v>
      </c>
      <c r="EZ177">
        <v>5</v>
      </c>
      <c r="FC177">
        <v>1</v>
      </c>
      <c r="FD177">
        <v>18</v>
      </c>
      <c r="FF177">
        <v>4076</v>
      </c>
      <c r="FQ177">
        <v>0</v>
      </c>
      <c r="FR177">
        <f>P177</f>
        <v>3540.53</v>
      </c>
      <c r="FS177">
        <v>0</v>
      </c>
      <c r="FX177">
        <v>90</v>
      </c>
      <c r="FY177">
        <v>46</v>
      </c>
      <c r="GA177" t="s">
        <v>253</v>
      </c>
      <c r="GD177">
        <v>1</v>
      </c>
      <c r="GF177">
        <v>-149838834</v>
      </c>
      <c r="GG177">
        <v>2</v>
      </c>
      <c r="GH177">
        <v>3</v>
      </c>
      <c r="GI177">
        <v>5</v>
      </c>
      <c r="GJ177">
        <v>0</v>
      </c>
      <c r="GK177">
        <v>0</v>
      </c>
      <c r="GL177">
        <f t="shared" si="132"/>
        <v>0</v>
      </c>
      <c r="GM177">
        <f t="shared" si="133"/>
        <v>3540.53</v>
      </c>
      <c r="GN177">
        <f t="shared" si="134"/>
        <v>0</v>
      </c>
      <c r="GO177">
        <f t="shared" si="135"/>
        <v>0</v>
      </c>
      <c r="GP177">
        <f t="shared" si="136"/>
        <v>0</v>
      </c>
      <c r="GR177">
        <v>1</v>
      </c>
      <c r="GS177">
        <v>1</v>
      </c>
      <c r="GT177">
        <v>0</v>
      </c>
      <c r="GU177" t="s">
        <v>3</v>
      </c>
      <c r="GV177">
        <f t="shared" si="137"/>
        <v>0</v>
      </c>
      <c r="GW177">
        <v>1</v>
      </c>
      <c r="GX177">
        <f t="shared" si="138"/>
        <v>0</v>
      </c>
      <c r="HA177">
        <v>0</v>
      </c>
      <c r="HB177">
        <v>0</v>
      </c>
      <c r="HC177">
        <f t="shared" si="139"/>
        <v>0</v>
      </c>
      <c r="HE177" t="s">
        <v>36</v>
      </c>
      <c r="HF177" t="s">
        <v>37</v>
      </c>
      <c r="HM177" t="s">
        <v>3</v>
      </c>
      <c r="HN177" t="s">
        <v>3</v>
      </c>
      <c r="HO177" t="s">
        <v>3</v>
      </c>
      <c r="HP177" t="s">
        <v>3</v>
      </c>
      <c r="HQ177" t="s">
        <v>3</v>
      </c>
      <c r="HS177">
        <v>0</v>
      </c>
      <c r="IK177">
        <v>0</v>
      </c>
    </row>
    <row r="178" spans="1:255" x14ac:dyDescent="0.2">
      <c r="A178" s="2">
        <v>17</v>
      </c>
      <c r="B178" s="2">
        <v>1</v>
      </c>
      <c r="C178" s="2"/>
      <c r="D178" s="2"/>
      <c r="E178" s="2" t="s">
        <v>254</v>
      </c>
      <c r="F178" s="2" t="s">
        <v>255</v>
      </c>
      <c r="G178" s="2" t="s">
        <v>256</v>
      </c>
      <c r="H178" s="2" t="s">
        <v>31</v>
      </c>
      <c r="I178" s="2">
        <v>10</v>
      </c>
      <c r="J178" s="2">
        <v>0</v>
      </c>
      <c r="K178" s="2">
        <v>10</v>
      </c>
      <c r="L178" s="2"/>
      <c r="M178" s="2"/>
      <c r="N178" s="2"/>
      <c r="O178" s="2">
        <f t="shared" si="114"/>
        <v>91.2</v>
      </c>
      <c r="P178" s="2">
        <f t="shared" ref="P178:P187" si="166">ROUND((ROUND((AC178*AW178*I178),2)*BC178),2)</f>
        <v>91.2</v>
      </c>
      <c r="Q178" s="2">
        <f t="shared" si="153"/>
        <v>0</v>
      </c>
      <c r="R178" s="2">
        <f t="shared" si="154"/>
        <v>0</v>
      </c>
      <c r="S178" s="2">
        <f t="shared" si="116"/>
        <v>0</v>
      </c>
      <c r="T178" s="2">
        <f t="shared" si="117"/>
        <v>0</v>
      </c>
      <c r="U178" s="2">
        <f t="shared" si="118"/>
        <v>0</v>
      </c>
      <c r="V178" s="2">
        <f t="shared" si="119"/>
        <v>0</v>
      </c>
      <c r="W178" s="2">
        <f t="shared" si="120"/>
        <v>0</v>
      </c>
      <c r="X178" s="2">
        <f t="shared" si="155"/>
        <v>0</v>
      </c>
      <c r="Y178" s="2">
        <f t="shared" si="156"/>
        <v>0</v>
      </c>
      <c r="Z178" s="2"/>
      <c r="AA178" s="2">
        <v>60256985</v>
      </c>
      <c r="AB178" s="2">
        <f t="shared" si="121"/>
        <v>9.1199999999999992</v>
      </c>
      <c r="AC178" s="2">
        <f t="shared" si="122"/>
        <v>9.1199999999999992</v>
      </c>
      <c r="AD178" s="2">
        <f t="shared" si="157"/>
        <v>0</v>
      </c>
      <c r="AE178" s="2">
        <f t="shared" si="158"/>
        <v>0</v>
      </c>
      <c r="AF178" s="2">
        <f t="shared" si="159"/>
        <v>0</v>
      </c>
      <c r="AG178" s="2">
        <f t="shared" si="123"/>
        <v>0</v>
      </c>
      <c r="AH178" s="2">
        <f t="shared" si="160"/>
        <v>0</v>
      </c>
      <c r="AI178" s="2">
        <f t="shared" si="161"/>
        <v>0</v>
      </c>
      <c r="AJ178" s="2">
        <f t="shared" si="124"/>
        <v>0</v>
      </c>
      <c r="AK178" s="2">
        <v>9.1199999999999992</v>
      </c>
      <c r="AL178" s="2">
        <v>9.1199999999999992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1</v>
      </c>
      <c r="AW178" s="2">
        <v>1</v>
      </c>
      <c r="AX178" s="2"/>
      <c r="AY178" s="2"/>
      <c r="AZ178" s="2">
        <v>1</v>
      </c>
      <c r="BA178" s="2">
        <v>1</v>
      </c>
      <c r="BB178" s="2">
        <v>1</v>
      </c>
      <c r="BC178" s="2">
        <v>1</v>
      </c>
      <c r="BD178" s="2" t="s">
        <v>3</v>
      </c>
      <c r="BE178" s="2" t="s">
        <v>3</v>
      </c>
      <c r="BF178" s="2" t="s">
        <v>3</v>
      </c>
      <c r="BG178" s="2" t="s">
        <v>3</v>
      </c>
      <c r="BH178" s="2">
        <v>3</v>
      </c>
      <c r="BI178" s="2">
        <v>2</v>
      </c>
      <c r="BJ178" s="2" t="s">
        <v>257</v>
      </c>
      <c r="BK178" s="2"/>
      <c r="BL178" s="2"/>
      <c r="BM178" s="2">
        <v>1618</v>
      </c>
      <c r="BN178" s="2">
        <v>58973116</v>
      </c>
      <c r="BO178" s="2" t="s">
        <v>3</v>
      </c>
      <c r="BP178" s="2">
        <v>0</v>
      </c>
      <c r="BQ178" s="2">
        <v>201</v>
      </c>
      <c r="BR178" s="2">
        <v>0</v>
      </c>
      <c r="BS178" s="2">
        <v>1</v>
      </c>
      <c r="BT178" s="2">
        <v>1</v>
      </c>
      <c r="BU178" s="2">
        <v>1</v>
      </c>
      <c r="BV178" s="2">
        <v>1</v>
      </c>
      <c r="BW178" s="2">
        <v>1</v>
      </c>
      <c r="BX178" s="2">
        <v>1</v>
      </c>
      <c r="BY178" s="2" t="s">
        <v>3</v>
      </c>
      <c r="BZ178" s="2">
        <v>0</v>
      </c>
      <c r="CA178" s="2">
        <v>0</v>
      </c>
      <c r="CB178" s="2" t="s">
        <v>3</v>
      </c>
      <c r="CC178" s="2"/>
      <c r="CD178" s="2"/>
      <c r="CE178" s="2">
        <v>1566</v>
      </c>
      <c r="CF178" s="2">
        <v>0</v>
      </c>
      <c r="CG178" s="2">
        <v>0</v>
      </c>
      <c r="CH178" s="2"/>
      <c r="CI178" s="2"/>
      <c r="CJ178" s="2"/>
      <c r="CK178" s="2"/>
      <c r="CL178" s="2"/>
      <c r="CM178" s="2">
        <v>0</v>
      </c>
      <c r="CN178" s="2" t="s">
        <v>3</v>
      </c>
      <c r="CO178" s="2">
        <v>0</v>
      </c>
      <c r="CP178" s="2">
        <f t="shared" si="125"/>
        <v>91.2</v>
      </c>
      <c r="CQ178" s="2">
        <f t="shared" ref="CQ178:CQ187" si="167">ROUND((ROUND((AC178*AW178*1),2)*BC178),2)</f>
        <v>9.1199999999999992</v>
      </c>
      <c r="CR178" s="2">
        <f t="shared" si="162"/>
        <v>0</v>
      </c>
      <c r="CS178" s="2">
        <f t="shared" si="163"/>
        <v>0</v>
      </c>
      <c r="CT178" s="2">
        <f t="shared" si="127"/>
        <v>0</v>
      </c>
      <c r="CU178" s="2">
        <f t="shared" si="128"/>
        <v>0</v>
      </c>
      <c r="CV178" s="2">
        <f t="shared" si="129"/>
        <v>0</v>
      </c>
      <c r="CW178" s="2">
        <f t="shared" si="130"/>
        <v>0</v>
      </c>
      <c r="CX178" s="2">
        <f t="shared" si="131"/>
        <v>0</v>
      </c>
      <c r="CY178" s="2">
        <f t="shared" si="164"/>
        <v>0</v>
      </c>
      <c r="CZ178" s="2">
        <f t="shared" si="165"/>
        <v>0</v>
      </c>
      <c r="DA178" s="2"/>
      <c r="DB178" s="2"/>
      <c r="DC178" s="2" t="s">
        <v>3</v>
      </c>
      <c r="DD178" s="2" t="s">
        <v>3</v>
      </c>
      <c r="DE178" s="2" t="s">
        <v>3</v>
      </c>
      <c r="DF178" s="2" t="s">
        <v>3</v>
      </c>
      <c r="DG178" s="2" t="s">
        <v>3</v>
      </c>
      <c r="DH178" s="2" t="s">
        <v>3</v>
      </c>
      <c r="DI178" s="2" t="s">
        <v>3</v>
      </c>
      <c r="DJ178" s="2" t="s">
        <v>3</v>
      </c>
      <c r="DK178" s="2" t="s">
        <v>3</v>
      </c>
      <c r="DL178" s="2" t="s">
        <v>3</v>
      </c>
      <c r="DM178" s="2" t="s">
        <v>3</v>
      </c>
      <c r="DN178" s="2">
        <v>0</v>
      </c>
      <c r="DO178" s="2">
        <v>0</v>
      </c>
      <c r="DP178" s="2">
        <v>1</v>
      </c>
      <c r="DQ178" s="2">
        <v>1</v>
      </c>
      <c r="DR178" s="2"/>
      <c r="DS178" s="2"/>
      <c r="DT178" s="2"/>
      <c r="DU178" s="2">
        <v>1010</v>
      </c>
      <c r="DV178" s="2" t="s">
        <v>31</v>
      </c>
      <c r="DW178" s="2" t="s">
        <v>31</v>
      </c>
      <c r="DX178" s="2">
        <v>1</v>
      </c>
      <c r="DY178" s="2"/>
      <c r="DZ178" s="2" t="s">
        <v>3</v>
      </c>
      <c r="EA178" s="2" t="s">
        <v>3</v>
      </c>
      <c r="EB178" s="2" t="s">
        <v>3</v>
      </c>
      <c r="EC178" s="2" t="s">
        <v>3</v>
      </c>
      <c r="ED178" s="2"/>
      <c r="EE178" s="2">
        <v>60088561</v>
      </c>
      <c r="EF178" s="2">
        <v>201</v>
      </c>
      <c r="EG178" s="2" t="s">
        <v>258</v>
      </c>
      <c r="EH178" s="2">
        <v>0</v>
      </c>
      <c r="EI178" s="2" t="s">
        <v>3</v>
      </c>
      <c r="EJ178" s="2">
        <v>2</v>
      </c>
      <c r="EK178" s="2">
        <v>1618</v>
      </c>
      <c r="EL178" s="2" t="s">
        <v>259</v>
      </c>
      <c r="EM178" s="2" t="s">
        <v>260</v>
      </c>
      <c r="EN178" s="2"/>
      <c r="EO178" s="2" t="s">
        <v>3</v>
      </c>
      <c r="EP178" s="2"/>
      <c r="EQ178" s="2">
        <v>0</v>
      </c>
      <c r="ER178" s="2">
        <v>9.1199999999999992</v>
      </c>
      <c r="ES178" s="2">
        <v>9.1199999999999992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>
        <v>0</v>
      </c>
      <c r="FR178" s="2">
        <v>0</v>
      </c>
      <c r="FS178" s="2">
        <v>0</v>
      </c>
      <c r="FT178" s="2"/>
      <c r="FU178" s="2"/>
      <c r="FV178" s="2"/>
      <c r="FW178" s="2"/>
      <c r="FX178" s="2">
        <v>0</v>
      </c>
      <c r="FY178" s="2">
        <v>0</v>
      </c>
      <c r="FZ178" s="2"/>
      <c r="GA178" s="2" t="s">
        <v>3</v>
      </c>
      <c r="GB178" s="2"/>
      <c r="GC178" s="2"/>
      <c r="GD178" s="2">
        <v>1</v>
      </c>
      <c r="GE178" s="2"/>
      <c r="GF178" s="2">
        <v>-664968350</v>
      </c>
      <c r="GG178" s="2">
        <v>2</v>
      </c>
      <c r="GH178" s="2">
        <v>1</v>
      </c>
      <c r="GI178" s="2">
        <v>-2</v>
      </c>
      <c r="GJ178" s="2">
        <v>0</v>
      </c>
      <c r="GK178" s="2">
        <v>0</v>
      </c>
      <c r="GL178" s="2">
        <f t="shared" si="132"/>
        <v>0</v>
      </c>
      <c r="GM178" s="2">
        <f t="shared" si="133"/>
        <v>91.2</v>
      </c>
      <c r="GN178" s="2">
        <f t="shared" si="134"/>
        <v>0</v>
      </c>
      <c r="GO178" s="2">
        <f t="shared" si="135"/>
        <v>91.2</v>
      </c>
      <c r="GP178" s="2">
        <f t="shared" si="136"/>
        <v>0</v>
      </c>
      <c r="GQ178" s="2"/>
      <c r="GR178" s="2">
        <v>0</v>
      </c>
      <c r="GS178" s="2">
        <v>3</v>
      </c>
      <c r="GT178" s="2">
        <v>0</v>
      </c>
      <c r="GU178" s="2" t="s">
        <v>3</v>
      </c>
      <c r="GV178" s="2">
        <f t="shared" si="137"/>
        <v>0</v>
      </c>
      <c r="GW178" s="2">
        <v>1</v>
      </c>
      <c r="GX178" s="2">
        <f t="shared" si="138"/>
        <v>0</v>
      </c>
      <c r="GY178" s="2"/>
      <c r="GZ178" s="2"/>
      <c r="HA178" s="2">
        <v>0</v>
      </c>
      <c r="HB178" s="2">
        <v>0</v>
      </c>
      <c r="HC178" s="2">
        <f t="shared" si="139"/>
        <v>0</v>
      </c>
      <c r="HD178" s="2"/>
      <c r="HE178" s="2" t="s">
        <v>3</v>
      </c>
      <c r="HF178" s="2" t="s">
        <v>3</v>
      </c>
      <c r="HG178" s="2"/>
      <c r="HH178" s="2"/>
      <c r="HI178" s="2"/>
      <c r="HJ178" s="2"/>
      <c r="HK178" s="2"/>
      <c r="HL178" s="2"/>
      <c r="HM178" s="2" t="s">
        <v>3</v>
      </c>
      <c r="HN178" s="2" t="s">
        <v>3</v>
      </c>
      <c r="HO178" s="2" t="s">
        <v>3</v>
      </c>
      <c r="HP178" s="2" t="s">
        <v>3</v>
      </c>
      <c r="HQ178" s="2" t="s">
        <v>3</v>
      </c>
      <c r="HR178" s="2"/>
      <c r="HS178" s="2">
        <v>0</v>
      </c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>
        <v>0</v>
      </c>
      <c r="IL178" s="2"/>
      <c r="IM178" s="2"/>
      <c r="IN178" s="2"/>
      <c r="IO178" s="2"/>
      <c r="IP178" s="2"/>
      <c r="IQ178" s="2"/>
      <c r="IR178" s="2"/>
      <c r="IS178" s="2"/>
      <c r="IT178" s="2"/>
      <c r="IU178" s="2"/>
    </row>
    <row r="179" spans="1:255" x14ac:dyDescent="0.2">
      <c r="A179">
        <v>17</v>
      </c>
      <c r="B179">
        <v>1</v>
      </c>
      <c r="E179" t="s">
        <v>254</v>
      </c>
      <c r="F179" t="s">
        <v>255</v>
      </c>
      <c r="G179" t="s">
        <v>256</v>
      </c>
      <c r="H179" t="s">
        <v>31</v>
      </c>
      <c r="I179">
        <v>10</v>
      </c>
      <c r="J179">
        <v>0</v>
      </c>
      <c r="K179">
        <v>10</v>
      </c>
      <c r="O179">
        <f t="shared" si="114"/>
        <v>244.42</v>
      </c>
      <c r="P179">
        <f t="shared" si="166"/>
        <v>244.42</v>
      </c>
      <c r="Q179">
        <f t="shared" si="153"/>
        <v>0</v>
      </c>
      <c r="R179">
        <f t="shared" si="154"/>
        <v>0</v>
      </c>
      <c r="S179">
        <f t="shared" si="116"/>
        <v>0</v>
      </c>
      <c r="T179">
        <f t="shared" si="117"/>
        <v>0</v>
      </c>
      <c r="U179">
        <f t="shared" si="118"/>
        <v>0</v>
      </c>
      <c r="V179">
        <f t="shared" si="119"/>
        <v>0</v>
      </c>
      <c r="W179">
        <f t="shared" si="120"/>
        <v>0</v>
      </c>
      <c r="X179">
        <f t="shared" si="155"/>
        <v>0</v>
      </c>
      <c r="Y179">
        <f t="shared" si="156"/>
        <v>0</v>
      </c>
      <c r="AA179">
        <v>60256982</v>
      </c>
      <c r="AB179">
        <f t="shared" si="121"/>
        <v>9.1199999999999992</v>
      </c>
      <c r="AC179">
        <f t="shared" si="122"/>
        <v>9.1199999999999992</v>
      </c>
      <c r="AD179">
        <f t="shared" si="157"/>
        <v>0</v>
      </c>
      <c r="AE179">
        <f t="shared" si="158"/>
        <v>0</v>
      </c>
      <c r="AF179">
        <f t="shared" si="159"/>
        <v>0</v>
      </c>
      <c r="AG179">
        <f t="shared" si="123"/>
        <v>0</v>
      </c>
      <c r="AH179">
        <f t="shared" si="160"/>
        <v>0</v>
      </c>
      <c r="AI179">
        <f t="shared" si="161"/>
        <v>0</v>
      </c>
      <c r="AJ179">
        <f t="shared" si="124"/>
        <v>0</v>
      </c>
      <c r="AK179">
        <v>9.1199999999999992</v>
      </c>
      <c r="AL179">
        <v>9.1199999999999992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</v>
      </c>
      <c r="AW179">
        <v>1</v>
      </c>
      <c r="AZ179">
        <v>1</v>
      </c>
      <c r="BA179">
        <v>1</v>
      </c>
      <c r="BB179">
        <v>1</v>
      </c>
      <c r="BC179">
        <v>2.68</v>
      </c>
      <c r="BD179" t="s">
        <v>3</v>
      </c>
      <c r="BE179" t="s">
        <v>3</v>
      </c>
      <c r="BF179" t="s">
        <v>3</v>
      </c>
      <c r="BG179" t="s">
        <v>3</v>
      </c>
      <c r="BH179">
        <v>3</v>
      </c>
      <c r="BI179">
        <v>2</v>
      </c>
      <c r="BJ179" t="s">
        <v>257</v>
      </c>
      <c r="BM179">
        <v>1618</v>
      </c>
      <c r="BN179">
        <v>58973116</v>
      </c>
      <c r="BO179" t="s">
        <v>255</v>
      </c>
      <c r="BP179">
        <v>1</v>
      </c>
      <c r="BQ179">
        <v>201</v>
      </c>
      <c r="BR179">
        <v>0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 t="s">
        <v>3</v>
      </c>
      <c r="BZ179">
        <v>0</v>
      </c>
      <c r="CA179">
        <v>0</v>
      </c>
      <c r="CB179" t="s">
        <v>3</v>
      </c>
      <c r="CE179">
        <v>1566</v>
      </c>
      <c r="CF179">
        <v>0</v>
      </c>
      <c r="CG179">
        <v>0</v>
      </c>
      <c r="CM179">
        <v>0</v>
      </c>
      <c r="CN179" t="s">
        <v>3</v>
      </c>
      <c r="CO179">
        <v>0</v>
      </c>
      <c r="CP179">
        <f t="shared" si="125"/>
        <v>244.42</v>
      </c>
      <c r="CQ179">
        <f t="shared" si="167"/>
        <v>24.44</v>
      </c>
      <c r="CR179">
        <f t="shared" si="162"/>
        <v>0</v>
      </c>
      <c r="CS179">
        <f t="shared" si="163"/>
        <v>0</v>
      </c>
      <c r="CT179">
        <f t="shared" si="127"/>
        <v>0</v>
      </c>
      <c r="CU179">
        <f t="shared" si="128"/>
        <v>0</v>
      </c>
      <c r="CV179">
        <f t="shared" si="129"/>
        <v>0</v>
      </c>
      <c r="CW179">
        <f t="shared" si="130"/>
        <v>0</v>
      </c>
      <c r="CX179">
        <f t="shared" si="131"/>
        <v>0</v>
      </c>
      <c r="CY179">
        <f t="shared" si="164"/>
        <v>0</v>
      </c>
      <c r="CZ179">
        <f t="shared" si="165"/>
        <v>0</v>
      </c>
      <c r="DC179" t="s">
        <v>3</v>
      </c>
      <c r="DD179" t="s">
        <v>3</v>
      </c>
      <c r="DE179" t="s">
        <v>3</v>
      </c>
      <c r="DF179" t="s">
        <v>3</v>
      </c>
      <c r="DG179" t="s">
        <v>3</v>
      </c>
      <c r="DH179" t="s">
        <v>3</v>
      </c>
      <c r="DI179" t="s">
        <v>3</v>
      </c>
      <c r="DJ179" t="s">
        <v>3</v>
      </c>
      <c r="DK179" t="s">
        <v>3</v>
      </c>
      <c r="DL179" t="s">
        <v>3</v>
      </c>
      <c r="DM179" t="s">
        <v>3</v>
      </c>
      <c r="DN179">
        <v>0</v>
      </c>
      <c r="DO179">
        <v>0</v>
      </c>
      <c r="DP179">
        <v>1</v>
      </c>
      <c r="DQ179">
        <v>1</v>
      </c>
      <c r="DU179">
        <v>1010</v>
      </c>
      <c r="DV179" t="s">
        <v>31</v>
      </c>
      <c r="DW179" t="s">
        <v>31</v>
      </c>
      <c r="DX179">
        <v>1</v>
      </c>
      <c r="DZ179" t="s">
        <v>3</v>
      </c>
      <c r="EA179" t="s">
        <v>3</v>
      </c>
      <c r="EB179" t="s">
        <v>3</v>
      </c>
      <c r="EC179" t="s">
        <v>3</v>
      </c>
      <c r="EE179">
        <v>60088561</v>
      </c>
      <c r="EF179">
        <v>201</v>
      </c>
      <c r="EG179" t="s">
        <v>258</v>
      </c>
      <c r="EH179">
        <v>0</v>
      </c>
      <c r="EI179" t="s">
        <v>3</v>
      </c>
      <c r="EJ179">
        <v>2</v>
      </c>
      <c r="EK179">
        <v>1618</v>
      </c>
      <c r="EL179" t="s">
        <v>259</v>
      </c>
      <c r="EM179" t="s">
        <v>260</v>
      </c>
      <c r="EO179" t="s">
        <v>3</v>
      </c>
      <c r="EQ179">
        <v>0</v>
      </c>
      <c r="ER179">
        <v>9.1199999999999992</v>
      </c>
      <c r="ES179">
        <v>9.1199999999999992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FQ179">
        <v>0</v>
      </c>
      <c r="FR179">
        <v>0</v>
      </c>
      <c r="FS179">
        <v>0</v>
      </c>
      <c r="FX179">
        <v>0</v>
      </c>
      <c r="FY179">
        <v>0</v>
      </c>
      <c r="GA179" t="s">
        <v>3</v>
      </c>
      <c r="GD179">
        <v>1</v>
      </c>
      <c r="GF179">
        <v>-664968350</v>
      </c>
      <c r="GG179">
        <v>2</v>
      </c>
      <c r="GH179">
        <v>1</v>
      </c>
      <c r="GI179">
        <v>2</v>
      </c>
      <c r="GJ179">
        <v>0</v>
      </c>
      <c r="GK179">
        <v>0</v>
      </c>
      <c r="GL179">
        <f t="shared" si="132"/>
        <v>0</v>
      </c>
      <c r="GM179">
        <f t="shared" si="133"/>
        <v>244.42</v>
      </c>
      <c r="GN179">
        <f t="shared" si="134"/>
        <v>0</v>
      </c>
      <c r="GO179">
        <f t="shared" si="135"/>
        <v>244.42</v>
      </c>
      <c r="GP179">
        <f t="shared" si="136"/>
        <v>0</v>
      </c>
      <c r="GR179">
        <v>0</v>
      </c>
      <c r="GS179">
        <v>3</v>
      </c>
      <c r="GT179">
        <v>0</v>
      </c>
      <c r="GU179" t="s">
        <v>3</v>
      </c>
      <c r="GV179">
        <f t="shared" si="137"/>
        <v>0</v>
      </c>
      <c r="GW179">
        <v>1</v>
      </c>
      <c r="GX179">
        <f t="shared" si="138"/>
        <v>0</v>
      </c>
      <c r="HA179">
        <v>0</v>
      </c>
      <c r="HB179">
        <v>0</v>
      </c>
      <c r="HC179">
        <f t="shared" si="139"/>
        <v>0</v>
      </c>
      <c r="HE179" t="s">
        <v>3</v>
      </c>
      <c r="HF179" t="s">
        <v>3</v>
      </c>
      <c r="HM179" t="s">
        <v>3</v>
      </c>
      <c r="HN179" t="s">
        <v>3</v>
      </c>
      <c r="HO179" t="s">
        <v>3</v>
      </c>
      <c r="HP179" t="s">
        <v>3</v>
      </c>
      <c r="HQ179" t="s">
        <v>3</v>
      </c>
      <c r="HS179">
        <v>0</v>
      </c>
      <c r="IK179">
        <v>0</v>
      </c>
    </row>
    <row r="180" spans="1:255" x14ac:dyDescent="0.2">
      <c r="A180" s="2">
        <v>17</v>
      </c>
      <c r="B180" s="2">
        <v>1</v>
      </c>
      <c r="C180" s="2"/>
      <c r="D180" s="2"/>
      <c r="E180" s="2" t="s">
        <v>261</v>
      </c>
      <c r="F180" s="2" t="s">
        <v>262</v>
      </c>
      <c r="G180" s="2" t="s">
        <v>263</v>
      </c>
      <c r="H180" s="2" t="s">
        <v>63</v>
      </c>
      <c r="I180" s="2">
        <f>ROUND(4/100,9)</f>
        <v>0.04</v>
      </c>
      <c r="J180" s="2">
        <v>0</v>
      </c>
      <c r="K180" s="2">
        <f>ROUND(4/100,9)</f>
        <v>0.04</v>
      </c>
      <c r="L180" s="2"/>
      <c r="M180" s="2"/>
      <c r="N180" s="2"/>
      <c r="O180" s="2">
        <f t="shared" si="114"/>
        <v>1.42</v>
      </c>
      <c r="P180" s="2">
        <f t="shared" si="166"/>
        <v>1.42</v>
      </c>
      <c r="Q180" s="2">
        <f t="shared" si="153"/>
        <v>0</v>
      </c>
      <c r="R180" s="2">
        <f t="shared" si="154"/>
        <v>0</v>
      </c>
      <c r="S180" s="2">
        <f t="shared" si="116"/>
        <v>0</v>
      </c>
      <c r="T180" s="2">
        <f t="shared" si="117"/>
        <v>0</v>
      </c>
      <c r="U180" s="2">
        <f t="shared" si="118"/>
        <v>0</v>
      </c>
      <c r="V180" s="2">
        <f t="shared" si="119"/>
        <v>0</v>
      </c>
      <c r="W180" s="2">
        <f t="shared" si="120"/>
        <v>0</v>
      </c>
      <c r="X180" s="2">
        <f t="shared" si="155"/>
        <v>0</v>
      </c>
      <c r="Y180" s="2">
        <f t="shared" si="156"/>
        <v>0</v>
      </c>
      <c r="Z180" s="2"/>
      <c r="AA180" s="2">
        <v>60256985</v>
      </c>
      <c r="AB180" s="2">
        <f t="shared" si="121"/>
        <v>35.4</v>
      </c>
      <c r="AC180" s="2">
        <f t="shared" si="122"/>
        <v>35.4</v>
      </c>
      <c r="AD180" s="2">
        <f t="shared" si="157"/>
        <v>0</v>
      </c>
      <c r="AE180" s="2">
        <f t="shared" si="158"/>
        <v>0</v>
      </c>
      <c r="AF180" s="2">
        <f t="shared" si="159"/>
        <v>0</v>
      </c>
      <c r="AG180" s="2">
        <f t="shared" si="123"/>
        <v>0</v>
      </c>
      <c r="AH180" s="2">
        <f t="shared" si="160"/>
        <v>0</v>
      </c>
      <c r="AI180" s="2">
        <f t="shared" si="161"/>
        <v>0</v>
      </c>
      <c r="AJ180" s="2">
        <f t="shared" si="124"/>
        <v>0</v>
      </c>
      <c r="AK180" s="2">
        <v>35.4</v>
      </c>
      <c r="AL180" s="2">
        <v>35.4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1</v>
      </c>
      <c r="AW180" s="2">
        <v>1</v>
      </c>
      <c r="AX180" s="2"/>
      <c r="AY180" s="2"/>
      <c r="AZ180" s="2">
        <v>1</v>
      </c>
      <c r="BA180" s="2">
        <v>1</v>
      </c>
      <c r="BB180" s="2">
        <v>1</v>
      </c>
      <c r="BC180" s="2">
        <v>1</v>
      </c>
      <c r="BD180" s="2" t="s">
        <v>3</v>
      </c>
      <c r="BE180" s="2" t="s">
        <v>3</v>
      </c>
      <c r="BF180" s="2" t="s">
        <v>3</v>
      </c>
      <c r="BG180" s="2" t="s">
        <v>3</v>
      </c>
      <c r="BH180" s="2">
        <v>3</v>
      </c>
      <c r="BI180" s="2">
        <v>2</v>
      </c>
      <c r="BJ180" s="2" t="s">
        <v>264</v>
      </c>
      <c r="BK180" s="2"/>
      <c r="BL180" s="2"/>
      <c r="BM180" s="2">
        <v>1618</v>
      </c>
      <c r="BN180" s="2">
        <v>58973116</v>
      </c>
      <c r="BO180" s="2" t="s">
        <v>3</v>
      </c>
      <c r="BP180" s="2">
        <v>0</v>
      </c>
      <c r="BQ180" s="2">
        <v>201</v>
      </c>
      <c r="BR180" s="2">
        <v>0</v>
      </c>
      <c r="BS180" s="2">
        <v>1</v>
      </c>
      <c r="BT180" s="2">
        <v>1</v>
      </c>
      <c r="BU180" s="2">
        <v>1</v>
      </c>
      <c r="BV180" s="2">
        <v>1</v>
      </c>
      <c r="BW180" s="2">
        <v>1</v>
      </c>
      <c r="BX180" s="2">
        <v>1</v>
      </c>
      <c r="BY180" s="2" t="s">
        <v>3</v>
      </c>
      <c r="BZ180" s="2">
        <v>0</v>
      </c>
      <c r="CA180" s="2">
        <v>0</v>
      </c>
      <c r="CB180" s="2" t="s">
        <v>3</v>
      </c>
      <c r="CC180" s="2"/>
      <c r="CD180" s="2"/>
      <c r="CE180" s="2">
        <v>1566</v>
      </c>
      <c r="CF180" s="2">
        <v>0</v>
      </c>
      <c r="CG180" s="2">
        <v>0</v>
      </c>
      <c r="CH180" s="2"/>
      <c r="CI180" s="2"/>
      <c r="CJ180" s="2"/>
      <c r="CK180" s="2"/>
      <c r="CL180" s="2"/>
      <c r="CM180" s="2">
        <v>0</v>
      </c>
      <c r="CN180" s="2" t="s">
        <v>3</v>
      </c>
      <c r="CO180" s="2">
        <v>0</v>
      </c>
      <c r="CP180" s="2">
        <f t="shared" si="125"/>
        <v>1.42</v>
      </c>
      <c r="CQ180" s="2">
        <f t="shared" si="167"/>
        <v>35.4</v>
      </c>
      <c r="CR180" s="2">
        <f t="shared" si="162"/>
        <v>0</v>
      </c>
      <c r="CS180" s="2">
        <f t="shared" si="163"/>
        <v>0</v>
      </c>
      <c r="CT180" s="2">
        <f t="shared" si="127"/>
        <v>0</v>
      </c>
      <c r="CU180" s="2">
        <f t="shared" si="128"/>
        <v>0</v>
      </c>
      <c r="CV180" s="2">
        <f t="shared" si="129"/>
        <v>0</v>
      </c>
      <c r="CW180" s="2">
        <f t="shared" si="130"/>
        <v>0</v>
      </c>
      <c r="CX180" s="2">
        <f t="shared" si="131"/>
        <v>0</v>
      </c>
      <c r="CY180" s="2">
        <f t="shared" si="164"/>
        <v>0</v>
      </c>
      <c r="CZ180" s="2">
        <f t="shared" si="165"/>
        <v>0</v>
      </c>
      <c r="DA180" s="2"/>
      <c r="DB180" s="2"/>
      <c r="DC180" s="2" t="s">
        <v>3</v>
      </c>
      <c r="DD180" s="2" t="s">
        <v>3</v>
      </c>
      <c r="DE180" s="2" t="s">
        <v>3</v>
      </c>
      <c r="DF180" s="2" t="s">
        <v>3</v>
      </c>
      <c r="DG180" s="2" t="s">
        <v>3</v>
      </c>
      <c r="DH180" s="2" t="s">
        <v>3</v>
      </c>
      <c r="DI180" s="2" t="s">
        <v>3</v>
      </c>
      <c r="DJ180" s="2" t="s">
        <v>3</v>
      </c>
      <c r="DK180" s="2" t="s">
        <v>3</v>
      </c>
      <c r="DL180" s="2" t="s">
        <v>3</v>
      </c>
      <c r="DM180" s="2" t="s">
        <v>3</v>
      </c>
      <c r="DN180" s="2">
        <v>0</v>
      </c>
      <c r="DO180" s="2">
        <v>0</v>
      </c>
      <c r="DP180" s="2">
        <v>1</v>
      </c>
      <c r="DQ180" s="2">
        <v>1</v>
      </c>
      <c r="DR180" s="2"/>
      <c r="DS180" s="2"/>
      <c r="DT180" s="2"/>
      <c r="DU180" s="2">
        <v>1010</v>
      </c>
      <c r="DV180" s="2" t="s">
        <v>63</v>
      </c>
      <c r="DW180" s="2" t="s">
        <v>63</v>
      </c>
      <c r="DX180" s="2">
        <v>100</v>
      </c>
      <c r="DY180" s="2"/>
      <c r="DZ180" s="2" t="s">
        <v>3</v>
      </c>
      <c r="EA180" s="2" t="s">
        <v>3</v>
      </c>
      <c r="EB180" s="2" t="s">
        <v>3</v>
      </c>
      <c r="EC180" s="2" t="s">
        <v>3</v>
      </c>
      <c r="ED180" s="2"/>
      <c r="EE180" s="2">
        <v>60088561</v>
      </c>
      <c r="EF180" s="2">
        <v>201</v>
      </c>
      <c r="EG180" s="2" t="s">
        <v>258</v>
      </c>
      <c r="EH180" s="2">
        <v>0</v>
      </c>
      <c r="EI180" s="2" t="s">
        <v>3</v>
      </c>
      <c r="EJ180" s="2">
        <v>2</v>
      </c>
      <c r="EK180" s="2">
        <v>1618</v>
      </c>
      <c r="EL180" s="2" t="s">
        <v>259</v>
      </c>
      <c r="EM180" s="2" t="s">
        <v>260</v>
      </c>
      <c r="EN180" s="2"/>
      <c r="EO180" s="2" t="s">
        <v>3</v>
      </c>
      <c r="EP180" s="2"/>
      <c r="EQ180" s="2">
        <v>0</v>
      </c>
      <c r="ER180" s="2">
        <v>35.4</v>
      </c>
      <c r="ES180" s="2">
        <v>35.4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>
        <v>0</v>
      </c>
      <c r="FR180" s="2">
        <v>0</v>
      </c>
      <c r="FS180" s="2">
        <v>0</v>
      </c>
      <c r="FT180" s="2"/>
      <c r="FU180" s="2"/>
      <c r="FV180" s="2"/>
      <c r="FW180" s="2"/>
      <c r="FX180" s="2">
        <v>0</v>
      </c>
      <c r="FY180" s="2">
        <v>0</v>
      </c>
      <c r="FZ180" s="2"/>
      <c r="GA180" s="2" t="s">
        <v>3</v>
      </c>
      <c r="GB180" s="2"/>
      <c r="GC180" s="2"/>
      <c r="GD180" s="2">
        <v>1</v>
      </c>
      <c r="GE180" s="2"/>
      <c r="GF180" s="2">
        <v>-520237615</v>
      </c>
      <c r="GG180" s="2">
        <v>2</v>
      </c>
      <c r="GH180" s="2">
        <v>1</v>
      </c>
      <c r="GI180" s="2">
        <v>-2</v>
      </c>
      <c r="GJ180" s="2">
        <v>0</v>
      </c>
      <c r="GK180" s="2">
        <v>0</v>
      </c>
      <c r="GL180" s="2">
        <f t="shared" si="132"/>
        <v>0</v>
      </c>
      <c r="GM180" s="2">
        <f t="shared" si="133"/>
        <v>1.42</v>
      </c>
      <c r="GN180" s="2">
        <f t="shared" si="134"/>
        <v>0</v>
      </c>
      <c r="GO180" s="2">
        <f t="shared" si="135"/>
        <v>1.42</v>
      </c>
      <c r="GP180" s="2">
        <f t="shared" si="136"/>
        <v>0</v>
      </c>
      <c r="GQ180" s="2"/>
      <c r="GR180" s="2">
        <v>0</v>
      </c>
      <c r="GS180" s="2">
        <v>3</v>
      </c>
      <c r="GT180" s="2">
        <v>0</v>
      </c>
      <c r="GU180" s="2" t="s">
        <v>3</v>
      </c>
      <c r="GV180" s="2">
        <f t="shared" si="137"/>
        <v>0</v>
      </c>
      <c r="GW180" s="2">
        <v>1</v>
      </c>
      <c r="GX180" s="2">
        <f t="shared" si="138"/>
        <v>0</v>
      </c>
      <c r="GY180" s="2"/>
      <c r="GZ180" s="2"/>
      <c r="HA180" s="2">
        <v>0</v>
      </c>
      <c r="HB180" s="2">
        <v>0</v>
      </c>
      <c r="HC180" s="2">
        <f t="shared" si="139"/>
        <v>0</v>
      </c>
      <c r="HD180" s="2"/>
      <c r="HE180" s="2" t="s">
        <v>3</v>
      </c>
      <c r="HF180" s="2" t="s">
        <v>3</v>
      </c>
      <c r="HG180" s="2"/>
      <c r="HH180" s="2"/>
      <c r="HI180" s="2"/>
      <c r="HJ180" s="2"/>
      <c r="HK180" s="2"/>
      <c r="HL180" s="2"/>
      <c r="HM180" s="2" t="s">
        <v>3</v>
      </c>
      <c r="HN180" s="2" t="s">
        <v>3</v>
      </c>
      <c r="HO180" s="2" t="s">
        <v>3</v>
      </c>
      <c r="HP180" s="2" t="s">
        <v>3</v>
      </c>
      <c r="HQ180" s="2" t="s">
        <v>3</v>
      </c>
      <c r="HR180" s="2"/>
      <c r="HS180" s="2">
        <v>0</v>
      </c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>
        <v>0</v>
      </c>
      <c r="IL180" s="2"/>
      <c r="IM180" s="2"/>
      <c r="IN180" s="2"/>
      <c r="IO180" s="2"/>
      <c r="IP180" s="2"/>
      <c r="IQ180" s="2"/>
      <c r="IR180" s="2"/>
      <c r="IS180" s="2"/>
      <c r="IT180" s="2"/>
      <c r="IU180" s="2"/>
    </row>
    <row r="181" spans="1:255" x14ac:dyDescent="0.2">
      <c r="A181">
        <v>17</v>
      </c>
      <c r="B181">
        <v>1</v>
      </c>
      <c r="E181" t="s">
        <v>261</v>
      </c>
      <c r="F181" t="s">
        <v>262</v>
      </c>
      <c r="G181" t="s">
        <v>263</v>
      </c>
      <c r="H181" t="s">
        <v>63</v>
      </c>
      <c r="I181">
        <f>ROUND(4/100,9)</f>
        <v>0.04</v>
      </c>
      <c r="J181">
        <v>0</v>
      </c>
      <c r="K181">
        <f>ROUND(4/100,9)</f>
        <v>0.04</v>
      </c>
      <c r="O181">
        <f t="shared" si="114"/>
        <v>18.62</v>
      </c>
      <c r="P181">
        <f t="shared" si="166"/>
        <v>18.62</v>
      </c>
      <c r="Q181">
        <f t="shared" si="153"/>
        <v>0</v>
      </c>
      <c r="R181">
        <f t="shared" si="154"/>
        <v>0</v>
      </c>
      <c r="S181">
        <f t="shared" si="116"/>
        <v>0</v>
      </c>
      <c r="T181">
        <f t="shared" si="117"/>
        <v>0</v>
      </c>
      <c r="U181">
        <f t="shared" si="118"/>
        <v>0</v>
      </c>
      <c r="V181">
        <f t="shared" si="119"/>
        <v>0</v>
      </c>
      <c r="W181">
        <f t="shared" si="120"/>
        <v>0</v>
      </c>
      <c r="X181">
        <f t="shared" si="155"/>
        <v>0</v>
      </c>
      <c r="Y181">
        <f t="shared" si="156"/>
        <v>0</v>
      </c>
      <c r="AA181">
        <v>60256982</v>
      </c>
      <c r="AB181">
        <f t="shared" si="121"/>
        <v>35.4</v>
      </c>
      <c r="AC181">
        <f t="shared" si="122"/>
        <v>35.4</v>
      </c>
      <c r="AD181">
        <f t="shared" si="157"/>
        <v>0</v>
      </c>
      <c r="AE181">
        <f t="shared" si="158"/>
        <v>0</v>
      </c>
      <c r="AF181">
        <f t="shared" si="159"/>
        <v>0</v>
      </c>
      <c r="AG181">
        <f t="shared" si="123"/>
        <v>0</v>
      </c>
      <c r="AH181">
        <f t="shared" si="160"/>
        <v>0</v>
      </c>
      <c r="AI181">
        <f t="shared" si="161"/>
        <v>0</v>
      </c>
      <c r="AJ181">
        <f t="shared" si="124"/>
        <v>0</v>
      </c>
      <c r="AK181">
        <v>35.4</v>
      </c>
      <c r="AL181">
        <v>35.4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1</v>
      </c>
      <c r="AZ181">
        <v>1</v>
      </c>
      <c r="BA181">
        <v>1</v>
      </c>
      <c r="BB181">
        <v>1</v>
      </c>
      <c r="BC181">
        <v>13.11</v>
      </c>
      <c r="BD181" t="s">
        <v>3</v>
      </c>
      <c r="BE181" t="s">
        <v>3</v>
      </c>
      <c r="BF181" t="s">
        <v>3</v>
      </c>
      <c r="BG181" t="s">
        <v>3</v>
      </c>
      <c r="BH181">
        <v>3</v>
      </c>
      <c r="BI181">
        <v>2</v>
      </c>
      <c r="BJ181" t="s">
        <v>264</v>
      </c>
      <c r="BM181">
        <v>1618</v>
      </c>
      <c r="BN181">
        <v>58973116</v>
      </c>
      <c r="BO181" t="s">
        <v>262</v>
      </c>
      <c r="BP181">
        <v>1</v>
      </c>
      <c r="BQ181">
        <v>201</v>
      </c>
      <c r="BR181">
        <v>0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 t="s">
        <v>3</v>
      </c>
      <c r="BZ181">
        <v>0</v>
      </c>
      <c r="CA181">
        <v>0</v>
      </c>
      <c r="CB181" t="s">
        <v>3</v>
      </c>
      <c r="CE181">
        <v>1566</v>
      </c>
      <c r="CF181">
        <v>0</v>
      </c>
      <c r="CG181">
        <v>0</v>
      </c>
      <c r="CM181">
        <v>0</v>
      </c>
      <c r="CN181" t="s">
        <v>3</v>
      </c>
      <c r="CO181">
        <v>0</v>
      </c>
      <c r="CP181">
        <f t="shared" si="125"/>
        <v>18.62</v>
      </c>
      <c r="CQ181">
        <f t="shared" si="167"/>
        <v>464.09</v>
      </c>
      <c r="CR181">
        <f t="shared" si="162"/>
        <v>0</v>
      </c>
      <c r="CS181">
        <f t="shared" si="163"/>
        <v>0</v>
      </c>
      <c r="CT181">
        <f t="shared" si="127"/>
        <v>0</v>
      </c>
      <c r="CU181">
        <f t="shared" si="128"/>
        <v>0</v>
      </c>
      <c r="CV181">
        <f t="shared" si="129"/>
        <v>0</v>
      </c>
      <c r="CW181">
        <f t="shared" si="130"/>
        <v>0</v>
      </c>
      <c r="CX181">
        <f t="shared" si="131"/>
        <v>0</v>
      </c>
      <c r="CY181">
        <f t="shared" si="164"/>
        <v>0</v>
      </c>
      <c r="CZ181">
        <f t="shared" si="165"/>
        <v>0</v>
      </c>
      <c r="DC181" t="s">
        <v>3</v>
      </c>
      <c r="DD181" t="s">
        <v>3</v>
      </c>
      <c r="DE181" t="s">
        <v>3</v>
      </c>
      <c r="DF181" t="s">
        <v>3</v>
      </c>
      <c r="DG181" t="s">
        <v>3</v>
      </c>
      <c r="DH181" t="s">
        <v>3</v>
      </c>
      <c r="DI181" t="s">
        <v>3</v>
      </c>
      <c r="DJ181" t="s">
        <v>3</v>
      </c>
      <c r="DK181" t="s">
        <v>3</v>
      </c>
      <c r="DL181" t="s">
        <v>3</v>
      </c>
      <c r="DM181" t="s">
        <v>3</v>
      </c>
      <c r="DN181">
        <v>0</v>
      </c>
      <c r="DO181">
        <v>0</v>
      </c>
      <c r="DP181">
        <v>1</v>
      </c>
      <c r="DQ181">
        <v>1</v>
      </c>
      <c r="DU181">
        <v>1010</v>
      </c>
      <c r="DV181" t="s">
        <v>63</v>
      </c>
      <c r="DW181" t="s">
        <v>63</v>
      </c>
      <c r="DX181">
        <v>100</v>
      </c>
      <c r="DZ181" t="s">
        <v>3</v>
      </c>
      <c r="EA181" t="s">
        <v>3</v>
      </c>
      <c r="EB181" t="s">
        <v>3</v>
      </c>
      <c r="EC181" t="s">
        <v>3</v>
      </c>
      <c r="EE181">
        <v>60088561</v>
      </c>
      <c r="EF181">
        <v>201</v>
      </c>
      <c r="EG181" t="s">
        <v>258</v>
      </c>
      <c r="EH181">
        <v>0</v>
      </c>
      <c r="EI181" t="s">
        <v>3</v>
      </c>
      <c r="EJ181">
        <v>2</v>
      </c>
      <c r="EK181">
        <v>1618</v>
      </c>
      <c r="EL181" t="s">
        <v>259</v>
      </c>
      <c r="EM181" t="s">
        <v>260</v>
      </c>
      <c r="EO181" t="s">
        <v>3</v>
      </c>
      <c r="EQ181">
        <v>0</v>
      </c>
      <c r="ER181">
        <v>35.4</v>
      </c>
      <c r="ES181">
        <v>35.4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FQ181">
        <v>0</v>
      </c>
      <c r="FR181">
        <v>0</v>
      </c>
      <c r="FS181">
        <v>0</v>
      </c>
      <c r="FX181">
        <v>0</v>
      </c>
      <c r="FY181">
        <v>0</v>
      </c>
      <c r="GA181" t="s">
        <v>3</v>
      </c>
      <c r="GD181">
        <v>1</v>
      </c>
      <c r="GF181">
        <v>-520237615</v>
      </c>
      <c r="GG181">
        <v>2</v>
      </c>
      <c r="GH181">
        <v>1</v>
      </c>
      <c r="GI181">
        <v>2</v>
      </c>
      <c r="GJ181">
        <v>0</v>
      </c>
      <c r="GK181">
        <v>0</v>
      </c>
      <c r="GL181">
        <f t="shared" si="132"/>
        <v>0</v>
      </c>
      <c r="GM181">
        <f t="shared" si="133"/>
        <v>18.62</v>
      </c>
      <c r="GN181">
        <f t="shared" si="134"/>
        <v>0</v>
      </c>
      <c r="GO181">
        <f t="shared" si="135"/>
        <v>18.62</v>
      </c>
      <c r="GP181">
        <f t="shared" si="136"/>
        <v>0</v>
      </c>
      <c r="GR181">
        <v>0</v>
      </c>
      <c r="GS181">
        <v>3</v>
      </c>
      <c r="GT181">
        <v>0</v>
      </c>
      <c r="GU181" t="s">
        <v>3</v>
      </c>
      <c r="GV181">
        <f t="shared" si="137"/>
        <v>0</v>
      </c>
      <c r="GW181">
        <v>1</v>
      </c>
      <c r="GX181">
        <f t="shared" si="138"/>
        <v>0</v>
      </c>
      <c r="HA181">
        <v>0</v>
      </c>
      <c r="HB181">
        <v>0</v>
      </c>
      <c r="HC181">
        <f t="shared" si="139"/>
        <v>0</v>
      </c>
      <c r="HE181" t="s">
        <v>3</v>
      </c>
      <c r="HF181" t="s">
        <v>3</v>
      </c>
      <c r="HM181" t="s">
        <v>3</v>
      </c>
      <c r="HN181" t="s">
        <v>3</v>
      </c>
      <c r="HO181" t="s">
        <v>3</v>
      </c>
      <c r="HP181" t="s">
        <v>3</v>
      </c>
      <c r="HQ181" t="s">
        <v>3</v>
      </c>
      <c r="HS181">
        <v>0</v>
      </c>
      <c r="IK181">
        <v>0</v>
      </c>
    </row>
    <row r="182" spans="1:255" x14ac:dyDescent="0.2">
      <c r="A182" s="2">
        <v>17</v>
      </c>
      <c r="B182" s="2">
        <v>1</v>
      </c>
      <c r="C182" s="2"/>
      <c r="D182" s="2"/>
      <c r="E182" s="2" t="s">
        <v>265</v>
      </c>
      <c r="F182" s="2" t="s">
        <v>266</v>
      </c>
      <c r="G182" s="2" t="s">
        <v>267</v>
      </c>
      <c r="H182" s="2" t="s">
        <v>31</v>
      </c>
      <c r="I182" s="2">
        <v>3</v>
      </c>
      <c r="J182" s="2">
        <v>0</v>
      </c>
      <c r="K182" s="2">
        <v>3</v>
      </c>
      <c r="L182" s="2"/>
      <c r="M182" s="2"/>
      <c r="N182" s="2"/>
      <c r="O182" s="2">
        <f t="shared" si="114"/>
        <v>104.04</v>
      </c>
      <c r="P182" s="2">
        <f t="shared" si="166"/>
        <v>104.04</v>
      </c>
      <c r="Q182" s="2">
        <f t="shared" si="153"/>
        <v>0</v>
      </c>
      <c r="R182" s="2">
        <f t="shared" si="154"/>
        <v>0</v>
      </c>
      <c r="S182" s="2">
        <f t="shared" si="116"/>
        <v>0</v>
      </c>
      <c r="T182" s="2">
        <f t="shared" si="117"/>
        <v>0</v>
      </c>
      <c r="U182" s="2">
        <f t="shared" si="118"/>
        <v>0</v>
      </c>
      <c r="V182" s="2">
        <f t="shared" si="119"/>
        <v>0</v>
      </c>
      <c r="W182" s="2">
        <f t="shared" si="120"/>
        <v>0</v>
      </c>
      <c r="X182" s="2">
        <f t="shared" si="155"/>
        <v>0</v>
      </c>
      <c r="Y182" s="2">
        <f t="shared" si="156"/>
        <v>0</v>
      </c>
      <c r="Z182" s="2"/>
      <c r="AA182" s="2">
        <v>60256985</v>
      </c>
      <c r="AB182" s="2">
        <f t="shared" si="121"/>
        <v>34.68</v>
      </c>
      <c r="AC182" s="2">
        <f t="shared" si="122"/>
        <v>34.68</v>
      </c>
      <c r="AD182" s="2">
        <f t="shared" si="157"/>
        <v>0</v>
      </c>
      <c r="AE182" s="2">
        <f t="shared" si="158"/>
        <v>0</v>
      </c>
      <c r="AF182" s="2">
        <f t="shared" si="159"/>
        <v>0</v>
      </c>
      <c r="AG182" s="2">
        <f t="shared" si="123"/>
        <v>0</v>
      </c>
      <c r="AH182" s="2">
        <f t="shared" si="160"/>
        <v>0</v>
      </c>
      <c r="AI182" s="2">
        <f t="shared" si="161"/>
        <v>0</v>
      </c>
      <c r="AJ182" s="2">
        <f t="shared" si="124"/>
        <v>0</v>
      </c>
      <c r="AK182" s="2">
        <v>34.68</v>
      </c>
      <c r="AL182" s="2">
        <v>34.68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1</v>
      </c>
      <c r="AW182" s="2">
        <v>1</v>
      </c>
      <c r="AX182" s="2"/>
      <c r="AY182" s="2"/>
      <c r="AZ182" s="2">
        <v>1</v>
      </c>
      <c r="BA182" s="2">
        <v>1</v>
      </c>
      <c r="BB182" s="2">
        <v>1</v>
      </c>
      <c r="BC182" s="2">
        <v>1</v>
      </c>
      <c r="BD182" s="2" t="s">
        <v>3</v>
      </c>
      <c r="BE182" s="2" t="s">
        <v>3</v>
      </c>
      <c r="BF182" s="2" t="s">
        <v>3</v>
      </c>
      <c r="BG182" s="2" t="s">
        <v>3</v>
      </c>
      <c r="BH182" s="2">
        <v>3</v>
      </c>
      <c r="BI182" s="2">
        <v>2</v>
      </c>
      <c r="BJ182" s="2" t="s">
        <v>268</v>
      </c>
      <c r="BK182" s="2"/>
      <c r="BL182" s="2"/>
      <c r="BM182" s="2">
        <v>1618</v>
      </c>
      <c r="BN182" s="2">
        <v>58973116</v>
      </c>
      <c r="BO182" s="2" t="s">
        <v>3</v>
      </c>
      <c r="BP182" s="2">
        <v>0</v>
      </c>
      <c r="BQ182" s="2">
        <v>201</v>
      </c>
      <c r="BR182" s="2">
        <v>0</v>
      </c>
      <c r="BS182" s="2">
        <v>1</v>
      </c>
      <c r="BT182" s="2">
        <v>1</v>
      </c>
      <c r="BU182" s="2">
        <v>1</v>
      </c>
      <c r="BV182" s="2">
        <v>1</v>
      </c>
      <c r="BW182" s="2">
        <v>1</v>
      </c>
      <c r="BX182" s="2">
        <v>1</v>
      </c>
      <c r="BY182" s="2" t="s">
        <v>3</v>
      </c>
      <c r="BZ182" s="2">
        <v>0</v>
      </c>
      <c r="CA182" s="2">
        <v>0</v>
      </c>
      <c r="CB182" s="2" t="s">
        <v>3</v>
      </c>
      <c r="CC182" s="2"/>
      <c r="CD182" s="2"/>
      <c r="CE182" s="2">
        <v>1566</v>
      </c>
      <c r="CF182" s="2">
        <v>0</v>
      </c>
      <c r="CG182" s="2">
        <v>0</v>
      </c>
      <c r="CH182" s="2"/>
      <c r="CI182" s="2"/>
      <c r="CJ182" s="2"/>
      <c r="CK182" s="2"/>
      <c r="CL182" s="2"/>
      <c r="CM182" s="2">
        <v>0</v>
      </c>
      <c r="CN182" s="2" t="s">
        <v>3</v>
      </c>
      <c r="CO182" s="2">
        <v>0</v>
      </c>
      <c r="CP182" s="2">
        <f t="shared" si="125"/>
        <v>104.04</v>
      </c>
      <c r="CQ182" s="2">
        <f t="shared" si="167"/>
        <v>34.68</v>
      </c>
      <c r="CR182" s="2">
        <f t="shared" si="162"/>
        <v>0</v>
      </c>
      <c r="CS182" s="2">
        <f t="shared" si="163"/>
        <v>0</v>
      </c>
      <c r="CT182" s="2">
        <f t="shared" si="127"/>
        <v>0</v>
      </c>
      <c r="CU182" s="2">
        <f t="shared" si="128"/>
        <v>0</v>
      </c>
      <c r="CV182" s="2">
        <f t="shared" si="129"/>
        <v>0</v>
      </c>
      <c r="CW182" s="2">
        <f t="shared" si="130"/>
        <v>0</v>
      </c>
      <c r="CX182" s="2">
        <f t="shared" si="131"/>
        <v>0</v>
      </c>
      <c r="CY182" s="2">
        <f t="shared" si="164"/>
        <v>0</v>
      </c>
      <c r="CZ182" s="2">
        <f t="shared" si="165"/>
        <v>0</v>
      </c>
      <c r="DA182" s="2"/>
      <c r="DB182" s="2"/>
      <c r="DC182" s="2" t="s">
        <v>3</v>
      </c>
      <c r="DD182" s="2" t="s">
        <v>3</v>
      </c>
      <c r="DE182" s="2" t="s">
        <v>3</v>
      </c>
      <c r="DF182" s="2" t="s">
        <v>3</v>
      </c>
      <c r="DG182" s="2" t="s">
        <v>3</v>
      </c>
      <c r="DH182" s="2" t="s">
        <v>3</v>
      </c>
      <c r="DI182" s="2" t="s">
        <v>3</v>
      </c>
      <c r="DJ182" s="2" t="s">
        <v>3</v>
      </c>
      <c r="DK182" s="2" t="s">
        <v>3</v>
      </c>
      <c r="DL182" s="2" t="s">
        <v>3</v>
      </c>
      <c r="DM182" s="2" t="s">
        <v>3</v>
      </c>
      <c r="DN182" s="2">
        <v>0</v>
      </c>
      <c r="DO182" s="2">
        <v>0</v>
      </c>
      <c r="DP182" s="2">
        <v>1</v>
      </c>
      <c r="DQ182" s="2">
        <v>1</v>
      </c>
      <c r="DR182" s="2"/>
      <c r="DS182" s="2"/>
      <c r="DT182" s="2"/>
      <c r="DU182" s="2">
        <v>1010</v>
      </c>
      <c r="DV182" s="2" t="s">
        <v>31</v>
      </c>
      <c r="DW182" s="2" t="s">
        <v>31</v>
      </c>
      <c r="DX182" s="2">
        <v>1</v>
      </c>
      <c r="DY182" s="2"/>
      <c r="DZ182" s="2" t="s">
        <v>3</v>
      </c>
      <c r="EA182" s="2" t="s">
        <v>3</v>
      </c>
      <c r="EB182" s="2" t="s">
        <v>3</v>
      </c>
      <c r="EC182" s="2" t="s">
        <v>3</v>
      </c>
      <c r="ED182" s="2"/>
      <c r="EE182" s="2">
        <v>60088561</v>
      </c>
      <c r="EF182" s="2">
        <v>201</v>
      </c>
      <c r="EG182" s="2" t="s">
        <v>258</v>
      </c>
      <c r="EH182" s="2">
        <v>0</v>
      </c>
      <c r="EI182" s="2" t="s">
        <v>3</v>
      </c>
      <c r="EJ182" s="2">
        <v>2</v>
      </c>
      <c r="EK182" s="2">
        <v>1618</v>
      </c>
      <c r="EL182" s="2" t="s">
        <v>259</v>
      </c>
      <c r="EM182" s="2" t="s">
        <v>260</v>
      </c>
      <c r="EN182" s="2"/>
      <c r="EO182" s="2" t="s">
        <v>3</v>
      </c>
      <c r="EP182" s="2"/>
      <c r="EQ182" s="2">
        <v>0</v>
      </c>
      <c r="ER182" s="2">
        <v>34.68</v>
      </c>
      <c r="ES182" s="2">
        <v>34.68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>
        <v>0</v>
      </c>
      <c r="FR182" s="2">
        <v>0</v>
      </c>
      <c r="FS182" s="2">
        <v>0</v>
      </c>
      <c r="FT182" s="2"/>
      <c r="FU182" s="2"/>
      <c r="FV182" s="2"/>
      <c r="FW182" s="2"/>
      <c r="FX182" s="2">
        <v>0</v>
      </c>
      <c r="FY182" s="2">
        <v>0</v>
      </c>
      <c r="FZ182" s="2"/>
      <c r="GA182" s="2" t="s">
        <v>3</v>
      </c>
      <c r="GB182" s="2"/>
      <c r="GC182" s="2"/>
      <c r="GD182" s="2">
        <v>1</v>
      </c>
      <c r="GE182" s="2"/>
      <c r="GF182" s="2">
        <v>1595012652</v>
      </c>
      <c r="GG182" s="2">
        <v>2</v>
      </c>
      <c r="GH182" s="2">
        <v>1</v>
      </c>
      <c r="GI182" s="2">
        <v>-2</v>
      </c>
      <c r="GJ182" s="2">
        <v>0</v>
      </c>
      <c r="GK182" s="2">
        <v>0</v>
      </c>
      <c r="GL182" s="2">
        <f t="shared" si="132"/>
        <v>0</v>
      </c>
      <c r="GM182" s="2">
        <f t="shared" si="133"/>
        <v>104.04</v>
      </c>
      <c r="GN182" s="2">
        <f t="shared" si="134"/>
        <v>0</v>
      </c>
      <c r="GO182" s="2">
        <f t="shared" si="135"/>
        <v>104.04</v>
      </c>
      <c r="GP182" s="2">
        <f t="shared" si="136"/>
        <v>0</v>
      </c>
      <c r="GQ182" s="2"/>
      <c r="GR182" s="2">
        <v>0</v>
      </c>
      <c r="GS182" s="2">
        <v>3</v>
      </c>
      <c r="GT182" s="2">
        <v>0</v>
      </c>
      <c r="GU182" s="2" t="s">
        <v>3</v>
      </c>
      <c r="GV182" s="2">
        <f t="shared" si="137"/>
        <v>0</v>
      </c>
      <c r="GW182" s="2">
        <v>1</v>
      </c>
      <c r="GX182" s="2">
        <f t="shared" si="138"/>
        <v>0</v>
      </c>
      <c r="GY182" s="2"/>
      <c r="GZ182" s="2"/>
      <c r="HA182" s="2">
        <v>0</v>
      </c>
      <c r="HB182" s="2">
        <v>0</v>
      </c>
      <c r="HC182" s="2">
        <f t="shared" si="139"/>
        <v>0</v>
      </c>
      <c r="HD182" s="2"/>
      <c r="HE182" s="2" t="s">
        <v>3</v>
      </c>
      <c r="HF182" s="2" t="s">
        <v>3</v>
      </c>
      <c r="HG182" s="2"/>
      <c r="HH182" s="2"/>
      <c r="HI182" s="2"/>
      <c r="HJ182" s="2"/>
      <c r="HK182" s="2"/>
      <c r="HL182" s="2"/>
      <c r="HM182" s="2" t="s">
        <v>3</v>
      </c>
      <c r="HN182" s="2" t="s">
        <v>3</v>
      </c>
      <c r="HO182" s="2" t="s">
        <v>3</v>
      </c>
      <c r="HP182" s="2" t="s">
        <v>3</v>
      </c>
      <c r="HQ182" s="2" t="s">
        <v>3</v>
      </c>
      <c r="HR182" s="2"/>
      <c r="HS182" s="2">
        <v>0</v>
      </c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>
        <v>0</v>
      </c>
      <c r="IL182" s="2"/>
      <c r="IM182" s="2"/>
      <c r="IN182" s="2"/>
      <c r="IO182" s="2"/>
      <c r="IP182" s="2"/>
      <c r="IQ182" s="2"/>
      <c r="IR182" s="2"/>
      <c r="IS182" s="2"/>
      <c r="IT182" s="2"/>
      <c r="IU182" s="2"/>
    </row>
    <row r="183" spans="1:255" x14ac:dyDescent="0.2">
      <c r="A183">
        <v>17</v>
      </c>
      <c r="B183">
        <v>1</v>
      </c>
      <c r="E183" t="s">
        <v>265</v>
      </c>
      <c r="F183" t="s">
        <v>266</v>
      </c>
      <c r="G183" t="s">
        <v>267</v>
      </c>
      <c r="H183" t="s">
        <v>31</v>
      </c>
      <c r="I183">
        <v>3</v>
      </c>
      <c r="J183">
        <v>0</v>
      </c>
      <c r="K183">
        <v>3</v>
      </c>
      <c r="O183">
        <f t="shared" si="114"/>
        <v>150.86000000000001</v>
      </c>
      <c r="P183">
        <f t="shared" si="166"/>
        <v>150.86000000000001</v>
      </c>
      <c r="Q183">
        <f t="shared" si="153"/>
        <v>0</v>
      </c>
      <c r="R183">
        <f t="shared" si="154"/>
        <v>0</v>
      </c>
      <c r="S183">
        <f t="shared" si="116"/>
        <v>0</v>
      </c>
      <c r="T183">
        <f t="shared" si="117"/>
        <v>0</v>
      </c>
      <c r="U183">
        <f t="shared" si="118"/>
        <v>0</v>
      </c>
      <c r="V183">
        <f t="shared" si="119"/>
        <v>0</v>
      </c>
      <c r="W183">
        <f t="shared" si="120"/>
        <v>0</v>
      </c>
      <c r="X183">
        <f t="shared" si="155"/>
        <v>0</v>
      </c>
      <c r="Y183">
        <f t="shared" si="156"/>
        <v>0</v>
      </c>
      <c r="AA183">
        <v>60256982</v>
      </c>
      <c r="AB183">
        <f t="shared" si="121"/>
        <v>34.68</v>
      </c>
      <c r="AC183">
        <f t="shared" si="122"/>
        <v>34.68</v>
      </c>
      <c r="AD183">
        <f t="shared" si="157"/>
        <v>0</v>
      </c>
      <c r="AE183">
        <f t="shared" si="158"/>
        <v>0</v>
      </c>
      <c r="AF183">
        <f t="shared" si="159"/>
        <v>0</v>
      </c>
      <c r="AG183">
        <f t="shared" si="123"/>
        <v>0</v>
      </c>
      <c r="AH183">
        <f t="shared" si="160"/>
        <v>0</v>
      </c>
      <c r="AI183">
        <f t="shared" si="161"/>
        <v>0</v>
      </c>
      <c r="AJ183">
        <f t="shared" si="124"/>
        <v>0</v>
      </c>
      <c r="AK183">
        <v>34.68</v>
      </c>
      <c r="AL183">
        <v>34.68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1</v>
      </c>
      <c r="AZ183">
        <v>1</v>
      </c>
      <c r="BA183">
        <v>1</v>
      </c>
      <c r="BB183">
        <v>1</v>
      </c>
      <c r="BC183">
        <v>1.45</v>
      </c>
      <c r="BD183" t="s">
        <v>3</v>
      </c>
      <c r="BE183" t="s">
        <v>3</v>
      </c>
      <c r="BF183" t="s">
        <v>3</v>
      </c>
      <c r="BG183" t="s">
        <v>3</v>
      </c>
      <c r="BH183">
        <v>3</v>
      </c>
      <c r="BI183">
        <v>2</v>
      </c>
      <c r="BJ183" t="s">
        <v>268</v>
      </c>
      <c r="BM183">
        <v>1618</v>
      </c>
      <c r="BN183">
        <v>58973116</v>
      </c>
      <c r="BO183" t="s">
        <v>266</v>
      </c>
      <c r="BP183">
        <v>1</v>
      </c>
      <c r="BQ183">
        <v>201</v>
      </c>
      <c r="BR183">
        <v>0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 t="s">
        <v>3</v>
      </c>
      <c r="BZ183">
        <v>0</v>
      </c>
      <c r="CA183">
        <v>0</v>
      </c>
      <c r="CB183" t="s">
        <v>3</v>
      </c>
      <c r="CE183">
        <v>1566</v>
      </c>
      <c r="CF183">
        <v>0</v>
      </c>
      <c r="CG183">
        <v>0</v>
      </c>
      <c r="CM183">
        <v>0</v>
      </c>
      <c r="CN183" t="s">
        <v>3</v>
      </c>
      <c r="CO183">
        <v>0</v>
      </c>
      <c r="CP183">
        <f t="shared" si="125"/>
        <v>150.86000000000001</v>
      </c>
      <c r="CQ183">
        <f t="shared" si="167"/>
        <v>50.29</v>
      </c>
      <c r="CR183">
        <f t="shared" si="162"/>
        <v>0</v>
      </c>
      <c r="CS183">
        <f t="shared" si="163"/>
        <v>0</v>
      </c>
      <c r="CT183">
        <f t="shared" si="127"/>
        <v>0</v>
      </c>
      <c r="CU183">
        <f t="shared" si="128"/>
        <v>0</v>
      </c>
      <c r="CV183">
        <f t="shared" si="129"/>
        <v>0</v>
      </c>
      <c r="CW183">
        <f t="shared" si="130"/>
        <v>0</v>
      </c>
      <c r="CX183">
        <f t="shared" si="131"/>
        <v>0</v>
      </c>
      <c r="CY183">
        <f t="shared" si="164"/>
        <v>0</v>
      </c>
      <c r="CZ183">
        <f t="shared" si="165"/>
        <v>0</v>
      </c>
      <c r="DC183" t="s">
        <v>3</v>
      </c>
      <c r="DD183" t="s">
        <v>3</v>
      </c>
      <c r="DE183" t="s">
        <v>3</v>
      </c>
      <c r="DF183" t="s">
        <v>3</v>
      </c>
      <c r="DG183" t="s">
        <v>3</v>
      </c>
      <c r="DH183" t="s">
        <v>3</v>
      </c>
      <c r="DI183" t="s">
        <v>3</v>
      </c>
      <c r="DJ183" t="s">
        <v>3</v>
      </c>
      <c r="DK183" t="s">
        <v>3</v>
      </c>
      <c r="DL183" t="s">
        <v>3</v>
      </c>
      <c r="DM183" t="s">
        <v>3</v>
      </c>
      <c r="DN183">
        <v>0</v>
      </c>
      <c r="DO183">
        <v>0</v>
      </c>
      <c r="DP183">
        <v>1</v>
      </c>
      <c r="DQ183">
        <v>1</v>
      </c>
      <c r="DU183">
        <v>1010</v>
      </c>
      <c r="DV183" t="s">
        <v>31</v>
      </c>
      <c r="DW183" t="s">
        <v>31</v>
      </c>
      <c r="DX183">
        <v>1</v>
      </c>
      <c r="DZ183" t="s">
        <v>3</v>
      </c>
      <c r="EA183" t="s">
        <v>3</v>
      </c>
      <c r="EB183" t="s">
        <v>3</v>
      </c>
      <c r="EC183" t="s">
        <v>3</v>
      </c>
      <c r="EE183">
        <v>60088561</v>
      </c>
      <c r="EF183">
        <v>201</v>
      </c>
      <c r="EG183" t="s">
        <v>258</v>
      </c>
      <c r="EH183">
        <v>0</v>
      </c>
      <c r="EI183" t="s">
        <v>3</v>
      </c>
      <c r="EJ183">
        <v>2</v>
      </c>
      <c r="EK183">
        <v>1618</v>
      </c>
      <c r="EL183" t="s">
        <v>259</v>
      </c>
      <c r="EM183" t="s">
        <v>260</v>
      </c>
      <c r="EO183" t="s">
        <v>3</v>
      </c>
      <c r="EQ183">
        <v>0</v>
      </c>
      <c r="ER183">
        <v>34.68</v>
      </c>
      <c r="ES183">
        <v>34.68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FQ183">
        <v>0</v>
      </c>
      <c r="FR183">
        <v>0</v>
      </c>
      <c r="FS183">
        <v>0</v>
      </c>
      <c r="FX183">
        <v>0</v>
      </c>
      <c r="FY183">
        <v>0</v>
      </c>
      <c r="GA183" t="s">
        <v>3</v>
      </c>
      <c r="GD183">
        <v>1</v>
      </c>
      <c r="GF183">
        <v>1595012652</v>
      </c>
      <c r="GG183">
        <v>2</v>
      </c>
      <c r="GH183">
        <v>1</v>
      </c>
      <c r="GI183">
        <v>2</v>
      </c>
      <c r="GJ183">
        <v>0</v>
      </c>
      <c r="GK183">
        <v>0</v>
      </c>
      <c r="GL183">
        <f t="shared" si="132"/>
        <v>0</v>
      </c>
      <c r="GM183">
        <f t="shared" si="133"/>
        <v>150.86000000000001</v>
      </c>
      <c r="GN183">
        <f t="shared" si="134"/>
        <v>0</v>
      </c>
      <c r="GO183">
        <f t="shared" si="135"/>
        <v>150.86000000000001</v>
      </c>
      <c r="GP183">
        <f t="shared" si="136"/>
        <v>0</v>
      </c>
      <c r="GR183">
        <v>0</v>
      </c>
      <c r="GS183">
        <v>3</v>
      </c>
      <c r="GT183">
        <v>0</v>
      </c>
      <c r="GU183" t="s">
        <v>3</v>
      </c>
      <c r="GV183">
        <f t="shared" si="137"/>
        <v>0</v>
      </c>
      <c r="GW183">
        <v>1</v>
      </c>
      <c r="GX183">
        <f t="shared" si="138"/>
        <v>0</v>
      </c>
      <c r="HA183">
        <v>0</v>
      </c>
      <c r="HB183">
        <v>0</v>
      </c>
      <c r="HC183">
        <f t="shared" si="139"/>
        <v>0</v>
      </c>
      <c r="HE183" t="s">
        <v>3</v>
      </c>
      <c r="HF183" t="s">
        <v>3</v>
      </c>
      <c r="HM183" t="s">
        <v>3</v>
      </c>
      <c r="HN183" t="s">
        <v>3</v>
      </c>
      <c r="HO183" t="s">
        <v>3</v>
      </c>
      <c r="HP183" t="s">
        <v>3</v>
      </c>
      <c r="HQ183" t="s">
        <v>3</v>
      </c>
      <c r="HS183">
        <v>0</v>
      </c>
      <c r="IK183">
        <v>0</v>
      </c>
    </row>
    <row r="184" spans="1:255" x14ac:dyDescent="0.2">
      <c r="A184" s="2">
        <v>17</v>
      </c>
      <c r="B184" s="2">
        <v>1</v>
      </c>
      <c r="C184" s="2"/>
      <c r="D184" s="2"/>
      <c r="E184" s="2" t="s">
        <v>269</v>
      </c>
      <c r="F184" s="2" t="s">
        <v>255</v>
      </c>
      <c r="G184" s="2" t="s">
        <v>256</v>
      </c>
      <c r="H184" s="2" t="s">
        <v>31</v>
      </c>
      <c r="I184" s="2">
        <v>1</v>
      </c>
      <c r="J184" s="2">
        <v>0</v>
      </c>
      <c r="K184" s="2">
        <v>1</v>
      </c>
      <c r="L184" s="2"/>
      <c r="M184" s="2"/>
      <c r="N184" s="2"/>
      <c r="O184" s="2">
        <f t="shared" si="114"/>
        <v>9.1199999999999992</v>
      </c>
      <c r="P184" s="2">
        <f t="shared" si="166"/>
        <v>9.1199999999999992</v>
      </c>
      <c r="Q184" s="2">
        <f t="shared" si="153"/>
        <v>0</v>
      </c>
      <c r="R184" s="2">
        <f t="shared" si="154"/>
        <v>0</v>
      </c>
      <c r="S184" s="2">
        <f t="shared" si="116"/>
        <v>0</v>
      </c>
      <c r="T184" s="2">
        <f t="shared" si="117"/>
        <v>0</v>
      </c>
      <c r="U184" s="2">
        <f t="shared" si="118"/>
        <v>0</v>
      </c>
      <c r="V184" s="2">
        <f t="shared" si="119"/>
        <v>0</v>
      </c>
      <c r="W184" s="2">
        <f t="shared" si="120"/>
        <v>0</v>
      </c>
      <c r="X184" s="2">
        <f t="shared" si="155"/>
        <v>0</v>
      </c>
      <c r="Y184" s="2">
        <f t="shared" si="156"/>
        <v>0</v>
      </c>
      <c r="Z184" s="2"/>
      <c r="AA184" s="2">
        <v>60256985</v>
      </c>
      <c r="AB184" s="2">
        <f t="shared" si="121"/>
        <v>9.1199999999999992</v>
      </c>
      <c r="AC184" s="2">
        <f t="shared" si="122"/>
        <v>9.1199999999999992</v>
      </c>
      <c r="AD184" s="2">
        <f t="shared" si="157"/>
        <v>0</v>
      </c>
      <c r="AE184" s="2">
        <f t="shared" si="158"/>
        <v>0</v>
      </c>
      <c r="AF184" s="2">
        <f t="shared" si="159"/>
        <v>0</v>
      </c>
      <c r="AG184" s="2">
        <f t="shared" si="123"/>
        <v>0</v>
      </c>
      <c r="AH184" s="2">
        <f t="shared" si="160"/>
        <v>0</v>
      </c>
      <c r="AI184" s="2">
        <f t="shared" si="161"/>
        <v>0</v>
      </c>
      <c r="AJ184" s="2">
        <f t="shared" si="124"/>
        <v>0</v>
      </c>
      <c r="AK184" s="2">
        <v>9.1199999999999992</v>
      </c>
      <c r="AL184" s="2">
        <v>9.1199999999999992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1</v>
      </c>
      <c r="AW184" s="2">
        <v>1</v>
      </c>
      <c r="AX184" s="2"/>
      <c r="AY184" s="2"/>
      <c r="AZ184" s="2">
        <v>1</v>
      </c>
      <c r="BA184" s="2">
        <v>1</v>
      </c>
      <c r="BB184" s="2">
        <v>1</v>
      </c>
      <c r="BC184" s="2">
        <v>1</v>
      </c>
      <c r="BD184" s="2" t="s">
        <v>3</v>
      </c>
      <c r="BE184" s="2" t="s">
        <v>3</v>
      </c>
      <c r="BF184" s="2" t="s">
        <v>3</v>
      </c>
      <c r="BG184" s="2" t="s">
        <v>3</v>
      </c>
      <c r="BH184" s="2">
        <v>3</v>
      </c>
      <c r="BI184" s="2">
        <v>2</v>
      </c>
      <c r="BJ184" s="2" t="s">
        <v>257</v>
      </c>
      <c r="BK184" s="2"/>
      <c r="BL184" s="2"/>
      <c r="BM184" s="2">
        <v>1618</v>
      </c>
      <c r="BN184" s="2">
        <v>58973116</v>
      </c>
      <c r="BO184" s="2" t="s">
        <v>3</v>
      </c>
      <c r="BP184" s="2">
        <v>0</v>
      </c>
      <c r="BQ184" s="2">
        <v>201</v>
      </c>
      <c r="BR184" s="2">
        <v>0</v>
      </c>
      <c r="BS184" s="2">
        <v>1</v>
      </c>
      <c r="BT184" s="2">
        <v>1</v>
      </c>
      <c r="BU184" s="2">
        <v>1</v>
      </c>
      <c r="BV184" s="2">
        <v>1</v>
      </c>
      <c r="BW184" s="2">
        <v>1</v>
      </c>
      <c r="BX184" s="2">
        <v>1</v>
      </c>
      <c r="BY184" s="2" t="s">
        <v>3</v>
      </c>
      <c r="BZ184" s="2">
        <v>0</v>
      </c>
      <c r="CA184" s="2">
        <v>0</v>
      </c>
      <c r="CB184" s="2" t="s">
        <v>3</v>
      </c>
      <c r="CC184" s="2"/>
      <c r="CD184" s="2"/>
      <c r="CE184" s="2">
        <v>1566</v>
      </c>
      <c r="CF184" s="2">
        <v>0</v>
      </c>
      <c r="CG184" s="2">
        <v>0</v>
      </c>
      <c r="CH184" s="2"/>
      <c r="CI184" s="2"/>
      <c r="CJ184" s="2"/>
      <c r="CK184" s="2"/>
      <c r="CL184" s="2"/>
      <c r="CM184" s="2">
        <v>0</v>
      </c>
      <c r="CN184" s="2" t="s">
        <v>3</v>
      </c>
      <c r="CO184" s="2">
        <v>0</v>
      </c>
      <c r="CP184" s="2">
        <f t="shared" si="125"/>
        <v>9.1199999999999992</v>
      </c>
      <c r="CQ184" s="2">
        <f t="shared" si="167"/>
        <v>9.1199999999999992</v>
      </c>
      <c r="CR184" s="2">
        <f t="shared" si="162"/>
        <v>0</v>
      </c>
      <c r="CS184" s="2">
        <f t="shared" si="163"/>
        <v>0</v>
      </c>
      <c r="CT184" s="2">
        <f t="shared" si="127"/>
        <v>0</v>
      </c>
      <c r="CU184" s="2">
        <f t="shared" si="128"/>
        <v>0</v>
      </c>
      <c r="CV184" s="2">
        <f t="shared" si="129"/>
        <v>0</v>
      </c>
      <c r="CW184" s="2">
        <f t="shared" si="130"/>
        <v>0</v>
      </c>
      <c r="CX184" s="2">
        <f t="shared" si="131"/>
        <v>0</v>
      </c>
      <c r="CY184" s="2">
        <f t="shared" si="164"/>
        <v>0</v>
      </c>
      <c r="CZ184" s="2">
        <f t="shared" si="165"/>
        <v>0</v>
      </c>
      <c r="DA184" s="2"/>
      <c r="DB184" s="2"/>
      <c r="DC184" s="2" t="s">
        <v>3</v>
      </c>
      <c r="DD184" s="2" t="s">
        <v>3</v>
      </c>
      <c r="DE184" s="2" t="s">
        <v>3</v>
      </c>
      <c r="DF184" s="2" t="s">
        <v>3</v>
      </c>
      <c r="DG184" s="2" t="s">
        <v>3</v>
      </c>
      <c r="DH184" s="2" t="s">
        <v>3</v>
      </c>
      <c r="DI184" s="2" t="s">
        <v>3</v>
      </c>
      <c r="DJ184" s="2" t="s">
        <v>3</v>
      </c>
      <c r="DK184" s="2" t="s">
        <v>3</v>
      </c>
      <c r="DL184" s="2" t="s">
        <v>3</v>
      </c>
      <c r="DM184" s="2" t="s">
        <v>3</v>
      </c>
      <c r="DN184" s="2">
        <v>0</v>
      </c>
      <c r="DO184" s="2">
        <v>0</v>
      </c>
      <c r="DP184" s="2">
        <v>1</v>
      </c>
      <c r="DQ184" s="2">
        <v>1</v>
      </c>
      <c r="DR184" s="2"/>
      <c r="DS184" s="2"/>
      <c r="DT184" s="2"/>
      <c r="DU184" s="2">
        <v>1010</v>
      </c>
      <c r="DV184" s="2" t="s">
        <v>31</v>
      </c>
      <c r="DW184" s="2" t="s">
        <v>31</v>
      </c>
      <c r="DX184" s="2">
        <v>1</v>
      </c>
      <c r="DY184" s="2"/>
      <c r="DZ184" s="2" t="s">
        <v>3</v>
      </c>
      <c r="EA184" s="2" t="s">
        <v>3</v>
      </c>
      <c r="EB184" s="2" t="s">
        <v>3</v>
      </c>
      <c r="EC184" s="2" t="s">
        <v>3</v>
      </c>
      <c r="ED184" s="2"/>
      <c r="EE184" s="2">
        <v>60088561</v>
      </c>
      <c r="EF184" s="2">
        <v>201</v>
      </c>
      <c r="EG184" s="2" t="s">
        <v>258</v>
      </c>
      <c r="EH184" s="2">
        <v>0</v>
      </c>
      <c r="EI184" s="2" t="s">
        <v>3</v>
      </c>
      <c r="EJ184" s="2">
        <v>2</v>
      </c>
      <c r="EK184" s="2">
        <v>1618</v>
      </c>
      <c r="EL184" s="2" t="s">
        <v>259</v>
      </c>
      <c r="EM184" s="2" t="s">
        <v>260</v>
      </c>
      <c r="EN184" s="2"/>
      <c r="EO184" s="2" t="s">
        <v>3</v>
      </c>
      <c r="EP184" s="2"/>
      <c r="EQ184" s="2">
        <v>0</v>
      </c>
      <c r="ER184" s="2">
        <v>9.1199999999999992</v>
      </c>
      <c r="ES184" s="2">
        <v>9.1199999999999992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>
        <v>0</v>
      </c>
      <c r="FR184" s="2">
        <v>0</v>
      </c>
      <c r="FS184" s="2">
        <v>0</v>
      </c>
      <c r="FT184" s="2"/>
      <c r="FU184" s="2"/>
      <c r="FV184" s="2"/>
      <c r="FW184" s="2"/>
      <c r="FX184" s="2">
        <v>0</v>
      </c>
      <c r="FY184" s="2">
        <v>0</v>
      </c>
      <c r="FZ184" s="2"/>
      <c r="GA184" s="2" t="s">
        <v>3</v>
      </c>
      <c r="GB184" s="2"/>
      <c r="GC184" s="2"/>
      <c r="GD184" s="2">
        <v>1</v>
      </c>
      <c r="GE184" s="2"/>
      <c r="GF184" s="2">
        <v>-664968350</v>
      </c>
      <c r="GG184" s="2">
        <v>2</v>
      </c>
      <c r="GH184" s="2">
        <v>1</v>
      </c>
      <c r="GI184" s="2">
        <v>-2</v>
      </c>
      <c r="GJ184" s="2">
        <v>0</v>
      </c>
      <c r="GK184" s="2">
        <v>0</v>
      </c>
      <c r="GL184" s="2">
        <f t="shared" si="132"/>
        <v>0</v>
      </c>
      <c r="GM184" s="2">
        <f t="shared" si="133"/>
        <v>9.1199999999999992</v>
      </c>
      <c r="GN184" s="2">
        <f t="shared" si="134"/>
        <v>0</v>
      </c>
      <c r="GO184" s="2">
        <f t="shared" si="135"/>
        <v>9.1199999999999992</v>
      </c>
      <c r="GP184" s="2">
        <f t="shared" si="136"/>
        <v>0</v>
      </c>
      <c r="GQ184" s="2"/>
      <c r="GR184" s="2">
        <v>0</v>
      </c>
      <c r="GS184" s="2">
        <v>3</v>
      </c>
      <c r="GT184" s="2">
        <v>0</v>
      </c>
      <c r="GU184" s="2" t="s">
        <v>3</v>
      </c>
      <c r="GV184" s="2">
        <f t="shared" si="137"/>
        <v>0</v>
      </c>
      <c r="GW184" s="2">
        <v>1</v>
      </c>
      <c r="GX184" s="2">
        <f t="shared" si="138"/>
        <v>0</v>
      </c>
      <c r="GY184" s="2"/>
      <c r="GZ184" s="2"/>
      <c r="HA184" s="2">
        <v>0</v>
      </c>
      <c r="HB184" s="2">
        <v>0</v>
      </c>
      <c r="HC184" s="2">
        <f t="shared" si="139"/>
        <v>0</v>
      </c>
      <c r="HD184" s="2"/>
      <c r="HE184" s="2" t="s">
        <v>3</v>
      </c>
      <c r="HF184" s="2" t="s">
        <v>3</v>
      </c>
      <c r="HG184" s="2"/>
      <c r="HH184" s="2"/>
      <c r="HI184" s="2"/>
      <c r="HJ184" s="2"/>
      <c r="HK184" s="2"/>
      <c r="HL184" s="2"/>
      <c r="HM184" s="2" t="s">
        <v>3</v>
      </c>
      <c r="HN184" s="2" t="s">
        <v>3</v>
      </c>
      <c r="HO184" s="2" t="s">
        <v>3</v>
      </c>
      <c r="HP184" s="2" t="s">
        <v>3</v>
      </c>
      <c r="HQ184" s="2" t="s">
        <v>3</v>
      </c>
      <c r="HR184" s="2"/>
      <c r="HS184" s="2">
        <v>0</v>
      </c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>
        <v>0</v>
      </c>
      <c r="IL184" s="2"/>
      <c r="IM184" s="2"/>
      <c r="IN184" s="2"/>
      <c r="IO184" s="2"/>
      <c r="IP184" s="2"/>
      <c r="IQ184" s="2"/>
      <c r="IR184" s="2"/>
      <c r="IS184" s="2"/>
      <c r="IT184" s="2"/>
      <c r="IU184" s="2"/>
    </row>
    <row r="185" spans="1:255" x14ac:dyDescent="0.2">
      <c r="A185">
        <v>17</v>
      </c>
      <c r="B185">
        <v>1</v>
      </c>
      <c r="E185" t="s">
        <v>269</v>
      </c>
      <c r="F185" t="s">
        <v>255</v>
      </c>
      <c r="G185" t="s">
        <v>256</v>
      </c>
      <c r="H185" t="s">
        <v>31</v>
      </c>
      <c r="I185">
        <v>1</v>
      </c>
      <c r="J185">
        <v>0</v>
      </c>
      <c r="K185">
        <v>1</v>
      </c>
      <c r="O185">
        <f t="shared" si="114"/>
        <v>24.44</v>
      </c>
      <c r="P185">
        <f t="shared" si="166"/>
        <v>24.44</v>
      </c>
      <c r="Q185">
        <f t="shared" si="153"/>
        <v>0</v>
      </c>
      <c r="R185">
        <f t="shared" si="154"/>
        <v>0</v>
      </c>
      <c r="S185">
        <f t="shared" si="116"/>
        <v>0</v>
      </c>
      <c r="T185">
        <f t="shared" si="117"/>
        <v>0</v>
      </c>
      <c r="U185">
        <f t="shared" si="118"/>
        <v>0</v>
      </c>
      <c r="V185">
        <f t="shared" si="119"/>
        <v>0</v>
      </c>
      <c r="W185">
        <f t="shared" si="120"/>
        <v>0</v>
      </c>
      <c r="X185">
        <f t="shared" si="155"/>
        <v>0</v>
      </c>
      <c r="Y185">
        <f t="shared" si="156"/>
        <v>0</v>
      </c>
      <c r="AA185">
        <v>60256982</v>
      </c>
      <c r="AB185">
        <f t="shared" si="121"/>
        <v>9.1199999999999992</v>
      </c>
      <c r="AC185">
        <f t="shared" si="122"/>
        <v>9.1199999999999992</v>
      </c>
      <c r="AD185">
        <f t="shared" si="157"/>
        <v>0</v>
      </c>
      <c r="AE185">
        <f t="shared" si="158"/>
        <v>0</v>
      </c>
      <c r="AF185">
        <f t="shared" si="159"/>
        <v>0</v>
      </c>
      <c r="AG185">
        <f t="shared" si="123"/>
        <v>0</v>
      </c>
      <c r="AH185">
        <f t="shared" si="160"/>
        <v>0</v>
      </c>
      <c r="AI185">
        <f t="shared" si="161"/>
        <v>0</v>
      </c>
      <c r="AJ185">
        <f t="shared" si="124"/>
        <v>0</v>
      </c>
      <c r="AK185">
        <v>9.1199999999999992</v>
      </c>
      <c r="AL185">
        <v>9.1199999999999992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1</v>
      </c>
      <c r="AW185">
        <v>1</v>
      </c>
      <c r="AZ185">
        <v>1</v>
      </c>
      <c r="BA185">
        <v>1</v>
      </c>
      <c r="BB185">
        <v>1</v>
      </c>
      <c r="BC185">
        <v>2.68</v>
      </c>
      <c r="BD185" t="s">
        <v>3</v>
      </c>
      <c r="BE185" t="s">
        <v>3</v>
      </c>
      <c r="BF185" t="s">
        <v>3</v>
      </c>
      <c r="BG185" t="s">
        <v>3</v>
      </c>
      <c r="BH185">
        <v>3</v>
      </c>
      <c r="BI185">
        <v>2</v>
      </c>
      <c r="BJ185" t="s">
        <v>257</v>
      </c>
      <c r="BM185">
        <v>1618</v>
      </c>
      <c r="BN185">
        <v>58973116</v>
      </c>
      <c r="BO185" t="s">
        <v>255</v>
      </c>
      <c r="BP185">
        <v>1</v>
      </c>
      <c r="BQ185">
        <v>201</v>
      </c>
      <c r="BR185">
        <v>0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 t="s">
        <v>3</v>
      </c>
      <c r="BZ185">
        <v>0</v>
      </c>
      <c r="CA185">
        <v>0</v>
      </c>
      <c r="CB185" t="s">
        <v>3</v>
      </c>
      <c r="CE185">
        <v>1566</v>
      </c>
      <c r="CF185">
        <v>0</v>
      </c>
      <c r="CG185">
        <v>0</v>
      </c>
      <c r="CM185">
        <v>0</v>
      </c>
      <c r="CN185" t="s">
        <v>3</v>
      </c>
      <c r="CO185">
        <v>0</v>
      </c>
      <c r="CP185">
        <f t="shared" si="125"/>
        <v>24.44</v>
      </c>
      <c r="CQ185">
        <f t="shared" si="167"/>
        <v>24.44</v>
      </c>
      <c r="CR185">
        <f t="shared" si="162"/>
        <v>0</v>
      </c>
      <c r="CS185">
        <f t="shared" si="163"/>
        <v>0</v>
      </c>
      <c r="CT185">
        <f t="shared" si="127"/>
        <v>0</v>
      </c>
      <c r="CU185">
        <f t="shared" si="128"/>
        <v>0</v>
      </c>
      <c r="CV185">
        <f t="shared" si="129"/>
        <v>0</v>
      </c>
      <c r="CW185">
        <f t="shared" si="130"/>
        <v>0</v>
      </c>
      <c r="CX185">
        <f t="shared" si="131"/>
        <v>0</v>
      </c>
      <c r="CY185">
        <f t="shared" si="164"/>
        <v>0</v>
      </c>
      <c r="CZ185">
        <f t="shared" si="165"/>
        <v>0</v>
      </c>
      <c r="DC185" t="s">
        <v>3</v>
      </c>
      <c r="DD185" t="s">
        <v>3</v>
      </c>
      <c r="DE185" t="s">
        <v>3</v>
      </c>
      <c r="DF185" t="s">
        <v>3</v>
      </c>
      <c r="DG185" t="s">
        <v>3</v>
      </c>
      <c r="DH185" t="s">
        <v>3</v>
      </c>
      <c r="DI185" t="s">
        <v>3</v>
      </c>
      <c r="DJ185" t="s">
        <v>3</v>
      </c>
      <c r="DK185" t="s">
        <v>3</v>
      </c>
      <c r="DL185" t="s">
        <v>3</v>
      </c>
      <c r="DM185" t="s">
        <v>3</v>
      </c>
      <c r="DN185">
        <v>0</v>
      </c>
      <c r="DO185">
        <v>0</v>
      </c>
      <c r="DP185">
        <v>1</v>
      </c>
      <c r="DQ185">
        <v>1</v>
      </c>
      <c r="DU185">
        <v>1010</v>
      </c>
      <c r="DV185" t="s">
        <v>31</v>
      </c>
      <c r="DW185" t="s">
        <v>31</v>
      </c>
      <c r="DX185">
        <v>1</v>
      </c>
      <c r="DZ185" t="s">
        <v>3</v>
      </c>
      <c r="EA185" t="s">
        <v>3</v>
      </c>
      <c r="EB185" t="s">
        <v>3</v>
      </c>
      <c r="EC185" t="s">
        <v>3</v>
      </c>
      <c r="EE185">
        <v>60088561</v>
      </c>
      <c r="EF185">
        <v>201</v>
      </c>
      <c r="EG185" t="s">
        <v>258</v>
      </c>
      <c r="EH185">
        <v>0</v>
      </c>
      <c r="EI185" t="s">
        <v>3</v>
      </c>
      <c r="EJ185">
        <v>2</v>
      </c>
      <c r="EK185">
        <v>1618</v>
      </c>
      <c r="EL185" t="s">
        <v>259</v>
      </c>
      <c r="EM185" t="s">
        <v>260</v>
      </c>
      <c r="EO185" t="s">
        <v>3</v>
      </c>
      <c r="EQ185">
        <v>0</v>
      </c>
      <c r="ER185">
        <v>9.1199999999999992</v>
      </c>
      <c r="ES185">
        <v>9.1199999999999992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FQ185">
        <v>0</v>
      </c>
      <c r="FR185">
        <v>0</v>
      </c>
      <c r="FS185">
        <v>0</v>
      </c>
      <c r="FX185">
        <v>0</v>
      </c>
      <c r="FY185">
        <v>0</v>
      </c>
      <c r="GA185" t="s">
        <v>3</v>
      </c>
      <c r="GD185">
        <v>1</v>
      </c>
      <c r="GF185">
        <v>-664968350</v>
      </c>
      <c r="GG185">
        <v>2</v>
      </c>
      <c r="GH185">
        <v>1</v>
      </c>
      <c r="GI185">
        <v>2</v>
      </c>
      <c r="GJ185">
        <v>0</v>
      </c>
      <c r="GK185">
        <v>0</v>
      </c>
      <c r="GL185">
        <f t="shared" si="132"/>
        <v>0</v>
      </c>
      <c r="GM185">
        <f t="shared" si="133"/>
        <v>24.44</v>
      </c>
      <c r="GN185">
        <f t="shared" si="134"/>
        <v>0</v>
      </c>
      <c r="GO185">
        <f t="shared" si="135"/>
        <v>24.44</v>
      </c>
      <c r="GP185">
        <f t="shared" si="136"/>
        <v>0</v>
      </c>
      <c r="GR185">
        <v>0</v>
      </c>
      <c r="GS185">
        <v>3</v>
      </c>
      <c r="GT185">
        <v>0</v>
      </c>
      <c r="GU185" t="s">
        <v>3</v>
      </c>
      <c r="GV185">
        <f t="shared" si="137"/>
        <v>0</v>
      </c>
      <c r="GW185">
        <v>1</v>
      </c>
      <c r="GX185">
        <f t="shared" si="138"/>
        <v>0</v>
      </c>
      <c r="HA185">
        <v>0</v>
      </c>
      <c r="HB185">
        <v>0</v>
      </c>
      <c r="HC185">
        <f t="shared" si="139"/>
        <v>0</v>
      </c>
      <c r="HE185" t="s">
        <v>3</v>
      </c>
      <c r="HF185" t="s">
        <v>3</v>
      </c>
      <c r="HM185" t="s">
        <v>3</v>
      </c>
      <c r="HN185" t="s">
        <v>3</v>
      </c>
      <c r="HO185" t="s">
        <v>3</v>
      </c>
      <c r="HP185" t="s">
        <v>3</v>
      </c>
      <c r="HQ185" t="s">
        <v>3</v>
      </c>
      <c r="HS185">
        <v>0</v>
      </c>
      <c r="IK185">
        <v>0</v>
      </c>
    </row>
    <row r="186" spans="1:255" x14ac:dyDescent="0.2">
      <c r="A186" s="2">
        <v>17</v>
      </c>
      <c r="B186" s="2">
        <v>1</v>
      </c>
      <c r="C186" s="2">
        <f>ROW(SmtRes!A224)</f>
        <v>224</v>
      </c>
      <c r="D186" s="2">
        <f>ROW(EtalonRes!A235)</f>
        <v>235</v>
      </c>
      <c r="E186" s="2" t="s">
        <v>270</v>
      </c>
      <c r="F186" s="2" t="s">
        <v>246</v>
      </c>
      <c r="G186" s="2" t="s">
        <v>247</v>
      </c>
      <c r="H186" s="2" t="s">
        <v>248</v>
      </c>
      <c r="I186" s="2">
        <v>1</v>
      </c>
      <c r="J186" s="2">
        <v>0</v>
      </c>
      <c r="K186" s="2">
        <v>1</v>
      </c>
      <c r="L186" s="2"/>
      <c r="M186" s="2"/>
      <c r="N186" s="2"/>
      <c r="O186" s="2">
        <f t="shared" si="114"/>
        <v>86.21</v>
      </c>
      <c r="P186" s="2">
        <f t="shared" si="166"/>
        <v>42.61</v>
      </c>
      <c r="Q186" s="2">
        <f>(ROUND((ROUND((((ET186*1.1))*AV186*I186),2)*BB186),2)+ROUND((ROUND(((AE186-((EU186*1.1)))*AV186*I186),2)*BS186),2))</f>
        <v>0</v>
      </c>
      <c r="R186" s="2">
        <f>(ROUND((ROUND((((EU186*1.1))*AV186*I186),2)*BS186),2)+ROUND((ROUND(((AE186-((EU186*1.1)))*AV186*I186),2)*BS186),2))</f>
        <v>0</v>
      </c>
      <c r="S186" s="2">
        <f t="shared" si="116"/>
        <v>43.6</v>
      </c>
      <c r="T186" s="2">
        <f t="shared" si="117"/>
        <v>0</v>
      </c>
      <c r="U186" s="2">
        <f t="shared" si="118"/>
        <v>3.4550999999999998</v>
      </c>
      <c r="V186" s="2">
        <f t="shared" si="119"/>
        <v>0</v>
      </c>
      <c r="W186" s="2">
        <f t="shared" si="120"/>
        <v>0</v>
      </c>
      <c r="X186" s="2">
        <f>(ROUND((((S186+ROUND((ROUND((((EU186*1.1))*AV186*I186),2)*BS186),2))*AT186)/100),2)+ROUND(((ROUND((ROUND(((AE186-((EU186*1.1)))*AV186*I186),2)*BS186),2)*AT186)/100),2))</f>
        <v>39.24</v>
      </c>
      <c r="Y186" s="2">
        <f>(ROUND((((S186+ROUND((ROUND((((EU186*1.1))*AV186*I186),2)*BS186),2))*AU186)/100),2)+ROUND(((ROUND((ROUND(((AE186-((EU186*1.1)))*AV186*I186),2)*BS186),2)*AU186)/100),2))</f>
        <v>20.059999999999999</v>
      </c>
      <c r="Z186" s="2"/>
      <c r="AA186" s="2">
        <v>60256985</v>
      </c>
      <c r="AB186" s="2">
        <f t="shared" si="121"/>
        <v>84.256</v>
      </c>
      <c r="AC186" s="2">
        <f t="shared" si="122"/>
        <v>42.61</v>
      </c>
      <c r="AD186" s="2">
        <f>ROUND(((((ET186*1.1))-((EU186*1.1)))+AE186),6)</f>
        <v>0</v>
      </c>
      <c r="AE186" s="2">
        <f>ROUND(((EU186*1.1)),6)</f>
        <v>0</v>
      </c>
      <c r="AF186" s="2">
        <f>ROUND(((EV186*1.1)),6)</f>
        <v>41.646000000000001</v>
      </c>
      <c r="AG186" s="2">
        <f t="shared" si="123"/>
        <v>0</v>
      </c>
      <c r="AH186" s="2">
        <f>((EW186*1.1))</f>
        <v>3.3000000000000003</v>
      </c>
      <c r="AI186" s="2">
        <f>((EX186*1.1))</f>
        <v>0</v>
      </c>
      <c r="AJ186" s="2">
        <f t="shared" si="124"/>
        <v>0</v>
      </c>
      <c r="AK186" s="2">
        <v>80.47</v>
      </c>
      <c r="AL186" s="2">
        <v>42.61</v>
      </c>
      <c r="AM186" s="2">
        <v>0</v>
      </c>
      <c r="AN186" s="2">
        <v>0</v>
      </c>
      <c r="AO186" s="2">
        <v>37.86</v>
      </c>
      <c r="AP186" s="2">
        <v>0</v>
      </c>
      <c r="AQ186" s="2">
        <v>3</v>
      </c>
      <c r="AR186" s="2">
        <v>0</v>
      </c>
      <c r="AS186" s="2">
        <v>0</v>
      </c>
      <c r="AT186" s="2">
        <v>90</v>
      </c>
      <c r="AU186" s="2">
        <v>46</v>
      </c>
      <c r="AV186" s="2">
        <v>1.0469999999999999</v>
      </c>
      <c r="AW186" s="2">
        <v>1</v>
      </c>
      <c r="AX186" s="2"/>
      <c r="AY186" s="2"/>
      <c r="AZ186" s="2">
        <v>1</v>
      </c>
      <c r="BA186" s="2">
        <v>1</v>
      </c>
      <c r="BB186" s="2">
        <v>1</v>
      </c>
      <c r="BC186" s="2">
        <v>1</v>
      </c>
      <c r="BD186" s="2" t="s">
        <v>3</v>
      </c>
      <c r="BE186" s="2" t="s">
        <v>3</v>
      </c>
      <c r="BF186" s="2" t="s">
        <v>3</v>
      </c>
      <c r="BG186" s="2" t="s">
        <v>3</v>
      </c>
      <c r="BH186" s="2">
        <v>0</v>
      </c>
      <c r="BI186" s="2">
        <v>2</v>
      </c>
      <c r="BJ186" s="2" t="s">
        <v>249</v>
      </c>
      <c r="BK186" s="2"/>
      <c r="BL186" s="2"/>
      <c r="BM186" s="2">
        <v>68</v>
      </c>
      <c r="BN186" s="2">
        <v>58973116</v>
      </c>
      <c r="BO186" s="2" t="s">
        <v>246</v>
      </c>
      <c r="BP186" s="2">
        <v>1</v>
      </c>
      <c r="BQ186" s="2">
        <v>40</v>
      </c>
      <c r="BR186" s="2">
        <v>0</v>
      </c>
      <c r="BS186" s="2">
        <v>1</v>
      </c>
      <c r="BT186" s="2">
        <v>1</v>
      </c>
      <c r="BU186" s="2">
        <v>1</v>
      </c>
      <c r="BV186" s="2">
        <v>1</v>
      </c>
      <c r="BW186" s="2">
        <v>1</v>
      </c>
      <c r="BX186" s="2">
        <v>1</v>
      </c>
      <c r="BY186" s="2" t="s">
        <v>3</v>
      </c>
      <c r="BZ186" s="2">
        <v>90</v>
      </c>
      <c r="CA186" s="2">
        <v>46</v>
      </c>
      <c r="CB186" s="2" t="s">
        <v>3</v>
      </c>
      <c r="CC186" s="2"/>
      <c r="CD186" s="2"/>
      <c r="CE186" s="2">
        <v>1566</v>
      </c>
      <c r="CF186" s="2">
        <v>0</v>
      </c>
      <c r="CG186" s="2">
        <v>0</v>
      </c>
      <c r="CH186" s="2"/>
      <c r="CI186" s="2"/>
      <c r="CJ186" s="2"/>
      <c r="CK186" s="2"/>
      <c r="CL186" s="2"/>
      <c r="CM186" s="2">
        <v>0</v>
      </c>
      <c r="CN186" s="2" t="s">
        <v>474</v>
      </c>
      <c r="CO186" s="2">
        <v>0</v>
      </c>
      <c r="CP186" s="2">
        <f t="shared" si="125"/>
        <v>86.210000000000008</v>
      </c>
      <c r="CQ186" s="2">
        <f t="shared" si="167"/>
        <v>42.61</v>
      </c>
      <c r="CR186" s="2">
        <f>(ROUND((ROUND((((ET186*1.1))*AV186*1),2)*BB186),2)+ROUND((ROUND(((AE186-((EU186*1.1)))*AV186*1),2)*BS186),2))</f>
        <v>0</v>
      </c>
      <c r="CS186" s="2">
        <f>(ROUND((ROUND((((EU186*1.1))*AV186*1),2)*BS186),2)+ROUND((ROUND(((AE186-((EU186*1.1)))*AV186*1),2)*BS186),2))</f>
        <v>0</v>
      </c>
      <c r="CT186" s="2">
        <f t="shared" si="127"/>
        <v>43.6</v>
      </c>
      <c r="CU186" s="2">
        <f t="shared" si="128"/>
        <v>0</v>
      </c>
      <c r="CV186" s="2">
        <f t="shared" si="129"/>
        <v>3.4550999999999998</v>
      </c>
      <c r="CW186" s="2">
        <f t="shared" si="130"/>
        <v>0</v>
      </c>
      <c r="CX186" s="2">
        <f t="shared" si="131"/>
        <v>0</v>
      </c>
      <c r="CY186" s="2">
        <f>(ROUND((((S186+ROUND((ROUND((((EU186*1.1))*AV186*1),2)*BS186),2))*AT186)/100),2)+ROUND(((ROUND((ROUND(((AE186-((EU186*1.1)))*AV186*1),2)*BS186),2)*AT186)/100),2))</f>
        <v>39.24</v>
      </c>
      <c r="CZ186" s="2">
        <f>(ROUND((((S186+ROUND((ROUND((((EU186*1.1))*AV186*1),2)*BS186),2))*AU186)/100),2)+ROUND(((ROUND((ROUND(((AE186-((EU186*1.1)))*AV186*1),2)*BS186),2)*AU186)/100),2))</f>
        <v>20.059999999999999</v>
      </c>
      <c r="DA186" s="2"/>
      <c r="DB186" s="2">
        <v>31</v>
      </c>
      <c r="DC186" s="2" t="s">
        <v>3</v>
      </c>
      <c r="DD186" s="2" t="s">
        <v>3</v>
      </c>
      <c r="DE186" s="2" t="s">
        <v>23</v>
      </c>
      <c r="DF186" s="2" t="s">
        <v>23</v>
      </c>
      <c r="DG186" s="2" t="s">
        <v>23</v>
      </c>
      <c r="DH186" s="2" t="s">
        <v>3</v>
      </c>
      <c r="DI186" s="2" t="s">
        <v>23</v>
      </c>
      <c r="DJ186" s="2" t="s">
        <v>23</v>
      </c>
      <c r="DK186" s="2" t="s">
        <v>3</v>
      </c>
      <c r="DL186" s="2" t="s">
        <v>3</v>
      </c>
      <c r="DM186" s="2" t="s">
        <v>3</v>
      </c>
      <c r="DN186" s="2">
        <v>0</v>
      </c>
      <c r="DO186" s="2">
        <v>0</v>
      </c>
      <c r="DP186" s="2">
        <v>1</v>
      </c>
      <c r="DQ186" s="2">
        <v>1</v>
      </c>
      <c r="DR186" s="2"/>
      <c r="DS186" s="2"/>
      <c r="DT186" s="2"/>
      <c r="DU186" s="2">
        <v>1013</v>
      </c>
      <c r="DV186" s="2" t="s">
        <v>248</v>
      </c>
      <c r="DW186" s="2" t="s">
        <v>248</v>
      </c>
      <c r="DX186" s="2">
        <v>1</v>
      </c>
      <c r="DY186" s="2"/>
      <c r="DZ186" s="2" t="s">
        <v>3</v>
      </c>
      <c r="EA186" s="2" t="s">
        <v>3</v>
      </c>
      <c r="EB186" s="2" t="s">
        <v>3</v>
      </c>
      <c r="EC186" s="2" t="s">
        <v>3</v>
      </c>
      <c r="ED186" s="2"/>
      <c r="EE186" s="2">
        <v>60088532</v>
      </c>
      <c r="EF186" s="2">
        <v>40</v>
      </c>
      <c r="EG186" s="2" t="s">
        <v>24</v>
      </c>
      <c r="EH186" s="2">
        <v>0</v>
      </c>
      <c r="EI186" s="2" t="s">
        <v>3</v>
      </c>
      <c r="EJ186" s="2">
        <v>2</v>
      </c>
      <c r="EK186" s="2">
        <v>68</v>
      </c>
      <c r="EL186" s="2" t="s">
        <v>201</v>
      </c>
      <c r="EM186" s="2" t="s">
        <v>202</v>
      </c>
      <c r="EN186" s="2"/>
      <c r="EO186" s="2" t="s">
        <v>27</v>
      </c>
      <c r="EP186" s="2"/>
      <c r="EQ186" s="2">
        <v>0</v>
      </c>
      <c r="ER186" s="2">
        <v>80.47</v>
      </c>
      <c r="ES186" s="2">
        <v>42.61</v>
      </c>
      <c r="ET186" s="2">
        <v>0</v>
      </c>
      <c r="EU186" s="2">
        <v>0</v>
      </c>
      <c r="EV186" s="2">
        <v>37.86</v>
      </c>
      <c r="EW186" s="2">
        <v>3</v>
      </c>
      <c r="EX186" s="2">
        <v>0</v>
      </c>
      <c r="EY186" s="2">
        <v>0</v>
      </c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>
        <v>0</v>
      </c>
      <c r="FR186" s="2">
        <v>0</v>
      </c>
      <c r="FS186" s="2">
        <v>0</v>
      </c>
      <c r="FT186" s="2"/>
      <c r="FU186" s="2"/>
      <c r="FV186" s="2"/>
      <c r="FW186" s="2"/>
      <c r="FX186" s="2">
        <v>90</v>
      </c>
      <c r="FY186" s="2">
        <v>46</v>
      </c>
      <c r="FZ186" s="2"/>
      <c r="GA186" s="2" t="s">
        <v>3</v>
      </c>
      <c r="GB186" s="2"/>
      <c r="GC186" s="2"/>
      <c r="GD186" s="2">
        <v>1</v>
      </c>
      <c r="GE186" s="2"/>
      <c r="GF186" s="2">
        <v>-644758659</v>
      </c>
      <c r="GG186" s="2">
        <v>2</v>
      </c>
      <c r="GH186" s="2">
        <v>1</v>
      </c>
      <c r="GI186" s="2">
        <v>2</v>
      </c>
      <c r="GJ186" s="2">
        <v>0</v>
      </c>
      <c r="GK186" s="2">
        <v>0</v>
      </c>
      <c r="GL186" s="2">
        <f t="shared" si="132"/>
        <v>0</v>
      </c>
      <c r="GM186" s="2">
        <f t="shared" si="133"/>
        <v>145.51</v>
      </c>
      <c r="GN186" s="2">
        <f t="shared" si="134"/>
        <v>0</v>
      </c>
      <c r="GO186" s="2">
        <f t="shared" si="135"/>
        <v>145.51</v>
      </c>
      <c r="GP186" s="2">
        <f t="shared" si="136"/>
        <v>0</v>
      </c>
      <c r="GQ186" s="2"/>
      <c r="GR186" s="2">
        <v>0</v>
      </c>
      <c r="GS186" s="2">
        <v>3</v>
      </c>
      <c r="GT186" s="2">
        <v>0</v>
      </c>
      <c r="GU186" s="2" t="s">
        <v>3</v>
      </c>
      <c r="GV186" s="2">
        <f t="shared" si="137"/>
        <v>0</v>
      </c>
      <c r="GW186" s="2">
        <v>1</v>
      </c>
      <c r="GX186" s="2">
        <f t="shared" si="138"/>
        <v>0</v>
      </c>
      <c r="GY186" s="2"/>
      <c r="GZ186" s="2"/>
      <c r="HA186" s="2">
        <v>0</v>
      </c>
      <c r="HB186" s="2">
        <v>0</v>
      </c>
      <c r="HC186" s="2">
        <f t="shared" si="139"/>
        <v>0</v>
      </c>
      <c r="HD186" s="2"/>
      <c r="HE186" s="2" t="s">
        <v>3</v>
      </c>
      <c r="HF186" s="2" t="s">
        <v>3</v>
      </c>
      <c r="HG186" s="2"/>
      <c r="HH186" s="2"/>
      <c r="HI186" s="2"/>
      <c r="HJ186" s="2"/>
      <c r="HK186" s="2"/>
      <c r="HL186" s="2"/>
      <c r="HM186" s="2" t="s">
        <v>3</v>
      </c>
      <c r="HN186" s="2" t="s">
        <v>3</v>
      </c>
      <c r="HO186" s="2" t="s">
        <v>3</v>
      </c>
      <c r="HP186" s="2" t="s">
        <v>3</v>
      </c>
      <c r="HQ186" s="2" t="s">
        <v>3</v>
      </c>
      <c r="HR186" s="2"/>
      <c r="HS186" s="2">
        <v>0</v>
      </c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>
        <v>0</v>
      </c>
      <c r="IL186" s="2"/>
      <c r="IM186" s="2"/>
      <c r="IN186" s="2"/>
      <c r="IO186" s="2"/>
      <c r="IP186" s="2"/>
      <c r="IQ186" s="2"/>
      <c r="IR186" s="2"/>
      <c r="IS186" s="2"/>
      <c r="IT186" s="2"/>
      <c r="IU186" s="2"/>
    </row>
    <row r="187" spans="1:255" x14ac:dyDescent="0.2">
      <c r="A187">
        <v>17</v>
      </c>
      <c r="B187">
        <v>1</v>
      </c>
      <c r="C187">
        <f>ROW(SmtRes!A240)</f>
        <v>240</v>
      </c>
      <c r="D187">
        <f>ROW(EtalonRes!A252)</f>
        <v>252</v>
      </c>
      <c r="E187" t="s">
        <v>270</v>
      </c>
      <c r="F187" t="s">
        <v>246</v>
      </c>
      <c r="G187" t="s">
        <v>247</v>
      </c>
      <c r="H187" t="s">
        <v>248</v>
      </c>
      <c r="I187">
        <v>1</v>
      </c>
      <c r="J187">
        <v>0</v>
      </c>
      <c r="K187">
        <v>1</v>
      </c>
      <c r="O187">
        <f t="shared" si="114"/>
        <v>2625.52</v>
      </c>
      <c r="P187">
        <f t="shared" si="166"/>
        <v>227.96</v>
      </c>
      <c r="Q187">
        <f>(ROUND((ROUND((((ET187*1.1))*AV187*I187),2)*BB187),2)+ROUND((ROUND(((AE187-((EU187*1.1)))*AV187*I187),2)*BS187),2))</f>
        <v>0</v>
      </c>
      <c r="R187">
        <f>(ROUND((ROUND((((EU187*1.1))*AV187*I187),2)*BS187),2)+ROUND((ROUND(((AE187-((EU187*1.1)))*AV187*I187),2)*BS187),2))</f>
        <v>0</v>
      </c>
      <c r="S187">
        <f t="shared" si="116"/>
        <v>2397.56</v>
      </c>
      <c r="T187">
        <f t="shared" si="117"/>
        <v>0</v>
      </c>
      <c r="U187">
        <f t="shared" si="118"/>
        <v>3.4550999999999998</v>
      </c>
      <c r="V187">
        <f t="shared" si="119"/>
        <v>0</v>
      </c>
      <c r="W187">
        <f t="shared" si="120"/>
        <v>0</v>
      </c>
      <c r="X187">
        <f>(ROUND((((S187+ROUND((ROUND((((EU187*1.1))*AV187*I187),2)*BS187),2))*AT187)/100),2)+ROUND(((ROUND((ROUND(((AE187-((EU187*1.1)))*AV187*I187),2)*BS187),2)*AT187)/100),2))</f>
        <v>2157.8000000000002</v>
      </c>
      <c r="Y187">
        <f>(ROUND((((S187+ROUND((ROUND((((EU187*1.1))*AV187*I187),2)*BS187),2))*AU187)/100),2)+ROUND(((ROUND((ROUND(((AE187-((EU187*1.1)))*AV187*I187),2)*BS187),2)*AU187)/100),2))</f>
        <v>1102.8800000000001</v>
      </c>
      <c r="AA187">
        <v>60256982</v>
      </c>
      <c r="AB187">
        <f t="shared" si="121"/>
        <v>84.256</v>
      </c>
      <c r="AC187">
        <f t="shared" si="122"/>
        <v>42.61</v>
      </c>
      <c r="AD187">
        <f>ROUND(((((ET187*1.1))-((EU187*1.1)))+AE187),6)</f>
        <v>0</v>
      </c>
      <c r="AE187">
        <f>ROUND(((EU187*1.1)),6)</f>
        <v>0</v>
      </c>
      <c r="AF187">
        <f>ROUND(((EV187*1.1)),6)</f>
        <v>41.646000000000001</v>
      </c>
      <c r="AG187">
        <f t="shared" si="123"/>
        <v>0</v>
      </c>
      <c r="AH187">
        <f>((EW187*1.1))</f>
        <v>3.3000000000000003</v>
      </c>
      <c r="AI187">
        <f>((EX187*1.1))</f>
        <v>0</v>
      </c>
      <c r="AJ187">
        <f t="shared" si="124"/>
        <v>0</v>
      </c>
      <c r="AK187">
        <v>80.47</v>
      </c>
      <c r="AL187">
        <v>42.61</v>
      </c>
      <c r="AM187">
        <v>0</v>
      </c>
      <c r="AN187">
        <v>0</v>
      </c>
      <c r="AO187">
        <v>37.86</v>
      </c>
      <c r="AP187">
        <v>0</v>
      </c>
      <c r="AQ187">
        <v>3</v>
      </c>
      <c r="AR187">
        <v>0</v>
      </c>
      <c r="AS187">
        <v>0</v>
      </c>
      <c r="AT187">
        <v>90</v>
      </c>
      <c r="AU187">
        <v>46</v>
      </c>
      <c r="AV187">
        <v>1.0469999999999999</v>
      </c>
      <c r="AW187">
        <v>1</v>
      </c>
      <c r="AZ187">
        <v>1</v>
      </c>
      <c r="BA187">
        <v>54.99</v>
      </c>
      <c r="BB187">
        <v>1</v>
      </c>
      <c r="BC187">
        <v>5.35</v>
      </c>
      <c r="BD187" t="s">
        <v>3</v>
      </c>
      <c r="BE187" t="s">
        <v>3</v>
      </c>
      <c r="BF187" t="s">
        <v>3</v>
      </c>
      <c r="BG187" t="s">
        <v>3</v>
      </c>
      <c r="BH187">
        <v>0</v>
      </c>
      <c r="BI187">
        <v>2</v>
      </c>
      <c r="BJ187" t="s">
        <v>249</v>
      </c>
      <c r="BM187">
        <v>68</v>
      </c>
      <c r="BN187">
        <v>58973116</v>
      </c>
      <c r="BO187" t="s">
        <v>246</v>
      </c>
      <c r="BP187">
        <v>1</v>
      </c>
      <c r="BQ187">
        <v>40</v>
      </c>
      <c r="BR187">
        <v>0</v>
      </c>
      <c r="BS187">
        <v>54.99</v>
      </c>
      <c r="BT187">
        <v>1</v>
      </c>
      <c r="BU187">
        <v>1</v>
      </c>
      <c r="BV187">
        <v>1</v>
      </c>
      <c r="BW187">
        <v>1</v>
      </c>
      <c r="BX187">
        <v>1</v>
      </c>
      <c r="BY187" t="s">
        <v>3</v>
      </c>
      <c r="BZ187">
        <v>90</v>
      </c>
      <c r="CA187">
        <v>46</v>
      </c>
      <c r="CB187" t="s">
        <v>3</v>
      </c>
      <c r="CE187">
        <v>1566</v>
      </c>
      <c r="CF187">
        <v>0</v>
      </c>
      <c r="CG187">
        <v>0</v>
      </c>
      <c r="CM187">
        <v>0</v>
      </c>
      <c r="CN187" t="s">
        <v>474</v>
      </c>
      <c r="CO187">
        <v>0</v>
      </c>
      <c r="CP187">
        <f t="shared" si="125"/>
        <v>2625.52</v>
      </c>
      <c r="CQ187">
        <f t="shared" si="167"/>
        <v>227.96</v>
      </c>
      <c r="CR187">
        <f>(ROUND((ROUND((((ET187*1.1))*AV187*1),2)*BB187),2)+ROUND((ROUND(((AE187-((EU187*1.1)))*AV187*1),2)*BS187),2))</f>
        <v>0</v>
      </c>
      <c r="CS187">
        <f>(ROUND((ROUND((((EU187*1.1))*AV187*1),2)*BS187),2)+ROUND((ROUND(((AE187-((EU187*1.1)))*AV187*1),2)*BS187),2))</f>
        <v>0</v>
      </c>
      <c r="CT187">
        <f t="shared" si="127"/>
        <v>2397.56</v>
      </c>
      <c r="CU187">
        <f t="shared" si="128"/>
        <v>0</v>
      </c>
      <c r="CV187">
        <f t="shared" si="129"/>
        <v>3.4550999999999998</v>
      </c>
      <c r="CW187">
        <f t="shared" si="130"/>
        <v>0</v>
      </c>
      <c r="CX187">
        <f t="shared" si="131"/>
        <v>0</v>
      </c>
      <c r="CY187">
        <f>(ROUND((((S187+ROUND((ROUND((((EU187*1.1))*AV187*1),2)*BS187),2))*AT187)/100),2)+ROUND(((ROUND((ROUND(((AE187-((EU187*1.1)))*AV187*1),2)*BS187),2)*AT187)/100),2))</f>
        <v>2157.8000000000002</v>
      </c>
      <c r="CZ187">
        <f>(ROUND((((S187+ROUND((ROUND((((EU187*1.1))*AV187*1),2)*BS187),2))*AU187)/100),2)+ROUND(((ROUND((ROUND(((AE187-((EU187*1.1)))*AV187*1),2)*BS187),2)*AU187)/100),2))</f>
        <v>1102.8800000000001</v>
      </c>
      <c r="DB187">
        <v>32</v>
      </c>
      <c r="DC187" t="s">
        <v>3</v>
      </c>
      <c r="DD187" t="s">
        <v>3</v>
      </c>
      <c r="DE187" t="s">
        <v>23</v>
      </c>
      <c r="DF187" t="s">
        <v>23</v>
      </c>
      <c r="DG187" t="s">
        <v>23</v>
      </c>
      <c r="DH187" t="s">
        <v>3</v>
      </c>
      <c r="DI187" t="s">
        <v>23</v>
      </c>
      <c r="DJ187" t="s">
        <v>23</v>
      </c>
      <c r="DK187" t="s">
        <v>3</v>
      </c>
      <c r="DL187" t="s">
        <v>3</v>
      </c>
      <c r="DM187" t="s">
        <v>3</v>
      </c>
      <c r="DN187">
        <v>0</v>
      </c>
      <c r="DO187">
        <v>0</v>
      </c>
      <c r="DP187">
        <v>1</v>
      </c>
      <c r="DQ187">
        <v>1</v>
      </c>
      <c r="DU187">
        <v>1013</v>
      </c>
      <c r="DV187" t="s">
        <v>248</v>
      </c>
      <c r="DW187" t="s">
        <v>248</v>
      </c>
      <c r="DX187">
        <v>1</v>
      </c>
      <c r="DZ187" t="s">
        <v>3</v>
      </c>
      <c r="EA187" t="s">
        <v>3</v>
      </c>
      <c r="EB187" t="s">
        <v>3</v>
      </c>
      <c r="EC187" t="s">
        <v>3</v>
      </c>
      <c r="EE187">
        <v>60088532</v>
      </c>
      <c r="EF187">
        <v>40</v>
      </c>
      <c r="EG187" t="s">
        <v>24</v>
      </c>
      <c r="EH187">
        <v>0</v>
      </c>
      <c r="EI187" t="s">
        <v>3</v>
      </c>
      <c r="EJ187">
        <v>2</v>
      </c>
      <c r="EK187">
        <v>68</v>
      </c>
      <c r="EL187" t="s">
        <v>201</v>
      </c>
      <c r="EM187" t="s">
        <v>202</v>
      </c>
      <c r="EO187" t="s">
        <v>27</v>
      </c>
      <c r="EQ187">
        <v>0</v>
      </c>
      <c r="ER187">
        <v>80.47</v>
      </c>
      <c r="ES187">
        <v>42.61</v>
      </c>
      <c r="ET187">
        <v>0</v>
      </c>
      <c r="EU187">
        <v>0</v>
      </c>
      <c r="EV187">
        <v>37.86</v>
      </c>
      <c r="EW187">
        <v>3</v>
      </c>
      <c r="EX187">
        <v>0</v>
      </c>
      <c r="EY187">
        <v>0</v>
      </c>
      <c r="FQ187">
        <v>0</v>
      </c>
      <c r="FR187">
        <v>0</v>
      </c>
      <c r="FS187">
        <v>0</v>
      </c>
      <c r="FX187">
        <v>90</v>
      </c>
      <c r="FY187">
        <v>46</v>
      </c>
      <c r="GA187" t="s">
        <v>3</v>
      </c>
      <c r="GD187">
        <v>1</v>
      </c>
      <c r="GF187">
        <v>-644758659</v>
      </c>
      <c r="GG187">
        <v>2</v>
      </c>
      <c r="GH187">
        <v>1</v>
      </c>
      <c r="GI187">
        <v>2</v>
      </c>
      <c r="GJ187">
        <v>0</v>
      </c>
      <c r="GK187">
        <v>0</v>
      </c>
      <c r="GL187">
        <f t="shared" si="132"/>
        <v>0</v>
      </c>
      <c r="GM187">
        <f t="shared" si="133"/>
        <v>5886.2</v>
      </c>
      <c r="GN187">
        <f t="shared" si="134"/>
        <v>0</v>
      </c>
      <c r="GO187">
        <f t="shared" si="135"/>
        <v>5886.2</v>
      </c>
      <c r="GP187">
        <f t="shared" si="136"/>
        <v>0</v>
      </c>
      <c r="GR187">
        <v>0</v>
      </c>
      <c r="GS187">
        <v>3</v>
      </c>
      <c r="GT187">
        <v>0</v>
      </c>
      <c r="GU187" t="s">
        <v>3</v>
      </c>
      <c r="GV187">
        <f t="shared" si="137"/>
        <v>0</v>
      </c>
      <c r="GW187">
        <v>1</v>
      </c>
      <c r="GX187">
        <f t="shared" si="138"/>
        <v>0</v>
      </c>
      <c r="HA187">
        <v>0</v>
      </c>
      <c r="HB187">
        <v>0</v>
      </c>
      <c r="HC187">
        <f t="shared" si="139"/>
        <v>0</v>
      </c>
      <c r="HE187" t="s">
        <v>3</v>
      </c>
      <c r="HF187" t="s">
        <v>3</v>
      </c>
      <c r="HM187" t="s">
        <v>3</v>
      </c>
      <c r="HN187" t="s">
        <v>3</v>
      </c>
      <c r="HO187" t="s">
        <v>3</v>
      </c>
      <c r="HP187" t="s">
        <v>3</v>
      </c>
      <c r="HQ187" t="s">
        <v>3</v>
      </c>
      <c r="HS187">
        <v>0</v>
      </c>
      <c r="IK187">
        <v>0</v>
      </c>
    </row>
    <row r="188" spans="1:255" x14ac:dyDescent="0.2">
      <c r="A188" s="2">
        <v>18</v>
      </c>
      <c r="B188" s="2">
        <v>1</v>
      </c>
      <c r="C188" s="2">
        <v>224</v>
      </c>
      <c r="D188" s="2"/>
      <c r="E188" s="2" t="s">
        <v>271</v>
      </c>
      <c r="F188" s="2" t="s">
        <v>272</v>
      </c>
      <c r="G188" s="2" t="s">
        <v>273</v>
      </c>
      <c r="H188" s="2" t="s">
        <v>206</v>
      </c>
      <c r="I188" s="2">
        <f>I186*J188</f>
        <v>1</v>
      </c>
      <c r="J188" s="2">
        <v>1</v>
      </c>
      <c r="K188" s="2">
        <v>1</v>
      </c>
      <c r="L188" s="2"/>
      <c r="M188" s="2"/>
      <c r="N188" s="2"/>
      <c r="O188" s="2">
        <f t="shared" si="114"/>
        <v>578.33000000000004</v>
      </c>
      <c r="P188" s="2">
        <f>ROUND((ROUND((AC188*I188),2)*BC188),2)</f>
        <v>578.33000000000004</v>
      </c>
      <c r="Q188" s="2">
        <f>(ROUND((ROUND(((ET188)*AV188*I188),2)*BB188),2)+ROUND((ROUND(((AE188-(EU188))*AV188*I188),2)*BS188),2))</f>
        <v>0</v>
      </c>
      <c r="R188" s="2">
        <f>(ROUND((ROUND(((EU188)*AV188*I188),2)*BS188),2)+ROUND((ROUND(((AE188-(EU188))*AV188*I188),2)*BS188),2))</f>
        <v>0</v>
      </c>
      <c r="S188" s="2">
        <f t="shared" si="116"/>
        <v>0</v>
      </c>
      <c r="T188" s="2">
        <f t="shared" si="117"/>
        <v>0</v>
      </c>
      <c r="U188" s="2">
        <f t="shared" si="118"/>
        <v>0</v>
      </c>
      <c r="V188" s="2">
        <f t="shared" si="119"/>
        <v>0</v>
      </c>
      <c r="W188" s="2">
        <f t="shared" si="120"/>
        <v>0</v>
      </c>
      <c r="X188" s="2">
        <f>(ROUND((((S188+ROUND((ROUND(((EU188)*AV188*I188),2)*BS188),2))*AT188)/100),2)+ROUND(((ROUND((ROUND(((AE188-(EU188))*AV188*I188),2)*BS188),2)*AT188)/100),2))</f>
        <v>0</v>
      </c>
      <c r="Y188" s="2">
        <f>(ROUND((((S188+ROUND((ROUND(((EU188)*AV188*I188),2)*BS188),2))*AU188)/100),2)+ROUND(((ROUND((ROUND(((AE188-(EU188))*AV188*I188),2)*BS188),2)*AU188)/100),2))</f>
        <v>0</v>
      </c>
      <c r="Z188" s="2"/>
      <c r="AA188" s="2">
        <v>60256985</v>
      </c>
      <c r="AB188" s="2">
        <f t="shared" si="121"/>
        <v>578.33000000000004</v>
      </c>
      <c r="AC188" s="2">
        <f t="shared" si="122"/>
        <v>578.33000000000004</v>
      </c>
      <c r="AD188" s="2">
        <f>ROUND((((ET188)-(EU188))+AE188),6)</f>
        <v>0</v>
      </c>
      <c r="AE188" s="2">
        <f>ROUND((EU188),6)</f>
        <v>0</v>
      </c>
      <c r="AF188" s="2">
        <f>ROUND((EV188),6)</f>
        <v>0</v>
      </c>
      <c r="AG188" s="2">
        <f t="shared" si="123"/>
        <v>0</v>
      </c>
      <c r="AH188" s="2">
        <f>(EW188)</f>
        <v>0</v>
      </c>
      <c r="AI188" s="2">
        <f>(EX188)</f>
        <v>0</v>
      </c>
      <c r="AJ188" s="2">
        <f t="shared" si="124"/>
        <v>0</v>
      </c>
      <c r="AK188" s="2">
        <v>578.33000000000004</v>
      </c>
      <c r="AL188" s="2">
        <v>578.33000000000004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1</v>
      </c>
      <c r="AW188" s="2">
        <v>1</v>
      </c>
      <c r="AX188" s="2"/>
      <c r="AY188" s="2"/>
      <c r="AZ188" s="2">
        <v>1</v>
      </c>
      <c r="BA188" s="2">
        <v>1</v>
      </c>
      <c r="BB188" s="2">
        <v>1</v>
      </c>
      <c r="BC188" s="2">
        <v>1</v>
      </c>
      <c r="BD188" s="2" t="s">
        <v>3</v>
      </c>
      <c r="BE188" s="2" t="s">
        <v>3</v>
      </c>
      <c r="BF188" s="2" t="s">
        <v>3</v>
      </c>
      <c r="BG188" s="2" t="s">
        <v>3</v>
      </c>
      <c r="BH188" s="2">
        <v>3</v>
      </c>
      <c r="BI188" s="2">
        <v>3</v>
      </c>
      <c r="BJ188" s="2" t="s">
        <v>3</v>
      </c>
      <c r="BK188" s="2"/>
      <c r="BL188" s="2"/>
      <c r="BM188" s="2">
        <v>746</v>
      </c>
      <c r="BN188" s="2">
        <v>0</v>
      </c>
      <c r="BO188" s="2" t="s">
        <v>3</v>
      </c>
      <c r="BP188" s="2">
        <v>0</v>
      </c>
      <c r="BQ188" s="2">
        <v>130</v>
      </c>
      <c r="BR188" s="2">
        <v>0</v>
      </c>
      <c r="BS188" s="2">
        <v>1</v>
      </c>
      <c r="BT188" s="2">
        <v>1</v>
      </c>
      <c r="BU188" s="2">
        <v>1</v>
      </c>
      <c r="BV188" s="2">
        <v>1</v>
      </c>
      <c r="BW188" s="2">
        <v>1</v>
      </c>
      <c r="BX188" s="2">
        <v>1</v>
      </c>
      <c r="BY188" s="2" t="s">
        <v>3</v>
      </c>
      <c r="BZ188" s="2">
        <v>90</v>
      </c>
      <c r="CA188" s="2">
        <v>46</v>
      </c>
      <c r="CB188" s="2" t="s">
        <v>3</v>
      </c>
      <c r="CC188" s="2"/>
      <c r="CD188" s="2"/>
      <c r="CE188" s="2">
        <v>1566</v>
      </c>
      <c r="CF188" s="2">
        <v>0</v>
      </c>
      <c r="CG188" s="2">
        <v>0</v>
      </c>
      <c r="CH188" s="2"/>
      <c r="CI188" s="2"/>
      <c r="CJ188" s="2"/>
      <c r="CK188" s="2"/>
      <c r="CL188" s="2"/>
      <c r="CM188" s="2">
        <v>0</v>
      </c>
      <c r="CN188" s="2" t="s">
        <v>3</v>
      </c>
      <c r="CO188" s="2">
        <v>0</v>
      </c>
      <c r="CP188" s="2">
        <f t="shared" si="125"/>
        <v>578.33000000000004</v>
      </c>
      <c r="CQ188" s="2">
        <f>ROUND((ROUND((AC188*1),2)*BC188),2)</f>
        <v>578.33000000000004</v>
      </c>
      <c r="CR188" s="2">
        <f>(ROUND((ROUND(((ET188)*AV188*1),2)*BB188),2)+ROUND((ROUND(((AE188-(EU188))*AV188*1),2)*BS188),2))</f>
        <v>0</v>
      </c>
      <c r="CS188" s="2">
        <f>(ROUND((ROUND(((EU188)*AV188*1),2)*BS188),2)+ROUND((ROUND(((AE188-(EU188))*AV188*1),2)*BS188),2))</f>
        <v>0</v>
      </c>
      <c r="CT188" s="2">
        <f t="shared" si="127"/>
        <v>0</v>
      </c>
      <c r="CU188" s="2">
        <f t="shared" si="128"/>
        <v>0</v>
      </c>
      <c r="CV188" s="2">
        <f t="shared" si="129"/>
        <v>0</v>
      </c>
      <c r="CW188" s="2">
        <f t="shared" si="130"/>
        <v>0</v>
      </c>
      <c r="CX188" s="2">
        <f t="shared" si="131"/>
        <v>0</v>
      </c>
      <c r="CY188" s="2">
        <f>(ROUND((((S188+ROUND((ROUND(((EU188)*AV188*1),2)*BS188),2))*AT188)/100),2)+ROUND(((ROUND((ROUND(((AE188-(EU188))*AV188*1),2)*BS188),2)*AT188)/100),2))</f>
        <v>0</v>
      </c>
      <c r="CZ188" s="2">
        <f>(ROUND((((S188+ROUND((ROUND(((EU188)*AV188*1),2)*BS188),2))*AU188)/100),2)+ROUND(((ROUND((ROUND(((AE188-(EU188))*AV188*1),2)*BS188),2)*AU188)/100),2))</f>
        <v>0</v>
      </c>
      <c r="DA188" s="2"/>
      <c r="DB188" s="2"/>
      <c r="DC188" s="2" t="s">
        <v>3</v>
      </c>
      <c r="DD188" s="2" t="s">
        <v>3</v>
      </c>
      <c r="DE188" s="2" t="s">
        <v>3</v>
      </c>
      <c r="DF188" s="2" t="s">
        <v>3</v>
      </c>
      <c r="DG188" s="2" t="s">
        <v>3</v>
      </c>
      <c r="DH188" s="2" t="s">
        <v>3</v>
      </c>
      <c r="DI188" s="2" t="s">
        <v>3</v>
      </c>
      <c r="DJ188" s="2" t="s">
        <v>3</v>
      </c>
      <c r="DK188" s="2" t="s">
        <v>3</v>
      </c>
      <c r="DL188" s="2" t="s">
        <v>3</v>
      </c>
      <c r="DM188" s="2" t="s">
        <v>3</v>
      </c>
      <c r="DN188" s="2">
        <v>0</v>
      </c>
      <c r="DO188" s="2">
        <v>0</v>
      </c>
      <c r="DP188" s="2">
        <v>1</v>
      </c>
      <c r="DQ188" s="2">
        <v>1</v>
      </c>
      <c r="DR188" s="2"/>
      <c r="DS188" s="2"/>
      <c r="DT188" s="2"/>
      <c r="DU188" s="2">
        <v>1013</v>
      </c>
      <c r="DV188" s="2" t="s">
        <v>206</v>
      </c>
      <c r="DW188" s="2" t="s">
        <v>206</v>
      </c>
      <c r="DX188" s="2">
        <v>1</v>
      </c>
      <c r="DY188" s="2"/>
      <c r="DZ188" s="2" t="s">
        <v>3</v>
      </c>
      <c r="EA188" s="2" t="s">
        <v>3</v>
      </c>
      <c r="EB188" s="2" t="s">
        <v>3</v>
      </c>
      <c r="EC188" s="2" t="s">
        <v>3</v>
      </c>
      <c r="ED188" s="2"/>
      <c r="EE188" s="2">
        <v>60088638</v>
      </c>
      <c r="EF188" s="2">
        <v>130</v>
      </c>
      <c r="EG188" s="2" t="s">
        <v>32</v>
      </c>
      <c r="EH188" s="2">
        <v>0</v>
      </c>
      <c r="EI188" s="2" t="s">
        <v>3</v>
      </c>
      <c r="EJ188" s="2">
        <v>3</v>
      </c>
      <c r="EK188" s="2">
        <v>746</v>
      </c>
      <c r="EL188" s="2" t="s">
        <v>33</v>
      </c>
      <c r="EM188" s="2" t="s">
        <v>34</v>
      </c>
      <c r="EN188" s="2"/>
      <c r="EO188" s="2" t="s">
        <v>3</v>
      </c>
      <c r="EP188" s="2"/>
      <c r="EQ188" s="2">
        <v>0</v>
      </c>
      <c r="ER188" s="2">
        <v>0</v>
      </c>
      <c r="ES188" s="2">
        <v>578.33000000000004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>
        <v>0</v>
      </c>
      <c r="FR188" s="2">
        <f>P188</f>
        <v>578.33000000000004</v>
      </c>
      <c r="FS188" s="2">
        <v>0</v>
      </c>
      <c r="FT188" s="2"/>
      <c r="FU188" s="2"/>
      <c r="FV188" s="2"/>
      <c r="FW188" s="2"/>
      <c r="FX188" s="2">
        <v>90</v>
      </c>
      <c r="FY188" s="2">
        <v>46</v>
      </c>
      <c r="FZ188" s="2"/>
      <c r="GA188" s="2" t="s">
        <v>274</v>
      </c>
      <c r="GB188" s="2"/>
      <c r="GC188" s="2"/>
      <c r="GD188" s="2">
        <v>1</v>
      </c>
      <c r="GE188" s="2"/>
      <c r="GF188" s="2">
        <v>-1998108298</v>
      </c>
      <c r="GG188" s="2">
        <v>2</v>
      </c>
      <c r="GH188" s="2">
        <v>4</v>
      </c>
      <c r="GI188" s="2">
        <v>-2</v>
      </c>
      <c r="GJ188" s="2">
        <v>0</v>
      </c>
      <c r="GK188" s="2">
        <v>0</v>
      </c>
      <c r="GL188" s="2">
        <f t="shared" si="132"/>
        <v>0</v>
      </c>
      <c r="GM188" s="2">
        <f t="shared" si="133"/>
        <v>578.33000000000004</v>
      </c>
      <c r="GN188" s="2">
        <f t="shared" si="134"/>
        <v>0</v>
      </c>
      <c r="GO188" s="2">
        <f t="shared" si="135"/>
        <v>0</v>
      </c>
      <c r="GP188" s="2">
        <f t="shared" si="136"/>
        <v>0</v>
      </c>
      <c r="GQ188" s="2"/>
      <c r="GR188" s="2">
        <v>0</v>
      </c>
      <c r="GS188" s="2">
        <v>2</v>
      </c>
      <c r="GT188" s="2">
        <v>0</v>
      </c>
      <c r="GU188" s="2" t="s">
        <v>3</v>
      </c>
      <c r="GV188" s="2">
        <f t="shared" si="137"/>
        <v>0</v>
      </c>
      <c r="GW188" s="2">
        <v>1</v>
      </c>
      <c r="GX188" s="2">
        <f t="shared" si="138"/>
        <v>0</v>
      </c>
      <c r="GY188" s="2"/>
      <c r="GZ188" s="2"/>
      <c r="HA188" s="2">
        <v>0</v>
      </c>
      <c r="HB188" s="2">
        <v>0</v>
      </c>
      <c r="HC188" s="2">
        <f t="shared" si="139"/>
        <v>0</v>
      </c>
      <c r="HD188" s="2"/>
      <c r="HE188" s="2" t="s">
        <v>36</v>
      </c>
      <c r="HF188" s="2" t="s">
        <v>37</v>
      </c>
      <c r="HG188" s="2"/>
      <c r="HH188" s="2"/>
      <c r="HI188" s="2"/>
      <c r="HJ188" s="2"/>
      <c r="HK188" s="2"/>
      <c r="HL188" s="2"/>
      <c r="HM188" s="2" t="s">
        <v>3</v>
      </c>
      <c r="HN188" s="2" t="s">
        <v>3</v>
      </c>
      <c r="HO188" s="2" t="s">
        <v>3</v>
      </c>
      <c r="HP188" s="2" t="s">
        <v>3</v>
      </c>
      <c r="HQ188" s="2" t="s">
        <v>3</v>
      </c>
      <c r="HR188" s="2"/>
      <c r="HS188" s="2">
        <v>0</v>
      </c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>
        <v>0</v>
      </c>
      <c r="IL188" s="2"/>
      <c r="IM188" s="2"/>
      <c r="IN188" s="2"/>
      <c r="IO188" s="2"/>
      <c r="IP188" s="2"/>
      <c r="IQ188" s="2"/>
      <c r="IR188" s="2"/>
      <c r="IS188" s="2"/>
      <c r="IT188" s="2"/>
      <c r="IU188" s="2"/>
    </row>
    <row r="189" spans="1:255" x14ac:dyDescent="0.2">
      <c r="A189">
        <v>18</v>
      </c>
      <c r="B189">
        <v>1</v>
      </c>
      <c r="C189">
        <v>240</v>
      </c>
      <c r="E189" t="s">
        <v>271</v>
      </c>
      <c r="F189" t="s">
        <v>272</v>
      </c>
      <c r="G189" t="s">
        <v>273</v>
      </c>
      <c r="H189" t="s">
        <v>206</v>
      </c>
      <c r="I189">
        <f>I187*J189</f>
        <v>1</v>
      </c>
      <c r="J189">
        <v>1</v>
      </c>
      <c r="K189">
        <v>1</v>
      </c>
      <c r="O189">
        <f t="shared" si="114"/>
        <v>4430.01</v>
      </c>
      <c r="P189">
        <f>ROUND((ROUND((AC189*I189),2)*BC189),2)</f>
        <v>4430.01</v>
      </c>
      <c r="Q189">
        <f>(ROUND((ROUND(((ET189)*AV189*I189),2)*BB189),2)+ROUND((ROUND(((AE189-(EU189))*AV189*I189),2)*BS189),2))</f>
        <v>0</v>
      </c>
      <c r="R189">
        <f>(ROUND((ROUND(((EU189)*AV189*I189),2)*BS189),2)+ROUND((ROUND(((AE189-(EU189))*AV189*I189),2)*BS189),2))</f>
        <v>0</v>
      </c>
      <c r="S189">
        <f t="shared" si="116"/>
        <v>0</v>
      </c>
      <c r="T189">
        <f t="shared" si="117"/>
        <v>0</v>
      </c>
      <c r="U189">
        <f t="shared" si="118"/>
        <v>0</v>
      </c>
      <c r="V189">
        <f t="shared" si="119"/>
        <v>0</v>
      </c>
      <c r="W189">
        <f t="shared" si="120"/>
        <v>0</v>
      </c>
      <c r="X189">
        <f>(ROUND((((S189+ROUND((ROUND(((EU189)*AV189*I189),2)*BS189),2))*AT189)/100),2)+ROUND(((ROUND((ROUND(((AE189-(EU189))*AV189*I189),2)*BS189),2)*AT189)/100),2))</f>
        <v>0</v>
      </c>
      <c r="Y189">
        <f>(ROUND((((S189+ROUND((ROUND(((EU189)*AV189*I189),2)*BS189),2))*AU189)/100),2)+ROUND(((ROUND((ROUND(((AE189-(EU189))*AV189*I189),2)*BS189),2)*AU189)/100),2))</f>
        <v>0</v>
      </c>
      <c r="AA189">
        <v>60256982</v>
      </c>
      <c r="AB189">
        <f t="shared" si="121"/>
        <v>578.33000000000004</v>
      </c>
      <c r="AC189">
        <f t="shared" si="122"/>
        <v>578.33000000000004</v>
      </c>
      <c r="AD189">
        <f>ROUND((((ET189)-(EU189))+AE189),6)</f>
        <v>0</v>
      </c>
      <c r="AE189">
        <f>ROUND((EU189),6)</f>
        <v>0</v>
      </c>
      <c r="AF189">
        <f>ROUND((EV189),6)</f>
        <v>0</v>
      </c>
      <c r="AG189">
        <f t="shared" si="123"/>
        <v>0</v>
      </c>
      <c r="AH189">
        <f>(EW189)</f>
        <v>0</v>
      </c>
      <c r="AI189">
        <f>(EX189)</f>
        <v>0</v>
      </c>
      <c r="AJ189">
        <f t="shared" si="124"/>
        <v>0</v>
      </c>
      <c r="AK189">
        <v>578.33000000000004</v>
      </c>
      <c r="AL189">
        <v>578.33000000000004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1</v>
      </c>
      <c r="AW189">
        <v>1</v>
      </c>
      <c r="AZ189">
        <v>1</v>
      </c>
      <c r="BA189">
        <v>1</v>
      </c>
      <c r="BB189">
        <v>1</v>
      </c>
      <c r="BC189">
        <v>7.66</v>
      </c>
      <c r="BD189" t="s">
        <v>3</v>
      </c>
      <c r="BE189" t="s">
        <v>3</v>
      </c>
      <c r="BF189" t="s">
        <v>3</v>
      </c>
      <c r="BG189" t="s">
        <v>3</v>
      </c>
      <c r="BH189">
        <v>3</v>
      </c>
      <c r="BI189">
        <v>3</v>
      </c>
      <c r="BJ189" t="s">
        <v>3</v>
      </c>
      <c r="BM189">
        <v>746</v>
      </c>
      <c r="BN189">
        <v>0</v>
      </c>
      <c r="BO189" t="s">
        <v>3</v>
      </c>
      <c r="BP189">
        <v>0</v>
      </c>
      <c r="BQ189">
        <v>130</v>
      </c>
      <c r="BR189">
        <v>0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 t="s">
        <v>3</v>
      </c>
      <c r="BZ189">
        <v>90</v>
      </c>
      <c r="CA189">
        <v>46</v>
      </c>
      <c r="CB189" t="s">
        <v>3</v>
      </c>
      <c r="CE189">
        <v>1566</v>
      </c>
      <c r="CF189">
        <v>0</v>
      </c>
      <c r="CG189">
        <v>0</v>
      </c>
      <c r="CM189">
        <v>0</v>
      </c>
      <c r="CN189" t="s">
        <v>3</v>
      </c>
      <c r="CO189">
        <v>0</v>
      </c>
      <c r="CP189">
        <f t="shared" si="125"/>
        <v>4430.01</v>
      </c>
      <c r="CQ189">
        <f>ROUND((ROUND((AC189*1),2)*BC189),2)</f>
        <v>4430.01</v>
      </c>
      <c r="CR189">
        <f>(ROUND((ROUND(((ET189)*AV189*1),2)*BB189),2)+ROUND((ROUND(((AE189-(EU189))*AV189*1),2)*BS189),2))</f>
        <v>0</v>
      </c>
      <c r="CS189">
        <f>(ROUND((ROUND(((EU189)*AV189*1),2)*BS189),2)+ROUND((ROUND(((AE189-(EU189))*AV189*1),2)*BS189),2))</f>
        <v>0</v>
      </c>
      <c r="CT189">
        <f t="shared" si="127"/>
        <v>0</v>
      </c>
      <c r="CU189">
        <f t="shared" si="128"/>
        <v>0</v>
      </c>
      <c r="CV189">
        <f t="shared" si="129"/>
        <v>0</v>
      </c>
      <c r="CW189">
        <f t="shared" si="130"/>
        <v>0</v>
      </c>
      <c r="CX189">
        <f t="shared" si="131"/>
        <v>0</v>
      </c>
      <c r="CY189">
        <f>(ROUND((((S189+ROUND((ROUND(((EU189)*AV189*1),2)*BS189),2))*AT189)/100),2)+ROUND(((ROUND((ROUND(((AE189-(EU189))*AV189*1),2)*BS189),2)*AT189)/100),2))</f>
        <v>0</v>
      </c>
      <c r="CZ189">
        <f>(ROUND((((S189+ROUND((ROUND(((EU189)*AV189*1),2)*BS189),2))*AU189)/100),2)+ROUND(((ROUND((ROUND(((AE189-(EU189))*AV189*1),2)*BS189),2)*AU189)/100),2))</f>
        <v>0</v>
      </c>
      <c r="DC189" t="s">
        <v>3</v>
      </c>
      <c r="DD189" t="s">
        <v>3</v>
      </c>
      <c r="DE189" t="s">
        <v>3</v>
      </c>
      <c r="DF189" t="s">
        <v>3</v>
      </c>
      <c r="DG189" t="s">
        <v>3</v>
      </c>
      <c r="DH189" t="s">
        <v>3</v>
      </c>
      <c r="DI189" t="s">
        <v>3</v>
      </c>
      <c r="DJ189" t="s">
        <v>3</v>
      </c>
      <c r="DK189" t="s">
        <v>3</v>
      </c>
      <c r="DL189" t="s">
        <v>3</v>
      </c>
      <c r="DM189" t="s">
        <v>3</v>
      </c>
      <c r="DN189">
        <v>0</v>
      </c>
      <c r="DO189">
        <v>0</v>
      </c>
      <c r="DP189">
        <v>1</v>
      </c>
      <c r="DQ189">
        <v>1</v>
      </c>
      <c r="DU189">
        <v>1013</v>
      </c>
      <c r="DV189" t="s">
        <v>206</v>
      </c>
      <c r="DW189" t="s">
        <v>206</v>
      </c>
      <c r="DX189">
        <v>1</v>
      </c>
      <c r="DZ189" t="s">
        <v>3</v>
      </c>
      <c r="EA189" t="s">
        <v>3</v>
      </c>
      <c r="EB189" t="s">
        <v>3</v>
      </c>
      <c r="EC189" t="s">
        <v>3</v>
      </c>
      <c r="EE189">
        <v>60088638</v>
      </c>
      <c r="EF189">
        <v>130</v>
      </c>
      <c r="EG189" t="s">
        <v>32</v>
      </c>
      <c r="EH189">
        <v>0</v>
      </c>
      <c r="EI189" t="s">
        <v>3</v>
      </c>
      <c r="EJ189">
        <v>3</v>
      </c>
      <c r="EK189">
        <v>746</v>
      </c>
      <c r="EL189" t="s">
        <v>33</v>
      </c>
      <c r="EM189" t="s">
        <v>34</v>
      </c>
      <c r="EO189" t="s">
        <v>3</v>
      </c>
      <c r="EQ189">
        <v>0</v>
      </c>
      <c r="ER189">
        <v>0</v>
      </c>
      <c r="ES189">
        <v>578.33000000000004</v>
      </c>
      <c r="ET189">
        <v>0</v>
      </c>
      <c r="EU189">
        <v>0</v>
      </c>
      <c r="EV189">
        <v>0</v>
      </c>
      <c r="EW189">
        <v>0</v>
      </c>
      <c r="EX189">
        <v>0</v>
      </c>
      <c r="EZ189">
        <v>5</v>
      </c>
      <c r="FC189">
        <v>1</v>
      </c>
      <c r="FD189">
        <v>18</v>
      </c>
      <c r="FF189">
        <v>5100</v>
      </c>
      <c r="FQ189">
        <v>0</v>
      </c>
      <c r="FR189">
        <f>P189</f>
        <v>4430.01</v>
      </c>
      <c r="FS189">
        <v>0</v>
      </c>
      <c r="FX189">
        <v>90</v>
      </c>
      <c r="FY189">
        <v>46</v>
      </c>
      <c r="GA189" t="s">
        <v>274</v>
      </c>
      <c r="GD189">
        <v>1</v>
      </c>
      <c r="GF189">
        <v>-1998108298</v>
      </c>
      <c r="GG189">
        <v>2</v>
      </c>
      <c r="GH189">
        <v>3</v>
      </c>
      <c r="GI189">
        <v>5</v>
      </c>
      <c r="GJ189">
        <v>0</v>
      </c>
      <c r="GK189">
        <v>0</v>
      </c>
      <c r="GL189">
        <f t="shared" si="132"/>
        <v>0</v>
      </c>
      <c r="GM189">
        <f t="shared" si="133"/>
        <v>4430.01</v>
      </c>
      <c r="GN189">
        <f t="shared" si="134"/>
        <v>0</v>
      </c>
      <c r="GO189">
        <f t="shared" si="135"/>
        <v>0</v>
      </c>
      <c r="GP189">
        <f t="shared" si="136"/>
        <v>0</v>
      </c>
      <c r="GR189">
        <v>1</v>
      </c>
      <c r="GS189">
        <v>1</v>
      </c>
      <c r="GT189">
        <v>0</v>
      </c>
      <c r="GU189" t="s">
        <v>3</v>
      </c>
      <c r="GV189">
        <f t="shared" si="137"/>
        <v>0</v>
      </c>
      <c r="GW189">
        <v>1</v>
      </c>
      <c r="GX189">
        <f t="shared" si="138"/>
        <v>0</v>
      </c>
      <c r="HA189">
        <v>0</v>
      </c>
      <c r="HB189">
        <v>0</v>
      </c>
      <c r="HC189">
        <f t="shared" si="139"/>
        <v>0</v>
      </c>
      <c r="HE189" t="s">
        <v>36</v>
      </c>
      <c r="HF189" t="s">
        <v>37</v>
      </c>
      <c r="HM189" t="s">
        <v>3</v>
      </c>
      <c r="HN189" t="s">
        <v>3</v>
      </c>
      <c r="HO189" t="s">
        <v>3</v>
      </c>
      <c r="HP189" t="s">
        <v>3</v>
      </c>
      <c r="HQ189" t="s">
        <v>3</v>
      </c>
      <c r="HS189">
        <v>0</v>
      </c>
      <c r="IK189">
        <v>0</v>
      </c>
    </row>
    <row r="191" spans="1:255" x14ac:dyDescent="0.2">
      <c r="A191" s="3">
        <v>51</v>
      </c>
      <c r="B191" s="3">
        <f>B146</f>
        <v>1</v>
      </c>
      <c r="C191" s="3">
        <f>A146</f>
        <v>4</v>
      </c>
      <c r="D191" s="3">
        <f>ROW(A146)</f>
        <v>146</v>
      </c>
      <c r="E191" s="3"/>
      <c r="F191" s="3" t="str">
        <f>IF(F146&lt;&gt;"",F146,"")</f>
        <v/>
      </c>
      <c r="G191" s="3" t="str">
        <f>IF(G146&lt;&gt;"",G146,"")</f>
        <v>Материалы</v>
      </c>
      <c r="H191" s="3">
        <v>0</v>
      </c>
      <c r="I191" s="3"/>
      <c r="J191" s="3"/>
      <c r="K191" s="3"/>
      <c r="L191" s="3"/>
      <c r="M191" s="3"/>
      <c r="N191" s="3"/>
      <c r="O191" s="3">
        <f t="shared" ref="O191:T191" si="168">ROUND(AB191,2)</f>
        <v>8905.14</v>
      </c>
      <c r="P191" s="3">
        <f t="shared" si="168"/>
        <v>8663.74</v>
      </c>
      <c r="Q191" s="3">
        <f t="shared" si="168"/>
        <v>0.01</v>
      </c>
      <c r="R191" s="3">
        <f t="shared" si="168"/>
        <v>0</v>
      </c>
      <c r="S191" s="3">
        <f t="shared" si="168"/>
        <v>241.39</v>
      </c>
      <c r="T191" s="3">
        <f t="shared" si="168"/>
        <v>0</v>
      </c>
      <c r="U191" s="3">
        <f>AH191</f>
        <v>17.943968240000004</v>
      </c>
      <c r="V191" s="3">
        <f>AI191</f>
        <v>0</v>
      </c>
      <c r="W191" s="3">
        <f>ROUND(AJ191,2)</f>
        <v>0</v>
      </c>
      <c r="X191" s="3">
        <f>ROUND(AK191,2)</f>
        <v>224.33</v>
      </c>
      <c r="Y191" s="3">
        <f>ROUND(AL191,2)</f>
        <v>120.93</v>
      </c>
      <c r="Z191" s="3"/>
      <c r="AA191" s="3"/>
      <c r="AB191" s="3">
        <f>ROUND(SUMIF(AA150:AA189,"=60256985",O150:O189),2)</f>
        <v>8905.14</v>
      </c>
      <c r="AC191" s="3">
        <f>ROUND(SUMIF(AA150:AA189,"=60256985",P150:P189),2)</f>
        <v>8663.74</v>
      </c>
      <c r="AD191" s="3">
        <f>ROUND(SUMIF(AA150:AA189,"=60256985",Q150:Q189),2)</f>
        <v>0.01</v>
      </c>
      <c r="AE191" s="3">
        <f>ROUND(SUMIF(AA150:AA189,"=60256985",R150:R189),2)</f>
        <v>0</v>
      </c>
      <c r="AF191" s="3">
        <f>ROUND(SUMIF(AA150:AA189,"=60256985",S150:S189),2)</f>
        <v>241.39</v>
      </c>
      <c r="AG191" s="3">
        <f>ROUND(SUMIF(AA150:AA189,"=60256985",T150:T189),2)</f>
        <v>0</v>
      </c>
      <c r="AH191" s="3">
        <f>SUMIF(AA150:AA189,"=60256985",U150:U189)</f>
        <v>17.943968240000004</v>
      </c>
      <c r="AI191" s="3">
        <f>SUMIF(AA150:AA189,"=60256985",V150:V189)</f>
        <v>0</v>
      </c>
      <c r="AJ191" s="3">
        <f>ROUND(SUMIF(AA150:AA189,"=60256985",W150:W189),2)</f>
        <v>0</v>
      </c>
      <c r="AK191" s="3">
        <f>ROUND(SUMIF(AA150:AA189,"=60256985",X150:X189),2)</f>
        <v>224.33</v>
      </c>
      <c r="AL191" s="3">
        <f>ROUND(SUMIF(AA150:AA189,"=60256985",Y150:Y189),2)</f>
        <v>120.93</v>
      </c>
      <c r="AM191" s="3"/>
      <c r="AN191" s="3"/>
      <c r="AO191" s="3">
        <f t="shared" ref="AO191:BD191" si="169">ROUND(BX191,2)</f>
        <v>0</v>
      </c>
      <c r="AP191" s="3">
        <f t="shared" si="169"/>
        <v>3876.22</v>
      </c>
      <c r="AQ191" s="3">
        <f t="shared" si="169"/>
        <v>0</v>
      </c>
      <c r="AR191" s="3">
        <f t="shared" si="169"/>
        <v>9250.4</v>
      </c>
      <c r="AS191" s="3">
        <f t="shared" si="169"/>
        <v>0</v>
      </c>
      <c r="AT191" s="3">
        <f t="shared" si="169"/>
        <v>5374.18</v>
      </c>
      <c r="AU191" s="3">
        <f t="shared" si="169"/>
        <v>0</v>
      </c>
      <c r="AV191" s="3">
        <f t="shared" si="169"/>
        <v>8663.74</v>
      </c>
      <c r="AW191" s="3">
        <f t="shared" si="169"/>
        <v>4787.5200000000004</v>
      </c>
      <c r="AX191" s="3">
        <f t="shared" si="169"/>
        <v>0</v>
      </c>
      <c r="AY191" s="3">
        <f t="shared" si="169"/>
        <v>4787.5200000000004</v>
      </c>
      <c r="AZ191" s="3">
        <f t="shared" si="169"/>
        <v>3876.22</v>
      </c>
      <c r="BA191" s="3">
        <f t="shared" si="169"/>
        <v>0</v>
      </c>
      <c r="BB191" s="3">
        <f t="shared" si="169"/>
        <v>0</v>
      </c>
      <c r="BC191" s="3">
        <f t="shared" si="169"/>
        <v>0</v>
      </c>
      <c r="BD191" s="3">
        <f t="shared" si="169"/>
        <v>0</v>
      </c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>
        <f>ROUND(SUMIF(AA150:AA189,"=60256985",FQ150:FQ189),2)</f>
        <v>0</v>
      </c>
      <c r="BY191" s="3">
        <f>ROUND(SUMIF(AA150:AA189,"=60256985",FR150:FR189),2)</f>
        <v>3876.22</v>
      </c>
      <c r="BZ191" s="3">
        <f>ROUND(SUMIF(AA150:AA189,"=60256985",GL150:GL189),2)</f>
        <v>0</v>
      </c>
      <c r="CA191" s="3">
        <f>ROUND(SUMIF(AA150:AA189,"=60256985",GM150:GM189),2)</f>
        <v>9250.4</v>
      </c>
      <c r="CB191" s="3">
        <f>ROUND(SUMIF(AA150:AA189,"=60256985",GN150:GN189),2)</f>
        <v>0</v>
      </c>
      <c r="CC191" s="3">
        <f>ROUND(SUMIF(AA150:AA189,"=60256985",GO150:GO189),2)</f>
        <v>5374.18</v>
      </c>
      <c r="CD191" s="3">
        <f>ROUND(SUMIF(AA150:AA189,"=60256985",GP150:GP189),2)</f>
        <v>0</v>
      </c>
      <c r="CE191" s="3">
        <f>AC191-BX191</f>
        <v>8663.74</v>
      </c>
      <c r="CF191" s="3">
        <f>AC191-BY191</f>
        <v>4787.5200000000004</v>
      </c>
      <c r="CG191" s="3">
        <f>BX191-BZ191</f>
        <v>0</v>
      </c>
      <c r="CH191" s="3">
        <f>AC191-BX191-BY191+BZ191</f>
        <v>4787.5200000000004</v>
      </c>
      <c r="CI191" s="3">
        <f>BY191-BZ191</f>
        <v>3876.22</v>
      </c>
      <c r="CJ191" s="3">
        <f>ROUND(SUMIF(AA150:AA189,"=60256985",GX150:GX189),2)</f>
        <v>0</v>
      </c>
      <c r="CK191" s="3">
        <f>ROUND(SUMIF(AA150:AA189,"=60256985",GY150:GY189),2)</f>
        <v>0</v>
      </c>
      <c r="CL191" s="3">
        <f>ROUND(SUMIF(AA150:AA189,"=60256985",GZ150:GZ189),2)</f>
        <v>0</v>
      </c>
      <c r="CM191" s="3">
        <f>ROUND(SUMIF(AA150:AA189,"=60256985",HD150:HD189),2)</f>
        <v>0</v>
      </c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4">
        <f t="shared" ref="DG191:DL191" si="170">ROUND(DT191,2)</f>
        <v>88513.27</v>
      </c>
      <c r="DH191" s="4">
        <f t="shared" si="170"/>
        <v>75239.12</v>
      </c>
      <c r="DI191" s="4">
        <f t="shared" si="170"/>
        <v>0.12</v>
      </c>
      <c r="DJ191" s="4">
        <f t="shared" si="170"/>
        <v>0</v>
      </c>
      <c r="DK191" s="4">
        <f t="shared" si="170"/>
        <v>13274.03</v>
      </c>
      <c r="DL191" s="4">
        <f t="shared" si="170"/>
        <v>0</v>
      </c>
      <c r="DM191" s="4">
        <f>DZ191</f>
        <v>17.943968240000004</v>
      </c>
      <c r="DN191" s="4">
        <f>EA191</f>
        <v>0</v>
      </c>
      <c r="DO191" s="4">
        <f>ROUND(EB191,2)</f>
        <v>0</v>
      </c>
      <c r="DP191" s="4">
        <f>ROUND(EC191,2)</f>
        <v>12335.27</v>
      </c>
      <c r="DQ191" s="4">
        <f>ROUND(ED191,2)</f>
        <v>6650.16</v>
      </c>
      <c r="DR191" s="4"/>
      <c r="DS191" s="4"/>
      <c r="DT191" s="4">
        <f>ROUND(SUMIF(AA150:AA189,"=60256982",O150:O189),2)</f>
        <v>88513.27</v>
      </c>
      <c r="DU191" s="4">
        <f>ROUND(SUMIF(AA150:AA189,"=60256982",P150:P189),2)</f>
        <v>75239.12</v>
      </c>
      <c r="DV191" s="4">
        <f>ROUND(SUMIF(AA150:AA189,"=60256982",Q150:Q189),2)</f>
        <v>0.12</v>
      </c>
      <c r="DW191" s="4">
        <f>ROUND(SUMIF(AA150:AA189,"=60256982",R150:R189),2)</f>
        <v>0</v>
      </c>
      <c r="DX191" s="4">
        <f>ROUND(SUMIF(AA150:AA189,"=60256982",S150:S189),2)</f>
        <v>13274.03</v>
      </c>
      <c r="DY191" s="4">
        <f>ROUND(SUMIF(AA150:AA189,"=60256982",T150:T189),2)</f>
        <v>0</v>
      </c>
      <c r="DZ191" s="4">
        <f>SUMIF(AA150:AA189,"=60256982",U150:U189)</f>
        <v>17.943968240000004</v>
      </c>
      <c r="EA191" s="4">
        <f>SUMIF(AA150:AA189,"=60256982",V150:V189)</f>
        <v>0</v>
      </c>
      <c r="EB191" s="4">
        <f>ROUND(SUMIF(AA150:AA189,"=60256982",W150:W189),2)</f>
        <v>0</v>
      </c>
      <c r="EC191" s="4">
        <f>ROUND(SUMIF(AA150:AA189,"=60256982",X150:X189),2)</f>
        <v>12335.27</v>
      </c>
      <c r="ED191" s="4">
        <f>ROUND(SUMIF(AA150:AA189,"=60256982",Y150:Y189),2)</f>
        <v>6650.16</v>
      </c>
      <c r="EE191" s="4"/>
      <c r="EF191" s="4"/>
      <c r="EG191" s="4">
        <f t="shared" ref="EG191:EV191" si="171">ROUND(FP191,2)</f>
        <v>0</v>
      </c>
      <c r="EH191" s="4">
        <f t="shared" si="171"/>
        <v>30153.88</v>
      </c>
      <c r="EI191" s="4">
        <f t="shared" si="171"/>
        <v>0</v>
      </c>
      <c r="EJ191" s="4">
        <f t="shared" si="171"/>
        <v>107498.7</v>
      </c>
      <c r="EK191" s="4">
        <f t="shared" si="171"/>
        <v>0</v>
      </c>
      <c r="EL191" s="4">
        <f t="shared" si="171"/>
        <v>77344.820000000007</v>
      </c>
      <c r="EM191" s="4">
        <f t="shared" si="171"/>
        <v>0</v>
      </c>
      <c r="EN191" s="4">
        <f t="shared" si="171"/>
        <v>75239.12</v>
      </c>
      <c r="EO191" s="4">
        <f t="shared" si="171"/>
        <v>45085.24</v>
      </c>
      <c r="EP191" s="4">
        <f t="shared" si="171"/>
        <v>0</v>
      </c>
      <c r="EQ191" s="4">
        <f t="shared" si="171"/>
        <v>45085.24</v>
      </c>
      <c r="ER191" s="4">
        <f t="shared" si="171"/>
        <v>30153.88</v>
      </c>
      <c r="ES191" s="4">
        <f t="shared" si="171"/>
        <v>0</v>
      </c>
      <c r="ET191" s="4">
        <f t="shared" si="171"/>
        <v>0</v>
      </c>
      <c r="EU191" s="4">
        <f t="shared" si="171"/>
        <v>0</v>
      </c>
      <c r="EV191" s="4">
        <f t="shared" si="171"/>
        <v>0</v>
      </c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>
        <f>ROUND(SUMIF(AA150:AA189,"=60256982",FQ150:FQ189),2)</f>
        <v>0</v>
      </c>
      <c r="FQ191" s="4">
        <f>ROUND(SUMIF(AA150:AA189,"=60256982",FR150:FR189),2)</f>
        <v>30153.88</v>
      </c>
      <c r="FR191" s="4">
        <f>ROUND(SUMIF(AA150:AA189,"=60256982",GL150:GL189),2)</f>
        <v>0</v>
      </c>
      <c r="FS191" s="4">
        <f>ROUND(SUMIF(AA150:AA189,"=60256982",GM150:GM189),2)</f>
        <v>107498.7</v>
      </c>
      <c r="FT191" s="4">
        <f>ROUND(SUMIF(AA150:AA189,"=60256982",GN150:GN189),2)</f>
        <v>0</v>
      </c>
      <c r="FU191" s="4">
        <f>ROUND(SUMIF(AA150:AA189,"=60256982",GO150:GO189),2)</f>
        <v>77344.820000000007</v>
      </c>
      <c r="FV191" s="4">
        <f>ROUND(SUMIF(AA150:AA189,"=60256982",GP150:GP189),2)</f>
        <v>0</v>
      </c>
      <c r="FW191" s="4">
        <f>DU191-FP191</f>
        <v>75239.12</v>
      </c>
      <c r="FX191" s="4">
        <f>DU191-FQ191</f>
        <v>45085.239999999991</v>
      </c>
      <c r="FY191" s="4">
        <f>FP191-FR191</f>
        <v>0</v>
      </c>
      <c r="FZ191" s="4">
        <f>DU191-FP191-FQ191+FR191</f>
        <v>45085.239999999991</v>
      </c>
      <c r="GA191" s="4">
        <f>FQ191-FR191</f>
        <v>30153.88</v>
      </c>
      <c r="GB191" s="4">
        <f>ROUND(SUMIF(AA150:AA189,"=60256982",GX150:GX189),2)</f>
        <v>0</v>
      </c>
      <c r="GC191" s="4">
        <f>ROUND(SUMIF(AA150:AA189,"=60256982",GY150:GY189),2)</f>
        <v>0</v>
      </c>
      <c r="GD191" s="4">
        <f>ROUND(SUMIF(AA150:AA189,"=60256982",GZ150:GZ189),2)</f>
        <v>0</v>
      </c>
      <c r="GE191" s="4">
        <f>ROUND(SUMIF(AA150:AA189,"=60256982",HD150:HD189),2)</f>
        <v>0</v>
      </c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>
        <v>0</v>
      </c>
    </row>
    <row r="193" spans="1:28" x14ac:dyDescent="0.2">
      <c r="A193" s="5">
        <v>50</v>
      </c>
      <c r="B193" s="5">
        <v>0</v>
      </c>
      <c r="C193" s="5">
        <v>0</v>
      </c>
      <c r="D193" s="5">
        <v>1</v>
      </c>
      <c r="E193" s="5">
        <v>201</v>
      </c>
      <c r="F193" s="5">
        <f>ROUND(Source!O191,O193)</f>
        <v>8905.14</v>
      </c>
      <c r="G193" s="5" t="s">
        <v>76</v>
      </c>
      <c r="H193" s="5" t="s">
        <v>77</v>
      </c>
      <c r="I193" s="5"/>
      <c r="J193" s="5"/>
      <c r="K193" s="5">
        <v>201</v>
      </c>
      <c r="L193" s="5">
        <v>1</v>
      </c>
      <c r="M193" s="5">
        <v>3</v>
      </c>
      <c r="N193" s="5" t="s">
        <v>3</v>
      </c>
      <c r="O193" s="5">
        <v>2</v>
      </c>
      <c r="P193" s="5">
        <f>ROUND(Source!DG191,O193)</f>
        <v>88513.27</v>
      </c>
      <c r="Q193" s="5"/>
      <c r="R193" s="5"/>
      <c r="S193" s="5"/>
      <c r="T193" s="5"/>
      <c r="U193" s="5"/>
      <c r="V193" s="5"/>
      <c r="W193" s="5">
        <v>8905.14</v>
      </c>
      <c r="X193" s="5">
        <v>1</v>
      </c>
      <c r="Y193" s="5">
        <v>8905.14</v>
      </c>
      <c r="Z193" s="5">
        <v>88513.27</v>
      </c>
      <c r="AA193" s="5">
        <v>1</v>
      </c>
      <c r="AB193" s="5">
        <v>88513.27</v>
      </c>
    </row>
    <row r="194" spans="1:28" x14ac:dyDescent="0.2">
      <c r="A194" s="5">
        <v>50</v>
      </c>
      <c r="B194" s="5">
        <v>0</v>
      </c>
      <c r="C194" s="5">
        <v>0</v>
      </c>
      <c r="D194" s="5">
        <v>1</v>
      </c>
      <c r="E194" s="5">
        <v>202</v>
      </c>
      <c r="F194" s="5">
        <f>ROUND(Source!P191,O194)</f>
        <v>8663.74</v>
      </c>
      <c r="G194" s="5" t="s">
        <v>78</v>
      </c>
      <c r="H194" s="5" t="s">
        <v>79</v>
      </c>
      <c r="I194" s="5"/>
      <c r="J194" s="5"/>
      <c r="K194" s="5">
        <v>202</v>
      </c>
      <c r="L194" s="5">
        <v>2</v>
      </c>
      <c r="M194" s="5">
        <v>3</v>
      </c>
      <c r="N194" s="5" t="s">
        <v>3</v>
      </c>
      <c r="O194" s="5">
        <v>2</v>
      </c>
      <c r="P194" s="5">
        <f>ROUND(Source!DH191,O194)</f>
        <v>75239.12</v>
      </c>
      <c r="Q194" s="5"/>
      <c r="R194" s="5"/>
      <c r="S194" s="5"/>
      <c r="T194" s="5"/>
      <c r="U194" s="5"/>
      <c r="V194" s="5"/>
      <c r="W194" s="5">
        <v>8663.74</v>
      </c>
      <c r="X194" s="5">
        <v>1</v>
      </c>
      <c r="Y194" s="5">
        <v>8663.74</v>
      </c>
      <c r="Z194" s="5">
        <v>75239.12</v>
      </c>
      <c r="AA194" s="5">
        <v>1</v>
      </c>
      <c r="AB194" s="5">
        <v>75239.12</v>
      </c>
    </row>
    <row r="195" spans="1:28" x14ac:dyDescent="0.2">
      <c r="A195" s="5">
        <v>50</v>
      </c>
      <c r="B195" s="5">
        <v>0</v>
      </c>
      <c r="C195" s="5">
        <v>0</v>
      </c>
      <c r="D195" s="5">
        <v>1</v>
      </c>
      <c r="E195" s="5">
        <v>222</v>
      </c>
      <c r="F195" s="5">
        <f>ROUND(Source!AO191,O195)</f>
        <v>0</v>
      </c>
      <c r="G195" s="5" t="s">
        <v>80</v>
      </c>
      <c r="H195" s="5" t="s">
        <v>81</v>
      </c>
      <c r="I195" s="5"/>
      <c r="J195" s="5"/>
      <c r="K195" s="5">
        <v>222</v>
      </c>
      <c r="L195" s="5">
        <v>3</v>
      </c>
      <c r="M195" s="5">
        <v>3</v>
      </c>
      <c r="N195" s="5" t="s">
        <v>3</v>
      </c>
      <c r="O195" s="5">
        <v>2</v>
      </c>
      <c r="P195" s="5">
        <f>ROUND(Source!EG191,O195)</f>
        <v>0</v>
      </c>
      <c r="Q195" s="5"/>
      <c r="R195" s="5"/>
      <c r="S195" s="5"/>
      <c r="T195" s="5"/>
      <c r="U195" s="5"/>
      <c r="V195" s="5"/>
      <c r="W195" s="5">
        <v>0</v>
      </c>
      <c r="X195" s="5">
        <v>1</v>
      </c>
      <c r="Y195" s="5">
        <v>0</v>
      </c>
      <c r="Z195" s="5">
        <v>0</v>
      </c>
      <c r="AA195" s="5">
        <v>1</v>
      </c>
      <c r="AB195" s="5">
        <v>0</v>
      </c>
    </row>
    <row r="196" spans="1:28" x14ac:dyDescent="0.2">
      <c r="A196" s="5">
        <v>50</v>
      </c>
      <c r="B196" s="5">
        <v>0</v>
      </c>
      <c r="C196" s="5">
        <v>0</v>
      </c>
      <c r="D196" s="5">
        <v>1</v>
      </c>
      <c r="E196" s="5">
        <v>225</v>
      </c>
      <c r="F196" s="5">
        <f>ROUND(Source!AV191,O196)</f>
        <v>8663.74</v>
      </c>
      <c r="G196" s="5" t="s">
        <v>82</v>
      </c>
      <c r="H196" s="5" t="s">
        <v>83</v>
      </c>
      <c r="I196" s="5"/>
      <c r="J196" s="5"/>
      <c r="K196" s="5">
        <v>225</v>
      </c>
      <c r="L196" s="5">
        <v>4</v>
      </c>
      <c r="M196" s="5">
        <v>3</v>
      </c>
      <c r="N196" s="5" t="s">
        <v>3</v>
      </c>
      <c r="O196" s="5">
        <v>2</v>
      </c>
      <c r="P196" s="5">
        <f>ROUND(Source!EN191,O196)</f>
        <v>75239.12</v>
      </c>
      <c r="Q196" s="5"/>
      <c r="R196" s="5"/>
      <c r="S196" s="5"/>
      <c r="T196" s="5"/>
      <c r="U196" s="5"/>
      <c r="V196" s="5"/>
      <c r="W196" s="5">
        <v>8663.74</v>
      </c>
      <c r="X196" s="5">
        <v>1</v>
      </c>
      <c r="Y196" s="5">
        <v>8663.74</v>
      </c>
      <c r="Z196" s="5">
        <v>75239.12</v>
      </c>
      <c r="AA196" s="5">
        <v>1</v>
      </c>
      <c r="AB196" s="5">
        <v>75239.12</v>
      </c>
    </row>
    <row r="197" spans="1:28" x14ac:dyDescent="0.2">
      <c r="A197" s="5">
        <v>50</v>
      </c>
      <c r="B197" s="5">
        <v>0</v>
      </c>
      <c r="C197" s="5">
        <v>0</v>
      </c>
      <c r="D197" s="5">
        <v>1</v>
      </c>
      <c r="E197" s="5">
        <v>226</v>
      </c>
      <c r="F197" s="5">
        <f>ROUND(Source!AW191,O197)</f>
        <v>4787.5200000000004</v>
      </c>
      <c r="G197" s="5" t="s">
        <v>84</v>
      </c>
      <c r="H197" s="5" t="s">
        <v>85</v>
      </c>
      <c r="I197" s="5"/>
      <c r="J197" s="5"/>
      <c r="K197" s="5">
        <v>226</v>
      </c>
      <c r="L197" s="5">
        <v>5</v>
      </c>
      <c r="M197" s="5">
        <v>3</v>
      </c>
      <c r="N197" s="5" t="s">
        <v>3</v>
      </c>
      <c r="O197" s="5">
        <v>2</v>
      </c>
      <c r="P197" s="5">
        <f>ROUND(Source!EO191,O197)</f>
        <v>45085.24</v>
      </c>
      <c r="Q197" s="5"/>
      <c r="R197" s="5"/>
      <c r="S197" s="5"/>
      <c r="T197" s="5"/>
      <c r="U197" s="5"/>
      <c r="V197" s="5"/>
      <c r="W197" s="5">
        <v>4787.5200000000004</v>
      </c>
      <c r="X197" s="5">
        <v>1</v>
      </c>
      <c r="Y197" s="5">
        <v>4787.5200000000004</v>
      </c>
      <c r="Z197" s="5">
        <v>45085.24</v>
      </c>
      <c r="AA197" s="5">
        <v>1</v>
      </c>
      <c r="AB197" s="5">
        <v>45085.24</v>
      </c>
    </row>
    <row r="198" spans="1:28" x14ac:dyDescent="0.2">
      <c r="A198" s="5">
        <v>50</v>
      </c>
      <c r="B198" s="5">
        <v>0</v>
      </c>
      <c r="C198" s="5">
        <v>0</v>
      </c>
      <c r="D198" s="5">
        <v>1</v>
      </c>
      <c r="E198" s="5">
        <v>227</v>
      </c>
      <c r="F198" s="5">
        <f>ROUND(Source!AX191,O198)</f>
        <v>0</v>
      </c>
      <c r="G198" s="5" t="s">
        <v>86</v>
      </c>
      <c r="H198" s="5" t="s">
        <v>87</v>
      </c>
      <c r="I198" s="5"/>
      <c r="J198" s="5"/>
      <c r="K198" s="5">
        <v>227</v>
      </c>
      <c r="L198" s="5">
        <v>6</v>
      </c>
      <c r="M198" s="5">
        <v>3</v>
      </c>
      <c r="N198" s="5" t="s">
        <v>3</v>
      </c>
      <c r="O198" s="5">
        <v>2</v>
      </c>
      <c r="P198" s="5">
        <f>ROUND(Source!EP191,O198)</f>
        <v>0</v>
      </c>
      <c r="Q198" s="5"/>
      <c r="R198" s="5"/>
      <c r="S198" s="5"/>
      <c r="T198" s="5"/>
      <c r="U198" s="5"/>
      <c r="V198" s="5"/>
      <c r="W198" s="5">
        <v>0</v>
      </c>
      <c r="X198" s="5">
        <v>1</v>
      </c>
      <c r="Y198" s="5">
        <v>0</v>
      </c>
      <c r="Z198" s="5">
        <v>0</v>
      </c>
      <c r="AA198" s="5">
        <v>1</v>
      </c>
      <c r="AB198" s="5">
        <v>0</v>
      </c>
    </row>
    <row r="199" spans="1:28" x14ac:dyDescent="0.2">
      <c r="A199" s="5">
        <v>50</v>
      </c>
      <c r="B199" s="5">
        <v>0</v>
      </c>
      <c r="C199" s="5">
        <v>0</v>
      </c>
      <c r="D199" s="5">
        <v>1</v>
      </c>
      <c r="E199" s="5">
        <v>228</v>
      </c>
      <c r="F199" s="5">
        <f>ROUND(Source!AY191,O199)</f>
        <v>4787.5200000000004</v>
      </c>
      <c r="G199" s="5" t="s">
        <v>88</v>
      </c>
      <c r="H199" s="5" t="s">
        <v>89</v>
      </c>
      <c r="I199" s="5"/>
      <c r="J199" s="5"/>
      <c r="K199" s="5">
        <v>228</v>
      </c>
      <c r="L199" s="5">
        <v>7</v>
      </c>
      <c r="M199" s="5">
        <v>3</v>
      </c>
      <c r="N199" s="5" t="s">
        <v>3</v>
      </c>
      <c r="O199" s="5">
        <v>2</v>
      </c>
      <c r="P199" s="5">
        <f>ROUND(Source!EQ191,O199)</f>
        <v>45085.24</v>
      </c>
      <c r="Q199" s="5"/>
      <c r="R199" s="5"/>
      <c r="S199" s="5"/>
      <c r="T199" s="5"/>
      <c r="U199" s="5"/>
      <c r="V199" s="5"/>
      <c r="W199" s="5">
        <v>4787.5200000000004</v>
      </c>
      <c r="X199" s="5">
        <v>1</v>
      </c>
      <c r="Y199" s="5">
        <v>4787.5200000000004</v>
      </c>
      <c r="Z199" s="5">
        <v>45085.24</v>
      </c>
      <c r="AA199" s="5">
        <v>1</v>
      </c>
      <c r="AB199" s="5">
        <v>45085.24</v>
      </c>
    </row>
    <row r="200" spans="1:28" x14ac:dyDescent="0.2">
      <c r="A200" s="5">
        <v>50</v>
      </c>
      <c r="B200" s="5">
        <v>0</v>
      </c>
      <c r="C200" s="5">
        <v>0</v>
      </c>
      <c r="D200" s="5">
        <v>1</v>
      </c>
      <c r="E200" s="5">
        <v>216</v>
      </c>
      <c r="F200" s="5">
        <f>ROUND(Source!AP191,O200)</f>
        <v>3876.22</v>
      </c>
      <c r="G200" s="5" t="s">
        <v>90</v>
      </c>
      <c r="H200" s="5" t="s">
        <v>91</v>
      </c>
      <c r="I200" s="5"/>
      <c r="J200" s="5"/>
      <c r="K200" s="5">
        <v>216</v>
      </c>
      <c r="L200" s="5">
        <v>8</v>
      </c>
      <c r="M200" s="5">
        <v>3</v>
      </c>
      <c r="N200" s="5" t="s">
        <v>3</v>
      </c>
      <c r="O200" s="5">
        <v>2</v>
      </c>
      <c r="P200" s="5">
        <f>ROUND(Source!EH191,O200)</f>
        <v>30153.88</v>
      </c>
      <c r="Q200" s="5"/>
      <c r="R200" s="5"/>
      <c r="S200" s="5"/>
      <c r="T200" s="5"/>
      <c r="U200" s="5"/>
      <c r="V200" s="5"/>
      <c r="W200" s="5">
        <v>3876.22</v>
      </c>
      <c r="X200" s="5">
        <v>1</v>
      </c>
      <c r="Y200" s="5">
        <v>3876.22</v>
      </c>
      <c r="Z200" s="5">
        <v>30153.88</v>
      </c>
      <c r="AA200" s="5">
        <v>1</v>
      </c>
      <c r="AB200" s="5">
        <v>30153.88</v>
      </c>
    </row>
    <row r="201" spans="1:28" x14ac:dyDescent="0.2">
      <c r="A201" s="5">
        <v>50</v>
      </c>
      <c r="B201" s="5">
        <v>0</v>
      </c>
      <c r="C201" s="5">
        <v>0</v>
      </c>
      <c r="D201" s="5">
        <v>1</v>
      </c>
      <c r="E201" s="5">
        <v>223</v>
      </c>
      <c r="F201" s="5">
        <f>ROUND(Source!AQ191,O201)</f>
        <v>0</v>
      </c>
      <c r="G201" s="5" t="s">
        <v>92</v>
      </c>
      <c r="H201" s="5" t="s">
        <v>93</v>
      </c>
      <c r="I201" s="5"/>
      <c r="J201" s="5"/>
      <c r="K201" s="5">
        <v>223</v>
      </c>
      <c r="L201" s="5">
        <v>9</v>
      </c>
      <c r="M201" s="5">
        <v>3</v>
      </c>
      <c r="N201" s="5" t="s">
        <v>3</v>
      </c>
      <c r="O201" s="5">
        <v>2</v>
      </c>
      <c r="P201" s="5">
        <f>ROUND(Source!EI191,O201)</f>
        <v>0</v>
      </c>
      <c r="Q201" s="5"/>
      <c r="R201" s="5"/>
      <c r="S201" s="5"/>
      <c r="T201" s="5"/>
      <c r="U201" s="5"/>
      <c r="V201" s="5"/>
      <c r="W201" s="5">
        <v>0</v>
      </c>
      <c r="X201" s="5">
        <v>1</v>
      </c>
      <c r="Y201" s="5">
        <v>0</v>
      </c>
      <c r="Z201" s="5">
        <v>0</v>
      </c>
      <c r="AA201" s="5">
        <v>1</v>
      </c>
      <c r="AB201" s="5">
        <v>0</v>
      </c>
    </row>
    <row r="202" spans="1:28" x14ac:dyDescent="0.2">
      <c r="A202" s="5">
        <v>50</v>
      </c>
      <c r="B202" s="5">
        <v>0</v>
      </c>
      <c r="C202" s="5">
        <v>0</v>
      </c>
      <c r="D202" s="5">
        <v>1</v>
      </c>
      <c r="E202" s="5">
        <v>229</v>
      </c>
      <c r="F202" s="5">
        <f>ROUND(Source!AZ191,O202)</f>
        <v>3876.22</v>
      </c>
      <c r="G202" s="5" t="s">
        <v>94</v>
      </c>
      <c r="H202" s="5" t="s">
        <v>95</v>
      </c>
      <c r="I202" s="5"/>
      <c r="J202" s="5"/>
      <c r="K202" s="5">
        <v>229</v>
      </c>
      <c r="L202" s="5">
        <v>10</v>
      </c>
      <c r="M202" s="5">
        <v>3</v>
      </c>
      <c r="N202" s="5" t="s">
        <v>3</v>
      </c>
      <c r="O202" s="5">
        <v>2</v>
      </c>
      <c r="P202" s="5">
        <f>ROUND(Source!ER191,O202)</f>
        <v>30153.88</v>
      </c>
      <c r="Q202" s="5"/>
      <c r="R202" s="5"/>
      <c r="S202" s="5"/>
      <c r="T202" s="5"/>
      <c r="U202" s="5"/>
      <c r="V202" s="5"/>
      <c r="W202" s="5">
        <v>3876.22</v>
      </c>
      <c r="X202" s="5">
        <v>1</v>
      </c>
      <c r="Y202" s="5">
        <v>3876.22</v>
      </c>
      <c r="Z202" s="5">
        <v>30153.88</v>
      </c>
      <c r="AA202" s="5">
        <v>1</v>
      </c>
      <c r="AB202" s="5">
        <v>30153.88</v>
      </c>
    </row>
    <row r="203" spans="1:28" x14ac:dyDescent="0.2">
      <c r="A203" s="5">
        <v>50</v>
      </c>
      <c r="B203" s="5">
        <v>0</v>
      </c>
      <c r="C203" s="5">
        <v>0</v>
      </c>
      <c r="D203" s="5">
        <v>1</v>
      </c>
      <c r="E203" s="5">
        <v>203</v>
      </c>
      <c r="F203" s="5">
        <f>ROUND(Source!Q191,O203)</f>
        <v>0.01</v>
      </c>
      <c r="G203" s="5" t="s">
        <v>96</v>
      </c>
      <c r="H203" s="5" t="s">
        <v>97</v>
      </c>
      <c r="I203" s="5"/>
      <c r="J203" s="5"/>
      <c r="K203" s="5">
        <v>203</v>
      </c>
      <c r="L203" s="5">
        <v>11</v>
      </c>
      <c r="M203" s="5">
        <v>3</v>
      </c>
      <c r="N203" s="5" t="s">
        <v>3</v>
      </c>
      <c r="O203" s="5">
        <v>2</v>
      </c>
      <c r="P203" s="5">
        <f>ROUND(Source!DI191,O203)</f>
        <v>0.12</v>
      </c>
      <c r="Q203" s="5"/>
      <c r="R203" s="5"/>
      <c r="S203" s="5"/>
      <c r="T203" s="5"/>
      <c r="U203" s="5"/>
      <c r="V203" s="5"/>
      <c r="W203" s="5">
        <v>0.01</v>
      </c>
      <c r="X203" s="5">
        <v>1</v>
      </c>
      <c r="Y203" s="5">
        <v>0.01</v>
      </c>
      <c r="Z203" s="5">
        <v>0.12</v>
      </c>
      <c r="AA203" s="5">
        <v>1</v>
      </c>
      <c r="AB203" s="5">
        <v>0.12</v>
      </c>
    </row>
    <row r="204" spans="1:28" x14ac:dyDescent="0.2">
      <c r="A204" s="5">
        <v>50</v>
      </c>
      <c r="B204" s="5">
        <v>0</v>
      </c>
      <c r="C204" s="5">
        <v>0</v>
      </c>
      <c r="D204" s="5">
        <v>1</v>
      </c>
      <c r="E204" s="5">
        <v>231</v>
      </c>
      <c r="F204" s="5">
        <f>ROUND(Source!BB191,O204)</f>
        <v>0</v>
      </c>
      <c r="G204" s="5" t="s">
        <v>98</v>
      </c>
      <c r="H204" s="5" t="s">
        <v>99</v>
      </c>
      <c r="I204" s="5"/>
      <c r="J204" s="5"/>
      <c r="K204" s="5">
        <v>231</v>
      </c>
      <c r="L204" s="5">
        <v>12</v>
      </c>
      <c r="M204" s="5">
        <v>3</v>
      </c>
      <c r="N204" s="5" t="s">
        <v>3</v>
      </c>
      <c r="O204" s="5">
        <v>2</v>
      </c>
      <c r="P204" s="5">
        <f>ROUND(Source!ET191,O204)</f>
        <v>0</v>
      </c>
      <c r="Q204" s="5"/>
      <c r="R204" s="5"/>
      <c r="S204" s="5"/>
      <c r="T204" s="5"/>
      <c r="U204" s="5"/>
      <c r="V204" s="5"/>
      <c r="W204" s="5">
        <v>0</v>
      </c>
      <c r="X204" s="5">
        <v>1</v>
      </c>
      <c r="Y204" s="5">
        <v>0</v>
      </c>
      <c r="Z204" s="5">
        <v>0</v>
      </c>
      <c r="AA204" s="5">
        <v>1</v>
      </c>
      <c r="AB204" s="5">
        <v>0</v>
      </c>
    </row>
    <row r="205" spans="1:28" x14ac:dyDescent="0.2">
      <c r="A205" s="5">
        <v>50</v>
      </c>
      <c r="B205" s="5">
        <v>0</v>
      </c>
      <c r="C205" s="5">
        <v>0</v>
      </c>
      <c r="D205" s="5">
        <v>1</v>
      </c>
      <c r="E205" s="5">
        <v>204</v>
      </c>
      <c r="F205" s="5">
        <f>ROUND(Source!R191,O205)</f>
        <v>0</v>
      </c>
      <c r="G205" s="5" t="s">
        <v>100</v>
      </c>
      <c r="H205" s="5" t="s">
        <v>101</v>
      </c>
      <c r="I205" s="5"/>
      <c r="J205" s="5"/>
      <c r="K205" s="5">
        <v>204</v>
      </c>
      <c r="L205" s="5">
        <v>13</v>
      </c>
      <c r="M205" s="5">
        <v>3</v>
      </c>
      <c r="N205" s="5" t="s">
        <v>3</v>
      </c>
      <c r="O205" s="5">
        <v>2</v>
      </c>
      <c r="P205" s="5">
        <f>ROUND(Source!DJ191,O205)</f>
        <v>0</v>
      </c>
      <c r="Q205" s="5"/>
      <c r="R205" s="5"/>
      <c r="S205" s="5"/>
      <c r="T205" s="5"/>
      <c r="U205" s="5"/>
      <c r="V205" s="5"/>
      <c r="W205" s="5">
        <v>0</v>
      </c>
      <c r="X205" s="5">
        <v>1</v>
      </c>
      <c r="Y205" s="5">
        <v>0</v>
      </c>
      <c r="Z205" s="5">
        <v>0</v>
      </c>
      <c r="AA205" s="5">
        <v>1</v>
      </c>
      <c r="AB205" s="5">
        <v>0</v>
      </c>
    </row>
    <row r="206" spans="1:28" x14ac:dyDescent="0.2">
      <c r="A206" s="5">
        <v>50</v>
      </c>
      <c r="B206" s="5">
        <v>0</v>
      </c>
      <c r="C206" s="5">
        <v>0</v>
      </c>
      <c r="D206" s="5">
        <v>1</v>
      </c>
      <c r="E206" s="5">
        <v>205</v>
      </c>
      <c r="F206" s="5">
        <f>ROUND(Source!S191,O206)</f>
        <v>241.39</v>
      </c>
      <c r="G206" s="5" t="s">
        <v>102</v>
      </c>
      <c r="H206" s="5" t="s">
        <v>103</v>
      </c>
      <c r="I206" s="5"/>
      <c r="J206" s="5"/>
      <c r="K206" s="5">
        <v>205</v>
      </c>
      <c r="L206" s="5">
        <v>14</v>
      </c>
      <c r="M206" s="5">
        <v>3</v>
      </c>
      <c r="N206" s="5" t="s">
        <v>3</v>
      </c>
      <c r="O206" s="5">
        <v>2</v>
      </c>
      <c r="P206" s="5">
        <f>ROUND(Source!DK191,O206)</f>
        <v>13274.03</v>
      </c>
      <c r="Q206" s="5"/>
      <c r="R206" s="5"/>
      <c r="S206" s="5"/>
      <c r="T206" s="5"/>
      <c r="U206" s="5"/>
      <c r="V206" s="5"/>
      <c r="W206" s="5">
        <v>241.39</v>
      </c>
      <c r="X206" s="5">
        <v>1</v>
      </c>
      <c r="Y206" s="5">
        <v>241.39</v>
      </c>
      <c r="Z206" s="5">
        <v>13274.03</v>
      </c>
      <c r="AA206" s="5">
        <v>1</v>
      </c>
      <c r="AB206" s="5">
        <v>13274.03</v>
      </c>
    </row>
    <row r="207" spans="1:28" x14ac:dyDescent="0.2">
      <c r="A207" s="5">
        <v>50</v>
      </c>
      <c r="B207" s="5">
        <v>0</v>
      </c>
      <c r="C207" s="5">
        <v>0</v>
      </c>
      <c r="D207" s="5">
        <v>1</v>
      </c>
      <c r="E207" s="5">
        <v>232</v>
      </c>
      <c r="F207" s="5">
        <f>ROUND(Source!BC191,O207)</f>
        <v>0</v>
      </c>
      <c r="G207" s="5" t="s">
        <v>104</v>
      </c>
      <c r="H207" s="5" t="s">
        <v>105</v>
      </c>
      <c r="I207" s="5"/>
      <c r="J207" s="5"/>
      <c r="K207" s="5">
        <v>232</v>
      </c>
      <c r="L207" s="5">
        <v>15</v>
      </c>
      <c r="M207" s="5">
        <v>3</v>
      </c>
      <c r="N207" s="5" t="s">
        <v>3</v>
      </c>
      <c r="O207" s="5">
        <v>2</v>
      </c>
      <c r="P207" s="5">
        <f>ROUND(Source!EU191,O207)</f>
        <v>0</v>
      </c>
      <c r="Q207" s="5"/>
      <c r="R207" s="5"/>
      <c r="S207" s="5"/>
      <c r="T207" s="5"/>
      <c r="U207" s="5"/>
      <c r="V207" s="5"/>
      <c r="W207" s="5">
        <v>0</v>
      </c>
      <c r="X207" s="5">
        <v>1</v>
      </c>
      <c r="Y207" s="5">
        <v>0</v>
      </c>
      <c r="Z207" s="5">
        <v>0</v>
      </c>
      <c r="AA207" s="5">
        <v>1</v>
      </c>
      <c r="AB207" s="5">
        <v>0</v>
      </c>
    </row>
    <row r="208" spans="1:28" x14ac:dyDescent="0.2">
      <c r="A208" s="5">
        <v>50</v>
      </c>
      <c r="B208" s="5">
        <v>0</v>
      </c>
      <c r="C208" s="5">
        <v>0</v>
      </c>
      <c r="D208" s="5">
        <v>1</v>
      </c>
      <c r="E208" s="5">
        <v>214</v>
      </c>
      <c r="F208" s="5">
        <f>ROUND(Source!AS191,O208)</f>
        <v>0</v>
      </c>
      <c r="G208" s="5" t="s">
        <v>106</v>
      </c>
      <c r="H208" s="5" t="s">
        <v>107</v>
      </c>
      <c r="I208" s="5"/>
      <c r="J208" s="5"/>
      <c r="K208" s="5">
        <v>214</v>
      </c>
      <c r="L208" s="5">
        <v>16</v>
      </c>
      <c r="M208" s="5">
        <v>3</v>
      </c>
      <c r="N208" s="5" t="s">
        <v>3</v>
      </c>
      <c r="O208" s="5">
        <v>2</v>
      </c>
      <c r="P208" s="5">
        <f>ROUND(Source!EK191,O208)</f>
        <v>0</v>
      </c>
      <c r="Q208" s="5"/>
      <c r="R208" s="5"/>
      <c r="S208" s="5"/>
      <c r="T208" s="5"/>
      <c r="U208" s="5"/>
      <c r="V208" s="5"/>
      <c r="W208" s="5">
        <v>0</v>
      </c>
      <c r="X208" s="5">
        <v>1</v>
      </c>
      <c r="Y208" s="5">
        <v>0</v>
      </c>
      <c r="Z208" s="5">
        <v>0</v>
      </c>
      <c r="AA208" s="5">
        <v>1</v>
      </c>
      <c r="AB208" s="5">
        <v>0</v>
      </c>
    </row>
    <row r="209" spans="1:206" x14ac:dyDescent="0.2">
      <c r="A209" s="5">
        <v>50</v>
      </c>
      <c r="B209" s="5">
        <v>0</v>
      </c>
      <c r="C209" s="5">
        <v>0</v>
      </c>
      <c r="D209" s="5">
        <v>1</v>
      </c>
      <c r="E209" s="5">
        <v>215</v>
      </c>
      <c r="F209" s="5">
        <f>ROUND(Source!AT191,O209)</f>
        <v>5374.18</v>
      </c>
      <c r="G209" s="5" t="s">
        <v>108</v>
      </c>
      <c r="H209" s="5" t="s">
        <v>109</v>
      </c>
      <c r="I209" s="5"/>
      <c r="J209" s="5"/>
      <c r="K209" s="5">
        <v>215</v>
      </c>
      <c r="L209" s="5">
        <v>17</v>
      </c>
      <c r="M209" s="5">
        <v>3</v>
      </c>
      <c r="N209" s="5" t="s">
        <v>3</v>
      </c>
      <c r="O209" s="5">
        <v>2</v>
      </c>
      <c r="P209" s="5">
        <f>ROUND(Source!EL191,O209)</f>
        <v>77344.820000000007</v>
      </c>
      <c r="Q209" s="5"/>
      <c r="R209" s="5"/>
      <c r="S209" s="5"/>
      <c r="T209" s="5"/>
      <c r="U209" s="5"/>
      <c r="V209" s="5"/>
      <c r="W209" s="5">
        <v>5374.18</v>
      </c>
      <c r="X209" s="5">
        <v>1</v>
      </c>
      <c r="Y209" s="5">
        <v>5374.18</v>
      </c>
      <c r="Z209" s="5">
        <v>77344.820000000007</v>
      </c>
      <c r="AA209" s="5">
        <v>1</v>
      </c>
      <c r="AB209" s="5">
        <v>77344.820000000007</v>
      </c>
    </row>
    <row r="210" spans="1:206" x14ac:dyDescent="0.2">
      <c r="A210" s="5">
        <v>50</v>
      </c>
      <c r="B210" s="5">
        <v>0</v>
      </c>
      <c r="C210" s="5">
        <v>0</v>
      </c>
      <c r="D210" s="5">
        <v>1</v>
      </c>
      <c r="E210" s="5">
        <v>217</v>
      </c>
      <c r="F210" s="5">
        <f>ROUND(Source!AU191,O210)</f>
        <v>0</v>
      </c>
      <c r="G210" s="5" t="s">
        <v>110</v>
      </c>
      <c r="H210" s="5" t="s">
        <v>111</v>
      </c>
      <c r="I210" s="5"/>
      <c r="J210" s="5"/>
      <c r="K210" s="5">
        <v>217</v>
      </c>
      <c r="L210" s="5">
        <v>18</v>
      </c>
      <c r="M210" s="5">
        <v>3</v>
      </c>
      <c r="N210" s="5" t="s">
        <v>3</v>
      </c>
      <c r="O210" s="5">
        <v>2</v>
      </c>
      <c r="P210" s="5">
        <f>ROUND(Source!EM191,O210)</f>
        <v>0</v>
      </c>
      <c r="Q210" s="5"/>
      <c r="R210" s="5"/>
      <c r="S210" s="5"/>
      <c r="T210" s="5"/>
      <c r="U210" s="5"/>
      <c r="V210" s="5"/>
      <c r="W210" s="5">
        <v>0</v>
      </c>
      <c r="X210" s="5">
        <v>1</v>
      </c>
      <c r="Y210" s="5">
        <v>0</v>
      </c>
      <c r="Z210" s="5">
        <v>0</v>
      </c>
      <c r="AA210" s="5">
        <v>1</v>
      </c>
      <c r="AB210" s="5">
        <v>0</v>
      </c>
    </row>
    <row r="211" spans="1:206" x14ac:dyDescent="0.2">
      <c r="A211" s="5">
        <v>50</v>
      </c>
      <c r="B211" s="5">
        <v>0</v>
      </c>
      <c r="C211" s="5">
        <v>0</v>
      </c>
      <c r="D211" s="5">
        <v>1</v>
      </c>
      <c r="E211" s="5">
        <v>230</v>
      </c>
      <c r="F211" s="5">
        <f>ROUND(Source!BA191,O211)</f>
        <v>0</v>
      </c>
      <c r="G211" s="5" t="s">
        <v>112</v>
      </c>
      <c r="H211" s="5" t="s">
        <v>113</v>
      </c>
      <c r="I211" s="5"/>
      <c r="J211" s="5"/>
      <c r="K211" s="5">
        <v>230</v>
      </c>
      <c r="L211" s="5">
        <v>19</v>
      </c>
      <c r="M211" s="5">
        <v>3</v>
      </c>
      <c r="N211" s="5" t="s">
        <v>3</v>
      </c>
      <c r="O211" s="5">
        <v>2</v>
      </c>
      <c r="P211" s="5">
        <f>ROUND(Source!ES191,O211)</f>
        <v>0</v>
      </c>
      <c r="Q211" s="5"/>
      <c r="R211" s="5"/>
      <c r="S211" s="5"/>
      <c r="T211" s="5"/>
      <c r="U211" s="5"/>
      <c r="V211" s="5"/>
      <c r="W211" s="5">
        <v>0</v>
      </c>
      <c r="X211" s="5">
        <v>1</v>
      </c>
      <c r="Y211" s="5">
        <v>0</v>
      </c>
      <c r="Z211" s="5">
        <v>0</v>
      </c>
      <c r="AA211" s="5">
        <v>1</v>
      </c>
      <c r="AB211" s="5">
        <v>0</v>
      </c>
    </row>
    <row r="212" spans="1:206" x14ac:dyDescent="0.2">
      <c r="A212" s="5">
        <v>50</v>
      </c>
      <c r="B212" s="5">
        <v>0</v>
      </c>
      <c r="C212" s="5">
        <v>0</v>
      </c>
      <c r="D212" s="5">
        <v>1</v>
      </c>
      <c r="E212" s="5">
        <v>206</v>
      </c>
      <c r="F212" s="5">
        <f>ROUND(Source!T191,O212)</f>
        <v>0</v>
      </c>
      <c r="G212" s="5" t="s">
        <v>114</v>
      </c>
      <c r="H212" s="5" t="s">
        <v>115</v>
      </c>
      <c r="I212" s="5"/>
      <c r="J212" s="5"/>
      <c r="K212" s="5">
        <v>206</v>
      </c>
      <c r="L212" s="5">
        <v>20</v>
      </c>
      <c r="M212" s="5">
        <v>3</v>
      </c>
      <c r="N212" s="5" t="s">
        <v>3</v>
      </c>
      <c r="O212" s="5">
        <v>2</v>
      </c>
      <c r="P212" s="5">
        <f>ROUND(Source!DL191,O212)</f>
        <v>0</v>
      </c>
      <c r="Q212" s="5"/>
      <c r="R212" s="5"/>
      <c r="S212" s="5"/>
      <c r="T212" s="5"/>
      <c r="U212" s="5"/>
      <c r="V212" s="5"/>
      <c r="W212" s="5">
        <v>0</v>
      </c>
      <c r="X212" s="5">
        <v>1</v>
      </c>
      <c r="Y212" s="5">
        <v>0</v>
      </c>
      <c r="Z212" s="5">
        <v>0</v>
      </c>
      <c r="AA212" s="5">
        <v>1</v>
      </c>
      <c r="AB212" s="5">
        <v>0</v>
      </c>
    </row>
    <row r="213" spans="1:206" x14ac:dyDescent="0.2">
      <c r="A213" s="5">
        <v>50</v>
      </c>
      <c r="B213" s="5">
        <v>0</v>
      </c>
      <c r="C213" s="5">
        <v>0</v>
      </c>
      <c r="D213" s="5">
        <v>1</v>
      </c>
      <c r="E213" s="5">
        <v>207</v>
      </c>
      <c r="F213" s="5">
        <f>Source!U191</f>
        <v>17.943968240000004</v>
      </c>
      <c r="G213" s="5" t="s">
        <v>116</v>
      </c>
      <c r="H213" s="5" t="s">
        <v>117</v>
      </c>
      <c r="I213" s="5"/>
      <c r="J213" s="5"/>
      <c r="K213" s="5">
        <v>207</v>
      </c>
      <c r="L213" s="5">
        <v>21</v>
      </c>
      <c r="M213" s="5">
        <v>3</v>
      </c>
      <c r="N213" s="5" t="s">
        <v>3</v>
      </c>
      <c r="O213" s="5">
        <v>-1</v>
      </c>
      <c r="P213" s="5">
        <f>Source!DM191</f>
        <v>17.943968240000004</v>
      </c>
      <c r="Q213" s="5"/>
      <c r="R213" s="5"/>
      <c r="S213" s="5"/>
      <c r="T213" s="5"/>
      <c r="U213" s="5"/>
      <c r="V213" s="5"/>
      <c r="W213" s="5">
        <v>17.94396824</v>
      </c>
      <c r="X213" s="5">
        <v>1</v>
      </c>
      <c r="Y213" s="5">
        <v>17.94396824</v>
      </c>
      <c r="Z213" s="5">
        <v>17.94396824</v>
      </c>
      <c r="AA213" s="5">
        <v>1</v>
      </c>
      <c r="AB213" s="5">
        <v>17.94396824</v>
      </c>
    </row>
    <row r="214" spans="1:206" x14ac:dyDescent="0.2">
      <c r="A214" s="5">
        <v>50</v>
      </c>
      <c r="B214" s="5">
        <v>0</v>
      </c>
      <c r="C214" s="5">
        <v>0</v>
      </c>
      <c r="D214" s="5">
        <v>1</v>
      </c>
      <c r="E214" s="5">
        <v>208</v>
      </c>
      <c r="F214" s="5">
        <f>Source!V191</f>
        <v>0</v>
      </c>
      <c r="G214" s="5" t="s">
        <v>118</v>
      </c>
      <c r="H214" s="5" t="s">
        <v>119</v>
      </c>
      <c r="I214" s="5"/>
      <c r="J214" s="5"/>
      <c r="K214" s="5">
        <v>208</v>
      </c>
      <c r="L214" s="5">
        <v>22</v>
      </c>
      <c r="M214" s="5">
        <v>3</v>
      </c>
      <c r="N214" s="5" t="s">
        <v>3</v>
      </c>
      <c r="O214" s="5">
        <v>-1</v>
      </c>
      <c r="P214" s="5">
        <f>Source!DN191</f>
        <v>0</v>
      </c>
      <c r="Q214" s="5"/>
      <c r="R214" s="5"/>
      <c r="S214" s="5"/>
      <c r="T214" s="5"/>
      <c r="U214" s="5"/>
      <c r="V214" s="5"/>
      <c r="W214" s="5">
        <v>0</v>
      </c>
      <c r="X214" s="5">
        <v>1</v>
      </c>
      <c r="Y214" s="5">
        <v>0</v>
      </c>
      <c r="Z214" s="5">
        <v>0</v>
      </c>
      <c r="AA214" s="5">
        <v>1</v>
      </c>
      <c r="AB214" s="5">
        <v>0</v>
      </c>
    </row>
    <row r="215" spans="1:206" x14ac:dyDescent="0.2">
      <c r="A215" s="5">
        <v>50</v>
      </c>
      <c r="B215" s="5">
        <v>0</v>
      </c>
      <c r="C215" s="5">
        <v>0</v>
      </c>
      <c r="D215" s="5">
        <v>1</v>
      </c>
      <c r="E215" s="5">
        <v>209</v>
      </c>
      <c r="F215" s="5">
        <f>ROUND(Source!W191,O215)</f>
        <v>0</v>
      </c>
      <c r="G215" s="5" t="s">
        <v>120</v>
      </c>
      <c r="H215" s="5" t="s">
        <v>121</v>
      </c>
      <c r="I215" s="5"/>
      <c r="J215" s="5"/>
      <c r="K215" s="5">
        <v>209</v>
      </c>
      <c r="L215" s="5">
        <v>23</v>
      </c>
      <c r="M215" s="5">
        <v>3</v>
      </c>
      <c r="N215" s="5" t="s">
        <v>3</v>
      </c>
      <c r="O215" s="5">
        <v>2</v>
      </c>
      <c r="P215" s="5">
        <f>ROUND(Source!DO191,O215)</f>
        <v>0</v>
      </c>
      <c r="Q215" s="5"/>
      <c r="R215" s="5"/>
      <c r="S215" s="5"/>
      <c r="T215" s="5"/>
      <c r="U215" s="5"/>
      <c r="V215" s="5"/>
      <c r="W215" s="5">
        <v>0</v>
      </c>
      <c r="X215" s="5">
        <v>1</v>
      </c>
      <c r="Y215" s="5">
        <v>0</v>
      </c>
      <c r="Z215" s="5">
        <v>0</v>
      </c>
      <c r="AA215" s="5">
        <v>1</v>
      </c>
      <c r="AB215" s="5">
        <v>0</v>
      </c>
    </row>
    <row r="216" spans="1:206" x14ac:dyDescent="0.2">
      <c r="A216" s="5">
        <v>50</v>
      </c>
      <c r="B216" s="5">
        <v>0</v>
      </c>
      <c r="C216" s="5">
        <v>0</v>
      </c>
      <c r="D216" s="5">
        <v>1</v>
      </c>
      <c r="E216" s="5">
        <v>233</v>
      </c>
      <c r="F216" s="5">
        <f>ROUND(Source!BD191,O216)</f>
        <v>0</v>
      </c>
      <c r="G216" s="5" t="s">
        <v>122</v>
      </c>
      <c r="H216" s="5" t="s">
        <v>123</v>
      </c>
      <c r="I216" s="5"/>
      <c r="J216" s="5"/>
      <c r="K216" s="5">
        <v>233</v>
      </c>
      <c r="L216" s="5">
        <v>24</v>
      </c>
      <c r="M216" s="5">
        <v>3</v>
      </c>
      <c r="N216" s="5" t="s">
        <v>3</v>
      </c>
      <c r="O216" s="5">
        <v>2</v>
      </c>
      <c r="P216" s="5">
        <f>ROUND(Source!EV191,O216)</f>
        <v>0</v>
      </c>
      <c r="Q216" s="5"/>
      <c r="R216" s="5"/>
      <c r="S216" s="5"/>
      <c r="T216" s="5"/>
      <c r="U216" s="5"/>
      <c r="V216" s="5"/>
      <c r="W216" s="5">
        <v>0</v>
      </c>
      <c r="X216" s="5">
        <v>1</v>
      </c>
      <c r="Y216" s="5">
        <v>0</v>
      </c>
      <c r="Z216" s="5">
        <v>0</v>
      </c>
      <c r="AA216" s="5">
        <v>1</v>
      </c>
      <c r="AB216" s="5">
        <v>0</v>
      </c>
    </row>
    <row r="217" spans="1:206" x14ac:dyDescent="0.2">
      <c r="A217" s="5">
        <v>50</v>
      </c>
      <c r="B217" s="5">
        <v>0</v>
      </c>
      <c r="C217" s="5">
        <v>0</v>
      </c>
      <c r="D217" s="5">
        <v>1</v>
      </c>
      <c r="E217" s="5">
        <v>210</v>
      </c>
      <c r="F217" s="5">
        <f>ROUND(Source!X191,O217)</f>
        <v>224.33</v>
      </c>
      <c r="G217" s="5" t="s">
        <v>124</v>
      </c>
      <c r="H217" s="5" t="s">
        <v>125</v>
      </c>
      <c r="I217" s="5"/>
      <c r="J217" s="5"/>
      <c r="K217" s="5">
        <v>210</v>
      </c>
      <c r="L217" s="5">
        <v>25</v>
      </c>
      <c r="M217" s="5">
        <v>3</v>
      </c>
      <c r="N217" s="5" t="s">
        <v>3</v>
      </c>
      <c r="O217" s="5">
        <v>2</v>
      </c>
      <c r="P217" s="5">
        <f>ROUND(Source!DP191,O217)</f>
        <v>12335.27</v>
      </c>
      <c r="Q217" s="5"/>
      <c r="R217" s="5"/>
      <c r="S217" s="5"/>
      <c r="T217" s="5"/>
      <c r="U217" s="5"/>
      <c r="V217" s="5"/>
      <c r="W217" s="5">
        <v>224.33</v>
      </c>
      <c r="X217" s="5">
        <v>1</v>
      </c>
      <c r="Y217" s="5">
        <v>224.33</v>
      </c>
      <c r="Z217" s="5">
        <v>12335.27</v>
      </c>
      <c r="AA217" s="5">
        <v>1</v>
      </c>
      <c r="AB217" s="5">
        <v>12335.27</v>
      </c>
    </row>
    <row r="218" spans="1:206" x14ac:dyDescent="0.2">
      <c r="A218" s="5">
        <v>50</v>
      </c>
      <c r="B218" s="5">
        <v>0</v>
      </c>
      <c r="C218" s="5">
        <v>0</v>
      </c>
      <c r="D218" s="5">
        <v>1</v>
      </c>
      <c r="E218" s="5">
        <v>211</v>
      </c>
      <c r="F218" s="5">
        <f>ROUND(Source!Y191,O218)</f>
        <v>120.93</v>
      </c>
      <c r="G218" s="5" t="s">
        <v>126</v>
      </c>
      <c r="H218" s="5" t="s">
        <v>127</v>
      </c>
      <c r="I218" s="5"/>
      <c r="J218" s="5"/>
      <c r="K218" s="5">
        <v>211</v>
      </c>
      <c r="L218" s="5">
        <v>26</v>
      </c>
      <c r="M218" s="5">
        <v>3</v>
      </c>
      <c r="N218" s="5" t="s">
        <v>3</v>
      </c>
      <c r="O218" s="5">
        <v>2</v>
      </c>
      <c r="P218" s="5">
        <f>ROUND(Source!DQ191,O218)</f>
        <v>6650.16</v>
      </c>
      <c r="Q218" s="5"/>
      <c r="R218" s="5"/>
      <c r="S218" s="5"/>
      <c r="T218" s="5"/>
      <c r="U218" s="5"/>
      <c r="V218" s="5"/>
      <c r="W218" s="5">
        <v>120.93</v>
      </c>
      <c r="X218" s="5">
        <v>1</v>
      </c>
      <c r="Y218" s="5">
        <v>120.93</v>
      </c>
      <c r="Z218" s="5">
        <v>6650.16</v>
      </c>
      <c r="AA218" s="5">
        <v>1</v>
      </c>
      <c r="AB218" s="5">
        <v>6650.16</v>
      </c>
    </row>
    <row r="219" spans="1:206" x14ac:dyDescent="0.2">
      <c r="A219" s="5">
        <v>50</v>
      </c>
      <c r="B219" s="5">
        <v>0</v>
      </c>
      <c r="C219" s="5">
        <v>0</v>
      </c>
      <c r="D219" s="5">
        <v>1</v>
      </c>
      <c r="E219" s="5">
        <v>224</v>
      </c>
      <c r="F219" s="5">
        <f>ROUND(Source!AR191,O219)</f>
        <v>9250.4</v>
      </c>
      <c r="G219" s="5" t="s">
        <v>128</v>
      </c>
      <c r="H219" s="5" t="s">
        <v>129</v>
      </c>
      <c r="I219" s="5"/>
      <c r="J219" s="5"/>
      <c r="K219" s="5">
        <v>224</v>
      </c>
      <c r="L219" s="5">
        <v>27</v>
      </c>
      <c r="M219" s="5">
        <v>3</v>
      </c>
      <c r="N219" s="5" t="s">
        <v>3</v>
      </c>
      <c r="O219" s="5">
        <v>2</v>
      </c>
      <c r="P219" s="5">
        <f>ROUND(Source!EJ191,O219)</f>
        <v>107498.7</v>
      </c>
      <c r="Q219" s="5"/>
      <c r="R219" s="5"/>
      <c r="S219" s="5"/>
      <c r="T219" s="5"/>
      <c r="U219" s="5"/>
      <c r="V219" s="5"/>
      <c r="W219" s="5">
        <v>9250.4</v>
      </c>
      <c r="X219" s="5">
        <v>1</v>
      </c>
      <c r="Y219" s="5">
        <v>9250.4</v>
      </c>
      <c r="Z219" s="5">
        <v>107498.7</v>
      </c>
      <c r="AA219" s="5">
        <v>1</v>
      </c>
      <c r="AB219" s="5">
        <v>107498.7</v>
      </c>
    </row>
    <row r="221" spans="1:206" x14ac:dyDescent="0.2">
      <c r="A221" s="3">
        <v>51</v>
      </c>
      <c r="B221" s="3">
        <f>B20</f>
        <v>1</v>
      </c>
      <c r="C221" s="3">
        <f>A20</f>
        <v>3</v>
      </c>
      <c r="D221" s="3">
        <f>ROW(A20)</f>
        <v>20</v>
      </c>
      <c r="E221" s="3"/>
      <c r="F221" s="3" t="str">
        <f>IF(F20&lt;&gt;"",F20,"")</f>
        <v>02-01-10</v>
      </c>
      <c r="G221" s="3" t="str">
        <f>IF(G20&lt;&gt;"",G20,"")</f>
        <v>Радиотрансляционная сеть</v>
      </c>
      <c r="H221" s="3">
        <v>0</v>
      </c>
      <c r="I221" s="3"/>
      <c r="J221" s="3"/>
      <c r="K221" s="3"/>
      <c r="L221" s="3"/>
      <c r="M221" s="3"/>
      <c r="N221" s="3"/>
      <c r="O221" s="3">
        <f t="shared" ref="O221:T221" si="172">ROUND(O51+O116+O191+AB221,2)</f>
        <v>192447.83</v>
      </c>
      <c r="P221" s="3">
        <f t="shared" si="172"/>
        <v>190510.95</v>
      </c>
      <c r="Q221" s="3">
        <f t="shared" si="172"/>
        <v>157.38</v>
      </c>
      <c r="R221" s="3">
        <f t="shared" si="172"/>
        <v>18.010000000000002</v>
      </c>
      <c r="S221" s="3">
        <f t="shared" si="172"/>
        <v>1779.5</v>
      </c>
      <c r="T221" s="3">
        <f t="shared" si="172"/>
        <v>0</v>
      </c>
      <c r="U221" s="3">
        <f>U51+U116+U191+AH221</f>
        <v>138.52903130000001</v>
      </c>
      <c r="V221" s="3">
        <f>V51+V116+V191+AI221</f>
        <v>0</v>
      </c>
      <c r="W221" s="3">
        <f>ROUND(W51+W116+W191+AJ221,2)</f>
        <v>0</v>
      </c>
      <c r="X221" s="3">
        <f>ROUND(X51+X116+X191+AK221,2)</f>
        <v>1712.81</v>
      </c>
      <c r="Y221" s="3">
        <f>ROUND(Y51+Y116+Y191+AL221,2)</f>
        <v>917.25</v>
      </c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>
        <f t="shared" ref="AO221:BD221" si="173">ROUND(AO51+AO116+AO191+BX221,2)</f>
        <v>0</v>
      </c>
      <c r="AP221" s="3">
        <f t="shared" si="173"/>
        <v>178043.75</v>
      </c>
      <c r="AQ221" s="3">
        <f t="shared" si="173"/>
        <v>0</v>
      </c>
      <c r="AR221" s="3">
        <f t="shared" si="173"/>
        <v>195077.89</v>
      </c>
      <c r="AS221" s="3">
        <f t="shared" si="173"/>
        <v>0</v>
      </c>
      <c r="AT221" s="3">
        <f t="shared" si="173"/>
        <v>17034.14</v>
      </c>
      <c r="AU221" s="3">
        <f t="shared" si="173"/>
        <v>0</v>
      </c>
      <c r="AV221" s="3">
        <f t="shared" si="173"/>
        <v>190510.95</v>
      </c>
      <c r="AW221" s="3">
        <f t="shared" si="173"/>
        <v>12467.2</v>
      </c>
      <c r="AX221" s="3">
        <f t="shared" si="173"/>
        <v>0</v>
      </c>
      <c r="AY221" s="3">
        <f t="shared" si="173"/>
        <v>12467.2</v>
      </c>
      <c r="AZ221" s="3">
        <f t="shared" si="173"/>
        <v>178043.75</v>
      </c>
      <c r="BA221" s="3">
        <f t="shared" si="173"/>
        <v>0</v>
      </c>
      <c r="BB221" s="3">
        <f t="shared" si="173"/>
        <v>0</v>
      </c>
      <c r="BC221" s="3">
        <f t="shared" si="173"/>
        <v>0</v>
      </c>
      <c r="BD221" s="3">
        <f t="shared" si="173"/>
        <v>0</v>
      </c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4">
        <f t="shared" ref="DG221:DL221" si="174">ROUND(DG51+DG116+DG191+DT221,2)</f>
        <v>1572856.39</v>
      </c>
      <c r="DH221" s="4">
        <f t="shared" si="174"/>
        <v>1472575.44</v>
      </c>
      <c r="DI221" s="4">
        <f t="shared" si="174"/>
        <v>2426.25</v>
      </c>
      <c r="DJ221" s="4">
        <f t="shared" si="174"/>
        <v>990.38</v>
      </c>
      <c r="DK221" s="4">
        <f t="shared" si="174"/>
        <v>97854.7</v>
      </c>
      <c r="DL221" s="4">
        <f t="shared" si="174"/>
        <v>0</v>
      </c>
      <c r="DM221" s="4">
        <f>DM51+DM116+DM191+DZ221</f>
        <v>138.52903130000001</v>
      </c>
      <c r="DN221" s="4">
        <f>DN51+DN116+DN191+EA221</f>
        <v>0</v>
      </c>
      <c r="DO221" s="4">
        <f>ROUND(DO51+DO116+DO191+EB221,2)</f>
        <v>0</v>
      </c>
      <c r="DP221" s="4">
        <f>ROUND(DP51+DP116+DP191+EC221,2)</f>
        <v>94186.89</v>
      </c>
      <c r="DQ221" s="4">
        <f>ROUND(DQ51+DQ116+DQ191+ED221,2)</f>
        <v>50439.94</v>
      </c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>
        <f t="shared" ref="EG221:EV221" si="175">ROUND(EG51+EG116+EG191+FP221,2)</f>
        <v>0</v>
      </c>
      <c r="EH221" s="4">
        <f t="shared" si="175"/>
        <v>1364277.16</v>
      </c>
      <c r="EI221" s="4">
        <f t="shared" si="175"/>
        <v>0</v>
      </c>
      <c r="EJ221" s="4">
        <f t="shared" si="175"/>
        <v>1717483.22</v>
      </c>
      <c r="EK221" s="4">
        <f t="shared" si="175"/>
        <v>0</v>
      </c>
      <c r="EL221" s="4">
        <f t="shared" si="175"/>
        <v>353206.06</v>
      </c>
      <c r="EM221" s="4">
        <f t="shared" si="175"/>
        <v>0</v>
      </c>
      <c r="EN221" s="4">
        <f t="shared" si="175"/>
        <v>1472575.44</v>
      </c>
      <c r="EO221" s="4">
        <f t="shared" si="175"/>
        <v>108298.28</v>
      </c>
      <c r="EP221" s="4">
        <f t="shared" si="175"/>
        <v>0</v>
      </c>
      <c r="EQ221" s="4">
        <f t="shared" si="175"/>
        <v>108298.28</v>
      </c>
      <c r="ER221" s="4">
        <f t="shared" si="175"/>
        <v>1364277.16</v>
      </c>
      <c r="ES221" s="4">
        <f t="shared" si="175"/>
        <v>0</v>
      </c>
      <c r="ET221" s="4">
        <f t="shared" si="175"/>
        <v>0</v>
      </c>
      <c r="EU221" s="4">
        <f t="shared" si="175"/>
        <v>0</v>
      </c>
      <c r="EV221" s="4">
        <f t="shared" si="175"/>
        <v>0</v>
      </c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>
        <v>0</v>
      </c>
    </row>
    <row r="223" spans="1:206" x14ac:dyDescent="0.2">
      <c r="A223" s="5">
        <v>50</v>
      </c>
      <c r="B223" s="5">
        <v>0</v>
      </c>
      <c r="C223" s="5">
        <v>0</v>
      </c>
      <c r="D223" s="5">
        <v>1</v>
      </c>
      <c r="E223" s="5">
        <v>201</v>
      </c>
      <c r="F223" s="5">
        <f>ROUND(Source!O221,O223)</f>
        <v>192447.83</v>
      </c>
      <c r="G223" s="5" t="s">
        <v>76</v>
      </c>
      <c r="H223" s="5" t="s">
        <v>77</v>
      </c>
      <c r="I223" s="5"/>
      <c r="J223" s="5"/>
      <c r="K223" s="5">
        <v>201</v>
      </c>
      <c r="L223" s="5">
        <v>1</v>
      </c>
      <c r="M223" s="5">
        <v>3</v>
      </c>
      <c r="N223" s="5" t="s">
        <v>3</v>
      </c>
      <c r="O223" s="5">
        <v>2</v>
      </c>
      <c r="P223" s="5">
        <f>ROUND(Source!DG221,O223)</f>
        <v>1572856.39</v>
      </c>
      <c r="Q223" s="5"/>
      <c r="R223" s="5"/>
      <c r="S223" s="5"/>
      <c r="T223" s="5"/>
      <c r="U223" s="5"/>
      <c r="V223" s="5"/>
      <c r="W223" s="5">
        <v>192447.83</v>
      </c>
      <c r="X223" s="5">
        <v>1</v>
      </c>
      <c r="Y223" s="5">
        <v>192447.83</v>
      </c>
      <c r="Z223" s="5">
        <v>1572856.39</v>
      </c>
      <c r="AA223" s="5">
        <v>1</v>
      </c>
      <c r="AB223" s="5">
        <v>1572856.39</v>
      </c>
    </row>
    <row r="224" spans="1:206" x14ac:dyDescent="0.2">
      <c r="A224" s="5">
        <v>50</v>
      </c>
      <c r="B224" s="5">
        <v>0</v>
      </c>
      <c r="C224" s="5">
        <v>0</v>
      </c>
      <c r="D224" s="5">
        <v>1</v>
      </c>
      <c r="E224" s="5">
        <v>202</v>
      </c>
      <c r="F224" s="5">
        <f>ROUND(Source!P221,O224)</f>
        <v>190510.95</v>
      </c>
      <c r="G224" s="5" t="s">
        <v>78</v>
      </c>
      <c r="H224" s="5" t="s">
        <v>79</v>
      </c>
      <c r="I224" s="5"/>
      <c r="J224" s="5"/>
      <c r="K224" s="5">
        <v>202</v>
      </c>
      <c r="L224" s="5">
        <v>2</v>
      </c>
      <c r="M224" s="5">
        <v>3</v>
      </c>
      <c r="N224" s="5" t="s">
        <v>3</v>
      </c>
      <c r="O224" s="5">
        <v>2</v>
      </c>
      <c r="P224" s="5">
        <f>ROUND(Source!DH221,O224)</f>
        <v>1472575.44</v>
      </c>
      <c r="Q224" s="5"/>
      <c r="R224" s="5"/>
      <c r="S224" s="5"/>
      <c r="T224" s="5"/>
      <c r="U224" s="5"/>
      <c r="V224" s="5"/>
      <c r="W224" s="5">
        <v>190510.95</v>
      </c>
      <c r="X224" s="5">
        <v>1</v>
      </c>
      <c r="Y224" s="5">
        <v>190510.95</v>
      </c>
      <c r="Z224" s="5">
        <v>1472575.44</v>
      </c>
      <c r="AA224" s="5">
        <v>1</v>
      </c>
      <c r="AB224" s="5">
        <v>1472575.44</v>
      </c>
    </row>
    <row r="225" spans="1:28" x14ac:dyDescent="0.2">
      <c r="A225" s="5">
        <v>50</v>
      </c>
      <c r="B225" s="5">
        <v>0</v>
      </c>
      <c r="C225" s="5">
        <v>0</v>
      </c>
      <c r="D225" s="5">
        <v>1</v>
      </c>
      <c r="E225" s="5">
        <v>222</v>
      </c>
      <c r="F225" s="5">
        <f>ROUND(Source!AO221,O225)</f>
        <v>0</v>
      </c>
      <c r="G225" s="5" t="s">
        <v>80</v>
      </c>
      <c r="H225" s="5" t="s">
        <v>81</v>
      </c>
      <c r="I225" s="5"/>
      <c r="J225" s="5"/>
      <c r="K225" s="5">
        <v>222</v>
      </c>
      <c r="L225" s="5">
        <v>3</v>
      </c>
      <c r="M225" s="5">
        <v>3</v>
      </c>
      <c r="N225" s="5" t="s">
        <v>3</v>
      </c>
      <c r="O225" s="5">
        <v>2</v>
      </c>
      <c r="P225" s="5">
        <f>ROUND(Source!EG221,O225)</f>
        <v>0</v>
      </c>
      <c r="Q225" s="5"/>
      <c r="R225" s="5"/>
      <c r="S225" s="5"/>
      <c r="T225" s="5"/>
      <c r="U225" s="5"/>
      <c r="V225" s="5"/>
      <c r="W225" s="5">
        <v>0</v>
      </c>
      <c r="X225" s="5">
        <v>1</v>
      </c>
      <c r="Y225" s="5">
        <v>0</v>
      </c>
      <c r="Z225" s="5">
        <v>0</v>
      </c>
      <c r="AA225" s="5">
        <v>1</v>
      </c>
      <c r="AB225" s="5">
        <v>0</v>
      </c>
    </row>
    <row r="226" spans="1:28" x14ac:dyDescent="0.2">
      <c r="A226" s="5">
        <v>50</v>
      </c>
      <c r="B226" s="5">
        <v>0</v>
      </c>
      <c r="C226" s="5">
        <v>0</v>
      </c>
      <c r="D226" s="5">
        <v>1</v>
      </c>
      <c r="E226" s="5">
        <v>225</v>
      </c>
      <c r="F226" s="5">
        <f>ROUND(Source!AV221,O226)</f>
        <v>190510.95</v>
      </c>
      <c r="G226" s="5" t="s">
        <v>82</v>
      </c>
      <c r="H226" s="5" t="s">
        <v>83</v>
      </c>
      <c r="I226" s="5"/>
      <c r="J226" s="5"/>
      <c r="K226" s="5">
        <v>225</v>
      </c>
      <c r="L226" s="5">
        <v>4</v>
      </c>
      <c r="M226" s="5">
        <v>3</v>
      </c>
      <c r="N226" s="5" t="s">
        <v>3</v>
      </c>
      <c r="O226" s="5">
        <v>2</v>
      </c>
      <c r="P226" s="5">
        <f>ROUND(Source!EN221,O226)</f>
        <v>1472575.44</v>
      </c>
      <c r="Q226" s="5"/>
      <c r="R226" s="5"/>
      <c r="S226" s="5"/>
      <c r="T226" s="5"/>
      <c r="U226" s="5"/>
      <c r="V226" s="5"/>
      <c r="W226" s="5">
        <v>190510.95</v>
      </c>
      <c r="X226" s="5">
        <v>1</v>
      </c>
      <c r="Y226" s="5">
        <v>190510.95</v>
      </c>
      <c r="Z226" s="5">
        <v>1472575.44</v>
      </c>
      <c r="AA226" s="5">
        <v>1</v>
      </c>
      <c r="AB226" s="5">
        <v>1472575.44</v>
      </c>
    </row>
    <row r="227" spans="1:28" x14ac:dyDescent="0.2">
      <c r="A227" s="5">
        <v>50</v>
      </c>
      <c r="B227" s="5">
        <v>0</v>
      </c>
      <c r="C227" s="5">
        <v>0</v>
      </c>
      <c r="D227" s="5">
        <v>1</v>
      </c>
      <c r="E227" s="5">
        <v>226</v>
      </c>
      <c r="F227" s="5">
        <f>ROUND(Source!AW221,O227)</f>
        <v>12467.2</v>
      </c>
      <c r="G227" s="5" t="s">
        <v>84</v>
      </c>
      <c r="H227" s="5" t="s">
        <v>85</v>
      </c>
      <c r="I227" s="5"/>
      <c r="J227" s="5"/>
      <c r="K227" s="5">
        <v>226</v>
      </c>
      <c r="L227" s="5">
        <v>5</v>
      </c>
      <c r="M227" s="5">
        <v>3</v>
      </c>
      <c r="N227" s="5" t="s">
        <v>3</v>
      </c>
      <c r="O227" s="5">
        <v>2</v>
      </c>
      <c r="P227" s="5">
        <f>ROUND(Source!EO221,O227)</f>
        <v>108298.28</v>
      </c>
      <c r="Q227" s="5"/>
      <c r="R227" s="5"/>
      <c r="S227" s="5"/>
      <c r="T227" s="5"/>
      <c r="U227" s="5"/>
      <c r="V227" s="5"/>
      <c r="W227" s="5">
        <v>12467.2</v>
      </c>
      <c r="X227" s="5">
        <v>1</v>
      </c>
      <c r="Y227" s="5">
        <v>12467.2</v>
      </c>
      <c r="Z227" s="5">
        <v>108298.28</v>
      </c>
      <c r="AA227" s="5">
        <v>1</v>
      </c>
      <c r="AB227" s="5">
        <v>108298.28</v>
      </c>
    </row>
    <row r="228" spans="1:28" x14ac:dyDescent="0.2">
      <c r="A228" s="5">
        <v>50</v>
      </c>
      <c r="B228" s="5">
        <v>0</v>
      </c>
      <c r="C228" s="5">
        <v>0</v>
      </c>
      <c r="D228" s="5">
        <v>1</v>
      </c>
      <c r="E228" s="5">
        <v>227</v>
      </c>
      <c r="F228" s="5">
        <f>ROUND(Source!AX221,O228)</f>
        <v>0</v>
      </c>
      <c r="G228" s="5" t="s">
        <v>86</v>
      </c>
      <c r="H228" s="5" t="s">
        <v>87</v>
      </c>
      <c r="I228" s="5"/>
      <c r="J228" s="5"/>
      <c r="K228" s="5">
        <v>227</v>
      </c>
      <c r="L228" s="5">
        <v>6</v>
      </c>
      <c r="M228" s="5">
        <v>3</v>
      </c>
      <c r="N228" s="5" t="s">
        <v>3</v>
      </c>
      <c r="O228" s="5">
        <v>2</v>
      </c>
      <c r="P228" s="5">
        <f>ROUND(Source!EP221,O228)</f>
        <v>0</v>
      </c>
      <c r="Q228" s="5"/>
      <c r="R228" s="5"/>
      <c r="S228" s="5"/>
      <c r="T228" s="5"/>
      <c r="U228" s="5"/>
      <c r="V228" s="5"/>
      <c r="W228" s="5">
        <v>0</v>
      </c>
      <c r="X228" s="5">
        <v>1</v>
      </c>
      <c r="Y228" s="5">
        <v>0</v>
      </c>
      <c r="Z228" s="5">
        <v>0</v>
      </c>
      <c r="AA228" s="5">
        <v>1</v>
      </c>
      <c r="AB228" s="5">
        <v>0</v>
      </c>
    </row>
    <row r="229" spans="1:28" x14ac:dyDescent="0.2">
      <c r="A229" s="5">
        <v>50</v>
      </c>
      <c r="B229" s="5">
        <v>0</v>
      </c>
      <c r="C229" s="5">
        <v>0</v>
      </c>
      <c r="D229" s="5">
        <v>1</v>
      </c>
      <c r="E229" s="5">
        <v>228</v>
      </c>
      <c r="F229" s="5">
        <f>ROUND(Source!AY221,O229)</f>
        <v>12467.2</v>
      </c>
      <c r="G229" s="5" t="s">
        <v>88</v>
      </c>
      <c r="H229" s="5" t="s">
        <v>89</v>
      </c>
      <c r="I229" s="5"/>
      <c r="J229" s="5"/>
      <c r="K229" s="5">
        <v>228</v>
      </c>
      <c r="L229" s="5">
        <v>7</v>
      </c>
      <c r="M229" s="5">
        <v>3</v>
      </c>
      <c r="N229" s="5" t="s">
        <v>3</v>
      </c>
      <c r="O229" s="5">
        <v>2</v>
      </c>
      <c r="P229" s="5">
        <f>ROUND(Source!EQ221,O229)</f>
        <v>108298.28</v>
      </c>
      <c r="Q229" s="5"/>
      <c r="R229" s="5"/>
      <c r="S229" s="5"/>
      <c r="T229" s="5"/>
      <c r="U229" s="5"/>
      <c r="V229" s="5"/>
      <c r="W229" s="5">
        <v>12467.2</v>
      </c>
      <c r="X229" s="5">
        <v>1</v>
      </c>
      <c r="Y229" s="5">
        <v>12467.2</v>
      </c>
      <c r="Z229" s="5">
        <v>108298.28</v>
      </c>
      <c r="AA229" s="5">
        <v>1</v>
      </c>
      <c r="AB229" s="5">
        <v>108298.28</v>
      </c>
    </row>
    <row r="230" spans="1:28" x14ac:dyDescent="0.2">
      <c r="A230" s="5">
        <v>50</v>
      </c>
      <c r="B230" s="5">
        <v>0</v>
      </c>
      <c r="C230" s="5">
        <v>0</v>
      </c>
      <c r="D230" s="5">
        <v>1</v>
      </c>
      <c r="E230" s="5">
        <v>216</v>
      </c>
      <c r="F230" s="5">
        <f>ROUND(Source!AP221,O230)</f>
        <v>178043.75</v>
      </c>
      <c r="G230" s="5" t="s">
        <v>90</v>
      </c>
      <c r="H230" s="5" t="s">
        <v>91</v>
      </c>
      <c r="I230" s="5"/>
      <c r="J230" s="5"/>
      <c r="K230" s="5">
        <v>216</v>
      </c>
      <c r="L230" s="5">
        <v>8</v>
      </c>
      <c r="M230" s="5">
        <v>3</v>
      </c>
      <c r="N230" s="5" t="s">
        <v>3</v>
      </c>
      <c r="O230" s="5">
        <v>2</v>
      </c>
      <c r="P230" s="5">
        <f>ROUND(Source!EH221,O230)</f>
        <v>1364277.16</v>
      </c>
      <c r="Q230" s="5"/>
      <c r="R230" s="5"/>
      <c r="S230" s="5"/>
      <c r="T230" s="5"/>
      <c r="U230" s="5"/>
      <c r="V230" s="5"/>
      <c r="W230" s="5">
        <v>178043.75</v>
      </c>
      <c r="X230" s="5">
        <v>1</v>
      </c>
      <c r="Y230" s="5">
        <v>178043.75</v>
      </c>
      <c r="Z230" s="5">
        <v>1364277.16</v>
      </c>
      <c r="AA230" s="5">
        <v>1</v>
      </c>
      <c r="AB230" s="5">
        <v>1364277.16</v>
      </c>
    </row>
    <row r="231" spans="1:28" x14ac:dyDescent="0.2">
      <c r="A231" s="5">
        <v>50</v>
      </c>
      <c r="B231" s="5">
        <v>0</v>
      </c>
      <c r="C231" s="5">
        <v>0</v>
      </c>
      <c r="D231" s="5">
        <v>1</v>
      </c>
      <c r="E231" s="5">
        <v>223</v>
      </c>
      <c r="F231" s="5">
        <f>ROUND(Source!AQ221,O231)</f>
        <v>0</v>
      </c>
      <c r="G231" s="5" t="s">
        <v>92</v>
      </c>
      <c r="H231" s="5" t="s">
        <v>93</v>
      </c>
      <c r="I231" s="5"/>
      <c r="J231" s="5"/>
      <c r="K231" s="5">
        <v>223</v>
      </c>
      <c r="L231" s="5">
        <v>9</v>
      </c>
      <c r="M231" s="5">
        <v>3</v>
      </c>
      <c r="N231" s="5" t="s">
        <v>3</v>
      </c>
      <c r="O231" s="5">
        <v>2</v>
      </c>
      <c r="P231" s="5">
        <f>ROUND(Source!EI221,O231)</f>
        <v>0</v>
      </c>
      <c r="Q231" s="5"/>
      <c r="R231" s="5"/>
      <c r="S231" s="5"/>
      <c r="T231" s="5"/>
      <c r="U231" s="5"/>
      <c r="V231" s="5"/>
      <c r="W231" s="5">
        <v>0</v>
      </c>
      <c r="X231" s="5">
        <v>1</v>
      </c>
      <c r="Y231" s="5">
        <v>0</v>
      </c>
      <c r="Z231" s="5">
        <v>0</v>
      </c>
      <c r="AA231" s="5">
        <v>1</v>
      </c>
      <c r="AB231" s="5">
        <v>0</v>
      </c>
    </row>
    <row r="232" spans="1:28" x14ac:dyDescent="0.2">
      <c r="A232" s="5">
        <v>50</v>
      </c>
      <c r="B232" s="5">
        <v>0</v>
      </c>
      <c r="C232" s="5">
        <v>0</v>
      </c>
      <c r="D232" s="5">
        <v>1</v>
      </c>
      <c r="E232" s="5">
        <v>229</v>
      </c>
      <c r="F232" s="5">
        <f>ROUND(Source!AZ221,O232)</f>
        <v>178043.75</v>
      </c>
      <c r="G232" s="5" t="s">
        <v>94</v>
      </c>
      <c r="H232" s="5" t="s">
        <v>95</v>
      </c>
      <c r="I232" s="5"/>
      <c r="J232" s="5"/>
      <c r="K232" s="5">
        <v>229</v>
      </c>
      <c r="L232" s="5">
        <v>10</v>
      </c>
      <c r="M232" s="5">
        <v>3</v>
      </c>
      <c r="N232" s="5" t="s">
        <v>3</v>
      </c>
      <c r="O232" s="5">
        <v>2</v>
      </c>
      <c r="P232" s="5">
        <f>ROUND(Source!ER221,O232)</f>
        <v>1364277.16</v>
      </c>
      <c r="Q232" s="5"/>
      <c r="R232" s="5"/>
      <c r="S232" s="5"/>
      <c r="T232" s="5"/>
      <c r="U232" s="5"/>
      <c r="V232" s="5"/>
      <c r="W232" s="5">
        <v>178043.75</v>
      </c>
      <c r="X232" s="5">
        <v>1</v>
      </c>
      <c r="Y232" s="5">
        <v>178043.75</v>
      </c>
      <c r="Z232" s="5">
        <v>1364277.16</v>
      </c>
      <c r="AA232" s="5">
        <v>1</v>
      </c>
      <c r="AB232" s="5">
        <v>1364277.16</v>
      </c>
    </row>
    <row r="233" spans="1:28" x14ac:dyDescent="0.2">
      <c r="A233" s="5">
        <v>50</v>
      </c>
      <c r="B233" s="5">
        <v>0</v>
      </c>
      <c r="C233" s="5">
        <v>0</v>
      </c>
      <c r="D233" s="5">
        <v>1</v>
      </c>
      <c r="E233" s="5">
        <v>203</v>
      </c>
      <c r="F233" s="5">
        <f>ROUND(Source!Q221,O233)</f>
        <v>157.38</v>
      </c>
      <c r="G233" s="5" t="s">
        <v>96</v>
      </c>
      <c r="H233" s="5" t="s">
        <v>97</v>
      </c>
      <c r="I233" s="5"/>
      <c r="J233" s="5"/>
      <c r="K233" s="5">
        <v>203</v>
      </c>
      <c r="L233" s="5">
        <v>11</v>
      </c>
      <c r="M233" s="5">
        <v>3</v>
      </c>
      <c r="N233" s="5" t="s">
        <v>3</v>
      </c>
      <c r="O233" s="5">
        <v>2</v>
      </c>
      <c r="P233" s="5">
        <f>ROUND(Source!DI221,O233)</f>
        <v>2426.25</v>
      </c>
      <c r="Q233" s="5"/>
      <c r="R233" s="5"/>
      <c r="S233" s="5"/>
      <c r="T233" s="5"/>
      <c r="U233" s="5"/>
      <c r="V233" s="5"/>
      <c r="W233" s="5">
        <v>157.38</v>
      </c>
      <c r="X233" s="5">
        <v>1</v>
      </c>
      <c r="Y233" s="5">
        <v>157.38</v>
      </c>
      <c r="Z233" s="5">
        <v>2426.25</v>
      </c>
      <c r="AA233" s="5">
        <v>1</v>
      </c>
      <c r="AB233" s="5">
        <v>2426.25</v>
      </c>
    </row>
    <row r="234" spans="1:28" x14ac:dyDescent="0.2">
      <c r="A234" s="5">
        <v>50</v>
      </c>
      <c r="B234" s="5">
        <v>0</v>
      </c>
      <c r="C234" s="5">
        <v>0</v>
      </c>
      <c r="D234" s="5">
        <v>1</v>
      </c>
      <c r="E234" s="5">
        <v>231</v>
      </c>
      <c r="F234" s="5">
        <f>ROUND(Source!BB221,O234)</f>
        <v>0</v>
      </c>
      <c r="G234" s="5" t="s">
        <v>98</v>
      </c>
      <c r="H234" s="5" t="s">
        <v>99</v>
      </c>
      <c r="I234" s="5"/>
      <c r="J234" s="5"/>
      <c r="K234" s="5">
        <v>231</v>
      </c>
      <c r="L234" s="5">
        <v>12</v>
      </c>
      <c r="M234" s="5">
        <v>3</v>
      </c>
      <c r="N234" s="5" t="s">
        <v>3</v>
      </c>
      <c r="O234" s="5">
        <v>2</v>
      </c>
      <c r="P234" s="5">
        <f>ROUND(Source!ET221,O234)</f>
        <v>0</v>
      </c>
      <c r="Q234" s="5"/>
      <c r="R234" s="5"/>
      <c r="S234" s="5"/>
      <c r="T234" s="5"/>
      <c r="U234" s="5"/>
      <c r="V234" s="5"/>
      <c r="W234" s="5">
        <v>0</v>
      </c>
      <c r="X234" s="5">
        <v>1</v>
      </c>
      <c r="Y234" s="5">
        <v>0</v>
      </c>
      <c r="Z234" s="5">
        <v>0</v>
      </c>
      <c r="AA234" s="5">
        <v>1</v>
      </c>
      <c r="AB234" s="5">
        <v>0</v>
      </c>
    </row>
    <row r="235" spans="1:28" x14ac:dyDescent="0.2">
      <c r="A235" s="5">
        <v>50</v>
      </c>
      <c r="B235" s="5">
        <v>0</v>
      </c>
      <c r="C235" s="5">
        <v>0</v>
      </c>
      <c r="D235" s="5">
        <v>1</v>
      </c>
      <c r="E235" s="5">
        <v>204</v>
      </c>
      <c r="F235" s="5">
        <f>ROUND(Source!R221,O235)</f>
        <v>18.010000000000002</v>
      </c>
      <c r="G235" s="5" t="s">
        <v>100</v>
      </c>
      <c r="H235" s="5" t="s">
        <v>101</v>
      </c>
      <c r="I235" s="5"/>
      <c r="J235" s="5"/>
      <c r="K235" s="5">
        <v>204</v>
      </c>
      <c r="L235" s="5">
        <v>13</v>
      </c>
      <c r="M235" s="5">
        <v>3</v>
      </c>
      <c r="N235" s="5" t="s">
        <v>3</v>
      </c>
      <c r="O235" s="5">
        <v>2</v>
      </c>
      <c r="P235" s="5">
        <f>ROUND(Source!DJ221,O235)</f>
        <v>990.38</v>
      </c>
      <c r="Q235" s="5"/>
      <c r="R235" s="5"/>
      <c r="S235" s="5"/>
      <c r="T235" s="5"/>
      <c r="U235" s="5"/>
      <c r="V235" s="5"/>
      <c r="W235" s="5">
        <v>18.010000000000002</v>
      </c>
      <c r="X235" s="5">
        <v>1</v>
      </c>
      <c r="Y235" s="5">
        <v>18.010000000000002</v>
      </c>
      <c r="Z235" s="5">
        <v>990.38</v>
      </c>
      <c r="AA235" s="5">
        <v>1</v>
      </c>
      <c r="AB235" s="5">
        <v>990.38</v>
      </c>
    </row>
    <row r="236" spans="1:28" x14ac:dyDescent="0.2">
      <c r="A236" s="5">
        <v>50</v>
      </c>
      <c r="B236" s="5">
        <v>0</v>
      </c>
      <c r="C236" s="5">
        <v>0</v>
      </c>
      <c r="D236" s="5">
        <v>1</v>
      </c>
      <c r="E236" s="5">
        <v>205</v>
      </c>
      <c r="F236" s="5">
        <f>ROUND(Source!S221,O236)</f>
        <v>1779.5</v>
      </c>
      <c r="G236" s="5" t="s">
        <v>102</v>
      </c>
      <c r="H236" s="5" t="s">
        <v>103</v>
      </c>
      <c r="I236" s="5"/>
      <c r="J236" s="5"/>
      <c r="K236" s="5">
        <v>205</v>
      </c>
      <c r="L236" s="5">
        <v>14</v>
      </c>
      <c r="M236" s="5">
        <v>3</v>
      </c>
      <c r="N236" s="5" t="s">
        <v>3</v>
      </c>
      <c r="O236" s="5">
        <v>2</v>
      </c>
      <c r="P236" s="5">
        <f>ROUND(Source!DK221,O236)</f>
        <v>97854.7</v>
      </c>
      <c r="Q236" s="5"/>
      <c r="R236" s="5"/>
      <c r="S236" s="5"/>
      <c r="T236" s="5"/>
      <c r="U236" s="5"/>
      <c r="V236" s="5"/>
      <c r="W236" s="5">
        <v>1779.5</v>
      </c>
      <c r="X236" s="5">
        <v>1</v>
      </c>
      <c r="Y236" s="5">
        <v>1779.5</v>
      </c>
      <c r="Z236" s="5">
        <v>97854.7</v>
      </c>
      <c r="AA236" s="5">
        <v>1</v>
      </c>
      <c r="AB236" s="5">
        <v>97854.7</v>
      </c>
    </row>
    <row r="237" spans="1:28" x14ac:dyDescent="0.2">
      <c r="A237" s="5">
        <v>50</v>
      </c>
      <c r="B237" s="5">
        <v>0</v>
      </c>
      <c r="C237" s="5">
        <v>0</v>
      </c>
      <c r="D237" s="5">
        <v>1</v>
      </c>
      <c r="E237" s="5">
        <v>232</v>
      </c>
      <c r="F237" s="5">
        <f>ROUND(Source!BC221,O237)</f>
        <v>0</v>
      </c>
      <c r="G237" s="5" t="s">
        <v>104</v>
      </c>
      <c r="H237" s="5" t="s">
        <v>105</v>
      </c>
      <c r="I237" s="5"/>
      <c r="J237" s="5"/>
      <c r="K237" s="5">
        <v>232</v>
      </c>
      <c r="L237" s="5">
        <v>15</v>
      </c>
      <c r="M237" s="5">
        <v>3</v>
      </c>
      <c r="N237" s="5" t="s">
        <v>3</v>
      </c>
      <c r="O237" s="5">
        <v>2</v>
      </c>
      <c r="P237" s="5">
        <f>ROUND(Source!EU221,O237)</f>
        <v>0</v>
      </c>
      <c r="Q237" s="5"/>
      <c r="R237" s="5"/>
      <c r="S237" s="5"/>
      <c r="T237" s="5"/>
      <c r="U237" s="5"/>
      <c r="V237" s="5"/>
      <c r="W237" s="5">
        <v>0</v>
      </c>
      <c r="X237" s="5">
        <v>1</v>
      </c>
      <c r="Y237" s="5">
        <v>0</v>
      </c>
      <c r="Z237" s="5">
        <v>0</v>
      </c>
      <c r="AA237" s="5">
        <v>1</v>
      </c>
      <c r="AB237" s="5">
        <v>0</v>
      </c>
    </row>
    <row r="238" spans="1:28" x14ac:dyDescent="0.2">
      <c r="A238" s="5">
        <v>50</v>
      </c>
      <c r="B238" s="5">
        <v>0</v>
      </c>
      <c r="C238" s="5">
        <v>0</v>
      </c>
      <c r="D238" s="5">
        <v>1</v>
      </c>
      <c r="E238" s="5">
        <v>214</v>
      </c>
      <c r="F238" s="5">
        <f>ROUND(Source!AS221,O238)</f>
        <v>0</v>
      </c>
      <c r="G238" s="5" t="s">
        <v>106</v>
      </c>
      <c r="H238" s="5" t="s">
        <v>107</v>
      </c>
      <c r="I238" s="5"/>
      <c r="J238" s="5"/>
      <c r="K238" s="5">
        <v>214</v>
      </c>
      <c r="L238" s="5">
        <v>16</v>
      </c>
      <c r="M238" s="5">
        <v>3</v>
      </c>
      <c r="N238" s="5" t="s">
        <v>3</v>
      </c>
      <c r="O238" s="5">
        <v>2</v>
      </c>
      <c r="P238" s="5">
        <f>ROUND(Source!EK221,O238)</f>
        <v>0</v>
      </c>
      <c r="Q238" s="5"/>
      <c r="R238" s="5"/>
      <c r="S238" s="5"/>
      <c r="T238" s="5"/>
      <c r="U238" s="5"/>
      <c r="V238" s="5"/>
      <c r="W238" s="5">
        <v>0</v>
      </c>
      <c r="X238" s="5">
        <v>1</v>
      </c>
      <c r="Y238" s="5">
        <v>0</v>
      </c>
      <c r="Z238" s="5">
        <v>0</v>
      </c>
      <c r="AA238" s="5">
        <v>1</v>
      </c>
      <c r="AB238" s="5">
        <v>0</v>
      </c>
    </row>
    <row r="239" spans="1:28" x14ac:dyDescent="0.2">
      <c r="A239" s="5">
        <v>50</v>
      </c>
      <c r="B239" s="5">
        <v>0</v>
      </c>
      <c r="C239" s="5">
        <v>0</v>
      </c>
      <c r="D239" s="5">
        <v>1</v>
      </c>
      <c r="E239" s="5">
        <v>215</v>
      </c>
      <c r="F239" s="5">
        <f>ROUND(Source!AT221,O239)</f>
        <v>17034.14</v>
      </c>
      <c r="G239" s="5" t="s">
        <v>108</v>
      </c>
      <c r="H239" s="5" t="s">
        <v>109</v>
      </c>
      <c r="I239" s="5"/>
      <c r="J239" s="5"/>
      <c r="K239" s="5">
        <v>215</v>
      </c>
      <c r="L239" s="5">
        <v>17</v>
      </c>
      <c r="M239" s="5">
        <v>3</v>
      </c>
      <c r="N239" s="5" t="s">
        <v>3</v>
      </c>
      <c r="O239" s="5">
        <v>2</v>
      </c>
      <c r="P239" s="5">
        <f>ROUND(Source!EL221,O239)</f>
        <v>353206.06</v>
      </c>
      <c r="Q239" s="5"/>
      <c r="R239" s="5"/>
      <c r="S239" s="5"/>
      <c r="T239" s="5"/>
      <c r="U239" s="5"/>
      <c r="V239" s="5"/>
      <c r="W239" s="5">
        <v>17034.14</v>
      </c>
      <c r="X239" s="5">
        <v>1</v>
      </c>
      <c r="Y239" s="5">
        <v>17034.14</v>
      </c>
      <c r="Z239" s="5">
        <v>353206.06</v>
      </c>
      <c r="AA239" s="5">
        <v>1</v>
      </c>
      <c r="AB239" s="5">
        <v>353206.06</v>
      </c>
    </row>
    <row r="240" spans="1:28" x14ac:dyDescent="0.2">
      <c r="A240" s="5">
        <v>50</v>
      </c>
      <c r="B240" s="5">
        <v>0</v>
      </c>
      <c r="C240" s="5">
        <v>0</v>
      </c>
      <c r="D240" s="5">
        <v>1</v>
      </c>
      <c r="E240" s="5">
        <v>217</v>
      </c>
      <c r="F240" s="5">
        <f>ROUND(Source!AU221,O240)</f>
        <v>0</v>
      </c>
      <c r="G240" s="5" t="s">
        <v>110</v>
      </c>
      <c r="H240" s="5" t="s">
        <v>111</v>
      </c>
      <c r="I240" s="5"/>
      <c r="J240" s="5"/>
      <c r="K240" s="5">
        <v>217</v>
      </c>
      <c r="L240" s="5">
        <v>18</v>
      </c>
      <c r="M240" s="5">
        <v>3</v>
      </c>
      <c r="N240" s="5" t="s">
        <v>3</v>
      </c>
      <c r="O240" s="5">
        <v>2</v>
      </c>
      <c r="P240" s="5">
        <f>ROUND(Source!EM221,O240)</f>
        <v>0</v>
      </c>
      <c r="Q240" s="5"/>
      <c r="R240" s="5"/>
      <c r="S240" s="5"/>
      <c r="T240" s="5"/>
      <c r="U240" s="5"/>
      <c r="V240" s="5"/>
      <c r="W240" s="5">
        <v>0</v>
      </c>
      <c r="X240" s="5">
        <v>1</v>
      </c>
      <c r="Y240" s="5">
        <v>0</v>
      </c>
      <c r="Z240" s="5">
        <v>0</v>
      </c>
      <c r="AA240" s="5">
        <v>1</v>
      </c>
      <c r="AB240" s="5">
        <v>0</v>
      </c>
    </row>
    <row r="241" spans="1:206" x14ac:dyDescent="0.2">
      <c r="A241" s="5">
        <v>50</v>
      </c>
      <c r="B241" s="5">
        <v>0</v>
      </c>
      <c r="C241" s="5">
        <v>0</v>
      </c>
      <c r="D241" s="5">
        <v>1</v>
      </c>
      <c r="E241" s="5">
        <v>230</v>
      </c>
      <c r="F241" s="5">
        <f>ROUND(Source!BA221,O241)</f>
        <v>0</v>
      </c>
      <c r="G241" s="5" t="s">
        <v>112</v>
      </c>
      <c r="H241" s="5" t="s">
        <v>113</v>
      </c>
      <c r="I241" s="5"/>
      <c r="J241" s="5"/>
      <c r="K241" s="5">
        <v>230</v>
      </c>
      <c r="L241" s="5">
        <v>19</v>
      </c>
      <c r="M241" s="5">
        <v>3</v>
      </c>
      <c r="N241" s="5" t="s">
        <v>3</v>
      </c>
      <c r="O241" s="5">
        <v>2</v>
      </c>
      <c r="P241" s="5">
        <f>ROUND(Source!ES221,O241)</f>
        <v>0</v>
      </c>
      <c r="Q241" s="5"/>
      <c r="R241" s="5"/>
      <c r="S241" s="5"/>
      <c r="T241" s="5"/>
      <c r="U241" s="5"/>
      <c r="V241" s="5"/>
      <c r="W241" s="5">
        <v>0</v>
      </c>
      <c r="X241" s="5">
        <v>1</v>
      </c>
      <c r="Y241" s="5">
        <v>0</v>
      </c>
      <c r="Z241" s="5">
        <v>0</v>
      </c>
      <c r="AA241" s="5">
        <v>1</v>
      </c>
      <c r="AB241" s="5">
        <v>0</v>
      </c>
    </row>
    <row r="242" spans="1:206" x14ac:dyDescent="0.2">
      <c r="A242" s="5">
        <v>50</v>
      </c>
      <c r="B242" s="5">
        <v>0</v>
      </c>
      <c r="C242" s="5">
        <v>0</v>
      </c>
      <c r="D242" s="5">
        <v>1</v>
      </c>
      <c r="E242" s="5">
        <v>206</v>
      </c>
      <c r="F242" s="5">
        <f>ROUND(Source!T221,O242)</f>
        <v>0</v>
      </c>
      <c r="G242" s="5" t="s">
        <v>114</v>
      </c>
      <c r="H242" s="5" t="s">
        <v>115</v>
      </c>
      <c r="I242" s="5"/>
      <c r="J242" s="5"/>
      <c r="K242" s="5">
        <v>206</v>
      </c>
      <c r="L242" s="5">
        <v>20</v>
      </c>
      <c r="M242" s="5">
        <v>3</v>
      </c>
      <c r="N242" s="5" t="s">
        <v>3</v>
      </c>
      <c r="O242" s="5">
        <v>2</v>
      </c>
      <c r="P242" s="5">
        <f>ROUND(Source!DL221,O242)</f>
        <v>0</v>
      </c>
      <c r="Q242" s="5"/>
      <c r="R242" s="5"/>
      <c r="S242" s="5"/>
      <c r="T242" s="5"/>
      <c r="U242" s="5"/>
      <c r="V242" s="5"/>
      <c r="W242" s="5">
        <v>0</v>
      </c>
      <c r="X242" s="5">
        <v>1</v>
      </c>
      <c r="Y242" s="5">
        <v>0</v>
      </c>
      <c r="Z242" s="5">
        <v>0</v>
      </c>
      <c r="AA242" s="5">
        <v>1</v>
      </c>
      <c r="AB242" s="5">
        <v>0</v>
      </c>
    </row>
    <row r="243" spans="1:206" x14ac:dyDescent="0.2">
      <c r="A243" s="5">
        <v>50</v>
      </c>
      <c r="B243" s="5">
        <v>0</v>
      </c>
      <c r="C243" s="5">
        <v>0</v>
      </c>
      <c r="D243" s="5">
        <v>1</v>
      </c>
      <c r="E243" s="5">
        <v>207</v>
      </c>
      <c r="F243" s="5">
        <f>Source!U221</f>
        <v>138.52903130000001</v>
      </c>
      <c r="G243" s="5" t="s">
        <v>116</v>
      </c>
      <c r="H243" s="5" t="s">
        <v>117</v>
      </c>
      <c r="I243" s="5"/>
      <c r="J243" s="5"/>
      <c r="K243" s="5">
        <v>207</v>
      </c>
      <c r="L243" s="5">
        <v>21</v>
      </c>
      <c r="M243" s="5">
        <v>3</v>
      </c>
      <c r="N243" s="5" t="s">
        <v>3</v>
      </c>
      <c r="O243" s="5">
        <v>-1</v>
      </c>
      <c r="P243" s="5">
        <f>Source!DM221</f>
        <v>138.52903130000001</v>
      </c>
      <c r="Q243" s="5"/>
      <c r="R243" s="5"/>
      <c r="S243" s="5"/>
      <c r="T243" s="5"/>
      <c r="U243" s="5"/>
      <c r="V243" s="5"/>
      <c r="W243" s="5">
        <v>138.52903130000001</v>
      </c>
      <c r="X243" s="5">
        <v>1</v>
      </c>
      <c r="Y243" s="5">
        <v>138.52903130000001</v>
      </c>
      <c r="Z243" s="5">
        <v>138.52903130000001</v>
      </c>
      <c r="AA243" s="5">
        <v>1</v>
      </c>
      <c r="AB243" s="5">
        <v>138.52903130000001</v>
      </c>
    </row>
    <row r="244" spans="1:206" x14ac:dyDescent="0.2">
      <c r="A244" s="5">
        <v>50</v>
      </c>
      <c r="B244" s="5">
        <v>0</v>
      </c>
      <c r="C244" s="5">
        <v>0</v>
      </c>
      <c r="D244" s="5">
        <v>1</v>
      </c>
      <c r="E244" s="5">
        <v>208</v>
      </c>
      <c r="F244" s="5">
        <f>Source!V221</f>
        <v>0</v>
      </c>
      <c r="G244" s="5" t="s">
        <v>118</v>
      </c>
      <c r="H244" s="5" t="s">
        <v>119</v>
      </c>
      <c r="I244" s="5"/>
      <c r="J244" s="5"/>
      <c r="K244" s="5">
        <v>208</v>
      </c>
      <c r="L244" s="5">
        <v>22</v>
      </c>
      <c r="M244" s="5">
        <v>3</v>
      </c>
      <c r="N244" s="5" t="s">
        <v>3</v>
      </c>
      <c r="O244" s="5">
        <v>-1</v>
      </c>
      <c r="P244" s="5">
        <f>Source!DN221</f>
        <v>0</v>
      </c>
      <c r="Q244" s="5"/>
      <c r="R244" s="5"/>
      <c r="S244" s="5"/>
      <c r="T244" s="5"/>
      <c r="U244" s="5"/>
      <c r="V244" s="5"/>
      <c r="W244" s="5">
        <v>0</v>
      </c>
      <c r="X244" s="5">
        <v>1</v>
      </c>
      <c r="Y244" s="5">
        <v>0</v>
      </c>
      <c r="Z244" s="5">
        <v>0</v>
      </c>
      <c r="AA244" s="5">
        <v>1</v>
      </c>
      <c r="AB244" s="5">
        <v>0</v>
      </c>
    </row>
    <row r="245" spans="1:206" x14ac:dyDescent="0.2">
      <c r="A245" s="5">
        <v>50</v>
      </c>
      <c r="B245" s="5">
        <v>0</v>
      </c>
      <c r="C245" s="5">
        <v>0</v>
      </c>
      <c r="D245" s="5">
        <v>1</v>
      </c>
      <c r="E245" s="5">
        <v>209</v>
      </c>
      <c r="F245" s="5">
        <f>ROUND(Source!W221,O245)</f>
        <v>0</v>
      </c>
      <c r="G245" s="5" t="s">
        <v>120</v>
      </c>
      <c r="H245" s="5" t="s">
        <v>121</v>
      </c>
      <c r="I245" s="5"/>
      <c r="J245" s="5"/>
      <c r="K245" s="5">
        <v>209</v>
      </c>
      <c r="L245" s="5">
        <v>23</v>
      </c>
      <c r="M245" s="5">
        <v>3</v>
      </c>
      <c r="N245" s="5" t="s">
        <v>3</v>
      </c>
      <c r="O245" s="5">
        <v>2</v>
      </c>
      <c r="P245" s="5">
        <f>ROUND(Source!DO221,O245)</f>
        <v>0</v>
      </c>
      <c r="Q245" s="5"/>
      <c r="R245" s="5"/>
      <c r="S245" s="5"/>
      <c r="T245" s="5"/>
      <c r="U245" s="5"/>
      <c r="V245" s="5"/>
      <c r="W245" s="5">
        <v>0</v>
      </c>
      <c r="X245" s="5">
        <v>1</v>
      </c>
      <c r="Y245" s="5">
        <v>0</v>
      </c>
      <c r="Z245" s="5">
        <v>0</v>
      </c>
      <c r="AA245" s="5">
        <v>1</v>
      </c>
      <c r="AB245" s="5">
        <v>0</v>
      </c>
    </row>
    <row r="246" spans="1:206" x14ac:dyDescent="0.2">
      <c r="A246" s="5">
        <v>50</v>
      </c>
      <c r="B246" s="5">
        <v>0</v>
      </c>
      <c r="C246" s="5">
        <v>0</v>
      </c>
      <c r="D246" s="5">
        <v>1</v>
      </c>
      <c r="E246" s="5">
        <v>233</v>
      </c>
      <c r="F246" s="5">
        <f>ROUND(Source!BD221,O246)</f>
        <v>0</v>
      </c>
      <c r="G246" s="5" t="s">
        <v>122</v>
      </c>
      <c r="H246" s="5" t="s">
        <v>123</v>
      </c>
      <c r="I246" s="5"/>
      <c r="J246" s="5"/>
      <c r="K246" s="5">
        <v>233</v>
      </c>
      <c r="L246" s="5">
        <v>24</v>
      </c>
      <c r="M246" s="5">
        <v>3</v>
      </c>
      <c r="N246" s="5" t="s">
        <v>3</v>
      </c>
      <c r="O246" s="5">
        <v>2</v>
      </c>
      <c r="P246" s="5">
        <f>ROUND(Source!EV221,O246)</f>
        <v>0</v>
      </c>
      <c r="Q246" s="5"/>
      <c r="R246" s="5"/>
      <c r="S246" s="5"/>
      <c r="T246" s="5"/>
      <c r="U246" s="5"/>
      <c r="V246" s="5"/>
      <c r="W246" s="5">
        <v>0</v>
      </c>
      <c r="X246" s="5">
        <v>1</v>
      </c>
      <c r="Y246" s="5">
        <v>0</v>
      </c>
      <c r="Z246" s="5">
        <v>0</v>
      </c>
      <c r="AA246" s="5">
        <v>1</v>
      </c>
      <c r="AB246" s="5">
        <v>0</v>
      </c>
    </row>
    <row r="247" spans="1:206" x14ac:dyDescent="0.2">
      <c r="A247" s="5">
        <v>50</v>
      </c>
      <c r="B247" s="5">
        <v>0</v>
      </c>
      <c r="C247" s="5">
        <v>0</v>
      </c>
      <c r="D247" s="5">
        <v>1</v>
      </c>
      <c r="E247" s="5">
        <v>210</v>
      </c>
      <c r="F247" s="5">
        <f>ROUND(Source!X221,O247)</f>
        <v>1712.81</v>
      </c>
      <c r="G247" s="5" t="s">
        <v>124</v>
      </c>
      <c r="H247" s="5" t="s">
        <v>125</v>
      </c>
      <c r="I247" s="5"/>
      <c r="J247" s="5"/>
      <c r="K247" s="5">
        <v>210</v>
      </c>
      <c r="L247" s="5">
        <v>25</v>
      </c>
      <c r="M247" s="5">
        <v>3</v>
      </c>
      <c r="N247" s="5" t="s">
        <v>3</v>
      </c>
      <c r="O247" s="5">
        <v>2</v>
      </c>
      <c r="P247" s="5">
        <f>ROUND(Source!DP221,O247)</f>
        <v>94186.89</v>
      </c>
      <c r="Q247" s="5"/>
      <c r="R247" s="5"/>
      <c r="S247" s="5"/>
      <c r="T247" s="5"/>
      <c r="U247" s="5"/>
      <c r="V247" s="5"/>
      <c r="W247" s="5">
        <v>1712.81</v>
      </c>
      <c r="X247" s="5">
        <v>1</v>
      </c>
      <c r="Y247" s="5">
        <v>1712.81</v>
      </c>
      <c r="Z247" s="5">
        <v>94186.89</v>
      </c>
      <c r="AA247" s="5">
        <v>1</v>
      </c>
      <c r="AB247" s="5">
        <v>94186.89</v>
      </c>
    </row>
    <row r="248" spans="1:206" x14ac:dyDescent="0.2">
      <c r="A248" s="5">
        <v>50</v>
      </c>
      <c r="B248" s="5">
        <v>0</v>
      </c>
      <c r="C248" s="5">
        <v>0</v>
      </c>
      <c r="D248" s="5">
        <v>1</v>
      </c>
      <c r="E248" s="5">
        <v>211</v>
      </c>
      <c r="F248" s="5">
        <f>ROUND(Source!Y221,O248)</f>
        <v>917.25</v>
      </c>
      <c r="G248" s="5" t="s">
        <v>126</v>
      </c>
      <c r="H248" s="5" t="s">
        <v>127</v>
      </c>
      <c r="I248" s="5"/>
      <c r="J248" s="5"/>
      <c r="K248" s="5">
        <v>211</v>
      </c>
      <c r="L248" s="5">
        <v>26</v>
      </c>
      <c r="M248" s="5">
        <v>3</v>
      </c>
      <c r="N248" s="5" t="s">
        <v>3</v>
      </c>
      <c r="O248" s="5">
        <v>2</v>
      </c>
      <c r="P248" s="5">
        <f>ROUND(Source!DQ221,O248)</f>
        <v>50439.94</v>
      </c>
      <c r="Q248" s="5"/>
      <c r="R248" s="5"/>
      <c r="S248" s="5"/>
      <c r="T248" s="5"/>
      <c r="U248" s="5"/>
      <c r="V248" s="5"/>
      <c r="W248" s="5">
        <v>917.25</v>
      </c>
      <c r="X248" s="5">
        <v>1</v>
      </c>
      <c r="Y248" s="5">
        <v>917.25</v>
      </c>
      <c r="Z248" s="5">
        <v>50439.94</v>
      </c>
      <c r="AA248" s="5">
        <v>1</v>
      </c>
      <c r="AB248" s="5">
        <v>50439.94</v>
      </c>
    </row>
    <row r="249" spans="1:206" x14ac:dyDescent="0.2">
      <c r="A249" s="5">
        <v>50</v>
      </c>
      <c r="B249" s="5">
        <v>0</v>
      </c>
      <c r="C249" s="5">
        <v>0</v>
      </c>
      <c r="D249" s="5">
        <v>1</v>
      </c>
      <c r="E249" s="5">
        <v>224</v>
      </c>
      <c r="F249" s="5">
        <f>ROUND(Source!AR221,O249)</f>
        <v>195077.89</v>
      </c>
      <c r="G249" s="5" t="s">
        <v>128</v>
      </c>
      <c r="H249" s="5" t="s">
        <v>129</v>
      </c>
      <c r="I249" s="5"/>
      <c r="J249" s="5"/>
      <c r="K249" s="5">
        <v>224</v>
      </c>
      <c r="L249" s="5">
        <v>27</v>
      </c>
      <c r="M249" s="5">
        <v>3</v>
      </c>
      <c r="N249" s="5" t="s">
        <v>3</v>
      </c>
      <c r="O249" s="5">
        <v>2</v>
      </c>
      <c r="P249" s="5">
        <f>ROUND(Source!EJ221,O249)</f>
        <v>1717483.22</v>
      </c>
      <c r="Q249" s="5"/>
      <c r="R249" s="5"/>
      <c r="S249" s="5"/>
      <c r="T249" s="5"/>
      <c r="U249" s="5"/>
      <c r="V249" s="5"/>
      <c r="W249" s="5">
        <v>195077.89</v>
      </c>
      <c r="X249" s="5">
        <v>1</v>
      </c>
      <c r="Y249" s="5">
        <v>195077.89</v>
      </c>
      <c r="Z249" s="5">
        <v>1717483.22</v>
      </c>
      <c r="AA249" s="5">
        <v>1</v>
      </c>
      <c r="AB249" s="5">
        <v>1717483.22</v>
      </c>
    </row>
    <row r="251" spans="1:206" x14ac:dyDescent="0.2">
      <c r="A251" s="3">
        <v>51</v>
      </c>
      <c r="B251" s="3">
        <f>B12</f>
        <v>290</v>
      </c>
      <c r="C251" s="3">
        <f>A12</f>
        <v>1</v>
      </c>
      <c r="D251" s="3">
        <f>ROW(A12)</f>
        <v>12</v>
      </c>
      <c r="E251" s="3"/>
      <c r="F251" s="3" t="str">
        <f>IF(F12&lt;&gt;"",F12,"")</f>
        <v/>
      </c>
      <c r="G251" s="3" t="str">
        <f>IF(G12&lt;&gt;"",G12,"")</f>
        <v>02-01-10 РТС</v>
      </c>
      <c r="H251" s="3">
        <v>0</v>
      </c>
      <c r="I251" s="3"/>
      <c r="J251" s="3"/>
      <c r="K251" s="3"/>
      <c r="L251" s="3"/>
      <c r="M251" s="3"/>
      <c r="N251" s="3"/>
      <c r="O251" s="3">
        <f t="shared" ref="O251:T251" si="176">ROUND(O221,2)</f>
        <v>192447.83</v>
      </c>
      <c r="P251" s="3">
        <f t="shared" si="176"/>
        <v>190510.95</v>
      </c>
      <c r="Q251" s="3">
        <f t="shared" si="176"/>
        <v>157.38</v>
      </c>
      <c r="R251" s="3">
        <f t="shared" si="176"/>
        <v>18.010000000000002</v>
      </c>
      <c r="S251" s="3">
        <f t="shared" si="176"/>
        <v>1779.5</v>
      </c>
      <c r="T251" s="3">
        <f t="shared" si="176"/>
        <v>0</v>
      </c>
      <c r="U251" s="3">
        <f>U221</f>
        <v>138.52903130000001</v>
      </c>
      <c r="V251" s="3">
        <f>V221</f>
        <v>0</v>
      </c>
      <c r="W251" s="3">
        <f>ROUND(W221,2)</f>
        <v>0</v>
      </c>
      <c r="X251" s="3">
        <f>ROUND(X221,2)</f>
        <v>1712.81</v>
      </c>
      <c r="Y251" s="3">
        <f>ROUND(Y221,2)</f>
        <v>917.25</v>
      </c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>
        <f t="shared" ref="AO251:BD251" si="177">ROUND(AO221,2)</f>
        <v>0</v>
      </c>
      <c r="AP251" s="3">
        <f t="shared" si="177"/>
        <v>178043.75</v>
      </c>
      <c r="AQ251" s="3">
        <f t="shared" si="177"/>
        <v>0</v>
      </c>
      <c r="AR251" s="3">
        <f t="shared" si="177"/>
        <v>195077.89</v>
      </c>
      <c r="AS251" s="3">
        <f t="shared" si="177"/>
        <v>0</v>
      </c>
      <c r="AT251" s="3">
        <f t="shared" si="177"/>
        <v>17034.14</v>
      </c>
      <c r="AU251" s="3">
        <f t="shared" si="177"/>
        <v>0</v>
      </c>
      <c r="AV251" s="3">
        <f t="shared" si="177"/>
        <v>190510.95</v>
      </c>
      <c r="AW251" s="3">
        <f t="shared" si="177"/>
        <v>12467.2</v>
      </c>
      <c r="AX251" s="3">
        <f t="shared" si="177"/>
        <v>0</v>
      </c>
      <c r="AY251" s="3">
        <f t="shared" si="177"/>
        <v>12467.2</v>
      </c>
      <c r="AZ251" s="3">
        <f t="shared" si="177"/>
        <v>178043.75</v>
      </c>
      <c r="BA251" s="3">
        <f t="shared" si="177"/>
        <v>0</v>
      </c>
      <c r="BB251" s="3">
        <f t="shared" si="177"/>
        <v>0</v>
      </c>
      <c r="BC251" s="3">
        <f t="shared" si="177"/>
        <v>0</v>
      </c>
      <c r="BD251" s="3">
        <f t="shared" si="177"/>
        <v>0</v>
      </c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4">
        <f t="shared" ref="DG251:DL251" si="178">ROUND(DG221,2)</f>
        <v>1572856.39</v>
      </c>
      <c r="DH251" s="4">
        <f t="shared" si="178"/>
        <v>1472575.44</v>
      </c>
      <c r="DI251" s="4">
        <f t="shared" si="178"/>
        <v>2426.25</v>
      </c>
      <c r="DJ251" s="4">
        <f t="shared" si="178"/>
        <v>990.38</v>
      </c>
      <c r="DK251" s="4">
        <f t="shared" si="178"/>
        <v>97854.7</v>
      </c>
      <c r="DL251" s="4">
        <f t="shared" si="178"/>
        <v>0</v>
      </c>
      <c r="DM251" s="4">
        <f>DM221</f>
        <v>138.52903130000001</v>
      </c>
      <c r="DN251" s="4">
        <f>DN221</f>
        <v>0</v>
      </c>
      <c r="DO251" s="4">
        <f>ROUND(DO221,2)</f>
        <v>0</v>
      </c>
      <c r="DP251" s="4">
        <f>ROUND(DP221,2)</f>
        <v>94186.89</v>
      </c>
      <c r="DQ251" s="4">
        <f>ROUND(DQ221,2)</f>
        <v>50439.94</v>
      </c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>
        <f t="shared" ref="EG251:EV251" si="179">ROUND(EG221,2)</f>
        <v>0</v>
      </c>
      <c r="EH251" s="4">
        <f t="shared" si="179"/>
        <v>1364277.16</v>
      </c>
      <c r="EI251" s="4">
        <f t="shared" si="179"/>
        <v>0</v>
      </c>
      <c r="EJ251" s="4">
        <f t="shared" si="179"/>
        <v>1717483.22</v>
      </c>
      <c r="EK251" s="4">
        <f t="shared" si="179"/>
        <v>0</v>
      </c>
      <c r="EL251" s="4">
        <f t="shared" si="179"/>
        <v>353206.06</v>
      </c>
      <c r="EM251" s="4">
        <f t="shared" si="179"/>
        <v>0</v>
      </c>
      <c r="EN251" s="4">
        <f t="shared" si="179"/>
        <v>1472575.44</v>
      </c>
      <c r="EO251" s="4">
        <f t="shared" si="179"/>
        <v>108298.28</v>
      </c>
      <c r="EP251" s="4">
        <f t="shared" si="179"/>
        <v>0</v>
      </c>
      <c r="EQ251" s="4">
        <f t="shared" si="179"/>
        <v>108298.28</v>
      </c>
      <c r="ER251" s="4">
        <f t="shared" si="179"/>
        <v>1364277.16</v>
      </c>
      <c r="ES251" s="4">
        <f t="shared" si="179"/>
        <v>0</v>
      </c>
      <c r="ET251" s="4">
        <f t="shared" si="179"/>
        <v>0</v>
      </c>
      <c r="EU251" s="4">
        <f t="shared" si="179"/>
        <v>0</v>
      </c>
      <c r="EV251" s="4">
        <f t="shared" si="179"/>
        <v>0</v>
      </c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>
        <v>0</v>
      </c>
    </row>
    <row r="253" spans="1:206" x14ac:dyDescent="0.2">
      <c r="A253" s="5">
        <v>50</v>
      </c>
      <c r="B253" s="5">
        <v>0</v>
      </c>
      <c r="C253" s="5">
        <v>0</v>
      </c>
      <c r="D253" s="5">
        <v>1</v>
      </c>
      <c r="E253" s="5">
        <v>201</v>
      </c>
      <c r="F253" s="5">
        <f>ROUND(Source!O251,O253)</f>
        <v>192447.83</v>
      </c>
      <c r="G253" s="5" t="s">
        <v>76</v>
      </c>
      <c r="H253" s="5" t="s">
        <v>77</v>
      </c>
      <c r="I253" s="5"/>
      <c r="J253" s="5"/>
      <c r="K253" s="5">
        <v>201</v>
      </c>
      <c r="L253" s="5">
        <v>1</v>
      </c>
      <c r="M253" s="5">
        <v>3</v>
      </c>
      <c r="N253" s="5" t="s">
        <v>3</v>
      </c>
      <c r="O253" s="5">
        <v>2</v>
      </c>
      <c r="P253" s="5">
        <f>ROUND(Source!DG251,O253)</f>
        <v>1572856.39</v>
      </c>
      <c r="Q253" s="5"/>
      <c r="R253" s="5"/>
      <c r="S253" s="5"/>
      <c r="T253" s="5"/>
      <c r="U253" s="5"/>
      <c r="V253" s="5"/>
      <c r="W253" s="5">
        <v>192447.83</v>
      </c>
      <c r="X253" s="5">
        <v>1</v>
      </c>
      <c r="Y253" s="5">
        <v>192447.83</v>
      </c>
      <c r="Z253" s="5">
        <v>1572856.39</v>
      </c>
      <c r="AA253" s="5">
        <v>1</v>
      </c>
      <c r="AB253" s="5">
        <v>1572856.39</v>
      </c>
    </row>
    <row r="254" spans="1:206" x14ac:dyDescent="0.2">
      <c r="A254" s="5">
        <v>50</v>
      </c>
      <c r="B254" s="5">
        <v>0</v>
      </c>
      <c r="C254" s="5">
        <v>0</v>
      </c>
      <c r="D254" s="5">
        <v>1</v>
      </c>
      <c r="E254" s="5">
        <v>202</v>
      </c>
      <c r="F254" s="5">
        <f>ROUND(Source!P251,O254)</f>
        <v>190510.95</v>
      </c>
      <c r="G254" s="5" t="s">
        <v>78</v>
      </c>
      <c r="H254" s="5" t="s">
        <v>79</v>
      </c>
      <c r="I254" s="5"/>
      <c r="J254" s="5"/>
      <c r="K254" s="5">
        <v>202</v>
      </c>
      <c r="L254" s="5">
        <v>2</v>
      </c>
      <c r="M254" s="5">
        <v>3</v>
      </c>
      <c r="N254" s="5" t="s">
        <v>3</v>
      </c>
      <c r="O254" s="5">
        <v>2</v>
      </c>
      <c r="P254" s="5">
        <f>ROUND(Source!DH251,O254)</f>
        <v>1472575.44</v>
      </c>
      <c r="Q254" s="5"/>
      <c r="R254" s="5"/>
      <c r="S254" s="5"/>
      <c r="T254" s="5"/>
      <c r="U254" s="5"/>
      <c r="V254" s="5"/>
      <c r="W254" s="5">
        <v>190510.95</v>
      </c>
      <c r="X254" s="5">
        <v>1</v>
      </c>
      <c r="Y254" s="5">
        <v>190510.95</v>
      </c>
      <c r="Z254" s="5">
        <v>1472575.44</v>
      </c>
      <c r="AA254" s="5">
        <v>1</v>
      </c>
      <c r="AB254" s="5">
        <v>1472575.44</v>
      </c>
    </row>
    <row r="255" spans="1:206" x14ac:dyDescent="0.2">
      <c r="A255" s="5">
        <v>50</v>
      </c>
      <c r="B255" s="5">
        <v>0</v>
      </c>
      <c r="C255" s="5">
        <v>0</v>
      </c>
      <c r="D255" s="5">
        <v>1</v>
      </c>
      <c r="E255" s="5">
        <v>222</v>
      </c>
      <c r="F255" s="5">
        <f>ROUND(Source!AO251,O255)</f>
        <v>0</v>
      </c>
      <c r="G255" s="5" t="s">
        <v>80</v>
      </c>
      <c r="H255" s="5" t="s">
        <v>81</v>
      </c>
      <c r="I255" s="5"/>
      <c r="J255" s="5"/>
      <c r="K255" s="5">
        <v>222</v>
      </c>
      <c r="L255" s="5">
        <v>3</v>
      </c>
      <c r="M255" s="5">
        <v>3</v>
      </c>
      <c r="N255" s="5" t="s">
        <v>3</v>
      </c>
      <c r="O255" s="5">
        <v>2</v>
      </c>
      <c r="P255" s="5">
        <f>ROUND(Source!EG251,O255)</f>
        <v>0</v>
      </c>
      <c r="Q255" s="5"/>
      <c r="R255" s="5"/>
      <c r="S255" s="5"/>
      <c r="T255" s="5"/>
      <c r="U255" s="5"/>
      <c r="V255" s="5"/>
      <c r="W255" s="5">
        <v>0</v>
      </c>
      <c r="X255" s="5">
        <v>1</v>
      </c>
      <c r="Y255" s="5">
        <v>0</v>
      </c>
      <c r="Z255" s="5">
        <v>0</v>
      </c>
      <c r="AA255" s="5">
        <v>1</v>
      </c>
      <c r="AB255" s="5">
        <v>0</v>
      </c>
    </row>
    <row r="256" spans="1:206" x14ac:dyDescent="0.2">
      <c r="A256" s="5">
        <v>50</v>
      </c>
      <c r="B256" s="5">
        <v>0</v>
      </c>
      <c r="C256" s="5">
        <v>0</v>
      </c>
      <c r="D256" s="5">
        <v>1</v>
      </c>
      <c r="E256" s="5">
        <v>225</v>
      </c>
      <c r="F256" s="5">
        <f>ROUND(Source!AV251,O256)</f>
        <v>190510.95</v>
      </c>
      <c r="G256" s="5" t="s">
        <v>82</v>
      </c>
      <c r="H256" s="5" t="s">
        <v>83</v>
      </c>
      <c r="I256" s="5"/>
      <c r="J256" s="5"/>
      <c r="K256" s="5">
        <v>225</v>
      </c>
      <c r="L256" s="5">
        <v>4</v>
      </c>
      <c r="M256" s="5">
        <v>3</v>
      </c>
      <c r="N256" s="5" t="s">
        <v>3</v>
      </c>
      <c r="O256" s="5">
        <v>2</v>
      </c>
      <c r="P256" s="5">
        <f>ROUND(Source!EN251,O256)</f>
        <v>1472575.44</v>
      </c>
      <c r="Q256" s="5"/>
      <c r="R256" s="5"/>
      <c r="S256" s="5"/>
      <c r="T256" s="5"/>
      <c r="U256" s="5"/>
      <c r="V256" s="5"/>
      <c r="W256" s="5">
        <v>190510.95</v>
      </c>
      <c r="X256" s="5">
        <v>1</v>
      </c>
      <c r="Y256" s="5">
        <v>190510.95</v>
      </c>
      <c r="Z256" s="5">
        <v>1472575.44</v>
      </c>
      <c r="AA256" s="5">
        <v>1</v>
      </c>
      <c r="AB256" s="5">
        <v>1472575.44</v>
      </c>
    </row>
    <row r="257" spans="1:28" x14ac:dyDescent="0.2">
      <c r="A257" s="5">
        <v>50</v>
      </c>
      <c r="B257" s="5">
        <v>0</v>
      </c>
      <c r="C257" s="5">
        <v>0</v>
      </c>
      <c r="D257" s="5">
        <v>1</v>
      </c>
      <c r="E257" s="5">
        <v>226</v>
      </c>
      <c r="F257" s="5">
        <f>ROUND(Source!AW251,O257)</f>
        <v>12467.2</v>
      </c>
      <c r="G257" s="5" t="s">
        <v>84</v>
      </c>
      <c r="H257" s="5" t="s">
        <v>85</v>
      </c>
      <c r="I257" s="5"/>
      <c r="J257" s="5"/>
      <c r="K257" s="5">
        <v>226</v>
      </c>
      <c r="L257" s="5">
        <v>5</v>
      </c>
      <c r="M257" s="5">
        <v>3</v>
      </c>
      <c r="N257" s="5" t="s">
        <v>3</v>
      </c>
      <c r="O257" s="5">
        <v>2</v>
      </c>
      <c r="P257" s="5">
        <f>ROUND(Source!EO251,O257)</f>
        <v>108298.28</v>
      </c>
      <c r="Q257" s="5"/>
      <c r="R257" s="5"/>
      <c r="S257" s="5"/>
      <c r="T257" s="5"/>
      <c r="U257" s="5"/>
      <c r="V257" s="5"/>
      <c r="W257" s="5">
        <v>12467.2</v>
      </c>
      <c r="X257" s="5">
        <v>1</v>
      </c>
      <c r="Y257" s="5">
        <v>12467.2</v>
      </c>
      <c r="Z257" s="5">
        <v>108298.28</v>
      </c>
      <c r="AA257" s="5">
        <v>1</v>
      </c>
      <c r="AB257" s="5">
        <v>108298.28</v>
      </c>
    </row>
    <row r="258" spans="1:28" x14ac:dyDescent="0.2">
      <c r="A258" s="5">
        <v>50</v>
      </c>
      <c r="B258" s="5">
        <v>0</v>
      </c>
      <c r="C258" s="5">
        <v>0</v>
      </c>
      <c r="D258" s="5">
        <v>1</v>
      </c>
      <c r="E258" s="5">
        <v>227</v>
      </c>
      <c r="F258" s="5">
        <f>ROUND(Source!AX251,O258)</f>
        <v>0</v>
      </c>
      <c r="G258" s="5" t="s">
        <v>86</v>
      </c>
      <c r="H258" s="5" t="s">
        <v>87</v>
      </c>
      <c r="I258" s="5"/>
      <c r="J258" s="5"/>
      <c r="K258" s="5">
        <v>227</v>
      </c>
      <c r="L258" s="5">
        <v>6</v>
      </c>
      <c r="M258" s="5">
        <v>3</v>
      </c>
      <c r="N258" s="5" t="s">
        <v>3</v>
      </c>
      <c r="O258" s="5">
        <v>2</v>
      </c>
      <c r="P258" s="5">
        <f>ROUND(Source!EP251,O258)</f>
        <v>0</v>
      </c>
      <c r="Q258" s="5"/>
      <c r="R258" s="5"/>
      <c r="S258" s="5"/>
      <c r="T258" s="5"/>
      <c r="U258" s="5"/>
      <c r="V258" s="5"/>
      <c r="W258" s="5">
        <v>0</v>
      </c>
      <c r="X258" s="5">
        <v>1</v>
      </c>
      <c r="Y258" s="5">
        <v>0</v>
      </c>
      <c r="Z258" s="5">
        <v>0</v>
      </c>
      <c r="AA258" s="5">
        <v>1</v>
      </c>
      <c r="AB258" s="5">
        <v>0</v>
      </c>
    </row>
    <row r="259" spans="1:28" x14ac:dyDescent="0.2">
      <c r="A259" s="5">
        <v>50</v>
      </c>
      <c r="B259" s="5">
        <v>0</v>
      </c>
      <c r="C259" s="5">
        <v>0</v>
      </c>
      <c r="D259" s="5">
        <v>1</v>
      </c>
      <c r="E259" s="5">
        <v>228</v>
      </c>
      <c r="F259" s="5">
        <f>ROUND(Source!AY251,O259)</f>
        <v>12467.2</v>
      </c>
      <c r="G259" s="5" t="s">
        <v>88</v>
      </c>
      <c r="H259" s="5" t="s">
        <v>89</v>
      </c>
      <c r="I259" s="5"/>
      <c r="J259" s="5"/>
      <c r="K259" s="5">
        <v>228</v>
      </c>
      <c r="L259" s="5">
        <v>7</v>
      </c>
      <c r="M259" s="5">
        <v>3</v>
      </c>
      <c r="N259" s="5" t="s">
        <v>3</v>
      </c>
      <c r="O259" s="5">
        <v>2</v>
      </c>
      <c r="P259" s="5">
        <f>ROUND(Source!EQ251,O259)</f>
        <v>108298.28</v>
      </c>
      <c r="Q259" s="5"/>
      <c r="R259" s="5"/>
      <c r="S259" s="5"/>
      <c r="T259" s="5"/>
      <c r="U259" s="5"/>
      <c r="V259" s="5"/>
      <c r="W259" s="5">
        <v>12467.2</v>
      </c>
      <c r="X259" s="5">
        <v>1</v>
      </c>
      <c r="Y259" s="5">
        <v>12467.2</v>
      </c>
      <c r="Z259" s="5">
        <v>108298.28</v>
      </c>
      <c r="AA259" s="5">
        <v>1</v>
      </c>
      <c r="AB259" s="5">
        <v>108298.28</v>
      </c>
    </row>
    <row r="260" spans="1:28" x14ac:dyDescent="0.2">
      <c r="A260" s="5">
        <v>50</v>
      </c>
      <c r="B260" s="5">
        <v>0</v>
      </c>
      <c r="C260" s="5">
        <v>0</v>
      </c>
      <c r="D260" s="5">
        <v>1</v>
      </c>
      <c r="E260" s="5">
        <v>216</v>
      </c>
      <c r="F260" s="5">
        <f>ROUND(Source!AP251,O260)</f>
        <v>178043.75</v>
      </c>
      <c r="G260" s="5" t="s">
        <v>90</v>
      </c>
      <c r="H260" s="5" t="s">
        <v>91</v>
      </c>
      <c r="I260" s="5"/>
      <c r="J260" s="5"/>
      <c r="K260" s="5">
        <v>216</v>
      </c>
      <c r="L260" s="5">
        <v>8</v>
      </c>
      <c r="M260" s="5">
        <v>3</v>
      </c>
      <c r="N260" s="5" t="s">
        <v>3</v>
      </c>
      <c r="O260" s="5">
        <v>2</v>
      </c>
      <c r="P260" s="5">
        <f>ROUND(Source!EH251,O260)</f>
        <v>1364277.16</v>
      </c>
      <c r="Q260" s="5"/>
      <c r="R260" s="5"/>
      <c r="S260" s="5"/>
      <c r="T260" s="5"/>
      <c r="U260" s="5"/>
      <c r="V260" s="5"/>
      <c r="W260" s="5">
        <v>178043.75</v>
      </c>
      <c r="X260" s="5">
        <v>1</v>
      </c>
      <c r="Y260" s="5">
        <v>178043.75</v>
      </c>
      <c r="Z260" s="5">
        <v>1364277.16</v>
      </c>
      <c r="AA260" s="5">
        <v>1</v>
      </c>
      <c r="AB260" s="5">
        <v>1364277.16</v>
      </c>
    </row>
    <row r="261" spans="1:28" x14ac:dyDescent="0.2">
      <c r="A261" s="5">
        <v>50</v>
      </c>
      <c r="B261" s="5">
        <v>0</v>
      </c>
      <c r="C261" s="5">
        <v>0</v>
      </c>
      <c r="D261" s="5">
        <v>1</v>
      </c>
      <c r="E261" s="5">
        <v>223</v>
      </c>
      <c r="F261" s="5">
        <f>ROUND(Source!AQ251,O261)</f>
        <v>0</v>
      </c>
      <c r="G261" s="5" t="s">
        <v>92</v>
      </c>
      <c r="H261" s="5" t="s">
        <v>93</v>
      </c>
      <c r="I261" s="5"/>
      <c r="J261" s="5"/>
      <c r="K261" s="5">
        <v>223</v>
      </c>
      <c r="L261" s="5">
        <v>9</v>
      </c>
      <c r="M261" s="5">
        <v>3</v>
      </c>
      <c r="N261" s="5" t="s">
        <v>3</v>
      </c>
      <c r="O261" s="5">
        <v>2</v>
      </c>
      <c r="P261" s="5">
        <f>ROUND(Source!EI251,O261)</f>
        <v>0</v>
      </c>
      <c r="Q261" s="5"/>
      <c r="R261" s="5"/>
      <c r="S261" s="5"/>
      <c r="T261" s="5"/>
      <c r="U261" s="5"/>
      <c r="V261" s="5"/>
      <c r="W261" s="5">
        <v>0</v>
      </c>
      <c r="X261" s="5">
        <v>1</v>
      </c>
      <c r="Y261" s="5">
        <v>0</v>
      </c>
      <c r="Z261" s="5">
        <v>0</v>
      </c>
      <c r="AA261" s="5">
        <v>1</v>
      </c>
      <c r="AB261" s="5">
        <v>0</v>
      </c>
    </row>
    <row r="262" spans="1:28" x14ac:dyDescent="0.2">
      <c r="A262" s="5">
        <v>50</v>
      </c>
      <c r="B262" s="5">
        <v>0</v>
      </c>
      <c r="C262" s="5">
        <v>0</v>
      </c>
      <c r="D262" s="5">
        <v>1</v>
      </c>
      <c r="E262" s="5">
        <v>229</v>
      </c>
      <c r="F262" s="5">
        <f>ROUND(Source!AZ251,O262)</f>
        <v>178043.75</v>
      </c>
      <c r="G262" s="5" t="s">
        <v>94</v>
      </c>
      <c r="H262" s="5" t="s">
        <v>95</v>
      </c>
      <c r="I262" s="5"/>
      <c r="J262" s="5"/>
      <c r="K262" s="5">
        <v>229</v>
      </c>
      <c r="L262" s="5">
        <v>10</v>
      </c>
      <c r="M262" s="5">
        <v>3</v>
      </c>
      <c r="N262" s="5" t="s">
        <v>3</v>
      </c>
      <c r="O262" s="5">
        <v>2</v>
      </c>
      <c r="P262" s="5">
        <f>ROUND(Source!ER251,O262)</f>
        <v>1364277.16</v>
      </c>
      <c r="Q262" s="5"/>
      <c r="R262" s="5"/>
      <c r="S262" s="5"/>
      <c r="T262" s="5"/>
      <c r="U262" s="5"/>
      <c r="V262" s="5"/>
      <c r="W262" s="5">
        <v>178043.75</v>
      </c>
      <c r="X262" s="5">
        <v>1</v>
      </c>
      <c r="Y262" s="5">
        <v>178043.75</v>
      </c>
      <c r="Z262" s="5">
        <v>1364277.16</v>
      </c>
      <c r="AA262" s="5">
        <v>1</v>
      </c>
      <c r="AB262" s="5">
        <v>1364277.16</v>
      </c>
    </row>
    <row r="263" spans="1:28" x14ac:dyDescent="0.2">
      <c r="A263" s="5">
        <v>50</v>
      </c>
      <c r="B263" s="5">
        <v>0</v>
      </c>
      <c r="C263" s="5">
        <v>0</v>
      </c>
      <c r="D263" s="5">
        <v>1</v>
      </c>
      <c r="E263" s="5">
        <v>203</v>
      </c>
      <c r="F263" s="5">
        <f>ROUND(Source!Q251,O263)</f>
        <v>157.38</v>
      </c>
      <c r="G263" s="5" t="s">
        <v>96</v>
      </c>
      <c r="H263" s="5" t="s">
        <v>97</v>
      </c>
      <c r="I263" s="5"/>
      <c r="J263" s="5"/>
      <c r="K263" s="5">
        <v>203</v>
      </c>
      <c r="L263" s="5">
        <v>11</v>
      </c>
      <c r="M263" s="5">
        <v>3</v>
      </c>
      <c r="N263" s="5" t="s">
        <v>3</v>
      </c>
      <c r="O263" s="5">
        <v>2</v>
      </c>
      <c r="P263" s="5">
        <f>ROUND(Source!DI251,O263)</f>
        <v>2426.25</v>
      </c>
      <c r="Q263" s="5"/>
      <c r="R263" s="5"/>
      <c r="S263" s="5"/>
      <c r="T263" s="5"/>
      <c r="U263" s="5"/>
      <c r="V263" s="5"/>
      <c r="W263" s="5">
        <v>157.38</v>
      </c>
      <c r="X263" s="5">
        <v>1</v>
      </c>
      <c r="Y263" s="5">
        <v>157.38</v>
      </c>
      <c r="Z263" s="5">
        <v>2426.25</v>
      </c>
      <c r="AA263" s="5">
        <v>1</v>
      </c>
      <c r="AB263" s="5">
        <v>2426.25</v>
      </c>
    </row>
    <row r="264" spans="1:28" x14ac:dyDescent="0.2">
      <c r="A264" s="5">
        <v>50</v>
      </c>
      <c r="B264" s="5">
        <v>0</v>
      </c>
      <c r="C264" s="5">
        <v>0</v>
      </c>
      <c r="D264" s="5">
        <v>1</v>
      </c>
      <c r="E264" s="5">
        <v>231</v>
      </c>
      <c r="F264" s="5">
        <f>ROUND(Source!BB251,O264)</f>
        <v>0</v>
      </c>
      <c r="G264" s="5" t="s">
        <v>98</v>
      </c>
      <c r="H264" s="5" t="s">
        <v>99</v>
      </c>
      <c r="I264" s="5"/>
      <c r="J264" s="5"/>
      <c r="K264" s="5">
        <v>231</v>
      </c>
      <c r="L264" s="5">
        <v>12</v>
      </c>
      <c r="M264" s="5">
        <v>3</v>
      </c>
      <c r="N264" s="5" t="s">
        <v>3</v>
      </c>
      <c r="O264" s="5">
        <v>2</v>
      </c>
      <c r="P264" s="5">
        <f>ROUND(Source!ET251,O264)</f>
        <v>0</v>
      </c>
      <c r="Q264" s="5"/>
      <c r="R264" s="5"/>
      <c r="S264" s="5"/>
      <c r="T264" s="5"/>
      <c r="U264" s="5"/>
      <c r="V264" s="5"/>
      <c r="W264" s="5">
        <v>0</v>
      </c>
      <c r="X264" s="5">
        <v>1</v>
      </c>
      <c r="Y264" s="5">
        <v>0</v>
      </c>
      <c r="Z264" s="5">
        <v>0</v>
      </c>
      <c r="AA264" s="5">
        <v>1</v>
      </c>
      <c r="AB264" s="5">
        <v>0</v>
      </c>
    </row>
    <row r="265" spans="1:28" x14ac:dyDescent="0.2">
      <c r="A265" s="5">
        <v>50</v>
      </c>
      <c r="B265" s="5">
        <v>0</v>
      </c>
      <c r="C265" s="5">
        <v>0</v>
      </c>
      <c r="D265" s="5">
        <v>1</v>
      </c>
      <c r="E265" s="5">
        <v>204</v>
      </c>
      <c r="F265" s="5">
        <f>ROUND(Source!R251,O265)</f>
        <v>18.010000000000002</v>
      </c>
      <c r="G265" s="5" t="s">
        <v>100</v>
      </c>
      <c r="H265" s="5" t="s">
        <v>101</v>
      </c>
      <c r="I265" s="5"/>
      <c r="J265" s="5"/>
      <c r="K265" s="5">
        <v>204</v>
      </c>
      <c r="L265" s="5">
        <v>13</v>
      </c>
      <c r="M265" s="5">
        <v>3</v>
      </c>
      <c r="N265" s="5" t="s">
        <v>3</v>
      </c>
      <c r="O265" s="5">
        <v>2</v>
      </c>
      <c r="P265" s="5">
        <f>ROUND(Source!DJ251,O265)</f>
        <v>990.38</v>
      </c>
      <c r="Q265" s="5"/>
      <c r="R265" s="5"/>
      <c r="S265" s="5"/>
      <c r="T265" s="5"/>
      <c r="U265" s="5"/>
      <c r="V265" s="5"/>
      <c r="W265" s="5">
        <v>18.010000000000002</v>
      </c>
      <c r="X265" s="5">
        <v>1</v>
      </c>
      <c r="Y265" s="5">
        <v>18.010000000000002</v>
      </c>
      <c r="Z265" s="5">
        <v>990.38</v>
      </c>
      <c r="AA265" s="5">
        <v>1</v>
      </c>
      <c r="AB265" s="5">
        <v>990.38</v>
      </c>
    </row>
    <row r="266" spans="1:28" x14ac:dyDescent="0.2">
      <c r="A266" s="5">
        <v>50</v>
      </c>
      <c r="B266" s="5">
        <v>0</v>
      </c>
      <c r="C266" s="5">
        <v>0</v>
      </c>
      <c r="D266" s="5">
        <v>1</v>
      </c>
      <c r="E266" s="5">
        <v>205</v>
      </c>
      <c r="F266" s="5">
        <f>ROUND(Source!S251,O266)</f>
        <v>1779.5</v>
      </c>
      <c r="G266" s="5" t="s">
        <v>102</v>
      </c>
      <c r="H266" s="5" t="s">
        <v>103</v>
      </c>
      <c r="I266" s="5"/>
      <c r="J266" s="5"/>
      <c r="K266" s="5">
        <v>205</v>
      </c>
      <c r="L266" s="5">
        <v>14</v>
      </c>
      <c r="M266" s="5">
        <v>3</v>
      </c>
      <c r="N266" s="5" t="s">
        <v>3</v>
      </c>
      <c r="O266" s="5">
        <v>2</v>
      </c>
      <c r="P266" s="5">
        <f>ROUND(Source!DK251,O266)</f>
        <v>97854.7</v>
      </c>
      <c r="Q266" s="5"/>
      <c r="R266" s="5"/>
      <c r="S266" s="5"/>
      <c r="T266" s="5"/>
      <c r="U266" s="5"/>
      <c r="V266" s="5"/>
      <c r="W266" s="5">
        <v>1779.5</v>
      </c>
      <c r="X266" s="5">
        <v>1</v>
      </c>
      <c r="Y266" s="5">
        <v>1779.5</v>
      </c>
      <c r="Z266" s="5">
        <v>97854.7</v>
      </c>
      <c r="AA266" s="5">
        <v>1</v>
      </c>
      <c r="AB266" s="5">
        <v>97854.7</v>
      </c>
    </row>
    <row r="267" spans="1:28" x14ac:dyDescent="0.2">
      <c r="A267" s="5">
        <v>50</v>
      </c>
      <c r="B267" s="5">
        <v>0</v>
      </c>
      <c r="C267" s="5">
        <v>0</v>
      </c>
      <c r="D267" s="5">
        <v>1</v>
      </c>
      <c r="E267" s="5">
        <v>232</v>
      </c>
      <c r="F267" s="5">
        <f>ROUND(Source!BC251,O267)</f>
        <v>0</v>
      </c>
      <c r="G267" s="5" t="s">
        <v>104</v>
      </c>
      <c r="H267" s="5" t="s">
        <v>105</v>
      </c>
      <c r="I267" s="5"/>
      <c r="J267" s="5"/>
      <c r="K267" s="5">
        <v>232</v>
      </c>
      <c r="L267" s="5">
        <v>15</v>
      </c>
      <c r="M267" s="5">
        <v>3</v>
      </c>
      <c r="N267" s="5" t="s">
        <v>3</v>
      </c>
      <c r="O267" s="5">
        <v>2</v>
      </c>
      <c r="P267" s="5">
        <f>ROUND(Source!EU251,O267)</f>
        <v>0</v>
      </c>
      <c r="Q267" s="5"/>
      <c r="R267" s="5"/>
      <c r="S267" s="5"/>
      <c r="T267" s="5"/>
      <c r="U267" s="5"/>
      <c r="V267" s="5"/>
      <c r="W267" s="5">
        <v>0</v>
      </c>
      <c r="X267" s="5">
        <v>1</v>
      </c>
      <c r="Y267" s="5">
        <v>0</v>
      </c>
      <c r="Z267" s="5">
        <v>0</v>
      </c>
      <c r="AA267" s="5">
        <v>1</v>
      </c>
      <c r="AB267" s="5">
        <v>0</v>
      </c>
    </row>
    <row r="268" spans="1:28" x14ac:dyDescent="0.2">
      <c r="A268" s="5">
        <v>50</v>
      </c>
      <c r="B268" s="5">
        <v>0</v>
      </c>
      <c r="C268" s="5">
        <v>0</v>
      </c>
      <c r="D268" s="5">
        <v>1</v>
      </c>
      <c r="E268" s="5">
        <v>214</v>
      </c>
      <c r="F268" s="5">
        <f>ROUND(Source!AS251,O268)</f>
        <v>0</v>
      </c>
      <c r="G268" s="5" t="s">
        <v>106</v>
      </c>
      <c r="H268" s="5" t="s">
        <v>107</v>
      </c>
      <c r="I268" s="5"/>
      <c r="J268" s="5"/>
      <c r="K268" s="5">
        <v>214</v>
      </c>
      <c r="L268" s="5">
        <v>16</v>
      </c>
      <c r="M268" s="5">
        <v>3</v>
      </c>
      <c r="N268" s="5" t="s">
        <v>3</v>
      </c>
      <c r="O268" s="5">
        <v>2</v>
      </c>
      <c r="P268" s="5">
        <f>ROUND(Source!EK251,O268)</f>
        <v>0</v>
      </c>
      <c r="Q268" s="5"/>
      <c r="R268" s="5"/>
      <c r="S268" s="5"/>
      <c r="T268" s="5"/>
      <c r="U268" s="5"/>
      <c r="V268" s="5"/>
      <c r="W268" s="5">
        <v>0</v>
      </c>
      <c r="X268" s="5">
        <v>1</v>
      </c>
      <c r="Y268" s="5">
        <v>0</v>
      </c>
      <c r="Z268" s="5">
        <v>0</v>
      </c>
      <c r="AA268" s="5">
        <v>1</v>
      </c>
      <c r="AB268" s="5">
        <v>0</v>
      </c>
    </row>
    <row r="269" spans="1:28" x14ac:dyDescent="0.2">
      <c r="A269" s="5">
        <v>50</v>
      </c>
      <c r="B269" s="5">
        <v>0</v>
      </c>
      <c r="C269" s="5">
        <v>0</v>
      </c>
      <c r="D269" s="5">
        <v>1</v>
      </c>
      <c r="E269" s="5">
        <v>215</v>
      </c>
      <c r="F269" s="5">
        <f>ROUND(Source!AT251,O269)</f>
        <v>17034.14</v>
      </c>
      <c r="G269" s="5" t="s">
        <v>108</v>
      </c>
      <c r="H269" s="5" t="s">
        <v>109</v>
      </c>
      <c r="I269" s="5"/>
      <c r="J269" s="5"/>
      <c r="K269" s="5">
        <v>215</v>
      </c>
      <c r="L269" s="5">
        <v>17</v>
      </c>
      <c r="M269" s="5">
        <v>3</v>
      </c>
      <c r="N269" s="5" t="s">
        <v>3</v>
      </c>
      <c r="O269" s="5">
        <v>2</v>
      </c>
      <c r="P269" s="5">
        <f>ROUND(Source!EL251,O269)</f>
        <v>353206.06</v>
      </c>
      <c r="Q269" s="5"/>
      <c r="R269" s="5"/>
      <c r="S269" s="5"/>
      <c r="T269" s="5"/>
      <c r="U269" s="5"/>
      <c r="V269" s="5"/>
      <c r="W269" s="5">
        <v>17034.14</v>
      </c>
      <c r="X269" s="5">
        <v>1</v>
      </c>
      <c r="Y269" s="5">
        <v>17034.14</v>
      </c>
      <c r="Z269" s="5">
        <v>353206.06</v>
      </c>
      <c r="AA269" s="5">
        <v>1</v>
      </c>
      <c r="AB269" s="5">
        <v>353206.06</v>
      </c>
    </row>
    <row r="270" spans="1:28" x14ac:dyDescent="0.2">
      <c r="A270" s="5">
        <v>50</v>
      </c>
      <c r="B270" s="5">
        <v>0</v>
      </c>
      <c r="C270" s="5">
        <v>0</v>
      </c>
      <c r="D270" s="5">
        <v>1</v>
      </c>
      <c r="E270" s="5">
        <v>217</v>
      </c>
      <c r="F270" s="5">
        <f>ROUND(Source!AU251,O270)</f>
        <v>0</v>
      </c>
      <c r="G270" s="5" t="s">
        <v>110</v>
      </c>
      <c r="H270" s="5" t="s">
        <v>111</v>
      </c>
      <c r="I270" s="5"/>
      <c r="J270" s="5"/>
      <c r="K270" s="5">
        <v>217</v>
      </c>
      <c r="L270" s="5">
        <v>18</v>
      </c>
      <c r="M270" s="5">
        <v>3</v>
      </c>
      <c r="N270" s="5" t="s">
        <v>3</v>
      </c>
      <c r="O270" s="5">
        <v>2</v>
      </c>
      <c r="P270" s="5">
        <f>ROUND(Source!EM251,O270)</f>
        <v>0</v>
      </c>
      <c r="Q270" s="5"/>
      <c r="R270" s="5"/>
      <c r="S270" s="5"/>
      <c r="T270" s="5"/>
      <c r="U270" s="5"/>
      <c r="V270" s="5"/>
      <c r="W270" s="5">
        <v>0</v>
      </c>
      <c r="X270" s="5">
        <v>1</v>
      </c>
      <c r="Y270" s="5">
        <v>0</v>
      </c>
      <c r="Z270" s="5">
        <v>0</v>
      </c>
      <c r="AA270" s="5">
        <v>1</v>
      </c>
      <c r="AB270" s="5">
        <v>0</v>
      </c>
    </row>
    <row r="271" spans="1:28" x14ac:dyDescent="0.2">
      <c r="A271" s="5">
        <v>50</v>
      </c>
      <c r="B271" s="5">
        <v>0</v>
      </c>
      <c r="C271" s="5">
        <v>0</v>
      </c>
      <c r="D271" s="5">
        <v>1</v>
      </c>
      <c r="E271" s="5">
        <v>230</v>
      </c>
      <c r="F271" s="5">
        <f>ROUND(Source!BA251,O271)</f>
        <v>0</v>
      </c>
      <c r="G271" s="5" t="s">
        <v>112</v>
      </c>
      <c r="H271" s="5" t="s">
        <v>113</v>
      </c>
      <c r="I271" s="5"/>
      <c r="J271" s="5"/>
      <c r="K271" s="5">
        <v>230</v>
      </c>
      <c r="L271" s="5">
        <v>19</v>
      </c>
      <c r="M271" s="5">
        <v>3</v>
      </c>
      <c r="N271" s="5" t="s">
        <v>3</v>
      </c>
      <c r="O271" s="5">
        <v>2</v>
      </c>
      <c r="P271" s="5">
        <f>ROUND(Source!ES251,O271)</f>
        <v>0</v>
      </c>
      <c r="Q271" s="5"/>
      <c r="R271" s="5"/>
      <c r="S271" s="5"/>
      <c r="T271" s="5"/>
      <c r="U271" s="5"/>
      <c r="V271" s="5"/>
      <c r="W271" s="5">
        <v>0</v>
      </c>
      <c r="X271" s="5">
        <v>1</v>
      </c>
      <c r="Y271" s="5">
        <v>0</v>
      </c>
      <c r="Z271" s="5">
        <v>0</v>
      </c>
      <c r="AA271" s="5">
        <v>1</v>
      </c>
      <c r="AB271" s="5">
        <v>0</v>
      </c>
    </row>
    <row r="272" spans="1:28" x14ac:dyDescent="0.2">
      <c r="A272" s="5">
        <v>50</v>
      </c>
      <c r="B272" s="5">
        <v>0</v>
      </c>
      <c r="C272" s="5">
        <v>0</v>
      </c>
      <c r="D272" s="5">
        <v>1</v>
      </c>
      <c r="E272" s="5">
        <v>206</v>
      </c>
      <c r="F272" s="5">
        <f>ROUND(Source!T251,O272)</f>
        <v>0</v>
      </c>
      <c r="G272" s="5" t="s">
        <v>114</v>
      </c>
      <c r="H272" s="5" t="s">
        <v>115</v>
      </c>
      <c r="I272" s="5"/>
      <c r="J272" s="5"/>
      <c r="K272" s="5">
        <v>206</v>
      </c>
      <c r="L272" s="5">
        <v>20</v>
      </c>
      <c r="M272" s="5">
        <v>3</v>
      </c>
      <c r="N272" s="5" t="s">
        <v>3</v>
      </c>
      <c r="O272" s="5">
        <v>2</v>
      </c>
      <c r="P272" s="5">
        <f>ROUND(Source!DL251,O272)</f>
        <v>0</v>
      </c>
      <c r="Q272" s="5"/>
      <c r="R272" s="5"/>
      <c r="S272" s="5"/>
      <c r="T272" s="5"/>
      <c r="U272" s="5"/>
      <c r="V272" s="5"/>
      <c r="W272" s="5">
        <v>0</v>
      </c>
      <c r="X272" s="5">
        <v>1</v>
      </c>
      <c r="Y272" s="5">
        <v>0</v>
      </c>
      <c r="Z272" s="5">
        <v>0</v>
      </c>
      <c r="AA272" s="5">
        <v>1</v>
      </c>
      <c r="AB272" s="5">
        <v>0</v>
      </c>
    </row>
    <row r="273" spans="1:28" x14ac:dyDescent="0.2">
      <c r="A273" s="5">
        <v>50</v>
      </c>
      <c r="B273" s="5">
        <v>0</v>
      </c>
      <c r="C273" s="5">
        <v>0</v>
      </c>
      <c r="D273" s="5">
        <v>1</v>
      </c>
      <c r="E273" s="5">
        <v>207</v>
      </c>
      <c r="F273" s="5">
        <f>Source!U251</f>
        <v>138.52903130000001</v>
      </c>
      <c r="G273" s="5" t="s">
        <v>116</v>
      </c>
      <c r="H273" s="5" t="s">
        <v>117</v>
      </c>
      <c r="I273" s="5"/>
      <c r="J273" s="5"/>
      <c r="K273" s="5">
        <v>207</v>
      </c>
      <c r="L273" s="5">
        <v>21</v>
      </c>
      <c r="M273" s="5">
        <v>3</v>
      </c>
      <c r="N273" s="5" t="s">
        <v>3</v>
      </c>
      <c r="O273" s="5">
        <v>-1</v>
      </c>
      <c r="P273" s="5">
        <f>Source!DM251</f>
        <v>138.52903130000001</v>
      </c>
      <c r="Q273" s="5"/>
      <c r="R273" s="5"/>
      <c r="S273" s="5"/>
      <c r="T273" s="5"/>
      <c r="U273" s="5"/>
      <c r="V273" s="5"/>
      <c r="W273" s="5">
        <v>138.52903130000001</v>
      </c>
      <c r="X273" s="5">
        <v>1</v>
      </c>
      <c r="Y273" s="5">
        <v>138.52903130000001</v>
      </c>
      <c r="Z273" s="5">
        <v>138.52903130000001</v>
      </c>
      <c r="AA273" s="5">
        <v>1</v>
      </c>
      <c r="AB273" s="5">
        <v>138.52903130000001</v>
      </c>
    </row>
    <row r="274" spans="1:28" x14ac:dyDescent="0.2">
      <c r="A274" s="5">
        <v>50</v>
      </c>
      <c r="B274" s="5">
        <v>0</v>
      </c>
      <c r="C274" s="5">
        <v>0</v>
      </c>
      <c r="D274" s="5">
        <v>1</v>
      </c>
      <c r="E274" s="5">
        <v>208</v>
      </c>
      <c r="F274" s="5">
        <f>Source!V251</f>
        <v>0</v>
      </c>
      <c r="G274" s="5" t="s">
        <v>118</v>
      </c>
      <c r="H274" s="5" t="s">
        <v>119</v>
      </c>
      <c r="I274" s="5"/>
      <c r="J274" s="5"/>
      <c r="K274" s="5">
        <v>208</v>
      </c>
      <c r="L274" s="5">
        <v>22</v>
      </c>
      <c r="M274" s="5">
        <v>3</v>
      </c>
      <c r="N274" s="5" t="s">
        <v>3</v>
      </c>
      <c r="O274" s="5">
        <v>-1</v>
      </c>
      <c r="P274" s="5">
        <f>Source!DN251</f>
        <v>0</v>
      </c>
      <c r="Q274" s="5"/>
      <c r="R274" s="5"/>
      <c r="S274" s="5"/>
      <c r="T274" s="5"/>
      <c r="U274" s="5"/>
      <c r="V274" s="5"/>
      <c r="W274" s="5">
        <v>0</v>
      </c>
      <c r="X274" s="5">
        <v>1</v>
      </c>
      <c r="Y274" s="5">
        <v>0</v>
      </c>
      <c r="Z274" s="5">
        <v>0</v>
      </c>
      <c r="AA274" s="5">
        <v>1</v>
      </c>
      <c r="AB274" s="5">
        <v>0</v>
      </c>
    </row>
    <row r="275" spans="1:28" x14ac:dyDescent="0.2">
      <c r="A275" s="5">
        <v>50</v>
      </c>
      <c r="B275" s="5">
        <v>0</v>
      </c>
      <c r="C275" s="5">
        <v>0</v>
      </c>
      <c r="D275" s="5">
        <v>1</v>
      </c>
      <c r="E275" s="5">
        <v>209</v>
      </c>
      <c r="F275" s="5">
        <f>ROUND(Source!W251,O275)</f>
        <v>0</v>
      </c>
      <c r="G275" s="5" t="s">
        <v>120</v>
      </c>
      <c r="H275" s="5" t="s">
        <v>121</v>
      </c>
      <c r="I275" s="5"/>
      <c r="J275" s="5"/>
      <c r="K275" s="5">
        <v>209</v>
      </c>
      <c r="L275" s="5">
        <v>23</v>
      </c>
      <c r="M275" s="5">
        <v>3</v>
      </c>
      <c r="N275" s="5" t="s">
        <v>3</v>
      </c>
      <c r="O275" s="5">
        <v>2</v>
      </c>
      <c r="P275" s="5">
        <f>ROUND(Source!DO251,O275)</f>
        <v>0</v>
      </c>
      <c r="Q275" s="5"/>
      <c r="R275" s="5"/>
      <c r="S275" s="5"/>
      <c r="T275" s="5"/>
      <c r="U275" s="5"/>
      <c r="V275" s="5"/>
      <c r="W275" s="5">
        <v>0</v>
      </c>
      <c r="X275" s="5">
        <v>1</v>
      </c>
      <c r="Y275" s="5">
        <v>0</v>
      </c>
      <c r="Z275" s="5">
        <v>0</v>
      </c>
      <c r="AA275" s="5">
        <v>1</v>
      </c>
      <c r="AB275" s="5">
        <v>0</v>
      </c>
    </row>
    <row r="276" spans="1:28" x14ac:dyDescent="0.2">
      <c r="A276" s="5">
        <v>50</v>
      </c>
      <c r="B276" s="5">
        <v>0</v>
      </c>
      <c r="C276" s="5">
        <v>0</v>
      </c>
      <c r="D276" s="5">
        <v>1</v>
      </c>
      <c r="E276" s="5">
        <v>233</v>
      </c>
      <c r="F276" s="5">
        <f>ROUND(Source!BD251,O276)</f>
        <v>0</v>
      </c>
      <c r="G276" s="5" t="s">
        <v>122</v>
      </c>
      <c r="H276" s="5" t="s">
        <v>123</v>
      </c>
      <c r="I276" s="5"/>
      <c r="J276" s="5"/>
      <c r="K276" s="5">
        <v>233</v>
      </c>
      <c r="L276" s="5">
        <v>24</v>
      </c>
      <c r="M276" s="5">
        <v>3</v>
      </c>
      <c r="N276" s="5" t="s">
        <v>3</v>
      </c>
      <c r="O276" s="5">
        <v>2</v>
      </c>
      <c r="P276" s="5">
        <f>ROUND(Source!EV251,O276)</f>
        <v>0</v>
      </c>
      <c r="Q276" s="5"/>
      <c r="R276" s="5"/>
      <c r="S276" s="5"/>
      <c r="T276" s="5"/>
      <c r="U276" s="5"/>
      <c r="V276" s="5"/>
      <c r="W276" s="5">
        <v>0</v>
      </c>
      <c r="X276" s="5">
        <v>1</v>
      </c>
      <c r="Y276" s="5">
        <v>0</v>
      </c>
      <c r="Z276" s="5">
        <v>0</v>
      </c>
      <c r="AA276" s="5">
        <v>1</v>
      </c>
      <c r="AB276" s="5">
        <v>0</v>
      </c>
    </row>
    <row r="277" spans="1:28" x14ac:dyDescent="0.2">
      <c r="A277" s="5">
        <v>50</v>
      </c>
      <c r="B277" s="5">
        <v>0</v>
      </c>
      <c r="C277" s="5">
        <v>0</v>
      </c>
      <c r="D277" s="5">
        <v>1</v>
      </c>
      <c r="E277" s="5">
        <v>210</v>
      </c>
      <c r="F277" s="5">
        <f>ROUND(Source!X251,O277)</f>
        <v>1712.81</v>
      </c>
      <c r="G277" s="5" t="s">
        <v>124</v>
      </c>
      <c r="H277" s="5" t="s">
        <v>125</v>
      </c>
      <c r="I277" s="5"/>
      <c r="J277" s="5"/>
      <c r="K277" s="5">
        <v>210</v>
      </c>
      <c r="L277" s="5">
        <v>25</v>
      </c>
      <c r="M277" s="5">
        <v>3</v>
      </c>
      <c r="N277" s="5" t="s">
        <v>3</v>
      </c>
      <c r="O277" s="5">
        <v>2</v>
      </c>
      <c r="P277" s="5">
        <f>ROUND(Source!DP251,O277)</f>
        <v>94186.89</v>
      </c>
      <c r="Q277" s="5"/>
      <c r="R277" s="5"/>
      <c r="S277" s="5"/>
      <c r="T277" s="5"/>
      <c r="U277" s="5"/>
      <c r="V277" s="5"/>
      <c r="W277" s="5">
        <v>1712.81</v>
      </c>
      <c r="X277" s="5">
        <v>1</v>
      </c>
      <c r="Y277" s="5">
        <v>1712.81</v>
      </c>
      <c r="Z277" s="5">
        <v>94186.89</v>
      </c>
      <c r="AA277" s="5">
        <v>1</v>
      </c>
      <c r="AB277" s="5">
        <v>94186.89</v>
      </c>
    </row>
    <row r="278" spans="1:28" x14ac:dyDescent="0.2">
      <c r="A278" s="5">
        <v>50</v>
      </c>
      <c r="B278" s="5">
        <v>0</v>
      </c>
      <c r="C278" s="5">
        <v>0</v>
      </c>
      <c r="D278" s="5">
        <v>1</v>
      </c>
      <c r="E278" s="5">
        <v>211</v>
      </c>
      <c r="F278" s="5">
        <f>ROUND(Source!Y251,O278)</f>
        <v>917.25</v>
      </c>
      <c r="G278" s="5" t="s">
        <v>126</v>
      </c>
      <c r="H278" s="5" t="s">
        <v>127</v>
      </c>
      <c r="I278" s="5"/>
      <c r="J278" s="5"/>
      <c r="K278" s="5">
        <v>211</v>
      </c>
      <c r="L278" s="5">
        <v>26</v>
      </c>
      <c r="M278" s="5">
        <v>3</v>
      </c>
      <c r="N278" s="5" t="s">
        <v>3</v>
      </c>
      <c r="O278" s="5">
        <v>2</v>
      </c>
      <c r="P278" s="5">
        <f>ROUND(Source!DQ251,O278)</f>
        <v>50439.94</v>
      </c>
      <c r="Q278" s="5"/>
      <c r="R278" s="5"/>
      <c r="S278" s="5"/>
      <c r="T278" s="5"/>
      <c r="U278" s="5"/>
      <c r="V278" s="5"/>
      <c r="W278" s="5">
        <v>917.25</v>
      </c>
      <c r="X278" s="5">
        <v>1</v>
      </c>
      <c r="Y278" s="5">
        <v>917.25</v>
      </c>
      <c r="Z278" s="5">
        <v>50439.94</v>
      </c>
      <c r="AA278" s="5">
        <v>1</v>
      </c>
      <c r="AB278" s="5">
        <v>50439.94</v>
      </c>
    </row>
    <row r="279" spans="1:28" x14ac:dyDescent="0.2">
      <c r="A279" s="5">
        <v>50</v>
      </c>
      <c r="B279" s="5">
        <v>0</v>
      </c>
      <c r="C279" s="5">
        <v>0</v>
      </c>
      <c r="D279" s="5">
        <v>1</v>
      </c>
      <c r="E279" s="5">
        <v>224</v>
      </c>
      <c r="F279" s="5">
        <f>ROUND(Source!AR251,O279)</f>
        <v>195077.89</v>
      </c>
      <c r="G279" s="5" t="s">
        <v>128</v>
      </c>
      <c r="H279" s="5" t="s">
        <v>129</v>
      </c>
      <c r="I279" s="5"/>
      <c r="J279" s="5"/>
      <c r="K279" s="5">
        <v>224</v>
      </c>
      <c r="L279" s="5">
        <v>27</v>
      </c>
      <c r="M279" s="5">
        <v>3</v>
      </c>
      <c r="N279" s="5" t="s">
        <v>3</v>
      </c>
      <c r="O279" s="5">
        <v>2</v>
      </c>
      <c r="P279" s="5">
        <f>ROUND(Source!EJ251,O279)</f>
        <v>1717483.22</v>
      </c>
      <c r="Q279" s="5"/>
      <c r="R279" s="5"/>
      <c r="S279" s="5"/>
      <c r="T279" s="5"/>
      <c r="U279" s="5"/>
      <c r="V279" s="5"/>
      <c r="W279" s="5">
        <v>195077.89</v>
      </c>
      <c r="X279" s="5">
        <v>1</v>
      </c>
      <c r="Y279" s="5">
        <v>195077.89</v>
      </c>
      <c r="Z279" s="5">
        <v>1717483.22</v>
      </c>
      <c r="AA279" s="5">
        <v>1</v>
      </c>
      <c r="AB279" s="5">
        <v>1717483.22</v>
      </c>
    </row>
    <row r="282" spans="1:28" x14ac:dyDescent="0.2">
      <c r="A282">
        <v>70</v>
      </c>
      <c r="B282">
        <v>1</v>
      </c>
      <c r="D282">
        <v>1</v>
      </c>
      <c r="E282" t="s">
        <v>275</v>
      </c>
      <c r="F282" t="s">
        <v>276</v>
      </c>
      <c r="G282">
        <v>0</v>
      </c>
      <c r="H282">
        <v>0</v>
      </c>
      <c r="I282" t="s">
        <v>3</v>
      </c>
      <c r="J282">
        <v>1</v>
      </c>
      <c r="K282">
        <v>0</v>
      </c>
      <c r="L282" t="s">
        <v>3</v>
      </c>
      <c r="M282" t="s">
        <v>3</v>
      </c>
      <c r="N282">
        <v>0</v>
      </c>
      <c r="O282">
        <v>0</v>
      </c>
      <c r="P282" t="s">
        <v>3</v>
      </c>
    </row>
    <row r="283" spans="1:28" x14ac:dyDescent="0.2">
      <c r="A283">
        <v>70</v>
      </c>
      <c r="B283">
        <v>1</v>
      </c>
      <c r="D283">
        <v>2</v>
      </c>
      <c r="E283" t="s">
        <v>277</v>
      </c>
      <c r="F283" t="s">
        <v>278</v>
      </c>
      <c r="G283">
        <v>1</v>
      </c>
      <c r="H283">
        <v>0</v>
      </c>
      <c r="I283" t="s">
        <v>3</v>
      </c>
      <c r="J283">
        <v>1</v>
      </c>
      <c r="K283">
        <v>0</v>
      </c>
      <c r="L283" t="s">
        <v>3</v>
      </c>
      <c r="M283" t="s">
        <v>3</v>
      </c>
      <c r="N283">
        <v>0</v>
      </c>
      <c r="O283">
        <v>1</v>
      </c>
      <c r="P283" t="s">
        <v>3</v>
      </c>
    </row>
    <row r="284" spans="1:28" x14ac:dyDescent="0.2">
      <c r="A284">
        <v>70</v>
      </c>
      <c r="B284">
        <v>1</v>
      </c>
      <c r="D284">
        <v>3</v>
      </c>
      <c r="E284" t="s">
        <v>279</v>
      </c>
      <c r="F284" t="s">
        <v>280</v>
      </c>
      <c r="G284">
        <v>1</v>
      </c>
      <c r="H284">
        <v>0</v>
      </c>
      <c r="I284" t="s">
        <v>3</v>
      </c>
      <c r="J284">
        <v>0</v>
      </c>
      <c r="K284">
        <v>0</v>
      </c>
      <c r="L284" t="s">
        <v>3</v>
      </c>
      <c r="M284" t="s">
        <v>3</v>
      </c>
      <c r="N284">
        <v>0</v>
      </c>
      <c r="O284">
        <v>1</v>
      </c>
      <c r="P284" t="s">
        <v>3</v>
      </c>
    </row>
    <row r="285" spans="1:28" x14ac:dyDescent="0.2">
      <c r="A285">
        <v>70</v>
      </c>
      <c r="B285">
        <v>1</v>
      </c>
      <c r="D285">
        <v>4</v>
      </c>
      <c r="E285" t="s">
        <v>281</v>
      </c>
      <c r="F285" t="s">
        <v>282</v>
      </c>
      <c r="G285">
        <v>1</v>
      </c>
      <c r="H285">
        <v>0</v>
      </c>
      <c r="I285" t="s">
        <v>3</v>
      </c>
      <c r="J285">
        <v>0</v>
      </c>
      <c r="K285">
        <v>0</v>
      </c>
      <c r="L285" t="s">
        <v>3</v>
      </c>
      <c r="M285" t="s">
        <v>3</v>
      </c>
      <c r="N285">
        <v>0</v>
      </c>
      <c r="O285">
        <v>1</v>
      </c>
      <c r="P285" t="s">
        <v>3</v>
      </c>
    </row>
    <row r="286" spans="1:28" x14ac:dyDescent="0.2">
      <c r="A286">
        <v>70</v>
      </c>
      <c r="B286">
        <v>1</v>
      </c>
      <c r="D286">
        <v>5</v>
      </c>
      <c r="E286" t="s">
        <v>283</v>
      </c>
      <c r="F286" t="s">
        <v>284</v>
      </c>
      <c r="G286">
        <v>0</v>
      </c>
      <c r="H286">
        <v>0</v>
      </c>
      <c r="I286" t="s">
        <v>3</v>
      </c>
      <c r="J286">
        <v>0</v>
      </c>
      <c r="K286">
        <v>0</v>
      </c>
      <c r="L286" t="s">
        <v>3</v>
      </c>
      <c r="M286" t="s">
        <v>3</v>
      </c>
      <c r="N286">
        <v>0</v>
      </c>
      <c r="O286">
        <v>0</v>
      </c>
      <c r="P286" t="s">
        <v>3</v>
      </c>
    </row>
    <row r="288" spans="1:28" x14ac:dyDescent="0.2">
      <c r="A288">
        <v>-1</v>
      </c>
    </row>
    <row r="290" spans="1:50" x14ac:dyDescent="0.2">
      <c r="A290" s="4">
        <v>75</v>
      </c>
      <c r="B290" s="4" t="s">
        <v>285</v>
      </c>
      <c r="C290" s="4">
        <v>2025</v>
      </c>
      <c r="D290" s="4">
        <v>3</v>
      </c>
      <c r="E290" s="4">
        <v>0</v>
      </c>
      <c r="F290" s="4"/>
      <c r="G290" s="4">
        <v>0</v>
      </c>
      <c r="H290" s="4">
        <v>1</v>
      </c>
      <c r="I290" s="4">
        <v>1</v>
      </c>
      <c r="J290" s="4">
        <v>3</v>
      </c>
      <c r="K290" s="4">
        <v>0</v>
      </c>
      <c r="L290" s="4">
        <v>0</v>
      </c>
      <c r="M290" s="4">
        <v>1</v>
      </c>
      <c r="N290" s="4">
        <v>60256982</v>
      </c>
      <c r="O290" s="4">
        <v>1</v>
      </c>
    </row>
    <row r="291" spans="1:50" x14ac:dyDescent="0.2">
      <c r="A291" s="6">
        <v>1</v>
      </c>
      <c r="B291" s="6" t="s">
        <v>286</v>
      </c>
      <c r="C291" s="6" t="s">
        <v>287</v>
      </c>
      <c r="D291" s="6">
        <v>2025</v>
      </c>
      <c r="E291" s="6">
        <v>9</v>
      </c>
      <c r="F291" s="6">
        <v>1</v>
      </c>
      <c r="G291" s="6">
        <v>1</v>
      </c>
      <c r="H291" s="6">
        <v>0</v>
      </c>
      <c r="I291" s="6">
        <v>2</v>
      </c>
      <c r="J291" s="6">
        <v>1</v>
      </c>
      <c r="K291" s="6">
        <v>9.8800000000000008</v>
      </c>
      <c r="L291" s="6">
        <v>7.66</v>
      </c>
      <c r="M291" s="6">
        <v>1</v>
      </c>
      <c r="N291" s="6">
        <v>1</v>
      </c>
      <c r="O291" s="6">
        <v>9.8800000000000008</v>
      </c>
      <c r="P291" s="6">
        <v>7.66</v>
      </c>
      <c r="Q291" s="6">
        <v>1</v>
      </c>
      <c r="R291" s="6" t="s">
        <v>3</v>
      </c>
      <c r="S291" s="6" t="s">
        <v>3</v>
      </c>
      <c r="T291" s="6" t="s">
        <v>3</v>
      </c>
      <c r="U291" s="6" t="s">
        <v>3</v>
      </c>
      <c r="V291" s="6" t="s">
        <v>3</v>
      </c>
      <c r="W291" s="6" t="s">
        <v>3</v>
      </c>
      <c r="X291" s="6" t="s">
        <v>3</v>
      </c>
      <c r="Y291" s="6" t="s">
        <v>3</v>
      </c>
      <c r="Z291" s="6" t="s">
        <v>3</v>
      </c>
      <c r="AA291" s="6" t="s">
        <v>288</v>
      </c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>
        <v>60256983</v>
      </c>
      <c r="AO291" s="6"/>
      <c r="AP291" s="6"/>
      <c r="AQ291" s="6"/>
      <c r="AR291" s="6"/>
      <c r="AS291" s="6"/>
      <c r="AT291" s="6"/>
      <c r="AU291" s="6"/>
      <c r="AV291" s="6"/>
      <c r="AW291" s="6"/>
      <c r="AX291" s="6"/>
    </row>
    <row r="292" spans="1:50" x14ac:dyDescent="0.2">
      <c r="A292" s="6">
        <v>1</v>
      </c>
      <c r="B292" s="6" t="s">
        <v>286</v>
      </c>
      <c r="C292" s="6" t="s">
        <v>289</v>
      </c>
      <c r="D292" s="6">
        <v>2025</v>
      </c>
      <c r="E292" s="6">
        <v>7</v>
      </c>
      <c r="F292" s="6">
        <v>1</v>
      </c>
      <c r="G292" s="6">
        <v>1</v>
      </c>
      <c r="H292" s="6">
        <v>0</v>
      </c>
      <c r="I292" s="6">
        <v>2</v>
      </c>
      <c r="J292" s="6">
        <v>1</v>
      </c>
      <c r="K292" s="6">
        <v>1</v>
      </c>
      <c r="L292" s="6">
        <v>1</v>
      </c>
      <c r="M292" s="6">
        <v>1</v>
      </c>
      <c r="N292" s="6">
        <v>1</v>
      </c>
      <c r="O292" s="6">
        <v>1</v>
      </c>
      <c r="P292" s="6">
        <v>1</v>
      </c>
      <c r="Q292" s="6">
        <v>1</v>
      </c>
      <c r="R292" s="6" t="s">
        <v>3</v>
      </c>
      <c r="S292" s="6" t="s">
        <v>3</v>
      </c>
      <c r="T292" s="6" t="s">
        <v>3</v>
      </c>
      <c r="U292" s="6" t="s">
        <v>3</v>
      </c>
      <c r="V292" s="6" t="s">
        <v>3</v>
      </c>
      <c r="W292" s="6" t="s">
        <v>3</v>
      </c>
      <c r="X292" s="6" t="s">
        <v>3</v>
      </c>
      <c r="Y292" s="6" t="s">
        <v>3</v>
      </c>
      <c r="Z292" s="6" t="s">
        <v>3</v>
      </c>
      <c r="AA292" s="6" t="s">
        <v>290</v>
      </c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>
        <v>60256984</v>
      </c>
      <c r="AO292" s="6"/>
      <c r="AP292" s="6"/>
      <c r="AQ292" s="6"/>
      <c r="AR292" s="6"/>
      <c r="AS292" s="6"/>
      <c r="AT292" s="6"/>
      <c r="AU292" s="6"/>
      <c r="AV292" s="6"/>
      <c r="AW292" s="6"/>
      <c r="AX292" s="6"/>
    </row>
    <row r="293" spans="1:50" x14ac:dyDescent="0.2">
      <c r="A293" s="4">
        <v>75</v>
      </c>
      <c r="B293" s="4" t="s">
        <v>291</v>
      </c>
      <c r="C293" s="4">
        <v>2000</v>
      </c>
      <c r="D293" s="4">
        <v>0</v>
      </c>
      <c r="E293" s="4">
        <v>1</v>
      </c>
      <c r="F293" s="4">
        <v>0</v>
      </c>
      <c r="G293" s="4">
        <v>0</v>
      </c>
      <c r="H293" s="4">
        <v>1</v>
      </c>
      <c r="I293" s="4">
        <v>1</v>
      </c>
      <c r="J293" s="4">
        <v>3</v>
      </c>
      <c r="K293" s="4">
        <v>0</v>
      </c>
      <c r="L293" s="4">
        <v>0</v>
      </c>
      <c r="M293" s="4">
        <v>0</v>
      </c>
      <c r="N293" s="4">
        <v>60256985</v>
      </c>
      <c r="O293" s="4">
        <v>2</v>
      </c>
    </row>
    <row r="294" spans="1:50" x14ac:dyDescent="0.2">
      <c r="A294" s="6">
        <v>1</v>
      </c>
      <c r="B294" s="6" t="s">
        <v>286</v>
      </c>
      <c r="C294" s="6" t="s">
        <v>287</v>
      </c>
      <c r="D294" s="6">
        <v>2000</v>
      </c>
      <c r="E294" s="6">
        <v>1</v>
      </c>
      <c r="F294" s="6">
        <v>1</v>
      </c>
      <c r="G294" s="6">
        <v>1</v>
      </c>
      <c r="H294" s="6">
        <v>0</v>
      </c>
      <c r="I294" s="6">
        <v>2</v>
      </c>
      <c r="J294" s="6">
        <v>1</v>
      </c>
      <c r="K294" s="6">
        <v>1</v>
      </c>
      <c r="L294" s="6">
        <v>1</v>
      </c>
      <c r="M294" s="6">
        <v>1</v>
      </c>
      <c r="N294" s="6">
        <v>1</v>
      </c>
      <c r="O294" s="6">
        <v>1</v>
      </c>
      <c r="P294" s="6">
        <v>1</v>
      </c>
      <c r="Q294" s="6">
        <v>1</v>
      </c>
      <c r="R294" s="6" t="s">
        <v>3</v>
      </c>
      <c r="S294" s="6" t="s">
        <v>3</v>
      </c>
      <c r="T294" s="6" t="s">
        <v>3</v>
      </c>
      <c r="U294" s="6" t="s">
        <v>3</v>
      </c>
      <c r="V294" s="6" t="s">
        <v>3</v>
      </c>
      <c r="W294" s="6" t="s">
        <v>3</v>
      </c>
      <c r="X294" s="6" t="s">
        <v>3</v>
      </c>
      <c r="Y294" s="6" t="s">
        <v>3</v>
      </c>
      <c r="Z294" s="6" t="s">
        <v>3</v>
      </c>
      <c r="AA294" s="6" t="s">
        <v>168</v>
      </c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>
        <v>60256986</v>
      </c>
      <c r="AO294" s="6"/>
      <c r="AP294" s="6"/>
      <c r="AQ294" s="6"/>
      <c r="AR294" s="6"/>
      <c r="AS294" s="6"/>
      <c r="AT294" s="6"/>
      <c r="AU294" s="6"/>
      <c r="AV294" s="6"/>
      <c r="AW294" s="6"/>
      <c r="AX294" s="6"/>
    </row>
    <row r="298" spans="1:50" x14ac:dyDescent="0.2">
      <c r="A298">
        <v>65</v>
      </c>
      <c r="C298">
        <v>1</v>
      </c>
      <c r="D298">
        <v>0</v>
      </c>
      <c r="E298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292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3</v>
      </c>
      <c r="G12" s="1" t="s">
        <v>5</v>
      </c>
      <c r="H12" s="1" t="s">
        <v>3</v>
      </c>
      <c r="I12" s="1">
        <v>0</v>
      </c>
      <c r="J12" s="1" t="s">
        <v>6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7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60256982</v>
      </c>
      <c r="E14" s="1">
        <v>60256985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15</v>
      </c>
      <c r="D16" s="7" t="s">
        <v>16</v>
      </c>
      <c r="E16" s="8">
        <f>ROUND((Source!P238)/1000,2)</f>
        <v>0</v>
      </c>
      <c r="F16" s="8">
        <f>ROUND((Source!P239)/1000,2)</f>
        <v>353.21</v>
      </c>
      <c r="G16" s="8">
        <f>ROUND((Source!P230)/1000,2)</f>
        <v>1364.28</v>
      </c>
      <c r="H16" s="8">
        <f>ROUND((Source!P240)/1000+(Source!P241)/1000,2)</f>
        <v>0</v>
      </c>
      <c r="I16" s="8">
        <f>E16+F16+G16+H16</f>
        <v>1717.49</v>
      </c>
      <c r="J16" s="8">
        <f>ROUND((Source!P236+Source!P235)/1000,2)</f>
        <v>98.85</v>
      </c>
      <c r="K16" s="8">
        <v>3045.43</v>
      </c>
      <c r="L16" s="8">
        <v>0</v>
      </c>
      <c r="M16" s="8">
        <v>0</v>
      </c>
      <c r="N16" s="8">
        <f>I16+L16+M16</f>
        <v>1717.49</v>
      </c>
      <c r="T16" s="9">
        <f>ROUND((Source!F238)/1000,2)</f>
        <v>0</v>
      </c>
      <c r="U16" s="9">
        <f>ROUND((Source!F239)/1000,2)</f>
        <v>17.03</v>
      </c>
      <c r="V16" s="9">
        <f>ROUND((Source!F230)/1000,2)</f>
        <v>178.04</v>
      </c>
      <c r="W16" s="9">
        <f>ROUND((Source!F240)/1000+(Source!F241)/1000,2)</f>
        <v>0</v>
      </c>
      <c r="X16" s="9">
        <f>T16+U16+V16+W16</f>
        <v>195.07</v>
      </c>
      <c r="Y16" s="9">
        <f>ROUND((Source!F236+Source!F235)/1000,2)</f>
        <v>1.8</v>
      </c>
      <c r="Z16" s="9">
        <v>382.96</v>
      </c>
      <c r="AA16" s="9">
        <v>0</v>
      </c>
      <c r="AB16" s="9">
        <v>0</v>
      </c>
      <c r="AC16" s="9">
        <f>X16+AA16+AB16</f>
        <v>195.07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1572856.39</v>
      </c>
      <c r="AU16" s="8">
        <v>1472575.44</v>
      </c>
      <c r="AV16" s="8">
        <v>0</v>
      </c>
      <c r="AW16" s="8">
        <v>1364277.16</v>
      </c>
      <c r="AX16" s="8">
        <v>0</v>
      </c>
      <c r="AY16" s="8">
        <v>2426.25</v>
      </c>
      <c r="AZ16" s="8">
        <v>990.38</v>
      </c>
      <c r="BA16" s="8">
        <v>97854.7</v>
      </c>
      <c r="BB16" s="8">
        <v>0</v>
      </c>
      <c r="BC16" s="8">
        <v>353206.06</v>
      </c>
      <c r="BD16" s="8">
        <v>0</v>
      </c>
      <c r="BE16" s="8">
        <v>0</v>
      </c>
      <c r="BF16" s="8">
        <v>138.52903130000001</v>
      </c>
      <c r="BG16" s="8">
        <v>0</v>
      </c>
      <c r="BH16" s="8">
        <v>0</v>
      </c>
      <c r="BI16" s="8">
        <v>94186.89</v>
      </c>
      <c r="BJ16" s="8">
        <v>50439.94</v>
      </c>
      <c r="BK16" s="8">
        <v>1717483.22</v>
      </c>
      <c r="BR16" s="9">
        <v>192447.83</v>
      </c>
      <c r="BS16" s="9">
        <v>190510.95</v>
      </c>
      <c r="BT16" s="9">
        <v>0</v>
      </c>
      <c r="BU16" s="9">
        <v>178043.75</v>
      </c>
      <c r="BV16" s="9">
        <v>0</v>
      </c>
      <c r="BW16" s="9">
        <v>157.38</v>
      </c>
      <c r="BX16" s="9">
        <v>18.010000000000002</v>
      </c>
      <c r="BY16" s="9">
        <v>1779.5</v>
      </c>
      <c r="BZ16" s="9">
        <v>0</v>
      </c>
      <c r="CA16" s="9">
        <v>17034.14</v>
      </c>
      <c r="CB16" s="9">
        <v>0</v>
      </c>
      <c r="CC16" s="9">
        <v>0</v>
      </c>
      <c r="CD16" s="9">
        <v>138.52903130000001</v>
      </c>
      <c r="CE16" s="9">
        <v>0</v>
      </c>
      <c r="CF16" s="9">
        <v>0</v>
      </c>
      <c r="CG16" s="9">
        <v>1712.81</v>
      </c>
      <c r="CH16" s="9">
        <v>917.25</v>
      </c>
      <c r="CI16" s="9">
        <v>195077.89</v>
      </c>
    </row>
    <row r="18" spans="1:29" x14ac:dyDescent="0.2">
      <c r="A18">
        <v>51</v>
      </c>
      <c r="E18">
        <v>0</v>
      </c>
      <c r="F18">
        <v>353.21</v>
      </c>
      <c r="G18">
        <v>1364.28</v>
      </c>
      <c r="H18">
        <v>0</v>
      </c>
      <c r="I18">
        <v>1717.49</v>
      </c>
      <c r="J18">
        <v>98.85</v>
      </c>
      <c r="K18">
        <v>3045.43</v>
      </c>
      <c r="L18">
        <v>0</v>
      </c>
      <c r="M18">
        <v>0</v>
      </c>
      <c r="N18">
        <v>1717.49</v>
      </c>
      <c r="T18">
        <v>0</v>
      </c>
      <c r="U18">
        <v>17.03</v>
      </c>
      <c r="V18">
        <v>178.04</v>
      </c>
      <c r="W18">
        <v>0</v>
      </c>
      <c r="X18">
        <v>195.07</v>
      </c>
      <c r="Y18">
        <v>1.8</v>
      </c>
      <c r="Z18">
        <v>382.96</v>
      </c>
      <c r="AA18">
        <v>0</v>
      </c>
      <c r="AB18">
        <v>0</v>
      </c>
      <c r="AC18">
        <v>195.07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1572856.39</v>
      </c>
      <c r="G20" s="5" t="s">
        <v>76</v>
      </c>
      <c r="H20" s="5" t="s">
        <v>77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192447.83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1472575.44</v>
      </c>
      <c r="G21" s="5" t="s">
        <v>78</v>
      </c>
      <c r="H21" s="5" t="s">
        <v>79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190510.95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80</v>
      </c>
      <c r="H22" s="5" t="s">
        <v>81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1472575.44</v>
      </c>
      <c r="G23" s="5" t="s">
        <v>82</v>
      </c>
      <c r="H23" s="5" t="s">
        <v>83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190510.95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108298.28</v>
      </c>
      <c r="G24" s="5" t="s">
        <v>84</v>
      </c>
      <c r="H24" s="5" t="s">
        <v>85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12467.2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86</v>
      </c>
      <c r="H25" s="5" t="s">
        <v>87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108298.28</v>
      </c>
      <c r="G26" s="5" t="s">
        <v>88</v>
      </c>
      <c r="H26" s="5" t="s">
        <v>89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12467.2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1364277.16</v>
      </c>
      <c r="G27" s="5" t="s">
        <v>90</v>
      </c>
      <c r="H27" s="5" t="s">
        <v>91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178043.75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92</v>
      </c>
      <c r="H28" s="5" t="s">
        <v>93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1364277.16</v>
      </c>
      <c r="G29" s="5" t="s">
        <v>94</v>
      </c>
      <c r="H29" s="5" t="s">
        <v>95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178043.75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2426.25</v>
      </c>
      <c r="G30" s="5" t="s">
        <v>96</v>
      </c>
      <c r="H30" s="5" t="s">
        <v>97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157.38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98</v>
      </c>
      <c r="H31" s="5" t="s">
        <v>99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990.38</v>
      </c>
      <c r="G32" s="5" t="s">
        <v>100</v>
      </c>
      <c r="H32" s="5" t="s">
        <v>101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18.010000000000002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97854.7</v>
      </c>
      <c r="G33" s="5" t="s">
        <v>102</v>
      </c>
      <c r="H33" s="5" t="s">
        <v>103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1779.5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104</v>
      </c>
      <c r="H34" s="5" t="s">
        <v>105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0</v>
      </c>
      <c r="G35" s="5" t="s">
        <v>106</v>
      </c>
      <c r="H35" s="5" t="s">
        <v>107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0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353206.06</v>
      </c>
      <c r="G36" s="5" t="s">
        <v>108</v>
      </c>
      <c r="H36" s="5" t="s">
        <v>109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17034.14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110</v>
      </c>
      <c r="H37" s="5" t="s">
        <v>111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112</v>
      </c>
      <c r="H38" s="5" t="s">
        <v>113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114</v>
      </c>
      <c r="H39" s="5" t="s">
        <v>115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138.52903130000001</v>
      </c>
      <c r="G40" s="5" t="s">
        <v>116</v>
      </c>
      <c r="H40" s="5" t="s">
        <v>117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138.52903130000001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118</v>
      </c>
      <c r="H41" s="5" t="s">
        <v>119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120</v>
      </c>
      <c r="H42" s="5" t="s">
        <v>121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122</v>
      </c>
      <c r="H43" s="5" t="s">
        <v>123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94186.89</v>
      </c>
      <c r="G44" s="5" t="s">
        <v>124</v>
      </c>
      <c r="H44" s="5" t="s">
        <v>125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1712.81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50439.94</v>
      </c>
      <c r="G45" s="5" t="s">
        <v>126</v>
      </c>
      <c r="H45" s="5" t="s">
        <v>127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917.25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1717483.22</v>
      </c>
      <c r="G46" s="5" t="s">
        <v>128</v>
      </c>
      <c r="H46" s="5" t="s">
        <v>129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195077.89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285</v>
      </c>
      <c r="C51" s="4">
        <v>2025</v>
      </c>
      <c r="D51" s="4">
        <v>3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1</v>
      </c>
      <c r="N51" s="4">
        <v>60256982</v>
      </c>
      <c r="O51" s="4">
        <v>1</v>
      </c>
    </row>
    <row r="52" spans="1:50" x14ac:dyDescent="0.2">
      <c r="A52" s="6">
        <v>1</v>
      </c>
      <c r="B52" s="6" t="s">
        <v>286</v>
      </c>
      <c r="C52" s="6" t="s">
        <v>287</v>
      </c>
      <c r="D52" s="6">
        <v>2025</v>
      </c>
      <c r="E52" s="6">
        <v>9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9.8800000000000008</v>
      </c>
      <c r="L52" s="6">
        <v>7.66</v>
      </c>
      <c r="M52" s="6">
        <v>1</v>
      </c>
      <c r="N52" s="6">
        <v>1</v>
      </c>
      <c r="O52" s="6">
        <v>9.8800000000000008</v>
      </c>
      <c r="P52" s="6">
        <v>7.66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288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60256983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6">
        <v>1</v>
      </c>
      <c r="B53" s="6" t="s">
        <v>286</v>
      </c>
      <c r="C53" s="6" t="s">
        <v>289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290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60256984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291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60256985</v>
      </c>
      <c r="O54" s="4">
        <v>2</v>
      </c>
    </row>
    <row r="55" spans="1:50" x14ac:dyDescent="0.2">
      <c r="A55" s="6">
        <v>1</v>
      </c>
      <c r="B55" s="6" t="s">
        <v>286</v>
      </c>
      <c r="C55" s="6" t="s">
        <v>287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168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60256986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24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60256985</v>
      </c>
      <c r="C1">
        <v>60257099</v>
      </c>
      <c r="D1">
        <v>58999254</v>
      </c>
      <c r="E1">
        <v>1080</v>
      </c>
      <c r="F1">
        <v>1</v>
      </c>
      <c r="G1">
        <v>1080</v>
      </c>
      <c r="H1">
        <v>1</v>
      </c>
      <c r="I1" t="s">
        <v>293</v>
      </c>
      <c r="J1" t="s">
        <v>3</v>
      </c>
      <c r="K1" t="s">
        <v>294</v>
      </c>
      <c r="L1">
        <v>1191</v>
      </c>
      <c r="N1">
        <v>1013</v>
      </c>
      <c r="O1" t="s">
        <v>295</v>
      </c>
      <c r="P1" t="s">
        <v>295</v>
      </c>
      <c r="Q1">
        <v>1</v>
      </c>
      <c r="W1">
        <v>0</v>
      </c>
      <c r="X1">
        <v>476480486</v>
      </c>
      <c r="Y1">
        <f>(AT1*1.1)</f>
        <v>5.6650000000000009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5.15</v>
      </c>
      <c r="AU1" t="s">
        <v>23</v>
      </c>
      <c r="AV1">
        <v>1</v>
      </c>
      <c r="AW1">
        <v>2</v>
      </c>
      <c r="AX1">
        <v>60257513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5.665</v>
      </c>
      <c r="CW1">
        <v>0</v>
      </c>
      <c r="CX1">
        <f>ROUND(Y1*Source!I28,9)</f>
        <v>5.665</v>
      </c>
      <c r="CY1">
        <f>AD1</f>
        <v>0</v>
      </c>
      <c r="CZ1">
        <f>AH1</f>
        <v>0</v>
      </c>
      <c r="DA1">
        <f>AL1</f>
        <v>1</v>
      </c>
      <c r="DB1">
        <f>ROUND((ROUND(AT1*CZ1,2)*1.1),6)</f>
        <v>0</v>
      </c>
      <c r="DC1">
        <f>ROUND((ROUND(AT1*AG1,2)*1.1),6)</f>
        <v>0</v>
      </c>
      <c r="DD1" t="s">
        <v>3</v>
      </c>
      <c r="DE1" t="s">
        <v>3</v>
      </c>
      <c r="DF1">
        <f t="shared" ref="DF1:DF16" si="0">ROUND(ROUND(AE1,2)*CX1,2)</f>
        <v>0</v>
      </c>
      <c r="DG1">
        <f t="shared" ref="DG1:DG13" si="1">ROUND(ROUND(AF1,2)*CX1,2)</f>
        <v>0</v>
      </c>
      <c r="DH1">
        <f t="shared" ref="DH1:DH13" si="2">ROUND(ROUND(AG1,2)*CX1,2)</f>
        <v>0</v>
      </c>
      <c r="DI1">
        <f t="shared" ref="DI1:DI64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ROW(Source!A28)</f>
        <v>28</v>
      </c>
      <c r="B2">
        <v>60256985</v>
      </c>
      <c r="C2">
        <v>60257099</v>
      </c>
      <c r="D2">
        <v>59070370</v>
      </c>
      <c r="E2">
        <v>1</v>
      </c>
      <c r="F2">
        <v>1</v>
      </c>
      <c r="G2">
        <v>1080</v>
      </c>
      <c r="H2">
        <v>2</v>
      </c>
      <c r="I2" t="s">
        <v>296</v>
      </c>
      <c r="J2" t="s">
        <v>297</v>
      </c>
      <c r="K2" t="s">
        <v>298</v>
      </c>
      <c r="L2">
        <v>1368</v>
      </c>
      <c r="N2">
        <v>1011</v>
      </c>
      <c r="O2" t="s">
        <v>299</v>
      </c>
      <c r="P2" t="s">
        <v>299</v>
      </c>
      <c r="Q2">
        <v>1</v>
      </c>
      <c r="W2">
        <v>0</v>
      </c>
      <c r="X2">
        <v>-2065404138</v>
      </c>
      <c r="Y2">
        <f>(AT2*1.1)</f>
        <v>0.22000000000000003</v>
      </c>
      <c r="AA2">
        <v>0</v>
      </c>
      <c r="AB2">
        <v>7.44</v>
      </c>
      <c r="AC2">
        <v>0</v>
      </c>
      <c r="AD2">
        <v>0</v>
      </c>
      <c r="AE2">
        <v>0</v>
      </c>
      <c r="AF2">
        <v>7.11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0.2</v>
      </c>
      <c r="AU2" t="s">
        <v>23</v>
      </c>
      <c r="AV2">
        <v>0</v>
      </c>
      <c r="AW2">
        <v>2</v>
      </c>
      <c r="AX2">
        <v>60257514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0</v>
      </c>
      <c r="CX2">
        <f>ROUND(Y2*Source!I28,9)</f>
        <v>0.22</v>
      </c>
      <c r="CY2">
        <f>AB2</f>
        <v>7.44</v>
      </c>
      <c r="CZ2">
        <f>AF2</f>
        <v>7.11</v>
      </c>
      <c r="DA2">
        <f>AJ2</f>
        <v>1</v>
      </c>
      <c r="DB2">
        <f>ROUND((ROUND(AT2*CZ2,2)*1.1),6)</f>
        <v>1.5620000000000001</v>
      </c>
      <c r="DC2">
        <f>ROUND((ROUND(AT2*AG2,2)*1.1),6)</f>
        <v>0</v>
      </c>
      <c r="DD2" t="s">
        <v>3</v>
      </c>
      <c r="DE2" t="s">
        <v>3</v>
      </c>
      <c r="DF2">
        <f t="shared" si="0"/>
        <v>0</v>
      </c>
      <c r="DG2">
        <f t="shared" si="1"/>
        <v>1.56</v>
      </c>
      <c r="DH2">
        <f t="shared" si="2"/>
        <v>0</v>
      </c>
      <c r="DI2">
        <f t="shared" si="3"/>
        <v>0</v>
      </c>
      <c r="DJ2">
        <f>DG2</f>
        <v>1.56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ROW(Source!A28)</f>
        <v>28</v>
      </c>
      <c r="B3">
        <v>60256985</v>
      </c>
      <c r="C3">
        <v>60257099</v>
      </c>
      <c r="D3">
        <v>59070669</v>
      </c>
      <c r="E3">
        <v>1</v>
      </c>
      <c r="F3">
        <v>1</v>
      </c>
      <c r="G3">
        <v>1080</v>
      </c>
      <c r="H3">
        <v>2</v>
      </c>
      <c r="I3" t="s">
        <v>300</v>
      </c>
      <c r="J3" t="s">
        <v>301</v>
      </c>
      <c r="K3" t="s">
        <v>302</v>
      </c>
      <c r="L3">
        <v>1368</v>
      </c>
      <c r="N3">
        <v>1011</v>
      </c>
      <c r="O3" t="s">
        <v>299</v>
      </c>
      <c r="P3" t="s">
        <v>299</v>
      </c>
      <c r="Q3">
        <v>1</v>
      </c>
      <c r="W3">
        <v>0</v>
      </c>
      <c r="X3">
        <v>-1985943078</v>
      </c>
      <c r="Y3">
        <f>(AT3*1.1)</f>
        <v>3.3000000000000002E-2</v>
      </c>
      <c r="AA3">
        <v>0</v>
      </c>
      <c r="AB3">
        <v>87.01</v>
      </c>
      <c r="AC3">
        <v>13.21</v>
      </c>
      <c r="AD3">
        <v>0</v>
      </c>
      <c r="AE3">
        <v>0</v>
      </c>
      <c r="AF3">
        <v>83.1</v>
      </c>
      <c r="AG3">
        <v>12.62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0.03</v>
      </c>
      <c r="AU3" t="s">
        <v>23</v>
      </c>
      <c r="AV3">
        <v>0</v>
      </c>
      <c r="AW3">
        <v>2</v>
      </c>
      <c r="AX3">
        <v>60257515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f>ROUND(Y3*Source!I28*DO3,9)</f>
        <v>0.41646</v>
      </c>
      <c r="CX3">
        <f>ROUND(Y3*Source!I28,9)</f>
        <v>3.3000000000000002E-2</v>
      </c>
      <c r="CY3">
        <f>AB3</f>
        <v>87.01</v>
      </c>
      <c r="CZ3">
        <f>AF3</f>
        <v>83.1</v>
      </c>
      <c r="DA3">
        <f>AJ3</f>
        <v>1</v>
      </c>
      <c r="DB3">
        <f>ROUND((ROUND(AT3*CZ3,2)*1.1),6)</f>
        <v>2.7389999999999999</v>
      </c>
      <c r="DC3">
        <f>ROUND((ROUND(AT3*AG3,2)*1.1),6)</f>
        <v>0.41799999999999998</v>
      </c>
      <c r="DD3" t="s">
        <v>3</v>
      </c>
      <c r="DE3" t="s">
        <v>3</v>
      </c>
      <c r="DF3">
        <f t="shared" si="0"/>
        <v>0</v>
      </c>
      <c r="DG3">
        <f t="shared" si="1"/>
        <v>2.74</v>
      </c>
      <c r="DH3">
        <f t="shared" si="2"/>
        <v>0.42</v>
      </c>
      <c r="DI3">
        <f t="shared" si="3"/>
        <v>0</v>
      </c>
      <c r="DJ3">
        <f>DG3</f>
        <v>2.74</v>
      </c>
      <c r="DK3">
        <v>0</v>
      </c>
      <c r="DL3" t="s">
        <v>303</v>
      </c>
      <c r="DM3">
        <v>0</v>
      </c>
      <c r="DN3" t="s">
        <v>295</v>
      </c>
      <c r="DO3">
        <v>12.62</v>
      </c>
    </row>
    <row r="4" spans="1:119" x14ac:dyDescent="0.2">
      <c r="A4">
        <f>ROW(Source!A28)</f>
        <v>28</v>
      </c>
      <c r="B4">
        <v>60256985</v>
      </c>
      <c r="C4">
        <v>60257099</v>
      </c>
      <c r="D4">
        <v>59070743</v>
      </c>
      <c r="E4">
        <v>1</v>
      </c>
      <c r="F4">
        <v>1</v>
      </c>
      <c r="G4">
        <v>1080</v>
      </c>
      <c r="H4">
        <v>2</v>
      </c>
      <c r="I4" t="s">
        <v>304</v>
      </c>
      <c r="J4" t="s">
        <v>305</v>
      </c>
      <c r="K4" t="s">
        <v>306</v>
      </c>
      <c r="L4">
        <v>1368</v>
      </c>
      <c r="N4">
        <v>1011</v>
      </c>
      <c r="O4" t="s">
        <v>299</v>
      </c>
      <c r="P4" t="s">
        <v>299</v>
      </c>
      <c r="Q4">
        <v>1</v>
      </c>
      <c r="W4">
        <v>0</v>
      </c>
      <c r="X4">
        <v>-156805976</v>
      </c>
      <c r="Y4">
        <f>(AT4*1.1)</f>
        <v>0.50600000000000012</v>
      </c>
      <c r="AA4">
        <v>0</v>
      </c>
      <c r="AB4">
        <v>0.82</v>
      </c>
      <c r="AC4">
        <v>0</v>
      </c>
      <c r="AD4">
        <v>0</v>
      </c>
      <c r="AE4">
        <v>0</v>
      </c>
      <c r="AF4">
        <v>0.78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0.46</v>
      </c>
      <c r="AU4" t="s">
        <v>23</v>
      </c>
      <c r="AV4">
        <v>0</v>
      </c>
      <c r="AW4">
        <v>2</v>
      </c>
      <c r="AX4">
        <v>60257516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f>ROUND(Y4*Source!I28*DO4,9)</f>
        <v>0</v>
      </c>
      <c r="CX4">
        <f>ROUND(Y4*Source!I28,9)</f>
        <v>0.50600000000000001</v>
      </c>
      <c r="CY4">
        <f>AB4</f>
        <v>0.82</v>
      </c>
      <c r="CZ4">
        <f>AF4</f>
        <v>0.78</v>
      </c>
      <c r="DA4">
        <f>AJ4</f>
        <v>1</v>
      </c>
      <c r="DB4">
        <f>ROUND((ROUND(AT4*CZ4,2)*1.1),6)</f>
        <v>0.39600000000000002</v>
      </c>
      <c r="DC4">
        <f>ROUND((ROUND(AT4*AG4,2)*1.1),6)</f>
        <v>0</v>
      </c>
      <c r="DD4" t="s">
        <v>3</v>
      </c>
      <c r="DE4" t="s">
        <v>3</v>
      </c>
      <c r="DF4">
        <f t="shared" si="0"/>
        <v>0</v>
      </c>
      <c r="DG4">
        <f t="shared" si="1"/>
        <v>0.39</v>
      </c>
      <c r="DH4">
        <f t="shared" si="2"/>
        <v>0</v>
      </c>
      <c r="DI4">
        <f t="shared" si="3"/>
        <v>0</v>
      </c>
      <c r="DJ4">
        <f>DG4</f>
        <v>0.39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ROW(Source!A28)</f>
        <v>28</v>
      </c>
      <c r="B5">
        <v>60256985</v>
      </c>
      <c r="C5">
        <v>60257099</v>
      </c>
      <c r="D5">
        <v>59039969</v>
      </c>
      <c r="E5">
        <v>1</v>
      </c>
      <c r="F5">
        <v>1</v>
      </c>
      <c r="G5">
        <v>1080</v>
      </c>
      <c r="H5">
        <v>3</v>
      </c>
      <c r="I5" t="s">
        <v>307</v>
      </c>
      <c r="J5" t="s">
        <v>308</v>
      </c>
      <c r="K5" t="s">
        <v>309</v>
      </c>
      <c r="L5">
        <v>1348</v>
      </c>
      <c r="N5">
        <v>1009</v>
      </c>
      <c r="O5" t="s">
        <v>310</v>
      </c>
      <c r="P5" t="s">
        <v>310</v>
      </c>
      <c r="Q5">
        <v>1000</v>
      </c>
      <c r="W5">
        <v>0</v>
      </c>
      <c r="X5">
        <v>-2039612599</v>
      </c>
      <c r="Y5">
        <f t="shared" ref="Y5:Y12" si="4">AT5</f>
        <v>1.21E-4</v>
      </c>
      <c r="AA5">
        <v>7185.82</v>
      </c>
      <c r="AB5">
        <v>0</v>
      </c>
      <c r="AC5">
        <v>0</v>
      </c>
      <c r="AD5">
        <v>0</v>
      </c>
      <c r="AE5">
        <v>7185.82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1.21E-4</v>
      </c>
      <c r="AU5" t="s">
        <v>3</v>
      </c>
      <c r="AV5">
        <v>0</v>
      </c>
      <c r="AW5">
        <v>2</v>
      </c>
      <c r="AX5">
        <v>60257517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ROUND(Y5*Source!I28,9)</f>
        <v>1.21E-4</v>
      </c>
      <c r="CY5">
        <f t="shared" ref="CY5:CY12" si="5">AA5</f>
        <v>7185.82</v>
      </c>
      <c r="CZ5">
        <f t="shared" ref="CZ5:CZ12" si="6">AE5</f>
        <v>7185.82</v>
      </c>
      <c r="DA5">
        <f t="shared" ref="DA5:DA12" si="7">AI5</f>
        <v>1</v>
      </c>
      <c r="DB5">
        <f t="shared" ref="DB5:DB12" si="8">ROUND(ROUND(AT5*CZ5,2),6)</f>
        <v>0.87</v>
      </c>
      <c r="DC5">
        <f t="shared" ref="DC5:DC12" si="9">ROUND(ROUND(AT5*AG5,2),6)</f>
        <v>0</v>
      </c>
      <c r="DD5" t="s">
        <v>3</v>
      </c>
      <c r="DE5" t="s">
        <v>3</v>
      </c>
      <c r="DF5">
        <f t="shared" si="0"/>
        <v>0.87</v>
      </c>
      <c r="DG5">
        <f t="shared" si="1"/>
        <v>0</v>
      </c>
      <c r="DH5">
        <f t="shared" si="2"/>
        <v>0</v>
      </c>
      <c r="DI5">
        <f t="shared" si="3"/>
        <v>0</v>
      </c>
      <c r="DJ5">
        <f t="shared" ref="DJ5:DJ12" si="10">DF5</f>
        <v>0.87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ROW(Source!A28)</f>
        <v>28</v>
      </c>
      <c r="B6">
        <v>60256985</v>
      </c>
      <c r="C6">
        <v>60257099</v>
      </c>
      <c r="D6">
        <v>59039978</v>
      </c>
      <c r="E6">
        <v>1</v>
      </c>
      <c r="F6">
        <v>1</v>
      </c>
      <c r="G6">
        <v>1080</v>
      </c>
      <c r="H6">
        <v>3</v>
      </c>
      <c r="I6" t="s">
        <v>311</v>
      </c>
      <c r="J6" t="s">
        <v>312</v>
      </c>
      <c r="K6" t="s">
        <v>313</v>
      </c>
      <c r="L6">
        <v>1346</v>
      </c>
      <c r="N6">
        <v>1009</v>
      </c>
      <c r="O6" t="s">
        <v>314</v>
      </c>
      <c r="P6" t="s">
        <v>314</v>
      </c>
      <c r="Q6">
        <v>1</v>
      </c>
      <c r="W6">
        <v>0</v>
      </c>
      <c r="X6">
        <v>1368649771</v>
      </c>
      <c r="Y6">
        <f t="shared" si="4"/>
        <v>2.3E-2</v>
      </c>
      <c r="AA6">
        <v>29.82</v>
      </c>
      <c r="AB6">
        <v>0</v>
      </c>
      <c r="AC6">
        <v>0</v>
      </c>
      <c r="AD6">
        <v>0</v>
      </c>
      <c r="AE6">
        <v>29.82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2.3E-2</v>
      </c>
      <c r="AU6" t="s">
        <v>3</v>
      </c>
      <c r="AV6">
        <v>0</v>
      </c>
      <c r="AW6">
        <v>2</v>
      </c>
      <c r="AX6">
        <v>60257518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ROUND(Y6*Source!I28,9)</f>
        <v>2.3E-2</v>
      </c>
      <c r="CY6">
        <f t="shared" si="5"/>
        <v>29.82</v>
      </c>
      <c r="CZ6">
        <f t="shared" si="6"/>
        <v>29.82</v>
      </c>
      <c r="DA6">
        <f t="shared" si="7"/>
        <v>1</v>
      </c>
      <c r="DB6">
        <f t="shared" si="8"/>
        <v>0.69</v>
      </c>
      <c r="DC6">
        <f t="shared" si="9"/>
        <v>0</v>
      </c>
      <c r="DD6" t="s">
        <v>3</v>
      </c>
      <c r="DE6" t="s">
        <v>3</v>
      </c>
      <c r="DF6">
        <f t="shared" si="0"/>
        <v>0.69</v>
      </c>
      <c r="DG6">
        <f t="shared" si="1"/>
        <v>0</v>
      </c>
      <c r="DH6">
        <f t="shared" si="2"/>
        <v>0</v>
      </c>
      <c r="DI6">
        <f t="shared" si="3"/>
        <v>0</v>
      </c>
      <c r="DJ6">
        <f t="shared" si="10"/>
        <v>0.69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ROW(Source!A28)</f>
        <v>28</v>
      </c>
      <c r="B7">
        <v>60256985</v>
      </c>
      <c r="C7">
        <v>60257099</v>
      </c>
      <c r="D7">
        <v>59038948</v>
      </c>
      <c r="E7">
        <v>1</v>
      </c>
      <c r="F7">
        <v>1</v>
      </c>
      <c r="G7">
        <v>1080</v>
      </c>
      <c r="H7">
        <v>3</v>
      </c>
      <c r="I7" t="s">
        <v>315</v>
      </c>
      <c r="J7" t="s">
        <v>316</v>
      </c>
      <c r="K7" t="s">
        <v>317</v>
      </c>
      <c r="L7">
        <v>1348</v>
      </c>
      <c r="N7">
        <v>1009</v>
      </c>
      <c r="O7" t="s">
        <v>310</v>
      </c>
      <c r="P7" t="s">
        <v>310</v>
      </c>
      <c r="Q7">
        <v>1000</v>
      </c>
      <c r="W7">
        <v>0</v>
      </c>
      <c r="X7">
        <v>2017980840</v>
      </c>
      <c r="Y7">
        <f t="shared" si="4"/>
        <v>1.8E-5</v>
      </c>
      <c r="AA7">
        <v>18653.07</v>
      </c>
      <c r="AB7">
        <v>0</v>
      </c>
      <c r="AC7">
        <v>0</v>
      </c>
      <c r="AD7">
        <v>0</v>
      </c>
      <c r="AE7">
        <v>18653.07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1.8E-5</v>
      </c>
      <c r="AU7" t="s">
        <v>3</v>
      </c>
      <c r="AV7">
        <v>0</v>
      </c>
      <c r="AW7">
        <v>2</v>
      </c>
      <c r="AX7">
        <v>60257519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ROUND(Y7*Source!I28,9)</f>
        <v>1.8E-5</v>
      </c>
      <c r="CY7">
        <f t="shared" si="5"/>
        <v>18653.07</v>
      </c>
      <c r="CZ7">
        <f t="shared" si="6"/>
        <v>18653.07</v>
      </c>
      <c r="DA7">
        <f t="shared" si="7"/>
        <v>1</v>
      </c>
      <c r="DB7">
        <f t="shared" si="8"/>
        <v>0.34</v>
      </c>
      <c r="DC7">
        <f t="shared" si="9"/>
        <v>0</v>
      </c>
      <c r="DD7" t="s">
        <v>3</v>
      </c>
      <c r="DE7" t="s">
        <v>3</v>
      </c>
      <c r="DF7">
        <f t="shared" si="0"/>
        <v>0.34</v>
      </c>
      <c r="DG7">
        <f t="shared" si="1"/>
        <v>0</v>
      </c>
      <c r="DH7">
        <f t="shared" si="2"/>
        <v>0</v>
      </c>
      <c r="DI7">
        <f t="shared" si="3"/>
        <v>0</v>
      </c>
      <c r="DJ7">
        <f t="shared" si="10"/>
        <v>0.34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ROW(Source!A28)</f>
        <v>28</v>
      </c>
      <c r="B8">
        <v>60256985</v>
      </c>
      <c r="C8">
        <v>60257099</v>
      </c>
      <c r="D8">
        <v>59040738</v>
      </c>
      <c r="E8">
        <v>1</v>
      </c>
      <c r="F8">
        <v>1</v>
      </c>
      <c r="G8">
        <v>1080</v>
      </c>
      <c r="H8">
        <v>3</v>
      </c>
      <c r="I8" t="s">
        <v>318</v>
      </c>
      <c r="J8" t="s">
        <v>319</v>
      </c>
      <c r="K8" t="s">
        <v>320</v>
      </c>
      <c r="L8">
        <v>1348</v>
      </c>
      <c r="N8">
        <v>1009</v>
      </c>
      <c r="O8" t="s">
        <v>310</v>
      </c>
      <c r="P8" t="s">
        <v>310</v>
      </c>
      <c r="Q8">
        <v>1000</v>
      </c>
      <c r="W8">
        <v>0</v>
      </c>
      <c r="X8">
        <v>1835689910</v>
      </c>
      <c r="Y8">
        <f t="shared" si="4"/>
        <v>2.3780000000000001E-4</v>
      </c>
      <c r="AA8">
        <v>11487.92</v>
      </c>
      <c r="AB8">
        <v>0</v>
      </c>
      <c r="AC8">
        <v>0</v>
      </c>
      <c r="AD8">
        <v>0</v>
      </c>
      <c r="AE8">
        <v>11487.92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2.3780000000000001E-4</v>
      </c>
      <c r="AU8" t="s">
        <v>3</v>
      </c>
      <c r="AV8">
        <v>0</v>
      </c>
      <c r="AW8">
        <v>2</v>
      </c>
      <c r="AX8">
        <v>60257520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ROUND(Y8*Source!I28,9)</f>
        <v>2.3780000000000001E-4</v>
      </c>
      <c r="CY8">
        <f t="shared" si="5"/>
        <v>11487.92</v>
      </c>
      <c r="CZ8">
        <f t="shared" si="6"/>
        <v>11487.92</v>
      </c>
      <c r="DA8">
        <f t="shared" si="7"/>
        <v>1</v>
      </c>
      <c r="DB8">
        <f t="shared" si="8"/>
        <v>2.73</v>
      </c>
      <c r="DC8">
        <f t="shared" si="9"/>
        <v>0</v>
      </c>
      <c r="DD8" t="s">
        <v>3</v>
      </c>
      <c r="DE8" t="s">
        <v>3</v>
      </c>
      <c r="DF8">
        <f t="shared" si="0"/>
        <v>2.73</v>
      </c>
      <c r="DG8">
        <f t="shared" si="1"/>
        <v>0</v>
      </c>
      <c r="DH8">
        <f t="shared" si="2"/>
        <v>0</v>
      </c>
      <c r="DI8">
        <f t="shared" si="3"/>
        <v>0</v>
      </c>
      <c r="DJ8">
        <f t="shared" si="10"/>
        <v>2.73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ROW(Source!A28)</f>
        <v>28</v>
      </c>
      <c r="B9">
        <v>60256985</v>
      </c>
      <c r="C9">
        <v>60257099</v>
      </c>
      <c r="D9">
        <v>59041302</v>
      </c>
      <c r="E9">
        <v>1</v>
      </c>
      <c r="F9">
        <v>1</v>
      </c>
      <c r="G9">
        <v>1080</v>
      </c>
      <c r="H9">
        <v>3</v>
      </c>
      <c r="I9" t="s">
        <v>321</v>
      </c>
      <c r="J9" t="s">
        <v>322</v>
      </c>
      <c r="K9" t="s">
        <v>323</v>
      </c>
      <c r="L9">
        <v>1348</v>
      </c>
      <c r="N9">
        <v>1009</v>
      </c>
      <c r="O9" t="s">
        <v>310</v>
      </c>
      <c r="P9" t="s">
        <v>310</v>
      </c>
      <c r="Q9">
        <v>1000</v>
      </c>
      <c r="W9">
        <v>0</v>
      </c>
      <c r="X9">
        <v>2135033779</v>
      </c>
      <c r="Y9">
        <f t="shared" si="4"/>
        <v>7.0000000000000001E-3</v>
      </c>
      <c r="AA9">
        <v>12089.95</v>
      </c>
      <c r="AB9">
        <v>0</v>
      </c>
      <c r="AC9">
        <v>0</v>
      </c>
      <c r="AD9">
        <v>0</v>
      </c>
      <c r="AE9">
        <v>12089.95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7.0000000000000001E-3</v>
      </c>
      <c r="AU9" t="s">
        <v>3</v>
      </c>
      <c r="AV9">
        <v>0</v>
      </c>
      <c r="AW9">
        <v>2</v>
      </c>
      <c r="AX9">
        <v>60257521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ROUND(Y9*Source!I28,9)</f>
        <v>7.0000000000000001E-3</v>
      </c>
      <c r="CY9">
        <f t="shared" si="5"/>
        <v>12089.95</v>
      </c>
      <c r="CZ9">
        <f t="shared" si="6"/>
        <v>12089.95</v>
      </c>
      <c r="DA9">
        <f t="shared" si="7"/>
        <v>1</v>
      </c>
      <c r="DB9">
        <f t="shared" si="8"/>
        <v>84.63</v>
      </c>
      <c r="DC9">
        <f t="shared" si="9"/>
        <v>0</v>
      </c>
      <c r="DD9" t="s">
        <v>3</v>
      </c>
      <c r="DE9" t="s">
        <v>3</v>
      </c>
      <c r="DF9">
        <f t="shared" si="0"/>
        <v>84.63</v>
      </c>
      <c r="DG9">
        <f t="shared" si="1"/>
        <v>0</v>
      </c>
      <c r="DH9">
        <f t="shared" si="2"/>
        <v>0</v>
      </c>
      <c r="DI9">
        <f t="shared" si="3"/>
        <v>0</v>
      </c>
      <c r="DJ9">
        <f t="shared" si="10"/>
        <v>84.63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ROW(Source!A28)</f>
        <v>28</v>
      </c>
      <c r="B10">
        <v>60256985</v>
      </c>
      <c r="C10">
        <v>60257099</v>
      </c>
      <c r="D10">
        <v>59039500</v>
      </c>
      <c r="E10">
        <v>1</v>
      </c>
      <c r="F10">
        <v>1</v>
      </c>
      <c r="G10">
        <v>1080</v>
      </c>
      <c r="H10">
        <v>3</v>
      </c>
      <c r="I10" t="s">
        <v>324</v>
      </c>
      <c r="J10" t="s">
        <v>325</v>
      </c>
      <c r="K10" t="s">
        <v>326</v>
      </c>
      <c r="L10">
        <v>1348</v>
      </c>
      <c r="N10">
        <v>1009</v>
      </c>
      <c r="O10" t="s">
        <v>310</v>
      </c>
      <c r="P10" t="s">
        <v>310</v>
      </c>
      <c r="Q10">
        <v>1000</v>
      </c>
      <c r="W10">
        <v>0</v>
      </c>
      <c r="X10">
        <v>432853124</v>
      </c>
      <c r="Y10">
        <f t="shared" si="4"/>
        <v>1.0000000000000001E-5</v>
      </c>
      <c r="AA10">
        <v>8582.42</v>
      </c>
      <c r="AB10">
        <v>0</v>
      </c>
      <c r="AC10">
        <v>0</v>
      </c>
      <c r="AD10">
        <v>0</v>
      </c>
      <c r="AE10">
        <v>8582.42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1.0000000000000001E-5</v>
      </c>
      <c r="AU10" t="s">
        <v>3</v>
      </c>
      <c r="AV10">
        <v>0</v>
      </c>
      <c r="AW10">
        <v>2</v>
      </c>
      <c r="AX10">
        <v>60257522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ROUND(Y10*Source!I28,9)</f>
        <v>1.0000000000000001E-5</v>
      </c>
      <c r="CY10">
        <f t="shared" si="5"/>
        <v>8582.42</v>
      </c>
      <c r="CZ10">
        <f t="shared" si="6"/>
        <v>8582.42</v>
      </c>
      <c r="DA10">
        <f t="shared" si="7"/>
        <v>1</v>
      </c>
      <c r="DB10">
        <f t="shared" si="8"/>
        <v>0.09</v>
      </c>
      <c r="DC10">
        <f t="shared" si="9"/>
        <v>0</v>
      </c>
      <c r="DD10" t="s">
        <v>3</v>
      </c>
      <c r="DE10" t="s">
        <v>3</v>
      </c>
      <c r="DF10">
        <f t="shared" si="0"/>
        <v>0.09</v>
      </c>
      <c r="DG10">
        <f t="shared" si="1"/>
        <v>0</v>
      </c>
      <c r="DH10">
        <f t="shared" si="2"/>
        <v>0</v>
      </c>
      <c r="DI10">
        <f t="shared" si="3"/>
        <v>0</v>
      </c>
      <c r="DJ10">
        <f t="shared" si="10"/>
        <v>0.09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ROW(Source!A28)</f>
        <v>28</v>
      </c>
      <c r="B11">
        <v>60256985</v>
      </c>
      <c r="C11">
        <v>60257099</v>
      </c>
      <c r="D11">
        <v>59039504</v>
      </c>
      <c r="E11">
        <v>1</v>
      </c>
      <c r="F11">
        <v>1</v>
      </c>
      <c r="G11">
        <v>1080</v>
      </c>
      <c r="H11">
        <v>3</v>
      </c>
      <c r="I11" t="s">
        <v>327</v>
      </c>
      <c r="J11" t="s">
        <v>328</v>
      </c>
      <c r="K11" t="s">
        <v>329</v>
      </c>
      <c r="L11">
        <v>1348</v>
      </c>
      <c r="N11">
        <v>1009</v>
      </c>
      <c r="O11" t="s">
        <v>310</v>
      </c>
      <c r="P11" t="s">
        <v>310</v>
      </c>
      <c r="Q11">
        <v>1000</v>
      </c>
      <c r="W11">
        <v>0</v>
      </c>
      <c r="X11">
        <v>1850032922</v>
      </c>
      <c r="Y11">
        <f t="shared" si="4"/>
        <v>1.9999999999999999E-6</v>
      </c>
      <c r="AA11">
        <v>12521.99</v>
      </c>
      <c r="AB11">
        <v>0</v>
      </c>
      <c r="AC11">
        <v>0</v>
      </c>
      <c r="AD11">
        <v>0</v>
      </c>
      <c r="AE11">
        <v>12521.99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1.9999999999999999E-6</v>
      </c>
      <c r="AU11" t="s">
        <v>3</v>
      </c>
      <c r="AV11">
        <v>0</v>
      </c>
      <c r="AW11">
        <v>2</v>
      </c>
      <c r="AX11">
        <v>60257523</v>
      </c>
      <c r="AY11">
        <v>1</v>
      </c>
      <c r="AZ11">
        <v>0</v>
      </c>
      <c r="BA11">
        <v>11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ROUND(Y11*Source!I28,9)</f>
        <v>1.9999999999999999E-6</v>
      </c>
      <c r="CY11">
        <f t="shared" si="5"/>
        <v>12521.99</v>
      </c>
      <c r="CZ11">
        <f t="shared" si="6"/>
        <v>12521.99</v>
      </c>
      <c r="DA11">
        <f t="shared" si="7"/>
        <v>1</v>
      </c>
      <c r="DB11">
        <f t="shared" si="8"/>
        <v>0.03</v>
      </c>
      <c r="DC11">
        <f t="shared" si="9"/>
        <v>0</v>
      </c>
      <c r="DD11" t="s">
        <v>3</v>
      </c>
      <c r="DE11" t="s">
        <v>3</v>
      </c>
      <c r="DF11">
        <f t="shared" si="0"/>
        <v>0.03</v>
      </c>
      <c r="DG11">
        <f t="shared" si="1"/>
        <v>0</v>
      </c>
      <c r="DH11">
        <f t="shared" si="2"/>
        <v>0</v>
      </c>
      <c r="DI11">
        <f t="shared" si="3"/>
        <v>0</v>
      </c>
      <c r="DJ11">
        <f t="shared" si="10"/>
        <v>0.03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ROW(Source!A28)</f>
        <v>28</v>
      </c>
      <c r="B12">
        <v>60256985</v>
      </c>
      <c r="C12">
        <v>60257099</v>
      </c>
      <c r="D12">
        <v>0</v>
      </c>
      <c r="E12">
        <v>1080</v>
      </c>
      <c r="F12">
        <v>1</v>
      </c>
      <c r="G12">
        <v>1080</v>
      </c>
      <c r="H12">
        <v>3</v>
      </c>
      <c r="I12" t="s">
        <v>29</v>
      </c>
      <c r="J12" t="s">
        <v>3</v>
      </c>
      <c r="K12" t="s">
        <v>30</v>
      </c>
      <c r="L12">
        <v>1354</v>
      </c>
      <c r="N12">
        <v>1010</v>
      </c>
      <c r="O12" t="s">
        <v>31</v>
      </c>
      <c r="P12" t="s">
        <v>31</v>
      </c>
      <c r="Q12">
        <v>1</v>
      </c>
      <c r="W12">
        <v>0</v>
      </c>
      <c r="X12">
        <v>724478812</v>
      </c>
      <c r="Y12">
        <f t="shared" si="4"/>
        <v>1</v>
      </c>
      <c r="AA12">
        <v>45303.63</v>
      </c>
      <c r="AB12">
        <v>0</v>
      </c>
      <c r="AC12">
        <v>0</v>
      </c>
      <c r="AD12">
        <v>0</v>
      </c>
      <c r="AE12">
        <v>45303.63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 t="s">
        <v>3</v>
      </c>
      <c r="AT12">
        <v>1</v>
      </c>
      <c r="AU12" t="s">
        <v>3</v>
      </c>
      <c r="AV12">
        <v>0</v>
      </c>
      <c r="AW12">
        <v>1</v>
      </c>
      <c r="AX12">
        <v>-1</v>
      </c>
      <c r="AY12">
        <v>0</v>
      </c>
      <c r="AZ12">
        <v>0</v>
      </c>
      <c r="BA12" t="s">
        <v>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ROUND(Y12*Source!I28,9)</f>
        <v>1</v>
      </c>
      <c r="CY12">
        <f t="shared" si="5"/>
        <v>45303.63</v>
      </c>
      <c r="CZ12">
        <f t="shared" si="6"/>
        <v>45303.63</v>
      </c>
      <c r="DA12">
        <f t="shared" si="7"/>
        <v>1</v>
      </c>
      <c r="DB12">
        <f t="shared" si="8"/>
        <v>45303.63</v>
      </c>
      <c r="DC12">
        <f t="shared" si="9"/>
        <v>0</v>
      </c>
      <c r="DD12" t="s">
        <v>3</v>
      </c>
      <c r="DE12" t="s">
        <v>3</v>
      </c>
      <c r="DF12">
        <f t="shared" si="0"/>
        <v>45303.63</v>
      </c>
      <c r="DG12">
        <f t="shared" si="1"/>
        <v>0</v>
      </c>
      <c r="DH12">
        <f t="shared" si="2"/>
        <v>0</v>
      </c>
      <c r="DI12">
        <f t="shared" si="3"/>
        <v>0</v>
      </c>
      <c r="DJ12">
        <f t="shared" si="10"/>
        <v>45303.63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ROW(Source!A29)</f>
        <v>29</v>
      </c>
      <c r="B13">
        <v>60256982</v>
      </c>
      <c r="C13">
        <v>60257099</v>
      </c>
      <c r="D13">
        <v>58999254</v>
      </c>
      <c r="E13">
        <v>1080</v>
      </c>
      <c r="F13">
        <v>1</v>
      </c>
      <c r="G13">
        <v>1080</v>
      </c>
      <c r="H13">
        <v>1</v>
      </c>
      <c r="I13" t="s">
        <v>293</v>
      </c>
      <c r="J13" t="s">
        <v>3</v>
      </c>
      <c r="K13" t="s">
        <v>294</v>
      </c>
      <c r="L13">
        <v>1191</v>
      </c>
      <c r="N13">
        <v>1013</v>
      </c>
      <c r="O13" t="s">
        <v>295</v>
      </c>
      <c r="P13" t="s">
        <v>295</v>
      </c>
      <c r="Q13">
        <v>1</v>
      </c>
      <c r="W13">
        <v>0</v>
      </c>
      <c r="X13">
        <v>476480486</v>
      </c>
      <c r="Y13">
        <f>(AT13*1.1)</f>
        <v>5.6650000000000009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5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5.15</v>
      </c>
      <c r="AU13" t="s">
        <v>23</v>
      </c>
      <c r="AV13">
        <v>1</v>
      </c>
      <c r="AW13">
        <v>2</v>
      </c>
      <c r="AX13">
        <v>60257513</v>
      </c>
      <c r="AY13">
        <v>1</v>
      </c>
      <c r="AZ13">
        <v>0</v>
      </c>
      <c r="BA13">
        <v>13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U13">
        <f>ROUND(AT13*Source!I29*AH13*AL13,2)</f>
        <v>0</v>
      </c>
      <c r="CV13">
        <f>ROUND(Y13*Source!I29,9)</f>
        <v>5.665</v>
      </c>
      <c r="CW13">
        <v>0</v>
      </c>
      <c r="CX13">
        <f>ROUND(Y13*Source!I29,9)</f>
        <v>5.665</v>
      </c>
      <c r="CY13">
        <f>AD13</f>
        <v>0</v>
      </c>
      <c r="CZ13">
        <f>AH13</f>
        <v>0</v>
      </c>
      <c r="DA13">
        <f>AL13</f>
        <v>1</v>
      </c>
      <c r="DB13">
        <f>ROUND((ROUND(AT13*CZ13,2)*1.1),6)</f>
        <v>0</v>
      </c>
      <c r="DC13">
        <f>ROUND((ROUND(AT13*AG13,2)*1.1),6)</f>
        <v>0</v>
      </c>
      <c r="DD13" t="s">
        <v>3</v>
      </c>
      <c r="DE13" t="s">
        <v>3</v>
      </c>
      <c r="DF13">
        <f t="shared" si="0"/>
        <v>0</v>
      </c>
      <c r="DG13">
        <f t="shared" si="1"/>
        <v>0</v>
      </c>
      <c r="DH13">
        <f t="shared" si="2"/>
        <v>0</v>
      </c>
      <c r="DI13">
        <f t="shared" si="3"/>
        <v>0</v>
      </c>
      <c r="DJ13">
        <f>DI13</f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ROW(Source!A29)</f>
        <v>29</v>
      </c>
      <c r="B14">
        <v>60256982</v>
      </c>
      <c r="C14">
        <v>60257099</v>
      </c>
      <c r="D14">
        <v>59070370</v>
      </c>
      <c r="E14">
        <v>1</v>
      </c>
      <c r="F14">
        <v>1</v>
      </c>
      <c r="G14">
        <v>1080</v>
      </c>
      <c r="H14">
        <v>2</v>
      </c>
      <c r="I14" t="s">
        <v>296</v>
      </c>
      <c r="J14" t="s">
        <v>297</v>
      </c>
      <c r="K14" t="s">
        <v>298</v>
      </c>
      <c r="L14">
        <v>1368</v>
      </c>
      <c r="N14">
        <v>1011</v>
      </c>
      <c r="O14" t="s">
        <v>299</v>
      </c>
      <c r="P14" t="s">
        <v>299</v>
      </c>
      <c r="Q14">
        <v>1</v>
      </c>
      <c r="W14">
        <v>0</v>
      </c>
      <c r="X14">
        <v>-2065404138</v>
      </c>
      <c r="Y14">
        <f>(AT14*1.1)</f>
        <v>0.22000000000000003</v>
      </c>
      <c r="AA14">
        <v>0</v>
      </c>
      <c r="AB14">
        <v>85.83</v>
      </c>
      <c r="AC14">
        <v>0</v>
      </c>
      <c r="AD14">
        <v>0</v>
      </c>
      <c r="AE14">
        <v>0</v>
      </c>
      <c r="AF14">
        <v>7.11</v>
      </c>
      <c r="AG14">
        <v>0</v>
      </c>
      <c r="AH14">
        <v>0</v>
      </c>
      <c r="AI14">
        <v>1</v>
      </c>
      <c r="AJ14">
        <v>11.53</v>
      </c>
      <c r="AK14">
        <v>54.99</v>
      </c>
      <c r="AL14">
        <v>1</v>
      </c>
      <c r="AM14">
        <v>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0.2</v>
      </c>
      <c r="AU14" t="s">
        <v>23</v>
      </c>
      <c r="AV14">
        <v>0</v>
      </c>
      <c r="AW14">
        <v>2</v>
      </c>
      <c r="AX14">
        <v>60257514</v>
      </c>
      <c r="AY14">
        <v>1</v>
      </c>
      <c r="AZ14">
        <v>0</v>
      </c>
      <c r="BA14">
        <v>14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f>ROUND(Y14*Source!I29*DO14,9)</f>
        <v>0</v>
      </c>
      <c r="CX14">
        <f>ROUND(Y14*Source!I29,9)</f>
        <v>0.22</v>
      </c>
      <c r="CY14">
        <f>AB14</f>
        <v>85.83</v>
      </c>
      <c r="CZ14">
        <f>AF14</f>
        <v>7.11</v>
      </c>
      <c r="DA14">
        <f>AJ14</f>
        <v>11.53</v>
      </c>
      <c r="DB14">
        <f>ROUND((ROUND(AT14*CZ14,2)*1.1),6)</f>
        <v>1.5620000000000001</v>
      </c>
      <c r="DC14">
        <f>ROUND((ROUND(AT14*AG14,2)*1.1),6)</f>
        <v>0</v>
      </c>
      <c r="DD14" t="s">
        <v>3</v>
      </c>
      <c r="DE14" t="s">
        <v>3</v>
      </c>
      <c r="DF14">
        <f t="shared" si="0"/>
        <v>0</v>
      </c>
      <c r="DG14">
        <f>ROUND(ROUND(AF14*AJ14,2)*CX14,2)</f>
        <v>18.04</v>
      </c>
      <c r="DH14">
        <f>ROUND(ROUND(AG14*AK14,2)*CX14,2)</f>
        <v>0</v>
      </c>
      <c r="DI14">
        <f t="shared" si="3"/>
        <v>0</v>
      </c>
      <c r="DJ14">
        <f>DG14</f>
        <v>18.04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ROW(Source!A29)</f>
        <v>29</v>
      </c>
      <c r="B15">
        <v>60256982</v>
      </c>
      <c r="C15">
        <v>60257099</v>
      </c>
      <c r="D15">
        <v>59070669</v>
      </c>
      <c r="E15">
        <v>1</v>
      </c>
      <c r="F15">
        <v>1</v>
      </c>
      <c r="G15">
        <v>1080</v>
      </c>
      <c r="H15">
        <v>2</v>
      </c>
      <c r="I15" t="s">
        <v>300</v>
      </c>
      <c r="J15" t="s">
        <v>301</v>
      </c>
      <c r="K15" t="s">
        <v>302</v>
      </c>
      <c r="L15">
        <v>1368</v>
      </c>
      <c r="N15">
        <v>1011</v>
      </c>
      <c r="O15" t="s">
        <v>299</v>
      </c>
      <c r="P15" t="s">
        <v>299</v>
      </c>
      <c r="Q15">
        <v>1</v>
      </c>
      <c r="W15">
        <v>0</v>
      </c>
      <c r="X15">
        <v>-1985943078</v>
      </c>
      <c r="Y15">
        <f>(AT15*1.1)</f>
        <v>3.3000000000000002E-2</v>
      </c>
      <c r="AA15">
        <v>0</v>
      </c>
      <c r="AB15">
        <v>1418.19</v>
      </c>
      <c r="AC15">
        <v>726.59</v>
      </c>
      <c r="AD15">
        <v>0</v>
      </c>
      <c r="AE15">
        <v>0</v>
      </c>
      <c r="AF15">
        <v>83.1</v>
      </c>
      <c r="AG15">
        <v>12.62</v>
      </c>
      <c r="AH15">
        <v>0</v>
      </c>
      <c r="AI15">
        <v>1</v>
      </c>
      <c r="AJ15">
        <v>16.3</v>
      </c>
      <c r="AK15">
        <v>54.99</v>
      </c>
      <c r="AL15">
        <v>1</v>
      </c>
      <c r="AM15">
        <v>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0.03</v>
      </c>
      <c r="AU15" t="s">
        <v>23</v>
      </c>
      <c r="AV15">
        <v>0</v>
      </c>
      <c r="AW15">
        <v>2</v>
      </c>
      <c r="AX15">
        <v>60257515</v>
      </c>
      <c r="AY15">
        <v>1</v>
      </c>
      <c r="AZ15">
        <v>0</v>
      </c>
      <c r="BA15">
        <v>15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f>ROUND(Y15*Source!I29*DO15,9)</f>
        <v>0.41646</v>
      </c>
      <c r="CX15">
        <f>ROUND(Y15*Source!I29,9)</f>
        <v>3.3000000000000002E-2</v>
      </c>
      <c r="CY15">
        <f>AB15</f>
        <v>1418.19</v>
      </c>
      <c r="CZ15">
        <f>AF15</f>
        <v>83.1</v>
      </c>
      <c r="DA15">
        <f>AJ15</f>
        <v>16.3</v>
      </c>
      <c r="DB15">
        <f>ROUND((ROUND(AT15*CZ15,2)*1.1),6)</f>
        <v>2.7389999999999999</v>
      </c>
      <c r="DC15">
        <f>ROUND((ROUND(AT15*AG15,2)*1.1),6)</f>
        <v>0.41799999999999998</v>
      </c>
      <c r="DD15" t="s">
        <v>3</v>
      </c>
      <c r="DE15" t="s">
        <v>3</v>
      </c>
      <c r="DF15">
        <f t="shared" si="0"/>
        <v>0</v>
      </c>
      <c r="DG15">
        <f>ROUND(ROUND(AF15*AJ15,2)*CX15,2)</f>
        <v>44.7</v>
      </c>
      <c r="DH15">
        <f>ROUND(ROUND(AG15*AK15,2)*CX15,2)</f>
        <v>22.9</v>
      </c>
      <c r="DI15">
        <f t="shared" si="3"/>
        <v>0</v>
      </c>
      <c r="DJ15">
        <f>DG15</f>
        <v>44.7</v>
      </c>
      <c r="DK15">
        <v>0</v>
      </c>
      <c r="DL15" t="s">
        <v>303</v>
      </c>
      <c r="DM15">
        <v>0</v>
      </c>
      <c r="DN15" t="s">
        <v>295</v>
      </c>
      <c r="DO15">
        <v>12.62</v>
      </c>
    </row>
    <row r="16" spans="1:119" x14ac:dyDescent="0.2">
      <c r="A16">
        <f>ROW(Source!A29)</f>
        <v>29</v>
      </c>
      <c r="B16">
        <v>60256982</v>
      </c>
      <c r="C16">
        <v>60257099</v>
      </c>
      <c r="D16">
        <v>59070743</v>
      </c>
      <c r="E16">
        <v>1</v>
      </c>
      <c r="F16">
        <v>1</v>
      </c>
      <c r="G16">
        <v>1080</v>
      </c>
      <c r="H16">
        <v>2</v>
      </c>
      <c r="I16" t="s">
        <v>304</v>
      </c>
      <c r="J16" t="s">
        <v>305</v>
      </c>
      <c r="K16" t="s">
        <v>306</v>
      </c>
      <c r="L16">
        <v>1368</v>
      </c>
      <c r="N16">
        <v>1011</v>
      </c>
      <c r="O16" t="s">
        <v>299</v>
      </c>
      <c r="P16" t="s">
        <v>299</v>
      </c>
      <c r="Q16">
        <v>1</v>
      </c>
      <c r="W16">
        <v>0</v>
      </c>
      <c r="X16">
        <v>-156805976</v>
      </c>
      <c r="Y16">
        <f>(AT16*1.1)</f>
        <v>0.50600000000000012</v>
      </c>
      <c r="AA16">
        <v>0</v>
      </c>
      <c r="AB16">
        <v>7.1</v>
      </c>
      <c r="AC16">
        <v>0</v>
      </c>
      <c r="AD16">
        <v>0</v>
      </c>
      <c r="AE16">
        <v>0</v>
      </c>
      <c r="AF16">
        <v>0.78</v>
      </c>
      <c r="AG16">
        <v>0</v>
      </c>
      <c r="AH16">
        <v>0</v>
      </c>
      <c r="AI16">
        <v>1</v>
      </c>
      <c r="AJ16">
        <v>8.69</v>
      </c>
      <c r="AK16">
        <v>54.99</v>
      </c>
      <c r="AL16">
        <v>1</v>
      </c>
      <c r="AM16">
        <v>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0.46</v>
      </c>
      <c r="AU16" t="s">
        <v>23</v>
      </c>
      <c r="AV16">
        <v>0</v>
      </c>
      <c r="AW16">
        <v>2</v>
      </c>
      <c r="AX16">
        <v>60257516</v>
      </c>
      <c r="AY16">
        <v>1</v>
      </c>
      <c r="AZ16">
        <v>0</v>
      </c>
      <c r="BA16">
        <v>16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f>ROUND(Y16*Source!I29*DO16,9)</f>
        <v>0</v>
      </c>
      <c r="CX16">
        <f>ROUND(Y16*Source!I29,9)</f>
        <v>0.50600000000000001</v>
      </c>
      <c r="CY16">
        <f>AB16</f>
        <v>7.1</v>
      </c>
      <c r="CZ16">
        <f>AF16</f>
        <v>0.78</v>
      </c>
      <c r="DA16">
        <f>AJ16</f>
        <v>8.69</v>
      </c>
      <c r="DB16">
        <f>ROUND((ROUND(AT16*CZ16,2)*1.1),6)</f>
        <v>0.39600000000000002</v>
      </c>
      <c r="DC16">
        <f>ROUND((ROUND(AT16*AG16,2)*1.1),6)</f>
        <v>0</v>
      </c>
      <c r="DD16" t="s">
        <v>3</v>
      </c>
      <c r="DE16" t="s">
        <v>3</v>
      </c>
      <c r="DF16">
        <f t="shared" si="0"/>
        <v>0</v>
      </c>
      <c r="DG16">
        <f>ROUND(ROUND(AF16*AJ16,2)*CX16,2)</f>
        <v>3.43</v>
      </c>
      <c r="DH16">
        <f>ROUND(ROUND(AG16*AK16,2)*CX16,2)</f>
        <v>0</v>
      </c>
      <c r="DI16">
        <f t="shared" si="3"/>
        <v>0</v>
      </c>
      <c r="DJ16">
        <f>DG16</f>
        <v>3.43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ROW(Source!A29)</f>
        <v>29</v>
      </c>
      <c r="B17">
        <v>60256982</v>
      </c>
      <c r="C17">
        <v>60257099</v>
      </c>
      <c r="D17">
        <v>59039969</v>
      </c>
      <c r="E17">
        <v>1</v>
      </c>
      <c r="F17">
        <v>1</v>
      </c>
      <c r="G17">
        <v>1080</v>
      </c>
      <c r="H17">
        <v>3</v>
      </c>
      <c r="I17" t="s">
        <v>307</v>
      </c>
      <c r="J17" t="s">
        <v>308</v>
      </c>
      <c r="K17" t="s">
        <v>309</v>
      </c>
      <c r="L17">
        <v>1348</v>
      </c>
      <c r="N17">
        <v>1009</v>
      </c>
      <c r="O17" t="s">
        <v>310</v>
      </c>
      <c r="P17" t="s">
        <v>310</v>
      </c>
      <c r="Q17">
        <v>1000</v>
      </c>
      <c r="W17">
        <v>0</v>
      </c>
      <c r="X17">
        <v>-2039612599</v>
      </c>
      <c r="Y17">
        <f t="shared" ref="Y17:Y24" si="11">AT17</f>
        <v>1.21E-4</v>
      </c>
      <c r="AA17">
        <v>93559.38</v>
      </c>
      <c r="AB17">
        <v>0</v>
      </c>
      <c r="AC17">
        <v>0</v>
      </c>
      <c r="AD17">
        <v>0</v>
      </c>
      <c r="AE17">
        <v>7185.82</v>
      </c>
      <c r="AF17">
        <v>0</v>
      </c>
      <c r="AG17">
        <v>0</v>
      </c>
      <c r="AH17">
        <v>0</v>
      </c>
      <c r="AI17">
        <v>13.02</v>
      </c>
      <c r="AJ17">
        <v>1</v>
      </c>
      <c r="AK17">
        <v>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1.21E-4</v>
      </c>
      <c r="AU17" t="s">
        <v>3</v>
      </c>
      <c r="AV17">
        <v>0</v>
      </c>
      <c r="AW17">
        <v>2</v>
      </c>
      <c r="AX17">
        <v>60257517</v>
      </c>
      <c r="AY17">
        <v>1</v>
      </c>
      <c r="AZ17">
        <v>0</v>
      </c>
      <c r="BA17">
        <v>17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ROUND(Y17*Source!I29,9)</f>
        <v>1.21E-4</v>
      </c>
      <c r="CY17">
        <f t="shared" ref="CY17:CY24" si="12">AA17</f>
        <v>93559.38</v>
      </c>
      <c r="CZ17">
        <f t="shared" ref="CZ17:CZ24" si="13">AE17</f>
        <v>7185.82</v>
      </c>
      <c r="DA17">
        <f t="shared" ref="DA17:DA24" si="14">AI17</f>
        <v>13.02</v>
      </c>
      <c r="DB17">
        <f t="shared" ref="DB17:DB24" si="15">ROUND(ROUND(AT17*CZ17,2),6)</f>
        <v>0.87</v>
      </c>
      <c r="DC17">
        <f t="shared" ref="DC17:DC24" si="16">ROUND(ROUND(AT17*AG17,2),6)</f>
        <v>0</v>
      </c>
      <c r="DD17" t="s">
        <v>3</v>
      </c>
      <c r="DE17" t="s">
        <v>3</v>
      </c>
      <c r="DF17">
        <f t="shared" ref="DF17:DF24" si="17">ROUND(ROUND(AE17*AI17,2)*CX17,2)</f>
        <v>11.32</v>
      </c>
      <c r="DG17">
        <f t="shared" ref="DG17:DG28" si="18">ROUND(ROUND(AF17,2)*CX17,2)</f>
        <v>0</v>
      </c>
      <c r="DH17">
        <f t="shared" ref="DH17:DH28" si="19">ROUND(ROUND(AG17,2)*CX17,2)</f>
        <v>0</v>
      </c>
      <c r="DI17">
        <f t="shared" si="3"/>
        <v>0</v>
      </c>
      <c r="DJ17">
        <f t="shared" ref="DJ17:DJ24" si="20">DF17</f>
        <v>11.32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ROW(Source!A29)</f>
        <v>29</v>
      </c>
      <c r="B18">
        <v>60256982</v>
      </c>
      <c r="C18">
        <v>60257099</v>
      </c>
      <c r="D18">
        <v>59039978</v>
      </c>
      <c r="E18">
        <v>1</v>
      </c>
      <c r="F18">
        <v>1</v>
      </c>
      <c r="G18">
        <v>1080</v>
      </c>
      <c r="H18">
        <v>3</v>
      </c>
      <c r="I18" t="s">
        <v>311</v>
      </c>
      <c r="J18" t="s">
        <v>312</v>
      </c>
      <c r="K18" t="s">
        <v>313</v>
      </c>
      <c r="L18">
        <v>1346</v>
      </c>
      <c r="N18">
        <v>1009</v>
      </c>
      <c r="O18" t="s">
        <v>314</v>
      </c>
      <c r="P18" t="s">
        <v>314</v>
      </c>
      <c r="Q18">
        <v>1</v>
      </c>
      <c r="W18">
        <v>0</v>
      </c>
      <c r="X18">
        <v>1368649771</v>
      </c>
      <c r="Y18">
        <f t="shared" si="11"/>
        <v>2.3E-2</v>
      </c>
      <c r="AA18">
        <v>78.430000000000007</v>
      </c>
      <c r="AB18">
        <v>0</v>
      </c>
      <c r="AC18">
        <v>0</v>
      </c>
      <c r="AD18">
        <v>0</v>
      </c>
      <c r="AE18">
        <v>29.82</v>
      </c>
      <c r="AF18">
        <v>0</v>
      </c>
      <c r="AG18">
        <v>0</v>
      </c>
      <c r="AH18">
        <v>0</v>
      </c>
      <c r="AI18">
        <v>2.63</v>
      </c>
      <c r="AJ18">
        <v>1</v>
      </c>
      <c r="AK18">
        <v>1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2.3E-2</v>
      </c>
      <c r="AU18" t="s">
        <v>3</v>
      </c>
      <c r="AV18">
        <v>0</v>
      </c>
      <c r="AW18">
        <v>2</v>
      </c>
      <c r="AX18">
        <v>60257518</v>
      </c>
      <c r="AY18">
        <v>1</v>
      </c>
      <c r="AZ18">
        <v>0</v>
      </c>
      <c r="BA18">
        <v>18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ROUND(Y18*Source!I29,9)</f>
        <v>2.3E-2</v>
      </c>
      <c r="CY18">
        <f t="shared" si="12"/>
        <v>78.430000000000007</v>
      </c>
      <c r="CZ18">
        <f t="shared" si="13"/>
        <v>29.82</v>
      </c>
      <c r="DA18">
        <f t="shared" si="14"/>
        <v>2.63</v>
      </c>
      <c r="DB18">
        <f t="shared" si="15"/>
        <v>0.69</v>
      </c>
      <c r="DC18">
        <f t="shared" si="16"/>
        <v>0</v>
      </c>
      <c r="DD18" t="s">
        <v>3</v>
      </c>
      <c r="DE18" t="s">
        <v>3</v>
      </c>
      <c r="DF18">
        <f t="shared" si="17"/>
        <v>1.8</v>
      </c>
      <c r="DG18">
        <f t="shared" si="18"/>
        <v>0</v>
      </c>
      <c r="DH18">
        <f t="shared" si="19"/>
        <v>0</v>
      </c>
      <c r="DI18">
        <f t="shared" si="3"/>
        <v>0</v>
      </c>
      <c r="DJ18">
        <f t="shared" si="20"/>
        <v>1.8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ROW(Source!A29)</f>
        <v>29</v>
      </c>
      <c r="B19">
        <v>60256982</v>
      </c>
      <c r="C19">
        <v>60257099</v>
      </c>
      <c r="D19">
        <v>59038948</v>
      </c>
      <c r="E19">
        <v>1</v>
      </c>
      <c r="F19">
        <v>1</v>
      </c>
      <c r="G19">
        <v>1080</v>
      </c>
      <c r="H19">
        <v>3</v>
      </c>
      <c r="I19" t="s">
        <v>315</v>
      </c>
      <c r="J19" t="s">
        <v>316</v>
      </c>
      <c r="K19" t="s">
        <v>317</v>
      </c>
      <c r="L19">
        <v>1348</v>
      </c>
      <c r="N19">
        <v>1009</v>
      </c>
      <c r="O19" t="s">
        <v>310</v>
      </c>
      <c r="P19" t="s">
        <v>310</v>
      </c>
      <c r="Q19">
        <v>1000</v>
      </c>
      <c r="W19">
        <v>0</v>
      </c>
      <c r="X19">
        <v>2017980840</v>
      </c>
      <c r="Y19">
        <f t="shared" si="11"/>
        <v>1.8E-5</v>
      </c>
      <c r="AA19">
        <v>66964.52</v>
      </c>
      <c r="AB19">
        <v>0</v>
      </c>
      <c r="AC19">
        <v>0</v>
      </c>
      <c r="AD19">
        <v>0</v>
      </c>
      <c r="AE19">
        <v>18653.07</v>
      </c>
      <c r="AF19">
        <v>0</v>
      </c>
      <c r="AG19">
        <v>0</v>
      </c>
      <c r="AH19">
        <v>0</v>
      </c>
      <c r="AI19">
        <v>3.59</v>
      </c>
      <c r="AJ19">
        <v>1</v>
      </c>
      <c r="AK19">
        <v>1</v>
      </c>
      <c r="AL19">
        <v>1</v>
      </c>
      <c r="AM19">
        <v>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1.8E-5</v>
      </c>
      <c r="AU19" t="s">
        <v>3</v>
      </c>
      <c r="AV19">
        <v>0</v>
      </c>
      <c r="AW19">
        <v>2</v>
      </c>
      <c r="AX19">
        <v>60257519</v>
      </c>
      <c r="AY19">
        <v>1</v>
      </c>
      <c r="AZ19">
        <v>0</v>
      </c>
      <c r="BA19">
        <v>19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ROUND(Y19*Source!I29,9)</f>
        <v>1.8E-5</v>
      </c>
      <c r="CY19">
        <f t="shared" si="12"/>
        <v>66964.52</v>
      </c>
      <c r="CZ19">
        <f t="shared" si="13"/>
        <v>18653.07</v>
      </c>
      <c r="DA19">
        <f t="shared" si="14"/>
        <v>3.59</v>
      </c>
      <c r="DB19">
        <f t="shared" si="15"/>
        <v>0.34</v>
      </c>
      <c r="DC19">
        <f t="shared" si="16"/>
        <v>0</v>
      </c>
      <c r="DD19" t="s">
        <v>3</v>
      </c>
      <c r="DE19" t="s">
        <v>3</v>
      </c>
      <c r="DF19">
        <f t="shared" si="17"/>
        <v>1.21</v>
      </c>
      <c r="DG19">
        <f t="shared" si="18"/>
        <v>0</v>
      </c>
      <c r="DH19">
        <f t="shared" si="19"/>
        <v>0</v>
      </c>
      <c r="DI19">
        <f t="shared" si="3"/>
        <v>0</v>
      </c>
      <c r="DJ19">
        <f t="shared" si="20"/>
        <v>1.21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ROW(Source!A29)</f>
        <v>29</v>
      </c>
      <c r="B20">
        <v>60256982</v>
      </c>
      <c r="C20">
        <v>60257099</v>
      </c>
      <c r="D20">
        <v>59040738</v>
      </c>
      <c r="E20">
        <v>1</v>
      </c>
      <c r="F20">
        <v>1</v>
      </c>
      <c r="G20">
        <v>1080</v>
      </c>
      <c r="H20">
        <v>3</v>
      </c>
      <c r="I20" t="s">
        <v>318</v>
      </c>
      <c r="J20" t="s">
        <v>319</v>
      </c>
      <c r="K20" t="s">
        <v>320</v>
      </c>
      <c r="L20">
        <v>1348</v>
      </c>
      <c r="N20">
        <v>1009</v>
      </c>
      <c r="O20" t="s">
        <v>310</v>
      </c>
      <c r="P20" t="s">
        <v>310</v>
      </c>
      <c r="Q20">
        <v>1000</v>
      </c>
      <c r="W20">
        <v>0</v>
      </c>
      <c r="X20">
        <v>1835689910</v>
      </c>
      <c r="Y20">
        <f t="shared" si="11"/>
        <v>2.3780000000000001E-4</v>
      </c>
      <c r="AA20">
        <v>121197.56</v>
      </c>
      <c r="AB20">
        <v>0</v>
      </c>
      <c r="AC20">
        <v>0</v>
      </c>
      <c r="AD20">
        <v>0</v>
      </c>
      <c r="AE20">
        <v>11487.92</v>
      </c>
      <c r="AF20">
        <v>0</v>
      </c>
      <c r="AG20">
        <v>0</v>
      </c>
      <c r="AH20">
        <v>0</v>
      </c>
      <c r="AI20">
        <v>10.55</v>
      </c>
      <c r="AJ20">
        <v>1</v>
      </c>
      <c r="AK20">
        <v>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2.3780000000000001E-4</v>
      </c>
      <c r="AU20" t="s">
        <v>3</v>
      </c>
      <c r="AV20">
        <v>0</v>
      </c>
      <c r="AW20">
        <v>2</v>
      </c>
      <c r="AX20">
        <v>60257520</v>
      </c>
      <c r="AY20">
        <v>1</v>
      </c>
      <c r="AZ20">
        <v>0</v>
      </c>
      <c r="BA20">
        <v>20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ROUND(Y20*Source!I29,9)</f>
        <v>2.3780000000000001E-4</v>
      </c>
      <c r="CY20">
        <f t="shared" si="12"/>
        <v>121197.56</v>
      </c>
      <c r="CZ20">
        <f t="shared" si="13"/>
        <v>11487.92</v>
      </c>
      <c r="DA20">
        <f t="shared" si="14"/>
        <v>10.55</v>
      </c>
      <c r="DB20">
        <f t="shared" si="15"/>
        <v>2.73</v>
      </c>
      <c r="DC20">
        <f t="shared" si="16"/>
        <v>0</v>
      </c>
      <c r="DD20" t="s">
        <v>3</v>
      </c>
      <c r="DE20" t="s">
        <v>3</v>
      </c>
      <c r="DF20">
        <f t="shared" si="17"/>
        <v>28.82</v>
      </c>
      <c r="DG20">
        <f t="shared" si="18"/>
        <v>0</v>
      </c>
      <c r="DH20">
        <f t="shared" si="19"/>
        <v>0</v>
      </c>
      <c r="DI20">
        <f t="shared" si="3"/>
        <v>0</v>
      </c>
      <c r="DJ20">
        <f t="shared" si="20"/>
        <v>28.82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ROW(Source!A29)</f>
        <v>29</v>
      </c>
      <c r="B21">
        <v>60256982</v>
      </c>
      <c r="C21">
        <v>60257099</v>
      </c>
      <c r="D21">
        <v>59041302</v>
      </c>
      <c r="E21">
        <v>1</v>
      </c>
      <c r="F21">
        <v>1</v>
      </c>
      <c r="G21">
        <v>1080</v>
      </c>
      <c r="H21">
        <v>3</v>
      </c>
      <c r="I21" t="s">
        <v>321</v>
      </c>
      <c r="J21" t="s">
        <v>322</v>
      </c>
      <c r="K21" t="s">
        <v>323</v>
      </c>
      <c r="L21">
        <v>1348</v>
      </c>
      <c r="N21">
        <v>1009</v>
      </c>
      <c r="O21" t="s">
        <v>310</v>
      </c>
      <c r="P21" t="s">
        <v>310</v>
      </c>
      <c r="Q21">
        <v>1000</v>
      </c>
      <c r="W21">
        <v>0</v>
      </c>
      <c r="X21">
        <v>2135033779</v>
      </c>
      <c r="Y21">
        <f t="shared" si="11"/>
        <v>7.0000000000000001E-3</v>
      </c>
      <c r="AA21">
        <v>58515.360000000001</v>
      </c>
      <c r="AB21">
        <v>0</v>
      </c>
      <c r="AC21">
        <v>0</v>
      </c>
      <c r="AD21">
        <v>0</v>
      </c>
      <c r="AE21">
        <v>12089.95</v>
      </c>
      <c r="AF21">
        <v>0</v>
      </c>
      <c r="AG21">
        <v>0</v>
      </c>
      <c r="AH21">
        <v>0</v>
      </c>
      <c r="AI21">
        <v>4.84</v>
      </c>
      <c r="AJ21">
        <v>1</v>
      </c>
      <c r="AK21">
        <v>1</v>
      </c>
      <c r="AL21">
        <v>1</v>
      </c>
      <c r="AM21">
        <v>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7.0000000000000001E-3</v>
      </c>
      <c r="AU21" t="s">
        <v>3</v>
      </c>
      <c r="AV21">
        <v>0</v>
      </c>
      <c r="AW21">
        <v>2</v>
      </c>
      <c r="AX21">
        <v>60257521</v>
      </c>
      <c r="AY21">
        <v>1</v>
      </c>
      <c r="AZ21">
        <v>0</v>
      </c>
      <c r="BA21">
        <v>21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ROUND(Y21*Source!I29,9)</f>
        <v>7.0000000000000001E-3</v>
      </c>
      <c r="CY21">
        <f t="shared" si="12"/>
        <v>58515.360000000001</v>
      </c>
      <c r="CZ21">
        <f t="shared" si="13"/>
        <v>12089.95</v>
      </c>
      <c r="DA21">
        <f t="shared" si="14"/>
        <v>4.84</v>
      </c>
      <c r="DB21">
        <f t="shared" si="15"/>
        <v>84.63</v>
      </c>
      <c r="DC21">
        <f t="shared" si="16"/>
        <v>0</v>
      </c>
      <c r="DD21" t="s">
        <v>3</v>
      </c>
      <c r="DE21" t="s">
        <v>3</v>
      </c>
      <c r="DF21">
        <f t="shared" si="17"/>
        <v>409.61</v>
      </c>
      <c r="DG21">
        <f t="shared" si="18"/>
        <v>0</v>
      </c>
      <c r="DH21">
        <f t="shared" si="19"/>
        <v>0</v>
      </c>
      <c r="DI21">
        <f t="shared" si="3"/>
        <v>0</v>
      </c>
      <c r="DJ21">
        <f t="shared" si="20"/>
        <v>409.61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ROW(Source!A29)</f>
        <v>29</v>
      </c>
      <c r="B22">
        <v>60256982</v>
      </c>
      <c r="C22">
        <v>60257099</v>
      </c>
      <c r="D22">
        <v>59039500</v>
      </c>
      <c r="E22">
        <v>1</v>
      </c>
      <c r="F22">
        <v>1</v>
      </c>
      <c r="G22">
        <v>1080</v>
      </c>
      <c r="H22">
        <v>3</v>
      </c>
      <c r="I22" t="s">
        <v>324</v>
      </c>
      <c r="J22" t="s">
        <v>325</v>
      </c>
      <c r="K22" t="s">
        <v>326</v>
      </c>
      <c r="L22">
        <v>1348</v>
      </c>
      <c r="N22">
        <v>1009</v>
      </c>
      <c r="O22" t="s">
        <v>310</v>
      </c>
      <c r="P22" t="s">
        <v>310</v>
      </c>
      <c r="Q22">
        <v>1000</v>
      </c>
      <c r="W22">
        <v>0</v>
      </c>
      <c r="X22">
        <v>432853124</v>
      </c>
      <c r="Y22">
        <f t="shared" si="11"/>
        <v>1.0000000000000001E-5</v>
      </c>
      <c r="AA22">
        <v>134057.4</v>
      </c>
      <c r="AB22">
        <v>0</v>
      </c>
      <c r="AC22">
        <v>0</v>
      </c>
      <c r="AD22">
        <v>0</v>
      </c>
      <c r="AE22">
        <v>8582.42</v>
      </c>
      <c r="AF22">
        <v>0</v>
      </c>
      <c r="AG22">
        <v>0</v>
      </c>
      <c r="AH22">
        <v>0</v>
      </c>
      <c r="AI22">
        <v>15.62</v>
      </c>
      <c r="AJ22">
        <v>1</v>
      </c>
      <c r="AK22">
        <v>1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1.0000000000000001E-5</v>
      </c>
      <c r="AU22" t="s">
        <v>3</v>
      </c>
      <c r="AV22">
        <v>0</v>
      </c>
      <c r="AW22">
        <v>2</v>
      </c>
      <c r="AX22">
        <v>60257522</v>
      </c>
      <c r="AY22">
        <v>1</v>
      </c>
      <c r="AZ22">
        <v>0</v>
      </c>
      <c r="BA22">
        <v>22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ROUND(Y22*Source!I29,9)</f>
        <v>1.0000000000000001E-5</v>
      </c>
      <c r="CY22">
        <f t="shared" si="12"/>
        <v>134057.4</v>
      </c>
      <c r="CZ22">
        <f t="shared" si="13"/>
        <v>8582.42</v>
      </c>
      <c r="DA22">
        <f t="shared" si="14"/>
        <v>15.62</v>
      </c>
      <c r="DB22">
        <f t="shared" si="15"/>
        <v>0.09</v>
      </c>
      <c r="DC22">
        <f t="shared" si="16"/>
        <v>0</v>
      </c>
      <c r="DD22" t="s">
        <v>3</v>
      </c>
      <c r="DE22" t="s">
        <v>3</v>
      </c>
      <c r="DF22">
        <f t="shared" si="17"/>
        <v>1.34</v>
      </c>
      <c r="DG22">
        <f t="shared" si="18"/>
        <v>0</v>
      </c>
      <c r="DH22">
        <f t="shared" si="19"/>
        <v>0</v>
      </c>
      <c r="DI22">
        <f t="shared" si="3"/>
        <v>0</v>
      </c>
      <c r="DJ22">
        <f t="shared" si="20"/>
        <v>1.34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ROW(Source!A29)</f>
        <v>29</v>
      </c>
      <c r="B23">
        <v>60256982</v>
      </c>
      <c r="C23">
        <v>60257099</v>
      </c>
      <c r="D23">
        <v>59039504</v>
      </c>
      <c r="E23">
        <v>1</v>
      </c>
      <c r="F23">
        <v>1</v>
      </c>
      <c r="G23">
        <v>1080</v>
      </c>
      <c r="H23">
        <v>3</v>
      </c>
      <c r="I23" t="s">
        <v>327</v>
      </c>
      <c r="J23" t="s">
        <v>328</v>
      </c>
      <c r="K23" t="s">
        <v>329</v>
      </c>
      <c r="L23">
        <v>1348</v>
      </c>
      <c r="N23">
        <v>1009</v>
      </c>
      <c r="O23" t="s">
        <v>310</v>
      </c>
      <c r="P23" t="s">
        <v>310</v>
      </c>
      <c r="Q23">
        <v>1000</v>
      </c>
      <c r="W23">
        <v>0</v>
      </c>
      <c r="X23">
        <v>1850032922</v>
      </c>
      <c r="Y23">
        <f t="shared" si="11"/>
        <v>1.9999999999999999E-6</v>
      </c>
      <c r="AA23">
        <v>56975.05</v>
      </c>
      <c r="AB23">
        <v>0</v>
      </c>
      <c r="AC23">
        <v>0</v>
      </c>
      <c r="AD23">
        <v>0</v>
      </c>
      <c r="AE23">
        <v>12521.99</v>
      </c>
      <c r="AF23">
        <v>0</v>
      </c>
      <c r="AG23">
        <v>0</v>
      </c>
      <c r="AH23">
        <v>0</v>
      </c>
      <c r="AI23">
        <v>4.55</v>
      </c>
      <c r="AJ23">
        <v>1</v>
      </c>
      <c r="AK23">
        <v>1</v>
      </c>
      <c r="AL23">
        <v>1</v>
      </c>
      <c r="AM23">
        <v>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1.9999999999999999E-6</v>
      </c>
      <c r="AU23" t="s">
        <v>3</v>
      </c>
      <c r="AV23">
        <v>0</v>
      </c>
      <c r="AW23">
        <v>2</v>
      </c>
      <c r="AX23">
        <v>60257523</v>
      </c>
      <c r="AY23">
        <v>1</v>
      </c>
      <c r="AZ23">
        <v>0</v>
      </c>
      <c r="BA23">
        <v>23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v>0</v>
      </c>
      <c r="CX23">
        <f>ROUND(Y23*Source!I29,9)</f>
        <v>1.9999999999999999E-6</v>
      </c>
      <c r="CY23">
        <f t="shared" si="12"/>
        <v>56975.05</v>
      </c>
      <c r="CZ23">
        <f t="shared" si="13"/>
        <v>12521.99</v>
      </c>
      <c r="DA23">
        <f t="shared" si="14"/>
        <v>4.55</v>
      </c>
      <c r="DB23">
        <f t="shared" si="15"/>
        <v>0.03</v>
      </c>
      <c r="DC23">
        <f t="shared" si="16"/>
        <v>0</v>
      </c>
      <c r="DD23" t="s">
        <v>3</v>
      </c>
      <c r="DE23" t="s">
        <v>3</v>
      </c>
      <c r="DF23">
        <f t="shared" si="17"/>
        <v>0.11</v>
      </c>
      <c r="DG23">
        <f t="shared" si="18"/>
        <v>0</v>
      </c>
      <c r="DH23">
        <f t="shared" si="19"/>
        <v>0</v>
      </c>
      <c r="DI23">
        <f t="shared" si="3"/>
        <v>0</v>
      </c>
      <c r="DJ23">
        <f t="shared" si="20"/>
        <v>0.11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ROW(Source!A29)</f>
        <v>29</v>
      </c>
      <c r="B24">
        <v>60256982</v>
      </c>
      <c r="C24">
        <v>60257099</v>
      </c>
      <c r="D24">
        <v>0</v>
      </c>
      <c r="E24">
        <v>1080</v>
      </c>
      <c r="F24">
        <v>1</v>
      </c>
      <c r="G24">
        <v>1080</v>
      </c>
      <c r="H24">
        <v>3</v>
      </c>
      <c r="I24" t="s">
        <v>29</v>
      </c>
      <c r="J24" t="s">
        <v>3</v>
      </c>
      <c r="K24" t="s">
        <v>30</v>
      </c>
      <c r="L24">
        <v>1354</v>
      </c>
      <c r="N24">
        <v>1010</v>
      </c>
      <c r="O24" t="s">
        <v>31</v>
      </c>
      <c r="P24" t="s">
        <v>31</v>
      </c>
      <c r="Q24">
        <v>1</v>
      </c>
      <c r="W24">
        <v>0</v>
      </c>
      <c r="X24">
        <v>724478812</v>
      </c>
      <c r="Y24">
        <f t="shared" si="11"/>
        <v>1</v>
      </c>
      <c r="AA24">
        <v>347025.81</v>
      </c>
      <c r="AB24">
        <v>0</v>
      </c>
      <c r="AC24">
        <v>0</v>
      </c>
      <c r="AD24">
        <v>0</v>
      </c>
      <c r="AE24">
        <v>45303.63</v>
      </c>
      <c r="AF24">
        <v>0</v>
      </c>
      <c r="AG24">
        <v>0</v>
      </c>
      <c r="AH24">
        <v>0</v>
      </c>
      <c r="AI24">
        <v>7.66</v>
      </c>
      <c r="AJ24">
        <v>1</v>
      </c>
      <c r="AK24">
        <v>1</v>
      </c>
      <c r="AL24">
        <v>1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 t="s">
        <v>3</v>
      </c>
      <c r="AT24">
        <v>1</v>
      </c>
      <c r="AU24" t="s">
        <v>3</v>
      </c>
      <c r="AV24">
        <v>0</v>
      </c>
      <c r="AW24">
        <v>1</v>
      </c>
      <c r="AX24">
        <v>-1</v>
      </c>
      <c r="AY24">
        <v>0</v>
      </c>
      <c r="AZ24">
        <v>0</v>
      </c>
      <c r="BA24" t="s">
        <v>3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ROUND(Y24*Source!I29,9)</f>
        <v>1</v>
      </c>
      <c r="CY24">
        <f t="shared" si="12"/>
        <v>347025.81</v>
      </c>
      <c r="CZ24">
        <f t="shared" si="13"/>
        <v>45303.63</v>
      </c>
      <c r="DA24">
        <f t="shared" si="14"/>
        <v>7.66</v>
      </c>
      <c r="DB24">
        <f t="shared" si="15"/>
        <v>45303.63</v>
      </c>
      <c r="DC24">
        <f t="shared" si="16"/>
        <v>0</v>
      </c>
      <c r="DD24" t="s">
        <v>3</v>
      </c>
      <c r="DE24" t="s">
        <v>3</v>
      </c>
      <c r="DF24">
        <f t="shared" si="17"/>
        <v>347025.81</v>
      </c>
      <c r="DG24">
        <f t="shared" si="18"/>
        <v>0</v>
      </c>
      <c r="DH24">
        <f t="shared" si="19"/>
        <v>0</v>
      </c>
      <c r="DI24">
        <f t="shared" si="3"/>
        <v>0</v>
      </c>
      <c r="DJ24">
        <f t="shared" si="20"/>
        <v>347025.81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ROW(Source!A32)</f>
        <v>32</v>
      </c>
      <c r="B25">
        <v>60256985</v>
      </c>
      <c r="C25">
        <v>60257125</v>
      </c>
      <c r="D25">
        <v>58999254</v>
      </c>
      <c r="E25">
        <v>1080</v>
      </c>
      <c r="F25">
        <v>1</v>
      </c>
      <c r="G25">
        <v>1080</v>
      </c>
      <c r="H25">
        <v>1</v>
      </c>
      <c r="I25" t="s">
        <v>293</v>
      </c>
      <c r="J25" t="s">
        <v>3</v>
      </c>
      <c r="K25" t="s">
        <v>294</v>
      </c>
      <c r="L25">
        <v>1191</v>
      </c>
      <c r="N25">
        <v>1013</v>
      </c>
      <c r="O25" t="s">
        <v>295</v>
      </c>
      <c r="P25" t="s">
        <v>295</v>
      </c>
      <c r="Q25">
        <v>1</v>
      </c>
      <c r="W25">
        <v>0</v>
      </c>
      <c r="X25">
        <v>476480486</v>
      </c>
      <c r="Y25">
        <f>(AT25*1.1)</f>
        <v>1.1330000000000002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1.03</v>
      </c>
      <c r="AU25" t="s">
        <v>23</v>
      </c>
      <c r="AV25">
        <v>1</v>
      </c>
      <c r="AW25">
        <v>2</v>
      </c>
      <c r="AX25">
        <v>60257525</v>
      </c>
      <c r="AY25">
        <v>1</v>
      </c>
      <c r="AZ25">
        <v>0</v>
      </c>
      <c r="BA25">
        <v>25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U25">
        <f>ROUND(AT25*Source!I32*AH25*AL25,2)</f>
        <v>0</v>
      </c>
      <c r="CV25">
        <f>ROUND(Y25*Source!I32,9)</f>
        <v>1.133</v>
      </c>
      <c r="CW25">
        <v>0</v>
      </c>
      <c r="CX25">
        <f>ROUND(Y25*Source!I32,9)</f>
        <v>1.133</v>
      </c>
      <c r="CY25">
        <f>AD25</f>
        <v>0</v>
      </c>
      <c r="CZ25">
        <f>AH25</f>
        <v>0</v>
      </c>
      <c r="DA25">
        <f>AL25</f>
        <v>1</v>
      </c>
      <c r="DB25">
        <f>ROUND((ROUND(AT25*CZ25,2)*1.1),6)</f>
        <v>0</v>
      </c>
      <c r="DC25">
        <f>ROUND((ROUND(AT25*AG25,2)*1.1),6)</f>
        <v>0</v>
      </c>
      <c r="DD25" t="s">
        <v>3</v>
      </c>
      <c r="DE25" t="s">
        <v>3</v>
      </c>
      <c r="DF25">
        <f>ROUND(ROUND(AE25,2)*CX25,2)</f>
        <v>0</v>
      </c>
      <c r="DG25">
        <f t="shared" si="18"/>
        <v>0</v>
      </c>
      <c r="DH25">
        <f t="shared" si="19"/>
        <v>0</v>
      </c>
      <c r="DI25">
        <f t="shared" si="3"/>
        <v>0</v>
      </c>
      <c r="DJ25">
        <f>DI25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ROW(Source!A32)</f>
        <v>32</v>
      </c>
      <c r="B26">
        <v>60256985</v>
      </c>
      <c r="C26">
        <v>60257125</v>
      </c>
      <c r="D26">
        <v>59070669</v>
      </c>
      <c r="E26">
        <v>1</v>
      </c>
      <c r="F26">
        <v>1</v>
      </c>
      <c r="G26">
        <v>1080</v>
      </c>
      <c r="H26">
        <v>2</v>
      </c>
      <c r="I26" t="s">
        <v>300</v>
      </c>
      <c r="J26" t="s">
        <v>301</v>
      </c>
      <c r="K26" t="s">
        <v>302</v>
      </c>
      <c r="L26">
        <v>1368</v>
      </c>
      <c r="N26">
        <v>1011</v>
      </c>
      <c r="O26" t="s">
        <v>299</v>
      </c>
      <c r="P26" t="s">
        <v>299</v>
      </c>
      <c r="Q26">
        <v>1</v>
      </c>
      <c r="W26">
        <v>0</v>
      </c>
      <c r="X26">
        <v>-1985943078</v>
      </c>
      <c r="Y26">
        <f>(AT26*1.1)</f>
        <v>6.6000000000000008E-3</v>
      </c>
      <c r="AA26">
        <v>0</v>
      </c>
      <c r="AB26">
        <v>87.01</v>
      </c>
      <c r="AC26">
        <v>13.21</v>
      </c>
      <c r="AD26">
        <v>0</v>
      </c>
      <c r="AE26">
        <v>0</v>
      </c>
      <c r="AF26">
        <v>83.1</v>
      </c>
      <c r="AG26">
        <v>12.62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-2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6.0000000000000001E-3</v>
      </c>
      <c r="AU26" t="s">
        <v>23</v>
      </c>
      <c r="AV26">
        <v>0</v>
      </c>
      <c r="AW26">
        <v>2</v>
      </c>
      <c r="AX26">
        <v>60257526</v>
      </c>
      <c r="AY26">
        <v>1</v>
      </c>
      <c r="AZ26">
        <v>0</v>
      </c>
      <c r="BA26">
        <v>26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f>ROUND(Y26*Source!I32*DO26,9)</f>
        <v>8.3292000000000005E-2</v>
      </c>
      <c r="CX26">
        <f>ROUND(Y26*Source!I32,9)</f>
        <v>6.6E-3</v>
      </c>
      <c r="CY26">
        <f>AB26</f>
        <v>87.01</v>
      </c>
      <c r="CZ26">
        <f>AF26</f>
        <v>83.1</v>
      </c>
      <c r="DA26">
        <f>AJ26</f>
        <v>1</v>
      </c>
      <c r="DB26">
        <f>ROUND((ROUND(AT26*CZ26,2)*1.1),6)</f>
        <v>0.55000000000000004</v>
      </c>
      <c r="DC26">
        <f>ROUND((ROUND(AT26*AG26,2)*1.1),6)</f>
        <v>8.7999999999999995E-2</v>
      </c>
      <c r="DD26" t="s">
        <v>3</v>
      </c>
      <c r="DE26" t="s">
        <v>3</v>
      </c>
      <c r="DF26">
        <f>ROUND(ROUND(AE26,2)*CX26,2)</f>
        <v>0</v>
      </c>
      <c r="DG26">
        <f t="shared" si="18"/>
        <v>0.55000000000000004</v>
      </c>
      <c r="DH26">
        <f t="shared" si="19"/>
        <v>0.08</v>
      </c>
      <c r="DI26">
        <f t="shared" si="3"/>
        <v>0</v>
      </c>
      <c r="DJ26">
        <f>DG26</f>
        <v>0.55000000000000004</v>
      </c>
      <c r="DK26">
        <v>0</v>
      </c>
      <c r="DL26" t="s">
        <v>303</v>
      </c>
      <c r="DM26">
        <v>0</v>
      </c>
      <c r="DN26" t="s">
        <v>295</v>
      </c>
      <c r="DO26">
        <v>12.62</v>
      </c>
    </row>
    <row r="27" spans="1:119" x14ac:dyDescent="0.2">
      <c r="A27">
        <f>ROW(Source!A32)</f>
        <v>32</v>
      </c>
      <c r="B27">
        <v>60256985</v>
      </c>
      <c r="C27">
        <v>60257125</v>
      </c>
      <c r="D27">
        <v>0</v>
      </c>
      <c r="E27">
        <v>1080</v>
      </c>
      <c r="F27">
        <v>1</v>
      </c>
      <c r="G27">
        <v>1080</v>
      </c>
      <c r="H27">
        <v>3</v>
      </c>
      <c r="I27" t="s">
        <v>43</v>
      </c>
      <c r="J27" t="s">
        <v>3</v>
      </c>
      <c r="K27" t="s">
        <v>44</v>
      </c>
      <c r="L27">
        <v>1354</v>
      </c>
      <c r="N27">
        <v>1010</v>
      </c>
      <c r="O27" t="s">
        <v>31</v>
      </c>
      <c r="P27" t="s">
        <v>31</v>
      </c>
      <c r="Q27">
        <v>1</v>
      </c>
      <c r="W27">
        <v>0</v>
      </c>
      <c r="X27">
        <v>800583284</v>
      </c>
      <c r="Y27">
        <f>AT27</f>
        <v>1</v>
      </c>
      <c r="AA27">
        <v>3841.94</v>
      </c>
      <c r="AB27">
        <v>0</v>
      </c>
      <c r="AC27">
        <v>0</v>
      </c>
      <c r="AD27">
        <v>0</v>
      </c>
      <c r="AE27">
        <v>3841.94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 t="s">
        <v>3</v>
      </c>
      <c r="AT27">
        <v>1</v>
      </c>
      <c r="AU27" t="s">
        <v>3</v>
      </c>
      <c r="AV27">
        <v>0</v>
      </c>
      <c r="AW27">
        <v>1</v>
      </c>
      <c r="AX27">
        <v>-1</v>
      </c>
      <c r="AY27">
        <v>0</v>
      </c>
      <c r="AZ27">
        <v>0</v>
      </c>
      <c r="BA27" t="s">
        <v>3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ROUND(Y27*Source!I32,9)</f>
        <v>1</v>
      </c>
      <c r="CY27">
        <f>AA27</f>
        <v>3841.94</v>
      </c>
      <c r="CZ27">
        <f>AE27</f>
        <v>3841.94</v>
      </c>
      <c r="DA27">
        <f>AI27</f>
        <v>1</v>
      </c>
      <c r="DB27">
        <f>ROUND(ROUND(AT27*CZ27,2),6)</f>
        <v>3841.94</v>
      </c>
      <c r="DC27">
        <f>ROUND(ROUND(AT27*AG27,2),6)</f>
        <v>0</v>
      </c>
      <c r="DD27" t="s">
        <v>3</v>
      </c>
      <c r="DE27" t="s">
        <v>3</v>
      </c>
      <c r="DF27">
        <f>ROUND(ROUND(AE27,2)*CX27,2)</f>
        <v>3841.94</v>
      </c>
      <c r="DG27">
        <f t="shared" si="18"/>
        <v>0</v>
      </c>
      <c r="DH27">
        <f t="shared" si="19"/>
        <v>0</v>
      </c>
      <c r="DI27">
        <f t="shared" si="3"/>
        <v>0</v>
      </c>
      <c r="DJ27">
        <f>DF27</f>
        <v>3841.94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ROW(Source!A33)</f>
        <v>33</v>
      </c>
      <c r="B28">
        <v>60256982</v>
      </c>
      <c r="C28">
        <v>60257125</v>
      </c>
      <c r="D28">
        <v>58999254</v>
      </c>
      <c r="E28">
        <v>1080</v>
      </c>
      <c r="F28">
        <v>1</v>
      </c>
      <c r="G28">
        <v>1080</v>
      </c>
      <c r="H28">
        <v>1</v>
      </c>
      <c r="I28" t="s">
        <v>293</v>
      </c>
      <c r="J28" t="s">
        <v>3</v>
      </c>
      <c r="K28" t="s">
        <v>294</v>
      </c>
      <c r="L28">
        <v>1191</v>
      </c>
      <c r="N28">
        <v>1013</v>
      </c>
      <c r="O28" t="s">
        <v>295</v>
      </c>
      <c r="P28" t="s">
        <v>295</v>
      </c>
      <c r="Q28">
        <v>1</v>
      </c>
      <c r="W28">
        <v>0</v>
      </c>
      <c r="X28">
        <v>476480486</v>
      </c>
      <c r="Y28">
        <f>(AT28*1.1)</f>
        <v>1.1330000000000002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5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1.03</v>
      </c>
      <c r="AU28" t="s">
        <v>23</v>
      </c>
      <c r="AV28">
        <v>1</v>
      </c>
      <c r="AW28">
        <v>2</v>
      </c>
      <c r="AX28">
        <v>60257525</v>
      </c>
      <c r="AY28">
        <v>1</v>
      </c>
      <c r="AZ28">
        <v>0</v>
      </c>
      <c r="BA28">
        <v>28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U28">
        <f>ROUND(AT28*Source!I33*AH28*AL28,2)</f>
        <v>0</v>
      </c>
      <c r="CV28">
        <f>ROUND(Y28*Source!I33,9)</f>
        <v>1.133</v>
      </c>
      <c r="CW28">
        <v>0</v>
      </c>
      <c r="CX28">
        <f>ROUND(Y28*Source!I33,9)</f>
        <v>1.133</v>
      </c>
      <c r="CY28">
        <f>AD28</f>
        <v>0</v>
      </c>
      <c r="CZ28">
        <f>AH28</f>
        <v>0</v>
      </c>
      <c r="DA28">
        <f>AL28</f>
        <v>1</v>
      </c>
      <c r="DB28">
        <f>ROUND((ROUND(AT28*CZ28,2)*1.1),6)</f>
        <v>0</v>
      </c>
      <c r="DC28">
        <f>ROUND((ROUND(AT28*AG28,2)*1.1),6)</f>
        <v>0</v>
      </c>
      <c r="DD28" t="s">
        <v>3</v>
      </c>
      <c r="DE28" t="s">
        <v>3</v>
      </c>
      <c r="DF28">
        <f>ROUND(ROUND(AE28,2)*CX28,2)</f>
        <v>0</v>
      </c>
      <c r="DG28">
        <f t="shared" si="18"/>
        <v>0</v>
      </c>
      <c r="DH28">
        <f t="shared" si="19"/>
        <v>0</v>
      </c>
      <c r="DI28">
        <f t="shared" si="3"/>
        <v>0</v>
      </c>
      <c r="DJ28">
        <f>DI28</f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ROW(Source!A33)</f>
        <v>33</v>
      </c>
      <c r="B29">
        <v>60256982</v>
      </c>
      <c r="C29">
        <v>60257125</v>
      </c>
      <c r="D29">
        <v>59070669</v>
      </c>
      <c r="E29">
        <v>1</v>
      </c>
      <c r="F29">
        <v>1</v>
      </c>
      <c r="G29">
        <v>1080</v>
      </c>
      <c r="H29">
        <v>2</v>
      </c>
      <c r="I29" t="s">
        <v>300</v>
      </c>
      <c r="J29" t="s">
        <v>301</v>
      </c>
      <c r="K29" t="s">
        <v>302</v>
      </c>
      <c r="L29">
        <v>1368</v>
      </c>
      <c r="N29">
        <v>1011</v>
      </c>
      <c r="O29" t="s">
        <v>299</v>
      </c>
      <c r="P29" t="s">
        <v>299</v>
      </c>
      <c r="Q29">
        <v>1</v>
      </c>
      <c r="W29">
        <v>0</v>
      </c>
      <c r="X29">
        <v>-1985943078</v>
      </c>
      <c r="Y29">
        <f>(AT29*1.1)</f>
        <v>6.6000000000000008E-3</v>
      </c>
      <c r="AA29">
        <v>0</v>
      </c>
      <c r="AB29">
        <v>1418.19</v>
      </c>
      <c r="AC29">
        <v>726.59</v>
      </c>
      <c r="AD29">
        <v>0</v>
      </c>
      <c r="AE29">
        <v>0</v>
      </c>
      <c r="AF29">
        <v>83.1</v>
      </c>
      <c r="AG29">
        <v>12.62</v>
      </c>
      <c r="AH29">
        <v>0</v>
      </c>
      <c r="AI29">
        <v>1</v>
      </c>
      <c r="AJ29">
        <v>16.3</v>
      </c>
      <c r="AK29">
        <v>54.99</v>
      </c>
      <c r="AL29">
        <v>1</v>
      </c>
      <c r="AM29">
        <v>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6.0000000000000001E-3</v>
      </c>
      <c r="AU29" t="s">
        <v>23</v>
      </c>
      <c r="AV29">
        <v>0</v>
      </c>
      <c r="AW29">
        <v>2</v>
      </c>
      <c r="AX29">
        <v>60257526</v>
      </c>
      <c r="AY29">
        <v>1</v>
      </c>
      <c r="AZ29">
        <v>0</v>
      </c>
      <c r="BA29">
        <v>29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f>ROUND(Y29*Source!I33*DO29,9)</f>
        <v>8.3292000000000005E-2</v>
      </c>
      <c r="CX29">
        <f>ROUND(Y29*Source!I33,9)</f>
        <v>6.6E-3</v>
      </c>
      <c r="CY29">
        <f>AB29</f>
        <v>1418.19</v>
      </c>
      <c r="CZ29">
        <f>AF29</f>
        <v>83.1</v>
      </c>
      <c r="DA29">
        <f>AJ29</f>
        <v>16.3</v>
      </c>
      <c r="DB29">
        <f>ROUND((ROUND(AT29*CZ29,2)*1.1),6)</f>
        <v>0.55000000000000004</v>
      </c>
      <c r="DC29">
        <f>ROUND((ROUND(AT29*AG29,2)*1.1),6)</f>
        <v>8.7999999999999995E-2</v>
      </c>
      <c r="DD29" t="s">
        <v>3</v>
      </c>
      <c r="DE29" t="s">
        <v>3</v>
      </c>
      <c r="DF29">
        <f>ROUND(ROUND(AE29,2)*CX29,2)</f>
        <v>0</v>
      </c>
      <c r="DG29">
        <f>ROUND(ROUND(AF29*AJ29,2)*CX29,2)</f>
        <v>8.94</v>
      </c>
      <c r="DH29">
        <f>ROUND(ROUND(AG29*AK29,2)*CX29,2)</f>
        <v>4.58</v>
      </c>
      <c r="DI29">
        <f t="shared" si="3"/>
        <v>0</v>
      </c>
      <c r="DJ29">
        <f>DG29</f>
        <v>8.94</v>
      </c>
      <c r="DK29">
        <v>0</v>
      </c>
      <c r="DL29" t="s">
        <v>303</v>
      </c>
      <c r="DM29">
        <v>0</v>
      </c>
      <c r="DN29" t="s">
        <v>295</v>
      </c>
      <c r="DO29">
        <v>12.62</v>
      </c>
    </row>
    <row r="30" spans="1:119" x14ac:dyDescent="0.2">
      <c r="A30">
        <f>ROW(Source!A33)</f>
        <v>33</v>
      </c>
      <c r="B30">
        <v>60256982</v>
      </c>
      <c r="C30">
        <v>60257125</v>
      </c>
      <c r="D30">
        <v>0</v>
      </c>
      <c r="E30">
        <v>1080</v>
      </c>
      <c r="F30">
        <v>1</v>
      </c>
      <c r="G30">
        <v>1080</v>
      </c>
      <c r="H30">
        <v>3</v>
      </c>
      <c r="I30" t="s">
        <v>43</v>
      </c>
      <c r="J30" t="s">
        <v>3</v>
      </c>
      <c r="K30" t="s">
        <v>44</v>
      </c>
      <c r="L30">
        <v>1354</v>
      </c>
      <c r="N30">
        <v>1010</v>
      </c>
      <c r="O30" t="s">
        <v>31</v>
      </c>
      <c r="P30" t="s">
        <v>31</v>
      </c>
      <c r="Q30">
        <v>1</v>
      </c>
      <c r="W30">
        <v>0</v>
      </c>
      <c r="X30">
        <v>800583284</v>
      </c>
      <c r="Y30">
        <f>AT30</f>
        <v>1</v>
      </c>
      <c r="AA30">
        <v>29429.26</v>
      </c>
      <c r="AB30">
        <v>0</v>
      </c>
      <c r="AC30">
        <v>0</v>
      </c>
      <c r="AD30">
        <v>0</v>
      </c>
      <c r="AE30">
        <v>3841.94</v>
      </c>
      <c r="AF30">
        <v>0</v>
      </c>
      <c r="AG30">
        <v>0</v>
      </c>
      <c r="AH30">
        <v>0</v>
      </c>
      <c r="AI30">
        <v>7.66</v>
      </c>
      <c r="AJ30">
        <v>1</v>
      </c>
      <c r="AK30">
        <v>1</v>
      </c>
      <c r="AL30">
        <v>1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 t="s">
        <v>3</v>
      </c>
      <c r="AT30">
        <v>1</v>
      </c>
      <c r="AU30" t="s">
        <v>3</v>
      </c>
      <c r="AV30">
        <v>0</v>
      </c>
      <c r="AW30">
        <v>1</v>
      </c>
      <c r="AX30">
        <v>-1</v>
      </c>
      <c r="AY30">
        <v>0</v>
      </c>
      <c r="AZ30">
        <v>0</v>
      </c>
      <c r="BA30" t="s">
        <v>3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ROUND(Y30*Source!I33,9)</f>
        <v>1</v>
      </c>
      <c r="CY30">
        <f>AA30</f>
        <v>29429.26</v>
      </c>
      <c r="CZ30">
        <f>AE30</f>
        <v>3841.94</v>
      </c>
      <c r="DA30">
        <f>AI30</f>
        <v>7.66</v>
      </c>
      <c r="DB30">
        <f>ROUND(ROUND(AT30*CZ30,2),6)</f>
        <v>3841.94</v>
      </c>
      <c r="DC30">
        <f>ROUND(ROUND(AT30*AG30,2),6)</f>
        <v>0</v>
      </c>
      <c r="DD30" t="s">
        <v>3</v>
      </c>
      <c r="DE30" t="s">
        <v>3</v>
      </c>
      <c r="DF30">
        <f>ROUND(ROUND(AE30*AI30,2)*CX30,2)</f>
        <v>29429.26</v>
      </c>
      <c r="DG30">
        <f t="shared" ref="DG30:DG43" si="21">ROUND(ROUND(AF30,2)*CX30,2)</f>
        <v>0</v>
      </c>
      <c r="DH30">
        <f t="shared" ref="DH30:DH43" si="22">ROUND(ROUND(AG30,2)*CX30,2)</f>
        <v>0</v>
      </c>
      <c r="DI30">
        <f t="shared" si="3"/>
        <v>0</v>
      </c>
      <c r="DJ30">
        <f>DF30</f>
        <v>29429.26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ROW(Source!A36)</f>
        <v>36</v>
      </c>
      <c r="B31">
        <v>60256985</v>
      </c>
      <c r="C31">
        <v>60257133</v>
      </c>
      <c r="D31">
        <v>58999254</v>
      </c>
      <c r="E31">
        <v>1080</v>
      </c>
      <c r="F31">
        <v>1</v>
      </c>
      <c r="G31">
        <v>1080</v>
      </c>
      <c r="H31">
        <v>1</v>
      </c>
      <c r="I31" t="s">
        <v>293</v>
      </c>
      <c r="J31" t="s">
        <v>3</v>
      </c>
      <c r="K31" t="s">
        <v>294</v>
      </c>
      <c r="L31">
        <v>1191</v>
      </c>
      <c r="N31">
        <v>1013</v>
      </c>
      <c r="O31" t="s">
        <v>295</v>
      </c>
      <c r="P31" t="s">
        <v>295</v>
      </c>
      <c r="Q31">
        <v>1</v>
      </c>
      <c r="W31">
        <v>0</v>
      </c>
      <c r="X31">
        <v>476480486</v>
      </c>
      <c r="Y31">
        <f>(AT31*1.1)</f>
        <v>5.6650000000000009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5.15</v>
      </c>
      <c r="AU31" t="s">
        <v>23</v>
      </c>
      <c r="AV31">
        <v>1</v>
      </c>
      <c r="AW31">
        <v>2</v>
      </c>
      <c r="AX31">
        <v>60257528</v>
      </c>
      <c r="AY31">
        <v>1</v>
      </c>
      <c r="AZ31">
        <v>0</v>
      </c>
      <c r="BA31">
        <v>31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ROUND(AT31*Source!I36*AH31*AL31,2)</f>
        <v>0</v>
      </c>
      <c r="CV31">
        <f>ROUND(Y31*Source!I36,9)</f>
        <v>5.665</v>
      </c>
      <c r="CW31">
        <v>0</v>
      </c>
      <c r="CX31">
        <f>ROUND(Y31*Source!I36,9)</f>
        <v>5.665</v>
      </c>
      <c r="CY31">
        <f>AD31</f>
        <v>0</v>
      </c>
      <c r="CZ31">
        <f>AH31</f>
        <v>0</v>
      </c>
      <c r="DA31">
        <f>AL31</f>
        <v>1</v>
      </c>
      <c r="DB31">
        <f>ROUND((ROUND(AT31*CZ31,2)*1.1),6)</f>
        <v>0</v>
      </c>
      <c r="DC31">
        <f>ROUND((ROUND(AT31*AG31,2)*1.1),6)</f>
        <v>0</v>
      </c>
      <c r="DD31" t="s">
        <v>3</v>
      </c>
      <c r="DE31" t="s">
        <v>3</v>
      </c>
      <c r="DF31">
        <f t="shared" ref="DF31:DF46" si="23">ROUND(ROUND(AE31,2)*CX31,2)</f>
        <v>0</v>
      </c>
      <c r="DG31">
        <f t="shared" si="21"/>
        <v>0</v>
      </c>
      <c r="DH31">
        <f t="shared" si="22"/>
        <v>0</v>
      </c>
      <c r="DI31">
        <f t="shared" si="3"/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ROW(Source!A36)</f>
        <v>36</v>
      </c>
      <c r="B32">
        <v>60256985</v>
      </c>
      <c r="C32">
        <v>60257133</v>
      </c>
      <c r="D32">
        <v>59070370</v>
      </c>
      <c r="E32">
        <v>1</v>
      </c>
      <c r="F32">
        <v>1</v>
      </c>
      <c r="G32">
        <v>1080</v>
      </c>
      <c r="H32">
        <v>2</v>
      </c>
      <c r="I32" t="s">
        <v>296</v>
      </c>
      <c r="J32" t="s">
        <v>297</v>
      </c>
      <c r="K32" t="s">
        <v>298</v>
      </c>
      <c r="L32">
        <v>1368</v>
      </c>
      <c r="N32">
        <v>1011</v>
      </c>
      <c r="O32" t="s">
        <v>299</v>
      </c>
      <c r="P32" t="s">
        <v>299</v>
      </c>
      <c r="Q32">
        <v>1</v>
      </c>
      <c r="W32">
        <v>0</v>
      </c>
      <c r="X32">
        <v>-2065404138</v>
      </c>
      <c r="Y32">
        <f>(AT32*1.1)</f>
        <v>0.22000000000000003</v>
      </c>
      <c r="AA32">
        <v>0</v>
      </c>
      <c r="AB32">
        <v>7.44</v>
      </c>
      <c r="AC32">
        <v>0</v>
      </c>
      <c r="AD32">
        <v>0</v>
      </c>
      <c r="AE32">
        <v>0</v>
      </c>
      <c r="AF32">
        <v>7.11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0.2</v>
      </c>
      <c r="AU32" t="s">
        <v>23</v>
      </c>
      <c r="AV32">
        <v>0</v>
      </c>
      <c r="AW32">
        <v>2</v>
      </c>
      <c r="AX32">
        <v>60257529</v>
      </c>
      <c r="AY32">
        <v>1</v>
      </c>
      <c r="AZ32">
        <v>0</v>
      </c>
      <c r="BA32">
        <v>32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f>ROUND(Y32*Source!I36*DO32,9)</f>
        <v>0</v>
      </c>
      <c r="CX32">
        <f>ROUND(Y32*Source!I36,9)</f>
        <v>0.22</v>
      </c>
      <c r="CY32">
        <f>AB32</f>
        <v>7.44</v>
      </c>
      <c r="CZ32">
        <f>AF32</f>
        <v>7.11</v>
      </c>
      <c r="DA32">
        <f>AJ32</f>
        <v>1</v>
      </c>
      <c r="DB32">
        <f>ROUND((ROUND(AT32*CZ32,2)*1.1),6)</f>
        <v>1.5620000000000001</v>
      </c>
      <c r="DC32">
        <f>ROUND((ROUND(AT32*AG32,2)*1.1),6)</f>
        <v>0</v>
      </c>
      <c r="DD32" t="s">
        <v>3</v>
      </c>
      <c r="DE32" t="s">
        <v>3</v>
      </c>
      <c r="DF32">
        <f t="shared" si="23"/>
        <v>0</v>
      </c>
      <c r="DG32">
        <f t="shared" si="21"/>
        <v>1.56</v>
      </c>
      <c r="DH32">
        <f t="shared" si="22"/>
        <v>0</v>
      </c>
      <c r="DI32">
        <f t="shared" si="3"/>
        <v>0</v>
      </c>
      <c r="DJ32">
        <f>DG32</f>
        <v>1.56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ROW(Source!A36)</f>
        <v>36</v>
      </c>
      <c r="B33">
        <v>60256985</v>
      </c>
      <c r="C33">
        <v>60257133</v>
      </c>
      <c r="D33">
        <v>59070669</v>
      </c>
      <c r="E33">
        <v>1</v>
      </c>
      <c r="F33">
        <v>1</v>
      </c>
      <c r="G33">
        <v>1080</v>
      </c>
      <c r="H33">
        <v>2</v>
      </c>
      <c r="I33" t="s">
        <v>300</v>
      </c>
      <c r="J33" t="s">
        <v>301</v>
      </c>
      <c r="K33" t="s">
        <v>302</v>
      </c>
      <c r="L33">
        <v>1368</v>
      </c>
      <c r="N33">
        <v>1011</v>
      </c>
      <c r="O33" t="s">
        <v>299</v>
      </c>
      <c r="P33" t="s">
        <v>299</v>
      </c>
      <c r="Q33">
        <v>1</v>
      </c>
      <c r="W33">
        <v>0</v>
      </c>
      <c r="X33">
        <v>-1985943078</v>
      </c>
      <c r="Y33">
        <f>(AT33*1.1)</f>
        <v>3.3000000000000002E-2</v>
      </c>
      <c r="AA33">
        <v>0</v>
      </c>
      <c r="AB33">
        <v>87.01</v>
      </c>
      <c r="AC33">
        <v>13.21</v>
      </c>
      <c r="AD33">
        <v>0</v>
      </c>
      <c r="AE33">
        <v>0</v>
      </c>
      <c r="AF33">
        <v>83.1</v>
      </c>
      <c r="AG33">
        <v>12.62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0.03</v>
      </c>
      <c r="AU33" t="s">
        <v>23</v>
      </c>
      <c r="AV33">
        <v>0</v>
      </c>
      <c r="AW33">
        <v>2</v>
      </c>
      <c r="AX33">
        <v>60257530</v>
      </c>
      <c r="AY33">
        <v>1</v>
      </c>
      <c r="AZ33">
        <v>0</v>
      </c>
      <c r="BA33">
        <v>33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f>ROUND(Y33*Source!I36*DO33,9)</f>
        <v>0.41646</v>
      </c>
      <c r="CX33">
        <f>ROUND(Y33*Source!I36,9)</f>
        <v>3.3000000000000002E-2</v>
      </c>
      <c r="CY33">
        <f>AB33</f>
        <v>87.01</v>
      </c>
      <c r="CZ33">
        <f>AF33</f>
        <v>83.1</v>
      </c>
      <c r="DA33">
        <f>AJ33</f>
        <v>1</v>
      </c>
      <c r="DB33">
        <f>ROUND((ROUND(AT33*CZ33,2)*1.1),6)</f>
        <v>2.7389999999999999</v>
      </c>
      <c r="DC33">
        <f>ROUND((ROUND(AT33*AG33,2)*1.1),6)</f>
        <v>0.41799999999999998</v>
      </c>
      <c r="DD33" t="s">
        <v>3</v>
      </c>
      <c r="DE33" t="s">
        <v>3</v>
      </c>
      <c r="DF33">
        <f t="shared" si="23"/>
        <v>0</v>
      </c>
      <c r="DG33">
        <f t="shared" si="21"/>
        <v>2.74</v>
      </c>
      <c r="DH33">
        <f t="shared" si="22"/>
        <v>0.42</v>
      </c>
      <c r="DI33">
        <f t="shared" si="3"/>
        <v>0</v>
      </c>
      <c r="DJ33">
        <f>DG33</f>
        <v>2.74</v>
      </c>
      <c r="DK33">
        <v>0</v>
      </c>
      <c r="DL33" t="s">
        <v>303</v>
      </c>
      <c r="DM33">
        <v>0</v>
      </c>
      <c r="DN33" t="s">
        <v>295</v>
      </c>
      <c r="DO33">
        <v>12.62</v>
      </c>
    </row>
    <row r="34" spans="1:119" x14ac:dyDescent="0.2">
      <c r="A34">
        <f>ROW(Source!A36)</f>
        <v>36</v>
      </c>
      <c r="B34">
        <v>60256985</v>
      </c>
      <c r="C34">
        <v>60257133</v>
      </c>
      <c r="D34">
        <v>59070743</v>
      </c>
      <c r="E34">
        <v>1</v>
      </c>
      <c r="F34">
        <v>1</v>
      </c>
      <c r="G34">
        <v>1080</v>
      </c>
      <c r="H34">
        <v>2</v>
      </c>
      <c r="I34" t="s">
        <v>304</v>
      </c>
      <c r="J34" t="s">
        <v>305</v>
      </c>
      <c r="K34" t="s">
        <v>306</v>
      </c>
      <c r="L34">
        <v>1368</v>
      </c>
      <c r="N34">
        <v>1011</v>
      </c>
      <c r="O34" t="s">
        <v>299</v>
      </c>
      <c r="P34" t="s">
        <v>299</v>
      </c>
      <c r="Q34">
        <v>1</v>
      </c>
      <c r="W34">
        <v>0</v>
      </c>
      <c r="X34">
        <v>-156805976</v>
      </c>
      <c r="Y34">
        <f>(AT34*1.1)</f>
        <v>0.50600000000000012</v>
      </c>
      <c r="AA34">
        <v>0</v>
      </c>
      <c r="AB34">
        <v>0.82</v>
      </c>
      <c r="AC34">
        <v>0</v>
      </c>
      <c r="AD34">
        <v>0</v>
      </c>
      <c r="AE34">
        <v>0</v>
      </c>
      <c r="AF34">
        <v>0.78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-2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0.46</v>
      </c>
      <c r="AU34" t="s">
        <v>23</v>
      </c>
      <c r="AV34">
        <v>0</v>
      </c>
      <c r="AW34">
        <v>2</v>
      </c>
      <c r="AX34">
        <v>60257531</v>
      </c>
      <c r="AY34">
        <v>1</v>
      </c>
      <c r="AZ34">
        <v>0</v>
      </c>
      <c r="BA34">
        <v>34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f>ROUND(Y34*Source!I36*DO34,9)</f>
        <v>0</v>
      </c>
      <c r="CX34">
        <f>ROUND(Y34*Source!I36,9)</f>
        <v>0.50600000000000001</v>
      </c>
      <c r="CY34">
        <f>AB34</f>
        <v>0.82</v>
      </c>
      <c r="CZ34">
        <f>AF34</f>
        <v>0.78</v>
      </c>
      <c r="DA34">
        <f>AJ34</f>
        <v>1</v>
      </c>
      <c r="DB34">
        <f>ROUND((ROUND(AT34*CZ34,2)*1.1),6)</f>
        <v>0.39600000000000002</v>
      </c>
      <c r="DC34">
        <f>ROUND((ROUND(AT34*AG34,2)*1.1),6)</f>
        <v>0</v>
      </c>
      <c r="DD34" t="s">
        <v>3</v>
      </c>
      <c r="DE34" t="s">
        <v>3</v>
      </c>
      <c r="DF34">
        <f t="shared" si="23"/>
        <v>0</v>
      </c>
      <c r="DG34">
        <f t="shared" si="21"/>
        <v>0.39</v>
      </c>
      <c r="DH34">
        <f t="shared" si="22"/>
        <v>0</v>
      </c>
      <c r="DI34">
        <f t="shared" si="3"/>
        <v>0</v>
      </c>
      <c r="DJ34">
        <f>DG34</f>
        <v>0.39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ROW(Source!A36)</f>
        <v>36</v>
      </c>
      <c r="B35">
        <v>60256985</v>
      </c>
      <c r="C35">
        <v>60257133</v>
      </c>
      <c r="D35">
        <v>59039969</v>
      </c>
      <c r="E35">
        <v>1</v>
      </c>
      <c r="F35">
        <v>1</v>
      </c>
      <c r="G35">
        <v>1080</v>
      </c>
      <c r="H35">
        <v>3</v>
      </c>
      <c r="I35" t="s">
        <v>307</v>
      </c>
      <c r="J35" t="s">
        <v>308</v>
      </c>
      <c r="K35" t="s">
        <v>309</v>
      </c>
      <c r="L35">
        <v>1348</v>
      </c>
      <c r="N35">
        <v>1009</v>
      </c>
      <c r="O35" t="s">
        <v>310</v>
      </c>
      <c r="P35" t="s">
        <v>310</v>
      </c>
      <c r="Q35">
        <v>1000</v>
      </c>
      <c r="W35">
        <v>0</v>
      </c>
      <c r="X35">
        <v>-2039612599</v>
      </c>
      <c r="Y35">
        <f t="shared" ref="Y35:Y42" si="24">AT35</f>
        <v>1.21E-4</v>
      </c>
      <c r="AA35">
        <v>7185.82</v>
      </c>
      <c r="AB35">
        <v>0</v>
      </c>
      <c r="AC35">
        <v>0</v>
      </c>
      <c r="AD35">
        <v>0</v>
      </c>
      <c r="AE35">
        <v>7185.82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1.21E-4</v>
      </c>
      <c r="AU35" t="s">
        <v>3</v>
      </c>
      <c r="AV35">
        <v>0</v>
      </c>
      <c r="AW35">
        <v>2</v>
      </c>
      <c r="AX35">
        <v>60257532</v>
      </c>
      <c r="AY35">
        <v>1</v>
      </c>
      <c r="AZ35">
        <v>0</v>
      </c>
      <c r="BA35">
        <v>35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ROUND(Y35*Source!I36,9)</f>
        <v>1.21E-4</v>
      </c>
      <c r="CY35">
        <f t="shared" ref="CY35:CY42" si="25">AA35</f>
        <v>7185.82</v>
      </c>
      <c r="CZ35">
        <f t="shared" ref="CZ35:CZ42" si="26">AE35</f>
        <v>7185.82</v>
      </c>
      <c r="DA35">
        <f t="shared" ref="DA35:DA42" si="27">AI35</f>
        <v>1</v>
      </c>
      <c r="DB35">
        <f t="shared" ref="DB35:DB42" si="28">ROUND(ROUND(AT35*CZ35,2),6)</f>
        <v>0.87</v>
      </c>
      <c r="DC35">
        <f t="shared" ref="DC35:DC42" si="29">ROUND(ROUND(AT35*AG35,2),6)</f>
        <v>0</v>
      </c>
      <c r="DD35" t="s">
        <v>3</v>
      </c>
      <c r="DE35" t="s">
        <v>3</v>
      </c>
      <c r="DF35">
        <f t="shared" si="23"/>
        <v>0.87</v>
      </c>
      <c r="DG35">
        <f t="shared" si="21"/>
        <v>0</v>
      </c>
      <c r="DH35">
        <f t="shared" si="22"/>
        <v>0</v>
      </c>
      <c r="DI35">
        <f t="shared" si="3"/>
        <v>0</v>
      </c>
      <c r="DJ35">
        <f t="shared" ref="DJ35:DJ42" si="30">DF35</f>
        <v>0.87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ROW(Source!A36)</f>
        <v>36</v>
      </c>
      <c r="B36">
        <v>60256985</v>
      </c>
      <c r="C36">
        <v>60257133</v>
      </c>
      <c r="D36">
        <v>59039978</v>
      </c>
      <c r="E36">
        <v>1</v>
      </c>
      <c r="F36">
        <v>1</v>
      </c>
      <c r="G36">
        <v>1080</v>
      </c>
      <c r="H36">
        <v>3</v>
      </c>
      <c r="I36" t="s">
        <v>311</v>
      </c>
      <c r="J36" t="s">
        <v>312</v>
      </c>
      <c r="K36" t="s">
        <v>313</v>
      </c>
      <c r="L36">
        <v>1346</v>
      </c>
      <c r="N36">
        <v>1009</v>
      </c>
      <c r="O36" t="s">
        <v>314</v>
      </c>
      <c r="P36" t="s">
        <v>314</v>
      </c>
      <c r="Q36">
        <v>1</v>
      </c>
      <c r="W36">
        <v>0</v>
      </c>
      <c r="X36">
        <v>1368649771</v>
      </c>
      <c r="Y36">
        <f t="shared" si="24"/>
        <v>2.3E-2</v>
      </c>
      <c r="AA36">
        <v>29.82</v>
      </c>
      <c r="AB36">
        <v>0</v>
      </c>
      <c r="AC36">
        <v>0</v>
      </c>
      <c r="AD36">
        <v>0</v>
      </c>
      <c r="AE36">
        <v>29.82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-2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2.3E-2</v>
      </c>
      <c r="AU36" t="s">
        <v>3</v>
      </c>
      <c r="AV36">
        <v>0</v>
      </c>
      <c r="AW36">
        <v>2</v>
      </c>
      <c r="AX36">
        <v>60257533</v>
      </c>
      <c r="AY36">
        <v>1</v>
      </c>
      <c r="AZ36">
        <v>0</v>
      </c>
      <c r="BA36">
        <v>36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ROUND(Y36*Source!I36,9)</f>
        <v>2.3E-2</v>
      </c>
      <c r="CY36">
        <f t="shared" si="25"/>
        <v>29.82</v>
      </c>
      <c r="CZ36">
        <f t="shared" si="26"/>
        <v>29.82</v>
      </c>
      <c r="DA36">
        <f t="shared" si="27"/>
        <v>1</v>
      </c>
      <c r="DB36">
        <f t="shared" si="28"/>
        <v>0.69</v>
      </c>
      <c r="DC36">
        <f t="shared" si="29"/>
        <v>0</v>
      </c>
      <c r="DD36" t="s">
        <v>3</v>
      </c>
      <c r="DE36" t="s">
        <v>3</v>
      </c>
      <c r="DF36">
        <f t="shared" si="23"/>
        <v>0.69</v>
      </c>
      <c r="DG36">
        <f t="shared" si="21"/>
        <v>0</v>
      </c>
      <c r="DH36">
        <f t="shared" si="22"/>
        <v>0</v>
      </c>
      <c r="DI36">
        <f t="shared" si="3"/>
        <v>0</v>
      </c>
      <c r="DJ36">
        <f t="shared" si="30"/>
        <v>0.69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ROW(Source!A36)</f>
        <v>36</v>
      </c>
      <c r="B37">
        <v>60256985</v>
      </c>
      <c r="C37">
        <v>60257133</v>
      </c>
      <c r="D37">
        <v>59038948</v>
      </c>
      <c r="E37">
        <v>1</v>
      </c>
      <c r="F37">
        <v>1</v>
      </c>
      <c r="G37">
        <v>1080</v>
      </c>
      <c r="H37">
        <v>3</v>
      </c>
      <c r="I37" t="s">
        <v>315</v>
      </c>
      <c r="J37" t="s">
        <v>316</v>
      </c>
      <c r="K37" t="s">
        <v>317</v>
      </c>
      <c r="L37">
        <v>1348</v>
      </c>
      <c r="N37">
        <v>1009</v>
      </c>
      <c r="O37" t="s">
        <v>310</v>
      </c>
      <c r="P37" t="s">
        <v>310</v>
      </c>
      <c r="Q37">
        <v>1000</v>
      </c>
      <c r="W37">
        <v>0</v>
      </c>
      <c r="X37">
        <v>2017980840</v>
      </c>
      <c r="Y37">
        <f t="shared" si="24"/>
        <v>1.8E-5</v>
      </c>
      <c r="AA37">
        <v>18653.07</v>
      </c>
      <c r="AB37">
        <v>0</v>
      </c>
      <c r="AC37">
        <v>0</v>
      </c>
      <c r="AD37">
        <v>0</v>
      </c>
      <c r="AE37">
        <v>18653.07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1.8E-5</v>
      </c>
      <c r="AU37" t="s">
        <v>3</v>
      </c>
      <c r="AV37">
        <v>0</v>
      </c>
      <c r="AW37">
        <v>2</v>
      </c>
      <c r="AX37">
        <v>60257534</v>
      </c>
      <c r="AY37">
        <v>1</v>
      </c>
      <c r="AZ37">
        <v>0</v>
      </c>
      <c r="BA37">
        <v>37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ROUND(Y37*Source!I36,9)</f>
        <v>1.8E-5</v>
      </c>
      <c r="CY37">
        <f t="shared" si="25"/>
        <v>18653.07</v>
      </c>
      <c r="CZ37">
        <f t="shared" si="26"/>
        <v>18653.07</v>
      </c>
      <c r="DA37">
        <f t="shared" si="27"/>
        <v>1</v>
      </c>
      <c r="DB37">
        <f t="shared" si="28"/>
        <v>0.34</v>
      </c>
      <c r="DC37">
        <f t="shared" si="29"/>
        <v>0</v>
      </c>
      <c r="DD37" t="s">
        <v>3</v>
      </c>
      <c r="DE37" t="s">
        <v>3</v>
      </c>
      <c r="DF37">
        <f t="shared" si="23"/>
        <v>0.34</v>
      </c>
      <c r="DG37">
        <f t="shared" si="21"/>
        <v>0</v>
      </c>
      <c r="DH37">
        <f t="shared" si="22"/>
        <v>0</v>
      </c>
      <c r="DI37">
        <f t="shared" si="3"/>
        <v>0</v>
      </c>
      <c r="DJ37">
        <f t="shared" si="30"/>
        <v>0.34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ROW(Source!A36)</f>
        <v>36</v>
      </c>
      <c r="B38">
        <v>60256985</v>
      </c>
      <c r="C38">
        <v>60257133</v>
      </c>
      <c r="D38">
        <v>59040738</v>
      </c>
      <c r="E38">
        <v>1</v>
      </c>
      <c r="F38">
        <v>1</v>
      </c>
      <c r="G38">
        <v>1080</v>
      </c>
      <c r="H38">
        <v>3</v>
      </c>
      <c r="I38" t="s">
        <v>318</v>
      </c>
      <c r="J38" t="s">
        <v>319</v>
      </c>
      <c r="K38" t="s">
        <v>320</v>
      </c>
      <c r="L38">
        <v>1348</v>
      </c>
      <c r="N38">
        <v>1009</v>
      </c>
      <c r="O38" t="s">
        <v>310</v>
      </c>
      <c r="P38" t="s">
        <v>310</v>
      </c>
      <c r="Q38">
        <v>1000</v>
      </c>
      <c r="W38">
        <v>0</v>
      </c>
      <c r="X38">
        <v>1835689910</v>
      </c>
      <c r="Y38">
        <f t="shared" si="24"/>
        <v>2.3780000000000001E-4</v>
      </c>
      <c r="AA38">
        <v>11487.92</v>
      </c>
      <c r="AB38">
        <v>0</v>
      </c>
      <c r="AC38">
        <v>0</v>
      </c>
      <c r="AD38">
        <v>0</v>
      </c>
      <c r="AE38">
        <v>11487.92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2.3780000000000001E-4</v>
      </c>
      <c r="AU38" t="s">
        <v>3</v>
      </c>
      <c r="AV38">
        <v>0</v>
      </c>
      <c r="AW38">
        <v>2</v>
      </c>
      <c r="AX38">
        <v>60257535</v>
      </c>
      <c r="AY38">
        <v>1</v>
      </c>
      <c r="AZ38">
        <v>0</v>
      </c>
      <c r="BA38">
        <v>38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ROUND(Y38*Source!I36,9)</f>
        <v>2.3780000000000001E-4</v>
      </c>
      <c r="CY38">
        <f t="shared" si="25"/>
        <v>11487.92</v>
      </c>
      <c r="CZ38">
        <f t="shared" si="26"/>
        <v>11487.92</v>
      </c>
      <c r="DA38">
        <f t="shared" si="27"/>
        <v>1</v>
      </c>
      <c r="DB38">
        <f t="shared" si="28"/>
        <v>2.73</v>
      </c>
      <c r="DC38">
        <f t="shared" si="29"/>
        <v>0</v>
      </c>
      <c r="DD38" t="s">
        <v>3</v>
      </c>
      <c r="DE38" t="s">
        <v>3</v>
      </c>
      <c r="DF38">
        <f t="shared" si="23"/>
        <v>2.73</v>
      </c>
      <c r="DG38">
        <f t="shared" si="21"/>
        <v>0</v>
      </c>
      <c r="DH38">
        <f t="shared" si="22"/>
        <v>0</v>
      </c>
      <c r="DI38">
        <f t="shared" si="3"/>
        <v>0</v>
      </c>
      <c r="DJ38">
        <f t="shared" si="30"/>
        <v>2.73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ROW(Source!A36)</f>
        <v>36</v>
      </c>
      <c r="B39">
        <v>60256985</v>
      </c>
      <c r="C39">
        <v>60257133</v>
      </c>
      <c r="D39">
        <v>59041302</v>
      </c>
      <c r="E39">
        <v>1</v>
      </c>
      <c r="F39">
        <v>1</v>
      </c>
      <c r="G39">
        <v>1080</v>
      </c>
      <c r="H39">
        <v>3</v>
      </c>
      <c r="I39" t="s">
        <v>321</v>
      </c>
      <c r="J39" t="s">
        <v>322</v>
      </c>
      <c r="K39" t="s">
        <v>323</v>
      </c>
      <c r="L39">
        <v>1348</v>
      </c>
      <c r="N39">
        <v>1009</v>
      </c>
      <c r="O39" t="s">
        <v>310</v>
      </c>
      <c r="P39" t="s">
        <v>310</v>
      </c>
      <c r="Q39">
        <v>1000</v>
      </c>
      <c r="W39">
        <v>0</v>
      </c>
      <c r="X39">
        <v>2135033779</v>
      </c>
      <c r="Y39">
        <f t="shared" si="24"/>
        <v>7.0000000000000001E-3</v>
      </c>
      <c r="AA39">
        <v>12089.95</v>
      </c>
      <c r="AB39">
        <v>0</v>
      </c>
      <c r="AC39">
        <v>0</v>
      </c>
      <c r="AD39">
        <v>0</v>
      </c>
      <c r="AE39">
        <v>12089.95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7.0000000000000001E-3</v>
      </c>
      <c r="AU39" t="s">
        <v>3</v>
      </c>
      <c r="AV39">
        <v>0</v>
      </c>
      <c r="AW39">
        <v>2</v>
      </c>
      <c r="AX39">
        <v>60257536</v>
      </c>
      <c r="AY39">
        <v>1</v>
      </c>
      <c r="AZ39">
        <v>0</v>
      </c>
      <c r="BA39">
        <v>39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ROUND(Y39*Source!I36,9)</f>
        <v>7.0000000000000001E-3</v>
      </c>
      <c r="CY39">
        <f t="shared" si="25"/>
        <v>12089.95</v>
      </c>
      <c r="CZ39">
        <f t="shared" si="26"/>
        <v>12089.95</v>
      </c>
      <c r="DA39">
        <f t="shared" si="27"/>
        <v>1</v>
      </c>
      <c r="DB39">
        <f t="shared" si="28"/>
        <v>84.63</v>
      </c>
      <c r="DC39">
        <f t="shared" si="29"/>
        <v>0</v>
      </c>
      <c r="DD39" t="s">
        <v>3</v>
      </c>
      <c r="DE39" t="s">
        <v>3</v>
      </c>
      <c r="DF39">
        <f t="shared" si="23"/>
        <v>84.63</v>
      </c>
      <c r="DG39">
        <f t="shared" si="21"/>
        <v>0</v>
      </c>
      <c r="DH39">
        <f t="shared" si="22"/>
        <v>0</v>
      </c>
      <c r="DI39">
        <f t="shared" si="3"/>
        <v>0</v>
      </c>
      <c r="DJ39">
        <f t="shared" si="30"/>
        <v>84.63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ROW(Source!A36)</f>
        <v>36</v>
      </c>
      <c r="B40">
        <v>60256985</v>
      </c>
      <c r="C40">
        <v>60257133</v>
      </c>
      <c r="D40">
        <v>59039500</v>
      </c>
      <c r="E40">
        <v>1</v>
      </c>
      <c r="F40">
        <v>1</v>
      </c>
      <c r="G40">
        <v>1080</v>
      </c>
      <c r="H40">
        <v>3</v>
      </c>
      <c r="I40" t="s">
        <v>324</v>
      </c>
      <c r="J40" t="s">
        <v>325</v>
      </c>
      <c r="K40" t="s">
        <v>326</v>
      </c>
      <c r="L40">
        <v>1348</v>
      </c>
      <c r="N40">
        <v>1009</v>
      </c>
      <c r="O40" t="s">
        <v>310</v>
      </c>
      <c r="P40" t="s">
        <v>310</v>
      </c>
      <c r="Q40">
        <v>1000</v>
      </c>
      <c r="W40">
        <v>0</v>
      </c>
      <c r="X40">
        <v>432853124</v>
      </c>
      <c r="Y40">
        <f t="shared" si="24"/>
        <v>1.0000000000000001E-5</v>
      </c>
      <c r="AA40">
        <v>8582.42</v>
      </c>
      <c r="AB40">
        <v>0</v>
      </c>
      <c r="AC40">
        <v>0</v>
      </c>
      <c r="AD40">
        <v>0</v>
      </c>
      <c r="AE40">
        <v>8582.42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1.0000000000000001E-5</v>
      </c>
      <c r="AU40" t="s">
        <v>3</v>
      </c>
      <c r="AV40">
        <v>0</v>
      </c>
      <c r="AW40">
        <v>2</v>
      </c>
      <c r="AX40">
        <v>60257537</v>
      </c>
      <c r="AY40">
        <v>1</v>
      </c>
      <c r="AZ40">
        <v>0</v>
      </c>
      <c r="BA40">
        <v>40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ROUND(Y40*Source!I36,9)</f>
        <v>1.0000000000000001E-5</v>
      </c>
      <c r="CY40">
        <f t="shared" si="25"/>
        <v>8582.42</v>
      </c>
      <c r="CZ40">
        <f t="shared" si="26"/>
        <v>8582.42</v>
      </c>
      <c r="DA40">
        <f t="shared" si="27"/>
        <v>1</v>
      </c>
      <c r="DB40">
        <f t="shared" si="28"/>
        <v>0.09</v>
      </c>
      <c r="DC40">
        <f t="shared" si="29"/>
        <v>0</v>
      </c>
      <c r="DD40" t="s">
        <v>3</v>
      </c>
      <c r="DE40" t="s">
        <v>3</v>
      </c>
      <c r="DF40">
        <f t="shared" si="23"/>
        <v>0.09</v>
      </c>
      <c r="DG40">
        <f t="shared" si="21"/>
        <v>0</v>
      </c>
      <c r="DH40">
        <f t="shared" si="22"/>
        <v>0</v>
      </c>
      <c r="DI40">
        <f t="shared" si="3"/>
        <v>0</v>
      </c>
      <c r="DJ40">
        <f t="shared" si="30"/>
        <v>0.09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ROW(Source!A36)</f>
        <v>36</v>
      </c>
      <c r="B41">
        <v>60256985</v>
      </c>
      <c r="C41">
        <v>60257133</v>
      </c>
      <c r="D41">
        <v>59039504</v>
      </c>
      <c r="E41">
        <v>1</v>
      </c>
      <c r="F41">
        <v>1</v>
      </c>
      <c r="G41">
        <v>1080</v>
      </c>
      <c r="H41">
        <v>3</v>
      </c>
      <c r="I41" t="s">
        <v>327</v>
      </c>
      <c r="J41" t="s">
        <v>328</v>
      </c>
      <c r="K41" t="s">
        <v>329</v>
      </c>
      <c r="L41">
        <v>1348</v>
      </c>
      <c r="N41">
        <v>1009</v>
      </c>
      <c r="O41" t="s">
        <v>310</v>
      </c>
      <c r="P41" t="s">
        <v>310</v>
      </c>
      <c r="Q41">
        <v>1000</v>
      </c>
      <c r="W41">
        <v>0</v>
      </c>
      <c r="X41">
        <v>1850032922</v>
      </c>
      <c r="Y41">
        <f t="shared" si="24"/>
        <v>1.9999999999999999E-6</v>
      </c>
      <c r="AA41">
        <v>12521.99</v>
      </c>
      <c r="AB41">
        <v>0</v>
      </c>
      <c r="AC41">
        <v>0</v>
      </c>
      <c r="AD41">
        <v>0</v>
      </c>
      <c r="AE41">
        <v>12521.99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1.9999999999999999E-6</v>
      </c>
      <c r="AU41" t="s">
        <v>3</v>
      </c>
      <c r="AV41">
        <v>0</v>
      </c>
      <c r="AW41">
        <v>2</v>
      </c>
      <c r="AX41">
        <v>60257538</v>
      </c>
      <c r="AY41">
        <v>1</v>
      </c>
      <c r="AZ41">
        <v>0</v>
      </c>
      <c r="BA41">
        <v>41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v>0</v>
      </c>
      <c r="CX41">
        <f>ROUND(Y41*Source!I36,9)</f>
        <v>1.9999999999999999E-6</v>
      </c>
      <c r="CY41">
        <f t="shared" si="25"/>
        <v>12521.99</v>
      </c>
      <c r="CZ41">
        <f t="shared" si="26"/>
        <v>12521.99</v>
      </c>
      <c r="DA41">
        <f t="shared" si="27"/>
        <v>1</v>
      </c>
      <c r="DB41">
        <f t="shared" si="28"/>
        <v>0.03</v>
      </c>
      <c r="DC41">
        <f t="shared" si="29"/>
        <v>0</v>
      </c>
      <c r="DD41" t="s">
        <v>3</v>
      </c>
      <c r="DE41" t="s">
        <v>3</v>
      </c>
      <c r="DF41">
        <f t="shared" si="23"/>
        <v>0.03</v>
      </c>
      <c r="DG41">
        <f t="shared" si="21"/>
        <v>0</v>
      </c>
      <c r="DH41">
        <f t="shared" si="22"/>
        <v>0</v>
      </c>
      <c r="DI41">
        <f t="shared" si="3"/>
        <v>0</v>
      </c>
      <c r="DJ41">
        <f t="shared" si="30"/>
        <v>0.03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ROW(Source!A36)</f>
        <v>36</v>
      </c>
      <c r="B42">
        <v>60256985</v>
      </c>
      <c r="C42">
        <v>60257133</v>
      </c>
      <c r="D42">
        <v>0</v>
      </c>
      <c r="E42">
        <v>1080</v>
      </c>
      <c r="F42">
        <v>1</v>
      </c>
      <c r="G42">
        <v>1080</v>
      </c>
      <c r="H42">
        <v>3</v>
      </c>
      <c r="I42" t="s">
        <v>47</v>
      </c>
      <c r="J42" t="s">
        <v>3</v>
      </c>
      <c r="K42" t="s">
        <v>48</v>
      </c>
      <c r="L42">
        <v>1354</v>
      </c>
      <c r="N42">
        <v>1010</v>
      </c>
      <c r="O42" t="s">
        <v>31</v>
      </c>
      <c r="P42" t="s">
        <v>31</v>
      </c>
      <c r="Q42">
        <v>1</v>
      </c>
      <c r="W42">
        <v>0</v>
      </c>
      <c r="X42">
        <v>1555646983</v>
      </c>
      <c r="Y42">
        <f t="shared" si="24"/>
        <v>1</v>
      </c>
      <c r="AA42">
        <v>113908.9</v>
      </c>
      <c r="AB42">
        <v>0</v>
      </c>
      <c r="AC42">
        <v>0</v>
      </c>
      <c r="AD42">
        <v>0</v>
      </c>
      <c r="AE42">
        <v>113908.9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 t="s">
        <v>3</v>
      </c>
      <c r="AT42">
        <v>1</v>
      </c>
      <c r="AU42" t="s">
        <v>3</v>
      </c>
      <c r="AV42">
        <v>0</v>
      </c>
      <c r="AW42">
        <v>1</v>
      </c>
      <c r="AX42">
        <v>-1</v>
      </c>
      <c r="AY42">
        <v>0</v>
      </c>
      <c r="AZ42">
        <v>0</v>
      </c>
      <c r="BA42" t="s">
        <v>3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ROUND(Y42*Source!I36,9)</f>
        <v>1</v>
      </c>
      <c r="CY42">
        <f t="shared" si="25"/>
        <v>113908.9</v>
      </c>
      <c r="CZ42">
        <f t="shared" si="26"/>
        <v>113908.9</v>
      </c>
      <c r="DA42">
        <f t="shared" si="27"/>
        <v>1</v>
      </c>
      <c r="DB42">
        <f t="shared" si="28"/>
        <v>113908.9</v>
      </c>
      <c r="DC42">
        <f t="shared" si="29"/>
        <v>0</v>
      </c>
      <c r="DD42" t="s">
        <v>3</v>
      </c>
      <c r="DE42" t="s">
        <v>3</v>
      </c>
      <c r="DF42">
        <f t="shared" si="23"/>
        <v>113908.9</v>
      </c>
      <c r="DG42">
        <f t="shared" si="21"/>
        <v>0</v>
      </c>
      <c r="DH42">
        <f t="shared" si="22"/>
        <v>0</v>
      </c>
      <c r="DI42">
        <f t="shared" si="3"/>
        <v>0</v>
      </c>
      <c r="DJ42">
        <f t="shared" si="30"/>
        <v>113908.9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ROW(Source!A37)</f>
        <v>37</v>
      </c>
      <c r="B43">
        <v>60256982</v>
      </c>
      <c r="C43">
        <v>60257133</v>
      </c>
      <c r="D43">
        <v>58999254</v>
      </c>
      <c r="E43">
        <v>1080</v>
      </c>
      <c r="F43">
        <v>1</v>
      </c>
      <c r="G43">
        <v>1080</v>
      </c>
      <c r="H43">
        <v>1</v>
      </c>
      <c r="I43" t="s">
        <v>293</v>
      </c>
      <c r="J43" t="s">
        <v>3</v>
      </c>
      <c r="K43" t="s">
        <v>294</v>
      </c>
      <c r="L43">
        <v>1191</v>
      </c>
      <c r="N43">
        <v>1013</v>
      </c>
      <c r="O43" t="s">
        <v>295</v>
      </c>
      <c r="P43" t="s">
        <v>295</v>
      </c>
      <c r="Q43">
        <v>1</v>
      </c>
      <c r="W43">
        <v>0</v>
      </c>
      <c r="X43">
        <v>476480486</v>
      </c>
      <c r="Y43">
        <f>(AT43*1.1)</f>
        <v>5.6650000000000009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5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5.15</v>
      </c>
      <c r="AU43" t="s">
        <v>23</v>
      </c>
      <c r="AV43">
        <v>1</v>
      </c>
      <c r="AW43">
        <v>2</v>
      </c>
      <c r="AX43">
        <v>60257528</v>
      </c>
      <c r="AY43">
        <v>1</v>
      </c>
      <c r="AZ43">
        <v>0</v>
      </c>
      <c r="BA43">
        <v>43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U43">
        <f>ROUND(AT43*Source!I37*AH43*AL43,2)</f>
        <v>0</v>
      </c>
      <c r="CV43">
        <f>ROUND(Y43*Source!I37,9)</f>
        <v>5.665</v>
      </c>
      <c r="CW43">
        <v>0</v>
      </c>
      <c r="CX43">
        <f>ROUND(Y43*Source!I37,9)</f>
        <v>5.665</v>
      </c>
      <c r="CY43">
        <f>AD43</f>
        <v>0</v>
      </c>
      <c r="CZ43">
        <f>AH43</f>
        <v>0</v>
      </c>
      <c r="DA43">
        <f>AL43</f>
        <v>1</v>
      </c>
      <c r="DB43">
        <f>ROUND((ROUND(AT43*CZ43,2)*1.1),6)</f>
        <v>0</v>
      </c>
      <c r="DC43">
        <f>ROUND((ROUND(AT43*AG43,2)*1.1),6)</f>
        <v>0</v>
      </c>
      <c r="DD43" t="s">
        <v>3</v>
      </c>
      <c r="DE43" t="s">
        <v>3</v>
      </c>
      <c r="DF43">
        <f t="shared" si="23"/>
        <v>0</v>
      </c>
      <c r="DG43">
        <f t="shared" si="21"/>
        <v>0</v>
      </c>
      <c r="DH43">
        <f t="shared" si="22"/>
        <v>0</v>
      </c>
      <c r="DI43">
        <f t="shared" si="3"/>
        <v>0</v>
      </c>
      <c r="DJ43">
        <f>DI43</f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ROW(Source!A37)</f>
        <v>37</v>
      </c>
      <c r="B44">
        <v>60256982</v>
      </c>
      <c r="C44">
        <v>60257133</v>
      </c>
      <c r="D44">
        <v>59070370</v>
      </c>
      <c r="E44">
        <v>1</v>
      </c>
      <c r="F44">
        <v>1</v>
      </c>
      <c r="G44">
        <v>1080</v>
      </c>
      <c r="H44">
        <v>2</v>
      </c>
      <c r="I44" t="s">
        <v>296</v>
      </c>
      <c r="J44" t="s">
        <v>297</v>
      </c>
      <c r="K44" t="s">
        <v>298</v>
      </c>
      <c r="L44">
        <v>1368</v>
      </c>
      <c r="N44">
        <v>1011</v>
      </c>
      <c r="O44" t="s">
        <v>299</v>
      </c>
      <c r="P44" t="s">
        <v>299</v>
      </c>
      <c r="Q44">
        <v>1</v>
      </c>
      <c r="W44">
        <v>0</v>
      </c>
      <c r="X44">
        <v>-2065404138</v>
      </c>
      <c r="Y44">
        <f>(AT44*1.1)</f>
        <v>0.22000000000000003</v>
      </c>
      <c r="AA44">
        <v>0</v>
      </c>
      <c r="AB44">
        <v>85.83</v>
      </c>
      <c r="AC44">
        <v>0</v>
      </c>
      <c r="AD44">
        <v>0</v>
      </c>
      <c r="AE44">
        <v>0</v>
      </c>
      <c r="AF44">
        <v>7.11</v>
      </c>
      <c r="AG44">
        <v>0</v>
      </c>
      <c r="AH44">
        <v>0</v>
      </c>
      <c r="AI44">
        <v>1</v>
      </c>
      <c r="AJ44">
        <v>11.53</v>
      </c>
      <c r="AK44">
        <v>54.99</v>
      </c>
      <c r="AL44">
        <v>1</v>
      </c>
      <c r="AM44">
        <v>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0.2</v>
      </c>
      <c r="AU44" t="s">
        <v>23</v>
      </c>
      <c r="AV44">
        <v>0</v>
      </c>
      <c r="AW44">
        <v>2</v>
      </c>
      <c r="AX44">
        <v>60257529</v>
      </c>
      <c r="AY44">
        <v>1</v>
      </c>
      <c r="AZ44">
        <v>0</v>
      </c>
      <c r="BA44">
        <v>44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f>ROUND(Y44*Source!I37*DO44,9)</f>
        <v>0</v>
      </c>
      <c r="CX44">
        <f>ROUND(Y44*Source!I37,9)</f>
        <v>0.22</v>
      </c>
      <c r="CY44">
        <f>AB44</f>
        <v>85.83</v>
      </c>
      <c r="CZ44">
        <f>AF44</f>
        <v>7.11</v>
      </c>
      <c r="DA44">
        <f>AJ44</f>
        <v>11.53</v>
      </c>
      <c r="DB44">
        <f>ROUND((ROUND(AT44*CZ44,2)*1.1),6)</f>
        <v>1.5620000000000001</v>
      </c>
      <c r="DC44">
        <f>ROUND((ROUND(AT44*AG44,2)*1.1),6)</f>
        <v>0</v>
      </c>
      <c r="DD44" t="s">
        <v>3</v>
      </c>
      <c r="DE44" t="s">
        <v>3</v>
      </c>
      <c r="DF44">
        <f t="shared" si="23"/>
        <v>0</v>
      </c>
      <c r="DG44">
        <f>ROUND(ROUND(AF44*AJ44,2)*CX44,2)</f>
        <v>18.04</v>
      </c>
      <c r="DH44">
        <f>ROUND(ROUND(AG44*AK44,2)*CX44,2)</f>
        <v>0</v>
      </c>
      <c r="DI44">
        <f t="shared" si="3"/>
        <v>0</v>
      </c>
      <c r="DJ44">
        <f>DG44</f>
        <v>18.04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ROW(Source!A37)</f>
        <v>37</v>
      </c>
      <c r="B45">
        <v>60256982</v>
      </c>
      <c r="C45">
        <v>60257133</v>
      </c>
      <c r="D45">
        <v>59070669</v>
      </c>
      <c r="E45">
        <v>1</v>
      </c>
      <c r="F45">
        <v>1</v>
      </c>
      <c r="G45">
        <v>1080</v>
      </c>
      <c r="H45">
        <v>2</v>
      </c>
      <c r="I45" t="s">
        <v>300</v>
      </c>
      <c r="J45" t="s">
        <v>301</v>
      </c>
      <c r="K45" t="s">
        <v>302</v>
      </c>
      <c r="L45">
        <v>1368</v>
      </c>
      <c r="N45">
        <v>1011</v>
      </c>
      <c r="O45" t="s">
        <v>299</v>
      </c>
      <c r="P45" t="s">
        <v>299</v>
      </c>
      <c r="Q45">
        <v>1</v>
      </c>
      <c r="W45">
        <v>0</v>
      </c>
      <c r="X45">
        <v>-1985943078</v>
      </c>
      <c r="Y45">
        <f>(AT45*1.1)</f>
        <v>3.3000000000000002E-2</v>
      </c>
      <c r="AA45">
        <v>0</v>
      </c>
      <c r="AB45">
        <v>1418.19</v>
      </c>
      <c r="AC45">
        <v>726.59</v>
      </c>
      <c r="AD45">
        <v>0</v>
      </c>
      <c r="AE45">
        <v>0</v>
      </c>
      <c r="AF45">
        <v>83.1</v>
      </c>
      <c r="AG45">
        <v>12.62</v>
      </c>
      <c r="AH45">
        <v>0</v>
      </c>
      <c r="AI45">
        <v>1</v>
      </c>
      <c r="AJ45">
        <v>16.3</v>
      </c>
      <c r="AK45">
        <v>54.99</v>
      </c>
      <c r="AL45">
        <v>1</v>
      </c>
      <c r="AM45">
        <v>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0.03</v>
      </c>
      <c r="AU45" t="s">
        <v>23</v>
      </c>
      <c r="AV45">
        <v>0</v>
      </c>
      <c r="AW45">
        <v>2</v>
      </c>
      <c r="AX45">
        <v>60257530</v>
      </c>
      <c r="AY45">
        <v>1</v>
      </c>
      <c r="AZ45">
        <v>0</v>
      </c>
      <c r="BA45">
        <v>45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f>ROUND(Y45*Source!I37*DO45,9)</f>
        <v>0.41646</v>
      </c>
      <c r="CX45">
        <f>ROUND(Y45*Source!I37,9)</f>
        <v>3.3000000000000002E-2</v>
      </c>
      <c r="CY45">
        <f>AB45</f>
        <v>1418.19</v>
      </c>
      <c r="CZ45">
        <f>AF45</f>
        <v>83.1</v>
      </c>
      <c r="DA45">
        <f>AJ45</f>
        <v>16.3</v>
      </c>
      <c r="DB45">
        <f>ROUND((ROUND(AT45*CZ45,2)*1.1),6)</f>
        <v>2.7389999999999999</v>
      </c>
      <c r="DC45">
        <f>ROUND((ROUND(AT45*AG45,2)*1.1),6)</f>
        <v>0.41799999999999998</v>
      </c>
      <c r="DD45" t="s">
        <v>3</v>
      </c>
      <c r="DE45" t="s">
        <v>3</v>
      </c>
      <c r="DF45">
        <f t="shared" si="23"/>
        <v>0</v>
      </c>
      <c r="DG45">
        <f>ROUND(ROUND(AF45*AJ45,2)*CX45,2)</f>
        <v>44.7</v>
      </c>
      <c r="DH45">
        <f>ROUND(ROUND(AG45*AK45,2)*CX45,2)</f>
        <v>22.9</v>
      </c>
      <c r="DI45">
        <f t="shared" si="3"/>
        <v>0</v>
      </c>
      <c r="DJ45">
        <f>DG45</f>
        <v>44.7</v>
      </c>
      <c r="DK45">
        <v>0</v>
      </c>
      <c r="DL45" t="s">
        <v>303</v>
      </c>
      <c r="DM45">
        <v>0</v>
      </c>
      <c r="DN45" t="s">
        <v>295</v>
      </c>
      <c r="DO45">
        <v>12.62</v>
      </c>
    </row>
    <row r="46" spans="1:119" x14ac:dyDescent="0.2">
      <c r="A46">
        <f>ROW(Source!A37)</f>
        <v>37</v>
      </c>
      <c r="B46">
        <v>60256982</v>
      </c>
      <c r="C46">
        <v>60257133</v>
      </c>
      <c r="D46">
        <v>59070743</v>
      </c>
      <c r="E46">
        <v>1</v>
      </c>
      <c r="F46">
        <v>1</v>
      </c>
      <c r="G46">
        <v>1080</v>
      </c>
      <c r="H46">
        <v>2</v>
      </c>
      <c r="I46" t="s">
        <v>304</v>
      </c>
      <c r="J46" t="s">
        <v>305</v>
      </c>
      <c r="K46" t="s">
        <v>306</v>
      </c>
      <c r="L46">
        <v>1368</v>
      </c>
      <c r="N46">
        <v>1011</v>
      </c>
      <c r="O46" t="s">
        <v>299</v>
      </c>
      <c r="P46" t="s">
        <v>299</v>
      </c>
      <c r="Q46">
        <v>1</v>
      </c>
      <c r="W46">
        <v>0</v>
      </c>
      <c r="X46">
        <v>-156805976</v>
      </c>
      <c r="Y46">
        <f>(AT46*1.1)</f>
        <v>0.50600000000000012</v>
      </c>
      <c r="AA46">
        <v>0</v>
      </c>
      <c r="AB46">
        <v>7.1</v>
      </c>
      <c r="AC46">
        <v>0</v>
      </c>
      <c r="AD46">
        <v>0</v>
      </c>
      <c r="AE46">
        <v>0</v>
      </c>
      <c r="AF46">
        <v>0.78</v>
      </c>
      <c r="AG46">
        <v>0</v>
      </c>
      <c r="AH46">
        <v>0</v>
      </c>
      <c r="AI46">
        <v>1</v>
      </c>
      <c r="AJ46">
        <v>8.69</v>
      </c>
      <c r="AK46">
        <v>54.99</v>
      </c>
      <c r="AL46">
        <v>1</v>
      </c>
      <c r="AM46">
        <v>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0.46</v>
      </c>
      <c r="AU46" t="s">
        <v>23</v>
      </c>
      <c r="AV46">
        <v>0</v>
      </c>
      <c r="AW46">
        <v>2</v>
      </c>
      <c r="AX46">
        <v>60257531</v>
      </c>
      <c r="AY46">
        <v>1</v>
      </c>
      <c r="AZ46">
        <v>0</v>
      </c>
      <c r="BA46">
        <v>46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f>ROUND(Y46*Source!I37*DO46,9)</f>
        <v>0</v>
      </c>
      <c r="CX46">
        <f>ROUND(Y46*Source!I37,9)</f>
        <v>0.50600000000000001</v>
      </c>
      <c r="CY46">
        <f>AB46</f>
        <v>7.1</v>
      </c>
      <c r="CZ46">
        <f>AF46</f>
        <v>0.78</v>
      </c>
      <c r="DA46">
        <f>AJ46</f>
        <v>8.69</v>
      </c>
      <c r="DB46">
        <f>ROUND((ROUND(AT46*CZ46,2)*1.1),6)</f>
        <v>0.39600000000000002</v>
      </c>
      <c r="DC46">
        <f>ROUND((ROUND(AT46*AG46,2)*1.1),6)</f>
        <v>0</v>
      </c>
      <c r="DD46" t="s">
        <v>3</v>
      </c>
      <c r="DE46" t="s">
        <v>3</v>
      </c>
      <c r="DF46">
        <f t="shared" si="23"/>
        <v>0</v>
      </c>
      <c r="DG46">
        <f>ROUND(ROUND(AF46*AJ46,2)*CX46,2)</f>
        <v>3.43</v>
      </c>
      <c r="DH46">
        <f>ROUND(ROUND(AG46*AK46,2)*CX46,2)</f>
        <v>0</v>
      </c>
      <c r="DI46">
        <f t="shared" si="3"/>
        <v>0</v>
      </c>
      <c r="DJ46">
        <f>DG46</f>
        <v>3.43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ROW(Source!A37)</f>
        <v>37</v>
      </c>
      <c r="B47">
        <v>60256982</v>
      </c>
      <c r="C47">
        <v>60257133</v>
      </c>
      <c r="D47">
        <v>59039969</v>
      </c>
      <c r="E47">
        <v>1</v>
      </c>
      <c r="F47">
        <v>1</v>
      </c>
      <c r="G47">
        <v>1080</v>
      </c>
      <c r="H47">
        <v>3</v>
      </c>
      <c r="I47" t="s">
        <v>307</v>
      </c>
      <c r="J47" t="s">
        <v>308</v>
      </c>
      <c r="K47" t="s">
        <v>309</v>
      </c>
      <c r="L47">
        <v>1348</v>
      </c>
      <c r="N47">
        <v>1009</v>
      </c>
      <c r="O47" t="s">
        <v>310</v>
      </c>
      <c r="P47" t="s">
        <v>310</v>
      </c>
      <c r="Q47">
        <v>1000</v>
      </c>
      <c r="W47">
        <v>0</v>
      </c>
      <c r="X47">
        <v>-2039612599</v>
      </c>
      <c r="Y47">
        <f t="shared" ref="Y47:Y54" si="31">AT47</f>
        <v>1.21E-4</v>
      </c>
      <c r="AA47">
        <v>93559.38</v>
      </c>
      <c r="AB47">
        <v>0</v>
      </c>
      <c r="AC47">
        <v>0</v>
      </c>
      <c r="AD47">
        <v>0</v>
      </c>
      <c r="AE47">
        <v>7185.82</v>
      </c>
      <c r="AF47">
        <v>0</v>
      </c>
      <c r="AG47">
        <v>0</v>
      </c>
      <c r="AH47">
        <v>0</v>
      </c>
      <c r="AI47">
        <v>13.02</v>
      </c>
      <c r="AJ47">
        <v>1</v>
      </c>
      <c r="AK47">
        <v>1</v>
      </c>
      <c r="AL47">
        <v>1</v>
      </c>
      <c r="AM47">
        <v>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1.21E-4</v>
      </c>
      <c r="AU47" t="s">
        <v>3</v>
      </c>
      <c r="AV47">
        <v>0</v>
      </c>
      <c r="AW47">
        <v>2</v>
      </c>
      <c r="AX47">
        <v>60257532</v>
      </c>
      <c r="AY47">
        <v>1</v>
      </c>
      <c r="AZ47">
        <v>0</v>
      </c>
      <c r="BA47">
        <v>47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ROUND(Y47*Source!I37,9)</f>
        <v>1.21E-4</v>
      </c>
      <c r="CY47">
        <f t="shared" ref="CY47:CY54" si="32">AA47</f>
        <v>93559.38</v>
      </c>
      <c r="CZ47">
        <f t="shared" ref="CZ47:CZ54" si="33">AE47</f>
        <v>7185.82</v>
      </c>
      <c r="DA47">
        <f t="shared" ref="DA47:DA54" si="34">AI47</f>
        <v>13.02</v>
      </c>
      <c r="DB47">
        <f t="shared" ref="DB47:DB54" si="35">ROUND(ROUND(AT47*CZ47,2),6)</f>
        <v>0.87</v>
      </c>
      <c r="DC47">
        <f t="shared" ref="DC47:DC54" si="36">ROUND(ROUND(AT47*AG47,2),6)</f>
        <v>0</v>
      </c>
      <c r="DD47" t="s">
        <v>3</v>
      </c>
      <c r="DE47" t="s">
        <v>3</v>
      </c>
      <c r="DF47">
        <f t="shared" ref="DF47:DF54" si="37">ROUND(ROUND(AE47*AI47,2)*CX47,2)</f>
        <v>11.32</v>
      </c>
      <c r="DG47">
        <f t="shared" ref="DG47:DG75" si="38">ROUND(ROUND(AF47,2)*CX47,2)</f>
        <v>0</v>
      </c>
      <c r="DH47">
        <f t="shared" ref="DH47:DH75" si="39">ROUND(ROUND(AG47,2)*CX47,2)</f>
        <v>0</v>
      </c>
      <c r="DI47">
        <f t="shared" si="3"/>
        <v>0</v>
      </c>
      <c r="DJ47">
        <f t="shared" ref="DJ47:DJ54" si="40">DF47</f>
        <v>11.32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ROW(Source!A37)</f>
        <v>37</v>
      </c>
      <c r="B48">
        <v>60256982</v>
      </c>
      <c r="C48">
        <v>60257133</v>
      </c>
      <c r="D48">
        <v>59039978</v>
      </c>
      <c r="E48">
        <v>1</v>
      </c>
      <c r="F48">
        <v>1</v>
      </c>
      <c r="G48">
        <v>1080</v>
      </c>
      <c r="H48">
        <v>3</v>
      </c>
      <c r="I48" t="s">
        <v>311</v>
      </c>
      <c r="J48" t="s">
        <v>312</v>
      </c>
      <c r="K48" t="s">
        <v>313</v>
      </c>
      <c r="L48">
        <v>1346</v>
      </c>
      <c r="N48">
        <v>1009</v>
      </c>
      <c r="O48" t="s">
        <v>314</v>
      </c>
      <c r="P48" t="s">
        <v>314</v>
      </c>
      <c r="Q48">
        <v>1</v>
      </c>
      <c r="W48">
        <v>0</v>
      </c>
      <c r="X48">
        <v>1368649771</v>
      </c>
      <c r="Y48">
        <f t="shared" si="31"/>
        <v>2.3E-2</v>
      </c>
      <c r="AA48">
        <v>78.430000000000007</v>
      </c>
      <c r="AB48">
        <v>0</v>
      </c>
      <c r="AC48">
        <v>0</v>
      </c>
      <c r="AD48">
        <v>0</v>
      </c>
      <c r="AE48">
        <v>29.82</v>
      </c>
      <c r="AF48">
        <v>0</v>
      </c>
      <c r="AG48">
        <v>0</v>
      </c>
      <c r="AH48">
        <v>0</v>
      </c>
      <c r="AI48">
        <v>2.63</v>
      </c>
      <c r="AJ48">
        <v>1</v>
      </c>
      <c r="AK48">
        <v>1</v>
      </c>
      <c r="AL48">
        <v>1</v>
      </c>
      <c r="AM48">
        <v>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2.3E-2</v>
      </c>
      <c r="AU48" t="s">
        <v>3</v>
      </c>
      <c r="AV48">
        <v>0</v>
      </c>
      <c r="AW48">
        <v>2</v>
      </c>
      <c r="AX48">
        <v>60257533</v>
      </c>
      <c r="AY48">
        <v>1</v>
      </c>
      <c r="AZ48">
        <v>0</v>
      </c>
      <c r="BA48">
        <v>48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ROUND(Y48*Source!I37,9)</f>
        <v>2.3E-2</v>
      </c>
      <c r="CY48">
        <f t="shared" si="32"/>
        <v>78.430000000000007</v>
      </c>
      <c r="CZ48">
        <f t="shared" si="33"/>
        <v>29.82</v>
      </c>
      <c r="DA48">
        <f t="shared" si="34"/>
        <v>2.63</v>
      </c>
      <c r="DB48">
        <f t="shared" si="35"/>
        <v>0.69</v>
      </c>
      <c r="DC48">
        <f t="shared" si="36"/>
        <v>0</v>
      </c>
      <c r="DD48" t="s">
        <v>3</v>
      </c>
      <c r="DE48" t="s">
        <v>3</v>
      </c>
      <c r="DF48">
        <f t="shared" si="37"/>
        <v>1.8</v>
      </c>
      <c r="DG48">
        <f t="shared" si="38"/>
        <v>0</v>
      </c>
      <c r="DH48">
        <f t="shared" si="39"/>
        <v>0</v>
      </c>
      <c r="DI48">
        <f t="shared" si="3"/>
        <v>0</v>
      </c>
      <c r="DJ48">
        <f t="shared" si="40"/>
        <v>1.8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ROW(Source!A37)</f>
        <v>37</v>
      </c>
      <c r="B49">
        <v>60256982</v>
      </c>
      <c r="C49">
        <v>60257133</v>
      </c>
      <c r="D49">
        <v>59038948</v>
      </c>
      <c r="E49">
        <v>1</v>
      </c>
      <c r="F49">
        <v>1</v>
      </c>
      <c r="G49">
        <v>1080</v>
      </c>
      <c r="H49">
        <v>3</v>
      </c>
      <c r="I49" t="s">
        <v>315</v>
      </c>
      <c r="J49" t="s">
        <v>316</v>
      </c>
      <c r="K49" t="s">
        <v>317</v>
      </c>
      <c r="L49">
        <v>1348</v>
      </c>
      <c r="N49">
        <v>1009</v>
      </c>
      <c r="O49" t="s">
        <v>310</v>
      </c>
      <c r="P49" t="s">
        <v>310</v>
      </c>
      <c r="Q49">
        <v>1000</v>
      </c>
      <c r="W49">
        <v>0</v>
      </c>
      <c r="X49">
        <v>2017980840</v>
      </c>
      <c r="Y49">
        <f t="shared" si="31"/>
        <v>1.8E-5</v>
      </c>
      <c r="AA49">
        <v>66964.52</v>
      </c>
      <c r="AB49">
        <v>0</v>
      </c>
      <c r="AC49">
        <v>0</v>
      </c>
      <c r="AD49">
        <v>0</v>
      </c>
      <c r="AE49">
        <v>18653.07</v>
      </c>
      <c r="AF49">
        <v>0</v>
      </c>
      <c r="AG49">
        <v>0</v>
      </c>
      <c r="AH49">
        <v>0</v>
      </c>
      <c r="AI49">
        <v>3.59</v>
      </c>
      <c r="AJ49">
        <v>1</v>
      </c>
      <c r="AK49">
        <v>1</v>
      </c>
      <c r="AL49">
        <v>1</v>
      </c>
      <c r="AM49">
        <v>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1.8E-5</v>
      </c>
      <c r="AU49" t="s">
        <v>3</v>
      </c>
      <c r="AV49">
        <v>0</v>
      </c>
      <c r="AW49">
        <v>2</v>
      </c>
      <c r="AX49">
        <v>60257534</v>
      </c>
      <c r="AY49">
        <v>1</v>
      </c>
      <c r="AZ49">
        <v>0</v>
      </c>
      <c r="BA49">
        <v>49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v>0</v>
      </c>
      <c r="CX49">
        <f>ROUND(Y49*Source!I37,9)</f>
        <v>1.8E-5</v>
      </c>
      <c r="CY49">
        <f t="shared" si="32"/>
        <v>66964.52</v>
      </c>
      <c r="CZ49">
        <f t="shared" si="33"/>
        <v>18653.07</v>
      </c>
      <c r="DA49">
        <f t="shared" si="34"/>
        <v>3.59</v>
      </c>
      <c r="DB49">
        <f t="shared" si="35"/>
        <v>0.34</v>
      </c>
      <c r="DC49">
        <f t="shared" si="36"/>
        <v>0</v>
      </c>
      <c r="DD49" t="s">
        <v>3</v>
      </c>
      <c r="DE49" t="s">
        <v>3</v>
      </c>
      <c r="DF49">
        <f t="shared" si="37"/>
        <v>1.21</v>
      </c>
      <c r="DG49">
        <f t="shared" si="38"/>
        <v>0</v>
      </c>
      <c r="DH49">
        <f t="shared" si="39"/>
        <v>0</v>
      </c>
      <c r="DI49">
        <f t="shared" si="3"/>
        <v>0</v>
      </c>
      <c r="DJ49">
        <f t="shared" si="40"/>
        <v>1.21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ROW(Source!A37)</f>
        <v>37</v>
      </c>
      <c r="B50">
        <v>60256982</v>
      </c>
      <c r="C50">
        <v>60257133</v>
      </c>
      <c r="D50">
        <v>59040738</v>
      </c>
      <c r="E50">
        <v>1</v>
      </c>
      <c r="F50">
        <v>1</v>
      </c>
      <c r="G50">
        <v>1080</v>
      </c>
      <c r="H50">
        <v>3</v>
      </c>
      <c r="I50" t="s">
        <v>318</v>
      </c>
      <c r="J50" t="s">
        <v>319</v>
      </c>
      <c r="K50" t="s">
        <v>320</v>
      </c>
      <c r="L50">
        <v>1348</v>
      </c>
      <c r="N50">
        <v>1009</v>
      </c>
      <c r="O50" t="s">
        <v>310</v>
      </c>
      <c r="P50" t="s">
        <v>310</v>
      </c>
      <c r="Q50">
        <v>1000</v>
      </c>
      <c r="W50">
        <v>0</v>
      </c>
      <c r="X50">
        <v>1835689910</v>
      </c>
      <c r="Y50">
        <f t="shared" si="31"/>
        <v>2.3780000000000001E-4</v>
      </c>
      <c r="AA50">
        <v>121197.56</v>
      </c>
      <c r="AB50">
        <v>0</v>
      </c>
      <c r="AC50">
        <v>0</v>
      </c>
      <c r="AD50">
        <v>0</v>
      </c>
      <c r="AE50">
        <v>11487.92</v>
      </c>
      <c r="AF50">
        <v>0</v>
      </c>
      <c r="AG50">
        <v>0</v>
      </c>
      <c r="AH50">
        <v>0</v>
      </c>
      <c r="AI50">
        <v>10.55</v>
      </c>
      <c r="AJ50">
        <v>1</v>
      </c>
      <c r="AK50">
        <v>1</v>
      </c>
      <c r="AL50">
        <v>1</v>
      </c>
      <c r="AM50">
        <v>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2.3780000000000001E-4</v>
      </c>
      <c r="AU50" t="s">
        <v>3</v>
      </c>
      <c r="AV50">
        <v>0</v>
      </c>
      <c r="AW50">
        <v>2</v>
      </c>
      <c r="AX50">
        <v>60257535</v>
      </c>
      <c r="AY50">
        <v>1</v>
      </c>
      <c r="AZ50">
        <v>0</v>
      </c>
      <c r="BA50">
        <v>50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ROUND(Y50*Source!I37,9)</f>
        <v>2.3780000000000001E-4</v>
      </c>
      <c r="CY50">
        <f t="shared" si="32"/>
        <v>121197.56</v>
      </c>
      <c r="CZ50">
        <f t="shared" si="33"/>
        <v>11487.92</v>
      </c>
      <c r="DA50">
        <f t="shared" si="34"/>
        <v>10.55</v>
      </c>
      <c r="DB50">
        <f t="shared" si="35"/>
        <v>2.73</v>
      </c>
      <c r="DC50">
        <f t="shared" si="36"/>
        <v>0</v>
      </c>
      <c r="DD50" t="s">
        <v>3</v>
      </c>
      <c r="DE50" t="s">
        <v>3</v>
      </c>
      <c r="DF50">
        <f t="shared" si="37"/>
        <v>28.82</v>
      </c>
      <c r="DG50">
        <f t="shared" si="38"/>
        <v>0</v>
      </c>
      <c r="DH50">
        <f t="shared" si="39"/>
        <v>0</v>
      </c>
      <c r="DI50">
        <f t="shared" si="3"/>
        <v>0</v>
      </c>
      <c r="DJ50">
        <f t="shared" si="40"/>
        <v>28.82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ROW(Source!A37)</f>
        <v>37</v>
      </c>
      <c r="B51">
        <v>60256982</v>
      </c>
      <c r="C51">
        <v>60257133</v>
      </c>
      <c r="D51">
        <v>59041302</v>
      </c>
      <c r="E51">
        <v>1</v>
      </c>
      <c r="F51">
        <v>1</v>
      </c>
      <c r="G51">
        <v>1080</v>
      </c>
      <c r="H51">
        <v>3</v>
      </c>
      <c r="I51" t="s">
        <v>321</v>
      </c>
      <c r="J51" t="s">
        <v>322</v>
      </c>
      <c r="K51" t="s">
        <v>323</v>
      </c>
      <c r="L51">
        <v>1348</v>
      </c>
      <c r="N51">
        <v>1009</v>
      </c>
      <c r="O51" t="s">
        <v>310</v>
      </c>
      <c r="P51" t="s">
        <v>310</v>
      </c>
      <c r="Q51">
        <v>1000</v>
      </c>
      <c r="W51">
        <v>0</v>
      </c>
      <c r="X51">
        <v>2135033779</v>
      </c>
      <c r="Y51">
        <f t="shared" si="31"/>
        <v>7.0000000000000001E-3</v>
      </c>
      <c r="AA51">
        <v>58515.360000000001</v>
      </c>
      <c r="AB51">
        <v>0</v>
      </c>
      <c r="AC51">
        <v>0</v>
      </c>
      <c r="AD51">
        <v>0</v>
      </c>
      <c r="AE51">
        <v>12089.95</v>
      </c>
      <c r="AF51">
        <v>0</v>
      </c>
      <c r="AG51">
        <v>0</v>
      </c>
      <c r="AH51">
        <v>0</v>
      </c>
      <c r="AI51">
        <v>4.84</v>
      </c>
      <c r="AJ51">
        <v>1</v>
      </c>
      <c r="AK51">
        <v>1</v>
      </c>
      <c r="AL51">
        <v>1</v>
      </c>
      <c r="AM51">
        <v>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7.0000000000000001E-3</v>
      </c>
      <c r="AU51" t="s">
        <v>3</v>
      </c>
      <c r="AV51">
        <v>0</v>
      </c>
      <c r="AW51">
        <v>2</v>
      </c>
      <c r="AX51">
        <v>60257536</v>
      </c>
      <c r="AY51">
        <v>1</v>
      </c>
      <c r="AZ51">
        <v>0</v>
      </c>
      <c r="BA51">
        <v>51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ROUND(Y51*Source!I37,9)</f>
        <v>7.0000000000000001E-3</v>
      </c>
      <c r="CY51">
        <f t="shared" si="32"/>
        <v>58515.360000000001</v>
      </c>
      <c r="CZ51">
        <f t="shared" si="33"/>
        <v>12089.95</v>
      </c>
      <c r="DA51">
        <f t="shared" si="34"/>
        <v>4.84</v>
      </c>
      <c r="DB51">
        <f t="shared" si="35"/>
        <v>84.63</v>
      </c>
      <c r="DC51">
        <f t="shared" si="36"/>
        <v>0</v>
      </c>
      <c r="DD51" t="s">
        <v>3</v>
      </c>
      <c r="DE51" t="s">
        <v>3</v>
      </c>
      <c r="DF51">
        <f t="shared" si="37"/>
        <v>409.61</v>
      </c>
      <c r="DG51">
        <f t="shared" si="38"/>
        <v>0</v>
      </c>
      <c r="DH51">
        <f t="shared" si="39"/>
        <v>0</v>
      </c>
      <c r="DI51">
        <f t="shared" si="3"/>
        <v>0</v>
      </c>
      <c r="DJ51">
        <f t="shared" si="40"/>
        <v>409.61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ROW(Source!A37)</f>
        <v>37</v>
      </c>
      <c r="B52">
        <v>60256982</v>
      </c>
      <c r="C52">
        <v>60257133</v>
      </c>
      <c r="D52">
        <v>59039500</v>
      </c>
      <c r="E52">
        <v>1</v>
      </c>
      <c r="F52">
        <v>1</v>
      </c>
      <c r="G52">
        <v>1080</v>
      </c>
      <c r="H52">
        <v>3</v>
      </c>
      <c r="I52" t="s">
        <v>324</v>
      </c>
      <c r="J52" t="s">
        <v>325</v>
      </c>
      <c r="K52" t="s">
        <v>326</v>
      </c>
      <c r="L52">
        <v>1348</v>
      </c>
      <c r="N52">
        <v>1009</v>
      </c>
      <c r="O52" t="s">
        <v>310</v>
      </c>
      <c r="P52" t="s">
        <v>310</v>
      </c>
      <c r="Q52">
        <v>1000</v>
      </c>
      <c r="W52">
        <v>0</v>
      </c>
      <c r="X52">
        <v>432853124</v>
      </c>
      <c r="Y52">
        <f t="shared" si="31"/>
        <v>1.0000000000000001E-5</v>
      </c>
      <c r="AA52">
        <v>134057.4</v>
      </c>
      <c r="AB52">
        <v>0</v>
      </c>
      <c r="AC52">
        <v>0</v>
      </c>
      <c r="AD52">
        <v>0</v>
      </c>
      <c r="AE52">
        <v>8582.42</v>
      </c>
      <c r="AF52">
        <v>0</v>
      </c>
      <c r="AG52">
        <v>0</v>
      </c>
      <c r="AH52">
        <v>0</v>
      </c>
      <c r="AI52">
        <v>15.62</v>
      </c>
      <c r="AJ52">
        <v>1</v>
      </c>
      <c r="AK52">
        <v>1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1.0000000000000001E-5</v>
      </c>
      <c r="AU52" t="s">
        <v>3</v>
      </c>
      <c r="AV52">
        <v>0</v>
      </c>
      <c r="AW52">
        <v>2</v>
      </c>
      <c r="AX52">
        <v>60257537</v>
      </c>
      <c r="AY52">
        <v>1</v>
      </c>
      <c r="AZ52">
        <v>0</v>
      </c>
      <c r="BA52">
        <v>52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ROUND(Y52*Source!I37,9)</f>
        <v>1.0000000000000001E-5</v>
      </c>
      <c r="CY52">
        <f t="shared" si="32"/>
        <v>134057.4</v>
      </c>
      <c r="CZ52">
        <f t="shared" si="33"/>
        <v>8582.42</v>
      </c>
      <c r="DA52">
        <f t="shared" si="34"/>
        <v>15.62</v>
      </c>
      <c r="DB52">
        <f t="shared" si="35"/>
        <v>0.09</v>
      </c>
      <c r="DC52">
        <f t="shared" si="36"/>
        <v>0</v>
      </c>
      <c r="DD52" t="s">
        <v>3</v>
      </c>
      <c r="DE52" t="s">
        <v>3</v>
      </c>
      <c r="DF52">
        <f t="shared" si="37"/>
        <v>1.34</v>
      </c>
      <c r="DG52">
        <f t="shared" si="38"/>
        <v>0</v>
      </c>
      <c r="DH52">
        <f t="shared" si="39"/>
        <v>0</v>
      </c>
      <c r="DI52">
        <f t="shared" si="3"/>
        <v>0</v>
      </c>
      <c r="DJ52">
        <f t="shared" si="40"/>
        <v>1.34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ROW(Source!A37)</f>
        <v>37</v>
      </c>
      <c r="B53">
        <v>60256982</v>
      </c>
      <c r="C53">
        <v>60257133</v>
      </c>
      <c r="D53">
        <v>59039504</v>
      </c>
      <c r="E53">
        <v>1</v>
      </c>
      <c r="F53">
        <v>1</v>
      </c>
      <c r="G53">
        <v>1080</v>
      </c>
      <c r="H53">
        <v>3</v>
      </c>
      <c r="I53" t="s">
        <v>327</v>
      </c>
      <c r="J53" t="s">
        <v>328</v>
      </c>
      <c r="K53" t="s">
        <v>329</v>
      </c>
      <c r="L53">
        <v>1348</v>
      </c>
      <c r="N53">
        <v>1009</v>
      </c>
      <c r="O53" t="s">
        <v>310</v>
      </c>
      <c r="P53" t="s">
        <v>310</v>
      </c>
      <c r="Q53">
        <v>1000</v>
      </c>
      <c r="W53">
        <v>0</v>
      </c>
      <c r="X53">
        <v>1850032922</v>
      </c>
      <c r="Y53">
        <f t="shared" si="31"/>
        <v>1.9999999999999999E-6</v>
      </c>
      <c r="AA53">
        <v>56975.05</v>
      </c>
      <c r="AB53">
        <v>0</v>
      </c>
      <c r="AC53">
        <v>0</v>
      </c>
      <c r="AD53">
        <v>0</v>
      </c>
      <c r="AE53">
        <v>12521.99</v>
      </c>
      <c r="AF53">
        <v>0</v>
      </c>
      <c r="AG53">
        <v>0</v>
      </c>
      <c r="AH53">
        <v>0</v>
      </c>
      <c r="AI53">
        <v>4.55</v>
      </c>
      <c r="AJ53">
        <v>1</v>
      </c>
      <c r="AK53">
        <v>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1.9999999999999999E-6</v>
      </c>
      <c r="AU53" t="s">
        <v>3</v>
      </c>
      <c r="AV53">
        <v>0</v>
      </c>
      <c r="AW53">
        <v>2</v>
      </c>
      <c r="AX53">
        <v>60257538</v>
      </c>
      <c r="AY53">
        <v>1</v>
      </c>
      <c r="AZ53">
        <v>0</v>
      </c>
      <c r="BA53">
        <v>53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v>0</v>
      </c>
      <c r="CX53">
        <f>ROUND(Y53*Source!I37,9)</f>
        <v>1.9999999999999999E-6</v>
      </c>
      <c r="CY53">
        <f t="shared" si="32"/>
        <v>56975.05</v>
      </c>
      <c r="CZ53">
        <f t="shared" si="33"/>
        <v>12521.99</v>
      </c>
      <c r="DA53">
        <f t="shared" si="34"/>
        <v>4.55</v>
      </c>
      <c r="DB53">
        <f t="shared" si="35"/>
        <v>0.03</v>
      </c>
      <c r="DC53">
        <f t="shared" si="36"/>
        <v>0</v>
      </c>
      <c r="DD53" t="s">
        <v>3</v>
      </c>
      <c r="DE53" t="s">
        <v>3</v>
      </c>
      <c r="DF53">
        <f t="shared" si="37"/>
        <v>0.11</v>
      </c>
      <c r="DG53">
        <f t="shared" si="38"/>
        <v>0</v>
      </c>
      <c r="DH53">
        <f t="shared" si="39"/>
        <v>0</v>
      </c>
      <c r="DI53">
        <f t="shared" si="3"/>
        <v>0</v>
      </c>
      <c r="DJ53">
        <f t="shared" si="40"/>
        <v>0.11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ROW(Source!A37)</f>
        <v>37</v>
      </c>
      <c r="B54">
        <v>60256982</v>
      </c>
      <c r="C54">
        <v>60257133</v>
      </c>
      <c r="D54">
        <v>0</v>
      </c>
      <c r="E54">
        <v>1080</v>
      </c>
      <c r="F54">
        <v>1</v>
      </c>
      <c r="G54">
        <v>1080</v>
      </c>
      <c r="H54">
        <v>3</v>
      </c>
      <c r="I54" t="s">
        <v>47</v>
      </c>
      <c r="J54" t="s">
        <v>3</v>
      </c>
      <c r="K54" t="s">
        <v>48</v>
      </c>
      <c r="L54">
        <v>1354</v>
      </c>
      <c r="N54">
        <v>1010</v>
      </c>
      <c r="O54" t="s">
        <v>31</v>
      </c>
      <c r="P54" t="s">
        <v>31</v>
      </c>
      <c r="Q54">
        <v>1</v>
      </c>
      <c r="W54">
        <v>0</v>
      </c>
      <c r="X54">
        <v>1555646983</v>
      </c>
      <c r="Y54">
        <f t="shared" si="31"/>
        <v>1</v>
      </c>
      <c r="AA54">
        <v>872542.17</v>
      </c>
      <c r="AB54">
        <v>0</v>
      </c>
      <c r="AC54">
        <v>0</v>
      </c>
      <c r="AD54">
        <v>0</v>
      </c>
      <c r="AE54">
        <v>113908.9</v>
      </c>
      <c r="AF54">
        <v>0</v>
      </c>
      <c r="AG54">
        <v>0</v>
      </c>
      <c r="AH54">
        <v>0</v>
      </c>
      <c r="AI54">
        <v>7.66</v>
      </c>
      <c r="AJ54">
        <v>1</v>
      </c>
      <c r="AK54">
        <v>1</v>
      </c>
      <c r="AL54">
        <v>1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 t="s">
        <v>3</v>
      </c>
      <c r="AT54">
        <v>1</v>
      </c>
      <c r="AU54" t="s">
        <v>3</v>
      </c>
      <c r="AV54">
        <v>0</v>
      </c>
      <c r="AW54">
        <v>1</v>
      </c>
      <c r="AX54">
        <v>-1</v>
      </c>
      <c r="AY54">
        <v>0</v>
      </c>
      <c r="AZ54">
        <v>0</v>
      </c>
      <c r="BA54" t="s">
        <v>3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ROUND(Y54*Source!I37,9)</f>
        <v>1</v>
      </c>
      <c r="CY54">
        <f t="shared" si="32"/>
        <v>872542.17</v>
      </c>
      <c r="CZ54">
        <f t="shared" si="33"/>
        <v>113908.9</v>
      </c>
      <c r="DA54">
        <f t="shared" si="34"/>
        <v>7.66</v>
      </c>
      <c r="DB54">
        <f t="shared" si="35"/>
        <v>113908.9</v>
      </c>
      <c r="DC54">
        <f t="shared" si="36"/>
        <v>0</v>
      </c>
      <c r="DD54" t="s">
        <v>3</v>
      </c>
      <c r="DE54" t="s">
        <v>3</v>
      </c>
      <c r="DF54">
        <f t="shared" si="37"/>
        <v>872542.17</v>
      </c>
      <c r="DG54">
        <f t="shared" si="38"/>
        <v>0</v>
      </c>
      <c r="DH54">
        <f t="shared" si="39"/>
        <v>0</v>
      </c>
      <c r="DI54">
        <f t="shared" si="3"/>
        <v>0</v>
      </c>
      <c r="DJ54">
        <f t="shared" si="40"/>
        <v>872542.17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ROW(Source!A40)</f>
        <v>40</v>
      </c>
      <c r="B55">
        <v>60256985</v>
      </c>
      <c r="C55">
        <v>60257159</v>
      </c>
      <c r="D55">
        <v>58999254</v>
      </c>
      <c r="E55">
        <v>1080</v>
      </c>
      <c r="F55">
        <v>1</v>
      </c>
      <c r="G55">
        <v>1080</v>
      </c>
      <c r="H55">
        <v>1</v>
      </c>
      <c r="I55" t="s">
        <v>293</v>
      </c>
      <c r="J55" t="s">
        <v>3</v>
      </c>
      <c r="K55" t="s">
        <v>294</v>
      </c>
      <c r="L55">
        <v>1191</v>
      </c>
      <c r="N55">
        <v>1013</v>
      </c>
      <c r="O55" t="s">
        <v>295</v>
      </c>
      <c r="P55" t="s">
        <v>295</v>
      </c>
      <c r="Q55">
        <v>1</v>
      </c>
      <c r="W55">
        <v>0</v>
      </c>
      <c r="X55">
        <v>476480486</v>
      </c>
      <c r="Y55">
        <f>(AT55*1.1)</f>
        <v>36.300000000000004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-2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33</v>
      </c>
      <c r="AU55" t="s">
        <v>23</v>
      </c>
      <c r="AV55">
        <v>1</v>
      </c>
      <c r="AW55">
        <v>2</v>
      </c>
      <c r="AX55">
        <v>60257540</v>
      </c>
      <c r="AY55">
        <v>1</v>
      </c>
      <c r="AZ55">
        <v>0</v>
      </c>
      <c r="BA55">
        <v>55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U55">
        <f>ROUND(AT55*Source!I40*AH55*AL55,2)</f>
        <v>0</v>
      </c>
      <c r="CV55">
        <f>ROUND(Y55*Source!I40,9)</f>
        <v>36.299999999999997</v>
      </c>
      <c r="CW55">
        <v>0</v>
      </c>
      <c r="CX55">
        <f>ROUND(Y55*Source!I40,9)</f>
        <v>36.299999999999997</v>
      </c>
      <c r="CY55">
        <f>AD55</f>
        <v>0</v>
      </c>
      <c r="CZ55">
        <f>AH55</f>
        <v>0</v>
      </c>
      <c r="DA55">
        <f>AL55</f>
        <v>1</v>
      </c>
      <c r="DB55">
        <f>ROUND((ROUND(AT55*CZ55,2)*1.1),6)</f>
        <v>0</v>
      </c>
      <c r="DC55">
        <f>ROUND((ROUND(AT55*AG55,2)*1.1),6)</f>
        <v>0</v>
      </c>
      <c r="DD55" t="s">
        <v>3</v>
      </c>
      <c r="DE55" t="s">
        <v>3</v>
      </c>
      <c r="DF55">
        <f t="shared" ref="DF55:DF63" si="41">ROUND(ROUND(AE55,2)*CX55,2)</f>
        <v>0</v>
      </c>
      <c r="DG55">
        <f t="shared" si="38"/>
        <v>0</v>
      </c>
      <c r="DH55">
        <f t="shared" si="39"/>
        <v>0</v>
      </c>
      <c r="DI55">
        <f t="shared" si="3"/>
        <v>0</v>
      </c>
      <c r="DJ55">
        <f>DI55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ROW(Source!A40)</f>
        <v>40</v>
      </c>
      <c r="B56">
        <v>60256985</v>
      </c>
      <c r="C56">
        <v>60257159</v>
      </c>
      <c r="D56">
        <v>59040215</v>
      </c>
      <c r="E56">
        <v>1</v>
      </c>
      <c r="F56">
        <v>1</v>
      </c>
      <c r="G56">
        <v>1080</v>
      </c>
      <c r="H56">
        <v>3</v>
      </c>
      <c r="I56" t="s">
        <v>330</v>
      </c>
      <c r="J56" t="s">
        <v>331</v>
      </c>
      <c r="K56" t="s">
        <v>332</v>
      </c>
      <c r="L56">
        <v>1255</v>
      </c>
      <c r="N56">
        <v>1013</v>
      </c>
      <c r="O56" t="s">
        <v>333</v>
      </c>
      <c r="P56" t="s">
        <v>333</v>
      </c>
      <c r="Q56">
        <v>1</v>
      </c>
      <c r="W56">
        <v>0</v>
      </c>
      <c r="X56">
        <v>861275908</v>
      </c>
      <c r="Y56">
        <f t="shared" ref="Y56:Y62" si="42">AT56</f>
        <v>1.1000000000000001</v>
      </c>
      <c r="AA56">
        <v>0.42</v>
      </c>
      <c r="AB56">
        <v>0</v>
      </c>
      <c r="AC56">
        <v>0</v>
      </c>
      <c r="AD56">
        <v>0</v>
      </c>
      <c r="AE56">
        <v>0.42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-2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1.1000000000000001</v>
      </c>
      <c r="AU56" t="s">
        <v>3</v>
      </c>
      <c r="AV56">
        <v>0</v>
      </c>
      <c r="AW56">
        <v>2</v>
      </c>
      <c r="AX56">
        <v>60257541</v>
      </c>
      <c r="AY56">
        <v>1</v>
      </c>
      <c r="AZ56">
        <v>0</v>
      </c>
      <c r="BA56">
        <v>56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ROUND(Y56*Source!I40,9)</f>
        <v>1.1000000000000001</v>
      </c>
      <c r="CY56">
        <f t="shared" ref="CY56:CY62" si="43">AA56</f>
        <v>0.42</v>
      </c>
      <c r="CZ56">
        <f t="shared" ref="CZ56:CZ62" si="44">AE56</f>
        <v>0.42</v>
      </c>
      <c r="DA56">
        <f t="shared" ref="DA56:DA62" si="45">AI56</f>
        <v>1</v>
      </c>
      <c r="DB56">
        <f t="shared" ref="DB56:DB62" si="46">ROUND(ROUND(AT56*CZ56,2),6)</f>
        <v>0.46</v>
      </c>
      <c r="DC56">
        <f t="shared" ref="DC56:DC62" si="47">ROUND(ROUND(AT56*AG56,2),6)</f>
        <v>0</v>
      </c>
      <c r="DD56" t="s">
        <v>3</v>
      </c>
      <c r="DE56" t="s">
        <v>3</v>
      </c>
      <c r="DF56">
        <f t="shared" si="41"/>
        <v>0.46</v>
      </c>
      <c r="DG56">
        <f t="shared" si="38"/>
        <v>0</v>
      </c>
      <c r="DH56">
        <f t="shared" si="39"/>
        <v>0</v>
      </c>
      <c r="DI56">
        <f t="shared" si="3"/>
        <v>0</v>
      </c>
      <c r="DJ56">
        <f t="shared" ref="DJ56:DJ62" si="48">DF56</f>
        <v>0.46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ROW(Source!A40)</f>
        <v>40</v>
      </c>
      <c r="B57">
        <v>60256985</v>
      </c>
      <c r="C57">
        <v>60257159</v>
      </c>
      <c r="D57">
        <v>59039461</v>
      </c>
      <c r="E57">
        <v>1</v>
      </c>
      <c r="F57">
        <v>1</v>
      </c>
      <c r="G57">
        <v>1080</v>
      </c>
      <c r="H57">
        <v>3</v>
      </c>
      <c r="I57" t="s">
        <v>334</v>
      </c>
      <c r="J57" t="s">
        <v>335</v>
      </c>
      <c r="K57" t="s">
        <v>336</v>
      </c>
      <c r="L57">
        <v>1348</v>
      </c>
      <c r="N57">
        <v>1009</v>
      </c>
      <c r="O57" t="s">
        <v>310</v>
      </c>
      <c r="P57" t="s">
        <v>310</v>
      </c>
      <c r="Q57">
        <v>1000</v>
      </c>
      <c r="W57">
        <v>0</v>
      </c>
      <c r="X57">
        <v>-108669029</v>
      </c>
      <c r="Y57">
        <f t="shared" si="42"/>
        <v>1.9000000000000001E-4</v>
      </c>
      <c r="AA57">
        <v>60960.43</v>
      </c>
      <c r="AB57">
        <v>0</v>
      </c>
      <c r="AC57">
        <v>0</v>
      </c>
      <c r="AD57">
        <v>0</v>
      </c>
      <c r="AE57">
        <v>60960.43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1.9000000000000001E-4</v>
      </c>
      <c r="AU57" t="s">
        <v>3</v>
      </c>
      <c r="AV57">
        <v>0</v>
      </c>
      <c r="AW57">
        <v>2</v>
      </c>
      <c r="AX57">
        <v>60257542</v>
      </c>
      <c r="AY57">
        <v>1</v>
      </c>
      <c r="AZ57">
        <v>0</v>
      </c>
      <c r="BA57">
        <v>57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v>0</v>
      </c>
      <c r="CX57">
        <f>ROUND(Y57*Source!I40,9)</f>
        <v>1.9000000000000001E-4</v>
      </c>
      <c r="CY57">
        <f t="shared" si="43"/>
        <v>60960.43</v>
      </c>
      <c r="CZ57">
        <f t="shared" si="44"/>
        <v>60960.43</v>
      </c>
      <c r="DA57">
        <f t="shared" si="45"/>
        <v>1</v>
      </c>
      <c r="DB57">
        <f t="shared" si="46"/>
        <v>11.58</v>
      </c>
      <c r="DC57">
        <f t="shared" si="47"/>
        <v>0</v>
      </c>
      <c r="DD57" t="s">
        <v>3</v>
      </c>
      <c r="DE57" t="s">
        <v>3</v>
      </c>
      <c r="DF57">
        <f t="shared" si="41"/>
        <v>11.58</v>
      </c>
      <c r="DG57">
        <f t="shared" si="38"/>
        <v>0</v>
      </c>
      <c r="DH57">
        <f t="shared" si="39"/>
        <v>0</v>
      </c>
      <c r="DI57">
        <f t="shared" si="3"/>
        <v>0</v>
      </c>
      <c r="DJ57">
        <f t="shared" si="48"/>
        <v>11.58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ROW(Source!A40)</f>
        <v>40</v>
      </c>
      <c r="B58">
        <v>60256985</v>
      </c>
      <c r="C58">
        <v>60257159</v>
      </c>
      <c r="D58">
        <v>59045949</v>
      </c>
      <c r="E58">
        <v>1</v>
      </c>
      <c r="F58">
        <v>1</v>
      </c>
      <c r="G58">
        <v>1080</v>
      </c>
      <c r="H58">
        <v>3</v>
      </c>
      <c r="I58" t="s">
        <v>337</v>
      </c>
      <c r="J58" t="s">
        <v>338</v>
      </c>
      <c r="K58" t="s">
        <v>339</v>
      </c>
      <c r="L58">
        <v>1349</v>
      </c>
      <c r="N58">
        <v>1009</v>
      </c>
      <c r="O58" t="s">
        <v>340</v>
      </c>
      <c r="P58" t="s">
        <v>340</v>
      </c>
      <c r="Q58">
        <v>1E-3</v>
      </c>
      <c r="W58">
        <v>0</v>
      </c>
      <c r="X58">
        <v>-2034308505</v>
      </c>
      <c r="Y58">
        <f t="shared" si="42"/>
        <v>20</v>
      </c>
      <c r="AA58">
        <v>7.0000000000000007E-2</v>
      </c>
      <c r="AB58">
        <v>0</v>
      </c>
      <c r="AC58">
        <v>0</v>
      </c>
      <c r="AD58">
        <v>0</v>
      </c>
      <c r="AE58">
        <v>7.0000000000000007E-2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-2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20</v>
      </c>
      <c r="AU58" t="s">
        <v>3</v>
      </c>
      <c r="AV58">
        <v>0</v>
      </c>
      <c r="AW58">
        <v>2</v>
      </c>
      <c r="AX58">
        <v>60257543</v>
      </c>
      <c r="AY58">
        <v>1</v>
      </c>
      <c r="AZ58">
        <v>0</v>
      </c>
      <c r="BA58">
        <v>58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ROUND(Y58*Source!I40,9)</f>
        <v>20</v>
      </c>
      <c r="CY58">
        <f t="shared" si="43"/>
        <v>7.0000000000000007E-2</v>
      </c>
      <c r="CZ58">
        <f t="shared" si="44"/>
        <v>7.0000000000000007E-2</v>
      </c>
      <c r="DA58">
        <f t="shared" si="45"/>
        <v>1</v>
      </c>
      <c r="DB58">
        <f t="shared" si="46"/>
        <v>1.4</v>
      </c>
      <c r="DC58">
        <f t="shared" si="47"/>
        <v>0</v>
      </c>
      <c r="DD58" t="s">
        <v>3</v>
      </c>
      <c r="DE58" t="s">
        <v>3</v>
      </c>
      <c r="DF58">
        <f t="shared" si="41"/>
        <v>1.4</v>
      </c>
      <c r="DG58">
        <f t="shared" si="38"/>
        <v>0</v>
      </c>
      <c r="DH58">
        <f t="shared" si="39"/>
        <v>0</v>
      </c>
      <c r="DI58">
        <f t="shared" si="3"/>
        <v>0</v>
      </c>
      <c r="DJ58">
        <f t="shared" si="48"/>
        <v>1.4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ROW(Source!A40)</f>
        <v>40</v>
      </c>
      <c r="B59">
        <v>60256985</v>
      </c>
      <c r="C59">
        <v>60257159</v>
      </c>
      <c r="D59">
        <v>59062734</v>
      </c>
      <c r="E59">
        <v>1</v>
      </c>
      <c r="F59">
        <v>1</v>
      </c>
      <c r="G59">
        <v>1080</v>
      </c>
      <c r="H59">
        <v>3</v>
      </c>
      <c r="I59" t="s">
        <v>341</v>
      </c>
      <c r="J59" t="s">
        <v>342</v>
      </c>
      <c r="K59" t="s">
        <v>343</v>
      </c>
      <c r="L59">
        <v>1356</v>
      </c>
      <c r="N59">
        <v>1010</v>
      </c>
      <c r="O59" t="s">
        <v>74</v>
      </c>
      <c r="P59" t="s">
        <v>74</v>
      </c>
      <c r="Q59">
        <v>1000</v>
      </c>
      <c r="W59">
        <v>0</v>
      </c>
      <c r="X59">
        <v>-1221558404</v>
      </c>
      <c r="Y59">
        <f t="shared" si="42"/>
        <v>0.04</v>
      </c>
      <c r="AA59">
        <v>226.66</v>
      </c>
      <c r="AB59">
        <v>0</v>
      </c>
      <c r="AC59">
        <v>0</v>
      </c>
      <c r="AD59">
        <v>0</v>
      </c>
      <c r="AE59">
        <v>226.66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-2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0.04</v>
      </c>
      <c r="AU59" t="s">
        <v>3</v>
      </c>
      <c r="AV59">
        <v>0</v>
      </c>
      <c r="AW59">
        <v>2</v>
      </c>
      <c r="AX59">
        <v>60257544</v>
      </c>
      <c r="AY59">
        <v>1</v>
      </c>
      <c r="AZ59">
        <v>0</v>
      </c>
      <c r="BA59">
        <v>59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ROUND(Y59*Source!I40,9)</f>
        <v>0.04</v>
      </c>
      <c r="CY59">
        <f t="shared" si="43"/>
        <v>226.66</v>
      </c>
      <c r="CZ59">
        <f t="shared" si="44"/>
        <v>226.66</v>
      </c>
      <c r="DA59">
        <f t="shared" si="45"/>
        <v>1</v>
      </c>
      <c r="DB59">
        <f t="shared" si="46"/>
        <v>9.07</v>
      </c>
      <c r="DC59">
        <f t="shared" si="47"/>
        <v>0</v>
      </c>
      <c r="DD59" t="s">
        <v>3</v>
      </c>
      <c r="DE59" t="s">
        <v>3</v>
      </c>
      <c r="DF59">
        <f t="shared" si="41"/>
        <v>9.07</v>
      </c>
      <c r="DG59">
        <f t="shared" si="38"/>
        <v>0</v>
      </c>
      <c r="DH59">
        <f t="shared" si="39"/>
        <v>0</v>
      </c>
      <c r="DI59">
        <f t="shared" si="3"/>
        <v>0</v>
      </c>
      <c r="DJ59">
        <f t="shared" si="48"/>
        <v>9.07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ROW(Source!A40)</f>
        <v>40</v>
      </c>
      <c r="B60">
        <v>60256985</v>
      </c>
      <c r="C60">
        <v>60257159</v>
      </c>
      <c r="D60">
        <v>59062764</v>
      </c>
      <c r="E60">
        <v>1</v>
      </c>
      <c r="F60">
        <v>1</v>
      </c>
      <c r="G60">
        <v>1080</v>
      </c>
      <c r="H60">
        <v>3</v>
      </c>
      <c r="I60" t="s">
        <v>344</v>
      </c>
      <c r="J60" t="s">
        <v>345</v>
      </c>
      <c r="K60" t="s">
        <v>346</v>
      </c>
      <c r="L60">
        <v>1346</v>
      </c>
      <c r="N60">
        <v>1009</v>
      </c>
      <c r="O60" t="s">
        <v>314</v>
      </c>
      <c r="P60" t="s">
        <v>314</v>
      </c>
      <c r="Q60">
        <v>1</v>
      </c>
      <c r="W60">
        <v>0</v>
      </c>
      <c r="X60">
        <v>-164740653</v>
      </c>
      <c r="Y60">
        <f t="shared" si="42"/>
        <v>0.11</v>
      </c>
      <c r="AA60">
        <v>493.08</v>
      </c>
      <c r="AB60">
        <v>0</v>
      </c>
      <c r="AC60">
        <v>0</v>
      </c>
      <c r="AD60">
        <v>0</v>
      </c>
      <c r="AE60">
        <v>493.08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-2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0.11</v>
      </c>
      <c r="AU60" t="s">
        <v>3</v>
      </c>
      <c r="AV60">
        <v>0</v>
      </c>
      <c r="AW60">
        <v>2</v>
      </c>
      <c r="AX60">
        <v>60257545</v>
      </c>
      <c r="AY60">
        <v>1</v>
      </c>
      <c r="AZ60">
        <v>0</v>
      </c>
      <c r="BA60">
        <v>60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ROUND(Y60*Source!I40,9)</f>
        <v>0.11</v>
      </c>
      <c r="CY60">
        <f t="shared" si="43"/>
        <v>493.08</v>
      </c>
      <c r="CZ60">
        <f t="shared" si="44"/>
        <v>493.08</v>
      </c>
      <c r="DA60">
        <f t="shared" si="45"/>
        <v>1</v>
      </c>
      <c r="DB60">
        <f t="shared" si="46"/>
        <v>54.24</v>
      </c>
      <c r="DC60">
        <f t="shared" si="47"/>
        <v>0</v>
      </c>
      <c r="DD60" t="s">
        <v>3</v>
      </c>
      <c r="DE60" t="s">
        <v>3</v>
      </c>
      <c r="DF60">
        <f t="shared" si="41"/>
        <v>54.24</v>
      </c>
      <c r="DG60">
        <f t="shared" si="38"/>
        <v>0</v>
      </c>
      <c r="DH60">
        <f t="shared" si="39"/>
        <v>0</v>
      </c>
      <c r="DI60">
        <f t="shared" si="3"/>
        <v>0</v>
      </c>
      <c r="DJ60">
        <f t="shared" si="48"/>
        <v>54.24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ROW(Source!A40)</f>
        <v>40</v>
      </c>
      <c r="B61">
        <v>60256985</v>
      </c>
      <c r="C61">
        <v>60257159</v>
      </c>
      <c r="D61">
        <v>59004256</v>
      </c>
      <c r="E61">
        <v>1080</v>
      </c>
      <c r="F61">
        <v>1</v>
      </c>
      <c r="G61">
        <v>1080</v>
      </c>
      <c r="H61">
        <v>3</v>
      </c>
      <c r="I61" t="s">
        <v>347</v>
      </c>
      <c r="J61" t="s">
        <v>3</v>
      </c>
      <c r="K61" t="s">
        <v>348</v>
      </c>
      <c r="L61">
        <v>1348</v>
      </c>
      <c r="N61">
        <v>1009</v>
      </c>
      <c r="O61" t="s">
        <v>310</v>
      </c>
      <c r="P61" t="s">
        <v>310</v>
      </c>
      <c r="Q61">
        <v>1000</v>
      </c>
      <c r="W61">
        <v>0</v>
      </c>
      <c r="X61">
        <v>-783086922</v>
      </c>
      <c r="Y61">
        <f t="shared" si="42"/>
        <v>7.4999999999999997E-2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7.4999999999999997E-2</v>
      </c>
      <c r="AU61" t="s">
        <v>3</v>
      </c>
      <c r="AV61">
        <v>0</v>
      </c>
      <c r="AW61">
        <v>2</v>
      </c>
      <c r="AX61">
        <v>60257547</v>
      </c>
      <c r="AY61">
        <v>1</v>
      </c>
      <c r="AZ61">
        <v>0</v>
      </c>
      <c r="BA61">
        <v>62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ROUND(Y61*Source!I40,9)</f>
        <v>7.4999999999999997E-2</v>
      </c>
      <c r="CY61">
        <f t="shared" si="43"/>
        <v>0</v>
      </c>
      <c r="CZ61">
        <f t="shared" si="44"/>
        <v>0</v>
      </c>
      <c r="DA61">
        <f t="shared" si="45"/>
        <v>1</v>
      </c>
      <c r="DB61">
        <f t="shared" si="46"/>
        <v>0</v>
      </c>
      <c r="DC61">
        <f t="shared" si="47"/>
        <v>0</v>
      </c>
      <c r="DD61" t="s">
        <v>3</v>
      </c>
      <c r="DE61" t="s">
        <v>3</v>
      </c>
      <c r="DF61">
        <f t="shared" si="41"/>
        <v>0</v>
      </c>
      <c r="DG61">
        <f t="shared" si="38"/>
        <v>0</v>
      </c>
      <c r="DH61">
        <f t="shared" si="39"/>
        <v>0</v>
      </c>
      <c r="DI61">
        <f t="shared" si="3"/>
        <v>0</v>
      </c>
      <c r="DJ61">
        <f t="shared" si="48"/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ROW(Source!A40)</f>
        <v>40</v>
      </c>
      <c r="B62">
        <v>60256985</v>
      </c>
      <c r="C62">
        <v>60257159</v>
      </c>
      <c r="D62">
        <v>0</v>
      </c>
      <c r="E62">
        <v>1080</v>
      </c>
      <c r="F62">
        <v>1</v>
      </c>
      <c r="G62">
        <v>1080</v>
      </c>
      <c r="H62">
        <v>3</v>
      </c>
      <c r="I62" t="s">
        <v>57</v>
      </c>
      <c r="J62" t="s">
        <v>3</v>
      </c>
      <c r="K62" t="s">
        <v>58</v>
      </c>
      <c r="L62">
        <v>1354</v>
      </c>
      <c r="N62">
        <v>1010</v>
      </c>
      <c r="O62" t="s">
        <v>31</v>
      </c>
      <c r="P62" t="s">
        <v>31</v>
      </c>
      <c r="Q62">
        <v>1</v>
      </c>
      <c r="W62">
        <v>0</v>
      </c>
      <c r="X62">
        <v>1823531884</v>
      </c>
      <c r="Y62">
        <f t="shared" si="42"/>
        <v>1</v>
      </c>
      <c r="AA62">
        <v>11113.06</v>
      </c>
      <c r="AB62">
        <v>0</v>
      </c>
      <c r="AC62">
        <v>0</v>
      </c>
      <c r="AD62">
        <v>0</v>
      </c>
      <c r="AE62">
        <v>11113.060000000001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 t="s">
        <v>3</v>
      </c>
      <c r="AT62">
        <v>1</v>
      </c>
      <c r="AU62" t="s">
        <v>3</v>
      </c>
      <c r="AV62">
        <v>0</v>
      </c>
      <c r="AW62">
        <v>1</v>
      </c>
      <c r="AX62">
        <v>-1</v>
      </c>
      <c r="AY62">
        <v>0</v>
      </c>
      <c r="AZ62">
        <v>0</v>
      </c>
      <c r="BA62" t="s">
        <v>3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ROUND(Y62*Source!I40,9)</f>
        <v>1</v>
      </c>
      <c r="CY62">
        <f t="shared" si="43"/>
        <v>11113.06</v>
      </c>
      <c r="CZ62">
        <f t="shared" si="44"/>
        <v>11113.060000000001</v>
      </c>
      <c r="DA62">
        <f t="shared" si="45"/>
        <v>1</v>
      </c>
      <c r="DB62">
        <f t="shared" si="46"/>
        <v>11113.06</v>
      </c>
      <c r="DC62">
        <f t="shared" si="47"/>
        <v>0</v>
      </c>
      <c r="DD62" t="s">
        <v>3</v>
      </c>
      <c r="DE62" t="s">
        <v>3</v>
      </c>
      <c r="DF62">
        <f t="shared" si="41"/>
        <v>11113.06</v>
      </c>
      <c r="DG62">
        <f t="shared" si="38"/>
        <v>0</v>
      </c>
      <c r="DH62">
        <f t="shared" si="39"/>
        <v>0</v>
      </c>
      <c r="DI62">
        <f t="shared" si="3"/>
        <v>0</v>
      </c>
      <c r="DJ62">
        <f t="shared" si="48"/>
        <v>11113.06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ROW(Source!A41)</f>
        <v>41</v>
      </c>
      <c r="B63">
        <v>60256982</v>
      </c>
      <c r="C63">
        <v>60257159</v>
      </c>
      <c r="D63">
        <v>58999254</v>
      </c>
      <c r="E63">
        <v>1080</v>
      </c>
      <c r="F63">
        <v>1</v>
      </c>
      <c r="G63">
        <v>1080</v>
      </c>
      <c r="H63">
        <v>1</v>
      </c>
      <c r="I63" t="s">
        <v>293</v>
      </c>
      <c r="J63" t="s">
        <v>3</v>
      </c>
      <c r="K63" t="s">
        <v>294</v>
      </c>
      <c r="L63">
        <v>1191</v>
      </c>
      <c r="N63">
        <v>1013</v>
      </c>
      <c r="O63" t="s">
        <v>295</v>
      </c>
      <c r="P63" t="s">
        <v>295</v>
      </c>
      <c r="Q63">
        <v>1</v>
      </c>
      <c r="W63">
        <v>0</v>
      </c>
      <c r="X63">
        <v>476480486</v>
      </c>
      <c r="Y63">
        <f>(AT63*1.1)</f>
        <v>36.300000000000004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5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33</v>
      </c>
      <c r="AU63" t="s">
        <v>23</v>
      </c>
      <c r="AV63">
        <v>1</v>
      </c>
      <c r="AW63">
        <v>2</v>
      </c>
      <c r="AX63">
        <v>60257540</v>
      </c>
      <c r="AY63">
        <v>1</v>
      </c>
      <c r="AZ63">
        <v>0</v>
      </c>
      <c r="BA63">
        <v>63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U63">
        <f>ROUND(AT63*Source!I41*AH63*AL63,2)</f>
        <v>0</v>
      </c>
      <c r="CV63">
        <f>ROUND(Y63*Source!I41,9)</f>
        <v>36.299999999999997</v>
      </c>
      <c r="CW63">
        <v>0</v>
      </c>
      <c r="CX63">
        <f>ROUND(Y63*Source!I41,9)</f>
        <v>36.299999999999997</v>
      </c>
      <c r="CY63">
        <f>AD63</f>
        <v>0</v>
      </c>
      <c r="CZ63">
        <f>AH63</f>
        <v>0</v>
      </c>
      <c r="DA63">
        <f>AL63</f>
        <v>1</v>
      </c>
      <c r="DB63">
        <f>ROUND((ROUND(AT63*CZ63,2)*1.1),6)</f>
        <v>0</v>
      </c>
      <c r="DC63">
        <f>ROUND((ROUND(AT63*AG63,2)*1.1),6)</f>
        <v>0</v>
      </c>
      <c r="DD63" t="s">
        <v>3</v>
      </c>
      <c r="DE63" t="s">
        <v>3</v>
      </c>
      <c r="DF63">
        <f t="shared" si="41"/>
        <v>0</v>
      </c>
      <c r="DG63">
        <f t="shared" si="38"/>
        <v>0</v>
      </c>
      <c r="DH63">
        <f t="shared" si="39"/>
        <v>0</v>
      </c>
      <c r="DI63">
        <f t="shared" si="3"/>
        <v>0</v>
      </c>
      <c r="DJ63">
        <f>DI63</f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ROW(Source!A41)</f>
        <v>41</v>
      </c>
      <c r="B64">
        <v>60256982</v>
      </c>
      <c r="C64">
        <v>60257159</v>
      </c>
      <c r="D64">
        <v>59040215</v>
      </c>
      <c r="E64">
        <v>1</v>
      </c>
      <c r="F64">
        <v>1</v>
      </c>
      <c r="G64">
        <v>1080</v>
      </c>
      <c r="H64">
        <v>3</v>
      </c>
      <c r="I64" t="s">
        <v>330</v>
      </c>
      <c r="J64" t="s">
        <v>331</v>
      </c>
      <c r="K64" t="s">
        <v>332</v>
      </c>
      <c r="L64">
        <v>1255</v>
      </c>
      <c r="N64">
        <v>1013</v>
      </c>
      <c r="O64" t="s">
        <v>333</v>
      </c>
      <c r="P64" t="s">
        <v>333</v>
      </c>
      <c r="Q64">
        <v>1</v>
      </c>
      <c r="W64">
        <v>0</v>
      </c>
      <c r="X64">
        <v>861275908</v>
      </c>
      <c r="Y64">
        <f t="shared" ref="Y64:Y70" si="49">AT64</f>
        <v>1.1000000000000001</v>
      </c>
      <c r="AA64">
        <v>5.7</v>
      </c>
      <c r="AB64">
        <v>0</v>
      </c>
      <c r="AC64">
        <v>0</v>
      </c>
      <c r="AD64">
        <v>0</v>
      </c>
      <c r="AE64">
        <v>0.42</v>
      </c>
      <c r="AF64">
        <v>0</v>
      </c>
      <c r="AG64">
        <v>0</v>
      </c>
      <c r="AH64">
        <v>0</v>
      </c>
      <c r="AI64">
        <v>13.57</v>
      </c>
      <c r="AJ64">
        <v>1</v>
      </c>
      <c r="AK64">
        <v>1</v>
      </c>
      <c r="AL64">
        <v>1</v>
      </c>
      <c r="AM64">
        <v>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1.1000000000000001</v>
      </c>
      <c r="AU64" t="s">
        <v>3</v>
      </c>
      <c r="AV64">
        <v>0</v>
      </c>
      <c r="AW64">
        <v>2</v>
      </c>
      <c r="AX64">
        <v>60257541</v>
      </c>
      <c r="AY64">
        <v>1</v>
      </c>
      <c r="AZ64">
        <v>0</v>
      </c>
      <c r="BA64">
        <v>64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ROUND(Y64*Source!I41,9)</f>
        <v>1.1000000000000001</v>
      </c>
      <c r="CY64">
        <f t="shared" ref="CY64:CY70" si="50">AA64</f>
        <v>5.7</v>
      </c>
      <c r="CZ64">
        <f t="shared" ref="CZ64:CZ70" si="51">AE64</f>
        <v>0.42</v>
      </c>
      <c r="DA64">
        <f t="shared" ref="DA64:DA70" si="52">AI64</f>
        <v>13.57</v>
      </c>
      <c r="DB64">
        <f t="shared" ref="DB64:DB70" si="53">ROUND(ROUND(AT64*CZ64,2),6)</f>
        <v>0.46</v>
      </c>
      <c r="DC64">
        <f t="shared" ref="DC64:DC70" si="54">ROUND(ROUND(AT64*AG64,2),6)</f>
        <v>0</v>
      </c>
      <c r="DD64" t="s">
        <v>3</v>
      </c>
      <c r="DE64" t="s">
        <v>3</v>
      </c>
      <c r="DF64">
        <f t="shared" ref="DF64:DF70" si="55">ROUND(ROUND(AE64*AI64,2)*CX64,2)</f>
        <v>6.27</v>
      </c>
      <c r="DG64">
        <f t="shared" si="38"/>
        <v>0</v>
      </c>
      <c r="DH64">
        <f t="shared" si="39"/>
        <v>0</v>
      </c>
      <c r="DI64">
        <f t="shared" si="3"/>
        <v>0</v>
      </c>
      <c r="DJ64">
        <f t="shared" ref="DJ64:DJ70" si="56">DF64</f>
        <v>6.27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ROW(Source!A41)</f>
        <v>41</v>
      </c>
      <c r="B65">
        <v>60256982</v>
      </c>
      <c r="C65">
        <v>60257159</v>
      </c>
      <c r="D65">
        <v>59039461</v>
      </c>
      <c r="E65">
        <v>1</v>
      </c>
      <c r="F65">
        <v>1</v>
      </c>
      <c r="G65">
        <v>1080</v>
      </c>
      <c r="H65">
        <v>3</v>
      </c>
      <c r="I65" t="s">
        <v>334</v>
      </c>
      <c r="J65" t="s">
        <v>335</v>
      </c>
      <c r="K65" t="s">
        <v>336</v>
      </c>
      <c r="L65">
        <v>1348</v>
      </c>
      <c r="N65">
        <v>1009</v>
      </c>
      <c r="O65" t="s">
        <v>310</v>
      </c>
      <c r="P65" t="s">
        <v>310</v>
      </c>
      <c r="Q65">
        <v>1000</v>
      </c>
      <c r="W65">
        <v>0</v>
      </c>
      <c r="X65">
        <v>-108669029</v>
      </c>
      <c r="Y65">
        <f t="shared" si="49"/>
        <v>1.9000000000000001E-4</v>
      </c>
      <c r="AA65">
        <v>1496578.56</v>
      </c>
      <c r="AB65">
        <v>0</v>
      </c>
      <c r="AC65">
        <v>0</v>
      </c>
      <c r="AD65">
        <v>0</v>
      </c>
      <c r="AE65">
        <v>60960.43</v>
      </c>
      <c r="AF65">
        <v>0</v>
      </c>
      <c r="AG65">
        <v>0</v>
      </c>
      <c r="AH65">
        <v>0</v>
      </c>
      <c r="AI65">
        <v>24.55</v>
      </c>
      <c r="AJ65">
        <v>1</v>
      </c>
      <c r="AK65">
        <v>1</v>
      </c>
      <c r="AL65">
        <v>1</v>
      </c>
      <c r="AM65">
        <v>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1.9000000000000001E-4</v>
      </c>
      <c r="AU65" t="s">
        <v>3</v>
      </c>
      <c r="AV65">
        <v>0</v>
      </c>
      <c r="AW65">
        <v>2</v>
      </c>
      <c r="AX65">
        <v>60257542</v>
      </c>
      <c r="AY65">
        <v>1</v>
      </c>
      <c r="AZ65">
        <v>0</v>
      </c>
      <c r="BA65">
        <v>65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ROUND(Y65*Source!I41,9)</f>
        <v>1.9000000000000001E-4</v>
      </c>
      <c r="CY65">
        <f t="shared" si="50"/>
        <v>1496578.56</v>
      </c>
      <c r="CZ65">
        <f t="shared" si="51"/>
        <v>60960.43</v>
      </c>
      <c r="DA65">
        <f t="shared" si="52"/>
        <v>24.55</v>
      </c>
      <c r="DB65">
        <f t="shared" si="53"/>
        <v>11.58</v>
      </c>
      <c r="DC65">
        <f t="shared" si="54"/>
        <v>0</v>
      </c>
      <c r="DD65" t="s">
        <v>3</v>
      </c>
      <c r="DE65" t="s">
        <v>3</v>
      </c>
      <c r="DF65">
        <f t="shared" si="55"/>
        <v>284.35000000000002</v>
      </c>
      <c r="DG65">
        <f t="shared" si="38"/>
        <v>0</v>
      </c>
      <c r="DH65">
        <f t="shared" si="39"/>
        <v>0</v>
      </c>
      <c r="DI65">
        <f t="shared" ref="DI65:DI128" si="57">ROUND(ROUND(AH65,2)*CX65,2)</f>
        <v>0</v>
      </c>
      <c r="DJ65">
        <f t="shared" si="56"/>
        <v>284.35000000000002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ROW(Source!A41)</f>
        <v>41</v>
      </c>
      <c r="B66">
        <v>60256982</v>
      </c>
      <c r="C66">
        <v>60257159</v>
      </c>
      <c r="D66">
        <v>59045949</v>
      </c>
      <c r="E66">
        <v>1</v>
      </c>
      <c r="F66">
        <v>1</v>
      </c>
      <c r="G66">
        <v>1080</v>
      </c>
      <c r="H66">
        <v>3</v>
      </c>
      <c r="I66" t="s">
        <v>337</v>
      </c>
      <c r="J66" t="s">
        <v>338</v>
      </c>
      <c r="K66" t="s">
        <v>339</v>
      </c>
      <c r="L66">
        <v>1349</v>
      </c>
      <c r="N66">
        <v>1009</v>
      </c>
      <c r="O66" t="s">
        <v>340</v>
      </c>
      <c r="P66" t="s">
        <v>340</v>
      </c>
      <c r="Q66">
        <v>1E-3</v>
      </c>
      <c r="W66">
        <v>0</v>
      </c>
      <c r="X66">
        <v>-2034308505</v>
      </c>
      <c r="Y66">
        <f t="shared" si="49"/>
        <v>20</v>
      </c>
      <c r="AA66">
        <v>0.44</v>
      </c>
      <c r="AB66">
        <v>0</v>
      </c>
      <c r="AC66">
        <v>0</v>
      </c>
      <c r="AD66">
        <v>0</v>
      </c>
      <c r="AE66">
        <v>7.0000000000000007E-2</v>
      </c>
      <c r="AF66">
        <v>0</v>
      </c>
      <c r="AG66">
        <v>0</v>
      </c>
      <c r="AH66">
        <v>0</v>
      </c>
      <c r="AI66">
        <v>6.29</v>
      </c>
      <c r="AJ66">
        <v>1</v>
      </c>
      <c r="AK66">
        <v>1</v>
      </c>
      <c r="AL66">
        <v>1</v>
      </c>
      <c r="AM66">
        <v>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20</v>
      </c>
      <c r="AU66" t="s">
        <v>3</v>
      </c>
      <c r="AV66">
        <v>0</v>
      </c>
      <c r="AW66">
        <v>2</v>
      </c>
      <c r="AX66">
        <v>60257543</v>
      </c>
      <c r="AY66">
        <v>1</v>
      </c>
      <c r="AZ66">
        <v>0</v>
      </c>
      <c r="BA66">
        <v>66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ROUND(Y66*Source!I41,9)</f>
        <v>20</v>
      </c>
      <c r="CY66">
        <f t="shared" si="50"/>
        <v>0.44</v>
      </c>
      <c r="CZ66">
        <f t="shared" si="51"/>
        <v>7.0000000000000007E-2</v>
      </c>
      <c r="DA66">
        <f t="shared" si="52"/>
        <v>6.29</v>
      </c>
      <c r="DB66">
        <f t="shared" si="53"/>
        <v>1.4</v>
      </c>
      <c r="DC66">
        <f t="shared" si="54"/>
        <v>0</v>
      </c>
      <c r="DD66" t="s">
        <v>3</v>
      </c>
      <c r="DE66" t="s">
        <v>3</v>
      </c>
      <c r="DF66">
        <f t="shared" si="55"/>
        <v>8.8000000000000007</v>
      </c>
      <c r="DG66">
        <f t="shared" si="38"/>
        <v>0</v>
      </c>
      <c r="DH66">
        <f t="shared" si="39"/>
        <v>0</v>
      </c>
      <c r="DI66">
        <f t="shared" si="57"/>
        <v>0</v>
      </c>
      <c r="DJ66">
        <f t="shared" si="56"/>
        <v>8.8000000000000007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ROW(Source!A41)</f>
        <v>41</v>
      </c>
      <c r="B67">
        <v>60256982</v>
      </c>
      <c r="C67">
        <v>60257159</v>
      </c>
      <c r="D67">
        <v>59062734</v>
      </c>
      <c r="E67">
        <v>1</v>
      </c>
      <c r="F67">
        <v>1</v>
      </c>
      <c r="G67">
        <v>1080</v>
      </c>
      <c r="H67">
        <v>3</v>
      </c>
      <c r="I67" t="s">
        <v>341</v>
      </c>
      <c r="J67" t="s">
        <v>342</v>
      </c>
      <c r="K67" t="s">
        <v>343</v>
      </c>
      <c r="L67">
        <v>1356</v>
      </c>
      <c r="N67">
        <v>1010</v>
      </c>
      <c r="O67" t="s">
        <v>74</v>
      </c>
      <c r="P67" t="s">
        <v>74</v>
      </c>
      <c r="Q67">
        <v>1000</v>
      </c>
      <c r="W67">
        <v>0</v>
      </c>
      <c r="X67">
        <v>-1221558404</v>
      </c>
      <c r="Y67">
        <f t="shared" si="49"/>
        <v>0.04</v>
      </c>
      <c r="AA67">
        <v>1602.49</v>
      </c>
      <c r="AB67">
        <v>0</v>
      </c>
      <c r="AC67">
        <v>0</v>
      </c>
      <c r="AD67">
        <v>0</v>
      </c>
      <c r="AE67">
        <v>226.66</v>
      </c>
      <c r="AF67">
        <v>0</v>
      </c>
      <c r="AG67">
        <v>0</v>
      </c>
      <c r="AH67">
        <v>0</v>
      </c>
      <c r="AI67">
        <v>7.07</v>
      </c>
      <c r="AJ67">
        <v>1</v>
      </c>
      <c r="AK67">
        <v>1</v>
      </c>
      <c r="AL67">
        <v>1</v>
      </c>
      <c r="AM67">
        <v>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0.04</v>
      </c>
      <c r="AU67" t="s">
        <v>3</v>
      </c>
      <c r="AV67">
        <v>0</v>
      </c>
      <c r="AW67">
        <v>2</v>
      </c>
      <c r="AX67">
        <v>60257544</v>
      </c>
      <c r="AY67">
        <v>1</v>
      </c>
      <c r="AZ67">
        <v>0</v>
      </c>
      <c r="BA67">
        <v>67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v>0</v>
      </c>
      <c r="CX67">
        <f>ROUND(Y67*Source!I41,9)</f>
        <v>0.04</v>
      </c>
      <c r="CY67">
        <f t="shared" si="50"/>
        <v>1602.49</v>
      </c>
      <c r="CZ67">
        <f t="shared" si="51"/>
        <v>226.66</v>
      </c>
      <c r="DA67">
        <f t="shared" si="52"/>
        <v>7.07</v>
      </c>
      <c r="DB67">
        <f t="shared" si="53"/>
        <v>9.07</v>
      </c>
      <c r="DC67">
        <f t="shared" si="54"/>
        <v>0</v>
      </c>
      <c r="DD67" t="s">
        <v>3</v>
      </c>
      <c r="DE67" t="s">
        <v>3</v>
      </c>
      <c r="DF67">
        <f t="shared" si="55"/>
        <v>64.099999999999994</v>
      </c>
      <c r="DG67">
        <f t="shared" si="38"/>
        <v>0</v>
      </c>
      <c r="DH67">
        <f t="shared" si="39"/>
        <v>0</v>
      </c>
      <c r="DI67">
        <f t="shared" si="57"/>
        <v>0</v>
      </c>
      <c r="DJ67">
        <f t="shared" si="56"/>
        <v>64.099999999999994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ROW(Source!A41)</f>
        <v>41</v>
      </c>
      <c r="B68">
        <v>60256982</v>
      </c>
      <c r="C68">
        <v>60257159</v>
      </c>
      <c r="D68">
        <v>59062764</v>
      </c>
      <c r="E68">
        <v>1</v>
      </c>
      <c r="F68">
        <v>1</v>
      </c>
      <c r="G68">
        <v>1080</v>
      </c>
      <c r="H68">
        <v>3</v>
      </c>
      <c r="I68" t="s">
        <v>344</v>
      </c>
      <c r="J68" t="s">
        <v>345</v>
      </c>
      <c r="K68" t="s">
        <v>346</v>
      </c>
      <c r="L68">
        <v>1346</v>
      </c>
      <c r="N68">
        <v>1009</v>
      </c>
      <c r="O68" t="s">
        <v>314</v>
      </c>
      <c r="P68" t="s">
        <v>314</v>
      </c>
      <c r="Q68">
        <v>1</v>
      </c>
      <c r="W68">
        <v>0</v>
      </c>
      <c r="X68">
        <v>-164740653</v>
      </c>
      <c r="Y68">
        <f t="shared" si="49"/>
        <v>0.11</v>
      </c>
      <c r="AA68">
        <v>3047.23</v>
      </c>
      <c r="AB68">
        <v>0</v>
      </c>
      <c r="AC68">
        <v>0</v>
      </c>
      <c r="AD68">
        <v>0</v>
      </c>
      <c r="AE68">
        <v>493.08</v>
      </c>
      <c r="AF68">
        <v>0</v>
      </c>
      <c r="AG68">
        <v>0</v>
      </c>
      <c r="AH68">
        <v>0</v>
      </c>
      <c r="AI68">
        <v>6.18</v>
      </c>
      <c r="AJ68">
        <v>1</v>
      </c>
      <c r="AK68">
        <v>1</v>
      </c>
      <c r="AL68">
        <v>1</v>
      </c>
      <c r="AM68">
        <v>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0.11</v>
      </c>
      <c r="AU68" t="s">
        <v>3</v>
      </c>
      <c r="AV68">
        <v>0</v>
      </c>
      <c r="AW68">
        <v>2</v>
      </c>
      <c r="AX68">
        <v>60257545</v>
      </c>
      <c r="AY68">
        <v>1</v>
      </c>
      <c r="AZ68">
        <v>0</v>
      </c>
      <c r="BA68">
        <v>68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ROUND(Y68*Source!I41,9)</f>
        <v>0.11</v>
      </c>
      <c r="CY68">
        <f t="shared" si="50"/>
        <v>3047.23</v>
      </c>
      <c r="CZ68">
        <f t="shared" si="51"/>
        <v>493.08</v>
      </c>
      <c r="DA68">
        <f t="shared" si="52"/>
        <v>6.18</v>
      </c>
      <c r="DB68">
        <f t="shared" si="53"/>
        <v>54.24</v>
      </c>
      <c r="DC68">
        <f t="shared" si="54"/>
        <v>0</v>
      </c>
      <c r="DD68" t="s">
        <v>3</v>
      </c>
      <c r="DE68" t="s">
        <v>3</v>
      </c>
      <c r="DF68">
        <f t="shared" si="55"/>
        <v>335.2</v>
      </c>
      <c r="DG68">
        <f t="shared" si="38"/>
        <v>0</v>
      </c>
      <c r="DH68">
        <f t="shared" si="39"/>
        <v>0</v>
      </c>
      <c r="DI68">
        <f t="shared" si="57"/>
        <v>0</v>
      </c>
      <c r="DJ68">
        <f t="shared" si="56"/>
        <v>335.2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ROW(Source!A41)</f>
        <v>41</v>
      </c>
      <c r="B69">
        <v>60256982</v>
      </c>
      <c r="C69">
        <v>60257159</v>
      </c>
      <c r="D69">
        <v>59004256</v>
      </c>
      <c r="E69">
        <v>1080</v>
      </c>
      <c r="F69">
        <v>1</v>
      </c>
      <c r="G69">
        <v>1080</v>
      </c>
      <c r="H69">
        <v>3</v>
      </c>
      <c r="I69" t="s">
        <v>347</v>
      </c>
      <c r="J69" t="s">
        <v>3</v>
      </c>
      <c r="K69" t="s">
        <v>348</v>
      </c>
      <c r="L69">
        <v>1348</v>
      </c>
      <c r="N69">
        <v>1009</v>
      </c>
      <c r="O69" t="s">
        <v>310</v>
      </c>
      <c r="P69" t="s">
        <v>310</v>
      </c>
      <c r="Q69">
        <v>1000</v>
      </c>
      <c r="W69">
        <v>0</v>
      </c>
      <c r="X69">
        <v>-783086922</v>
      </c>
      <c r="Y69">
        <f t="shared" si="49"/>
        <v>7.4999999999999997E-2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9.8800000000000008</v>
      </c>
      <c r="AJ69">
        <v>1</v>
      </c>
      <c r="AK69">
        <v>1</v>
      </c>
      <c r="AL69">
        <v>1</v>
      </c>
      <c r="AM69">
        <v>5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7.4999999999999997E-2</v>
      </c>
      <c r="AU69" t="s">
        <v>3</v>
      </c>
      <c r="AV69">
        <v>0</v>
      </c>
      <c r="AW69">
        <v>2</v>
      </c>
      <c r="AX69">
        <v>60257547</v>
      </c>
      <c r="AY69">
        <v>1</v>
      </c>
      <c r="AZ69">
        <v>0</v>
      </c>
      <c r="BA69">
        <v>70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v>0</v>
      </c>
      <c r="CX69">
        <f>ROUND(Y69*Source!I41,9)</f>
        <v>7.4999999999999997E-2</v>
      </c>
      <c r="CY69">
        <f t="shared" si="50"/>
        <v>0</v>
      </c>
      <c r="CZ69">
        <f t="shared" si="51"/>
        <v>0</v>
      </c>
      <c r="DA69">
        <f t="shared" si="52"/>
        <v>9.8800000000000008</v>
      </c>
      <c r="DB69">
        <f t="shared" si="53"/>
        <v>0</v>
      </c>
      <c r="DC69">
        <f t="shared" si="54"/>
        <v>0</v>
      </c>
      <c r="DD69" t="s">
        <v>3</v>
      </c>
      <c r="DE69" t="s">
        <v>3</v>
      </c>
      <c r="DF69">
        <f t="shared" si="55"/>
        <v>0</v>
      </c>
      <c r="DG69">
        <f t="shared" si="38"/>
        <v>0</v>
      </c>
      <c r="DH69">
        <f t="shared" si="39"/>
        <v>0</v>
      </c>
      <c r="DI69">
        <f t="shared" si="57"/>
        <v>0</v>
      </c>
      <c r="DJ69">
        <f t="shared" si="56"/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ROW(Source!A41)</f>
        <v>41</v>
      </c>
      <c r="B70">
        <v>60256982</v>
      </c>
      <c r="C70">
        <v>60257159</v>
      </c>
      <c r="D70">
        <v>0</v>
      </c>
      <c r="E70">
        <v>1080</v>
      </c>
      <c r="F70">
        <v>1</v>
      </c>
      <c r="G70">
        <v>1080</v>
      </c>
      <c r="H70">
        <v>3</v>
      </c>
      <c r="I70" t="s">
        <v>57</v>
      </c>
      <c r="J70" t="s">
        <v>3</v>
      </c>
      <c r="K70" t="s">
        <v>58</v>
      </c>
      <c r="L70">
        <v>1354</v>
      </c>
      <c r="N70">
        <v>1010</v>
      </c>
      <c r="O70" t="s">
        <v>31</v>
      </c>
      <c r="P70" t="s">
        <v>31</v>
      </c>
      <c r="Q70">
        <v>1</v>
      </c>
      <c r="W70">
        <v>0</v>
      </c>
      <c r="X70">
        <v>1823531884</v>
      </c>
      <c r="Y70">
        <f t="shared" si="49"/>
        <v>1</v>
      </c>
      <c r="AA70">
        <v>85126.04</v>
      </c>
      <c r="AB70">
        <v>0</v>
      </c>
      <c r="AC70">
        <v>0</v>
      </c>
      <c r="AD70">
        <v>0</v>
      </c>
      <c r="AE70">
        <v>11113.060000000001</v>
      </c>
      <c r="AF70">
        <v>0</v>
      </c>
      <c r="AG70">
        <v>0</v>
      </c>
      <c r="AH70">
        <v>0</v>
      </c>
      <c r="AI70">
        <v>7.66</v>
      </c>
      <c r="AJ70">
        <v>1</v>
      </c>
      <c r="AK70">
        <v>1</v>
      </c>
      <c r="AL70">
        <v>1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 t="s">
        <v>3</v>
      </c>
      <c r="AT70">
        <v>1</v>
      </c>
      <c r="AU70" t="s">
        <v>3</v>
      </c>
      <c r="AV70">
        <v>0</v>
      </c>
      <c r="AW70">
        <v>1</v>
      </c>
      <c r="AX70">
        <v>-1</v>
      </c>
      <c r="AY70">
        <v>0</v>
      </c>
      <c r="AZ70">
        <v>0</v>
      </c>
      <c r="BA70" t="s">
        <v>3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ROUND(Y70*Source!I41,9)</f>
        <v>1</v>
      </c>
      <c r="CY70">
        <f t="shared" si="50"/>
        <v>85126.04</v>
      </c>
      <c r="CZ70">
        <f t="shared" si="51"/>
        <v>11113.060000000001</v>
      </c>
      <c r="DA70">
        <f t="shared" si="52"/>
        <v>7.66</v>
      </c>
      <c r="DB70">
        <f t="shared" si="53"/>
        <v>11113.06</v>
      </c>
      <c r="DC70">
        <f t="shared" si="54"/>
        <v>0</v>
      </c>
      <c r="DD70" t="s">
        <v>3</v>
      </c>
      <c r="DE70" t="s">
        <v>3</v>
      </c>
      <c r="DF70">
        <f t="shared" si="55"/>
        <v>85126.04</v>
      </c>
      <c r="DG70">
        <f t="shared" si="38"/>
        <v>0</v>
      </c>
      <c r="DH70">
        <f t="shared" si="39"/>
        <v>0</v>
      </c>
      <c r="DI70">
        <f t="shared" si="57"/>
        <v>0</v>
      </c>
      <c r="DJ70">
        <f t="shared" si="56"/>
        <v>85126.04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ROW(Source!A44)</f>
        <v>44</v>
      </c>
      <c r="B71">
        <v>60256985</v>
      </c>
      <c r="C71">
        <v>60257667</v>
      </c>
      <c r="D71">
        <v>58999254</v>
      </c>
      <c r="E71">
        <v>1080</v>
      </c>
      <c r="F71">
        <v>1</v>
      </c>
      <c r="G71">
        <v>1080</v>
      </c>
      <c r="H71">
        <v>1</v>
      </c>
      <c r="I71" t="s">
        <v>293</v>
      </c>
      <c r="J71" t="s">
        <v>3</v>
      </c>
      <c r="K71" t="s">
        <v>294</v>
      </c>
      <c r="L71">
        <v>1191</v>
      </c>
      <c r="N71">
        <v>1013</v>
      </c>
      <c r="O71" t="s">
        <v>295</v>
      </c>
      <c r="P71" t="s">
        <v>295</v>
      </c>
      <c r="Q71">
        <v>1</v>
      </c>
      <c r="W71">
        <v>0</v>
      </c>
      <c r="X71">
        <v>476480486</v>
      </c>
      <c r="Y71">
        <f>(AT71*1.1)</f>
        <v>20.724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18.84</v>
      </c>
      <c r="AU71" t="s">
        <v>23</v>
      </c>
      <c r="AV71">
        <v>1</v>
      </c>
      <c r="AW71">
        <v>2</v>
      </c>
      <c r="AX71">
        <v>60257668</v>
      </c>
      <c r="AY71">
        <v>1</v>
      </c>
      <c r="AZ71">
        <v>0</v>
      </c>
      <c r="BA71">
        <v>71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U71">
        <f>ROUND(AT71*Source!I44*AH71*AL71,2)</f>
        <v>0</v>
      </c>
      <c r="CV71">
        <f>ROUND(Y71*Source!I44,9)</f>
        <v>1.45068</v>
      </c>
      <c r="CW71">
        <v>0</v>
      </c>
      <c r="CX71">
        <f>ROUND(Y71*Source!I44,9)</f>
        <v>1.45068</v>
      </c>
      <c r="CY71">
        <f>AD71</f>
        <v>0</v>
      </c>
      <c r="CZ71">
        <f>AH71</f>
        <v>0</v>
      </c>
      <c r="DA71">
        <f>AL71</f>
        <v>1</v>
      </c>
      <c r="DB71">
        <f>ROUND((ROUND(AT71*CZ71,2)*1.1),6)</f>
        <v>0</v>
      </c>
      <c r="DC71">
        <f>ROUND((ROUND(AT71*AG71,2)*1.1),6)</f>
        <v>0</v>
      </c>
      <c r="DD71" t="s">
        <v>3</v>
      </c>
      <c r="DE71" t="s">
        <v>3</v>
      </c>
      <c r="DF71">
        <f t="shared" ref="DF71:DF76" si="58">ROUND(ROUND(AE71,2)*CX71,2)</f>
        <v>0</v>
      </c>
      <c r="DG71">
        <f t="shared" si="38"/>
        <v>0</v>
      </c>
      <c r="DH71">
        <f t="shared" si="39"/>
        <v>0</v>
      </c>
      <c r="DI71">
        <f t="shared" si="57"/>
        <v>0</v>
      </c>
      <c r="DJ71">
        <f>DI71</f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ROW(Source!A44)</f>
        <v>44</v>
      </c>
      <c r="B72">
        <v>60256985</v>
      </c>
      <c r="C72">
        <v>60257667</v>
      </c>
      <c r="D72">
        <v>59070669</v>
      </c>
      <c r="E72">
        <v>1</v>
      </c>
      <c r="F72">
        <v>1</v>
      </c>
      <c r="G72">
        <v>1080</v>
      </c>
      <c r="H72">
        <v>2</v>
      </c>
      <c r="I72" t="s">
        <v>300</v>
      </c>
      <c r="J72" t="s">
        <v>301</v>
      </c>
      <c r="K72" t="s">
        <v>302</v>
      </c>
      <c r="L72">
        <v>1368</v>
      </c>
      <c r="N72">
        <v>1011</v>
      </c>
      <c r="O72" t="s">
        <v>299</v>
      </c>
      <c r="P72" t="s">
        <v>299</v>
      </c>
      <c r="Q72">
        <v>1</v>
      </c>
      <c r="W72">
        <v>0</v>
      </c>
      <c r="X72">
        <v>-1985943078</v>
      </c>
      <c r="Y72">
        <f>(AT72*1.1)</f>
        <v>1.1000000000000001E-2</v>
      </c>
      <c r="AA72">
        <v>0</v>
      </c>
      <c r="AB72">
        <v>87.01</v>
      </c>
      <c r="AC72">
        <v>13.21</v>
      </c>
      <c r="AD72">
        <v>0</v>
      </c>
      <c r="AE72">
        <v>0</v>
      </c>
      <c r="AF72">
        <v>83.1</v>
      </c>
      <c r="AG72">
        <v>12.62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0.01</v>
      </c>
      <c r="AU72" t="s">
        <v>23</v>
      </c>
      <c r="AV72">
        <v>0</v>
      </c>
      <c r="AW72">
        <v>2</v>
      </c>
      <c r="AX72">
        <v>60257669</v>
      </c>
      <c r="AY72">
        <v>1</v>
      </c>
      <c r="AZ72">
        <v>0</v>
      </c>
      <c r="BA72">
        <v>72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f>ROUND(Y72*Source!I44*DO72,9)</f>
        <v>9.7173999999999993E-3</v>
      </c>
      <c r="CX72">
        <f>ROUND(Y72*Source!I44,9)</f>
        <v>7.6999999999999996E-4</v>
      </c>
      <c r="CY72">
        <f>AB72</f>
        <v>87.01</v>
      </c>
      <c r="CZ72">
        <f>AF72</f>
        <v>83.1</v>
      </c>
      <c r="DA72">
        <f>AJ72</f>
        <v>1</v>
      </c>
      <c r="DB72">
        <f>ROUND((ROUND(AT72*CZ72,2)*1.1),6)</f>
        <v>0.91300000000000003</v>
      </c>
      <c r="DC72">
        <f>ROUND((ROUND(AT72*AG72,2)*1.1),6)</f>
        <v>0.14299999999999999</v>
      </c>
      <c r="DD72" t="s">
        <v>3</v>
      </c>
      <c r="DE72" t="s">
        <v>3</v>
      </c>
      <c r="DF72">
        <f t="shared" si="58"/>
        <v>0</v>
      </c>
      <c r="DG72">
        <f t="shared" si="38"/>
        <v>0.06</v>
      </c>
      <c r="DH72">
        <f t="shared" si="39"/>
        <v>0.01</v>
      </c>
      <c r="DI72">
        <f t="shared" si="57"/>
        <v>0</v>
      </c>
      <c r="DJ72">
        <f>DG72</f>
        <v>0.06</v>
      </c>
      <c r="DK72">
        <v>0</v>
      </c>
      <c r="DL72" t="s">
        <v>303</v>
      </c>
      <c r="DM72">
        <v>0</v>
      </c>
      <c r="DN72" t="s">
        <v>295</v>
      </c>
      <c r="DO72">
        <v>12.62</v>
      </c>
    </row>
    <row r="73" spans="1:119" x14ac:dyDescent="0.2">
      <c r="A73">
        <f>ROW(Source!A44)</f>
        <v>44</v>
      </c>
      <c r="B73">
        <v>60256985</v>
      </c>
      <c r="C73">
        <v>60257667</v>
      </c>
      <c r="D73">
        <v>59057910</v>
      </c>
      <c r="E73">
        <v>1</v>
      </c>
      <c r="F73">
        <v>1</v>
      </c>
      <c r="G73">
        <v>1080</v>
      </c>
      <c r="H73">
        <v>3</v>
      </c>
      <c r="I73" t="s">
        <v>68</v>
      </c>
      <c r="J73" t="s">
        <v>70</v>
      </c>
      <c r="K73" t="s">
        <v>69</v>
      </c>
      <c r="L73">
        <v>1354</v>
      </c>
      <c r="N73">
        <v>1010</v>
      </c>
      <c r="O73" t="s">
        <v>31</v>
      </c>
      <c r="P73" t="s">
        <v>31</v>
      </c>
      <c r="Q73">
        <v>1</v>
      </c>
      <c r="W73">
        <v>0</v>
      </c>
      <c r="X73">
        <v>-651334041</v>
      </c>
      <c r="Y73">
        <f>AT73</f>
        <v>100</v>
      </c>
      <c r="AA73">
        <v>3.16</v>
      </c>
      <c r="AB73">
        <v>0</v>
      </c>
      <c r="AC73">
        <v>0</v>
      </c>
      <c r="AD73">
        <v>0</v>
      </c>
      <c r="AE73">
        <v>3.16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 t="s">
        <v>3</v>
      </c>
      <c r="AT73">
        <v>100</v>
      </c>
      <c r="AU73" t="s">
        <v>3</v>
      </c>
      <c r="AV73">
        <v>0</v>
      </c>
      <c r="AW73">
        <v>1</v>
      </c>
      <c r="AX73">
        <v>-1</v>
      </c>
      <c r="AY73">
        <v>0</v>
      </c>
      <c r="AZ73">
        <v>0</v>
      </c>
      <c r="BA73" t="s">
        <v>3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ROUND(Y73*Source!I44,9)</f>
        <v>7</v>
      </c>
      <c r="CY73">
        <f>AA73</f>
        <v>3.16</v>
      </c>
      <c r="CZ73">
        <f>AE73</f>
        <v>3.16</v>
      </c>
      <c r="DA73">
        <f>AI73</f>
        <v>1</v>
      </c>
      <c r="DB73">
        <f>ROUND(ROUND(AT73*CZ73,2),6)</f>
        <v>316</v>
      </c>
      <c r="DC73">
        <f>ROUND(ROUND(AT73*AG73,2),6)</f>
        <v>0</v>
      </c>
      <c r="DD73" t="s">
        <v>3</v>
      </c>
      <c r="DE73" t="s">
        <v>3</v>
      </c>
      <c r="DF73">
        <f t="shared" si="58"/>
        <v>22.12</v>
      </c>
      <c r="DG73">
        <f t="shared" si="38"/>
        <v>0</v>
      </c>
      <c r="DH73">
        <f t="shared" si="39"/>
        <v>0</v>
      </c>
      <c r="DI73">
        <f t="shared" si="57"/>
        <v>0</v>
      </c>
      <c r="DJ73">
        <f>DF73</f>
        <v>22.12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ROW(Source!A44)</f>
        <v>44</v>
      </c>
      <c r="B74">
        <v>60256985</v>
      </c>
      <c r="C74">
        <v>60257667</v>
      </c>
      <c r="D74">
        <v>59062047</v>
      </c>
      <c r="E74">
        <v>1</v>
      </c>
      <c r="F74">
        <v>1</v>
      </c>
      <c r="G74">
        <v>1080</v>
      </c>
      <c r="H74">
        <v>3</v>
      </c>
      <c r="I74" t="s">
        <v>72</v>
      </c>
      <c r="J74" t="s">
        <v>75</v>
      </c>
      <c r="K74" t="s">
        <v>73</v>
      </c>
      <c r="L74">
        <v>1356</v>
      </c>
      <c r="N74">
        <v>1010</v>
      </c>
      <c r="O74" t="s">
        <v>74</v>
      </c>
      <c r="P74" t="s">
        <v>74</v>
      </c>
      <c r="Q74">
        <v>1000</v>
      </c>
      <c r="W74">
        <v>0</v>
      </c>
      <c r="X74">
        <v>-436372382</v>
      </c>
      <c r="Y74">
        <f>AT74</f>
        <v>0.1</v>
      </c>
      <c r="AA74">
        <v>3906.65</v>
      </c>
      <c r="AB74">
        <v>0</v>
      </c>
      <c r="AC74">
        <v>0</v>
      </c>
      <c r="AD74">
        <v>0</v>
      </c>
      <c r="AE74">
        <v>3906.65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 t="s">
        <v>3</v>
      </c>
      <c r="AT74">
        <v>0.1</v>
      </c>
      <c r="AU74" t="s">
        <v>3</v>
      </c>
      <c r="AV74">
        <v>0</v>
      </c>
      <c r="AW74">
        <v>1</v>
      </c>
      <c r="AX74">
        <v>-1</v>
      </c>
      <c r="AY74">
        <v>0</v>
      </c>
      <c r="AZ74">
        <v>0</v>
      </c>
      <c r="BA74" t="s">
        <v>3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ROUND(Y74*Source!I44,9)</f>
        <v>7.0000000000000001E-3</v>
      </c>
      <c r="CY74">
        <f>AA74</f>
        <v>3906.65</v>
      </c>
      <c r="CZ74">
        <f>AE74</f>
        <v>3906.65</v>
      </c>
      <c r="DA74">
        <f>AI74</f>
        <v>1</v>
      </c>
      <c r="DB74">
        <f>ROUND(ROUND(AT74*CZ74,2),6)</f>
        <v>390.67</v>
      </c>
      <c r="DC74">
        <f>ROUND(ROUND(AT74*AG74,2),6)</f>
        <v>0</v>
      </c>
      <c r="DD74" t="s">
        <v>3</v>
      </c>
      <c r="DE74" t="s">
        <v>3</v>
      </c>
      <c r="DF74">
        <f t="shared" si="58"/>
        <v>27.35</v>
      </c>
      <c r="DG74">
        <f t="shared" si="38"/>
        <v>0</v>
      </c>
      <c r="DH74">
        <f t="shared" si="39"/>
        <v>0</v>
      </c>
      <c r="DI74">
        <f t="shared" si="57"/>
        <v>0</v>
      </c>
      <c r="DJ74">
        <f>DF74</f>
        <v>27.35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ROW(Source!A45)</f>
        <v>45</v>
      </c>
      <c r="B75">
        <v>60256982</v>
      </c>
      <c r="C75">
        <v>60257667</v>
      </c>
      <c r="D75">
        <v>58999254</v>
      </c>
      <c r="E75">
        <v>1080</v>
      </c>
      <c r="F75">
        <v>1</v>
      </c>
      <c r="G75">
        <v>1080</v>
      </c>
      <c r="H75">
        <v>1</v>
      </c>
      <c r="I75" t="s">
        <v>293</v>
      </c>
      <c r="J75" t="s">
        <v>3</v>
      </c>
      <c r="K75" t="s">
        <v>294</v>
      </c>
      <c r="L75">
        <v>1191</v>
      </c>
      <c r="N75">
        <v>1013</v>
      </c>
      <c r="O75" t="s">
        <v>295</v>
      </c>
      <c r="P75" t="s">
        <v>295</v>
      </c>
      <c r="Q75">
        <v>1</v>
      </c>
      <c r="W75">
        <v>0</v>
      </c>
      <c r="X75">
        <v>476480486</v>
      </c>
      <c r="Y75">
        <f>(AT75*1.1)</f>
        <v>20.724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5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18.84</v>
      </c>
      <c r="AU75" t="s">
        <v>23</v>
      </c>
      <c r="AV75">
        <v>1</v>
      </c>
      <c r="AW75">
        <v>2</v>
      </c>
      <c r="AX75">
        <v>60257668</v>
      </c>
      <c r="AY75">
        <v>1</v>
      </c>
      <c r="AZ75">
        <v>0</v>
      </c>
      <c r="BA75">
        <v>74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U75">
        <f>ROUND(AT75*Source!I45*AH75*AL75,2)</f>
        <v>0</v>
      </c>
      <c r="CV75">
        <f>ROUND(Y75*Source!I45,9)</f>
        <v>1.45068</v>
      </c>
      <c r="CW75">
        <v>0</v>
      </c>
      <c r="CX75">
        <f>ROUND(Y75*Source!I45,9)</f>
        <v>1.45068</v>
      </c>
      <c r="CY75">
        <f>AD75</f>
        <v>0</v>
      </c>
      <c r="CZ75">
        <f>AH75</f>
        <v>0</v>
      </c>
      <c r="DA75">
        <f>AL75</f>
        <v>1</v>
      </c>
      <c r="DB75">
        <f>ROUND((ROUND(AT75*CZ75,2)*1.1),6)</f>
        <v>0</v>
      </c>
      <c r="DC75">
        <f>ROUND((ROUND(AT75*AG75,2)*1.1),6)</f>
        <v>0</v>
      </c>
      <c r="DD75" t="s">
        <v>3</v>
      </c>
      <c r="DE75" t="s">
        <v>3</v>
      </c>
      <c r="DF75">
        <f t="shared" si="58"/>
        <v>0</v>
      </c>
      <c r="DG75">
        <f t="shared" si="38"/>
        <v>0</v>
      </c>
      <c r="DH75">
        <f t="shared" si="39"/>
        <v>0</v>
      </c>
      <c r="DI75">
        <f t="shared" si="57"/>
        <v>0</v>
      </c>
      <c r="DJ75">
        <f>DI75</f>
        <v>0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ROW(Source!A45)</f>
        <v>45</v>
      </c>
      <c r="B76">
        <v>60256982</v>
      </c>
      <c r="C76">
        <v>60257667</v>
      </c>
      <c r="D76">
        <v>59070669</v>
      </c>
      <c r="E76">
        <v>1</v>
      </c>
      <c r="F76">
        <v>1</v>
      </c>
      <c r="G76">
        <v>1080</v>
      </c>
      <c r="H76">
        <v>2</v>
      </c>
      <c r="I76" t="s">
        <v>300</v>
      </c>
      <c r="J76" t="s">
        <v>301</v>
      </c>
      <c r="K76" t="s">
        <v>302</v>
      </c>
      <c r="L76">
        <v>1368</v>
      </c>
      <c r="N76">
        <v>1011</v>
      </c>
      <c r="O76" t="s">
        <v>299</v>
      </c>
      <c r="P76" t="s">
        <v>299</v>
      </c>
      <c r="Q76">
        <v>1</v>
      </c>
      <c r="W76">
        <v>0</v>
      </c>
      <c r="X76">
        <v>-1985943078</v>
      </c>
      <c r="Y76">
        <f>(AT76*1.1)</f>
        <v>1.1000000000000001E-2</v>
      </c>
      <c r="AA76">
        <v>0</v>
      </c>
      <c r="AB76">
        <v>1418.19</v>
      </c>
      <c r="AC76">
        <v>726.59</v>
      </c>
      <c r="AD76">
        <v>0</v>
      </c>
      <c r="AE76">
        <v>0</v>
      </c>
      <c r="AF76">
        <v>83.1</v>
      </c>
      <c r="AG76">
        <v>12.62</v>
      </c>
      <c r="AH76">
        <v>0</v>
      </c>
      <c r="AI76">
        <v>1</v>
      </c>
      <c r="AJ76">
        <v>16.3</v>
      </c>
      <c r="AK76">
        <v>54.99</v>
      </c>
      <c r="AL76">
        <v>1</v>
      </c>
      <c r="AM76">
        <v>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0.01</v>
      </c>
      <c r="AU76" t="s">
        <v>23</v>
      </c>
      <c r="AV76">
        <v>0</v>
      </c>
      <c r="AW76">
        <v>2</v>
      </c>
      <c r="AX76">
        <v>60257669</v>
      </c>
      <c r="AY76">
        <v>1</v>
      </c>
      <c r="AZ76">
        <v>0</v>
      </c>
      <c r="BA76">
        <v>75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f>ROUND(Y76*Source!I45*DO76,9)</f>
        <v>9.7173999999999993E-3</v>
      </c>
      <c r="CX76">
        <f>ROUND(Y76*Source!I45,9)</f>
        <v>7.6999999999999996E-4</v>
      </c>
      <c r="CY76">
        <f>AB76</f>
        <v>1418.19</v>
      </c>
      <c r="CZ76">
        <f>AF76</f>
        <v>83.1</v>
      </c>
      <c r="DA76">
        <f>AJ76</f>
        <v>16.3</v>
      </c>
      <c r="DB76">
        <f>ROUND((ROUND(AT76*CZ76,2)*1.1),6)</f>
        <v>0.91300000000000003</v>
      </c>
      <c r="DC76">
        <f>ROUND((ROUND(AT76*AG76,2)*1.1),6)</f>
        <v>0.14299999999999999</v>
      </c>
      <c r="DD76" t="s">
        <v>3</v>
      </c>
      <c r="DE76" t="s">
        <v>3</v>
      </c>
      <c r="DF76">
        <f t="shared" si="58"/>
        <v>0</v>
      </c>
      <c r="DG76">
        <f>ROUND(ROUND(AF76*AJ76,2)*CX76,2)</f>
        <v>1.04</v>
      </c>
      <c r="DH76">
        <f>ROUND(ROUND(AG76*AK76,2)*CX76,2)</f>
        <v>0.53</v>
      </c>
      <c r="DI76">
        <f t="shared" si="57"/>
        <v>0</v>
      </c>
      <c r="DJ76">
        <f>DG76</f>
        <v>1.04</v>
      </c>
      <c r="DK76">
        <v>0</v>
      </c>
      <c r="DL76" t="s">
        <v>303</v>
      </c>
      <c r="DM76">
        <v>0</v>
      </c>
      <c r="DN76" t="s">
        <v>295</v>
      </c>
      <c r="DO76">
        <v>12.62</v>
      </c>
    </row>
    <row r="77" spans="1:119" x14ac:dyDescent="0.2">
      <c r="A77">
        <f>ROW(Source!A45)</f>
        <v>45</v>
      </c>
      <c r="B77">
        <v>60256982</v>
      </c>
      <c r="C77">
        <v>60257667</v>
      </c>
      <c r="D77">
        <v>59057910</v>
      </c>
      <c r="E77">
        <v>1</v>
      </c>
      <c r="F77">
        <v>1</v>
      </c>
      <c r="G77">
        <v>1080</v>
      </c>
      <c r="H77">
        <v>3</v>
      </c>
      <c r="I77" t="s">
        <v>68</v>
      </c>
      <c r="J77" t="s">
        <v>70</v>
      </c>
      <c r="K77" t="s">
        <v>69</v>
      </c>
      <c r="L77">
        <v>1354</v>
      </c>
      <c r="N77">
        <v>1010</v>
      </c>
      <c r="O77" t="s">
        <v>31</v>
      </c>
      <c r="P77" t="s">
        <v>31</v>
      </c>
      <c r="Q77">
        <v>1</v>
      </c>
      <c r="W77">
        <v>0</v>
      </c>
      <c r="X77">
        <v>-651334041</v>
      </c>
      <c r="Y77">
        <f>AT77</f>
        <v>100</v>
      </c>
      <c r="AA77">
        <v>89.36</v>
      </c>
      <c r="AB77">
        <v>0</v>
      </c>
      <c r="AC77">
        <v>0</v>
      </c>
      <c r="AD77">
        <v>0</v>
      </c>
      <c r="AE77">
        <v>3.16</v>
      </c>
      <c r="AF77">
        <v>0</v>
      </c>
      <c r="AG77">
        <v>0</v>
      </c>
      <c r="AH77">
        <v>0</v>
      </c>
      <c r="AI77">
        <v>28.28</v>
      </c>
      <c r="AJ77">
        <v>1</v>
      </c>
      <c r="AK77">
        <v>1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 t="s">
        <v>3</v>
      </c>
      <c r="AT77">
        <v>100</v>
      </c>
      <c r="AU77" t="s">
        <v>3</v>
      </c>
      <c r="AV77">
        <v>0</v>
      </c>
      <c r="AW77">
        <v>1</v>
      </c>
      <c r="AX77">
        <v>-1</v>
      </c>
      <c r="AY77">
        <v>0</v>
      </c>
      <c r="AZ77">
        <v>0</v>
      </c>
      <c r="BA77" t="s">
        <v>3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v>0</v>
      </c>
      <c r="CX77">
        <f>ROUND(Y77*Source!I45,9)</f>
        <v>7</v>
      </c>
      <c r="CY77">
        <f>AA77</f>
        <v>89.36</v>
      </c>
      <c r="CZ77">
        <f>AE77</f>
        <v>3.16</v>
      </c>
      <c r="DA77">
        <f>AI77</f>
        <v>28.28</v>
      </c>
      <c r="DB77">
        <f>ROUND(ROUND(AT77*CZ77,2),6)</f>
        <v>316</v>
      </c>
      <c r="DC77">
        <f>ROUND(ROUND(AT77*AG77,2),6)</f>
        <v>0</v>
      </c>
      <c r="DD77" t="s">
        <v>3</v>
      </c>
      <c r="DE77" t="s">
        <v>3</v>
      </c>
      <c r="DF77">
        <f>ROUND(ROUND(AE77*AI77,2)*CX77,2)</f>
        <v>625.52</v>
      </c>
      <c r="DG77">
        <f t="shared" ref="DG77:DG97" si="59">ROUND(ROUND(AF77,2)*CX77,2)</f>
        <v>0</v>
      </c>
      <c r="DH77">
        <f t="shared" ref="DH77:DH97" si="60">ROUND(ROUND(AG77,2)*CX77,2)</f>
        <v>0</v>
      </c>
      <c r="DI77">
        <f t="shared" si="57"/>
        <v>0</v>
      </c>
      <c r="DJ77">
        <f>DF77</f>
        <v>625.52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ROW(Source!A45)</f>
        <v>45</v>
      </c>
      <c r="B78">
        <v>60256982</v>
      </c>
      <c r="C78">
        <v>60257667</v>
      </c>
      <c r="D78">
        <v>59062047</v>
      </c>
      <c r="E78">
        <v>1</v>
      </c>
      <c r="F78">
        <v>1</v>
      </c>
      <c r="G78">
        <v>1080</v>
      </c>
      <c r="H78">
        <v>3</v>
      </c>
      <c r="I78" t="s">
        <v>72</v>
      </c>
      <c r="J78" t="s">
        <v>75</v>
      </c>
      <c r="K78" t="s">
        <v>73</v>
      </c>
      <c r="L78">
        <v>1356</v>
      </c>
      <c r="N78">
        <v>1010</v>
      </c>
      <c r="O78" t="s">
        <v>74</v>
      </c>
      <c r="P78" t="s">
        <v>74</v>
      </c>
      <c r="Q78">
        <v>1000</v>
      </c>
      <c r="W78">
        <v>0</v>
      </c>
      <c r="X78">
        <v>-436372382</v>
      </c>
      <c r="Y78">
        <f>AT78</f>
        <v>0.1</v>
      </c>
      <c r="AA78">
        <v>52817.91</v>
      </c>
      <c r="AB78">
        <v>0</v>
      </c>
      <c r="AC78">
        <v>0</v>
      </c>
      <c r="AD78">
        <v>0</v>
      </c>
      <c r="AE78">
        <v>3906.65</v>
      </c>
      <c r="AF78">
        <v>0</v>
      </c>
      <c r="AG78">
        <v>0</v>
      </c>
      <c r="AH78">
        <v>0</v>
      </c>
      <c r="AI78">
        <v>13.52</v>
      </c>
      <c r="AJ78">
        <v>1</v>
      </c>
      <c r="AK78">
        <v>1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 t="s">
        <v>3</v>
      </c>
      <c r="AT78">
        <v>0.1</v>
      </c>
      <c r="AU78" t="s">
        <v>3</v>
      </c>
      <c r="AV78">
        <v>0</v>
      </c>
      <c r="AW78">
        <v>1</v>
      </c>
      <c r="AX78">
        <v>-1</v>
      </c>
      <c r="AY78">
        <v>0</v>
      </c>
      <c r="AZ78">
        <v>0</v>
      </c>
      <c r="BA78" t="s">
        <v>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ROUND(Y78*Source!I45,9)</f>
        <v>7.0000000000000001E-3</v>
      </c>
      <c r="CY78">
        <f>AA78</f>
        <v>52817.91</v>
      </c>
      <c r="CZ78">
        <f>AE78</f>
        <v>3906.65</v>
      </c>
      <c r="DA78">
        <f>AI78</f>
        <v>13.52</v>
      </c>
      <c r="DB78">
        <f>ROUND(ROUND(AT78*CZ78,2),6)</f>
        <v>390.67</v>
      </c>
      <c r="DC78">
        <f>ROUND(ROUND(AT78*AG78,2),6)</f>
        <v>0</v>
      </c>
      <c r="DD78" t="s">
        <v>3</v>
      </c>
      <c r="DE78" t="s">
        <v>3</v>
      </c>
      <c r="DF78">
        <f>ROUND(ROUND(AE78*AI78,2)*CX78,2)</f>
        <v>369.73</v>
      </c>
      <c r="DG78">
        <f t="shared" si="59"/>
        <v>0</v>
      </c>
      <c r="DH78">
        <f t="shared" si="60"/>
        <v>0</v>
      </c>
      <c r="DI78">
        <f t="shared" si="57"/>
        <v>0</v>
      </c>
      <c r="DJ78">
        <f>DF78</f>
        <v>369.73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ROW(Source!A85)</f>
        <v>85</v>
      </c>
      <c r="B79">
        <v>60256985</v>
      </c>
      <c r="C79">
        <v>60257253</v>
      </c>
      <c r="D79">
        <v>58999254</v>
      </c>
      <c r="E79">
        <v>1080</v>
      </c>
      <c r="F79">
        <v>1</v>
      </c>
      <c r="G79">
        <v>1080</v>
      </c>
      <c r="H79">
        <v>1</v>
      </c>
      <c r="I79" t="s">
        <v>293</v>
      </c>
      <c r="J79" t="s">
        <v>3</v>
      </c>
      <c r="K79" t="s">
        <v>294</v>
      </c>
      <c r="L79">
        <v>1191</v>
      </c>
      <c r="N79">
        <v>1013</v>
      </c>
      <c r="O79" t="s">
        <v>295</v>
      </c>
      <c r="P79" t="s">
        <v>295</v>
      </c>
      <c r="Q79">
        <v>1</v>
      </c>
      <c r="W79">
        <v>0</v>
      </c>
      <c r="X79">
        <v>476480486</v>
      </c>
      <c r="Y79">
        <f>(AT79*1.1)</f>
        <v>16.5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15</v>
      </c>
      <c r="AU79" t="s">
        <v>23</v>
      </c>
      <c r="AV79">
        <v>1</v>
      </c>
      <c r="AW79">
        <v>2</v>
      </c>
      <c r="AX79">
        <v>60257548</v>
      </c>
      <c r="AY79">
        <v>1</v>
      </c>
      <c r="AZ79">
        <v>0</v>
      </c>
      <c r="BA79">
        <v>77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U79">
        <f>ROUND(AT79*Source!I85*AH79*AL79,2)</f>
        <v>0</v>
      </c>
      <c r="CV79">
        <f>ROUND(Y79*Source!I85,9)</f>
        <v>33</v>
      </c>
      <c r="CW79">
        <v>0</v>
      </c>
      <c r="CX79">
        <f>ROUND(Y79*Source!I85,9)</f>
        <v>33</v>
      </c>
      <c r="CY79">
        <f>AD79</f>
        <v>0</v>
      </c>
      <c r="CZ79">
        <f>AH79</f>
        <v>0</v>
      </c>
      <c r="DA79">
        <f>AL79</f>
        <v>1</v>
      </c>
      <c r="DB79">
        <f>ROUND((ROUND(AT79*CZ79,2)*1.1),6)</f>
        <v>0</v>
      </c>
      <c r="DC79">
        <f>ROUND((ROUND(AT79*AG79,2)*1.1),6)</f>
        <v>0</v>
      </c>
      <c r="DD79" t="s">
        <v>3</v>
      </c>
      <c r="DE79" t="s">
        <v>3</v>
      </c>
      <c r="DF79">
        <f>ROUND(ROUND(AE79,2)*CX79,2)</f>
        <v>0</v>
      </c>
      <c r="DG79">
        <f t="shared" si="59"/>
        <v>0</v>
      </c>
      <c r="DH79">
        <f t="shared" si="60"/>
        <v>0</v>
      </c>
      <c r="DI79">
        <f t="shared" si="57"/>
        <v>0</v>
      </c>
      <c r="DJ79">
        <f>DI79</f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ROW(Source!A85)</f>
        <v>85</v>
      </c>
      <c r="B80">
        <v>60256985</v>
      </c>
      <c r="C80">
        <v>60257253</v>
      </c>
      <c r="D80">
        <v>59052976</v>
      </c>
      <c r="E80">
        <v>1</v>
      </c>
      <c r="F80">
        <v>1</v>
      </c>
      <c r="G80">
        <v>1080</v>
      </c>
      <c r="H80">
        <v>3</v>
      </c>
      <c r="I80" t="s">
        <v>137</v>
      </c>
      <c r="J80" t="s">
        <v>140</v>
      </c>
      <c r="K80" t="s">
        <v>138</v>
      </c>
      <c r="L80">
        <v>1301</v>
      </c>
      <c r="N80">
        <v>1003</v>
      </c>
      <c r="O80" t="s">
        <v>139</v>
      </c>
      <c r="P80" t="s">
        <v>139</v>
      </c>
      <c r="Q80">
        <v>1</v>
      </c>
      <c r="W80">
        <v>0</v>
      </c>
      <c r="X80">
        <v>-1305428159</v>
      </c>
      <c r="Y80">
        <f>AT80</f>
        <v>102</v>
      </c>
      <c r="AA80">
        <v>3.45</v>
      </c>
      <c r="AB80">
        <v>0</v>
      </c>
      <c r="AC80">
        <v>0</v>
      </c>
      <c r="AD80">
        <v>0</v>
      </c>
      <c r="AE80">
        <v>3.45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 t="s">
        <v>3</v>
      </c>
      <c r="AT80">
        <v>102</v>
      </c>
      <c r="AU80" t="s">
        <v>3</v>
      </c>
      <c r="AV80">
        <v>0</v>
      </c>
      <c r="AW80">
        <v>1</v>
      </c>
      <c r="AX80">
        <v>-1</v>
      </c>
      <c r="AY80">
        <v>0</v>
      </c>
      <c r="AZ80">
        <v>0</v>
      </c>
      <c r="BA80" t="s">
        <v>3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ROUND(Y80*Source!I85,9)</f>
        <v>204</v>
      </c>
      <c r="CY80">
        <f>AA80</f>
        <v>3.45</v>
      </c>
      <c r="CZ80">
        <f>AE80</f>
        <v>3.45</v>
      </c>
      <c r="DA80">
        <f>AI80</f>
        <v>1</v>
      </c>
      <c r="DB80">
        <f>ROUND(ROUND(AT80*CZ80,2),6)</f>
        <v>351.9</v>
      </c>
      <c r="DC80">
        <f>ROUND(ROUND(AT80*AG80,2),6)</f>
        <v>0</v>
      </c>
      <c r="DD80" t="s">
        <v>3</v>
      </c>
      <c r="DE80" t="s">
        <v>3</v>
      </c>
      <c r="DF80">
        <f>ROUND(ROUND(AE80,2)*CX80,2)</f>
        <v>703.8</v>
      </c>
      <c r="DG80">
        <f t="shared" si="59"/>
        <v>0</v>
      </c>
      <c r="DH80">
        <f t="shared" si="60"/>
        <v>0</v>
      </c>
      <c r="DI80">
        <f t="shared" si="57"/>
        <v>0</v>
      </c>
      <c r="DJ80">
        <f>DF80</f>
        <v>703.8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ROW(Source!A85)</f>
        <v>85</v>
      </c>
      <c r="B81">
        <v>60256985</v>
      </c>
      <c r="C81">
        <v>60257253</v>
      </c>
      <c r="D81">
        <v>59062692</v>
      </c>
      <c r="E81">
        <v>1</v>
      </c>
      <c r="F81">
        <v>1</v>
      </c>
      <c r="G81">
        <v>1080</v>
      </c>
      <c r="H81">
        <v>3</v>
      </c>
      <c r="I81" t="s">
        <v>142</v>
      </c>
      <c r="J81" t="s">
        <v>144</v>
      </c>
      <c r="K81" t="s">
        <v>143</v>
      </c>
      <c r="L81">
        <v>1355</v>
      </c>
      <c r="N81">
        <v>1010</v>
      </c>
      <c r="O81" t="s">
        <v>63</v>
      </c>
      <c r="P81" t="s">
        <v>63</v>
      </c>
      <c r="Q81">
        <v>100</v>
      </c>
      <c r="W81">
        <v>0</v>
      </c>
      <c r="X81">
        <v>-1171050213</v>
      </c>
      <c r="Y81">
        <f>AT81</f>
        <v>0</v>
      </c>
      <c r="AA81">
        <v>146.88999999999999</v>
      </c>
      <c r="AB81">
        <v>0</v>
      </c>
      <c r="AC81">
        <v>0</v>
      </c>
      <c r="AD81">
        <v>0</v>
      </c>
      <c r="AE81">
        <v>146.88999999999999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 t="s">
        <v>3</v>
      </c>
      <c r="AT81">
        <v>0</v>
      </c>
      <c r="AU81" t="s">
        <v>3</v>
      </c>
      <c r="AV81">
        <v>0</v>
      </c>
      <c r="AW81">
        <v>1</v>
      </c>
      <c r="AX81">
        <v>-1</v>
      </c>
      <c r="AY81">
        <v>0</v>
      </c>
      <c r="AZ81">
        <v>0</v>
      </c>
      <c r="BA81" t="s">
        <v>3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ROUND(Y81*Source!I85,9)</f>
        <v>0</v>
      </c>
      <c r="CY81">
        <f>AA81</f>
        <v>146.88999999999999</v>
      </c>
      <c r="CZ81">
        <f>AE81</f>
        <v>146.88999999999999</v>
      </c>
      <c r="DA81">
        <f>AI81</f>
        <v>1</v>
      </c>
      <c r="DB81">
        <f>ROUND(ROUND(AT81*CZ81,2),6)</f>
        <v>0</v>
      </c>
      <c r="DC81">
        <f>ROUND(ROUND(AT81*AG81,2),6)</f>
        <v>0</v>
      </c>
      <c r="DD81" t="s">
        <v>3</v>
      </c>
      <c r="DE81" t="s">
        <v>3</v>
      </c>
      <c r="DF81">
        <f>ROUND(ROUND(AE81,2)*CX81,2)</f>
        <v>0</v>
      </c>
      <c r="DG81">
        <f t="shared" si="59"/>
        <v>0</v>
      </c>
      <c r="DH81">
        <f t="shared" si="60"/>
        <v>0</v>
      </c>
      <c r="DI81">
        <f t="shared" si="57"/>
        <v>0</v>
      </c>
      <c r="DJ81">
        <f>DF81</f>
        <v>0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ROW(Source!A86)</f>
        <v>86</v>
      </c>
      <c r="B82">
        <v>60256982</v>
      </c>
      <c r="C82">
        <v>60257253</v>
      </c>
      <c r="D82">
        <v>58999254</v>
      </c>
      <c r="E82">
        <v>1080</v>
      </c>
      <c r="F82">
        <v>1</v>
      </c>
      <c r="G82">
        <v>1080</v>
      </c>
      <c r="H82">
        <v>1</v>
      </c>
      <c r="I82" t="s">
        <v>293</v>
      </c>
      <c r="J82" t="s">
        <v>3</v>
      </c>
      <c r="K82" t="s">
        <v>294</v>
      </c>
      <c r="L82">
        <v>1191</v>
      </c>
      <c r="N82">
        <v>1013</v>
      </c>
      <c r="O82" t="s">
        <v>295</v>
      </c>
      <c r="P82" t="s">
        <v>295</v>
      </c>
      <c r="Q82">
        <v>1</v>
      </c>
      <c r="W82">
        <v>0</v>
      </c>
      <c r="X82">
        <v>476480486</v>
      </c>
      <c r="Y82">
        <f>(AT82*1.1)</f>
        <v>16.5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5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15</v>
      </c>
      <c r="AU82" t="s">
        <v>23</v>
      </c>
      <c r="AV82">
        <v>1</v>
      </c>
      <c r="AW82">
        <v>2</v>
      </c>
      <c r="AX82">
        <v>60257548</v>
      </c>
      <c r="AY82">
        <v>1</v>
      </c>
      <c r="AZ82">
        <v>0</v>
      </c>
      <c r="BA82">
        <v>81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U82">
        <f>ROUND(AT82*Source!I86*AH82*AL82,2)</f>
        <v>0</v>
      </c>
      <c r="CV82">
        <f>ROUND(Y82*Source!I86,9)</f>
        <v>33</v>
      </c>
      <c r="CW82">
        <v>0</v>
      </c>
      <c r="CX82">
        <f>ROUND(Y82*Source!I86,9)</f>
        <v>33</v>
      </c>
      <c r="CY82">
        <f>AD82</f>
        <v>0</v>
      </c>
      <c r="CZ82">
        <f>AH82</f>
        <v>0</v>
      </c>
      <c r="DA82">
        <f>AL82</f>
        <v>1</v>
      </c>
      <c r="DB82">
        <f>ROUND((ROUND(AT82*CZ82,2)*1.1),6)</f>
        <v>0</v>
      </c>
      <c r="DC82">
        <f>ROUND((ROUND(AT82*AG82,2)*1.1),6)</f>
        <v>0</v>
      </c>
      <c r="DD82" t="s">
        <v>3</v>
      </c>
      <c r="DE82" t="s">
        <v>3</v>
      </c>
      <c r="DF82">
        <f>ROUND(ROUND(AE82,2)*CX82,2)</f>
        <v>0</v>
      </c>
      <c r="DG82">
        <f t="shared" si="59"/>
        <v>0</v>
      </c>
      <c r="DH82">
        <f t="shared" si="60"/>
        <v>0</v>
      </c>
      <c r="DI82">
        <f t="shared" si="57"/>
        <v>0</v>
      </c>
      <c r="DJ82">
        <f>DI82</f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ROW(Source!A86)</f>
        <v>86</v>
      </c>
      <c r="B83">
        <v>60256982</v>
      </c>
      <c r="C83">
        <v>60257253</v>
      </c>
      <c r="D83">
        <v>59052976</v>
      </c>
      <c r="E83">
        <v>1</v>
      </c>
      <c r="F83">
        <v>1</v>
      </c>
      <c r="G83">
        <v>1080</v>
      </c>
      <c r="H83">
        <v>3</v>
      </c>
      <c r="I83" t="s">
        <v>137</v>
      </c>
      <c r="J83" t="s">
        <v>140</v>
      </c>
      <c r="K83" t="s">
        <v>138</v>
      </c>
      <c r="L83">
        <v>1301</v>
      </c>
      <c r="N83">
        <v>1003</v>
      </c>
      <c r="O83" t="s">
        <v>139</v>
      </c>
      <c r="P83" t="s">
        <v>139</v>
      </c>
      <c r="Q83">
        <v>1</v>
      </c>
      <c r="W83">
        <v>0</v>
      </c>
      <c r="X83">
        <v>-1305428159</v>
      </c>
      <c r="Y83">
        <f>AT83</f>
        <v>102</v>
      </c>
      <c r="AA83">
        <v>13.56</v>
      </c>
      <c r="AB83">
        <v>0</v>
      </c>
      <c r="AC83">
        <v>0</v>
      </c>
      <c r="AD83">
        <v>0</v>
      </c>
      <c r="AE83">
        <v>3.45</v>
      </c>
      <c r="AF83">
        <v>0</v>
      </c>
      <c r="AG83">
        <v>0</v>
      </c>
      <c r="AH83">
        <v>0</v>
      </c>
      <c r="AI83">
        <v>3.93</v>
      </c>
      <c r="AJ83">
        <v>1</v>
      </c>
      <c r="AK83">
        <v>1</v>
      </c>
      <c r="AL83">
        <v>1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 t="s">
        <v>3</v>
      </c>
      <c r="AT83">
        <v>102</v>
      </c>
      <c r="AU83" t="s">
        <v>3</v>
      </c>
      <c r="AV83">
        <v>0</v>
      </c>
      <c r="AW83">
        <v>1</v>
      </c>
      <c r="AX83">
        <v>-1</v>
      </c>
      <c r="AY83">
        <v>0</v>
      </c>
      <c r="AZ83">
        <v>0</v>
      </c>
      <c r="BA83" t="s">
        <v>3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v>0</v>
      </c>
      <c r="CX83">
        <f>ROUND(Y83*Source!I86,9)</f>
        <v>204</v>
      </c>
      <c r="CY83">
        <f>AA83</f>
        <v>13.56</v>
      </c>
      <c r="CZ83">
        <f>AE83</f>
        <v>3.45</v>
      </c>
      <c r="DA83">
        <f>AI83</f>
        <v>3.93</v>
      </c>
      <c r="DB83">
        <f>ROUND(ROUND(AT83*CZ83,2),6)</f>
        <v>351.9</v>
      </c>
      <c r="DC83">
        <f>ROUND(ROUND(AT83*AG83,2),6)</f>
        <v>0</v>
      </c>
      <c r="DD83" t="s">
        <v>3</v>
      </c>
      <c r="DE83" t="s">
        <v>3</v>
      </c>
      <c r="DF83">
        <f>ROUND(ROUND(AE83*AI83,2)*CX83,2)</f>
        <v>2766.24</v>
      </c>
      <c r="DG83">
        <f t="shared" si="59"/>
        <v>0</v>
      </c>
      <c r="DH83">
        <f t="shared" si="60"/>
        <v>0</v>
      </c>
      <c r="DI83">
        <f t="shared" si="57"/>
        <v>0</v>
      </c>
      <c r="DJ83">
        <f>DF83</f>
        <v>2766.24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ROW(Source!A86)</f>
        <v>86</v>
      </c>
      <c r="B84">
        <v>60256982</v>
      </c>
      <c r="C84">
        <v>60257253</v>
      </c>
      <c r="D84">
        <v>59062692</v>
      </c>
      <c r="E84">
        <v>1</v>
      </c>
      <c r="F84">
        <v>1</v>
      </c>
      <c r="G84">
        <v>1080</v>
      </c>
      <c r="H84">
        <v>3</v>
      </c>
      <c r="I84" t="s">
        <v>142</v>
      </c>
      <c r="J84" t="s">
        <v>144</v>
      </c>
      <c r="K84" t="s">
        <v>143</v>
      </c>
      <c r="L84">
        <v>1355</v>
      </c>
      <c r="N84">
        <v>1010</v>
      </c>
      <c r="O84" t="s">
        <v>63</v>
      </c>
      <c r="P84" t="s">
        <v>63</v>
      </c>
      <c r="Q84">
        <v>100</v>
      </c>
      <c r="W84">
        <v>0</v>
      </c>
      <c r="X84">
        <v>-1171050213</v>
      </c>
      <c r="Y84">
        <f>AT84</f>
        <v>0</v>
      </c>
      <c r="AA84">
        <v>298.19</v>
      </c>
      <c r="AB84">
        <v>0</v>
      </c>
      <c r="AC84">
        <v>0</v>
      </c>
      <c r="AD84">
        <v>0</v>
      </c>
      <c r="AE84">
        <v>146.88999999999999</v>
      </c>
      <c r="AF84">
        <v>0</v>
      </c>
      <c r="AG84">
        <v>0</v>
      </c>
      <c r="AH84">
        <v>0</v>
      </c>
      <c r="AI84">
        <v>2.0299999999999998</v>
      </c>
      <c r="AJ84">
        <v>1</v>
      </c>
      <c r="AK84">
        <v>1</v>
      </c>
      <c r="AL84">
        <v>1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 t="s">
        <v>3</v>
      </c>
      <c r="AT84">
        <v>0</v>
      </c>
      <c r="AU84" t="s">
        <v>3</v>
      </c>
      <c r="AV84">
        <v>0</v>
      </c>
      <c r="AW84">
        <v>1</v>
      </c>
      <c r="AX84">
        <v>-1</v>
      </c>
      <c r="AY84">
        <v>0</v>
      </c>
      <c r="AZ84">
        <v>0</v>
      </c>
      <c r="BA84" t="s">
        <v>3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ROUND(Y84*Source!I86,9)</f>
        <v>0</v>
      </c>
      <c r="CY84">
        <f>AA84</f>
        <v>298.19</v>
      </c>
      <c r="CZ84">
        <f>AE84</f>
        <v>146.88999999999999</v>
      </c>
      <c r="DA84">
        <f>AI84</f>
        <v>2.0299999999999998</v>
      </c>
      <c r="DB84">
        <f>ROUND(ROUND(AT84*CZ84,2),6)</f>
        <v>0</v>
      </c>
      <c r="DC84">
        <f>ROUND(ROUND(AT84*AG84,2),6)</f>
        <v>0</v>
      </c>
      <c r="DD84" t="s">
        <v>3</v>
      </c>
      <c r="DE84" t="s">
        <v>3</v>
      </c>
      <c r="DF84">
        <f>ROUND(ROUND(AE84*AI84,2)*CX84,2)</f>
        <v>0</v>
      </c>
      <c r="DG84">
        <f t="shared" si="59"/>
        <v>0</v>
      </c>
      <c r="DH84">
        <f t="shared" si="60"/>
        <v>0</v>
      </c>
      <c r="DI84">
        <f t="shared" si="57"/>
        <v>0</v>
      </c>
      <c r="DJ84">
        <f>DF84</f>
        <v>0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ROW(Source!A91)</f>
        <v>91</v>
      </c>
      <c r="B85">
        <v>60256985</v>
      </c>
      <c r="C85">
        <v>60257263</v>
      </c>
      <c r="D85">
        <v>58999254</v>
      </c>
      <c r="E85">
        <v>1080</v>
      </c>
      <c r="F85">
        <v>1</v>
      </c>
      <c r="G85">
        <v>1080</v>
      </c>
      <c r="H85">
        <v>1</v>
      </c>
      <c r="I85" t="s">
        <v>293</v>
      </c>
      <c r="J85" t="s">
        <v>3</v>
      </c>
      <c r="K85" t="s">
        <v>294</v>
      </c>
      <c r="L85">
        <v>1191</v>
      </c>
      <c r="N85">
        <v>1013</v>
      </c>
      <c r="O85" t="s">
        <v>295</v>
      </c>
      <c r="P85" t="s">
        <v>295</v>
      </c>
      <c r="Q85">
        <v>1</v>
      </c>
      <c r="W85">
        <v>0</v>
      </c>
      <c r="X85">
        <v>476480486</v>
      </c>
      <c r="Y85">
        <f>(AT85*1.1)</f>
        <v>32.89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-2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29.9</v>
      </c>
      <c r="AU85" t="s">
        <v>23</v>
      </c>
      <c r="AV85">
        <v>1</v>
      </c>
      <c r="AW85">
        <v>2</v>
      </c>
      <c r="AX85">
        <v>60257552</v>
      </c>
      <c r="AY85">
        <v>1</v>
      </c>
      <c r="AZ85">
        <v>0</v>
      </c>
      <c r="BA85">
        <v>85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U85">
        <f>ROUND(AT85*Source!I91*AH85*AL85,2)</f>
        <v>0</v>
      </c>
      <c r="CV85">
        <f>ROUND(Y85*Source!I91,9)</f>
        <v>9.8670000000000009</v>
      </c>
      <c r="CW85">
        <v>0</v>
      </c>
      <c r="CX85">
        <f>ROUND(Y85*Source!I91,9)</f>
        <v>9.8670000000000009</v>
      </c>
      <c r="CY85">
        <f>AD85</f>
        <v>0</v>
      </c>
      <c r="CZ85">
        <f>AH85</f>
        <v>0</v>
      </c>
      <c r="DA85">
        <f>AL85</f>
        <v>1</v>
      </c>
      <c r="DB85">
        <f>ROUND((ROUND(AT85*CZ85,2)*1.1),6)</f>
        <v>0</v>
      </c>
      <c r="DC85">
        <f>ROUND((ROUND(AT85*AG85,2)*1.1),6)</f>
        <v>0</v>
      </c>
      <c r="DD85" t="s">
        <v>3</v>
      </c>
      <c r="DE85" t="s">
        <v>3</v>
      </c>
      <c r="DF85">
        <f t="shared" ref="DF85:DF100" si="61">ROUND(ROUND(AE85,2)*CX85,2)</f>
        <v>0</v>
      </c>
      <c r="DG85">
        <f t="shared" si="59"/>
        <v>0</v>
      </c>
      <c r="DH85">
        <f t="shared" si="60"/>
        <v>0</v>
      </c>
      <c r="DI85">
        <f t="shared" si="57"/>
        <v>0</v>
      </c>
      <c r="DJ85">
        <f>DI85</f>
        <v>0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ROW(Source!A91)</f>
        <v>91</v>
      </c>
      <c r="B86">
        <v>60256985</v>
      </c>
      <c r="C86">
        <v>60257263</v>
      </c>
      <c r="D86">
        <v>59070370</v>
      </c>
      <c r="E86">
        <v>1</v>
      </c>
      <c r="F86">
        <v>1</v>
      </c>
      <c r="G86">
        <v>1080</v>
      </c>
      <c r="H86">
        <v>2</v>
      </c>
      <c r="I86" t="s">
        <v>296</v>
      </c>
      <c r="J86" t="s">
        <v>297</v>
      </c>
      <c r="K86" t="s">
        <v>298</v>
      </c>
      <c r="L86">
        <v>1368</v>
      </c>
      <c r="N86">
        <v>1011</v>
      </c>
      <c r="O86" t="s">
        <v>299</v>
      </c>
      <c r="P86" t="s">
        <v>299</v>
      </c>
      <c r="Q86">
        <v>1</v>
      </c>
      <c r="W86">
        <v>0</v>
      </c>
      <c r="X86">
        <v>-2065404138</v>
      </c>
      <c r="Y86">
        <f>(AT86*1.1)</f>
        <v>16.940000000000001</v>
      </c>
      <c r="AA86">
        <v>0</v>
      </c>
      <c r="AB86">
        <v>7.44</v>
      </c>
      <c r="AC86">
        <v>0</v>
      </c>
      <c r="AD86">
        <v>0</v>
      </c>
      <c r="AE86">
        <v>0</v>
      </c>
      <c r="AF86">
        <v>7.11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-2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15.4</v>
      </c>
      <c r="AU86" t="s">
        <v>23</v>
      </c>
      <c r="AV86">
        <v>0</v>
      </c>
      <c r="AW86">
        <v>2</v>
      </c>
      <c r="AX86">
        <v>60257553</v>
      </c>
      <c r="AY86">
        <v>1</v>
      </c>
      <c r="AZ86">
        <v>0</v>
      </c>
      <c r="BA86">
        <v>86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f>ROUND(Y86*Source!I91*DO86,9)</f>
        <v>0</v>
      </c>
      <c r="CX86">
        <f>ROUND(Y86*Source!I91,9)</f>
        <v>5.0819999999999999</v>
      </c>
      <c r="CY86">
        <f>AB86</f>
        <v>7.44</v>
      </c>
      <c r="CZ86">
        <f>AF86</f>
        <v>7.11</v>
      </c>
      <c r="DA86">
        <f>AJ86</f>
        <v>1</v>
      </c>
      <c r="DB86">
        <f>ROUND((ROUND(AT86*CZ86,2)*1.1),6)</f>
        <v>120.43899999999999</v>
      </c>
      <c r="DC86">
        <f>ROUND((ROUND(AT86*AG86,2)*1.1),6)</f>
        <v>0</v>
      </c>
      <c r="DD86" t="s">
        <v>3</v>
      </c>
      <c r="DE86" t="s">
        <v>3</v>
      </c>
      <c r="DF86">
        <f t="shared" si="61"/>
        <v>0</v>
      </c>
      <c r="DG86">
        <f t="shared" si="59"/>
        <v>36.130000000000003</v>
      </c>
      <c r="DH86">
        <f t="shared" si="60"/>
        <v>0</v>
      </c>
      <c r="DI86">
        <f t="shared" si="57"/>
        <v>0</v>
      </c>
      <c r="DJ86">
        <f>DG86</f>
        <v>36.130000000000003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ROW(Source!A91)</f>
        <v>91</v>
      </c>
      <c r="B87">
        <v>60256985</v>
      </c>
      <c r="C87">
        <v>60257263</v>
      </c>
      <c r="D87">
        <v>59070669</v>
      </c>
      <c r="E87">
        <v>1</v>
      </c>
      <c r="F87">
        <v>1</v>
      </c>
      <c r="G87">
        <v>1080</v>
      </c>
      <c r="H87">
        <v>2</v>
      </c>
      <c r="I87" t="s">
        <v>300</v>
      </c>
      <c r="J87" t="s">
        <v>301</v>
      </c>
      <c r="K87" t="s">
        <v>302</v>
      </c>
      <c r="L87">
        <v>1368</v>
      </c>
      <c r="N87">
        <v>1011</v>
      </c>
      <c r="O87" t="s">
        <v>299</v>
      </c>
      <c r="P87" t="s">
        <v>299</v>
      </c>
      <c r="Q87">
        <v>1</v>
      </c>
      <c r="W87">
        <v>0</v>
      </c>
      <c r="X87">
        <v>-1985943078</v>
      </c>
      <c r="Y87">
        <f>(AT87*1.1)</f>
        <v>0.22000000000000003</v>
      </c>
      <c r="AA87">
        <v>0</v>
      </c>
      <c r="AB87">
        <v>87.01</v>
      </c>
      <c r="AC87">
        <v>13.21</v>
      </c>
      <c r="AD87">
        <v>0</v>
      </c>
      <c r="AE87">
        <v>0</v>
      </c>
      <c r="AF87">
        <v>83.1</v>
      </c>
      <c r="AG87">
        <v>12.62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-2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0.2</v>
      </c>
      <c r="AU87" t="s">
        <v>23</v>
      </c>
      <c r="AV87">
        <v>0</v>
      </c>
      <c r="AW87">
        <v>2</v>
      </c>
      <c r="AX87">
        <v>60257554</v>
      </c>
      <c r="AY87">
        <v>1</v>
      </c>
      <c r="AZ87">
        <v>0</v>
      </c>
      <c r="BA87">
        <v>87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f>ROUND(Y87*Source!I91*DO87,9)</f>
        <v>0.83291999999999999</v>
      </c>
      <c r="CX87">
        <f>ROUND(Y87*Source!I91,9)</f>
        <v>6.6000000000000003E-2</v>
      </c>
      <c r="CY87">
        <f>AB87</f>
        <v>87.01</v>
      </c>
      <c r="CZ87">
        <f>AF87</f>
        <v>83.1</v>
      </c>
      <c r="DA87">
        <f>AJ87</f>
        <v>1</v>
      </c>
      <c r="DB87">
        <f>ROUND((ROUND(AT87*CZ87,2)*1.1),6)</f>
        <v>18.282</v>
      </c>
      <c r="DC87">
        <f>ROUND((ROUND(AT87*AG87,2)*1.1),6)</f>
        <v>2.7719999999999998</v>
      </c>
      <c r="DD87" t="s">
        <v>3</v>
      </c>
      <c r="DE87" t="s">
        <v>3</v>
      </c>
      <c r="DF87">
        <f t="shared" si="61"/>
        <v>0</v>
      </c>
      <c r="DG87">
        <f t="shared" si="59"/>
        <v>5.48</v>
      </c>
      <c r="DH87">
        <f t="shared" si="60"/>
        <v>0.83</v>
      </c>
      <c r="DI87">
        <f t="shared" si="57"/>
        <v>0</v>
      </c>
      <c r="DJ87">
        <f>DG87</f>
        <v>5.48</v>
      </c>
      <c r="DK87">
        <v>0</v>
      </c>
      <c r="DL87" t="s">
        <v>303</v>
      </c>
      <c r="DM87">
        <v>0</v>
      </c>
      <c r="DN87" t="s">
        <v>295</v>
      </c>
      <c r="DO87">
        <v>12.62</v>
      </c>
    </row>
    <row r="88" spans="1:119" x14ac:dyDescent="0.2">
      <c r="A88">
        <f>ROW(Source!A91)</f>
        <v>91</v>
      </c>
      <c r="B88">
        <v>60256985</v>
      </c>
      <c r="C88">
        <v>60257263</v>
      </c>
      <c r="D88">
        <v>59070721</v>
      </c>
      <c r="E88">
        <v>1</v>
      </c>
      <c r="F88">
        <v>1</v>
      </c>
      <c r="G88">
        <v>1080</v>
      </c>
      <c r="H88">
        <v>2</v>
      </c>
      <c r="I88" t="s">
        <v>349</v>
      </c>
      <c r="J88" t="s">
        <v>350</v>
      </c>
      <c r="K88" t="s">
        <v>351</v>
      </c>
      <c r="L88">
        <v>1368</v>
      </c>
      <c r="N88">
        <v>1011</v>
      </c>
      <c r="O88" t="s">
        <v>299</v>
      </c>
      <c r="P88" t="s">
        <v>299</v>
      </c>
      <c r="Q88">
        <v>1</v>
      </c>
      <c r="W88">
        <v>0</v>
      </c>
      <c r="X88">
        <v>1387779639</v>
      </c>
      <c r="Y88">
        <f>(AT88*1.1)</f>
        <v>4.2130000000000001</v>
      </c>
      <c r="AA88">
        <v>0</v>
      </c>
      <c r="AB88">
        <v>0.81</v>
      </c>
      <c r="AC88">
        <v>0</v>
      </c>
      <c r="AD88">
        <v>0</v>
      </c>
      <c r="AE88">
        <v>0</v>
      </c>
      <c r="AF88">
        <v>0.77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-2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3.83</v>
      </c>
      <c r="AU88" t="s">
        <v>23</v>
      </c>
      <c r="AV88">
        <v>0</v>
      </c>
      <c r="AW88">
        <v>2</v>
      </c>
      <c r="AX88">
        <v>60257555</v>
      </c>
      <c r="AY88">
        <v>1</v>
      </c>
      <c r="AZ88">
        <v>0</v>
      </c>
      <c r="BA88">
        <v>88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f>ROUND(Y88*Source!I91*DO88,9)</f>
        <v>0</v>
      </c>
      <c r="CX88">
        <f>ROUND(Y88*Source!I91,9)</f>
        <v>1.2639</v>
      </c>
      <c r="CY88">
        <f>AB88</f>
        <v>0.81</v>
      </c>
      <c r="CZ88">
        <f>AF88</f>
        <v>0.77</v>
      </c>
      <c r="DA88">
        <f>AJ88</f>
        <v>1</v>
      </c>
      <c r="DB88">
        <f>ROUND((ROUND(AT88*CZ88,2)*1.1),6)</f>
        <v>3.2450000000000001</v>
      </c>
      <c r="DC88">
        <f>ROUND((ROUND(AT88*AG88,2)*1.1),6)</f>
        <v>0</v>
      </c>
      <c r="DD88" t="s">
        <v>3</v>
      </c>
      <c r="DE88" t="s">
        <v>3</v>
      </c>
      <c r="DF88">
        <f t="shared" si="61"/>
        <v>0</v>
      </c>
      <c r="DG88">
        <f t="shared" si="59"/>
        <v>0.97</v>
      </c>
      <c r="DH88">
        <f t="shared" si="60"/>
        <v>0</v>
      </c>
      <c r="DI88">
        <f t="shared" si="57"/>
        <v>0</v>
      </c>
      <c r="DJ88">
        <f>DG88</f>
        <v>0.97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ROW(Source!A91)</f>
        <v>91</v>
      </c>
      <c r="B89">
        <v>60256985</v>
      </c>
      <c r="C89">
        <v>60257263</v>
      </c>
      <c r="D89">
        <v>59039576</v>
      </c>
      <c r="E89">
        <v>1</v>
      </c>
      <c r="F89">
        <v>1</v>
      </c>
      <c r="G89">
        <v>1080</v>
      </c>
      <c r="H89">
        <v>3</v>
      </c>
      <c r="I89" t="s">
        <v>352</v>
      </c>
      <c r="J89" t="s">
        <v>353</v>
      </c>
      <c r="K89" t="s">
        <v>354</v>
      </c>
      <c r="L89">
        <v>1348</v>
      </c>
      <c r="N89">
        <v>1009</v>
      </c>
      <c r="O89" t="s">
        <v>310</v>
      </c>
      <c r="P89" t="s">
        <v>310</v>
      </c>
      <c r="Q89">
        <v>1000</v>
      </c>
      <c r="W89">
        <v>0</v>
      </c>
      <c r="X89">
        <v>1286623552</v>
      </c>
      <c r="Y89">
        <f t="shared" ref="Y89:Y96" si="62">AT89</f>
        <v>5.1499999999999997E-2</v>
      </c>
      <c r="AA89">
        <v>7246.05</v>
      </c>
      <c r="AB89">
        <v>0</v>
      </c>
      <c r="AC89">
        <v>0</v>
      </c>
      <c r="AD89">
        <v>0</v>
      </c>
      <c r="AE89">
        <v>7246.05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5.1499999999999997E-2</v>
      </c>
      <c r="AU89" t="s">
        <v>3</v>
      </c>
      <c r="AV89">
        <v>0</v>
      </c>
      <c r="AW89">
        <v>2</v>
      </c>
      <c r="AX89">
        <v>60257556</v>
      </c>
      <c r="AY89">
        <v>1</v>
      </c>
      <c r="AZ89">
        <v>0</v>
      </c>
      <c r="BA89">
        <v>89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v>0</v>
      </c>
      <c r="CX89">
        <f>ROUND(Y89*Source!I91,9)</f>
        <v>1.545E-2</v>
      </c>
      <c r="CY89">
        <f t="shared" ref="CY89:CY96" si="63">AA89</f>
        <v>7246.05</v>
      </c>
      <c r="CZ89">
        <f t="shared" ref="CZ89:CZ96" si="64">AE89</f>
        <v>7246.05</v>
      </c>
      <c r="DA89">
        <f t="shared" ref="DA89:DA96" si="65">AI89</f>
        <v>1</v>
      </c>
      <c r="DB89">
        <f t="shared" ref="DB89:DB96" si="66">ROUND(ROUND(AT89*CZ89,2),6)</f>
        <v>373.17</v>
      </c>
      <c r="DC89">
        <f t="shared" ref="DC89:DC96" si="67">ROUND(ROUND(AT89*AG89,2),6)</f>
        <v>0</v>
      </c>
      <c r="DD89" t="s">
        <v>3</v>
      </c>
      <c r="DE89" t="s">
        <v>3</v>
      </c>
      <c r="DF89">
        <f t="shared" si="61"/>
        <v>111.95</v>
      </c>
      <c r="DG89">
        <f t="shared" si="59"/>
        <v>0</v>
      </c>
      <c r="DH89">
        <f t="shared" si="60"/>
        <v>0</v>
      </c>
      <c r="DI89">
        <f t="shared" si="57"/>
        <v>0</v>
      </c>
      <c r="DJ89">
        <f t="shared" ref="DJ89:DJ96" si="68">DF89</f>
        <v>111.95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ROW(Source!A91)</f>
        <v>91</v>
      </c>
      <c r="B90">
        <v>60256985</v>
      </c>
      <c r="C90">
        <v>60257263</v>
      </c>
      <c r="D90">
        <v>59040049</v>
      </c>
      <c r="E90">
        <v>1</v>
      </c>
      <c r="F90">
        <v>1</v>
      </c>
      <c r="G90">
        <v>1080</v>
      </c>
      <c r="H90">
        <v>3</v>
      </c>
      <c r="I90" t="s">
        <v>355</v>
      </c>
      <c r="J90" t="s">
        <v>356</v>
      </c>
      <c r="K90" t="s">
        <v>357</v>
      </c>
      <c r="L90">
        <v>1348</v>
      </c>
      <c r="N90">
        <v>1009</v>
      </c>
      <c r="O90" t="s">
        <v>310</v>
      </c>
      <c r="P90" t="s">
        <v>310</v>
      </c>
      <c r="Q90">
        <v>1000</v>
      </c>
      <c r="W90">
        <v>0</v>
      </c>
      <c r="X90">
        <v>-1792704725</v>
      </c>
      <c r="Y90">
        <f t="shared" si="62"/>
        <v>1.0499999999999999E-3</v>
      </c>
      <c r="AA90">
        <v>8590.86</v>
      </c>
      <c r="AB90">
        <v>0</v>
      </c>
      <c r="AC90">
        <v>0</v>
      </c>
      <c r="AD90">
        <v>0</v>
      </c>
      <c r="AE90">
        <v>8590.86</v>
      </c>
      <c r="AF90">
        <v>0</v>
      </c>
      <c r="AG90">
        <v>0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-2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1.0499999999999999E-3</v>
      </c>
      <c r="AU90" t="s">
        <v>3</v>
      </c>
      <c r="AV90">
        <v>0</v>
      </c>
      <c r="AW90">
        <v>2</v>
      </c>
      <c r="AX90">
        <v>60257557</v>
      </c>
      <c r="AY90">
        <v>1</v>
      </c>
      <c r="AZ90">
        <v>0</v>
      </c>
      <c r="BA90">
        <v>90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v>0</v>
      </c>
      <c r="CX90">
        <f>ROUND(Y90*Source!I91,9)</f>
        <v>3.1500000000000001E-4</v>
      </c>
      <c r="CY90">
        <f t="shared" si="63"/>
        <v>8590.86</v>
      </c>
      <c r="CZ90">
        <f t="shared" si="64"/>
        <v>8590.86</v>
      </c>
      <c r="DA90">
        <f t="shared" si="65"/>
        <v>1</v>
      </c>
      <c r="DB90">
        <f t="shared" si="66"/>
        <v>9.02</v>
      </c>
      <c r="DC90">
        <f t="shared" si="67"/>
        <v>0</v>
      </c>
      <c r="DD90" t="s">
        <v>3</v>
      </c>
      <c r="DE90" t="s">
        <v>3</v>
      </c>
      <c r="DF90">
        <f t="shared" si="61"/>
        <v>2.71</v>
      </c>
      <c r="DG90">
        <f t="shared" si="59"/>
        <v>0</v>
      </c>
      <c r="DH90">
        <f t="shared" si="60"/>
        <v>0</v>
      </c>
      <c r="DI90">
        <f t="shared" si="57"/>
        <v>0</v>
      </c>
      <c r="DJ90">
        <f t="shared" si="68"/>
        <v>2.71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">
      <c r="A91">
        <f>ROW(Source!A91)</f>
        <v>91</v>
      </c>
      <c r="B91">
        <v>60256985</v>
      </c>
      <c r="C91">
        <v>60257263</v>
      </c>
      <c r="D91">
        <v>59039007</v>
      </c>
      <c r="E91">
        <v>1</v>
      </c>
      <c r="F91">
        <v>1</v>
      </c>
      <c r="G91">
        <v>1080</v>
      </c>
      <c r="H91">
        <v>3</v>
      </c>
      <c r="I91" t="s">
        <v>358</v>
      </c>
      <c r="J91" t="s">
        <v>359</v>
      </c>
      <c r="K91" t="s">
        <v>360</v>
      </c>
      <c r="L91">
        <v>1354</v>
      </c>
      <c r="N91">
        <v>1010</v>
      </c>
      <c r="O91" t="s">
        <v>31</v>
      </c>
      <c r="P91" t="s">
        <v>31</v>
      </c>
      <c r="Q91">
        <v>1</v>
      </c>
      <c r="W91">
        <v>0</v>
      </c>
      <c r="X91">
        <v>-1414204412</v>
      </c>
      <c r="Y91">
        <f t="shared" si="62"/>
        <v>218</v>
      </c>
      <c r="AA91">
        <v>3.86</v>
      </c>
      <c r="AB91">
        <v>0</v>
      </c>
      <c r="AC91">
        <v>0</v>
      </c>
      <c r="AD91">
        <v>0</v>
      </c>
      <c r="AE91">
        <v>3.86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-2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218</v>
      </c>
      <c r="AU91" t="s">
        <v>3</v>
      </c>
      <c r="AV91">
        <v>0</v>
      </c>
      <c r="AW91">
        <v>2</v>
      </c>
      <c r="AX91">
        <v>60257558</v>
      </c>
      <c r="AY91">
        <v>1</v>
      </c>
      <c r="AZ91">
        <v>0</v>
      </c>
      <c r="BA91">
        <v>91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v>0</v>
      </c>
      <c r="CX91">
        <f>ROUND(Y91*Source!I91,9)</f>
        <v>65.400000000000006</v>
      </c>
      <c r="CY91">
        <f t="shared" si="63"/>
        <v>3.86</v>
      </c>
      <c r="CZ91">
        <f t="shared" si="64"/>
        <v>3.86</v>
      </c>
      <c r="DA91">
        <f t="shared" si="65"/>
        <v>1</v>
      </c>
      <c r="DB91">
        <f t="shared" si="66"/>
        <v>841.48</v>
      </c>
      <c r="DC91">
        <f t="shared" si="67"/>
        <v>0</v>
      </c>
      <c r="DD91" t="s">
        <v>3</v>
      </c>
      <c r="DE91" t="s">
        <v>3</v>
      </c>
      <c r="DF91">
        <f t="shared" si="61"/>
        <v>252.44</v>
      </c>
      <c r="DG91">
        <f t="shared" si="59"/>
        <v>0</v>
      </c>
      <c r="DH91">
        <f t="shared" si="60"/>
        <v>0</v>
      </c>
      <c r="DI91">
        <f t="shared" si="57"/>
        <v>0</v>
      </c>
      <c r="DJ91">
        <f t="shared" si="68"/>
        <v>252.44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ROW(Source!A91)</f>
        <v>91</v>
      </c>
      <c r="B92">
        <v>60256985</v>
      </c>
      <c r="C92">
        <v>60257263</v>
      </c>
      <c r="D92">
        <v>59040551</v>
      </c>
      <c r="E92">
        <v>1</v>
      </c>
      <c r="F92">
        <v>1</v>
      </c>
      <c r="G92">
        <v>1080</v>
      </c>
      <c r="H92">
        <v>3</v>
      </c>
      <c r="I92" t="s">
        <v>361</v>
      </c>
      <c r="J92" t="s">
        <v>362</v>
      </c>
      <c r="K92" t="s">
        <v>363</v>
      </c>
      <c r="L92">
        <v>1348</v>
      </c>
      <c r="N92">
        <v>1009</v>
      </c>
      <c r="O92" t="s">
        <v>310</v>
      </c>
      <c r="P92" t="s">
        <v>310</v>
      </c>
      <c r="Q92">
        <v>1000</v>
      </c>
      <c r="W92">
        <v>0</v>
      </c>
      <c r="X92">
        <v>1854293486</v>
      </c>
      <c r="Y92">
        <f t="shared" si="62"/>
        <v>2.1800000000000001E-3</v>
      </c>
      <c r="AA92">
        <v>14327.51</v>
      </c>
      <c r="AB92">
        <v>0</v>
      </c>
      <c r="AC92">
        <v>0</v>
      </c>
      <c r="AD92">
        <v>0</v>
      </c>
      <c r="AE92">
        <v>14327.51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-2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2.1800000000000001E-3</v>
      </c>
      <c r="AU92" t="s">
        <v>3</v>
      </c>
      <c r="AV92">
        <v>0</v>
      </c>
      <c r="AW92">
        <v>2</v>
      </c>
      <c r="AX92">
        <v>60257559</v>
      </c>
      <c r="AY92">
        <v>1</v>
      </c>
      <c r="AZ92">
        <v>0</v>
      </c>
      <c r="BA92">
        <v>92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ROUND(Y92*Source!I91,9)</f>
        <v>6.5399999999999996E-4</v>
      </c>
      <c r="CY92">
        <f t="shared" si="63"/>
        <v>14327.51</v>
      </c>
      <c r="CZ92">
        <f t="shared" si="64"/>
        <v>14327.51</v>
      </c>
      <c r="DA92">
        <f t="shared" si="65"/>
        <v>1</v>
      </c>
      <c r="DB92">
        <f t="shared" si="66"/>
        <v>31.23</v>
      </c>
      <c r="DC92">
        <f t="shared" si="67"/>
        <v>0</v>
      </c>
      <c r="DD92" t="s">
        <v>3</v>
      </c>
      <c r="DE92" t="s">
        <v>3</v>
      </c>
      <c r="DF92">
        <f t="shared" si="61"/>
        <v>9.3699999999999992</v>
      </c>
      <c r="DG92">
        <f t="shared" si="59"/>
        <v>0</v>
      </c>
      <c r="DH92">
        <f t="shared" si="60"/>
        <v>0</v>
      </c>
      <c r="DI92">
        <f t="shared" si="57"/>
        <v>0</v>
      </c>
      <c r="DJ92">
        <f t="shared" si="68"/>
        <v>9.3699999999999992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ROW(Source!A91)</f>
        <v>91</v>
      </c>
      <c r="B93">
        <v>60256985</v>
      </c>
      <c r="C93">
        <v>60257263</v>
      </c>
      <c r="D93">
        <v>59039484</v>
      </c>
      <c r="E93">
        <v>1</v>
      </c>
      <c r="F93">
        <v>1</v>
      </c>
      <c r="G93">
        <v>1080</v>
      </c>
      <c r="H93">
        <v>3</v>
      </c>
      <c r="I93" t="s">
        <v>364</v>
      </c>
      <c r="J93" t="s">
        <v>365</v>
      </c>
      <c r="K93" t="s">
        <v>366</v>
      </c>
      <c r="L93">
        <v>1348</v>
      </c>
      <c r="N93">
        <v>1009</v>
      </c>
      <c r="O93" t="s">
        <v>310</v>
      </c>
      <c r="P93" t="s">
        <v>310</v>
      </c>
      <c r="Q93">
        <v>1000</v>
      </c>
      <c r="W93">
        <v>0</v>
      </c>
      <c r="X93">
        <v>-1942970469</v>
      </c>
      <c r="Y93">
        <f t="shared" si="62"/>
        <v>3.0000000000000001E-3</v>
      </c>
      <c r="AA93">
        <v>7973.67</v>
      </c>
      <c r="AB93">
        <v>0</v>
      </c>
      <c r="AC93">
        <v>0</v>
      </c>
      <c r="AD93">
        <v>0</v>
      </c>
      <c r="AE93">
        <v>7973.67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-2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3.0000000000000001E-3</v>
      </c>
      <c r="AU93" t="s">
        <v>3</v>
      </c>
      <c r="AV93">
        <v>0</v>
      </c>
      <c r="AW93">
        <v>2</v>
      </c>
      <c r="AX93">
        <v>60257560</v>
      </c>
      <c r="AY93">
        <v>1</v>
      </c>
      <c r="AZ93">
        <v>0</v>
      </c>
      <c r="BA93">
        <v>93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ROUND(Y93*Source!I91,9)</f>
        <v>8.9999999999999998E-4</v>
      </c>
      <c r="CY93">
        <f t="shared" si="63"/>
        <v>7973.67</v>
      </c>
      <c r="CZ93">
        <f t="shared" si="64"/>
        <v>7973.67</v>
      </c>
      <c r="DA93">
        <f t="shared" si="65"/>
        <v>1</v>
      </c>
      <c r="DB93">
        <f t="shared" si="66"/>
        <v>23.92</v>
      </c>
      <c r="DC93">
        <f t="shared" si="67"/>
        <v>0</v>
      </c>
      <c r="DD93" t="s">
        <v>3</v>
      </c>
      <c r="DE93" t="s">
        <v>3</v>
      </c>
      <c r="DF93">
        <f t="shared" si="61"/>
        <v>7.18</v>
      </c>
      <c r="DG93">
        <f t="shared" si="59"/>
        <v>0</v>
      </c>
      <c r="DH93">
        <f t="shared" si="60"/>
        <v>0</v>
      </c>
      <c r="DI93">
        <f t="shared" si="57"/>
        <v>0</v>
      </c>
      <c r="DJ93">
        <f t="shared" si="68"/>
        <v>7.18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ROW(Source!A91)</f>
        <v>91</v>
      </c>
      <c r="B94">
        <v>60256985</v>
      </c>
      <c r="C94">
        <v>60257263</v>
      </c>
      <c r="D94">
        <v>59062923</v>
      </c>
      <c r="E94">
        <v>1</v>
      </c>
      <c r="F94">
        <v>1</v>
      </c>
      <c r="G94">
        <v>1080</v>
      </c>
      <c r="H94">
        <v>3</v>
      </c>
      <c r="I94" t="s">
        <v>150</v>
      </c>
      <c r="J94" t="s">
        <v>152</v>
      </c>
      <c r="K94" t="s">
        <v>151</v>
      </c>
      <c r="L94">
        <v>1301</v>
      </c>
      <c r="N94">
        <v>1003</v>
      </c>
      <c r="O94" t="s">
        <v>139</v>
      </c>
      <c r="P94" t="s">
        <v>139</v>
      </c>
      <c r="Q94">
        <v>1</v>
      </c>
      <c r="W94">
        <v>0</v>
      </c>
      <c r="X94">
        <v>550947997</v>
      </c>
      <c r="Y94">
        <f t="shared" si="62"/>
        <v>103</v>
      </c>
      <c r="AA94">
        <v>32.32</v>
      </c>
      <c r="AB94">
        <v>0</v>
      </c>
      <c r="AC94">
        <v>0</v>
      </c>
      <c r="AD94">
        <v>0</v>
      </c>
      <c r="AE94">
        <v>32.32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 t="s">
        <v>3</v>
      </c>
      <c r="AT94">
        <v>103</v>
      </c>
      <c r="AU94" t="s">
        <v>3</v>
      </c>
      <c r="AV94">
        <v>0</v>
      </c>
      <c r="AW94">
        <v>1</v>
      </c>
      <c r="AX94">
        <v>-1</v>
      </c>
      <c r="AY94">
        <v>0</v>
      </c>
      <c r="AZ94">
        <v>0</v>
      </c>
      <c r="BA94" t="s">
        <v>3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ROUND(Y94*Source!I91,9)</f>
        <v>30.9</v>
      </c>
      <c r="CY94">
        <f t="shared" si="63"/>
        <v>32.32</v>
      </c>
      <c r="CZ94">
        <f t="shared" si="64"/>
        <v>32.32</v>
      </c>
      <c r="DA94">
        <f t="shared" si="65"/>
        <v>1</v>
      </c>
      <c r="DB94">
        <f t="shared" si="66"/>
        <v>3328.96</v>
      </c>
      <c r="DC94">
        <f t="shared" si="67"/>
        <v>0</v>
      </c>
      <c r="DD94" t="s">
        <v>3</v>
      </c>
      <c r="DE94" t="s">
        <v>3</v>
      </c>
      <c r="DF94">
        <f t="shared" si="61"/>
        <v>998.69</v>
      </c>
      <c r="DG94">
        <f t="shared" si="59"/>
        <v>0</v>
      </c>
      <c r="DH94">
        <f t="shared" si="60"/>
        <v>0</v>
      </c>
      <c r="DI94">
        <f t="shared" si="57"/>
        <v>0</v>
      </c>
      <c r="DJ94">
        <f t="shared" si="68"/>
        <v>998.69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ROW(Source!A91)</f>
        <v>91</v>
      </c>
      <c r="B95">
        <v>60256985</v>
      </c>
      <c r="C95">
        <v>60257263</v>
      </c>
      <c r="D95">
        <v>59063148</v>
      </c>
      <c r="E95">
        <v>1</v>
      </c>
      <c r="F95">
        <v>1</v>
      </c>
      <c r="G95">
        <v>1080</v>
      </c>
      <c r="H95">
        <v>3</v>
      </c>
      <c r="I95" t="s">
        <v>367</v>
      </c>
      <c r="J95" t="s">
        <v>368</v>
      </c>
      <c r="K95" t="s">
        <v>369</v>
      </c>
      <c r="L95">
        <v>1354</v>
      </c>
      <c r="N95">
        <v>1010</v>
      </c>
      <c r="O95" t="s">
        <v>31</v>
      </c>
      <c r="P95" t="s">
        <v>31</v>
      </c>
      <c r="Q95">
        <v>1</v>
      </c>
      <c r="W95">
        <v>0</v>
      </c>
      <c r="X95">
        <v>446825684</v>
      </c>
      <c r="Y95">
        <f t="shared" si="62"/>
        <v>5</v>
      </c>
      <c r="AA95">
        <v>14.99</v>
      </c>
      <c r="AB95">
        <v>0</v>
      </c>
      <c r="AC95">
        <v>0</v>
      </c>
      <c r="AD95">
        <v>0</v>
      </c>
      <c r="AE95">
        <v>14.99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5</v>
      </c>
      <c r="AU95" t="s">
        <v>3</v>
      </c>
      <c r="AV95">
        <v>0</v>
      </c>
      <c r="AW95">
        <v>2</v>
      </c>
      <c r="AX95">
        <v>60257561</v>
      </c>
      <c r="AY95">
        <v>1</v>
      </c>
      <c r="AZ95">
        <v>0</v>
      </c>
      <c r="BA95">
        <v>94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v>0</v>
      </c>
      <c r="CX95">
        <f>ROUND(Y95*Source!I91,9)</f>
        <v>1.5</v>
      </c>
      <c r="CY95">
        <f t="shared" si="63"/>
        <v>14.99</v>
      </c>
      <c r="CZ95">
        <f t="shared" si="64"/>
        <v>14.99</v>
      </c>
      <c r="DA95">
        <f t="shared" si="65"/>
        <v>1</v>
      </c>
      <c r="DB95">
        <f t="shared" si="66"/>
        <v>74.95</v>
      </c>
      <c r="DC95">
        <f t="shared" si="67"/>
        <v>0</v>
      </c>
      <c r="DD95" t="s">
        <v>3</v>
      </c>
      <c r="DE95" t="s">
        <v>3</v>
      </c>
      <c r="DF95">
        <f t="shared" si="61"/>
        <v>22.49</v>
      </c>
      <c r="DG95">
        <f t="shared" si="59"/>
        <v>0</v>
      </c>
      <c r="DH95">
        <f t="shared" si="60"/>
        <v>0</v>
      </c>
      <c r="DI95">
        <f t="shared" si="57"/>
        <v>0</v>
      </c>
      <c r="DJ95">
        <f t="shared" si="68"/>
        <v>22.49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ROW(Source!A91)</f>
        <v>91</v>
      </c>
      <c r="B96">
        <v>60256985</v>
      </c>
      <c r="C96">
        <v>60257263</v>
      </c>
      <c r="D96">
        <v>59062464</v>
      </c>
      <c r="E96">
        <v>1</v>
      </c>
      <c r="F96">
        <v>1</v>
      </c>
      <c r="G96">
        <v>1080</v>
      </c>
      <c r="H96">
        <v>3</v>
      </c>
      <c r="I96" t="s">
        <v>370</v>
      </c>
      <c r="J96" t="s">
        <v>371</v>
      </c>
      <c r="K96" t="s">
        <v>372</v>
      </c>
      <c r="L96">
        <v>1356</v>
      </c>
      <c r="N96">
        <v>1010</v>
      </c>
      <c r="O96" t="s">
        <v>74</v>
      </c>
      <c r="P96" t="s">
        <v>74</v>
      </c>
      <c r="Q96">
        <v>1000</v>
      </c>
      <c r="W96">
        <v>0</v>
      </c>
      <c r="X96">
        <v>-1929739655</v>
      </c>
      <c r="Y96">
        <f t="shared" si="62"/>
        <v>0.25</v>
      </c>
      <c r="AA96">
        <v>1639.86</v>
      </c>
      <c r="AB96">
        <v>0</v>
      </c>
      <c r="AC96">
        <v>0</v>
      </c>
      <c r="AD96">
        <v>0</v>
      </c>
      <c r="AE96">
        <v>1639.86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0.25</v>
      </c>
      <c r="AU96" t="s">
        <v>3</v>
      </c>
      <c r="AV96">
        <v>0</v>
      </c>
      <c r="AW96">
        <v>2</v>
      </c>
      <c r="AX96">
        <v>60257562</v>
      </c>
      <c r="AY96">
        <v>1</v>
      </c>
      <c r="AZ96">
        <v>0</v>
      </c>
      <c r="BA96">
        <v>95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ROUND(Y96*Source!I91,9)</f>
        <v>7.4999999999999997E-2</v>
      </c>
      <c r="CY96">
        <f t="shared" si="63"/>
        <v>1639.86</v>
      </c>
      <c r="CZ96">
        <f t="shared" si="64"/>
        <v>1639.86</v>
      </c>
      <c r="DA96">
        <f t="shared" si="65"/>
        <v>1</v>
      </c>
      <c r="DB96">
        <f t="shared" si="66"/>
        <v>409.97</v>
      </c>
      <c r="DC96">
        <f t="shared" si="67"/>
        <v>0</v>
      </c>
      <c r="DD96" t="s">
        <v>3</v>
      </c>
      <c r="DE96" t="s">
        <v>3</v>
      </c>
      <c r="DF96">
        <f t="shared" si="61"/>
        <v>122.99</v>
      </c>
      <c r="DG96">
        <f t="shared" si="59"/>
        <v>0</v>
      </c>
      <c r="DH96">
        <f t="shared" si="60"/>
        <v>0</v>
      </c>
      <c r="DI96">
        <f t="shared" si="57"/>
        <v>0</v>
      </c>
      <c r="DJ96">
        <f t="shared" si="68"/>
        <v>122.99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">
      <c r="A97">
        <f>ROW(Source!A92)</f>
        <v>92</v>
      </c>
      <c r="B97">
        <v>60256982</v>
      </c>
      <c r="C97">
        <v>60257263</v>
      </c>
      <c r="D97">
        <v>58999254</v>
      </c>
      <c r="E97">
        <v>1080</v>
      </c>
      <c r="F97">
        <v>1</v>
      </c>
      <c r="G97">
        <v>1080</v>
      </c>
      <c r="H97">
        <v>1</v>
      </c>
      <c r="I97" t="s">
        <v>293</v>
      </c>
      <c r="J97" t="s">
        <v>3</v>
      </c>
      <c r="K97" t="s">
        <v>294</v>
      </c>
      <c r="L97">
        <v>1191</v>
      </c>
      <c r="N97">
        <v>1013</v>
      </c>
      <c r="O97" t="s">
        <v>295</v>
      </c>
      <c r="P97" t="s">
        <v>295</v>
      </c>
      <c r="Q97">
        <v>1</v>
      </c>
      <c r="W97">
        <v>0</v>
      </c>
      <c r="X97">
        <v>476480486</v>
      </c>
      <c r="Y97">
        <f>(AT97*1.1)</f>
        <v>32.89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5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29.9</v>
      </c>
      <c r="AU97" t="s">
        <v>23</v>
      </c>
      <c r="AV97">
        <v>1</v>
      </c>
      <c r="AW97">
        <v>2</v>
      </c>
      <c r="AX97">
        <v>60257552</v>
      </c>
      <c r="AY97">
        <v>1</v>
      </c>
      <c r="AZ97">
        <v>0</v>
      </c>
      <c r="BA97">
        <v>101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U97">
        <f>ROUND(AT97*Source!I92*AH97*AL97,2)</f>
        <v>0</v>
      </c>
      <c r="CV97">
        <f>ROUND(Y97*Source!I92,9)</f>
        <v>9.8670000000000009</v>
      </c>
      <c r="CW97">
        <v>0</v>
      </c>
      <c r="CX97">
        <f>ROUND(Y97*Source!I92,9)</f>
        <v>9.8670000000000009</v>
      </c>
      <c r="CY97">
        <f>AD97</f>
        <v>0</v>
      </c>
      <c r="CZ97">
        <f>AH97</f>
        <v>0</v>
      </c>
      <c r="DA97">
        <f>AL97</f>
        <v>1</v>
      </c>
      <c r="DB97">
        <f>ROUND((ROUND(AT97*CZ97,2)*1.1),6)</f>
        <v>0</v>
      </c>
      <c r="DC97">
        <f>ROUND((ROUND(AT97*AG97,2)*1.1),6)</f>
        <v>0</v>
      </c>
      <c r="DD97" t="s">
        <v>3</v>
      </c>
      <c r="DE97" t="s">
        <v>3</v>
      </c>
      <c r="DF97">
        <f t="shared" si="61"/>
        <v>0</v>
      </c>
      <c r="DG97">
        <f t="shared" si="59"/>
        <v>0</v>
      </c>
      <c r="DH97">
        <f t="shared" si="60"/>
        <v>0</v>
      </c>
      <c r="DI97">
        <f t="shared" si="57"/>
        <v>0</v>
      </c>
      <c r="DJ97">
        <f>DI97</f>
        <v>0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ROW(Source!A92)</f>
        <v>92</v>
      </c>
      <c r="B98">
        <v>60256982</v>
      </c>
      <c r="C98">
        <v>60257263</v>
      </c>
      <c r="D98">
        <v>59070370</v>
      </c>
      <c r="E98">
        <v>1</v>
      </c>
      <c r="F98">
        <v>1</v>
      </c>
      <c r="G98">
        <v>1080</v>
      </c>
      <c r="H98">
        <v>2</v>
      </c>
      <c r="I98" t="s">
        <v>296</v>
      </c>
      <c r="J98" t="s">
        <v>297</v>
      </c>
      <c r="K98" t="s">
        <v>298</v>
      </c>
      <c r="L98">
        <v>1368</v>
      </c>
      <c r="N98">
        <v>1011</v>
      </c>
      <c r="O98" t="s">
        <v>299</v>
      </c>
      <c r="P98" t="s">
        <v>299</v>
      </c>
      <c r="Q98">
        <v>1</v>
      </c>
      <c r="W98">
        <v>0</v>
      </c>
      <c r="X98">
        <v>-2065404138</v>
      </c>
      <c r="Y98">
        <f>(AT98*1.1)</f>
        <v>16.940000000000001</v>
      </c>
      <c r="AA98">
        <v>0</v>
      </c>
      <c r="AB98">
        <v>85.83</v>
      </c>
      <c r="AC98">
        <v>0</v>
      </c>
      <c r="AD98">
        <v>0</v>
      </c>
      <c r="AE98">
        <v>0</v>
      </c>
      <c r="AF98">
        <v>7.11</v>
      </c>
      <c r="AG98">
        <v>0</v>
      </c>
      <c r="AH98">
        <v>0</v>
      </c>
      <c r="AI98">
        <v>1</v>
      </c>
      <c r="AJ98">
        <v>11.53</v>
      </c>
      <c r="AK98">
        <v>54.99</v>
      </c>
      <c r="AL98">
        <v>1</v>
      </c>
      <c r="AM98">
        <v>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15.4</v>
      </c>
      <c r="AU98" t="s">
        <v>23</v>
      </c>
      <c r="AV98">
        <v>0</v>
      </c>
      <c r="AW98">
        <v>2</v>
      </c>
      <c r="AX98">
        <v>60257553</v>
      </c>
      <c r="AY98">
        <v>1</v>
      </c>
      <c r="AZ98">
        <v>0</v>
      </c>
      <c r="BA98">
        <v>102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f>ROUND(Y98*Source!I92*DO98,9)</f>
        <v>0</v>
      </c>
      <c r="CX98">
        <f>ROUND(Y98*Source!I92,9)</f>
        <v>5.0819999999999999</v>
      </c>
      <c r="CY98">
        <f>AB98</f>
        <v>85.83</v>
      </c>
      <c r="CZ98">
        <f>AF98</f>
        <v>7.11</v>
      </c>
      <c r="DA98">
        <f>AJ98</f>
        <v>11.53</v>
      </c>
      <c r="DB98">
        <f>ROUND((ROUND(AT98*CZ98,2)*1.1),6)</f>
        <v>120.43899999999999</v>
      </c>
      <c r="DC98">
        <f>ROUND((ROUND(AT98*AG98,2)*1.1),6)</f>
        <v>0</v>
      </c>
      <c r="DD98" t="s">
        <v>3</v>
      </c>
      <c r="DE98" t="s">
        <v>3</v>
      </c>
      <c r="DF98">
        <f t="shared" si="61"/>
        <v>0</v>
      </c>
      <c r="DG98">
        <f>ROUND(ROUND(AF98*AJ98,2)*CX98,2)</f>
        <v>416.62</v>
      </c>
      <c r="DH98">
        <f>ROUND(ROUND(AG98*AK98,2)*CX98,2)</f>
        <v>0</v>
      </c>
      <c r="DI98">
        <f t="shared" si="57"/>
        <v>0</v>
      </c>
      <c r="DJ98">
        <f>DG98</f>
        <v>416.62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ROW(Source!A92)</f>
        <v>92</v>
      </c>
      <c r="B99">
        <v>60256982</v>
      </c>
      <c r="C99">
        <v>60257263</v>
      </c>
      <c r="D99">
        <v>59070669</v>
      </c>
      <c r="E99">
        <v>1</v>
      </c>
      <c r="F99">
        <v>1</v>
      </c>
      <c r="G99">
        <v>1080</v>
      </c>
      <c r="H99">
        <v>2</v>
      </c>
      <c r="I99" t="s">
        <v>300</v>
      </c>
      <c r="J99" t="s">
        <v>301</v>
      </c>
      <c r="K99" t="s">
        <v>302</v>
      </c>
      <c r="L99">
        <v>1368</v>
      </c>
      <c r="N99">
        <v>1011</v>
      </c>
      <c r="O99" t="s">
        <v>299</v>
      </c>
      <c r="P99" t="s">
        <v>299</v>
      </c>
      <c r="Q99">
        <v>1</v>
      </c>
      <c r="W99">
        <v>0</v>
      </c>
      <c r="X99">
        <v>-1985943078</v>
      </c>
      <c r="Y99">
        <f>(AT99*1.1)</f>
        <v>0.22000000000000003</v>
      </c>
      <c r="AA99">
        <v>0</v>
      </c>
      <c r="AB99">
        <v>1418.19</v>
      </c>
      <c r="AC99">
        <v>726.59</v>
      </c>
      <c r="AD99">
        <v>0</v>
      </c>
      <c r="AE99">
        <v>0</v>
      </c>
      <c r="AF99">
        <v>83.1</v>
      </c>
      <c r="AG99">
        <v>12.62</v>
      </c>
      <c r="AH99">
        <v>0</v>
      </c>
      <c r="AI99">
        <v>1</v>
      </c>
      <c r="AJ99">
        <v>16.3</v>
      </c>
      <c r="AK99">
        <v>54.99</v>
      </c>
      <c r="AL99">
        <v>1</v>
      </c>
      <c r="AM99">
        <v>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0.2</v>
      </c>
      <c r="AU99" t="s">
        <v>23</v>
      </c>
      <c r="AV99">
        <v>0</v>
      </c>
      <c r="AW99">
        <v>2</v>
      </c>
      <c r="AX99">
        <v>60257554</v>
      </c>
      <c r="AY99">
        <v>1</v>
      </c>
      <c r="AZ99">
        <v>0</v>
      </c>
      <c r="BA99">
        <v>103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f>ROUND(Y99*Source!I92*DO99,9)</f>
        <v>0.83291999999999999</v>
      </c>
      <c r="CX99">
        <f>ROUND(Y99*Source!I92,9)</f>
        <v>6.6000000000000003E-2</v>
      </c>
      <c r="CY99">
        <f>AB99</f>
        <v>1418.19</v>
      </c>
      <c r="CZ99">
        <f>AF99</f>
        <v>83.1</v>
      </c>
      <c r="DA99">
        <f>AJ99</f>
        <v>16.3</v>
      </c>
      <c r="DB99">
        <f>ROUND((ROUND(AT99*CZ99,2)*1.1),6)</f>
        <v>18.282</v>
      </c>
      <c r="DC99">
        <f>ROUND((ROUND(AT99*AG99,2)*1.1),6)</f>
        <v>2.7719999999999998</v>
      </c>
      <c r="DD99" t="s">
        <v>3</v>
      </c>
      <c r="DE99" t="s">
        <v>3</v>
      </c>
      <c r="DF99">
        <f t="shared" si="61"/>
        <v>0</v>
      </c>
      <c r="DG99">
        <f>ROUND(ROUND(AF99*AJ99,2)*CX99,2)</f>
        <v>89.4</v>
      </c>
      <c r="DH99">
        <f>ROUND(ROUND(AG99*AK99,2)*CX99,2)</f>
        <v>45.8</v>
      </c>
      <c r="DI99">
        <f t="shared" si="57"/>
        <v>0</v>
      </c>
      <c r="DJ99">
        <f>DG99</f>
        <v>89.4</v>
      </c>
      <c r="DK99">
        <v>0</v>
      </c>
      <c r="DL99" t="s">
        <v>303</v>
      </c>
      <c r="DM99">
        <v>0</v>
      </c>
      <c r="DN99" t="s">
        <v>295</v>
      </c>
      <c r="DO99">
        <v>12.62</v>
      </c>
    </row>
    <row r="100" spans="1:119" x14ac:dyDescent="0.2">
      <c r="A100">
        <f>ROW(Source!A92)</f>
        <v>92</v>
      </c>
      <c r="B100">
        <v>60256982</v>
      </c>
      <c r="C100">
        <v>60257263</v>
      </c>
      <c r="D100">
        <v>59070721</v>
      </c>
      <c r="E100">
        <v>1</v>
      </c>
      <c r="F100">
        <v>1</v>
      </c>
      <c r="G100">
        <v>1080</v>
      </c>
      <c r="H100">
        <v>2</v>
      </c>
      <c r="I100" t="s">
        <v>349</v>
      </c>
      <c r="J100" t="s">
        <v>350</v>
      </c>
      <c r="K100" t="s">
        <v>351</v>
      </c>
      <c r="L100">
        <v>1368</v>
      </c>
      <c r="N100">
        <v>1011</v>
      </c>
      <c r="O100" t="s">
        <v>299</v>
      </c>
      <c r="P100" t="s">
        <v>299</v>
      </c>
      <c r="Q100">
        <v>1</v>
      </c>
      <c r="W100">
        <v>0</v>
      </c>
      <c r="X100">
        <v>1387779639</v>
      </c>
      <c r="Y100">
        <f>(AT100*1.1)</f>
        <v>4.2130000000000001</v>
      </c>
      <c r="AA100">
        <v>0</v>
      </c>
      <c r="AB100">
        <v>6.98</v>
      </c>
      <c r="AC100">
        <v>0</v>
      </c>
      <c r="AD100">
        <v>0</v>
      </c>
      <c r="AE100">
        <v>0</v>
      </c>
      <c r="AF100">
        <v>0.77</v>
      </c>
      <c r="AG100">
        <v>0</v>
      </c>
      <c r="AH100">
        <v>0</v>
      </c>
      <c r="AI100">
        <v>1</v>
      </c>
      <c r="AJ100">
        <v>8.66</v>
      </c>
      <c r="AK100">
        <v>54.99</v>
      </c>
      <c r="AL100">
        <v>1</v>
      </c>
      <c r="AM100">
        <v>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3.83</v>
      </c>
      <c r="AU100" t="s">
        <v>23</v>
      </c>
      <c r="AV100">
        <v>0</v>
      </c>
      <c r="AW100">
        <v>2</v>
      </c>
      <c r="AX100">
        <v>60257555</v>
      </c>
      <c r="AY100">
        <v>1</v>
      </c>
      <c r="AZ100">
        <v>0</v>
      </c>
      <c r="BA100">
        <v>104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f>ROUND(Y100*Source!I92*DO100,9)</f>
        <v>0</v>
      </c>
      <c r="CX100">
        <f>ROUND(Y100*Source!I92,9)</f>
        <v>1.2639</v>
      </c>
      <c r="CY100">
        <f>AB100</f>
        <v>6.98</v>
      </c>
      <c r="CZ100">
        <f>AF100</f>
        <v>0.77</v>
      </c>
      <c r="DA100">
        <f>AJ100</f>
        <v>8.66</v>
      </c>
      <c r="DB100">
        <f>ROUND((ROUND(AT100*CZ100,2)*1.1),6)</f>
        <v>3.2450000000000001</v>
      </c>
      <c r="DC100">
        <f>ROUND((ROUND(AT100*AG100,2)*1.1),6)</f>
        <v>0</v>
      </c>
      <c r="DD100" t="s">
        <v>3</v>
      </c>
      <c r="DE100" t="s">
        <v>3</v>
      </c>
      <c r="DF100">
        <f t="shared" si="61"/>
        <v>0</v>
      </c>
      <c r="DG100">
        <f>ROUND(ROUND(AF100*AJ100,2)*CX100,2)</f>
        <v>8.43</v>
      </c>
      <c r="DH100">
        <f>ROUND(ROUND(AG100*AK100,2)*CX100,2)</f>
        <v>0</v>
      </c>
      <c r="DI100">
        <f t="shared" si="57"/>
        <v>0</v>
      </c>
      <c r="DJ100">
        <f>DG100</f>
        <v>8.43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">
      <c r="A101">
        <f>ROW(Source!A92)</f>
        <v>92</v>
      </c>
      <c r="B101">
        <v>60256982</v>
      </c>
      <c r="C101">
        <v>60257263</v>
      </c>
      <c r="D101">
        <v>59039576</v>
      </c>
      <c r="E101">
        <v>1</v>
      </c>
      <c r="F101">
        <v>1</v>
      </c>
      <c r="G101">
        <v>1080</v>
      </c>
      <c r="H101">
        <v>3</v>
      </c>
      <c r="I101" t="s">
        <v>352</v>
      </c>
      <c r="J101" t="s">
        <v>353</v>
      </c>
      <c r="K101" t="s">
        <v>354</v>
      </c>
      <c r="L101">
        <v>1348</v>
      </c>
      <c r="N101">
        <v>1009</v>
      </c>
      <c r="O101" t="s">
        <v>310</v>
      </c>
      <c r="P101" t="s">
        <v>310</v>
      </c>
      <c r="Q101">
        <v>1000</v>
      </c>
      <c r="W101">
        <v>0</v>
      </c>
      <c r="X101">
        <v>1286623552</v>
      </c>
      <c r="Y101">
        <f t="shared" ref="Y101:Y108" si="69">AT101</f>
        <v>5.1499999999999997E-2</v>
      </c>
      <c r="AA101">
        <v>65214.45</v>
      </c>
      <c r="AB101">
        <v>0</v>
      </c>
      <c r="AC101">
        <v>0</v>
      </c>
      <c r="AD101">
        <v>0</v>
      </c>
      <c r="AE101">
        <v>7246.05</v>
      </c>
      <c r="AF101">
        <v>0</v>
      </c>
      <c r="AG101">
        <v>0</v>
      </c>
      <c r="AH101">
        <v>0</v>
      </c>
      <c r="AI101">
        <v>9</v>
      </c>
      <c r="AJ101">
        <v>1</v>
      </c>
      <c r="AK101">
        <v>1</v>
      </c>
      <c r="AL101">
        <v>1</v>
      </c>
      <c r="AM101">
        <v>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5.1499999999999997E-2</v>
      </c>
      <c r="AU101" t="s">
        <v>3</v>
      </c>
      <c r="AV101">
        <v>0</v>
      </c>
      <c r="AW101">
        <v>2</v>
      </c>
      <c r="AX101">
        <v>60257556</v>
      </c>
      <c r="AY101">
        <v>1</v>
      </c>
      <c r="AZ101">
        <v>0</v>
      </c>
      <c r="BA101">
        <v>105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ROUND(Y101*Source!I92,9)</f>
        <v>1.545E-2</v>
      </c>
      <c r="CY101">
        <f t="shared" ref="CY101:CY108" si="70">AA101</f>
        <v>65214.45</v>
      </c>
      <c r="CZ101">
        <f t="shared" ref="CZ101:CZ108" si="71">AE101</f>
        <v>7246.05</v>
      </c>
      <c r="DA101">
        <f t="shared" ref="DA101:DA108" si="72">AI101</f>
        <v>9</v>
      </c>
      <c r="DB101">
        <f t="shared" ref="DB101:DB108" si="73">ROUND(ROUND(AT101*CZ101,2),6)</f>
        <v>373.17</v>
      </c>
      <c r="DC101">
        <f t="shared" ref="DC101:DC108" si="74">ROUND(ROUND(AT101*AG101,2),6)</f>
        <v>0</v>
      </c>
      <c r="DD101" t="s">
        <v>3</v>
      </c>
      <c r="DE101" t="s">
        <v>3</v>
      </c>
      <c r="DF101">
        <f t="shared" ref="DF101:DF108" si="75">ROUND(ROUND(AE101*AI101,2)*CX101,2)</f>
        <v>1007.56</v>
      </c>
      <c r="DG101">
        <f t="shared" ref="DG101:DG118" si="76">ROUND(ROUND(AF101,2)*CX101,2)</f>
        <v>0</v>
      </c>
      <c r="DH101">
        <f t="shared" ref="DH101:DH118" si="77">ROUND(ROUND(AG101,2)*CX101,2)</f>
        <v>0</v>
      </c>
      <c r="DI101">
        <f t="shared" si="57"/>
        <v>0</v>
      </c>
      <c r="DJ101">
        <f t="shared" ref="DJ101:DJ108" si="78">DF101</f>
        <v>1007.56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ROW(Source!A92)</f>
        <v>92</v>
      </c>
      <c r="B102">
        <v>60256982</v>
      </c>
      <c r="C102">
        <v>60257263</v>
      </c>
      <c r="D102">
        <v>59040049</v>
      </c>
      <c r="E102">
        <v>1</v>
      </c>
      <c r="F102">
        <v>1</v>
      </c>
      <c r="G102">
        <v>1080</v>
      </c>
      <c r="H102">
        <v>3</v>
      </c>
      <c r="I102" t="s">
        <v>355</v>
      </c>
      <c r="J102" t="s">
        <v>356</v>
      </c>
      <c r="K102" t="s">
        <v>357</v>
      </c>
      <c r="L102">
        <v>1348</v>
      </c>
      <c r="N102">
        <v>1009</v>
      </c>
      <c r="O102" t="s">
        <v>310</v>
      </c>
      <c r="P102" t="s">
        <v>310</v>
      </c>
      <c r="Q102">
        <v>1000</v>
      </c>
      <c r="W102">
        <v>0</v>
      </c>
      <c r="X102">
        <v>-1792704725</v>
      </c>
      <c r="Y102">
        <f t="shared" si="69"/>
        <v>1.0499999999999999E-3</v>
      </c>
      <c r="AA102">
        <v>159875.9</v>
      </c>
      <c r="AB102">
        <v>0</v>
      </c>
      <c r="AC102">
        <v>0</v>
      </c>
      <c r="AD102">
        <v>0</v>
      </c>
      <c r="AE102">
        <v>8590.86</v>
      </c>
      <c r="AF102">
        <v>0</v>
      </c>
      <c r="AG102">
        <v>0</v>
      </c>
      <c r="AH102">
        <v>0</v>
      </c>
      <c r="AI102">
        <v>18.61</v>
      </c>
      <c r="AJ102">
        <v>1</v>
      </c>
      <c r="AK102">
        <v>1</v>
      </c>
      <c r="AL102">
        <v>1</v>
      </c>
      <c r="AM102">
        <v>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1.0499999999999999E-3</v>
      </c>
      <c r="AU102" t="s">
        <v>3</v>
      </c>
      <c r="AV102">
        <v>0</v>
      </c>
      <c r="AW102">
        <v>2</v>
      </c>
      <c r="AX102">
        <v>60257557</v>
      </c>
      <c r="AY102">
        <v>1</v>
      </c>
      <c r="AZ102">
        <v>0</v>
      </c>
      <c r="BA102">
        <v>106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ROUND(Y102*Source!I92,9)</f>
        <v>3.1500000000000001E-4</v>
      </c>
      <c r="CY102">
        <f t="shared" si="70"/>
        <v>159875.9</v>
      </c>
      <c r="CZ102">
        <f t="shared" si="71"/>
        <v>8590.86</v>
      </c>
      <c r="DA102">
        <f t="shared" si="72"/>
        <v>18.61</v>
      </c>
      <c r="DB102">
        <f t="shared" si="73"/>
        <v>9.02</v>
      </c>
      <c r="DC102">
        <f t="shared" si="74"/>
        <v>0</v>
      </c>
      <c r="DD102" t="s">
        <v>3</v>
      </c>
      <c r="DE102" t="s">
        <v>3</v>
      </c>
      <c r="DF102">
        <f t="shared" si="75"/>
        <v>50.36</v>
      </c>
      <c r="DG102">
        <f t="shared" si="76"/>
        <v>0</v>
      </c>
      <c r="DH102">
        <f t="shared" si="77"/>
        <v>0</v>
      </c>
      <c r="DI102">
        <f t="shared" si="57"/>
        <v>0</v>
      </c>
      <c r="DJ102">
        <f t="shared" si="78"/>
        <v>50.36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ROW(Source!A92)</f>
        <v>92</v>
      </c>
      <c r="B103">
        <v>60256982</v>
      </c>
      <c r="C103">
        <v>60257263</v>
      </c>
      <c r="D103">
        <v>59039007</v>
      </c>
      <c r="E103">
        <v>1</v>
      </c>
      <c r="F103">
        <v>1</v>
      </c>
      <c r="G103">
        <v>1080</v>
      </c>
      <c r="H103">
        <v>3</v>
      </c>
      <c r="I103" t="s">
        <v>358</v>
      </c>
      <c r="J103" t="s">
        <v>359</v>
      </c>
      <c r="K103" t="s">
        <v>360</v>
      </c>
      <c r="L103">
        <v>1354</v>
      </c>
      <c r="N103">
        <v>1010</v>
      </c>
      <c r="O103" t="s">
        <v>31</v>
      </c>
      <c r="P103" t="s">
        <v>31</v>
      </c>
      <c r="Q103">
        <v>1</v>
      </c>
      <c r="W103">
        <v>0</v>
      </c>
      <c r="X103">
        <v>-1414204412</v>
      </c>
      <c r="Y103">
        <f t="shared" si="69"/>
        <v>218</v>
      </c>
      <c r="AA103">
        <v>9.34</v>
      </c>
      <c r="AB103">
        <v>0</v>
      </c>
      <c r="AC103">
        <v>0</v>
      </c>
      <c r="AD103">
        <v>0</v>
      </c>
      <c r="AE103">
        <v>3.86</v>
      </c>
      <c r="AF103">
        <v>0</v>
      </c>
      <c r="AG103">
        <v>0</v>
      </c>
      <c r="AH103">
        <v>0</v>
      </c>
      <c r="AI103">
        <v>2.42</v>
      </c>
      <c r="AJ103">
        <v>1</v>
      </c>
      <c r="AK103">
        <v>1</v>
      </c>
      <c r="AL103">
        <v>1</v>
      </c>
      <c r="AM103">
        <v>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218</v>
      </c>
      <c r="AU103" t="s">
        <v>3</v>
      </c>
      <c r="AV103">
        <v>0</v>
      </c>
      <c r="AW103">
        <v>2</v>
      </c>
      <c r="AX103">
        <v>60257558</v>
      </c>
      <c r="AY103">
        <v>1</v>
      </c>
      <c r="AZ103">
        <v>0</v>
      </c>
      <c r="BA103">
        <v>107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v>0</v>
      </c>
      <c r="CX103">
        <f>ROUND(Y103*Source!I92,9)</f>
        <v>65.400000000000006</v>
      </c>
      <c r="CY103">
        <f t="shared" si="70"/>
        <v>9.34</v>
      </c>
      <c r="CZ103">
        <f t="shared" si="71"/>
        <v>3.86</v>
      </c>
      <c r="DA103">
        <f t="shared" si="72"/>
        <v>2.42</v>
      </c>
      <c r="DB103">
        <f t="shared" si="73"/>
        <v>841.48</v>
      </c>
      <c r="DC103">
        <f t="shared" si="74"/>
        <v>0</v>
      </c>
      <c r="DD103" t="s">
        <v>3</v>
      </c>
      <c r="DE103" t="s">
        <v>3</v>
      </c>
      <c r="DF103">
        <f t="shared" si="75"/>
        <v>610.84</v>
      </c>
      <c r="DG103">
        <f t="shared" si="76"/>
        <v>0</v>
      </c>
      <c r="DH103">
        <f t="shared" si="77"/>
        <v>0</v>
      </c>
      <c r="DI103">
        <f t="shared" si="57"/>
        <v>0</v>
      </c>
      <c r="DJ103">
        <f t="shared" si="78"/>
        <v>610.84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ROW(Source!A92)</f>
        <v>92</v>
      </c>
      <c r="B104">
        <v>60256982</v>
      </c>
      <c r="C104">
        <v>60257263</v>
      </c>
      <c r="D104">
        <v>59040551</v>
      </c>
      <c r="E104">
        <v>1</v>
      </c>
      <c r="F104">
        <v>1</v>
      </c>
      <c r="G104">
        <v>1080</v>
      </c>
      <c r="H104">
        <v>3</v>
      </c>
      <c r="I104" t="s">
        <v>361</v>
      </c>
      <c r="J104" t="s">
        <v>362</v>
      </c>
      <c r="K104" t="s">
        <v>363</v>
      </c>
      <c r="L104">
        <v>1348</v>
      </c>
      <c r="N104">
        <v>1009</v>
      </c>
      <c r="O104" t="s">
        <v>310</v>
      </c>
      <c r="P104" t="s">
        <v>310</v>
      </c>
      <c r="Q104">
        <v>1000</v>
      </c>
      <c r="W104">
        <v>0</v>
      </c>
      <c r="X104">
        <v>1854293486</v>
      </c>
      <c r="Y104">
        <f t="shared" si="69"/>
        <v>2.1800000000000001E-3</v>
      </c>
      <c r="AA104">
        <v>103874.45</v>
      </c>
      <c r="AB104">
        <v>0</v>
      </c>
      <c r="AC104">
        <v>0</v>
      </c>
      <c r="AD104">
        <v>0</v>
      </c>
      <c r="AE104">
        <v>14327.51</v>
      </c>
      <c r="AF104">
        <v>0</v>
      </c>
      <c r="AG104">
        <v>0</v>
      </c>
      <c r="AH104">
        <v>0</v>
      </c>
      <c r="AI104">
        <v>7.25</v>
      </c>
      <c r="AJ104">
        <v>1</v>
      </c>
      <c r="AK104">
        <v>1</v>
      </c>
      <c r="AL104">
        <v>1</v>
      </c>
      <c r="AM104">
        <v>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2.1800000000000001E-3</v>
      </c>
      <c r="AU104" t="s">
        <v>3</v>
      </c>
      <c r="AV104">
        <v>0</v>
      </c>
      <c r="AW104">
        <v>2</v>
      </c>
      <c r="AX104">
        <v>60257559</v>
      </c>
      <c r="AY104">
        <v>1</v>
      </c>
      <c r="AZ104">
        <v>0</v>
      </c>
      <c r="BA104">
        <v>108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v>0</v>
      </c>
      <c r="CX104">
        <f>ROUND(Y104*Source!I92,9)</f>
        <v>6.5399999999999996E-4</v>
      </c>
      <c r="CY104">
        <f t="shared" si="70"/>
        <v>103874.45</v>
      </c>
      <c r="CZ104">
        <f t="shared" si="71"/>
        <v>14327.51</v>
      </c>
      <c r="DA104">
        <f t="shared" si="72"/>
        <v>7.25</v>
      </c>
      <c r="DB104">
        <f t="shared" si="73"/>
        <v>31.23</v>
      </c>
      <c r="DC104">
        <f t="shared" si="74"/>
        <v>0</v>
      </c>
      <c r="DD104" t="s">
        <v>3</v>
      </c>
      <c r="DE104" t="s">
        <v>3</v>
      </c>
      <c r="DF104">
        <f t="shared" si="75"/>
        <v>67.930000000000007</v>
      </c>
      <c r="DG104">
        <f t="shared" si="76"/>
        <v>0</v>
      </c>
      <c r="DH104">
        <f t="shared" si="77"/>
        <v>0</v>
      </c>
      <c r="DI104">
        <f t="shared" si="57"/>
        <v>0</v>
      </c>
      <c r="DJ104">
        <f t="shared" si="78"/>
        <v>67.930000000000007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">
      <c r="A105">
        <f>ROW(Source!A92)</f>
        <v>92</v>
      </c>
      <c r="B105">
        <v>60256982</v>
      </c>
      <c r="C105">
        <v>60257263</v>
      </c>
      <c r="D105">
        <v>59039484</v>
      </c>
      <c r="E105">
        <v>1</v>
      </c>
      <c r="F105">
        <v>1</v>
      </c>
      <c r="G105">
        <v>1080</v>
      </c>
      <c r="H105">
        <v>3</v>
      </c>
      <c r="I105" t="s">
        <v>364</v>
      </c>
      <c r="J105" t="s">
        <v>365</v>
      </c>
      <c r="K105" t="s">
        <v>366</v>
      </c>
      <c r="L105">
        <v>1348</v>
      </c>
      <c r="N105">
        <v>1009</v>
      </c>
      <c r="O105" t="s">
        <v>310</v>
      </c>
      <c r="P105" t="s">
        <v>310</v>
      </c>
      <c r="Q105">
        <v>1000</v>
      </c>
      <c r="W105">
        <v>0</v>
      </c>
      <c r="X105">
        <v>-1942970469</v>
      </c>
      <c r="Y105">
        <f t="shared" si="69"/>
        <v>3.0000000000000001E-3</v>
      </c>
      <c r="AA105">
        <v>78381.179999999993</v>
      </c>
      <c r="AB105">
        <v>0</v>
      </c>
      <c r="AC105">
        <v>0</v>
      </c>
      <c r="AD105">
        <v>0</v>
      </c>
      <c r="AE105">
        <v>7973.67</v>
      </c>
      <c r="AF105">
        <v>0</v>
      </c>
      <c r="AG105">
        <v>0</v>
      </c>
      <c r="AH105">
        <v>0</v>
      </c>
      <c r="AI105">
        <v>9.83</v>
      </c>
      <c r="AJ105">
        <v>1</v>
      </c>
      <c r="AK105">
        <v>1</v>
      </c>
      <c r="AL105">
        <v>1</v>
      </c>
      <c r="AM105">
        <v>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3.0000000000000001E-3</v>
      </c>
      <c r="AU105" t="s">
        <v>3</v>
      </c>
      <c r="AV105">
        <v>0</v>
      </c>
      <c r="AW105">
        <v>2</v>
      </c>
      <c r="AX105">
        <v>60257560</v>
      </c>
      <c r="AY105">
        <v>1</v>
      </c>
      <c r="AZ105">
        <v>0</v>
      </c>
      <c r="BA105">
        <v>109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v>0</v>
      </c>
      <c r="CX105">
        <f>ROUND(Y105*Source!I92,9)</f>
        <v>8.9999999999999998E-4</v>
      </c>
      <c r="CY105">
        <f t="shared" si="70"/>
        <v>78381.179999999993</v>
      </c>
      <c r="CZ105">
        <f t="shared" si="71"/>
        <v>7973.67</v>
      </c>
      <c r="DA105">
        <f t="shared" si="72"/>
        <v>9.83</v>
      </c>
      <c r="DB105">
        <f t="shared" si="73"/>
        <v>23.92</v>
      </c>
      <c r="DC105">
        <f t="shared" si="74"/>
        <v>0</v>
      </c>
      <c r="DD105" t="s">
        <v>3</v>
      </c>
      <c r="DE105" t="s">
        <v>3</v>
      </c>
      <c r="DF105">
        <f t="shared" si="75"/>
        <v>70.540000000000006</v>
      </c>
      <c r="DG105">
        <f t="shared" si="76"/>
        <v>0</v>
      </c>
      <c r="DH105">
        <f t="shared" si="77"/>
        <v>0</v>
      </c>
      <c r="DI105">
        <f t="shared" si="57"/>
        <v>0</v>
      </c>
      <c r="DJ105">
        <f t="shared" si="78"/>
        <v>70.540000000000006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ROW(Source!A92)</f>
        <v>92</v>
      </c>
      <c r="B106">
        <v>60256982</v>
      </c>
      <c r="C106">
        <v>60257263</v>
      </c>
      <c r="D106">
        <v>59062923</v>
      </c>
      <c r="E106">
        <v>1</v>
      </c>
      <c r="F106">
        <v>1</v>
      </c>
      <c r="G106">
        <v>1080</v>
      </c>
      <c r="H106">
        <v>3</v>
      </c>
      <c r="I106" t="s">
        <v>150</v>
      </c>
      <c r="J106" t="s">
        <v>152</v>
      </c>
      <c r="K106" t="s">
        <v>151</v>
      </c>
      <c r="L106">
        <v>1301</v>
      </c>
      <c r="N106">
        <v>1003</v>
      </c>
      <c r="O106" t="s">
        <v>139</v>
      </c>
      <c r="P106" t="s">
        <v>139</v>
      </c>
      <c r="Q106">
        <v>1</v>
      </c>
      <c r="W106">
        <v>0</v>
      </c>
      <c r="X106">
        <v>550947997</v>
      </c>
      <c r="Y106">
        <f t="shared" si="69"/>
        <v>103</v>
      </c>
      <c r="AA106">
        <v>224.62</v>
      </c>
      <c r="AB106">
        <v>0</v>
      </c>
      <c r="AC106">
        <v>0</v>
      </c>
      <c r="AD106">
        <v>0</v>
      </c>
      <c r="AE106">
        <v>32.32</v>
      </c>
      <c r="AF106">
        <v>0</v>
      </c>
      <c r="AG106">
        <v>0</v>
      </c>
      <c r="AH106">
        <v>0</v>
      </c>
      <c r="AI106">
        <v>6.95</v>
      </c>
      <c r="AJ106">
        <v>1</v>
      </c>
      <c r="AK106">
        <v>1</v>
      </c>
      <c r="AL106">
        <v>1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 t="s">
        <v>3</v>
      </c>
      <c r="AT106">
        <v>103</v>
      </c>
      <c r="AU106" t="s">
        <v>3</v>
      </c>
      <c r="AV106">
        <v>0</v>
      </c>
      <c r="AW106">
        <v>1</v>
      </c>
      <c r="AX106">
        <v>-1</v>
      </c>
      <c r="AY106">
        <v>0</v>
      </c>
      <c r="AZ106">
        <v>0</v>
      </c>
      <c r="BA106" t="s">
        <v>3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ROUND(Y106*Source!I92,9)</f>
        <v>30.9</v>
      </c>
      <c r="CY106">
        <f t="shared" si="70"/>
        <v>224.62</v>
      </c>
      <c r="CZ106">
        <f t="shared" si="71"/>
        <v>32.32</v>
      </c>
      <c r="DA106">
        <f t="shared" si="72"/>
        <v>6.95</v>
      </c>
      <c r="DB106">
        <f t="shared" si="73"/>
        <v>3328.96</v>
      </c>
      <c r="DC106">
        <f t="shared" si="74"/>
        <v>0</v>
      </c>
      <c r="DD106" t="s">
        <v>3</v>
      </c>
      <c r="DE106" t="s">
        <v>3</v>
      </c>
      <c r="DF106">
        <f t="shared" si="75"/>
        <v>6940.76</v>
      </c>
      <c r="DG106">
        <f t="shared" si="76"/>
        <v>0</v>
      </c>
      <c r="DH106">
        <f t="shared" si="77"/>
        <v>0</v>
      </c>
      <c r="DI106">
        <f t="shared" si="57"/>
        <v>0</v>
      </c>
      <c r="DJ106">
        <f t="shared" si="78"/>
        <v>6940.76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ROW(Source!A92)</f>
        <v>92</v>
      </c>
      <c r="B107">
        <v>60256982</v>
      </c>
      <c r="C107">
        <v>60257263</v>
      </c>
      <c r="D107">
        <v>59063148</v>
      </c>
      <c r="E107">
        <v>1</v>
      </c>
      <c r="F107">
        <v>1</v>
      </c>
      <c r="G107">
        <v>1080</v>
      </c>
      <c r="H107">
        <v>3</v>
      </c>
      <c r="I107" t="s">
        <v>367</v>
      </c>
      <c r="J107" t="s">
        <v>368</v>
      </c>
      <c r="K107" t="s">
        <v>369</v>
      </c>
      <c r="L107">
        <v>1354</v>
      </c>
      <c r="N107">
        <v>1010</v>
      </c>
      <c r="O107" t="s">
        <v>31</v>
      </c>
      <c r="P107" t="s">
        <v>31</v>
      </c>
      <c r="Q107">
        <v>1</v>
      </c>
      <c r="W107">
        <v>0</v>
      </c>
      <c r="X107">
        <v>446825684</v>
      </c>
      <c r="Y107">
        <f t="shared" si="69"/>
        <v>5</v>
      </c>
      <c r="AA107">
        <v>123.97</v>
      </c>
      <c r="AB107">
        <v>0</v>
      </c>
      <c r="AC107">
        <v>0</v>
      </c>
      <c r="AD107">
        <v>0</v>
      </c>
      <c r="AE107">
        <v>14.99</v>
      </c>
      <c r="AF107">
        <v>0</v>
      </c>
      <c r="AG107">
        <v>0</v>
      </c>
      <c r="AH107">
        <v>0</v>
      </c>
      <c r="AI107">
        <v>8.27</v>
      </c>
      <c r="AJ107">
        <v>1</v>
      </c>
      <c r="AK107">
        <v>1</v>
      </c>
      <c r="AL107">
        <v>1</v>
      </c>
      <c r="AM107">
        <v>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5</v>
      </c>
      <c r="AU107" t="s">
        <v>3</v>
      </c>
      <c r="AV107">
        <v>0</v>
      </c>
      <c r="AW107">
        <v>2</v>
      </c>
      <c r="AX107">
        <v>60257561</v>
      </c>
      <c r="AY107">
        <v>1</v>
      </c>
      <c r="AZ107">
        <v>0</v>
      </c>
      <c r="BA107">
        <v>110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ROUND(Y107*Source!I92,9)</f>
        <v>1.5</v>
      </c>
      <c r="CY107">
        <f t="shared" si="70"/>
        <v>123.97</v>
      </c>
      <c r="CZ107">
        <f t="shared" si="71"/>
        <v>14.99</v>
      </c>
      <c r="DA107">
        <f t="shared" si="72"/>
        <v>8.27</v>
      </c>
      <c r="DB107">
        <f t="shared" si="73"/>
        <v>74.95</v>
      </c>
      <c r="DC107">
        <f t="shared" si="74"/>
        <v>0</v>
      </c>
      <c r="DD107" t="s">
        <v>3</v>
      </c>
      <c r="DE107" t="s">
        <v>3</v>
      </c>
      <c r="DF107">
        <f t="shared" si="75"/>
        <v>185.96</v>
      </c>
      <c r="DG107">
        <f t="shared" si="76"/>
        <v>0</v>
      </c>
      <c r="DH107">
        <f t="shared" si="77"/>
        <v>0</v>
      </c>
      <c r="DI107">
        <f t="shared" si="57"/>
        <v>0</v>
      </c>
      <c r="DJ107">
        <f t="shared" si="78"/>
        <v>185.96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ROW(Source!A92)</f>
        <v>92</v>
      </c>
      <c r="B108">
        <v>60256982</v>
      </c>
      <c r="C108">
        <v>60257263</v>
      </c>
      <c r="D108">
        <v>59062464</v>
      </c>
      <c r="E108">
        <v>1</v>
      </c>
      <c r="F108">
        <v>1</v>
      </c>
      <c r="G108">
        <v>1080</v>
      </c>
      <c r="H108">
        <v>3</v>
      </c>
      <c r="I108" t="s">
        <v>370</v>
      </c>
      <c r="J108" t="s">
        <v>371</v>
      </c>
      <c r="K108" t="s">
        <v>372</v>
      </c>
      <c r="L108">
        <v>1356</v>
      </c>
      <c r="N108">
        <v>1010</v>
      </c>
      <c r="O108" t="s">
        <v>74</v>
      </c>
      <c r="P108" t="s">
        <v>74</v>
      </c>
      <c r="Q108">
        <v>1000</v>
      </c>
      <c r="W108">
        <v>0</v>
      </c>
      <c r="X108">
        <v>-1929739655</v>
      </c>
      <c r="Y108">
        <f t="shared" si="69"/>
        <v>0.25</v>
      </c>
      <c r="AA108">
        <v>5788.71</v>
      </c>
      <c r="AB108">
        <v>0</v>
      </c>
      <c r="AC108">
        <v>0</v>
      </c>
      <c r="AD108">
        <v>0</v>
      </c>
      <c r="AE108">
        <v>1639.86</v>
      </c>
      <c r="AF108">
        <v>0</v>
      </c>
      <c r="AG108">
        <v>0</v>
      </c>
      <c r="AH108">
        <v>0</v>
      </c>
      <c r="AI108">
        <v>3.53</v>
      </c>
      <c r="AJ108">
        <v>1</v>
      </c>
      <c r="AK108">
        <v>1</v>
      </c>
      <c r="AL108">
        <v>1</v>
      </c>
      <c r="AM108">
        <v>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0.25</v>
      </c>
      <c r="AU108" t="s">
        <v>3</v>
      </c>
      <c r="AV108">
        <v>0</v>
      </c>
      <c r="AW108">
        <v>2</v>
      </c>
      <c r="AX108">
        <v>60257562</v>
      </c>
      <c r="AY108">
        <v>1</v>
      </c>
      <c r="AZ108">
        <v>0</v>
      </c>
      <c r="BA108">
        <v>111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ROUND(Y108*Source!I92,9)</f>
        <v>7.4999999999999997E-2</v>
      </c>
      <c r="CY108">
        <f t="shared" si="70"/>
        <v>5788.71</v>
      </c>
      <c r="CZ108">
        <f t="shared" si="71"/>
        <v>1639.86</v>
      </c>
      <c r="DA108">
        <f t="shared" si="72"/>
        <v>3.53</v>
      </c>
      <c r="DB108">
        <f t="shared" si="73"/>
        <v>409.97</v>
      </c>
      <c r="DC108">
        <f t="shared" si="74"/>
        <v>0</v>
      </c>
      <c r="DD108" t="s">
        <v>3</v>
      </c>
      <c r="DE108" t="s">
        <v>3</v>
      </c>
      <c r="DF108">
        <f t="shared" si="75"/>
        <v>434.15</v>
      </c>
      <c r="DG108">
        <f t="shared" si="76"/>
        <v>0</v>
      </c>
      <c r="DH108">
        <f t="shared" si="77"/>
        <v>0</v>
      </c>
      <c r="DI108">
        <f t="shared" si="57"/>
        <v>0</v>
      </c>
      <c r="DJ108">
        <f t="shared" si="78"/>
        <v>434.15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ROW(Source!A95)</f>
        <v>95</v>
      </c>
      <c r="B109">
        <v>60256985</v>
      </c>
      <c r="C109">
        <v>60257293</v>
      </c>
      <c r="D109">
        <v>58999254</v>
      </c>
      <c r="E109">
        <v>1080</v>
      </c>
      <c r="F109">
        <v>1</v>
      </c>
      <c r="G109">
        <v>1080</v>
      </c>
      <c r="H109">
        <v>1</v>
      </c>
      <c r="I109" t="s">
        <v>293</v>
      </c>
      <c r="J109" t="s">
        <v>3</v>
      </c>
      <c r="K109" t="s">
        <v>294</v>
      </c>
      <c r="L109">
        <v>1191</v>
      </c>
      <c r="N109">
        <v>1013</v>
      </c>
      <c r="O109" t="s">
        <v>295</v>
      </c>
      <c r="P109" t="s">
        <v>295</v>
      </c>
      <c r="Q109">
        <v>1</v>
      </c>
      <c r="W109">
        <v>0</v>
      </c>
      <c r="X109">
        <v>476480486</v>
      </c>
      <c r="Y109">
        <f>(AT109*1.1)</f>
        <v>5.9290000000000003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-2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5.39</v>
      </c>
      <c r="AU109" t="s">
        <v>23</v>
      </c>
      <c r="AV109">
        <v>1</v>
      </c>
      <c r="AW109">
        <v>2</v>
      </c>
      <c r="AX109">
        <v>60257568</v>
      </c>
      <c r="AY109">
        <v>1</v>
      </c>
      <c r="AZ109">
        <v>0</v>
      </c>
      <c r="BA109">
        <v>117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U109">
        <f>ROUND(AT109*Source!I95*AH109*AL109,2)</f>
        <v>0</v>
      </c>
      <c r="CV109">
        <f>ROUND(Y109*Source!I95,9)</f>
        <v>13.636699999999999</v>
      </c>
      <c r="CW109">
        <v>0</v>
      </c>
      <c r="CX109">
        <f>ROUND(Y109*Source!I95,9)</f>
        <v>13.636699999999999</v>
      </c>
      <c r="CY109">
        <f>AD109</f>
        <v>0</v>
      </c>
      <c r="CZ109">
        <f>AH109</f>
        <v>0</v>
      </c>
      <c r="DA109">
        <f>AL109</f>
        <v>1</v>
      </c>
      <c r="DB109">
        <f>ROUND((ROUND(AT109*CZ109,2)*1.1),6)</f>
        <v>0</v>
      </c>
      <c r="DC109">
        <f>ROUND((ROUND(AT109*AG109,2)*1.1),6)</f>
        <v>0</v>
      </c>
      <c r="DD109" t="s">
        <v>3</v>
      </c>
      <c r="DE109" t="s">
        <v>3</v>
      </c>
      <c r="DF109">
        <f t="shared" ref="DF109:DF120" si="79">ROUND(ROUND(AE109,2)*CX109,2)</f>
        <v>0</v>
      </c>
      <c r="DG109">
        <f t="shared" si="76"/>
        <v>0</v>
      </c>
      <c r="DH109">
        <f t="shared" si="77"/>
        <v>0</v>
      </c>
      <c r="DI109">
        <f t="shared" si="57"/>
        <v>0</v>
      </c>
      <c r="DJ109">
        <f>DI109</f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ROW(Source!A95)</f>
        <v>95</v>
      </c>
      <c r="B110">
        <v>60256985</v>
      </c>
      <c r="C110">
        <v>60257293</v>
      </c>
      <c r="D110">
        <v>59070669</v>
      </c>
      <c r="E110">
        <v>1</v>
      </c>
      <c r="F110">
        <v>1</v>
      </c>
      <c r="G110">
        <v>1080</v>
      </c>
      <c r="H110">
        <v>2</v>
      </c>
      <c r="I110" t="s">
        <v>300</v>
      </c>
      <c r="J110" t="s">
        <v>301</v>
      </c>
      <c r="K110" t="s">
        <v>302</v>
      </c>
      <c r="L110">
        <v>1368</v>
      </c>
      <c r="N110">
        <v>1011</v>
      </c>
      <c r="O110" t="s">
        <v>299</v>
      </c>
      <c r="P110" t="s">
        <v>299</v>
      </c>
      <c r="Q110">
        <v>1</v>
      </c>
      <c r="W110">
        <v>0</v>
      </c>
      <c r="X110">
        <v>-1985943078</v>
      </c>
      <c r="Y110">
        <f>(AT110*1.1)</f>
        <v>2.2000000000000002E-2</v>
      </c>
      <c r="AA110">
        <v>0</v>
      </c>
      <c r="AB110">
        <v>87.01</v>
      </c>
      <c r="AC110">
        <v>13.21</v>
      </c>
      <c r="AD110">
        <v>0</v>
      </c>
      <c r="AE110">
        <v>0</v>
      </c>
      <c r="AF110">
        <v>83.1</v>
      </c>
      <c r="AG110">
        <v>12.62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-2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0.02</v>
      </c>
      <c r="AU110" t="s">
        <v>23</v>
      </c>
      <c r="AV110">
        <v>0</v>
      </c>
      <c r="AW110">
        <v>2</v>
      </c>
      <c r="AX110">
        <v>60257569</v>
      </c>
      <c r="AY110">
        <v>1</v>
      </c>
      <c r="AZ110">
        <v>0</v>
      </c>
      <c r="BA110">
        <v>118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f>ROUND(Y110*Source!I95*DO110,9)</f>
        <v>0.63857200000000003</v>
      </c>
      <c r="CX110">
        <f>ROUND(Y110*Source!I95,9)</f>
        <v>5.0599999999999999E-2</v>
      </c>
      <c r="CY110">
        <f>AB110</f>
        <v>87.01</v>
      </c>
      <c r="CZ110">
        <f>AF110</f>
        <v>83.1</v>
      </c>
      <c r="DA110">
        <f>AJ110</f>
        <v>1</v>
      </c>
      <c r="DB110">
        <f>ROUND((ROUND(AT110*CZ110,2)*1.1),6)</f>
        <v>1.8260000000000001</v>
      </c>
      <c r="DC110">
        <f>ROUND((ROUND(AT110*AG110,2)*1.1),6)</f>
        <v>0.27500000000000002</v>
      </c>
      <c r="DD110" t="s">
        <v>3</v>
      </c>
      <c r="DE110" t="s">
        <v>3</v>
      </c>
      <c r="DF110">
        <f t="shared" si="79"/>
        <v>0</v>
      </c>
      <c r="DG110">
        <f t="shared" si="76"/>
        <v>4.2</v>
      </c>
      <c r="DH110">
        <f t="shared" si="77"/>
        <v>0.64</v>
      </c>
      <c r="DI110">
        <f t="shared" si="57"/>
        <v>0</v>
      </c>
      <c r="DJ110">
        <f>DG110</f>
        <v>4.2</v>
      </c>
      <c r="DK110">
        <v>0</v>
      </c>
      <c r="DL110" t="s">
        <v>303</v>
      </c>
      <c r="DM110">
        <v>0</v>
      </c>
      <c r="DN110" t="s">
        <v>295</v>
      </c>
      <c r="DO110">
        <v>12.62</v>
      </c>
    </row>
    <row r="111" spans="1:119" x14ac:dyDescent="0.2">
      <c r="A111">
        <f>ROW(Source!A95)</f>
        <v>95</v>
      </c>
      <c r="B111">
        <v>60256985</v>
      </c>
      <c r="C111">
        <v>60257293</v>
      </c>
      <c r="D111">
        <v>59069905</v>
      </c>
      <c r="E111">
        <v>1</v>
      </c>
      <c r="F111">
        <v>1</v>
      </c>
      <c r="G111">
        <v>1080</v>
      </c>
      <c r="H111">
        <v>2</v>
      </c>
      <c r="I111" t="s">
        <v>373</v>
      </c>
      <c r="J111" t="s">
        <v>374</v>
      </c>
      <c r="K111" t="s">
        <v>375</v>
      </c>
      <c r="L111">
        <v>1368</v>
      </c>
      <c r="N111">
        <v>1011</v>
      </c>
      <c r="O111" t="s">
        <v>299</v>
      </c>
      <c r="P111" t="s">
        <v>299</v>
      </c>
      <c r="Q111">
        <v>1</v>
      </c>
      <c r="W111">
        <v>0</v>
      </c>
      <c r="X111">
        <v>1087580389</v>
      </c>
      <c r="Y111">
        <f>(AT111*1.1)</f>
        <v>2.2000000000000002E-2</v>
      </c>
      <c r="AA111">
        <v>0</v>
      </c>
      <c r="AB111">
        <v>187.59</v>
      </c>
      <c r="AC111">
        <v>17.73</v>
      </c>
      <c r="AD111">
        <v>0</v>
      </c>
      <c r="AE111">
        <v>0</v>
      </c>
      <c r="AF111">
        <v>179.17</v>
      </c>
      <c r="AG111">
        <v>16.93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0.02</v>
      </c>
      <c r="AU111" t="s">
        <v>23</v>
      </c>
      <c r="AV111">
        <v>0</v>
      </c>
      <c r="AW111">
        <v>2</v>
      </c>
      <c r="AX111">
        <v>60257570</v>
      </c>
      <c r="AY111">
        <v>1</v>
      </c>
      <c r="AZ111">
        <v>0</v>
      </c>
      <c r="BA111">
        <v>119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f>ROUND(Y111*Source!I95*DO111,9)</f>
        <v>0.85665800000000003</v>
      </c>
      <c r="CX111">
        <f>ROUND(Y111*Source!I95,9)</f>
        <v>5.0599999999999999E-2</v>
      </c>
      <c r="CY111">
        <f>AB111</f>
        <v>187.59</v>
      </c>
      <c r="CZ111">
        <f>AF111</f>
        <v>179.17</v>
      </c>
      <c r="DA111">
        <f>AJ111</f>
        <v>1</v>
      </c>
      <c r="DB111">
        <f>ROUND((ROUND(AT111*CZ111,2)*1.1),6)</f>
        <v>3.9380000000000002</v>
      </c>
      <c r="DC111">
        <f>ROUND((ROUND(AT111*AG111,2)*1.1),6)</f>
        <v>0.374</v>
      </c>
      <c r="DD111" t="s">
        <v>3</v>
      </c>
      <c r="DE111" t="s">
        <v>3</v>
      </c>
      <c r="DF111">
        <f t="shared" si="79"/>
        <v>0</v>
      </c>
      <c r="DG111">
        <f t="shared" si="76"/>
        <v>9.07</v>
      </c>
      <c r="DH111">
        <f t="shared" si="77"/>
        <v>0.86</v>
      </c>
      <c r="DI111">
        <f t="shared" si="57"/>
        <v>0</v>
      </c>
      <c r="DJ111">
        <f>DG111</f>
        <v>9.07</v>
      </c>
      <c r="DK111">
        <v>0</v>
      </c>
      <c r="DL111" t="s">
        <v>303</v>
      </c>
      <c r="DM111">
        <v>0</v>
      </c>
      <c r="DN111" t="s">
        <v>295</v>
      </c>
      <c r="DO111">
        <v>16.93</v>
      </c>
    </row>
    <row r="112" spans="1:119" x14ac:dyDescent="0.2">
      <c r="A112">
        <f>ROW(Source!A95)</f>
        <v>95</v>
      </c>
      <c r="B112">
        <v>60256985</v>
      </c>
      <c r="C112">
        <v>60257293</v>
      </c>
      <c r="D112">
        <v>59039702</v>
      </c>
      <c r="E112">
        <v>1</v>
      </c>
      <c r="F112">
        <v>1</v>
      </c>
      <c r="G112">
        <v>1080</v>
      </c>
      <c r="H112">
        <v>3</v>
      </c>
      <c r="I112" t="s">
        <v>376</v>
      </c>
      <c r="J112" t="s">
        <v>377</v>
      </c>
      <c r="K112" t="s">
        <v>378</v>
      </c>
      <c r="L112">
        <v>1346</v>
      </c>
      <c r="N112">
        <v>1009</v>
      </c>
      <c r="O112" t="s">
        <v>314</v>
      </c>
      <c r="P112" t="s">
        <v>314</v>
      </c>
      <c r="Q112">
        <v>1</v>
      </c>
      <c r="W112">
        <v>0</v>
      </c>
      <c r="X112">
        <v>1770006655</v>
      </c>
      <c r="Y112">
        <f t="shared" ref="Y112:Y117" si="80">AT112</f>
        <v>0.6</v>
      </c>
      <c r="AA112">
        <v>1.38</v>
      </c>
      <c r="AB112">
        <v>0</v>
      </c>
      <c r="AC112">
        <v>0</v>
      </c>
      <c r="AD112">
        <v>0</v>
      </c>
      <c r="AE112">
        <v>1.38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-2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0.6</v>
      </c>
      <c r="AU112" t="s">
        <v>3</v>
      </c>
      <c r="AV112">
        <v>0</v>
      </c>
      <c r="AW112">
        <v>2</v>
      </c>
      <c r="AX112">
        <v>60257571</v>
      </c>
      <c r="AY112">
        <v>1</v>
      </c>
      <c r="AZ112">
        <v>0</v>
      </c>
      <c r="BA112">
        <v>120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ROUND(Y112*Source!I95,9)</f>
        <v>1.38</v>
      </c>
      <c r="CY112">
        <f t="shared" ref="CY112:CY117" si="81">AA112</f>
        <v>1.38</v>
      </c>
      <c r="CZ112">
        <f t="shared" ref="CZ112:CZ117" si="82">AE112</f>
        <v>1.38</v>
      </c>
      <c r="DA112">
        <f t="shared" ref="DA112:DA117" si="83">AI112</f>
        <v>1</v>
      </c>
      <c r="DB112">
        <f t="shared" ref="DB112:DB117" si="84">ROUND(ROUND(AT112*CZ112,2),6)</f>
        <v>0.83</v>
      </c>
      <c r="DC112">
        <f t="shared" ref="DC112:DC117" si="85">ROUND(ROUND(AT112*AG112,2),6)</f>
        <v>0</v>
      </c>
      <c r="DD112" t="s">
        <v>3</v>
      </c>
      <c r="DE112" t="s">
        <v>3</v>
      </c>
      <c r="DF112">
        <f t="shared" si="79"/>
        <v>1.9</v>
      </c>
      <c r="DG112">
        <f t="shared" si="76"/>
        <v>0</v>
      </c>
      <c r="DH112">
        <f t="shared" si="77"/>
        <v>0</v>
      </c>
      <c r="DI112">
        <f t="shared" si="57"/>
        <v>0</v>
      </c>
      <c r="DJ112">
        <f t="shared" ref="DJ112:DJ117" si="86">DF112</f>
        <v>1.9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ROW(Source!A95)</f>
        <v>95</v>
      </c>
      <c r="B113">
        <v>60256985</v>
      </c>
      <c r="C113">
        <v>60257293</v>
      </c>
      <c r="D113">
        <v>59040093</v>
      </c>
      <c r="E113">
        <v>1</v>
      </c>
      <c r="F113">
        <v>1</v>
      </c>
      <c r="G113">
        <v>1080</v>
      </c>
      <c r="H113">
        <v>3</v>
      </c>
      <c r="I113" t="s">
        <v>379</v>
      </c>
      <c r="J113" t="s">
        <v>380</v>
      </c>
      <c r="K113" t="s">
        <v>381</v>
      </c>
      <c r="L113">
        <v>1346</v>
      </c>
      <c r="N113">
        <v>1009</v>
      </c>
      <c r="O113" t="s">
        <v>314</v>
      </c>
      <c r="P113" t="s">
        <v>314</v>
      </c>
      <c r="Q113">
        <v>1</v>
      </c>
      <c r="W113">
        <v>0</v>
      </c>
      <c r="X113">
        <v>-878159893</v>
      </c>
      <c r="Y113">
        <f t="shared" si="80"/>
        <v>0.16</v>
      </c>
      <c r="AA113">
        <v>159.06</v>
      </c>
      <c r="AB113">
        <v>0</v>
      </c>
      <c r="AC113">
        <v>0</v>
      </c>
      <c r="AD113">
        <v>0</v>
      </c>
      <c r="AE113">
        <v>159.06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0.16</v>
      </c>
      <c r="AU113" t="s">
        <v>3</v>
      </c>
      <c r="AV113">
        <v>0</v>
      </c>
      <c r="AW113">
        <v>2</v>
      </c>
      <c r="AX113">
        <v>60257572</v>
      </c>
      <c r="AY113">
        <v>1</v>
      </c>
      <c r="AZ113">
        <v>0</v>
      </c>
      <c r="BA113">
        <v>121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v>0</v>
      </c>
      <c r="CX113">
        <f>ROUND(Y113*Source!I95,9)</f>
        <v>0.36799999999999999</v>
      </c>
      <c r="CY113">
        <f t="shared" si="81"/>
        <v>159.06</v>
      </c>
      <c r="CZ113">
        <f t="shared" si="82"/>
        <v>159.06</v>
      </c>
      <c r="DA113">
        <f t="shared" si="83"/>
        <v>1</v>
      </c>
      <c r="DB113">
        <f t="shared" si="84"/>
        <v>25.45</v>
      </c>
      <c r="DC113">
        <f t="shared" si="85"/>
        <v>0</v>
      </c>
      <c r="DD113" t="s">
        <v>3</v>
      </c>
      <c r="DE113" t="s">
        <v>3</v>
      </c>
      <c r="DF113">
        <f t="shared" si="79"/>
        <v>58.53</v>
      </c>
      <c r="DG113">
        <f t="shared" si="76"/>
        <v>0</v>
      </c>
      <c r="DH113">
        <f t="shared" si="77"/>
        <v>0</v>
      </c>
      <c r="DI113">
        <f t="shared" si="57"/>
        <v>0</v>
      </c>
      <c r="DJ113">
        <f t="shared" si="86"/>
        <v>58.53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">
      <c r="A114">
        <f>ROW(Source!A95)</f>
        <v>95</v>
      </c>
      <c r="B114">
        <v>60256985</v>
      </c>
      <c r="C114">
        <v>60257293</v>
      </c>
      <c r="D114">
        <v>59063037</v>
      </c>
      <c r="E114">
        <v>1</v>
      </c>
      <c r="F114">
        <v>1</v>
      </c>
      <c r="G114">
        <v>1080</v>
      </c>
      <c r="H114">
        <v>3</v>
      </c>
      <c r="I114" t="s">
        <v>382</v>
      </c>
      <c r="J114" t="s">
        <v>383</v>
      </c>
      <c r="K114" t="s">
        <v>384</v>
      </c>
      <c r="L114">
        <v>1355</v>
      </c>
      <c r="N114">
        <v>1010</v>
      </c>
      <c r="O114" t="s">
        <v>63</v>
      </c>
      <c r="P114" t="s">
        <v>63</v>
      </c>
      <c r="Q114">
        <v>100</v>
      </c>
      <c r="W114">
        <v>0</v>
      </c>
      <c r="X114">
        <v>938266694</v>
      </c>
      <c r="Y114">
        <f t="shared" si="80"/>
        <v>0.05</v>
      </c>
      <c r="AA114">
        <v>130.15</v>
      </c>
      <c r="AB114">
        <v>0</v>
      </c>
      <c r="AC114">
        <v>0</v>
      </c>
      <c r="AD114">
        <v>0</v>
      </c>
      <c r="AE114">
        <v>130.15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-2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0.05</v>
      </c>
      <c r="AU114" t="s">
        <v>3</v>
      </c>
      <c r="AV114">
        <v>0</v>
      </c>
      <c r="AW114">
        <v>2</v>
      </c>
      <c r="AX114">
        <v>60257573</v>
      </c>
      <c r="AY114">
        <v>1</v>
      </c>
      <c r="AZ114">
        <v>0</v>
      </c>
      <c r="BA114">
        <v>122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ROUND(Y114*Source!I95,9)</f>
        <v>0.115</v>
      </c>
      <c r="CY114">
        <f t="shared" si="81"/>
        <v>130.15</v>
      </c>
      <c r="CZ114">
        <f t="shared" si="82"/>
        <v>130.15</v>
      </c>
      <c r="DA114">
        <f t="shared" si="83"/>
        <v>1</v>
      </c>
      <c r="DB114">
        <f t="shared" si="84"/>
        <v>6.51</v>
      </c>
      <c r="DC114">
        <f t="shared" si="85"/>
        <v>0</v>
      </c>
      <c r="DD114" t="s">
        <v>3</v>
      </c>
      <c r="DE114" t="s">
        <v>3</v>
      </c>
      <c r="DF114">
        <f t="shared" si="79"/>
        <v>14.97</v>
      </c>
      <c r="DG114">
        <f t="shared" si="76"/>
        <v>0</v>
      </c>
      <c r="DH114">
        <f t="shared" si="77"/>
        <v>0</v>
      </c>
      <c r="DI114">
        <f t="shared" si="57"/>
        <v>0</v>
      </c>
      <c r="DJ114">
        <f t="shared" si="86"/>
        <v>14.97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ROW(Source!A95)</f>
        <v>95</v>
      </c>
      <c r="B115">
        <v>60256985</v>
      </c>
      <c r="C115">
        <v>60257293</v>
      </c>
      <c r="D115">
        <v>59063048</v>
      </c>
      <c r="E115">
        <v>1</v>
      </c>
      <c r="F115">
        <v>1</v>
      </c>
      <c r="G115">
        <v>1080</v>
      </c>
      <c r="H115">
        <v>3</v>
      </c>
      <c r="I115" t="s">
        <v>385</v>
      </c>
      <c r="J115" t="s">
        <v>386</v>
      </c>
      <c r="K115" t="s">
        <v>387</v>
      </c>
      <c r="L115">
        <v>1356</v>
      </c>
      <c r="N115">
        <v>1010</v>
      </c>
      <c r="O115" t="s">
        <v>74</v>
      </c>
      <c r="P115" t="s">
        <v>74</v>
      </c>
      <c r="Q115">
        <v>1000</v>
      </c>
      <c r="W115">
        <v>0</v>
      </c>
      <c r="X115">
        <v>-422648154</v>
      </c>
      <c r="Y115">
        <f t="shared" si="80"/>
        <v>1.2200000000000001E-2</v>
      </c>
      <c r="AA115">
        <v>226.86</v>
      </c>
      <c r="AB115">
        <v>0</v>
      </c>
      <c r="AC115">
        <v>0</v>
      </c>
      <c r="AD115">
        <v>0</v>
      </c>
      <c r="AE115">
        <v>226.86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1.2200000000000001E-2</v>
      </c>
      <c r="AU115" t="s">
        <v>3</v>
      </c>
      <c r="AV115">
        <v>0</v>
      </c>
      <c r="AW115">
        <v>2</v>
      </c>
      <c r="AX115">
        <v>60257574</v>
      </c>
      <c r="AY115">
        <v>1</v>
      </c>
      <c r="AZ115">
        <v>0</v>
      </c>
      <c r="BA115">
        <v>123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v>0</v>
      </c>
      <c r="CX115">
        <f>ROUND(Y115*Source!I95,9)</f>
        <v>2.8060000000000002E-2</v>
      </c>
      <c r="CY115">
        <f t="shared" si="81"/>
        <v>226.86</v>
      </c>
      <c r="CZ115">
        <f t="shared" si="82"/>
        <v>226.86</v>
      </c>
      <c r="DA115">
        <f t="shared" si="83"/>
        <v>1</v>
      </c>
      <c r="DB115">
        <f t="shared" si="84"/>
        <v>2.77</v>
      </c>
      <c r="DC115">
        <f t="shared" si="85"/>
        <v>0</v>
      </c>
      <c r="DD115" t="s">
        <v>3</v>
      </c>
      <c r="DE115" t="s">
        <v>3</v>
      </c>
      <c r="DF115">
        <f t="shared" si="79"/>
        <v>6.37</v>
      </c>
      <c r="DG115">
        <f t="shared" si="76"/>
        <v>0</v>
      </c>
      <c r="DH115">
        <f t="shared" si="77"/>
        <v>0</v>
      </c>
      <c r="DI115">
        <f t="shared" si="57"/>
        <v>0</v>
      </c>
      <c r="DJ115">
        <f t="shared" si="86"/>
        <v>6.37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ROW(Source!A95)</f>
        <v>95</v>
      </c>
      <c r="B116">
        <v>60256985</v>
      </c>
      <c r="C116">
        <v>60257293</v>
      </c>
      <c r="D116">
        <v>59062373</v>
      </c>
      <c r="E116">
        <v>1</v>
      </c>
      <c r="F116">
        <v>1</v>
      </c>
      <c r="G116">
        <v>1080</v>
      </c>
      <c r="H116">
        <v>3</v>
      </c>
      <c r="I116" t="s">
        <v>388</v>
      </c>
      <c r="J116" t="s">
        <v>389</v>
      </c>
      <c r="K116" t="s">
        <v>390</v>
      </c>
      <c r="L116">
        <v>1354</v>
      </c>
      <c r="N116">
        <v>1010</v>
      </c>
      <c r="O116" t="s">
        <v>31</v>
      </c>
      <c r="P116" t="s">
        <v>31</v>
      </c>
      <c r="Q116">
        <v>1</v>
      </c>
      <c r="W116">
        <v>0</v>
      </c>
      <c r="X116">
        <v>145081611</v>
      </c>
      <c r="Y116">
        <f t="shared" si="80"/>
        <v>3.1</v>
      </c>
      <c r="AA116">
        <v>6.94</v>
      </c>
      <c r="AB116">
        <v>0</v>
      </c>
      <c r="AC116">
        <v>0</v>
      </c>
      <c r="AD116">
        <v>0</v>
      </c>
      <c r="AE116">
        <v>6.94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-2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3.1</v>
      </c>
      <c r="AU116" t="s">
        <v>3</v>
      </c>
      <c r="AV116">
        <v>0</v>
      </c>
      <c r="AW116">
        <v>2</v>
      </c>
      <c r="AX116">
        <v>60257575</v>
      </c>
      <c r="AY116">
        <v>1</v>
      </c>
      <c r="AZ116">
        <v>0</v>
      </c>
      <c r="BA116">
        <v>124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ROUND(Y116*Source!I95,9)</f>
        <v>7.13</v>
      </c>
      <c r="CY116">
        <f t="shared" si="81"/>
        <v>6.94</v>
      </c>
      <c r="CZ116">
        <f t="shared" si="82"/>
        <v>6.94</v>
      </c>
      <c r="DA116">
        <f t="shared" si="83"/>
        <v>1</v>
      </c>
      <c r="DB116">
        <f t="shared" si="84"/>
        <v>21.51</v>
      </c>
      <c r="DC116">
        <f t="shared" si="85"/>
        <v>0</v>
      </c>
      <c r="DD116" t="s">
        <v>3</v>
      </c>
      <c r="DE116" t="s">
        <v>3</v>
      </c>
      <c r="DF116">
        <f t="shared" si="79"/>
        <v>49.48</v>
      </c>
      <c r="DG116">
        <f t="shared" si="76"/>
        <v>0</v>
      </c>
      <c r="DH116">
        <f t="shared" si="77"/>
        <v>0</v>
      </c>
      <c r="DI116">
        <f t="shared" si="57"/>
        <v>0</v>
      </c>
      <c r="DJ116">
        <f t="shared" si="86"/>
        <v>49.48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ROW(Source!A95)</f>
        <v>95</v>
      </c>
      <c r="B117">
        <v>60256985</v>
      </c>
      <c r="C117">
        <v>60257293</v>
      </c>
      <c r="D117">
        <v>59062381</v>
      </c>
      <c r="E117">
        <v>1</v>
      </c>
      <c r="F117">
        <v>1</v>
      </c>
      <c r="G117">
        <v>1080</v>
      </c>
      <c r="H117">
        <v>3</v>
      </c>
      <c r="I117" t="s">
        <v>391</v>
      </c>
      <c r="J117" t="s">
        <v>392</v>
      </c>
      <c r="K117" t="s">
        <v>393</v>
      </c>
      <c r="L117">
        <v>1356</v>
      </c>
      <c r="N117">
        <v>1010</v>
      </c>
      <c r="O117" t="s">
        <v>74</v>
      </c>
      <c r="P117" t="s">
        <v>74</v>
      </c>
      <c r="Q117">
        <v>1000</v>
      </c>
      <c r="W117">
        <v>0</v>
      </c>
      <c r="X117">
        <v>807379832</v>
      </c>
      <c r="Y117">
        <f t="shared" si="80"/>
        <v>8.0000000000000002E-3</v>
      </c>
      <c r="AA117">
        <v>614.09</v>
      </c>
      <c r="AB117">
        <v>0</v>
      </c>
      <c r="AC117">
        <v>0</v>
      </c>
      <c r="AD117">
        <v>0</v>
      </c>
      <c r="AE117">
        <v>614.09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8.0000000000000002E-3</v>
      </c>
      <c r="AU117" t="s">
        <v>3</v>
      </c>
      <c r="AV117">
        <v>0</v>
      </c>
      <c r="AW117">
        <v>2</v>
      </c>
      <c r="AX117">
        <v>60257576</v>
      </c>
      <c r="AY117">
        <v>1</v>
      </c>
      <c r="AZ117">
        <v>0</v>
      </c>
      <c r="BA117">
        <v>125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v>0</v>
      </c>
      <c r="CX117">
        <f>ROUND(Y117*Source!I95,9)</f>
        <v>1.84E-2</v>
      </c>
      <c r="CY117">
        <f t="shared" si="81"/>
        <v>614.09</v>
      </c>
      <c r="CZ117">
        <f t="shared" si="82"/>
        <v>614.09</v>
      </c>
      <c r="DA117">
        <f t="shared" si="83"/>
        <v>1</v>
      </c>
      <c r="DB117">
        <f t="shared" si="84"/>
        <v>4.91</v>
      </c>
      <c r="DC117">
        <f t="shared" si="85"/>
        <v>0</v>
      </c>
      <c r="DD117" t="s">
        <v>3</v>
      </c>
      <c r="DE117" t="s">
        <v>3</v>
      </c>
      <c r="DF117">
        <f t="shared" si="79"/>
        <v>11.3</v>
      </c>
      <c r="DG117">
        <f t="shared" si="76"/>
        <v>0</v>
      </c>
      <c r="DH117">
        <f t="shared" si="77"/>
        <v>0</v>
      </c>
      <c r="DI117">
        <f t="shared" si="57"/>
        <v>0</v>
      </c>
      <c r="DJ117">
        <f t="shared" si="86"/>
        <v>11.3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ROW(Source!A96)</f>
        <v>96</v>
      </c>
      <c r="B118">
        <v>60256982</v>
      </c>
      <c r="C118">
        <v>60257293</v>
      </c>
      <c r="D118">
        <v>58999254</v>
      </c>
      <c r="E118">
        <v>1080</v>
      </c>
      <c r="F118">
        <v>1</v>
      </c>
      <c r="G118">
        <v>1080</v>
      </c>
      <c r="H118">
        <v>1</v>
      </c>
      <c r="I118" t="s">
        <v>293</v>
      </c>
      <c r="J118" t="s">
        <v>3</v>
      </c>
      <c r="K118" t="s">
        <v>294</v>
      </c>
      <c r="L118">
        <v>1191</v>
      </c>
      <c r="N118">
        <v>1013</v>
      </c>
      <c r="O118" t="s">
        <v>295</v>
      </c>
      <c r="P118" t="s">
        <v>295</v>
      </c>
      <c r="Q118">
        <v>1</v>
      </c>
      <c r="W118">
        <v>0</v>
      </c>
      <c r="X118">
        <v>476480486</v>
      </c>
      <c r="Y118">
        <f>(AT118*1.1)</f>
        <v>5.9290000000000003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5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5.39</v>
      </c>
      <c r="AU118" t="s">
        <v>23</v>
      </c>
      <c r="AV118">
        <v>1</v>
      </c>
      <c r="AW118">
        <v>2</v>
      </c>
      <c r="AX118">
        <v>60257568</v>
      </c>
      <c r="AY118">
        <v>1</v>
      </c>
      <c r="AZ118">
        <v>0</v>
      </c>
      <c r="BA118">
        <v>127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U118">
        <f>ROUND(AT118*Source!I96*AH118*AL118,2)</f>
        <v>0</v>
      </c>
      <c r="CV118">
        <f>ROUND(Y118*Source!I96,9)</f>
        <v>13.636699999999999</v>
      </c>
      <c r="CW118">
        <v>0</v>
      </c>
      <c r="CX118">
        <f>ROUND(Y118*Source!I96,9)</f>
        <v>13.636699999999999</v>
      </c>
      <c r="CY118">
        <f>AD118</f>
        <v>0</v>
      </c>
      <c r="CZ118">
        <f>AH118</f>
        <v>0</v>
      </c>
      <c r="DA118">
        <f>AL118</f>
        <v>1</v>
      </c>
      <c r="DB118">
        <f>ROUND((ROUND(AT118*CZ118,2)*1.1),6)</f>
        <v>0</v>
      </c>
      <c r="DC118">
        <f>ROUND((ROUND(AT118*AG118,2)*1.1),6)</f>
        <v>0</v>
      </c>
      <c r="DD118" t="s">
        <v>3</v>
      </c>
      <c r="DE118" t="s">
        <v>3</v>
      </c>
      <c r="DF118">
        <f t="shared" si="79"/>
        <v>0</v>
      </c>
      <c r="DG118">
        <f t="shared" si="76"/>
        <v>0</v>
      </c>
      <c r="DH118">
        <f t="shared" si="77"/>
        <v>0</v>
      </c>
      <c r="DI118">
        <f t="shared" si="57"/>
        <v>0</v>
      </c>
      <c r="DJ118">
        <f>DI118</f>
        <v>0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ROW(Source!A96)</f>
        <v>96</v>
      </c>
      <c r="B119">
        <v>60256982</v>
      </c>
      <c r="C119">
        <v>60257293</v>
      </c>
      <c r="D119">
        <v>59070669</v>
      </c>
      <c r="E119">
        <v>1</v>
      </c>
      <c r="F119">
        <v>1</v>
      </c>
      <c r="G119">
        <v>1080</v>
      </c>
      <c r="H119">
        <v>2</v>
      </c>
      <c r="I119" t="s">
        <v>300</v>
      </c>
      <c r="J119" t="s">
        <v>301</v>
      </c>
      <c r="K119" t="s">
        <v>302</v>
      </c>
      <c r="L119">
        <v>1368</v>
      </c>
      <c r="N119">
        <v>1011</v>
      </c>
      <c r="O119" t="s">
        <v>299</v>
      </c>
      <c r="P119" t="s">
        <v>299</v>
      </c>
      <c r="Q119">
        <v>1</v>
      </c>
      <c r="W119">
        <v>0</v>
      </c>
      <c r="X119">
        <v>-1985943078</v>
      </c>
      <c r="Y119">
        <f>(AT119*1.1)</f>
        <v>2.2000000000000002E-2</v>
      </c>
      <c r="AA119">
        <v>0</v>
      </c>
      <c r="AB119">
        <v>1418.19</v>
      </c>
      <c r="AC119">
        <v>726.59</v>
      </c>
      <c r="AD119">
        <v>0</v>
      </c>
      <c r="AE119">
        <v>0</v>
      </c>
      <c r="AF119">
        <v>83.1</v>
      </c>
      <c r="AG119">
        <v>12.62</v>
      </c>
      <c r="AH119">
        <v>0</v>
      </c>
      <c r="AI119">
        <v>1</v>
      </c>
      <c r="AJ119">
        <v>16.3</v>
      </c>
      <c r="AK119">
        <v>54.99</v>
      </c>
      <c r="AL119">
        <v>1</v>
      </c>
      <c r="AM119">
        <v>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0.02</v>
      </c>
      <c r="AU119" t="s">
        <v>23</v>
      </c>
      <c r="AV119">
        <v>0</v>
      </c>
      <c r="AW119">
        <v>2</v>
      </c>
      <c r="AX119">
        <v>60257569</v>
      </c>
      <c r="AY119">
        <v>1</v>
      </c>
      <c r="AZ119">
        <v>0</v>
      </c>
      <c r="BA119">
        <v>128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f>ROUND(Y119*Source!I96*DO119,9)</f>
        <v>0.63857200000000003</v>
      </c>
      <c r="CX119">
        <f>ROUND(Y119*Source!I96,9)</f>
        <v>5.0599999999999999E-2</v>
      </c>
      <c r="CY119">
        <f>AB119</f>
        <v>1418.19</v>
      </c>
      <c r="CZ119">
        <f>AF119</f>
        <v>83.1</v>
      </c>
      <c r="DA119">
        <f>AJ119</f>
        <v>16.3</v>
      </c>
      <c r="DB119">
        <f>ROUND((ROUND(AT119*CZ119,2)*1.1),6)</f>
        <v>1.8260000000000001</v>
      </c>
      <c r="DC119">
        <f>ROUND((ROUND(AT119*AG119,2)*1.1),6)</f>
        <v>0.27500000000000002</v>
      </c>
      <c r="DD119" t="s">
        <v>3</v>
      </c>
      <c r="DE119" t="s">
        <v>3</v>
      </c>
      <c r="DF119">
        <f t="shared" si="79"/>
        <v>0</v>
      </c>
      <c r="DG119">
        <f>ROUND(ROUND(AF119*AJ119,2)*CX119,2)</f>
        <v>68.540000000000006</v>
      </c>
      <c r="DH119">
        <f>ROUND(ROUND(AG119*AK119,2)*CX119,2)</f>
        <v>35.11</v>
      </c>
      <c r="DI119">
        <f t="shared" si="57"/>
        <v>0</v>
      </c>
      <c r="DJ119">
        <f>DG119</f>
        <v>68.540000000000006</v>
      </c>
      <c r="DK119">
        <v>0</v>
      </c>
      <c r="DL119" t="s">
        <v>303</v>
      </c>
      <c r="DM119">
        <v>0</v>
      </c>
      <c r="DN119" t="s">
        <v>295</v>
      </c>
      <c r="DO119">
        <v>12.62</v>
      </c>
    </row>
    <row r="120" spans="1:119" x14ac:dyDescent="0.2">
      <c r="A120">
        <f>ROW(Source!A96)</f>
        <v>96</v>
      </c>
      <c r="B120">
        <v>60256982</v>
      </c>
      <c r="C120">
        <v>60257293</v>
      </c>
      <c r="D120">
        <v>59069905</v>
      </c>
      <c r="E120">
        <v>1</v>
      </c>
      <c r="F120">
        <v>1</v>
      </c>
      <c r="G120">
        <v>1080</v>
      </c>
      <c r="H120">
        <v>2</v>
      </c>
      <c r="I120" t="s">
        <v>373</v>
      </c>
      <c r="J120" t="s">
        <v>374</v>
      </c>
      <c r="K120" t="s">
        <v>375</v>
      </c>
      <c r="L120">
        <v>1368</v>
      </c>
      <c r="N120">
        <v>1011</v>
      </c>
      <c r="O120" t="s">
        <v>299</v>
      </c>
      <c r="P120" t="s">
        <v>299</v>
      </c>
      <c r="Q120">
        <v>1</v>
      </c>
      <c r="W120">
        <v>0</v>
      </c>
      <c r="X120">
        <v>1087580389</v>
      </c>
      <c r="Y120">
        <f>(AT120*1.1)</f>
        <v>2.2000000000000002E-2</v>
      </c>
      <c r="AA120">
        <v>0</v>
      </c>
      <c r="AB120">
        <v>2579.38</v>
      </c>
      <c r="AC120">
        <v>974.74</v>
      </c>
      <c r="AD120">
        <v>0</v>
      </c>
      <c r="AE120">
        <v>0</v>
      </c>
      <c r="AF120">
        <v>179.17</v>
      </c>
      <c r="AG120">
        <v>16.93</v>
      </c>
      <c r="AH120">
        <v>0</v>
      </c>
      <c r="AI120">
        <v>1</v>
      </c>
      <c r="AJ120">
        <v>13.75</v>
      </c>
      <c r="AK120">
        <v>54.99</v>
      </c>
      <c r="AL120">
        <v>1</v>
      </c>
      <c r="AM120">
        <v>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0.02</v>
      </c>
      <c r="AU120" t="s">
        <v>23</v>
      </c>
      <c r="AV120">
        <v>0</v>
      </c>
      <c r="AW120">
        <v>2</v>
      </c>
      <c r="AX120">
        <v>60257570</v>
      </c>
      <c r="AY120">
        <v>1</v>
      </c>
      <c r="AZ120">
        <v>0</v>
      </c>
      <c r="BA120">
        <v>129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f>ROUND(Y120*Source!I96*DO120,9)</f>
        <v>0.85665800000000003</v>
      </c>
      <c r="CX120">
        <f>ROUND(Y120*Source!I96,9)</f>
        <v>5.0599999999999999E-2</v>
      </c>
      <c r="CY120">
        <f>AB120</f>
        <v>2579.38</v>
      </c>
      <c r="CZ120">
        <f>AF120</f>
        <v>179.17</v>
      </c>
      <c r="DA120">
        <f>AJ120</f>
        <v>13.75</v>
      </c>
      <c r="DB120">
        <f>ROUND((ROUND(AT120*CZ120,2)*1.1),6)</f>
        <v>3.9380000000000002</v>
      </c>
      <c r="DC120">
        <f>ROUND((ROUND(AT120*AG120,2)*1.1),6)</f>
        <v>0.374</v>
      </c>
      <c r="DD120" t="s">
        <v>3</v>
      </c>
      <c r="DE120" t="s">
        <v>3</v>
      </c>
      <c r="DF120">
        <f t="shared" si="79"/>
        <v>0</v>
      </c>
      <c r="DG120">
        <f>ROUND(ROUND(AF120*AJ120,2)*CX120,2)</f>
        <v>124.66</v>
      </c>
      <c r="DH120">
        <f>ROUND(ROUND(AG120*AK120,2)*CX120,2)</f>
        <v>47.11</v>
      </c>
      <c r="DI120">
        <f t="shared" si="57"/>
        <v>0</v>
      </c>
      <c r="DJ120">
        <f>DG120</f>
        <v>124.66</v>
      </c>
      <c r="DK120">
        <v>0</v>
      </c>
      <c r="DL120" t="s">
        <v>303</v>
      </c>
      <c r="DM120">
        <v>0</v>
      </c>
      <c r="DN120" t="s">
        <v>295</v>
      </c>
      <c r="DO120">
        <v>16.93</v>
      </c>
    </row>
    <row r="121" spans="1:119" x14ac:dyDescent="0.2">
      <c r="A121">
        <f>ROW(Source!A96)</f>
        <v>96</v>
      </c>
      <c r="B121">
        <v>60256982</v>
      </c>
      <c r="C121">
        <v>60257293</v>
      </c>
      <c r="D121">
        <v>59039702</v>
      </c>
      <c r="E121">
        <v>1</v>
      </c>
      <c r="F121">
        <v>1</v>
      </c>
      <c r="G121">
        <v>1080</v>
      </c>
      <c r="H121">
        <v>3</v>
      </c>
      <c r="I121" t="s">
        <v>376</v>
      </c>
      <c r="J121" t="s">
        <v>377</v>
      </c>
      <c r="K121" t="s">
        <v>378</v>
      </c>
      <c r="L121">
        <v>1346</v>
      </c>
      <c r="N121">
        <v>1009</v>
      </c>
      <c r="O121" t="s">
        <v>314</v>
      </c>
      <c r="P121" t="s">
        <v>314</v>
      </c>
      <c r="Q121">
        <v>1</v>
      </c>
      <c r="W121">
        <v>0</v>
      </c>
      <c r="X121">
        <v>1770006655</v>
      </c>
      <c r="Y121">
        <f t="shared" ref="Y121:Y126" si="87">AT121</f>
        <v>0.6</v>
      </c>
      <c r="AA121">
        <v>29.73</v>
      </c>
      <c r="AB121">
        <v>0</v>
      </c>
      <c r="AC121">
        <v>0</v>
      </c>
      <c r="AD121">
        <v>0</v>
      </c>
      <c r="AE121">
        <v>1.38</v>
      </c>
      <c r="AF121">
        <v>0</v>
      </c>
      <c r="AG121">
        <v>0</v>
      </c>
      <c r="AH121">
        <v>0</v>
      </c>
      <c r="AI121">
        <v>21.54</v>
      </c>
      <c r="AJ121">
        <v>1</v>
      </c>
      <c r="AK121">
        <v>1</v>
      </c>
      <c r="AL121">
        <v>1</v>
      </c>
      <c r="AM121">
        <v>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0.6</v>
      </c>
      <c r="AU121" t="s">
        <v>3</v>
      </c>
      <c r="AV121">
        <v>0</v>
      </c>
      <c r="AW121">
        <v>2</v>
      </c>
      <c r="AX121">
        <v>60257571</v>
      </c>
      <c r="AY121">
        <v>1</v>
      </c>
      <c r="AZ121">
        <v>0</v>
      </c>
      <c r="BA121">
        <v>130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v>0</v>
      </c>
      <c r="CX121">
        <f>ROUND(Y121*Source!I96,9)</f>
        <v>1.38</v>
      </c>
      <c r="CY121">
        <f t="shared" ref="CY121:CY126" si="88">AA121</f>
        <v>29.73</v>
      </c>
      <c r="CZ121">
        <f t="shared" ref="CZ121:CZ126" si="89">AE121</f>
        <v>1.38</v>
      </c>
      <c r="DA121">
        <f t="shared" ref="DA121:DA126" si="90">AI121</f>
        <v>21.54</v>
      </c>
      <c r="DB121">
        <f t="shared" ref="DB121:DB126" si="91">ROUND(ROUND(AT121*CZ121,2),6)</f>
        <v>0.83</v>
      </c>
      <c r="DC121">
        <f t="shared" ref="DC121:DC126" si="92">ROUND(ROUND(AT121*AG121,2),6)</f>
        <v>0</v>
      </c>
      <c r="DD121" t="s">
        <v>3</v>
      </c>
      <c r="DE121" t="s">
        <v>3</v>
      </c>
      <c r="DF121">
        <f t="shared" ref="DF121:DF126" si="93">ROUND(ROUND(AE121*AI121,2)*CX121,2)</f>
        <v>41.03</v>
      </c>
      <c r="DG121">
        <f t="shared" ref="DG121:DG135" si="94">ROUND(ROUND(AF121,2)*CX121,2)</f>
        <v>0</v>
      </c>
      <c r="DH121">
        <f t="shared" ref="DH121:DH135" si="95">ROUND(ROUND(AG121,2)*CX121,2)</f>
        <v>0</v>
      </c>
      <c r="DI121">
        <f t="shared" si="57"/>
        <v>0</v>
      </c>
      <c r="DJ121">
        <f t="shared" ref="DJ121:DJ126" si="96">DF121</f>
        <v>41.03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ROW(Source!A96)</f>
        <v>96</v>
      </c>
      <c r="B122">
        <v>60256982</v>
      </c>
      <c r="C122">
        <v>60257293</v>
      </c>
      <c r="D122">
        <v>59040093</v>
      </c>
      <c r="E122">
        <v>1</v>
      </c>
      <c r="F122">
        <v>1</v>
      </c>
      <c r="G122">
        <v>1080</v>
      </c>
      <c r="H122">
        <v>3</v>
      </c>
      <c r="I122" t="s">
        <v>379</v>
      </c>
      <c r="J122" t="s">
        <v>380</v>
      </c>
      <c r="K122" t="s">
        <v>381</v>
      </c>
      <c r="L122">
        <v>1346</v>
      </c>
      <c r="N122">
        <v>1009</v>
      </c>
      <c r="O122" t="s">
        <v>314</v>
      </c>
      <c r="P122" t="s">
        <v>314</v>
      </c>
      <c r="Q122">
        <v>1</v>
      </c>
      <c r="W122">
        <v>0</v>
      </c>
      <c r="X122">
        <v>-878159893</v>
      </c>
      <c r="Y122">
        <f t="shared" si="87"/>
        <v>0.16</v>
      </c>
      <c r="AA122">
        <v>286.31</v>
      </c>
      <c r="AB122">
        <v>0</v>
      </c>
      <c r="AC122">
        <v>0</v>
      </c>
      <c r="AD122">
        <v>0</v>
      </c>
      <c r="AE122">
        <v>159.06</v>
      </c>
      <c r="AF122">
        <v>0</v>
      </c>
      <c r="AG122">
        <v>0</v>
      </c>
      <c r="AH122">
        <v>0</v>
      </c>
      <c r="AI122">
        <v>1.8</v>
      </c>
      <c r="AJ122">
        <v>1</v>
      </c>
      <c r="AK122">
        <v>1</v>
      </c>
      <c r="AL122">
        <v>1</v>
      </c>
      <c r="AM122">
        <v>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0.16</v>
      </c>
      <c r="AU122" t="s">
        <v>3</v>
      </c>
      <c r="AV122">
        <v>0</v>
      </c>
      <c r="AW122">
        <v>2</v>
      </c>
      <c r="AX122">
        <v>60257572</v>
      </c>
      <c r="AY122">
        <v>1</v>
      </c>
      <c r="AZ122">
        <v>0</v>
      </c>
      <c r="BA122">
        <v>131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ROUND(Y122*Source!I96,9)</f>
        <v>0.36799999999999999</v>
      </c>
      <c r="CY122">
        <f t="shared" si="88"/>
        <v>286.31</v>
      </c>
      <c r="CZ122">
        <f t="shared" si="89"/>
        <v>159.06</v>
      </c>
      <c r="DA122">
        <f t="shared" si="90"/>
        <v>1.8</v>
      </c>
      <c r="DB122">
        <f t="shared" si="91"/>
        <v>25.45</v>
      </c>
      <c r="DC122">
        <f t="shared" si="92"/>
        <v>0</v>
      </c>
      <c r="DD122" t="s">
        <v>3</v>
      </c>
      <c r="DE122" t="s">
        <v>3</v>
      </c>
      <c r="DF122">
        <f t="shared" si="93"/>
        <v>105.36</v>
      </c>
      <c r="DG122">
        <f t="shared" si="94"/>
        <v>0</v>
      </c>
      <c r="DH122">
        <f t="shared" si="95"/>
        <v>0</v>
      </c>
      <c r="DI122">
        <f t="shared" si="57"/>
        <v>0</v>
      </c>
      <c r="DJ122">
        <f t="shared" si="96"/>
        <v>105.36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ROW(Source!A96)</f>
        <v>96</v>
      </c>
      <c r="B123">
        <v>60256982</v>
      </c>
      <c r="C123">
        <v>60257293</v>
      </c>
      <c r="D123">
        <v>59063037</v>
      </c>
      <c r="E123">
        <v>1</v>
      </c>
      <c r="F123">
        <v>1</v>
      </c>
      <c r="G123">
        <v>1080</v>
      </c>
      <c r="H123">
        <v>3</v>
      </c>
      <c r="I123" t="s">
        <v>382</v>
      </c>
      <c r="J123" t="s">
        <v>383</v>
      </c>
      <c r="K123" t="s">
        <v>384</v>
      </c>
      <c r="L123">
        <v>1355</v>
      </c>
      <c r="N123">
        <v>1010</v>
      </c>
      <c r="O123" t="s">
        <v>63</v>
      </c>
      <c r="P123" t="s">
        <v>63</v>
      </c>
      <c r="Q123">
        <v>100</v>
      </c>
      <c r="W123">
        <v>0</v>
      </c>
      <c r="X123">
        <v>938266694</v>
      </c>
      <c r="Y123">
        <f t="shared" si="87"/>
        <v>0.05</v>
      </c>
      <c r="AA123">
        <v>2189.12</v>
      </c>
      <c r="AB123">
        <v>0</v>
      </c>
      <c r="AC123">
        <v>0</v>
      </c>
      <c r="AD123">
        <v>0</v>
      </c>
      <c r="AE123">
        <v>130.15</v>
      </c>
      <c r="AF123">
        <v>0</v>
      </c>
      <c r="AG123">
        <v>0</v>
      </c>
      <c r="AH123">
        <v>0</v>
      </c>
      <c r="AI123">
        <v>16.82</v>
      </c>
      <c r="AJ123">
        <v>1</v>
      </c>
      <c r="AK123">
        <v>1</v>
      </c>
      <c r="AL123">
        <v>1</v>
      </c>
      <c r="AM123">
        <v>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0.05</v>
      </c>
      <c r="AU123" t="s">
        <v>3</v>
      </c>
      <c r="AV123">
        <v>0</v>
      </c>
      <c r="AW123">
        <v>2</v>
      </c>
      <c r="AX123">
        <v>60257573</v>
      </c>
      <c r="AY123">
        <v>1</v>
      </c>
      <c r="AZ123">
        <v>0</v>
      </c>
      <c r="BA123">
        <v>132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v>0</v>
      </c>
      <c r="CX123">
        <f>ROUND(Y123*Source!I96,9)</f>
        <v>0.115</v>
      </c>
      <c r="CY123">
        <f t="shared" si="88"/>
        <v>2189.12</v>
      </c>
      <c r="CZ123">
        <f t="shared" si="89"/>
        <v>130.15</v>
      </c>
      <c r="DA123">
        <f t="shared" si="90"/>
        <v>16.82</v>
      </c>
      <c r="DB123">
        <f t="shared" si="91"/>
        <v>6.51</v>
      </c>
      <c r="DC123">
        <f t="shared" si="92"/>
        <v>0</v>
      </c>
      <c r="DD123" t="s">
        <v>3</v>
      </c>
      <c r="DE123" t="s">
        <v>3</v>
      </c>
      <c r="DF123">
        <f t="shared" si="93"/>
        <v>251.75</v>
      </c>
      <c r="DG123">
        <f t="shared" si="94"/>
        <v>0</v>
      </c>
      <c r="DH123">
        <f t="shared" si="95"/>
        <v>0</v>
      </c>
      <c r="DI123">
        <f t="shared" si="57"/>
        <v>0</v>
      </c>
      <c r="DJ123">
        <f t="shared" si="96"/>
        <v>251.75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">
      <c r="A124">
        <f>ROW(Source!A96)</f>
        <v>96</v>
      </c>
      <c r="B124">
        <v>60256982</v>
      </c>
      <c r="C124">
        <v>60257293</v>
      </c>
      <c r="D124">
        <v>59063048</v>
      </c>
      <c r="E124">
        <v>1</v>
      </c>
      <c r="F124">
        <v>1</v>
      </c>
      <c r="G124">
        <v>1080</v>
      </c>
      <c r="H124">
        <v>3</v>
      </c>
      <c r="I124" t="s">
        <v>385</v>
      </c>
      <c r="J124" t="s">
        <v>386</v>
      </c>
      <c r="K124" t="s">
        <v>387</v>
      </c>
      <c r="L124">
        <v>1356</v>
      </c>
      <c r="N124">
        <v>1010</v>
      </c>
      <c r="O124" t="s">
        <v>74</v>
      </c>
      <c r="P124" t="s">
        <v>74</v>
      </c>
      <c r="Q124">
        <v>1000</v>
      </c>
      <c r="W124">
        <v>0</v>
      </c>
      <c r="X124">
        <v>-422648154</v>
      </c>
      <c r="Y124">
        <f t="shared" si="87"/>
        <v>1.2200000000000001E-2</v>
      </c>
      <c r="AA124">
        <v>1599.36</v>
      </c>
      <c r="AB124">
        <v>0</v>
      </c>
      <c r="AC124">
        <v>0</v>
      </c>
      <c r="AD124">
        <v>0</v>
      </c>
      <c r="AE124">
        <v>226.86</v>
      </c>
      <c r="AF124">
        <v>0</v>
      </c>
      <c r="AG124">
        <v>0</v>
      </c>
      <c r="AH124">
        <v>0</v>
      </c>
      <c r="AI124">
        <v>7.05</v>
      </c>
      <c r="AJ124">
        <v>1</v>
      </c>
      <c r="AK124">
        <v>1</v>
      </c>
      <c r="AL124">
        <v>1</v>
      </c>
      <c r="AM124">
        <v>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1.2200000000000001E-2</v>
      </c>
      <c r="AU124" t="s">
        <v>3</v>
      </c>
      <c r="AV124">
        <v>0</v>
      </c>
      <c r="AW124">
        <v>2</v>
      </c>
      <c r="AX124">
        <v>60257574</v>
      </c>
      <c r="AY124">
        <v>1</v>
      </c>
      <c r="AZ124">
        <v>0</v>
      </c>
      <c r="BA124">
        <v>133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ROUND(Y124*Source!I96,9)</f>
        <v>2.8060000000000002E-2</v>
      </c>
      <c r="CY124">
        <f t="shared" si="88"/>
        <v>1599.36</v>
      </c>
      <c r="CZ124">
        <f t="shared" si="89"/>
        <v>226.86</v>
      </c>
      <c r="DA124">
        <f t="shared" si="90"/>
        <v>7.05</v>
      </c>
      <c r="DB124">
        <f t="shared" si="91"/>
        <v>2.77</v>
      </c>
      <c r="DC124">
        <f t="shared" si="92"/>
        <v>0</v>
      </c>
      <c r="DD124" t="s">
        <v>3</v>
      </c>
      <c r="DE124" t="s">
        <v>3</v>
      </c>
      <c r="DF124">
        <f t="shared" si="93"/>
        <v>44.88</v>
      </c>
      <c r="DG124">
        <f t="shared" si="94"/>
        <v>0</v>
      </c>
      <c r="DH124">
        <f t="shared" si="95"/>
        <v>0</v>
      </c>
      <c r="DI124">
        <f t="shared" si="57"/>
        <v>0</v>
      </c>
      <c r="DJ124">
        <f t="shared" si="96"/>
        <v>44.88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">
      <c r="A125">
        <f>ROW(Source!A96)</f>
        <v>96</v>
      </c>
      <c r="B125">
        <v>60256982</v>
      </c>
      <c r="C125">
        <v>60257293</v>
      </c>
      <c r="D125">
        <v>59062373</v>
      </c>
      <c r="E125">
        <v>1</v>
      </c>
      <c r="F125">
        <v>1</v>
      </c>
      <c r="G125">
        <v>1080</v>
      </c>
      <c r="H125">
        <v>3</v>
      </c>
      <c r="I125" t="s">
        <v>388</v>
      </c>
      <c r="J125" t="s">
        <v>389</v>
      </c>
      <c r="K125" t="s">
        <v>390</v>
      </c>
      <c r="L125">
        <v>1354</v>
      </c>
      <c r="N125">
        <v>1010</v>
      </c>
      <c r="O125" t="s">
        <v>31</v>
      </c>
      <c r="P125" t="s">
        <v>31</v>
      </c>
      <c r="Q125">
        <v>1</v>
      </c>
      <c r="W125">
        <v>0</v>
      </c>
      <c r="X125">
        <v>145081611</v>
      </c>
      <c r="Y125">
        <f t="shared" si="87"/>
        <v>3.1</v>
      </c>
      <c r="AA125">
        <v>25.47</v>
      </c>
      <c r="AB125">
        <v>0</v>
      </c>
      <c r="AC125">
        <v>0</v>
      </c>
      <c r="AD125">
        <v>0</v>
      </c>
      <c r="AE125">
        <v>6.94</v>
      </c>
      <c r="AF125">
        <v>0</v>
      </c>
      <c r="AG125">
        <v>0</v>
      </c>
      <c r="AH125">
        <v>0</v>
      </c>
      <c r="AI125">
        <v>3.67</v>
      </c>
      <c r="AJ125">
        <v>1</v>
      </c>
      <c r="AK125">
        <v>1</v>
      </c>
      <c r="AL125">
        <v>1</v>
      </c>
      <c r="AM125">
        <v>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3.1</v>
      </c>
      <c r="AU125" t="s">
        <v>3</v>
      </c>
      <c r="AV125">
        <v>0</v>
      </c>
      <c r="AW125">
        <v>2</v>
      </c>
      <c r="AX125">
        <v>60257575</v>
      </c>
      <c r="AY125">
        <v>1</v>
      </c>
      <c r="AZ125">
        <v>0</v>
      </c>
      <c r="BA125">
        <v>134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ROUND(Y125*Source!I96,9)</f>
        <v>7.13</v>
      </c>
      <c r="CY125">
        <f t="shared" si="88"/>
        <v>25.47</v>
      </c>
      <c r="CZ125">
        <f t="shared" si="89"/>
        <v>6.94</v>
      </c>
      <c r="DA125">
        <f t="shared" si="90"/>
        <v>3.67</v>
      </c>
      <c r="DB125">
        <f t="shared" si="91"/>
        <v>21.51</v>
      </c>
      <c r="DC125">
        <f t="shared" si="92"/>
        <v>0</v>
      </c>
      <c r="DD125" t="s">
        <v>3</v>
      </c>
      <c r="DE125" t="s">
        <v>3</v>
      </c>
      <c r="DF125">
        <f t="shared" si="93"/>
        <v>181.6</v>
      </c>
      <c r="DG125">
        <f t="shared" si="94"/>
        <v>0</v>
      </c>
      <c r="DH125">
        <f t="shared" si="95"/>
        <v>0</v>
      </c>
      <c r="DI125">
        <f t="shared" si="57"/>
        <v>0</v>
      </c>
      <c r="DJ125">
        <f t="shared" si="96"/>
        <v>181.6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ROW(Source!A96)</f>
        <v>96</v>
      </c>
      <c r="B126">
        <v>60256982</v>
      </c>
      <c r="C126">
        <v>60257293</v>
      </c>
      <c r="D126">
        <v>59062381</v>
      </c>
      <c r="E126">
        <v>1</v>
      </c>
      <c r="F126">
        <v>1</v>
      </c>
      <c r="G126">
        <v>1080</v>
      </c>
      <c r="H126">
        <v>3</v>
      </c>
      <c r="I126" t="s">
        <v>391</v>
      </c>
      <c r="J126" t="s">
        <v>392</v>
      </c>
      <c r="K126" t="s">
        <v>393</v>
      </c>
      <c r="L126">
        <v>1356</v>
      </c>
      <c r="N126">
        <v>1010</v>
      </c>
      <c r="O126" t="s">
        <v>74</v>
      </c>
      <c r="P126" t="s">
        <v>74</v>
      </c>
      <c r="Q126">
        <v>1000</v>
      </c>
      <c r="W126">
        <v>0</v>
      </c>
      <c r="X126">
        <v>807379832</v>
      </c>
      <c r="Y126">
        <f t="shared" si="87"/>
        <v>8.0000000000000002E-3</v>
      </c>
      <c r="AA126">
        <v>1197.48</v>
      </c>
      <c r="AB126">
        <v>0</v>
      </c>
      <c r="AC126">
        <v>0</v>
      </c>
      <c r="AD126">
        <v>0</v>
      </c>
      <c r="AE126">
        <v>614.09</v>
      </c>
      <c r="AF126">
        <v>0</v>
      </c>
      <c r="AG126">
        <v>0</v>
      </c>
      <c r="AH126">
        <v>0</v>
      </c>
      <c r="AI126">
        <v>1.95</v>
      </c>
      <c r="AJ126">
        <v>1</v>
      </c>
      <c r="AK126">
        <v>1</v>
      </c>
      <c r="AL126">
        <v>1</v>
      </c>
      <c r="AM126">
        <v>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8.0000000000000002E-3</v>
      </c>
      <c r="AU126" t="s">
        <v>3</v>
      </c>
      <c r="AV126">
        <v>0</v>
      </c>
      <c r="AW126">
        <v>2</v>
      </c>
      <c r="AX126">
        <v>60257576</v>
      </c>
      <c r="AY126">
        <v>1</v>
      </c>
      <c r="AZ126">
        <v>0</v>
      </c>
      <c r="BA126">
        <v>135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ROUND(Y126*Source!I96,9)</f>
        <v>1.84E-2</v>
      </c>
      <c r="CY126">
        <f t="shared" si="88"/>
        <v>1197.48</v>
      </c>
      <c r="CZ126">
        <f t="shared" si="89"/>
        <v>614.09</v>
      </c>
      <c r="DA126">
        <f t="shared" si="90"/>
        <v>1.95</v>
      </c>
      <c r="DB126">
        <f t="shared" si="91"/>
        <v>4.91</v>
      </c>
      <c r="DC126">
        <f t="shared" si="92"/>
        <v>0</v>
      </c>
      <c r="DD126" t="s">
        <v>3</v>
      </c>
      <c r="DE126" t="s">
        <v>3</v>
      </c>
      <c r="DF126">
        <f t="shared" si="93"/>
        <v>22.03</v>
      </c>
      <c r="DG126">
        <f t="shared" si="94"/>
        <v>0</v>
      </c>
      <c r="DH126">
        <f t="shared" si="95"/>
        <v>0</v>
      </c>
      <c r="DI126">
        <f t="shared" si="57"/>
        <v>0</v>
      </c>
      <c r="DJ126">
        <f t="shared" si="96"/>
        <v>22.03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ROW(Source!A97)</f>
        <v>97</v>
      </c>
      <c r="B127">
        <v>60256985</v>
      </c>
      <c r="C127">
        <v>60257313</v>
      </c>
      <c r="D127">
        <v>58999254</v>
      </c>
      <c r="E127">
        <v>1080</v>
      </c>
      <c r="F127">
        <v>1</v>
      </c>
      <c r="G127">
        <v>1080</v>
      </c>
      <c r="H127">
        <v>1</v>
      </c>
      <c r="I127" t="s">
        <v>293</v>
      </c>
      <c r="J127" t="s">
        <v>3</v>
      </c>
      <c r="K127" t="s">
        <v>294</v>
      </c>
      <c r="L127">
        <v>1191</v>
      </c>
      <c r="N127">
        <v>1013</v>
      </c>
      <c r="O127" t="s">
        <v>295</v>
      </c>
      <c r="P127" t="s">
        <v>295</v>
      </c>
      <c r="Q127">
        <v>1</v>
      </c>
      <c r="W127">
        <v>0</v>
      </c>
      <c r="X127">
        <v>476480486</v>
      </c>
      <c r="Y127">
        <f>(AT127*1.1)</f>
        <v>2.0130000000000003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1.83</v>
      </c>
      <c r="AU127" t="s">
        <v>23</v>
      </c>
      <c r="AV127">
        <v>1</v>
      </c>
      <c r="AW127">
        <v>2</v>
      </c>
      <c r="AX127">
        <v>60257578</v>
      </c>
      <c r="AY127">
        <v>1</v>
      </c>
      <c r="AZ127">
        <v>0</v>
      </c>
      <c r="BA127">
        <v>137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U127">
        <f>ROUND(AT127*Source!I97*AH127*AL127,2)</f>
        <v>0</v>
      </c>
      <c r="CV127">
        <f>ROUND(Y127*Source!I97,9)</f>
        <v>8.4545999999999992</v>
      </c>
      <c r="CW127">
        <v>0</v>
      </c>
      <c r="CX127">
        <f>ROUND(Y127*Source!I97,9)</f>
        <v>8.4545999999999992</v>
      </c>
      <c r="CY127">
        <f>AD127</f>
        <v>0</v>
      </c>
      <c r="CZ127">
        <f>AH127</f>
        <v>0</v>
      </c>
      <c r="DA127">
        <f>AL127</f>
        <v>1</v>
      </c>
      <c r="DB127">
        <f>ROUND((ROUND(AT127*CZ127,2)*1.1),6)</f>
        <v>0</v>
      </c>
      <c r="DC127">
        <f>ROUND((ROUND(AT127*AG127,2)*1.1),6)</f>
        <v>0</v>
      </c>
      <c r="DD127" t="s">
        <v>3</v>
      </c>
      <c r="DE127" t="s">
        <v>3</v>
      </c>
      <c r="DF127">
        <f t="shared" ref="DF127:DF137" si="97">ROUND(ROUND(AE127,2)*CX127,2)</f>
        <v>0</v>
      </c>
      <c r="DG127">
        <f t="shared" si="94"/>
        <v>0</v>
      </c>
      <c r="DH127">
        <f t="shared" si="95"/>
        <v>0</v>
      </c>
      <c r="DI127">
        <f t="shared" si="57"/>
        <v>0</v>
      </c>
      <c r="DJ127">
        <f>DI127</f>
        <v>0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ROW(Source!A97)</f>
        <v>97</v>
      </c>
      <c r="B128">
        <v>60256985</v>
      </c>
      <c r="C128">
        <v>60257313</v>
      </c>
      <c r="D128">
        <v>59070669</v>
      </c>
      <c r="E128">
        <v>1</v>
      </c>
      <c r="F128">
        <v>1</v>
      </c>
      <c r="G128">
        <v>1080</v>
      </c>
      <c r="H128">
        <v>2</v>
      </c>
      <c r="I128" t="s">
        <v>300</v>
      </c>
      <c r="J128" t="s">
        <v>301</v>
      </c>
      <c r="K128" t="s">
        <v>302</v>
      </c>
      <c r="L128">
        <v>1368</v>
      </c>
      <c r="N128">
        <v>1011</v>
      </c>
      <c r="O128" t="s">
        <v>299</v>
      </c>
      <c r="P128" t="s">
        <v>299</v>
      </c>
      <c r="Q128">
        <v>1</v>
      </c>
      <c r="W128">
        <v>0</v>
      </c>
      <c r="X128">
        <v>-1985943078</v>
      </c>
      <c r="Y128">
        <f>(AT128*1.1)</f>
        <v>1.1000000000000001E-2</v>
      </c>
      <c r="AA128">
        <v>0</v>
      </c>
      <c r="AB128">
        <v>87.01</v>
      </c>
      <c r="AC128">
        <v>13.21</v>
      </c>
      <c r="AD128">
        <v>0</v>
      </c>
      <c r="AE128">
        <v>0</v>
      </c>
      <c r="AF128">
        <v>83.1</v>
      </c>
      <c r="AG128">
        <v>12.62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-2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0.01</v>
      </c>
      <c r="AU128" t="s">
        <v>23</v>
      </c>
      <c r="AV128">
        <v>0</v>
      </c>
      <c r="AW128">
        <v>2</v>
      </c>
      <c r="AX128">
        <v>60257579</v>
      </c>
      <c r="AY128">
        <v>1</v>
      </c>
      <c r="AZ128">
        <v>0</v>
      </c>
      <c r="BA128">
        <v>138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f>ROUND(Y128*Source!I97*DO128,9)</f>
        <v>0.58304400000000001</v>
      </c>
      <c r="CX128">
        <f>ROUND(Y128*Source!I97,9)</f>
        <v>4.6199999999999998E-2</v>
      </c>
      <c r="CY128">
        <f>AB128</f>
        <v>87.01</v>
      </c>
      <c r="CZ128">
        <f>AF128</f>
        <v>83.1</v>
      </c>
      <c r="DA128">
        <f>AJ128</f>
        <v>1</v>
      </c>
      <c r="DB128">
        <f>ROUND((ROUND(AT128*CZ128,2)*1.1),6)</f>
        <v>0.91300000000000003</v>
      </c>
      <c r="DC128">
        <f>ROUND((ROUND(AT128*AG128,2)*1.1),6)</f>
        <v>0.14299999999999999</v>
      </c>
      <c r="DD128" t="s">
        <v>3</v>
      </c>
      <c r="DE128" t="s">
        <v>3</v>
      </c>
      <c r="DF128">
        <f t="shared" si="97"/>
        <v>0</v>
      </c>
      <c r="DG128">
        <f t="shared" si="94"/>
        <v>3.84</v>
      </c>
      <c r="DH128">
        <f t="shared" si="95"/>
        <v>0.57999999999999996</v>
      </c>
      <c r="DI128">
        <f t="shared" si="57"/>
        <v>0</v>
      </c>
      <c r="DJ128">
        <f>DG128</f>
        <v>3.84</v>
      </c>
      <c r="DK128">
        <v>0</v>
      </c>
      <c r="DL128" t="s">
        <v>303</v>
      </c>
      <c r="DM128">
        <v>0</v>
      </c>
      <c r="DN128" t="s">
        <v>295</v>
      </c>
      <c r="DO128">
        <v>12.62</v>
      </c>
    </row>
    <row r="129" spans="1:119" x14ac:dyDescent="0.2">
      <c r="A129">
        <f>ROW(Source!A97)</f>
        <v>97</v>
      </c>
      <c r="B129">
        <v>60256985</v>
      </c>
      <c r="C129">
        <v>60257313</v>
      </c>
      <c r="D129">
        <v>59069905</v>
      </c>
      <c r="E129">
        <v>1</v>
      </c>
      <c r="F129">
        <v>1</v>
      </c>
      <c r="G129">
        <v>1080</v>
      </c>
      <c r="H129">
        <v>2</v>
      </c>
      <c r="I129" t="s">
        <v>373</v>
      </c>
      <c r="J129" t="s">
        <v>374</v>
      </c>
      <c r="K129" t="s">
        <v>375</v>
      </c>
      <c r="L129">
        <v>1368</v>
      </c>
      <c r="N129">
        <v>1011</v>
      </c>
      <c r="O129" t="s">
        <v>299</v>
      </c>
      <c r="P129" t="s">
        <v>299</v>
      </c>
      <c r="Q129">
        <v>1</v>
      </c>
      <c r="W129">
        <v>0</v>
      </c>
      <c r="X129">
        <v>1087580389</v>
      </c>
      <c r="Y129">
        <f>(AT129*1.1)</f>
        <v>1.1000000000000001E-2</v>
      </c>
      <c r="AA129">
        <v>0</v>
      </c>
      <c r="AB129">
        <v>187.59</v>
      </c>
      <c r="AC129">
        <v>17.73</v>
      </c>
      <c r="AD129">
        <v>0</v>
      </c>
      <c r="AE129">
        <v>0</v>
      </c>
      <c r="AF129">
        <v>179.17</v>
      </c>
      <c r="AG129">
        <v>16.93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-2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0.01</v>
      </c>
      <c r="AU129" t="s">
        <v>23</v>
      </c>
      <c r="AV129">
        <v>0</v>
      </c>
      <c r="AW129">
        <v>2</v>
      </c>
      <c r="AX129">
        <v>60257580</v>
      </c>
      <c r="AY129">
        <v>1</v>
      </c>
      <c r="AZ129">
        <v>0</v>
      </c>
      <c r="BA129">
        <v>139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f>ROUND(Y129*Source!I97*DO129,9)</f>
        <v>0.78216600000000003</v>
      </c>
      <c r="CX129">
        <f>ROUND(Y129*Source!I97,9)</f>
        <v>4.6199999999999998E-2</v>
      </c>
      <c r="CY129">
        <f>AB129</f>
        <v>187.59</v>
      </c>
      <c r="CZ129">
        <f>AF129</f>
        <v>179.17</v>
      </c>
      <c r="DA129">
        <f>AJ129</f>
        <v>1</v>
      </c>
      <c r="DB129">
        <f>ROUND((ROUND(AT129*CZ129,2)*1.1),6)</f>
        <v>1.9690000000000001</v>
      </c>
      <c r="DC129">
        <f>ROUND((ROUND(AT129*AG129,2)*1.1),6)</f>
        <v>0.187</v>
      </c>
      <c r="DD129" t="s">
        <v>3</v>
      </c>
      <c r="DE129" t="s">
        <v>3</v>
      </c>
      <c r="DF129">
        <f t="shared" si="97"/>
        <v>0</v>
      </c>
      <c r="DG129">
        <f t="shared" si="94"/>
        <v>8.2799999999999994</v>
      </c>
      <c r="DH129">
        <f t="shared" si="95"/>
        <v>0.78</v>
      </c>
      <c r="DI129">
        <f t="shared" ref="DI129:DI192" si="98">ROUND(ROUND(AH129,2)*CX129,2)</f>
        <v>0</v>
      </c>
      <c r="DJ129">
        <f>DG129</f>
        <v>8.2799999999999994</v>
      </c>
      <c r="DK129">
        <v>0</v>
      </c>
      <c r="DL129" t="s">
        <v>303</v>
      </c>
      <c r="DM129">
        <v>0</v>
      </c>
      <c r="DN129" t="s">
        <v>295</v>
      </c>
      <c r="DO129">
        <v>16.93</v>
      </c>
    </row>
    <row r="130" spans="1:119" x14ac:dyDescent="0.2">
      <c r="A130">
        <f>ROW(Source!A97)</f>
        <v>97</v>
      </c>
      <c r="B130">
        <v>60256985</v>
      </c>
      <c r="C130">
        <v>60257313</v>
      </c>
      <c r="D130">
        <v>59039702</v>
      </c>
      <c r="E130">
        <v>1</v>
      </c>
      <c r="F130">
        <v>1</v>
      </c>
      <c r="G130">
        <v>1080</v>
      </c>
      <c r="H130">
        <v>3</v>
      </c>
      <c r="I130" t="s">
        <v>376</v>
      </c>
      <c r="J130" t="s">
        <v>377</v>
      </c>
      <c r="K130" t="s">
        <v>378</v>
      </c>
      <c r="L130">
        <v>1346</v>
      </c>
      <c r="N130">
        <v>1009</v>
      </c>
      <c r="O130" t="s">
        <v>314</v>
      </c>
      <c r="P130" t="s">
        <v>314</v>
      </c>
      <c r="Q130">
        <v>1</v>
      </c>
      <c r="W130">
        <v>0</v>
      </c>
      <c r="X130">
        <v>1770006655</v>
      </c>
      <c r="Y130">
        <f>AT130</f>
        <v>0.6</v>
      </c>
      <c r="AA130">
        <v>1.38</v>
      </c>
      <c r="AB130">
        <v>0</v>
      </c>
      <c r="AC130">
        <v>0</v>
      </c>
      <c r="AD130">
        <v>0</v>
      </c>
      <c r="AE130">
        <v>1.38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-2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0.6</v>
      </c>
      <c r="AU130" t="s">
        <v>3</v>
      </c>
      <c r="AV130">
        <v>0</v>
      </c>
      <c r="AW130">
        <v>2</v>
      </c>
      <c r="AX130">
        <v>60257581</v>
      </c>
      <c r="AY130">
        <v>1</v>
      </c>
      <c r="AZ130">
        <v>0</v>
      </c>
      <c r="BA130">
        <v>140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ROUND(Y130*Source!I97,9)</f>
        <v>2.52</v>
      </c>
      <c r="CY130">
        <f>AA130</f>
        <v>1.38</v>
      </c>
      <c r="CZ130">
        <f>AE130</f>
        <v>1.38</v>
      </c>
      <c r="DA130">
        <f>AI130</f>
        <v>1</v>
      </c>
      <c r="DB130">
        <f>ROUND(ROUND(AT130*CZ130,2),6)</f>
        <v>0.83</v>
      </c>
      <c r="DC130">
        <f>ROUND(ROUND(AT130*AG130,2),6)</f>
        <v>0</v>
      </c>
      <c r="DD130" t="s">
        <v>3</v>
      </c>
      <c r="DE130" t="s">
        <v>3</v>
      </c>
      <c r="DF130">
        <f t="shared" si="97"/>
        <v>3.48</v>
      </c>
      <c r="DG130">
        <f t="shared" si="94"/>
        <v>0</v>
      </c>
      <c r="DH130">
        <f t="shared" si="95"/>
        <v>0</v>
      </c>
      <c r="DI130">
        <f t="shared" si="98"/>
        <v>0</v>
      </c>
      <c r="DJ130">
        <f>DF130</f>
        <v>3.48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">
      <c r="A131">
        <f>ROW(Source!A97)</f>
        <v>97</v>
      </c>
      <c r="B131">
        <v>60256985</v>
      </c>
      <c r="C131">
        <v>60257313</v>
      </c>
      <c r="D131">
        <v>59040093</v>
      </c>
      <c r="E131">
        <v>1</v>
      </c>
      <c r="F131">
        <v>1</v>
      </c>
      <c r="G131">
        <v>1080</v>
      </c>
      <c r="H131">
        <v>3</v>
      </c>
      <c r="I131" t="s">
        <v>379</v>
      </c>
      <c r="J131" t="s">
        <v>380</v>
      </c>
      <c r="K131" t="s">
        <v>381</v>
      </c>
      <c r="L131">
        <v>1346</v>
      </c>
      <c r="N131">
        <v>1009</v>
      </c>
      <c r="O131" t="s">
        <v>314</v>
      </c>
      <c r="P131" t="s">
        <v>314</v>
      </c>
      <c r="Q131">
        <v>1</v>
      </c>
      <c r="W131">
        <v>0</v>
      </c>
      <c r="X131">
        <v>-878159893</v>
      </c>
      <c r="Y131">
        <f>AT131</f>
        <v>0.16</v>
      </c>
      <c r="AA131">
        <v>159.06</v>
      </c>
      <c r="AB131">
        <v>0</v>
      </c>
      <c r="AC131">
        <v>0</v>
      </c>
      <c r="AD131">
        <v>0</v>
      </c>
      <c r="AE131">
        <v>159.06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0.16</v>
      </c>
      <c r="AU131" t="s">
        <v>3</v>
      </c>
      <c r="AV131">
        <v>0</v>
      </c>
      <c r="AW131">
        <v>2</v>
      </c>
      <c r="AX131">
        <v>60257582</v>
      </c>
      <c r="AY131">
        <v>1</v>
      </c>
      <c r="AZ131">
        <v>0</v>
      </c>
      <c r="BA131">
        <v>141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v>0</v>
      </c>
      <c r="CX131">
        <f>ROUND(Y131*Source!I97,9)</f>
        <v>0.67200000000000004</v>
      </c>
      <c r="CY131">
        <f>AA131</f>
        <v>159.06</v>
      </c>
      <c r="CZ131">
        <f>AE131</f>
        <v>159.06</v>
      </c>
      <c r="DA131">
        <f>AI131</f>
        <v>1</v>
      </c>
      <c r="DB131">
        <f>ROUND(ROUND(AT131*CZ131,2),6)</f>
        <v>25.45</v>
      </c>
      <c r="DC131">
        <f>ROUND(ROUND(AT131*AG131,2),6)</f>
        <v>0</v>
      </c>
      <c r="DD131" t="s">
        <v>3</v>
      </c>
      <c r="DE131" t="s">
        <v>3</v>
      </c>
      <c r="DF131">
        <f t="shared" si="97"/>
        <v>106.89</v>
      </c>
      <c r="DG131">
        <f t="shared" si="94"/>
        <v>0</v>
      </c>
      <c r="DH131">
        <f t="shared" si="95"/>
        <v>0</v>
      </c>
      <c r="DI131">
        <f t="shared" si="98"/>
        <v>0</v>
      </c>
      <c r="DJ131">
        <f>DF131</f>
        <v>106.89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">
      <c r="A132">
        <f>ROW(Source!A97)</f>
        <v>97</v>
      </c>
      <c r="B132">
        <v>60256985</v>
      </c>
      <c r="C132">
        <v>60257313</v>
      </c>
      <c r="D132">
        <v>59063048</v>
      </c>
      <c r="E132">
        <v>1</v>
      </c>
      <c r="F132">
        <v>1</v>
      </c>
      <c r="G132">
        <v>1080</v>
      </c>
      <c r="H132">
        <v>3</v>
      </c>
      <c r="I132" t="s">
        <v>385</v>
      </c>
      <c r="J132" t="s">
        <v>386</v>
      </c>
      <c r="K132" t="s">
        <v>387</v>
      </c>
      <c r="L132">
        <v>1356</v>
      </c>
      <c r="N132">
        <v>1010</v>
      </c>
      <c r="O132" t="s">
        <v>74</v>
      </c>
      <c r="P132" t="s">
        <v>74</v>
      </c>
      <c r="Q132">
        <v>1000</v>
      </c>
      <c r="W132">
        <v>0</v>
      </c>
      <c r="X132">
        <v>-422648154</v>
      </c>
      <c r="Y132">
        <f>AT132</f>
        <v>1.2200000000000001E-2</v>
      </c>
      <c r="AA132">
        <v>226.86</v>
      </c>
      <c r="AB132">
        <v>0</v>
      </c>
      <c r="AC132">
        <v>0</v>
      </c>
      <c r="AD132">
        <v>0</v>
      </c>
      <c r="AE132">
        <v>226.86</v>
      </c>
      <c r="AF132">
        <v>0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-2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1.2200000000000001E-2</v>
      </c>
      <c r="AU132" t="s">
        <v>3</v>
      </c>
      <c r="AV132">
        <v>0</v>
      </c>
      <c r="AW132">
        <v>2</v>
      </c>
      <c r="AX132">
        <v>60257583</v>
      </c>
      <c r="AY132">
        <v>1</v>
      </c>
      <c r="AZ132">
        <v>0</v>
      </c>
      <c r="BA132">
        <v>142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v>0</v>
      </c>
      <c r="CX132">
        <f>ROUND(Y132*Source!I97,9)</f>
        <v>5.1240000000000001E-2</v>
      </c>
      <c r="CY132">
        <f>AA132</f>
        <v>226.86</v>
      </c>
      <c r="CZ132">
        <f>AE132</f>
        <v>226.86</v>
      </c>
      <c r="DA132">
        <f>AI132</f>
        <v>1</v>
      </c>
      <c r="DB132">
        <f>ROUND(ROUND(AT132*CZ132,2),6)</f>
        <v>2.77</v>
      </c>
      <c r="DC132">
        <f>ROUND(ROUND(AT132*AG132,2),6)</f>
        <v>0</v>
      </c>
      <c r="DD132" t="s">
        <v>3</v>
      </c>
      <c r="DE132" t="s">
        <v>3</v>
      </c>
      <c r="DF132">
        <f t="shared" si="97"/>
        <v>11.62</v>
      </c>
      <c r="DG132">
        <f t="shared" si="94"/>
        <v>0</v>
      </c>
      <c r="DH132">
        <f t="shared" si="95"/>
        <v>0</v>
      </c>
      <c r="DI132">
        <f t="shared" si="98"/>
        <v>0</v>
      </c>
      <c r="DJ132">
        <f>DF132</f>
        <v>11.62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">
      <c r="A133">
        <f>ROW(Source!A97)</f>
        <v>97</v>
      </c>
      <c r="B133">
        <v>60256985</v>
      </c>
      <c r="C133">
        <v>60257313</v>
      </c>
      <c r="D133">
        <v>59062373</v>
      </c>
      <c r="E133">
        <v>1</v>
      </c>
      <c r="F133">
        <v>1</v>
      </c>
      <c r="G133">
        <v>1080</v>
      </c>
      <c r="H133">
        <v>3</v>
      </c>
      <c r="I133" t="s">
        <v>388</v>
      </c>
      <c r="J133" t="s">
        <v>389</v>
      </c>
      <c r="K133" t="s">
        <v>390</v>
      </c>
      <c r="L133">
        <v>1354</v>
      </c>
      <c r="N133">
        <v>1010</v>
      </c>
      <c r="O133" t="s">
        <v>31</v>
      </c>
      <c r="P133" t="s">
        <v>31</v>
      </c>
      <c r="Q133">
        <v>1</v>
      </c>
      <c r="W133">
        <v>0</v>
      </c>
      <c r="X133">
        <v>145081611</v>
      </c>
      <c r="Y133">
        <f>AT133</f>
        <v>3.1</v>
      </c>
      <c r="AA133">
        <v>6.94</v>
      </c>
      <c r="AB133">
        <v>0</v>
      </c>
      <c r="AC133">
        <v>0</v>
      </c>
      <c r="AD133">
        <v>0</v>
      </c>
      <c r="AE133">
        <v>6.94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3.1</v>
      </c>
      <c r="AU133" t="s">
        <v>3</v>
      </c>
      <c r="AV133">
        <v>0</v>
      </c>
      <c r="AW133">
        <v>2</v>
      </c>
      <c r="AX133">
        <v>60257584</v>
      </c>
      <c r="AY133">
        <v>1</v>
      </c>
      <c r="AZ133">
        <v>0</v>
      </c>
      <c r="BA133">
        <v>143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v>0</v>
      </c>
      <c r="CX133">
        <f>ROUND(Y133*Source!I97,9)</f>
        <v>13.02</v>
      </c>
      <c r="CY133">
        <f>AA133</f>
        <v>6.94</v>
      </c>
      <c r="CZ133">
        <f>AE133</f>
        <v>6.94</v>
      </c>
      <c r="DA133">
        <f>AI133</f>
        <v>1</v>
      </c>
      <c r="DB133">
        <f>ROUND(ROUND(AT133*CZ133,2),6)</f>
        <v>21.51</v>
      </c>
      <c r="DC133">
        <f>ROUND(ROUND(AT133*AG133,2),6)</f>
        <v>0</v>
      </c>
      <c r="DD133" t="s">
        <v>3</v>
      </c>
      <c r="DE133" t="s">
        <v>3</v>
      </c>
      <c r="DF133">
        <f t="shared" si="97"/>
        <v>90.36</v>
      </c>
      <c r="DG133">
        <f t="shared" si="94"/>
        <v>0</v>
      </c>
      <c r="DH133">
        <f t="shared" si="95"/>
        <v>0</v>
      </c>
      <c r="DI133">
        <f t="shared" si="98"/>
        <v>0</v>
      </c>
      <c r="DJ133">
        <f>DF133</f>
        <v>90.36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">
      <c r="A134">
        <f>ROW(Source!A97)</f>
        <v>97</v>
      </c>
      <c r="B134">
        <v>60256985</v>
      </c>
      <c r="C134">
        <v>60257313</v>
      </c>
      <c r="D134">
        <v>59062381</v>
      </c>
      <c r="E134">
        <v>1</v>
      </c>
      <c r="F134">
        <v>1</v>
      </c>
      <c r="G134">
        <v>1080</v>
      </c>
      <c r="H134">
        <v>3</v>
      </c>
      <c r="I134" t="s">
        <v>391</v>
      </c>
      <c r="J134" t="s">
        <v>392</v>
      </c>
      <c r="K134" t="s">
        <v>393</v>
      </c>
      <c r="L134">
        <v>1356</v>
      </c>
      <c r="N134">
        <v>1010</v>
      </c>
      <c r="O134" t="s">
        <v>74</v>
      </c>
      <c r="P134" t="s">
        <v>74</v>
      </c>
      <c r="Q134">
        <v>1000</v>
      </c>
      <c r="W134">
        <v>0</v>
      </c>
      <c r="X134">
        <v>807379832</v>
      </c>
      <c r="Y134">
        <f>AT134</f>
        <v>8.0000000000000002E-3</v>
      </c>
      <c r="AA134">
        <v>614.09</v>
      </c>
      <c r="AB134">
        <v>0</v>
      </c>
      <c r="AC134">
        <v>0</v>
      </c>
      <c r="AD134">
        <v>0</v>
      </c>
      <c r="AE134">
        <v>614.09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-2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8.0000000000000002E-3</v>
      </c>
      <c r="AU134" t="s">
        <v>3</v>
      </c>
      <c r="AV134">
        <v>0</v>
      </c>
      <c r="AW134">
        <v>2</v>
      </c>
      <c r="AX134">
        <v>60257585</v>
      </c>
      <c r="AY134">
        <v>1</v>
      </c>
      <c r="AZ134">
        <v>0</v>
      </c>
      <c r="BA134">
        <v>144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ROUND(Y134*Source!I97,9)</f>
        <v>3.3599999999999998E-2</v>
      </c>
      <c r="CY134">
        <f>AA134</f>
        <v>614.09</v>
      </c>
      <c r="CZ134">
        <f>AE134</f>
        <v>614.09</v>
      </c>
      <c r="DA134">
        <f>AI134</f>
        <v>1</v>
      </c>
      <c r="DB134">
        <f>ROUND(ROUND(AT134*CZ134,2),6)</f>
        <v>4.91</v>
      </c>
      <c r="DC134">
        <f>ROUND(ROUND(AT134*AG134,2),6)</f>
        <v>0</v>
      </c>
      <c r="DD134" t="s">
        <v>3</v>
      </c>
      <c r="DE134" t="s">
        <v>3</v>
      </c>
      <c r="DF134">
        <f t="shared" si="97"/>
        <v>20.63</v>
      </c>
      <c r="DG134">
        <f t="shared" si="94"/>
        <v>0</v>
      </c>
      <c r="DH134">
        <f t="shared" si="95"/>
        <v>0</v>
      </c>
      <c r="DI134">
        <f t="shared" si="98"/>
        <v>0</v>
      </c>
      <c r="DJ134">
        <f>DF134</f>
        <v>20.63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">
      <c r="A135">
        <f>ROW(Source!A98)</f>
        <v>98</v>
      </c>
      <c r="B135">
        <v>60256982</v>
      </c>
      <c r="C135">
        <v>60257313</v>
      </c>
      <c r="D135">
        <v>58999254</v>
      </c>
      <c r="E135">
        <v>1080</v>
      </c>
      <c r="F135">
        <v>1</v>
      </c>
      <c r="G135">
        <v>1080</v>
      </c>
      <c r="H135">
        <v>1</v>
      </c>
      <c r="I135" t="s">
        <v>293</v>
      </c>
      <c r="J135" t="s">
        <v>3</v>
      </c>
      <c r="K135" t="s">
        <v>294</v>
      </c>
      <c r="L135">
        <v>1191</v>
      </c>
      <c r="N135">
        <v>1013</v>
      </c>
      <c r="O135" t="s">
        <v>295</v>
      </c>
      <c r="P135" t="s">
        <v>295</v>
      </c>
      <c r="Q135">
        <v>1</v>
      </c>
      <c r="W135">
        <v>0</v>
      </c>
      <c r="X135">
        <v>476480486</v>
      </c>
      <c r="Y135">
        <f>(AT135*1.1)</f>
        <v>2.0130000000000003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5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1.83</v>
      </c>
      <c r="AU135" t="s">
        <v>23</v>
      </c>
      <c r="AV135">
        <v>1</v>
      </c>
      <c r="AW135">
        <v>2</v>
      </c>
      <c r="AX135">
        <v>60257578</v>
      </c>
      <c r="AY135">
        <v>1</v>
      </c>
      <c r="AZ135">
        <v>0</v>
      </c>
      <c r="BA135">
        <v>146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U135">
        <f>ROUND(AT135*Source!I98*AH135*AL135,2)</f>
        <v>0</v>
      </c>
      <c r="CV135">
        <f>ROUND(Y135*Source!I98,9)</f>
        <v>8.4545999999999992</v>
      </c>
      <c r="CW135">
        <v>0</v>
      </c>
      <c r="CX135">
        <f>ROUND(Y135*Source!I98,9)</f>
        <v>8.4545999999999992</v>
      </c>
      <c r="CY135">
        <f>AD135</f>
        <v>0</v>
      </c>
      <c r="CZ135">
        <f>AH135</f>
        <v>0</v>
      </c>
      <c r="DA135">
        <f>AL135</f>
        <v>1</v>
      </c>
      <c r="DB135">
        <f>ROUND((ROUND(AT135*CZ135,2)*1.1),6)</f>
        <v>0</v>
      </c>
      <c r="DC135">
        <f>ROUND((ROUND(AT135*AG135,2)*1.1),6)</f>
        <v>0</v>
      </c>
      <c r="DD135" t="s">
        <v>3</v>
      </c>
      <c r="DE135" t="s">
        <v>3</v>
      </c>
      <c r="DF135">
        <f t="shared" si="97"/>
        <v>0</v>
      </c>
      <c r="DG135">
        <f t="shared" si="94"/>
        <v>0</v>
      </c>
      <c r="DH135">
        <f t="shared" si="95"/>
        <v>0</v>
      </c>
      <c r="DI135">
        <f t="shared" si="98"/>
        <v>0</v>
      </c>
      <c r="DJ135">
        <f>DI135</f>
        <v>0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ROW(Source!A98)</f>
        <v>98</v>
      </c>
      <c r="B136">
        <v>60256982</v>
      </c>
      <c r="C136">
        <v>60257313</v>
      </c>
      <c r="D136">
        <v>59070669</v>
      </c>
      <c r="E136">
        <v>1</v>
      </c>
      <c r="F136">
        <v>1</v>
      </c>
      <c r="G136">
        <v>1080</v>
      </c>
      <c r="H136">
        <v>2</v>
      </c>
      <c r="I136" t="s">
        <v>300</v>
      </c>
      <c r="J136" t="s">
        <v>301</v>
      </c>
      <c r="K136" t="s">
        <v>302</v>
      </c>
      <c r="L136">
        <v>1368</v>
      </c>
      <c r="N136">
        <v>1011</v>
      </c>
      <c r="O136" t="s">
        <v>299</v>
      </c>
      <c r="P136" t="s">
        <v>299</v>
      </c>
      <c r="Q136">
        <v>1</v>
      </c>
      <c r="W136">
        <v>0</v>
      </c>
      <c r="X136">
        <v>-1985943078</v>
      </c>
      <c r="Y136">
        <f>(AT136*1.1)</f>
        <v>1.1000000000000001E-2</v>
      </c>
      <c r="AA136">
        <v>0</v>
      </c>
      <c r="AB136">
        <v>1418.19</v>
      </c>
      <c r="AC136">
        <v>726.59</v>
      </c>
      <c r="AD136">
        <v>0</v>
      </c>
      <c r="AE136">
        <v>0</v>
      </c>
      <c r="AF136">
        <v>83.1</v>
      </c>
      <c r="AG136">
        <v>12.62</v>
      </c>
      <c r="AH136">
        <v>0</v>
      </c>
      <c r="AI136">
        <v>1</v>
      </c>
      <c r="AJ136">
        <v>16.3</v>
      </c>
      <c r="AK136">
        <v>54.99</v>
      </c>
      <c r="AL136">
        <v>1</v>
      </c>
      <c r="AM136">
        <v>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0.01</v>
      </c>
      <c r="AU136" t="s">
        <v>23</v>
      </c>
      <c r="AV136">
        <v>0</v>
      </c>
      <c r="AW136">
        <v>2</v>
      </c>
      <c r="AX136">
        <v>60257579</v>
      </c>
      <c r="AY136">
        <v>1</v>
      </c>
      <c r="AZ136">
        <v>0</v>
      </c>
      <c r="BA136">
        <v>147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f>ROUND(Y136*Source!I98*DO136,9)</f>
        <v>0.58304400000000001</v>
      </c>
      <c r="CX136">
        <f>ROUND(Y136*Source!I98,9)</f>
        <v>4.6199999999999998E-2</v>
      </c>
      <c r="CY136">
        <f>AB136</f>
        <v>1418.19</v>
      </c>
      <c r="CZ136">
        <f>AF136</f>
        <v>83.1</v>
      </c>
      <c r="DA136">
        <f>AJ136</f>
        <v>16.3</v>
      </c>
      <c r="DB136">
        <f>ROUND((ROUND(AT136*CZ136,2)*1.1),6)</f>
        <v>0.91300000000000003</v>
      </c>
      <c r="DC136">
        <f>ROUND((ROUND(AT136*AG136,2)*1.1),6)</f>
        <v>0.14299999999999999</v>
      </c>
      <c r="DD136" t="s">
        <v>3</v>
      </c>
      <c r="DE136" t="s">
        <v>3</v>
      </c>
      <c r="DF136">
        <f t="shared" si="97"/>
        <v>0</v>
      </c>
      <c r="DG136">
        <f>ROUND(ROUND(AF136*AJ136,2)*CX136,2)</f>
        <v>62.58</v>
      </c>
      <c r="DH136">
        <f>ROUND(ROUND(AG136*AK136,2)*CX136,2)</f>
        <v>32.06</v>
      </c>
      <c r="DI136">
        <f t="shared" si="98"/>
        <v>0</v>
      </c>
      <c r="DJ136">
        <f>DG136</f>
        <v>62.58</v>
      </c>
      <c r="DK136">
        <v>0</v>
      </c>
      <c r="DL136" t="s">
        <v>303</v>
      </c>
      <c r="DM136">
        <v>0</v>
      </c>
      <c r="DN136" t="s">
        <v>295</v>
      </c>
      <c r="DO136">
        <v>12.62</v>
      </c>
    </row>
    <row r="137" spans="1:119" x14ac:dyDescent="0.2">
      <c r="A137">
        <f>ROW(Source!A98)</f>
        <v>98</v>
      </c>
      <c r="B137">
        <v>60256982</v>
      </c>
      <c r="C137">
        <v>60257313</v>
      </c>
      <c r="D137">
        <v>59069905</v>
      </c>
      <c r="E137">
        <v>1</v>
      </c>
      <c r="F137">
        <v>1</v>
      </c>
      <c r="G137">
        <v>1080</v>
      </c>
      <c r="H137">
        <v>2</v>
      </c>
      <c r="I137" t="s">
        <v>373</v>
      </c>
      <c r="J137" t="s">
        <v>374</v>
      </c>
      <c r="K137" t="s">
        <v>375</v>
      </c>
      <c r="L137">
        <v>1368</v>
      </c>
      <c r="N137">
        <v>1011</v>
      </c>
      <c r="O137" t="s">
        <v>299</v>
      </c>
      <c r="P137" t="s">
        <v>299</v>
      </c>
      <c r="Q137">
        <v>1</v>
      </c>
      <c r="W137">
        <v>0</v>
      </c>
      <c r="X137">
        <v>1087580389</v>
      </c>
      <c r="Y137">
        <f>(AT137*1.1)</f>
        <v>1.1000000000000001E-2</v>
      </c>
      <c r="AA137">
        <v>0</v>
      </c>
      <c r="AB137">
        <v>2579.38</v>
      </c>
      <c r="AC137">
        <v>974.74</v>
      </c>
      <c r="AD137">
        <v>0</v>
      </c>
      <c r="AE137">
        <v>0</v>
      </c>
      <c r="AF137">
        <v>179.17</v>
      </c>
      <c r="AG137">
        <v>16.93</v>
      </c>
      <c r="AH137">
        <v>0</v>
      </c>
      <c r="AI137">
        <v>1</v>
      </c>
      <c r="AJ137">
        <v>13.75</v>
      </c>
      <c r="AK137">
        <v>54.99</v>
      </c>
      <c r="AL137">
        <v>1</v>
      </c>
      <c r="AM137">
        <v>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0.01</v>
      </c>
      <c r="AU137" t="s">
        <v>23</v>
      </c>
      <c r="AV137">
        <v>0</v>
      </c>
      <c r="AW137">
        <v>2</v>
      </c>
      <c r="AX137">
        <v>60257580</v>
      </c>
      <c r="AY137">
        <v>1</v>
      </c>
      <c r="AZ137">
        <v>0</v>
      </c>
      <c r="BA137">
        <v>148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f>ROUND(Y137*Source!I98*DO137,9)</f>
        <v>0.78216600000000003</v>
      </c>
      <c r="CX137">
        <f>ROUND(Y137*Source!I98,9)</f>
        <v>4.6199999999999998E-2</v>
      </c>
      <c r="CY137">
        <f>AB137</f>
        <v>2579.38</v>
      </c>
      <c r="CZ137">
        <f>AF137</f>
        <v>179.17</v>
      </c>
      <c r="DA137">
        <f>AJ137</f>
        <v>13.75</v>
      </c>
      <c r="DB137">
        <f>ROUND((ROUND(AT137*CZ137,2)*1.1),6)</f>
        <v>1.9690000000000001</v>
      </c>
      <c r="DC137">
        <f>ROUND((ROUND(AT137*AG137,2)*1.1),6)</f>
        <v>0.187</v>
      </c>
      <c r="DD137" t="s">
        <v>3</v>
      </c>
      <c r="DE137" t="s">
        <v>3</v>
      </c>
      <c r="DF137">
        <f t="shared" si="97"/>
        <v>0</v>
      </c>
      <c r="DG137">
        <f>ROUND(ROUND(AF137*AJ137,2)*CX137,2)</f>
        <v>113.82</v>
      </c>
      <c r="DH137">
        <f>ROUND(ROUND(AG137*AK137,2)*CX137,2)</f>
        <v>43.01</v>
      </c>
      <c r="DI137">
        <f t="shared" si="98"/>
        <v>0</v>
      </c>
      <c r="DJ137">
        <f>DG137</f>
        <v>113.82</v>
      </c>
      <c r="DK137">
        <v>0</v>
      </c>
      <c r="DL137" t="s">
        <v>303</v>
      </c>
      <c r="DM137">
        <v>0</v>
      </c>
      <c r="DN137" t="s">
        <v>295</v>
      </c>
      <c r="DO137">
        <v>16.93</v>
      </c>
    </row>
    <row r="138" spans="1:119" x14ac:dyDescent="0.2">
      <c r="A138">
        <f>ROW(Source!A98)</f>
        <v>98</v>
      </c>
      <c r="B138">
        <v>60256982</v>
      </c>
      <c r="C138">
        <v>60257313</v>
      </c>
      <c r="D138">
        <v>59039702</v>
      </c>
      <c r="E138">
        <v>1</v>
      </c>
      <c r="F138">
        <v>1</v>
      </c>
      <c r="G138">
        <v>1080</v>
      </c>
      <c r="H138">
        <v>3</v>
      </c>
      <c r="I138" t="s">
        <v>376</v>
      </c>
      <c r="J138" t="s">
        <v>377</v>
      </c>
      <c r="K138" t="s">
        <v>378</v>
      </c>
      <c r="L138">
        <v>1346</v>
      </c>
      <c r="N138">
        <v>1009</v>
      </c>
      <c r="O138" t="s">
        <v>314</v>
      </c>
      <c r="P138" t="s">
        <v>314</v>
      </c>
      <c r="Q138">
        <v>1</v>
      </c>
      <c r="W138">
        <v>0</v>
      </c>
      <c r="X138">
        <v>1770006655</v>
      </c>
      <c r="Y138">
        <f>AT138</f>
        <v>0.6</v>
      </c>
      <c r="AA138">
        <v>29.73</v>
      </c>
      <c r="AB138">
        <v>0</v>
      </c>
      <c r="AC138">
        <v>0</v>
      </c>
      <c r="AD138">
        <v>0</v>
      </c>
      <c r="AE138">
        <v>1.38</v>
      </c>
      <c r="AF138">
        <v>0</v>
      </c>
      <c r="AG138">
        <v>0</v>
      </c>
      <c r="AH138">
        <v>0</v>
      </c>
      <c r="AI138">
        <v>21.54</v>
      </c>
      <c r="AJ138">
        <v>1</v>
      </c>
      <c r="AK138">
        <v>1</v>
      </c>
      <c r="AL138">
        <v>1</v>
      </c>
      <c r="AM138">
        <v>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0.6</v>
      </c>
      <c r="AU138" t="s">
        <v>3</v>
      </c>
      <c r="AV138">
        <v>0</v>
      </c>
      <c r="AW138">
        <v>2</v>
      </c>
      <c r="AX138">
        <v>60257581</v>
      </c>
      <c r="AY138">
        <v>1</v>
      </c>
      <c r="AZ138">
        <v>0</v>
      </c>
      <c r="BA138">
        <v>149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ROUND(Y138*Source!I98,9)</f>
        <v>2.52</v>
      </c>
      <c r="CY138">
        <f>AA138</f>
        <v>29.73</v>
      </c>
      <c r="CZ138">
        <f>AE138</f>
        <v>1.38</v>
      </c>
      <c r="DA138">
        <f>AI138</f>
        <v>21.54</v>
      </c>
      <c r="DB138">
        <f>ROUND(ROUND(AT138*CZ138,2),6)</f>
        <v>0.83</v>
      </c>
      <c r="DC138">
        <f>ROUND(ROUND(AT138*AG138,2),6)</f>
        <v>0</v>
      </c>
      <c r="DD138" t="s">
        <v>3</v>
      </c>
      <c r="DE138" t="s">
        <v>3</v>
      </c>
      <c r="DF138">
        <f>ROUND(ROUND(AE138*AI138,2)*CX138,2)</f>
        <v>74.92</v>
      </c>
      <c r="DG138">
        <f t="shared" ref="DG138:DG169" si="99">ROUND(ROUND(AF138,2)*CX138,2)</f>
        <v>0</v>
      </c>
      <c r="DH138">
        <f t="shared" ref="DH138:DH169" si="100">ROUND(ROUND(AG138,2)*CX138,2)</f>
        <v>0</v>
      </c>
      <c r="DI138">
        <f t="shared" si="98"/>
        <v>0</v>
      </c>
      <c r="DJ138">
        <f>DF138</f>
        <v>74.92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">
      <c r="A139">
        <f>ROW(Source!A98)</f>
        <v>98</v>
      </c>
      <c r="B139">
        <v>60256982</v>
      </c>
      <c r="C139">
        <v>60257313</v>
      </c>
      <c r="D139">
        <v>59040093</v>
      </c>
      <c r="E139">
        <v>1</v>
      </c>
      <c r="F139">
        <v>1</v>
      </c>
      <c r="G139">
        <v>1080</v>
      </c>
      <c r="H139">
        <v>3</v>
      </c>
      <c r="I139" t="s">
        <v>379</v>
      </c>
      <c r="J139" t="s">
        <v>380</v>
      </c>
      <c r="K139" t="s">
        <v>381</v>
      </c>
      <c r="L139">
        <v>1346</v>
      </c>
      <c r="N139">
        <v>1009</v>
      </c>
      <c r="O139" t="s">
        <v>314</v>
      </c>
      <c r="P139" t="s">
        <v>314</v>
      </c>
      <c r="Q139">
        <v>1</v>
      </c>
      <c r="W139">
        <v>0</v>
      </c>
      <c r="X139">
        <v>-878159893</v>
      </c>
      <c r="Y139">
        <f>AT139</f>
        <v>0.16</v>
      </c>
      <c r="AA139">
        <v>286.31</v>
      </c>
      <c r="AB139">
        <v>0</v>
      </c>
      <c r="AC139">
        <v>0</v>
      </c>
      <c r="AD139">
        <v>0</v>
      </c>
      <c r="AE139">
        <v>159.06</v>
      </c>
      <c r="AF139">
        <v>0</v>
      </c>
      <c r="AG139">
        <v>0</v>
      </c>
      <c r="AH139">
        <v>0</v>
      </c>
      <c r="AI139">
        <v>1.8</v>
      </c>
      <c r="AJ139">
        <v>1</v>
      </c>
      <c r="AK139">
        <v>1</v>
      </c>
      <c r="AL139">
        <v>1</v>
      </c>
      <c r="AM139">
        <v>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0.16</v>
      </c>
      <c r="AU139" t="s">
        <v>3</v>
      </c>
      <c r="AV139">
        <v>0</v>
      </c>
      <c r="AW139">
        <v>2</v>
      </c>
      <c r="AX139">
        <v>60257582</v>
      </c>
      <c r="AY139">
        <v>1</v>
      </c>
      <c r="AZ139">
        <v>0</v>
      </c>
      <c r="BA139">
        <v>150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ROUND(Y139*Source!I98,9)</f>
        <v>0.67200000000000004</v>
      </c>
      <c r="CY139">
        <f>AA139</f>
        <v>286.31</v>
      </c>
      <c r="CZ139">
        <f>AE139</f>
        <v>159.06</v>
      </c>
      <c r="DA139">
        <f>AI139</f>
        <v>1.8</v>
      </c>
      <c r="DB139">
        <f>ROUND(ROUND(AT139*CZ139,2),6)</f>
        <v>25.45</v>
      </c>
      <c r="DC139">
        <f>ROUND(ROUND(AT139*AG139,2),6)</f>
        <v>0</v>
      </c>
      <c r="DD139" t="s">
        <v>3</v>
      </c>
      <c r="DE139" t="s">
        <v>3</v>
      </c>
      <c r="DF139">
        <f>ROUND(ROUND(AE139*AI139,2)*CX139,2)</f>
        <v>192.4</v>
      </c>
      <c r="DG139">
        <f t="shared" si="99"/>
        <v>0</v>
      </c>
      <c r="DH139">
        <f t="shared" si="100"/>
        <v>0</v>
      </c>
      <c r="DI139">
        <f t="shared" si="98"/>
        <v>0</v>
      </c>
      <c r="DJ139">
        <f>DF139</f>
        <v>192.4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ROW(Source!A98)</f>
        <v>98</v>
      </c>
      <c r="B140">
        <v>60256982</v>
      </c>
      <c r="C140">
        <v>60257313</v>
      </c>
      <c r="D140">
        <v>59063048</v>
      </c>
      <c r="E140">
        <v>1</v>
      </c>
      <c r="F140">
        <v>1</v>
      </c>
      <c r="G140">
        <v>1080</v>
      </c>
      <c r="H140">
        <v>3</v>
      </c>
      <c r="I140" t="s">
        <v>385</v>
      </c>
      <c r="J140" t="s">
        <v>386</v>
      </c>
      <c r="K140" t="s">
        <v>387</v>
      </c>
      <c r="L140">
        <v>1356</v>
      </c>
      <c r="N140">
        <v>1010</v>
      </c>
      <c r="O140" t="s">
        <v>74</v>
      </c>
      <c r="P140" t="s">
        <v>74</v>
      </c>
      <c r="Q140">
        <v>1000</v>
      </c>
      <c r="W140">
        <v>0</v>
      </c>
      <c r="X140">
        <v>-422648154</v>
      </c>
      <c r="Y140">
        <f>AT140</f>
        <v>1.2200000000000001E-2</v>
      </c>
      <c r="AA140">
        <v>1599.36</v>
      </c>
      <c r="AB140">
        <v>0</v>
      </c>
      <c r="AC140">
        <v>0</v>
      </c>
      <c r="AD140">
        <v>0</v>
      </c>
      <c r="AE140">
        <v>226.86</v>
      </c>
      <c r="AF140">
        <v>0</v>
      </c>
      <c r="AG140">
        <v>0</v>
      </c>
      <c r="AH140">
        <v>0</v>
      </c>
      <c r="AI140">
        <v>7.05</v>
      </c>
      <c r="AJ140">
        <v>1</v>
      </c>
      <c r="AK140">
        <v>1</v>
      </c>
      <c r="AL140">
        <v>1</v>
      </c>
      <c r="AM140">
        <v>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1.2200000000000001E-2</v>
      </c>
      <c r="AU140" t="s">
        <v>3</v>
      </c>
      <c r="AV140">
        <v>0</v>
      </c>
      <c r="AW140">
        <v>2</v>
      </c>
      <c r="AX140">
        <v>60257583</v>
      </c>
      <c r="AY140">
        <v>1</v>
      </c>
      <c r="AZ140">
        <v>0</v>
      </c>
      <c r="BA140">
        <v>151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ROUND(Y140*Source!I98,9)</f>
        <v>5.1240000000000001E-2</v>
      </c>
      <c r="CY140">
        <f>AA140</f>
        <v>1599.36</v>
      </c>
      <c r="CZ140">
        <f>AE140</f>
        <v>226.86</v>
      </c>
      <c r="DA140">
        <f>AI140</f>
        <v>7.05</v>
      </c>
      <c r="DB140">
        <f>ROUND(ROUND(AT140*CZ140,2),6)</f>
        <v>2.77</v>
      </c>
      <c r="DC140">
        <f>ROUND(ROUND(AT140*AG140,2),6)</f>
        <v>0</v>
      </c>
      <c r="DD140" t="s">
        <v>3</v>
      </c>
      <c r="DE140" t="s">
        <v>3</v>
      </c>
      <c r="DF140">
        <f>ROUND(ROUND(AE140*AI140,2)*CX140,2)</f>
        <v>81.95</v>
      </c>
      <c r="DG140">
        <f t="shared" si="99"/>
        <v>0</v>
      </c>
      <c r="DH140">
        <f t="shared" si="100"/>
        <v>0</v>
      </c>
      <c r="DI140">
        <f t="shared" si="98"/>
        <v>0</v>
      </c>
      <c r="DJ140">
        <f>DF140</f>
        <v>81.95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">
      <c r="A141">
        <f>ROW(Source!A98)</f>
        <v>98</v>
      </c>
      <c r="B141">
        <v>60256982</v>
      </c>
      <c r="C141">
        <v>60257313</v>
      </c>
      <c r="D141">
        <v>59062373</v>
      </c>
      <c r="E141">
        <v>1</v>
      </c>
      <c r="F141">
        <v>1</v>
      </c>
      <c r="G141">
        <v>1080</v>
      </c>
      <c r="H141">
        <v>3</v>
      </c>
      <c r="I141" t="s">
        <v>388</v>
      </c>
      <c r="J141" t="s">
        <v>389</v>
      </c>
      <c r="K141" t="s">
        <v>390</v>
      </c>
      <c r="L141">
        <v>1354</v>
      </c>
      <c r="N141">
        <v>1010</v>
      </c>
      <c r="O141" t="s">
        <v>31</v>
      </c>
      <c r="P141" t="s">
        <v>31</v>
      </c>
      <c r="Q141">
        <v>1</v>
      </c>
      <c r="W141">
        <v>0</v>
      </c>
      <c r="X141">
        <v>145081611</v>
      </c>
      <c r="Y141">
        <f>AT141</f>
        <v>3.1</v>
      </c>
      <c r="AA141">
        <v>25.47</v>
      </c>
      <c r="AB141">
        <v>0</v>
      </c>
      <c r="AC141">
        <v>0</v>
      </c>
      <c r="AD141">
        <v>0</v>
      </c>
      <c r="AE141">
        <v>6.94</v>
      </c>
      <c r="AF141">
        <v>0</v>
      </c>
      <c r="AG141">
        <v>0</v>
      </c>
      <c r="AH141">
        <v>0</v>
      </c>
      <c r="AI141">
        <v>3.67</v>
      </c>
      <c r="AJ141">
        <v>1</v>
      </c>
      <c r="AK141">
        <v>1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3.1</v>
      </c>
      <c r="AU141" t="s">
        <v>3</v>
      </c>
      <c r="AV141">
        <v>0</v>
      </c>
      <c r="AW141">
        <v>2</v>
      </c>
      <c r="AX141">
        <v>60257584</v>
      </c>
      <c r="AY141">
        <v>1</v>
      </c>
      <c r="AZ141">
        <v>0</v>
      </c>
      <c r="BA141">
        <v>152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ROUND(Y141*Source!I98,9)</f>
        <v>13.02</v>
      </c>
      <c r="CY141">
        <f>AA141</f>
        <v>25.47</v>
      </c>
      <c r="CZ141">
        <f>AE141</f>
        <v>6.94</v>
      </c>
      <c r="DA141">
        <f>AI141</f>
        <v>3.67</v>
      </c>
      <c r="DB141">
        <f>ROUND(ROUND(AT141*CZ141,2),6)</f>
        <v>21.51</v>
      </c>
      <c r="DC141">
        <f>ROUND(ROUND(AT141*AG141,2),6)</f>
        <v>0</v>
      </c>
      <c r="DD141" t="s">
        <v>3</v>
      </c>
      <c r="DE141" t="s">
        <v>3</v>
      </c>
      <c r="DF141">
        <f>ROUND(ROUND(AE141*AI141,2)*CX141,2)</f>
        <v>331.62</v>
      </c>
      <c r="DG141">
        <f t="shared" si="99"/>
        <v>0</v>
      </c>
      <c r="DH141">
        <f t="shared" si="100"/>
        <v>0</v>
      </c>
      <c r="DI141">
        <f t="shared" si="98"/>
        <v>0</v>
      </c>
      <c r="DJ141">
        <f>DF141</f>
        <v>331.62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">
      <c r="A142">
        <f>ROW(Source!A98)</f>
        <v>98</v>
      </c>
      <c r="B142">
        <v>60256982</v>
      </c>
      <c r="C142">
        <v>60257313</v>
      </c>
      <c r="D142">
        <v>59062381</v>
      </c>
      <c r="E142">
        <v>1</v>
      </c>
      <c r="F142">
        <v>1</v>
      </c>
      <c r="G142">
        <v>1080</v>
      </c>
      <c r="H142">
        <v>3</v>
      </c>
      <c r="I142" t="s">
        <v>391</v>
      </c>
      <c r="J142" t="s">
        <v>392</v>
      </c>
      <c r="K142" t="s">
        <v>393</v>
      </c>
      <c r="L142">
        <v>1356</v>
      </c>
      <c r="N142">
        <v>1010</v>
      </c>
      <c r="O142" t="s">
        <v>74</v>
      </c>
      <c r="P142" t="s">
        <v>74</v>
      </c>
      <c r="Q142">
        <v>1000</v>
      </c>
      <c r="W142">
        <v>0</v>
      </c>
      <c r="X142">
        <v>807379832</v>
      </c>
      <c r="Y142">
        <f>AT142</f>
        <v>8.0000000000000002E-3</v>
      </c>
      <c r="AA142">
        <v>1197.48</v>
      </c>
      <c r="AB142">
        <v>0</v>
      </c>
      <c r="AC142">
        <v>0</v>
      </c>
      <c r="AD142">
        <v>0</v>
      </c>
      <c r="AE142">
        <v>614.09</v>
      </c>
      <c r="AF142">
        <v>0</v>
      </c>
      <c r="AG142">
        <v>0</v>
      </c>
      <c r="AH142">
        <v>0</v>
      </c>
      <c r="AI142">
        <v>1.95</v>
      </c>
      <c r="AJ142">
        <v>1</v>
      </c>
      <c r="AK142">
        <v>1</v>
      </c>
      <c r="AL142">
        <v>1</v>
      </c>
      <c r="AM142">
        <v>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8.0000000000000002E-3</v>
      </c>
      <c r="AU142" t="s">
        <v>3</v>
      </c>
      <c r="AV142">
        <v>0</v>
      </c>
      <c r="AW142">
        <v>2</v>
      </c>
      <c r="AX142">
        <v>60257585</v>
      </c>
      <c r="AY142">
        <v>1</v>
      </c>
      <c r="AZ142">
        <v>0</v>
      </c>
      <c r="BA142">
        <v>153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ROUND(Y142*Source!I98,9)</f>
        <v>3.3599999999999998E-2</v>
      </c>
      <c r="CY142">
        <f>AA142</f>
        <v>1197.48</v>
      </c>
      <c r="CZ142">
        <f>AE142</f>
        <v>614.09</v>
      </c>
      <c r="DA142">
        <f>AI142</f>
        <v>1.95</v>
      </c>
      <c r="DB142">
        <f>ROUND(ROUND(AT142*CZ142,2),6)</f>
        <v>4.91</v>
      </c>
      <c r="DC142">
        <f>ROUND(ROUND(AT142*AG142,2),6)</f>
        <v>0</v>
      </c>
      <c r="DD142" t="s">
        <v>3</v>
      </c>
      <c r="DE142" t="s">
        <v>3</v>
      </c>
      <c r="DF142">
        <f>ROUND(ROUND(AE142*AI142,2)*CX142,2)</f>
        <v>40.24</v>
      </c>
      <c r="DG142">
        <f t="shared" si="99"/>
        <v>0</v>
      </c>
      <c r="DH142">
        <f t="shared" si="100"/>
        <v>0</v>
      </c>
      <c r="DI142">
        <f t="shared" si="98"/>
        <v>0</v>
      </c>
      <c r="DJ142">
        <f>DF142</f>
        <v>40.24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">
      <c r="A143">
        <f>ROW(Source!A150)</f>
        <v>150</v>
      </c>
      <c r="B143">
        <v>60256985</v>
      </c>
      <c r="C143">
        <v>60257395</v>
      </c>
      <c r="D143">
        <v>58999254</v>
      </c>
      <c r="E143">
        <v>1080</v>
      </c>
      <c r="F143">
        <v>1</v>
      </c>
      <c r="G143">
        <v>1080</v>
      </c>
      <c r="H143">
        <v>1</v>
      </c>
      <c r="I143" t="s">
        <v>293</v>
      </c>
      <c r="J143" t="s">
        <v>3</v>
      </c>
      <c r="K143" t="s">
        <v>294</v>
      </c>
      <c r="L143">
        <v>1191</v>
      </c>
      <c r="N143">
        <v>1013</v>
      </c>
      <c r="O143" t="s">
        <v>295</v>
      </c>
      <c r="P143" t="s">
        <v>295</v>
      </c>
      <c r="Q143">
        <v>1</v>
      </c>
      <c r="W143">
        <v>0</v>
      </c>
      <c r="X143">
        <v>476480486</v>
      </c>
      <c r="Y143">
        <f>(AT143*1.1)</f>
        <v>26.400000000000002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-2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24</v>
      </c>
      <c r="AU143" t="s">
        <v>23</v>
      </c>
      <c r="AV143">
        <v>1</v>
      </c>
      <c r="AW143">
        <v>2</v>
      </c>
      <c r="AX143">
        <v>60257587</v>
      </c>
      <c r="AY143">
        <v>1</v>
      </c>
      <c r="AZ143">
        <v>0</v>
      </c>
      <c r="BA143">
        <v>155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U143">
        <f>ROUND(AT143*Source!I150*AH143*AL143,2)</f>
        <v>0</v>
      </c>
      <c r="CV143">
        <f>ROUND(Y143*Source!I150,9)</f>
        <v>0.52800000000000002</v>
      </c>
      <c r="CW143">
        <v>0</v>
      </c>
      <c r="CX143">
        <f>ROUND(Y143*Source!I150,9)</f>
        <v>0.52800000000000002</v>
      </c>
      <c r="CY143">
        <f>AD143</f>
        <v>0</v>
      </c>
      <c r="CZ143">
        <f>AH143</f>
        <v>0</v>
      </c>
      <c r="DA143">
        <f>AL143</f>
        <v>1</v>
      </c>
      <c r="DB143">
        <f>ROUND((ROUND(AT143*CZ143,2)*1.1),6)</f>
        <v>0</v>
      </c>
      <c r="DC143">
        <f>ROUND((ROUND(AT143*AG143,2)*1.1),6)</f>
        <v>0</v>
      </c>
      <c r="DD143" t="s">
        <v>3</v>
      </c>
      <c r="DE143" t="s">
        <v>3</v>
      </c>
      <c r="DF143">
        <f t="shared" ref="DF143:DF149" si="101">ROUND(ROUND(AE143,2)*CX143,2)</f>
        <v>0</v>
      </c>
      <c r="DG143">
        <f t="shared" si="99"/>
        <v>0</v>
      </c>
      <c r="DH143">
        <f t="shared" si="100"/>
        <v>0</v>
      </c>
      <c r="DI143">
        <f t="shared" si="98"/>
        <v>0</v>
      </c>
      <c r="DJ143">
        <f>DI143</f>
        <v>0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">
      <c r="A144">
        <f>ROW(Source!A150)</f>
        <v>150</v>
      </c>
      <c r="B144">
        <v>60256985</v>
      </c>
      <c r="C144">
        <v>60257395</v>
      </c>
      <c r="D144">
        <v>59039576</v>
      </c>
      <c r="E144">
        <v>1</v>
      </c>
      <c r="F144">
        <v>1</v>
      </c>
      <c r="G144">
        <v>1080</v>
      </c>
      <c r="H144">
        <v>3</v>
      </c>
      <c r="I144" t="s">
        <v>352</v>
      </c>
      <c r="J144" t="s">
        <v>353</v>
      </c>
      <c r="K144" t="s">
        <v>354</v>
      </c>
      <c r="L144">
        <v>1348</v>
      </c>
      <c r="N144">
        <v>1009</v>
      </c>
      <c r="O144" t="s">
        <v>310</v>
      </c>
      <c r="P144" t="s">
        <v>310</v>
      </c>
      <c r="Q144">
        <v>1000</v>
      </c>
      <c r="W144">
        <v>0</v>
      </c>
      <c r="X144">
        <v>1286623552</v>
      </c>
      <c r="Y144">
        <f>AT144</f>
        <v>6.0000000000000001E-3</v>
      </c>
      <c r="AA144">
        <v>7246.05</v>
      </c>
      <c r="AB144">
        <v>0</v>
      </c>
      <c r="AC144">
        <v>0</v>
      </c>
      <c r="AD144">
        <v>0</v>
      </c>
      <c r="AE144">
        <v>7246.05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-2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6.0000000000000001E-3</v>
      </c>
      <c r="AU144" t="s">
        <v>3</v>
      </c>
      <c r="AV144">
        <v>0</v>
      </c>
      <c r="AW144">
        <v>2</v>
      </c>
      <c r="AX144">
        <v>60257588</v>
      </c>
      <c r="AY144">
        <v>1</v>
      </c>
      <c r="AZ144">
        <v>0</v>
      </c>
      <c r="BA144">
        <v>156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ROUND(Y144*Source!I150,9)</f>
        <v>1.2E-4</v>
      </c>
      <c r="CY144">
        <f>AA144</f>
        <v>7246.05</v>
      </c>
      <c r="CZ144">
        <f>AE144</f>
        <v>7246.05</v>
      </c>
      <c r="DA144">
        <f>AI144</f>
        <v>1</v>
      </c>
      <c r="DB144">
        <f>ROUND(ROUND(AT144*CZ144,2),6)</f>
        <v>43.48</v>
      </c>
      <c r="DC144">
        <f>ROUND(ROUND(AT144*AG144,2),6)</f>
        <v>0</v>
      </c>
      <c r="DD144" t="s">
        <v>3</v>
      </c>
      <c r="DE144" t="s">
        <v>3</v>
      </c>
      <c r="DF144">
        <f t="shared" si="101"/>
        <v>0.87</v>
      </c>
      <c r="DG144">
        <f t="shared" si="99"/>
        <v>0</v>
      </c>
      <c r="DH144">
        <f t="shared" si="100"/>
        <v>0</v>
      </c>
      <c r="DI144">
        <f t="shared" si="98"/>
        <v>0</v>
      </c>
      <c r="DJ144">
        <f>DF144</f>
        <v>0.87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">
      <c r="A145">
        <f>ROW(Source!A150)</f>
        <v>150</v>
      </c>
      <c r="B145">
        <v>60256985</v>
      </c>
      <c r="C145">
        <v>60257395</v>
      </c>
      <c r="D145">
        <v>59039985</v>
      </c>
      <c r="E145">
        <v>1</v>
      </c>
      <c r="F145">
        <v>1</v>
      </c>
      <c r="G145">
        <v>1080</v>
      </c>
      <c r="H145">
        <v>3</v>
      </c>
      <c r="I145" t="s">
        <v>394</v>
      </c>
      <c r="J145" t="s">
        <v>395</v>
      </c>
      <c r="K145" t="s">
        <v>396</v>
      </c>
      <c r="L145">
        <v>1346</v>
      </c>
      <c r="N145">
        <v>1009</v>
      </c>
      <c r="O145" t="s">
        <v>314</v>
      </c>
      <c r="P145" t="s">
        <v>314</v>
      </c>
      <c r="Q145">
        <v>1</v>
      </c>
      <c r="W145">
        <v>0</v>
      </c>
      <c r="X145">
        <v>444134433</v>
      </c>
      <c r="Y145">
        <f>AT145</f>
        <v>0.2</v>
      </c>
      <c r="AA145">
        <v>104.63</v>
      </c>
      <c r="AB145">
        <v>0</v>
      </c>
      <c r="AC145">
        <v>0</v>
      </c>
      <c r="AD145">
        <v>0</v>
      </c>
      <c r="AE145">
        <v>104.63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-2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0.2</v>
      </c>
      <c r="AU145" t="s">
        <v>3</v>
      </c>
      <c r="AV145">
        <v>0</v>
      </c>
      <c r="AW145">
        <v>2</v>
      </c>
      <c r="AX145">
        <v>60257589</v>
      </c>
      <c r="AY145">
        <v>1</v>
      </c>
      <c r="AZ145">
        <v>0</v>
      </c>
      <c r="BA145">
        <v>157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ROUND(Y145*Source!I150,9)</f>
        <v>4.0000000000000001E-3</v>
      </c>
      <c r="CY145">
        <f>AA145</f>
        <v>104.63</v>
      </c>
      <c r="CZ145">
        <f>AE145</f>
        <v>104.63</v>
      </c>
      <c r="DA145">
        <f>AI145</f>
        <v>1</v>
      </c>
      <c r="DB145">
        <f>ROUND(ROUND(AT145*CZ145,2),6)</f>
        <v>20.93</v>
      </c>
      <c r="DC145">
        <f>ROUND(ROUND(AT145*AG145,2),6)</f>
        <v>0</v>
      </c>
      <c r="DD145" t="s">
        <v>3</v>
      </c>
      <c r="DE145" t="s">
        <v>3</v>
      </c>
      <c r="DF145">
        <f t="shared" si="101"/>
        <v>0.42</v>
      </c>
      <c r="DG145">
        <f t="shared" si="99"/>
        <v>0</v>
      </c>
      <c r="DH145">
        <f t="shared" si="100"/>
        <v>0</v>
      </c>
      <c r="DI145">
        <f t="shared" si="98"/>
        <v>0</v>
      </c>
      <c r="DJ145">
        <f>DF145</f>
        <v>0.42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">
      <c r="A146">
        <f>ROW(Source!A150)</f>
        <v>150</v>
      </c>
      <c r="B146">
        <v>60256985</v>
      </c>
      <c r="C146">
        <v>60257395</v>
      </c>
      <c r="D146">
        <v>59041461</v>
      </c>
      <c r="E146">
        <v>1</v>
      </c>
      <c r="F146">
        <v>1</v>
      </c>
      <c r="G146">
        <v>1080</v>
      </c>
      <c r="H146">
        <v>3</v>
      </c>
      <c r="I146" t="s">
        <v>397</v>
      </c>
      <c r="J146" t="s">
        <v>398</v>
      </c>
      <c r="K146" t="s">
        <v>399</v>
      </c>
      <c r="L146">
        <v>1355</v>
      </c>
      <c r="N146">
        <v>1010</v>
      </c>
      <c r="O146" t="s">
        <v>63</v>
      </c>
      <c r="P146" t="s">
        <v>63</v>
      </c>
      <c r="Q146">
        <v>100</v>
      </c>
      <c r="W146">
        <v>0</v>
      </c>
      <c r="X146">
        <v>558684665</v>
      </c>
      <c r="Y146">
        <f>AT146</f>
        <v>2</v>
      </c>
      <c r="AA146">
        <v>10.6</v>
      </c>
      <c r="AB146">
        <v>0</v>
      </c>
      <c r="AC146">
        <v>0</v>
      </c>
      <c r="AD146">
        <v>0</v>
      </c>
      <c r="AE146">
        <v>10.6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-2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2</v>
      </c>
      <c r="AU146" t="s">
        <v>3</v>
      </c>
      <c r="AV146">
        <v>0</v>
      </c>
      <c r="AW146">
        <v>2</v>
      </c>
      <c r="AX146">
        <v>60257590</v>
      </c>
      <c r="AY146">
        <v>1</v>
      </c>
      <c r="AZ146">
        <v>0</v>
      </c>
      <c r="BA146">
        <v>158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ROUND(Y146*Source!I150,9)</f>
        <v>0.04</v>
      </c>
      <c r="CY146">
        <f>AA146</f>
        <v>10.6</v>
      </c>
      <c r="CZ146">
        <f>AE146</f>
        <v>10.6</v>
      </c>
      <c r="DA146">
        <f>AI146</f>
        <v>1</v>
      </c>
      <c r="DB146">
        <f>ROUND(ROUND(AT146*CZ146,2),6)</f>
        <v>21.2</v>
      </c>
      <c r="DC146">
        <f>ROUND(ROUND(AT146*AG146,2),6)</f>
        <v>0</v>
      </c>
      <c r="DD146" t="s">
        <v>3</v>
      </c>
      <c r="DE146" t="s">
        <v>3</v>
      </c>
      <c r="DF146">
        <f t="shared" si="101"/>
        <v>0.42</v>
      </c>
      <c r="DG146">
        <f t="shared" si="99"/>
        <v>0</v>
      </c>
      <c r="DH146">
        <f t="shared" si="100"/>
        <v>0</v>
      </c>
      <c r="DI146">
        <f t="shared" si="98"/>
        <v>0</v>
      </c>
      <c r="DJ146">
        <f>DF146</f>
        <v>0.42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ROW(Source!A150)</f>
        <v>150</v>
      </c>
      <c r="B147">
        <v>60256985</v>
      </c>
      <c r="C147">
        <v>60257395</v>
      </c>
      <c r="D147">
        <v>59004256</v>
      </c>
      <c r="E147">
        <v>1080</v>
      </c>
      <c r="F147">
        <v>1</v>
      </c>
      <c r="G147">
        <v>1080</v>
      </c>
      <c r="H147">
        <v>3</v>
      </c>
      <c r="I147" t="s">
        <v>347</v>
      </c>
      <c r="J147" t="s">
        <v>3</v>
      </c>
      <c r="K147" t="s">
        <v>348</v>
      </c>
      <c r="L147">
        <v>1348</v>
      </c>
      <c r="N147">
        <v>1009</v>
      </c>
      <c r="O147" t="s">
        <v>310</v>
      </c>
      <c r="P147" t="s">
        <v>310</v>
      </c>
      <c r="Q147">
        <v>1000</v>
      </c>
      <c r="W147">
        <v>0</v>
      </c>
      <c r="X147">
        <v>-783086922</v>
      </c>
      <c r="Y147">
        <f>AT147</f>
        <v>0.03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-2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0.03</v>
      </c>
      <c r="AU147" t="s">
        <v>3</v>
      </c>
      <c r="AV147">
        <v>0</v>
      </c>
      <c r="AW147">
        <v>2</v>
      </c>
      <c r="AX147">
        <v>60257592</v>
      </c>
      <c r="AY147">
        <v>1</v>
      </c>
      <c r="AZ147">
        <v>0</v>
      </c>
      <c r="BA147">
        <v>160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v>0</v>
      </c>
      <c r="CX147">
        <f>ROUND(Y147*Source!I150,9)</f>
        <v>5.9999999999999995E-4</v>
      </c>
      <c r="CY147">
        <f>AA147</f>
        <v>0</v>
      </c>
      <c r="CZ147">
        <f>AE147</f>
        <v>0</v>
      </c>
      <c r="DA147">
        <f>AI147</f>
        <v>1</v>
      </c>
      <c r="DB147">
        <f>ROUND(ROUND(AT147*CZ147,2),6)</f>
        <v>0</v>
      </c>
      <c r="DC147">
        <f>ROUND(ROUND(AT147*AG147,2),6)</f>
        <v>0</v>
      </c>
      <c r="DD147" t="s">
        <v>3</v>
      </c>
      <c r="DE147" t="s">
        <v>3</v>
      </c>
      <c r="DF147">
        <f t="shared" si="101"/>
        <v>0</v>
      </c>
      <c r="DG147">
        <f t="shared" si="99"/>
        <v>0</v>
      </c>
      <c r="DH147">
        <f t="shared" si="100"/>
        <v>0</v>
      </c>
      <c r="DI147">
        <f t="shared" si="98"/>
        <v>0</v>
      </c>
      <c r="DJ147">
        <f>DF147</f>
        <v>0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">
      <c r="A148">
        <f>ROW(Source!A150)</f>
        <v>150</v>
      </c>
      <c r="B148">
        <v>60256985</v>
      </c>
      <c r="C148">
        <v>60257395</v>
      </c>
      <c r="D148">
        <v>0</v>
      </c>
      <c r="E148">
        <v>1080</v>
      </c>
      <c r="F148">
        <v>1</v>
      </c>
      <c r="G148">
        <v>1080</v>
      </c>
      <c r="H148">
        <v>3</v>
      </c>
      <c r="I148" t="s">
        <v>204</v>
      </c>
      <c r="J148" t="s">
        <v>3</v>
      </c>
      <c r="K148" t="s">
        <v>205</v>
      </c>
      <c r="L148">
        <v>1371</v>
      </c>
      <c r="N148">
        <v>1013</v>
      </c>
      <c r="O148" t="s">
        <v>206</v>
      </c>
      <c r="P148" t="s">
        <v>206</v>
      </c>
      <c r="Q148">
        <v>1</v>
      </c>
      <c r="W148">
        <v>0</v>
      </c>
      <c r="X148">
        <v>1326286393</v>
      </c>
      <c r="Y148">
        <f>AT148</f>
        <v>0.10199999999999999</v>
      </c>
      <c r="AA148">
        <v>31.51</v>
      </c>
      <c r="AB148">
        <v>0</v>
      </c>
      <c r="AC148">
        <v>0</v>
      </c>
      <c r="AD148">
        <v>0</v>
      </c>
      <c r="AE148">
        <v>31.51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 t="s">
        <v>3</v>
      </c>
      <c r="AT148">
        <v>0.10199999999999999</v>
      </c>
      <c r="AU148" t="s">
        <v>3</v>
      </c>
      <c r="AV148">
        <v>0</v>
      </c>
      <c r="AW148">
        <v>1</v>
      </c>
      <c r="AX148">
        <v>-1</v>
      </c>
      <c r="AY148">
        <v>0</v>
      </c>
      <c r="AZ148">
        <v>0</v>
      </c>
      <c r="BA148" t="s">
        <v>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ROUND(Y148*Source!I150,9)</f>
        <v>2.0400000000000001E-3</v>
      </c>
      <c r="CY148">
        <f>AA148</f>
        <v>31.51</v>
      </c>
      <c r="CZ148">
        <f>AE148</f>
        <v>31.51</v>
      </c>
      <c r="DA148">
        <f>AI148</f>
        <v>1</v>
      </c>
      <c r="DB148">
        <f>ROUND(ROUND(AT148*CZ148,2),6)</f>
        <v>3.21</v>
      </c>
      <c r="DC148">
        <f>ROUND(ROUND(AT148*AG148,2),6)</f>
        <v>0</v>
      </c>
      <c r="DD148" t="s">
        <v>3</v>
      </c>
      <c r="DE148" t="s">
        <v>3</v>
      </c>
      <c r="DF148">
        <f t="shared" si="101"/>
        <v>0.06</v>
      </c>
      <c r="DG148">
        <f t="shared" si="99"/>
        <v>0</v>
      </c>
      <c r="DH148">
        <f t="shared" si="100"/>
        <v>0</v>
      </c>
      <c r="DI148">
        <f t="shared" si="98"/>
        <v>0</v>
      </c>
      <c r="DJ148">
        <f>DF148</f>
        <v>0.06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">
      <c r="A149">
        <f>ROW(Source!A151)</f>
        <v>151</v>
      </c>
      <c r="B149">
        <v>60256982</v>
      </c>
      <c r="C149">
        <v>60257395</v>
      </c>
      <c r="D149">
        <v>58999254</v>
      </c>
      <c r="E149">
        <v>1080</v>
      </c>
      <c r="F149">
        <v>1</v>
      </c>
      <c r="G149">
        <v>1080</v>
      </c>
      <c r="H149">
        <v>1</v>
      </c>
      <c r="I149" t="s">
        <v>293</v>
      </c>
      <c r="J149" t="s">
        <v>3</v>
      </c>
      <c r="K149" t="s">
        <v>294</v>
      </c>
      <c r="L149">
        <v>1191</v>
      </c>
      <c r="N149">
        <v>1013</v>
      </c>
      <c r="O149" t="s">
        <v>295</v>
      </c>
      <c r="P149" t="s">
        <v>295</v>
      </c>
      <c r="Q149">
        <v>1</v>
      </c>
      <c r="W149">
        <v>0</v>
      </c>
      <c r="X149">
        <v>476480486</v>
      </c>
      <c r="Y149">
        <f>(AT149*1.1)</f>
        <v>26.400000000000002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5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24</v>
      </c>
      <c r="AU149" t="s">
        <v>23</v>
      </c>
      <c r="AV149">
        <v>1</v>
      </c>
      <c r="AW149">
        <v>2</v>
      </c>
      <c r="AX149">
        <v>60257587</v>
      </c>
      <c r="AY149">
        <v>1</v>
      </c>
      <c r="AZ149">
        <v>0</v>
      </c>
      <c r="BA149">
        <v>161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U149">
        <f>ROUND(AT149*Source!I151*AH149*AL149,2)</f>
        <v>0</v>
      </c>
      <c r="CV149">
        <f>ROUND(Y149*Source!I151,9)</f>
        <v>0.52800000000000002</v>
      </c>
      <c r="CW149">
        <v>0</v>
      </c>
      <c r="CX149">
        <f>ROUND(Y149*Source!I151,9)</f>
        <v>0.52800000000000002</v>
      </c>
      <c r="CY149">
        <f>AD149</f>
        <v>0</v>
      </c>
      <c r="CZ149">
        <f>AH149</f>
        <v>0</v>
      </c>
      <c r="DA149">
        <f>AL149</f>
        <v>1</v>
      </c>
      <c r="DB149">
        <f>ROUND((ROUND(AT149*CZ149,2)*1.1),6)</f>
        <v>0</v>
      </c>
      <c r="DC149">
        <f>ROUND((ROUND(AT149*AG149,2)*1.1),6)</f>
        <v>0</v>
      </c>
      <c r="DD149" t="s">
        <v>3</v>
      </c>
      <c r="DE149" t="s">
        <v>3</v>
      </c>
      <c r="DF149">
        <f t="shared" si="101"/>
        <v>0</v>
      </c>
      <c r="DG149">
        <f t="shared" si="99"/>
        <v>0</v>
      </c>
      <c r="DH149">
        <f t="shared" si="100"/>
        <v>0</v>
      </c>
      <c r="DI149">
        <f t="shared" si="98"/>
        <v>0</v>
      </c>
      <c r="DJ149">
        <f>DI149</f>
        <v>0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ROW(Source!A151)</f>
        <v>151</v>
      </c>
      <c r="B150">
        <v>60256982</v>
      </c>
      <c r="C150">
        <v>60257395</v>
      </c>
      <c r="D150">
        <v>59039576</v>
      </c>
      <c r="E150">
        <v>1</v>
      </c>
      <c r="F150">
        <v>1</v>
      </c>
      <c r="G150">
        <v>1080</v>
      </c>
      <c r="H150">
        <v>3</v>
      </c>
      <c r="I150" t="s">
        <v>352</v>
      </c>
      <c r="J150" t="s">
        <v>353</v>
      </c>
      <c r="K150" t="s">
        <v>354</v>
      </c>
      <c r="L150">
        <v>1348</v>
      </c>
      <c r="N150">
        <v>1009</v>
      </c>
      <c r="O150" t="s">
        <v>310</v>
      </c>
      <c r="P150" t="s">
        <v>310</v>
      </c>
      <c r="Q150">
        <v>1000</v>
      </c>
      <c r="W150">
        <v>0</v>
      </c>
      <c r="X150">
        <v>1286623552</v>
      </c>
      <c r="Y150">
        <f>AT150</f>
        <v>6.0000000000000001E-3</v>
      </c>
      <c r="AA150">
        <v>65214.45</v>
      </c>
      <c r="AB150">
        <v>0</v>
      </c>
      <c r="AC150">
        <v>0</v>
      </c>
      <c r="AD150">
        <v>0</v>
      </c>
      <c r="AE150">
        <v>7246.05</v>
      </c>
      <c r="AF150">
        <v>0</v>
      </c>
      <c r="AG150">
        <v>0</v>
      </c>
      <c r="AH150">
        <v>0</v>
      </c>
      <c r="AI150">
        <v>9</v>
      </c>
      <c r="AJ150">
        <v>1</v>
      </c>
      <c r="AK150">
        <v>1</v>
      </c>
      <c r="AL150">
        <v>1</v>
      </c>
      <c r="AM150">
        <v>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6.0000000000000001E-3</v>
      </c>
      <c r="AU150" t="s">
        <v>3</v>
      </c>
      <c r="AV150">
        <v>0</v>
      </c>
      <c r="AW150">
        <v>2</v>
      </c>
      <c r="AX150">
        <v>60257588</v>
      </c>
      <c r="AY150">
        <v>1</v>
      </c>
      <c r="AZ150">
        <v>0</v>
      </c>
      <c r="BA150">
        <v>162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ROUND(Y150*Source!I151,9)</f>
        <v>1.2E-4</v>
      </c>
      <c r="CY150">
        <f>AA150</f>
        <v>65214.45</v>
      </c>
      <c r="CZ150">
        <f>AE150</f>
        <v>7246.05</v>
      </c>
      <c r="DA150">
        <f>AI150</f>
        <v>9</v>
      </c>
      <c r="DB150">
        <f>ROUND(ROUND(AT150*CZ150,2),6)</f>
        <v>43.48</v>
      </c>
      <c r="DC150">
        <f>ROUND(ROUND(AT150*AG150,2),6)</f>
        <v>0</v>
      </c>
      <c r="DD150" t="s">
        <v>3</v>
      </c>
      <c r="DE150" t="s">
        <v>3</v>
      </c>
      <c r="DF150">
        <f>ROUND(ROUND(AE150*AI150,2)*CX150,2)</f>
        <v>7.83</v>
      </c>
      <c r="DG150">
        <f t="shared" si="99"/>
        <v>0</v>
      </c>
      <c r="DH150">
        <f t="shared" si="100"/>
        <v>0</v>
      </c>
      <c r="DI150">
        <f t="shared" si="98"/>
        <v>0</v>
      </c>
      <c r="DJ150">
        <f>DF150</f>
        <v>7.83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">
      <c r="A151">
        <f>ROW(Source!A151)</f>
        <v>151</v>
      </c>
      <c r="B151">
        <v>60256982</v>
      </c>
      <c r="C151">
        <v>60257395</v>
      </c>
      <c r="D151">
        <v>59039985</v>
      </c>
      <c r="E151">
        <v>1</v>
      </c>
      <c r="F151">
        <v>1</v>
      </c>
      <c r="G151">
        <v>1080</v>
      </c>
      <c r="H151">
        <v>3</v>
      </c>
      <c r="I151" t="s">
        <v>394</v>
      </c>
      <c r="J151" t="s">
        <v>395</v>
      </c>
      <c r="K151" t="s">
        <v>396</v>
      </c>
      <c r="L151">
        <v>1346</v>
      </c>
      <c r="N151">
        <v>1009</v>
      </c>
      <c r="O151" t="s">
        <v>314</v>
      </c>
      <c r="P151" t="s">
        <v>314</v>
      </c>
      <c r="Q151">
        <v>1</v>
      </c>
      <c r="W151">
        <v>0</v>
      </c>
      <c r="X151">
        <v>444134433</v>
      </c>
      <c r="Y151">
        <f>AT151</f>
        <v>0.2</v>
      </c>
      <c r="AA151">
        <v>183.1</v>
      </c>
      <c r="AB151">
        <v>0</v>
      </c>
      <c r="AC151">
        <v>0</v>
      </c>
      <c r="AD151">
        <v>0</v>
      </c>
      <c r="AE151">
        <v>104.63</v>
      </c>
      <c r="AF151">
        <v>0</v>
      </c>
      <c r="AG151">
        <v>0</v>
      </c>
      <c r="AH151">
        <v>0</v>
      </c>
      <c r="AI151">
        <v>1.75</v>
      </c>
      <c r="AJ151">
        <v>1</v>
      </c>
      <c r="AK151">
        <v>1</v>
      </c>
      <c r="AL151">
        <v>1</v>
      </c>
      <c r="AM151">
        <v>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0.2</v>
      </c>
      <c r="AU151" t="s">
        <v>3</v>
      </c>
      <c r="AV151">
        <v>0</v>
      </c>
      <c r="AW151">
        <v>2</v>
      </c>
      <c r="AX151">
        <v>60257589</v>
      </c>
      <c r="AY151">
        <v>1</v>
      </c>
      <c r="AZ151">
        <v>0</v>
      </c>
      <c r="BA151">
        <v>163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ROUND(Y151*Source!I151,9)</f>
        <v>4.0000000000000001E-3</v>
      </c>
      <c r="CY151">
        <f>AA151</f>
        <v>183.1</v>
      </c>
      <c r="CZ151">
        <f>AE151</f>
        <v>104.63</v>
      </c>
      <c r="DA151">
        <f>AI151</f>
        <v>1.75</v>
      </c>
      <c r="DB151">
        <f>ROUND(ROUND(AT151*CZ151,2),6)</f>
        <v>20.93</v>
      </c>
      <c r="DC151">
        <f>ROUND(ROUND(AT151*AG151,2),6)</f>
        <v>0</v>
      </c>
      <c r="DD151" t="s">
        <v>3</v>
      </c>
      <c r="DE151" t="s">
        <v>3</v>
      </c>
      <c r="DF151">
        <f>ROUND(ROUND(AE151*AI151,2)*CX151,2)</f>
        <v>0.73</v>
      </c>
      <c r="DG151">
        <f t="shared" si="99"/>
        <v>0</v>
      </c>
      <c r="DH151">
        <f t="shared" si="100"/>
        <v>0</v>
      </c>
      <c r="DI151">
        <f t="shared" si="98"/>
        <v>0</v>
      </c>
      <c r="DJ151">
        <f>DF151</f>
        <v>0.73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">
      <c r="A152">
        <f>ROW(Source!A151)</f>
        <v>151</v>
      </c>
      <c r="B152">
        <v>60256982</v>
      </c>
      <c r="C152">
        <v>60257395</v>
      </c>
      <c r="D152">
        <v>59041461</v>
      </c>
      <c r="E152">
        <v>1</v>
      </c>
      <c r="F152">
        <v>1</v>
      </c>
      <c r="G152">
        <v>1080</v>
      </c>
      <c r="H152">
        <v>3</v>
      </c>
      <c r="I152" t="s">
        <v>397</v>
      </c>
      <c r="J152" t="s">
        <v>398</v>
      </c>
      <c r="K152" t="s">
        <v>399</v>
      </c>
      <c r="L152">
        <v>1355</v>
      </c>
      <c r="N152">
        <v>1010</v>
      </c>
      <c r="O152" t="s">
        <v>63</v>
      </c>
      <c r="P152" t="s">
        <v>63</v>
      </c>
      <c r="Q152">
        <v>100</v>
      </c>
      <c r="W152">
        <v>0</v>
      </c>
      <c r="X152">
        <v>558684665</v>
      </c>
      <c r="Y152">
        <f>AT152</f>
        <v>2</v>
      </c>
      <c r="AA152">
        <v>20.88</v>
      </c>
      <c r="AB152">
        <v>0</v>
      </c>
      <c r="AC152">
        <v>0</v>
      </c>
      <c r="AD152">
        <v>0</v>
      </c>
      <c r="AE152">
        <v>10.6</v>
      </c>
      <c r="AF152">
        <v>0</v>
      </c>
      <c r="AG152">
        <v>0</v>
      </c>
      <c r="AH152">
        <v>0</v>
      </c>
      <c r="AI152">
        <v>1.97</v>
      </c>
      <c r="AJ152">
        <v>1</v>
      </c>
      <c r="AK152">
        <v>1</v>
      </c>
      <c r="AL152">
        <v>1</v>
      </c>
      <c r="AM152">
        <v>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2</v>
      </c>
      <c r="AU152" t="s">
        <v>3</v>
      </c>
      <c r="AV152">
        <v>0</v>
      </c>
      <c r="AW152">
        <v>2</v>
      </c>
      <c r="AX152">
        <v>60257590</v>
      </c>
      <c r="AY152">
        <v>1</v>
      </c>
      <c r="AZ152">
        <v>0</v>
      </c>
      <c r="BA152">
        <v>164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ROUND(Y152*Source!I151,9)</f>
        <v>0.04</v>
      </c>
      <c r="CY152">
        <f>AA152</f>
        <v>20.88</v>
      </c>
      <c r="CZ152">
        <f>AE152</f>
        <v>10.6</v>
      </c>
      <c r="DA152">
        <f>AI152</f>
        <v>1.97</v>
      </c>
      <c r="DB152">
        <f>ROUND(ROUND(AT152*CZ152,2),6)</f>
        <v>21.2</v>
      </c>
      <c r="DC152">
        <f>ROUND(ROUND(AT152*AG152,2),6)</f>
        <v>0</v>
      </c>
      <c r="DD152" t="s">
        <v>3</v>
      </c>
      <c r="DE152" t="s">
        <v>3</v>
      </c>
      <c r="DF152">
        <f>ROUND(ROUND(AE152*AI152,2)*CX152,2)</f>
        <v>0.84</v>
      </c>
      <c r="DG152">
        <f t="shared" si="99"/>
        <v>0</v>
      </c>
      <c r="DH152">
        <f t="shared" si="100"/>
        <v>0</v>
      </c>
      <c r="DI152">
        <f t="shared" si="98"/>
        <v>0</v>
      </c>
      <c r="DJ152">
        <f>DF152</f>
        <v>0.84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ROW(Source!A151)</f>
        <v>151</v>
      </c>
      <c r="B153">
        <v>60256982</v>
      </c>
      <c r="C153">
        <v>60257395</v>
      </c>
      <c r="D153">
        <v>59004256</v>
      </c>
      <c r="E153">
        <v>1080</v>
      </c>
      <c r="F153">
        <v>1</v>
      </c>
      <c r="G153">
        <v>1080</v>
      </c>
      <c r="H153">
        <v>3</v>
      </c>
      <c r="I153" t="s">
        <v>347</v>
      </c>
      <c r="J153" t="s">
        <v>3</v>
      </c>
      <c r="K153" t="s">
        <v>348</v>
      </c>
      <c r="L153">
        <v>1348</v>
      </c>
      <c r="N153">
        <v>1009</v>
      </c>
      <c r="O153" t="s">
        <v>310</v>
      </c>
      <c r="P153" t="s">
        <v>310</v>
      </c>
      <c r="Q153">
        <v>1000</v>
      </c>
      <c r="W153">
        <v>0</v>
      </c>
      <c r="X153">
        <v>-783086922</v>
      </c>
      <c r="Y153">
        <f>AT153</f>
        <v>0.03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9.8800000000000008</v>
      </c>
      <c r="AJ153">
        <v>1</v>
      </c>
      <c r="AK153">
        <v>1</v>
      </c>
      <c r="AL153">
        <v>1</v>
      </c>
      <c r="AM153">
        <v>5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0.03</v>
      </c>
      <c r="AU153" t="s">
        <v>3</v>
      </c>
      <c r="AV153">
        <v>0</v>
      </c>
      <c r="AW153">
        <v>2</v>
      </c>
      <c r="AX153">
        <v>60257592</v>
      </c>
      <c r="AY153">
        <v>1</v>
      </c>
      <c r="AZ153">
        <v>0</v>
      </c>
      <c r="BA153">
        <v>166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v>0</v>
      </c>
      <c r="CX153">
        <f>ROUND(Y153*Source!I151,9)</f>
        <v>5.9999999999999995E-4</v>
      </c>
      <c r="CY153">
        <f>AA153</f>
        <v>0</v>
      </c>
      <c r="CZ153">
        <f>AE153</f>
        <v>0</v>
      </c>
      <c r="DA153">
        <f>AI153</f>
        <v>9.8800000000000008</v>
      </c>
      <c r="DB153">
        <f>ROUND(ROUND(AT153*CZ153,2),6)</f>
        <v>0</v>
      </c>
      <c r="DC153">
        <f>ROUND(ROUND(AT153*AG153,2),6)</f>
        <v>0</v>
      </c>
      <c r="DD153" t="s">
        <v>3</v>
      </c>
      <c r="DE153" t="s">
        <v>3</v>
      </c>
      <c r="DF153">
        <f>ROUND(ROUND(AE153*AI153,2)*CX153,2)</f>
        <v>0</v>
      </c>
      <c r="DG153">
        <f t="shared" si="99"/>
        <v>0</v>
      </c>
      <c r="DH153">
        <f t="shared" si="100"/>
        <v>0</v>
      </c>
      <c r="DI153">
        <f t="shared" si="98"/>
        <v>0</v>
      </c>
      <c r="DJ153">
        <f>DF153</f>
        <v>0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">
      <c r="A154">
        <f>ROW(Source!A151)</f>
        <v>151</v>
      </c>
      <c r="B154">
        <v>60256982</v>
      </c>
      <c r="C154">
        <v>60257395</v>
      </c>
      <c r="D154">
        <v>0</v>
      </c>
      <c r="E154">
        <v>1080</v>
      </c>
      <c r="F154">
        <v>1</v>
      </c>
      <c r="G154">
        <v>1080</v>
      </c>
      <c r="H154">
        <v>3</v>
      </c>
      <c r="I154" t="s">
        <v>204</v>
      </c>
      <c r="J154" t="s">
        <v>3</v>
      </c>
      <c r="K154" t="s">
        <v>205</v>
      </c>
      <c r="L154">
        <v>1371</v>
      </c>
      <c r="N154">
        <v>1013</v>
      </c>
      <c r="O154" t="s">
        <v>206</v>
      </c>
      <c r="P154" t="s">
        <v>206</v>
      </c>
      <c r="Q154">
        <v>1</v>
      </c>
      <c r="W154">
        <v>0</v>
      </c>
      <c r="X154">
        <v>1326286393</v>
      </c>
      <c r="Y154">
        <f>AT154</f>
        <v>0.10199999999999999</v>
      </c>
      <c r="AA154">
        <v>311.32</v>
      </c>
      <c r="AB154">
        <v>0</v>
      </c>
      <c r="AC154">
        <v>0</v>
      </c>
      <c r="AD154">
        <v>0</v>
      </c>
      <c r="AE154">
        <v>31.51</v>
      </c>
      <c r="AF154">
        <v>0</v>
      </c>
      <c r="AG154">
        <v>0</v>
      </c>
      <c r="AH154">
        <v>0</v>
      </c>
      <c r="AI154">
        <v>9.8800000000000008</v>
      </c>
      <c r="AJ154">
        <v>1</v>
      </c>
      <c r="AK154">
        <v>1</v>
      </c>
      <c r="AL154">
        <v>1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 t="s">
        <v>3</v>
      </c>
      <c r="AT154">
        <v>0.10199999999999999</v>
      </c>
      <c r="AU154" t="s">
        <v>3</v>
      </c>
      <c r="AV154">
        <v>0</v>
      </c>
      <c r="AW154">
        <v>1</v>
      </c>
      <c r="AX154">
        <v>-1</v>
      </c>
      <c r="AY154">
        <v>0</v>
      </c>
      <c r="AZ154">
        <v>0</v>
      </c>
      <c r="BA154" t="s">
        <v>3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ROUND(Y154*Source!I151,9)</f>
        <v>2.0400000000000001E-3</v>
      </c>
      <c r="CY154">
        <f>AA154</f>
        <v>311.32</v>
      </c>
      <c r="CZ154">
        <f>AE154</f>
        <v>31.51</v>
      </c>
      <c r="DA154">
        <f>AI154</f>
        <v>9.8800000000000008</v>
      </c>
      <c r="DB154">
        <f>ROUND(ROUND(AT154*CZ154,2),6)</f>
        <v>3.21</v>
      </c>
      <c r="DC154">
        <f>ROUND(ROUND(AT154*AG154,2),6)</f>
        <v>0</v>
      </c>
      <c r="DD154" t="s">
        <v>3</v>
      </c>
      <c r="DE154" t="s">
        <v>3</v>
      </c>
      <c r="DF154">
        <f>ROUND(ROUND(AE154*AI154,2)*CX154,2)</f>
        <v>0.64</v>
      </c>
      <c r="DG154">
        <f t="shared" si="99"/>
        <v>0</v>
      </c>
      <c r="DH154">
        <f t="shared" si="100"/>
        <v>0</v>
      </c>
      <c r="DI154">
        <f t="shared" si="98"/>
        <v>0</v>
      </c>
      <c r="DJ154">
        <f>DF154</f>
        <v>0.64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">
      <c r="A155">
        <f>ROW(Source!A154)</f>
        <v>154</v>
      </c>
      <c r="B155">
        <v>60256985</v>
      </c>
      <c r="C155">
        <v>60257409</v>
      </c>
      <c r="D155">
        <v>58999254</v>
      </c>
      <c r="E155">
        <v>1080</v>
      </c>
      <c r="F155">
        <v>1</v>
      </c>
      <c r="G155">
        <v>1080</v>
      </c>
      <c r="H155">
        <v>1</v>
      </c>
      <c r="I155" t="s">
        <v>293</v>
      </c>
      <c r="J155" t="s">
        <v>3</v>
      </c>
      <c r="K155" t="s">
        <v>294</v>
      </c>
      <c r="L155">
        <v>1191</v>
      </c>
      <c r="N155">
        <v>1013</v>
      </c>
      <c r="O155" t="s">
        <v>295</v>
      </c>
      <c r="P155" t="s">
        <v>295</v>
      </c>
      <c r="Q155">
        <v>1</v>
      </c>
      <c r="W155">
        <v>0</v>
      </c>
      <c r="X155">
        <v>476480486</v>
      </c>
      <c r="Y155">
        <f>(AT155*1.1)</f>
        <v>26.400000000000002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24</v>
      </c>
      <c r="AU155" t="s">
        <v>23</v>
      </c>
      <c r="AV155">
        <v>1</v>
      </c>
      <c r="AW155">
        <v>2</v>
      </c>
      <c r="AX155">
        <v>60257593</v>
      </c>
      <c r="AY155">
        <v>1</v>
      </c>
      <c r="AZ155">
        <v>0</v>
      </c>
      <c r="BA155">
        <v>167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U155">
        <f>ROUND(AT155*Source!I154*AH155*AL155,2)</f>
        <v>0</v>
      </c>
      <c r="CV155">
        <f>ROUND(Y155*Source!I154,9)</f>
        <v>0.52800000000000002</v>
      </c>
      <c r="CW155">
        <v>0</v>
      </c>
      <c r="CX155">
        <f>ROUND(Y155*Source!I154,9)</f>
        <v>0.52800000000000002</v>
      </c>
      <c r="CY155">
        <f>AD155</f>
        <v>0</v>
      </c>
      <c r="CZ155">
        <f>AH155</f>
        <v>0</v>
      </c>
      <c r="DA155">
        <f>AL155</f>
        <v>1</v>
      </c>
      <c r="DB155">
        <f>ROUND((ROUND(AT155*CZ155,2)*1.1),6)</f>
        <v>0</v>
      </c>
      <c r="DC155">
        <f>ROUND((ROUND(AT155*AG155,2)*1.1),6)</f>
        <v>0</v>
      </c>
      <c r="DD155" t="s">
        <v>3</v>
      </c>
      <c r="DE155" t="s">
        <v>3</v>
      </c>
      <c r="DF155">
        <f t="shared" ref="DF155:DF161" si="102">ROUND(ROUND(AE155,2)*CX155,2)</f>
        <v>0</v>
      </c>
      <c r="DG155">
        <f t="shared" si="99"/>
        <v>0</v>
      </c>
      <c r="DH155">
        <f t="shared" si="100"/>
        <v>0</v>
      </c>
      <c r="DI155">
        <f t="shared" si="98"/>
        <v>0</v>
      </c>
      <c r="DJ155">
        <f>DI155</f>
        <v>0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ROW(Source!A154)</f>
        <v>154</v>
      </c>
      <c r="B156">
        <v>60256985</v>
      </c>
      <c r="C156">
        <v>60257409</v>
      </c>
      <c r="D156">
        <v>59039576</v>
      </c>
      <c r="E156">
        <v>1</v>
      </c>
      <c r="F156">
        <v>1</v>
      </c>
      <c r="G156">
        <v>1080</v>
      </c>
      <c r="H156">
        <v>3</v>
      </c>
      <c r="I156" t="s">
        <v>352</v>
      </c>
      <c r="J156" t="s">
        <v>353</v>
      </c>
      <c r="K156" t="s">
        <v>354</v>
      </c>
      <c r="L156">
        <v>1348</v>
      </c>
      <c r="N156">
        <v>1009</v>
      </c>
      <c r="O156" t="s">
        <v>310</v>
      </c>
      <c r="P156" t="s">
        <v>310</v>
      </c>
      <c r="Q156">
        <v>1000</v>
      </c>
      <c r="W156">
        <v>0</v>
      </c>
      <c r="X156">
        <v>1286623552</v>
      </c>
      <c r="Y156">
        <f>AT156</f>
        <v>6.0000000000000001E-3</v>
      </c>
      <c r="AA156">
        <v>7246.05</v>
      </c>
      <c r="AB156">
        <v>0</v>
      </c>
      <c r="AC156">
        <v>0</v>
      </c>
      <c r="AD156">
        <v>0</v>
      </c>
      <c r="AE156">
        <v>7246.05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-2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6.0000000000000001E-3</v>
      </c>
      <c r="AU156" t="s">
        <v>3</v>
      </c>
      <c r="AV156">
        <v>0</v>
      </c>
      <c r="AW156">
        <v>2</v>
      </c>
      <c r="AX156">
        <v>60257594</v>
      </c>
      <c r="AY156">
        <v>1</v>
      </c>
      <c r="AZ156">
        <v>0</v>
      </c>
      <c r="BA156">
        <v>168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ROUND(Y156*Source!I154,9)</f>
        <v>1.2E-4</v>
      </c>
      <c r="CY156">
        <f>AA156</f>
        <v>7246.05</v>
      </c>
      <c r="CZ156">
        <f>AE156</f>
        <v>7246.05</v>
      </c>
      <c r="DA156">
        <f>AI156</f>
        <v>1</v>
      </c>
      <c r="DB156">
        <f>ROUND(ROUND(AT156*CZ156,2),6)</f>
        <v>43.48</v>
      </c>
      <c r="DC156">
        <f>ROUND(ROUND(AT156*AG156,2),6)</f>
        <v>0</v>
      </c>
      <c r="DD156" t="s">
        <v>3</v>
      </c>
      <c r="DE156" t="s">
        <v>3</v>
      </c>
      <c r="DF156">
        <f t="shared" si="102"/>
        <v>0.87</v>
      </c>
      <c r="DG156">
        <f t="shared" si="99"/>
        <v>0</v>
      </c>
      <c r="DH156">
        <f t="shared" si="100"/>
        <v>0</v>
      </c>
      <c r="DI156">
        <f t="shared" si="98"/>
        <v>0</v>
      </c>
      <c r="DJ156">
        <f>DF156</f>
        <v>0.87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ROW(Source!A154)</f>
        <v>154</v>
      </c>
      <c r="B157">
        <v>60256985</v>
      </c>
      <c r="C157">
        <v>60257409</v>
      </c>
      <c r="D157">
        <v>59039985</v>
      </c>
      <c r="E157">
        <v>1</v>
      </c>
      <c r="F157">
        <v>1</v>
      </c>
      <c r="G157">
        <v>1080</v>
      </c>
      <c r="H157">
        <v>3</v>
      </c>
      <c r="I157" t="s">
        <v>394</v>
      </c>
      <c r="J157" t="s">
        <v>395</v>
      </c>
      <c r="K157" t="s">
        <v>396</v>
      </c>
      <c r="L157">
        <v>1346</v>
      </c>
      <c r="N157">
        <v>1009</v>
      </c>
      <c r="O157" t="s">
        <v>314</v>
      </c>
      <c r="P157" t="s">
        <v>314</v>
      </c>
      <c r="Q157">
        <v>1</v>
      </c>
      <c r="W157">
        <v>0</v>
      </c>
      <c r="X157">
        <v>444134433</v>
      </c>
      <c r="Y157">
        <f>AT157</f>
        <v>0.2</v>
      </c>
      <c r="AA157">
        <v>104.63</v>
      </c>
      <c r="AB157">
        <v>0</v>
      </c>
      <c r="AC157">
        <v>0</v>
      </c>
      <c r="AD157">
        <v>0</v>
      </c>
      <c r="AE157">
        <v>104.63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-2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0.2</v>
      </c>
      <c r="AU157" t="s">
        <v>3</v>
      </c>
      <c r="AV157">
        <v>0</v>
      </c>
      <c r="AW157">
        <v>2</v>
      </c>
      <c r="AX157">
        <v>60257595</v>
      </c>
      <c r="AY157">
        <v>1</v>
      </c>
      <c r="AZ157">
        <v>0</v>
      </c>
      <c r="BA157">
        <v>169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ROUND(Y157*Source!I154,9)</f>
        <v>4.0000000000000001E-3</v>
      </c>
      <c r="CY157">
        <f>AA157</f>
        <v>104.63</v>
      </c>
      <c r="CZ157">
        <f>AE157</f>
        <v>104.63</v>
      </c>
      <c r="DA157">
        <f>AI157</f>
        <v>1</v>
      </c>
      <c r="DB157">
        <f>ROUND(ROUND(AT157*CZ157,2),6)</f>
        <v>20.93</v>
      </c>
      <c r="DC157">
        <f>ROUND(ROUND(AT157*AG157,2),6)</f>
        <v>0</v>
      </c>
      <c r="DD157" t="s">
        <v>3</v>
      </c>
      <c r="DE157" t="s">
        <v>3</v>
      </c>
      <c r="DF157">
        <f t="shared" si="102"/>
        <v>0.42</v>
      </c>
      <c r="DG157">
        <f t="shared" si="99"/>
        <v>0</v>
      </c>
      <c r="DH157">
        <f t="shared" si="100"/>
        <v>0</v>
      </c>
      <c r="DI157">
        <f t="shared" si="98"/>
        <v>0</v>
      </c>
      <c r="DJ157">
        <f>DF157</f>
        <v>0.42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ROW(Source!A154)</f>
        <v>154</v>
      </c>
      <c r="B158">
        <v>60256985</v>
      </c>
      <c r="C158">
        <v>60257409</v>
      </c>
      <c r="D158">
        <v>59041461</v>
      </c>
      <c r="E158">
        <v>1</v>
      </c>
      <c r="F158">
        <v>1</v>
      </c>
      <c r="G158">
        <v>1080</v>
      </c>
      <c r="H158">
        <v>3</v>
      </c>
      <c r="I158" t="s">
        <v>397</v>
      </c>
      <c r="J158" t="s">
        <v>398</v>
      </c>
      <c r="K158" t="s">
        <v>399</v>
      </c>
      <c r="L158">
        <v>1355</v>
      </c>
      <c r="N158">
        <v>1010</v>
      </c>
      <c r="O158" t="s">
        <v>63</v>
      </c>
      <c r="P158" t="s">
        <v>63</v>
      </c>
      <c r="Q158">
        <v>100</v>
      </c>
      <c r="W158">
        <v>0</v>
      </c>
      <c r="X158">
        <v>558684665</v>
      </c>
      <c r="Y158">
        <f>AT158</f>
        <v>2</v>
      </c>
      <c r="AA158">
        <v>10.6</v>
      </c>
      <c r="AB158">
        <v>0</v>
      </c>
      <c r="AC158">
        <v>0</v>
      </c>
      <c r="AD158">
        <v>0</v>
      </c>
      <c r="AE158">
        <v>10.6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-2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2</v>
      </c>
      <c r="AU158" t="s">
        <v>3</v>
      </c>
      <c r="AV158">
        <v>0</v>
      </c>
      <c r="AW158">
        <v>2</v>
      </c>
      <c r="AX158">
        <v>60257596</v>
      </c>
      <c r="AY158">
        <v>1</v>
      </c>
      <c r="AZ158">
        <v>0</v>
      </c>
      <c r="BA158">
        <v>170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ROUND(Y158*Source!I154,9)</f>
        <v>0.04</v>
      </c>
      <c r="CY158">
        <f>AA158</f>
        <v>10.6</v>
      </c>
      <c r="CZ158">
        <f>AE158</f>
        <v>10.6</v>
      </c>
      <c r="DA158">
        <f>AI158</f>
        <v>1</v>
      </c>
      <c r="DB158">
        <f>ROUND(ROUND(AT158*CZ158,2),6)</f>
        <v>21.2</v>
      </c>
      <c r="DC158">
        <f>ROUND(ROUND(AT158*AG158,2),6)</f>
        <v>0</v>
      </c>
      <c r="DD158" t="s">
        <v>3</v>
      </c>
      <c r="DE158" t="s">
        <v>3</v>
      </c>
      <c r="DF158">
        <f t="shared" si="102"/>
        <v>0.42</v>
      </c>
      <c r="DG158">
        <f t="shared" si="99"/>
        <v>0</v>
      </c>
      <c r="DH158">
        <f t="shared" si="100"/>
        <v>0</v>
      </c>
      <c r="DI158">
        <f t="shared" si="98"/>
        <v>0</v>
      </c>
      <c r="DJ158">
        <f>DF158</f>
        <v>0.42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">
      <c r="A159">
        <f>ROW(Source!A154)</f>
        <v>154</v>
      </c>
      <c r="B159">
        <v>60256985</v>
      </c>
      <c r="C159">
        <v>60257409</v>
      </c>
      <c r="D159">
        <v>59057906</v>
      </c>
      <c r="E159">
        <v>1</v>
      </c>
      <c r="F159">
        <v>1</v>
      </c>
      <c r="G159">
        <v>1080</v>
      </c>
      <c r="H159">
        <v>3</v>
      </c>
      <c r="I159" t="s">
        <v>210</v>
      </c>
      <c r="J159" t="s">
        <v>212</v>
      </c>
      <c r="K159" t="s">
        <v>211</v>
      </c>
      <c r="L159">
        <v>1354</v>
      </c>
      <c r="N159">
        <v>1010</v>
      </c>
      <c r="O159" t="s">
        <v>31</v>
      </c>
      <c r="P159" t="s">
        <v>31</v>
      </c>
      <c r="Q159">
        <v>1</v>
      </c>
      <c r="W159">
        <v>0</v>
      </c>
      <c r="X159">
        <v>639455440</v>
      </c>
      <c r="Y159">
        <f>AT159</f>
        <v>100</v>
      </c>
      <c r="AA159">
        <v>29.6</v>
      </c>
      <c r="AB159">
        <v>0</v>
      </c>
      <c r="AC159">
        <v>0</v>
      </c>
      <c r="AD159">
        <v>0</v>
      </c>
      <c r="AE159">
        <v>29.6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 t="s">
        <v>3</v>
      </c>
      <c r="AT159">
        <v>100</v>
      </c>
      <c r="AU159" t="s">
        <v>3</v>
      </c>
      <c r="AV159">
        <v>0</v>
      </c>
      <c r="AW159">
        <v>1</v>
      </c>
      <c r="AX159">
        <v>-1</v>
      </c>
      <c r="AY159">
        <v>0</v>
      </c>
      <c r="AZ159">
        <v>0</v>
      </c>
      <c r="BA159" t="s">
        <v>3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ROUND(Y159*Source!I154,9)</f>
        <v>2</v>
      </c>
      <c r="CY159">
        <f>AA159</f>
        <v>29.6</v>
      </c>
      <c r="CZ159">
        <f>AE159</f>
        <v>29.6</v>
      </c>
      <c r="DA159">
        <f>AI159</f>
        <v>1</v>
      </c>
      <c r="DB159">
        <f>ROUND(ROUND(AT159*CZ159,2),6)</f>
        <v>2960</v>
      </c>
      <c r="DC159">
        <f>ROUND(ROUND(AT159*AG159,2),6)</f>
        <v>0</v>
      </c>
      <c r="DD159" t="s">
        <v>3</v>
      </c>
      <c r="DE159" t="s">
        <v>3</v>
      </c>
      <c r="DF159">
        <f t="shared" si="102"/>
        <v>59.2</v>
      </c>
      <c r="DG159">
        <f t="shared" si="99"/>
        <v>0</v>
      </c>
      <c r="DH159">
        <f t="shared" si="100"/>
        <v>0</v>
      </c>
      <c r="DI159">
        <f t="shared" si="98"/>
        <v>0</v>
      </c>
      <c r="DJ159">
        <f>DF159</f>
        <v>59.2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ROW(Source!A154)</f>
        <v>154</v>
      </c>
      <c r="B160">
        <v>60256985</v>
      </c>
      <c r="C160">
        <v>60257409</v>
      </c>
      <c r="D160">
        <v>59004256</v>
      </c>
      <c r="E160">
        <v>1080</v>
      </c>
      <c r="F160">
        <v>1</v>
      </c>
      <c r="G160">
        <v>1080</v>
      </c>
      <c r="H160">
        <v>3</v>
      </c>
      <c r="I160" t="s">
        <v>347</v>
      </c>
      <c r="J160" t="s">
        <v>3</v>
      </c>
      <c r="K160" t="s">
        <v>348</v>
      </c>
      <c r="L160">
        <v>1348</v>
      </c>
      <c r="N160">
        <v>1009</v>
      </c>
      <c r="O160" t="s">
        <v>310</v>
      </c>
      <c r="P160" t="s">
        <v>310</v>
      </c>
      <c r="Q160">
        <v>1000</v>
      </c>
      <c r="W160">
        <v>0</v>
      </c>
      <c r="X160">
        <v>-783086922</v>
      </c>
      <c r="Y160">
        <f>AT160</f>
        <v>0.03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-2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0.03</v>
      </c>
      <c r="AU160" t="s">
        <v>3</v>
      </c>
      <c r="AV160">
        <v>0</v>
      </c>
      <c r="AW160">
        <v>2</v>
      </c>
      <c r="AX160">
        <v>60257598</v>
      </c>
      <c r="AY160">
        <v>1</v>
      </c>
      <c r="AZ160">
        <v>0</v>
      </c>
      <c r="BA160">
        <v>172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ROUND(Y160*Source!I154,9)</f>
        <v>5.9999999999999995E-4</v>
      </c>
      <c r="CY160">
        <f>AA160</f>
        <v>0</v>
      </c>
      <c r="CZ160">
        <f>AE160</f>
        <v>0</v>
      </c>
      <c r="DA160">
        <f>AI160</f>
        <v>1</v>
      </c>
      <c r="DB160">
        <f>ROUND(ROUND(AT160*CZ160,2),6)</f>
        <v>0</v>
      </c>
      <c r="DC160">
        <f>ROUND(ROUND(AT160*AG160,2),6)</f>
        <v>0</v>
      </c>
      <c r="DD160" t="s">
        <v>3</v>
      </c>
      <c r="DE160" t="s">
        <v>3</v>
      </c>
      <c r="DF160">
        <f t="shared" si="102"/>
        <v>0</v>
      </c>
      <c r="DG160">
        <f t="shared" si="99"/>
        <v>0</v>
      </c>
      <c r="DH160">
        <f t="shared" si="100"/>
        <v>0</v>
      </c>
      <c r="DI160">
        <f t="shared" si="98"/>
        <v>0</v>
      </c>
      <c r="DJ160">
        <f>DF160</f>
        <v>0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">
      <c r="A161">
        <f>ROW(Source!A155)</f>
        <v>155</v>
      </c>
      <c r="B161">
        <v>60256982</v>
      </c>
      <c r="C161">
        <v>60257409</v>
      </c>
      <c r="D161">
        <v>58999254</v>
      </c>
      <c r="E161">
        <v>1080</v>
      </c>
      <c r="F161">
        <v>1</v>
      </c>
      <c r="G161">
        <v>1080</v>
      </c>
      <c r="H161">
        <v>1</v>
      </c>
      <c r="I161" t="s">
        <v>293</v>
      </c>
      <c r="J161" t="s">
        <v>3</v>
      </c>
      <c r="K161" t="s">
        <v>294</v>
      </c>
      <c r="L161">
        <v>1191</v>
      </c>
      <c r="N161">
        <v>1013</v>
      </c>
      <c r="O161" t="s">
        <v>295</v>
      </c>
      <c r="P161" t="s">
        <v>295</v>
      </c>
      <c r="Q161">
        <v>1</v>
      </c>
      <c r="W161">
        <v>0</v>
      </c>
      <c r="X161">
        <v>476480486</v>
      </c>
      <c r="Y161">
        <f>(AT161*1.1)</f>
        <v>26.400000000000002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5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24</v>
      </c>
      <c r="AU161" t="s">
        <v>23</v>
      </c>
      <c r="AV161">
        <v>1</v>
      </c>
      <c r="AW161">
        <v>2</v>
      </c>
      <c r="AX161">
        <v>60257593</v>
      </c>
      <c r="AY161">
        <v>1</v>
      </c>
      <c r="AZ161">
        <v>0</v>
      </c>
      <c r="BA161">
        <v>173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U161">
        <f>ROUND(AT161*Source!I155*AH161*AL161,2)</f>
        <v>0</v>
      </c>
      <c r="CV161">
        <f>ROUND(Y161*Source!I155,9)</f>
        <v>0.52800000000000002</v>
      </c>
      <c r="CW161">
        <v>0</v>
      </c>
      <c r="CX161">
        <f>ROUND(Y161*Source!I155,9)</f>
        <v>0.52800000000000002</v>
      </c>
      <c r="CY161">
        <f>AD161</f>
        <v>0</v>
      </c>
      <c r="CZ161">
        <f>AH161</f>
        <v>0</v>
      </c>
      <c r="DA161">
        <f>AL161</f>
        <v>1</v>
      </c>
      <c r="DB161">
        <f>ROUND((ROUND(AT161*CZ161,2)*1.1),6)</f>
        <v>0</v>
      </c>
      <c r="DC161">
        <f>ROUND((ROUND(AT161*AG161,2)*1.1),6)</f>
        <v>0</v>
      </c>
      <c r="DD161" t="s">
        <v>3</v>
      </c>
      <c r="DE161" t="s">
        <v>3</v>
      </c>
      <c r="DF161">
        <f t="shared" si="102"/>
        <v>0</v>
      </c>
      <c r="DG161">
        <f t="shared" si="99"/>
        <v>0</v>
      </c>
      <c r="DH161">
        <f t="shared" si="100"/>
        <v>0</v>
      </c>
      <c r="DI161">
        <f t="shared" si="98"/>
        <v>0</v>
      </c>
      <c r="DJ161">
        <f>DI161</f>
        <v>0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">
      <c r="A162">
        <f>ROW(Source!A155)</f>
        <v>155</v>
      </c>
      <c r="B162">
        <v>60256982</v>
      </c>
      <c r="C162">
        <v>60257409</v>
      </c>
      <c r="D162">
        <v>59039576</v>
      </c>
      <c r="E162">
        <v>1</v>
      </c>
      <c r="F162">
        <v>1</v>
      </c>
      <c r="G162">
        <v>1080</v>
      </c>
      <c r="H162">
        <v>3</v>
      </c>
      <c r="I162" t="s">
        <v>352</v>
      </c>
      <c r="J162" t="s">
        <v>353</v>
      </c>
      <c r="K162" t="s">
        <v>354</v>
      </c>
      <c r="L162">
        <v>1348</v>
      </c>
      <c r="N162">
        <v>1009</v>
      </c>
      <c r="O162" t="s">
        <v>310</v>
      </c>
      <c r="P162" t="s">
        <v>310</v>
      </c>
      <c r="Q162">
        <v>1000</v>
      </c>
      <c r="W162">
        <v>0</v>
      </c>
      <c r="X162">
        <v>1286623552</v>
      </c>
      <c r="Y162">
        <f>AT162</f>
        <v>6.0000000000000001E-3</v>
      </c>
      <c r="AA162">
        <v>65214.45</v>
      </c>
      <c r="AB162">
        <v>0</v>
      </c>
      <c r="AC162">
        <v>0</v>
      </c>
      <c r="AD162">
        <v>0</v>
      </c>
      <c r="AE162">
        <v>7246.05</v>
      </c>
      <c r="AF162">
        <v>0</v>
      </c>
      <c r="AG162">
        <v>0</v>
      </c>
      <c r="AH162">
        <v>0</v>
      </c>
      <c r="AI162">
        <v>9</v>
      </c>
      <c r="AJ162">
        <v>1</v>
      </c>
      <c r="AK162">
        <v>1</v>
      </c>
      <c r="AL162">
        <v>1</v>
      </c>
      <c r="AM162">
        <v>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6.0000000000000001E-3</v>
      </c>
      <c r="AU162" t="s">
        <v>3</v>
      </c>
      <c r="AV162">
        <v>0</v>
      </c>
      <c r="AW162">
        <v>2</v>
      </c>
      <c r="AX162">
        <v>60257594</v>
      </c>
      <c r="AY162">
        <v>1</v>
      </c>
      <c r="AZ162">
        <v>0</v>
      </c>
      <c r="BA162">
        <v>174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v>0</v>
      </c>
      <c r="CX162">
        <f>ROUND(Y162*Source!I155,9)</f>
        <v>1.2E-4</v>
      </c>
      <c r="CY162">
        <f>AA162</f>
        <v>65214.45</v>
      </c>
      <c r="CZ162">
        <f>AE162</f>
        <v>7246.05</v>
      </c>
      <c r="DA162">
        <f>AI162</f>
        <v>9</v>
      </c>
      <c r="DB162">
        <f>ROUND(ROUND(AT162*CZ162,2),6)</f>
        <v>43.48</v>
      </c>
      <c r="DC162">
        <f>ROUND(ROUND(AT162*AG162,2),6)</f>
        <v>0</v>
      </c>
      <c r="DD162" t="s">
        <v>3</v>
      </c>
      <c r="DE162" t="s">
        <v>3</v>
      </c>
      <c r="DF162">
        <f>ROUND(ROUND(AE162*AI162,2)*CX162,2)</f>
        <v>7.83</v>
      </c>
      <c r="DG162">
        <f t="shared" si="99"/>
        <v>0</v>
      </c>
      <c r="DH162">
        <f t="shared" si="100"/>
        <v>0</v>
      </c>
      <c r="DI162">
        <f t="shared" si="98"/>
        <v>0</v>
      </c>
      <c r="DJ162">
        <f>DF162</f>
        <v>7.83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">
      <c r="A163">
        <f>ROW(Source!A155)</f>
        <v>155</v>
      </c>
      <c r="B163">
        <v>60256982</v>
      </c>
      <c r="C163">
        <v>60257409</v>
      </c>
      <c r="D163">
        <v>59039985</v>
      </c>
      <c r="E163">
        <v>1</v>
      </c>
      <c r="F163">
        <v>1</v>
      </c>
      <c r="G163">
        <v>1080</v>
      </c>
      <c r="H163">
        <v>3</v>
      </c>
      <c r="I163" t="s">
        <v>394</v>
      </c>
      <c r="J163" t="s">
        <v>395</v>
      </c>
      <c r="K163" t="s">
        <v>396</v>
      </c>
      <c r="L163">
        <v>1346</v>
      </c>
      <c r="N163">
        <v>1009</v>
      </c>
      <c r="O163" t="s">
        <v>314</v>
      </c>
      <c r="P163" t="s">
        <v>314</v>
      </c>
      <c r="Q163">
        <v>1</v>
      </c>
      <c r="W163">
        <v>0</v>
      </c>
      <c r="X163">
        <v>444134433</v>
      </c>
      <c r="Y163">
        <f>AT163</f>
        <v>0.2</v>
      </c>
      <c r="AA163">
        <v>183.1</v>
      </c>
      <c r="AB163">
        <v>0</v>
      </c>
      <c r="AC163">
        <v>0</v>
      </c>
      <c r="AD163">
        <v>0</v>
      </c>
      <c r="AE163">
        <v>104.63</v>
      </c>
      <c r="AF163">
        <v>0</v>
      </c>
      <c r="AG163">
        <v>0</v>
      </c>
      <c r="AH163">
        <v>0</v>
      </c>
      <c r="AI163">
        <v>1.75</v>
      </c>
      <c r="AJ163">
        <v>1</v>
      </c>
      <c r="AK163">
        <v>1</v>
      </c>
      <c r="AL163">
        <v>1</v>
      </c>
      <c r="AM163">
        <v>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0.2</v>
      </c>
      <c r="AU163" t="s">
        <v>3</v>
      </c>
      <c r="AV163">
        <v>0</v>
      </c>
      <c r="AW163">
        <v>2</v>
      </c>
      <c r="AX163">
        <v>60257595</v>
      </c>
      <c r="AY163">
        <v>1</v>
      </c>
      <c r="AZ163">
        <v>0</v>
      </c>
      <c r="BA163">
        <v>175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v>0</v>
      </c>
      <c r="CX163">
        <f>ROUND(Y163*Source!I155,9)</f>
        <v>4.0000000000000001E-3</v>
      </c>
      <c r="CY163">
        <f>AA163</f>
        <v>183.1</v>
      </c>
      <c r="CZ163">
        <f>AE163</f>
        <v>104.63</v>
      </c>
      <c r="DA163">
        <f>AI163</f>
        <v>1.75</v>
      </c>
      <c r="DB163">
        <f>ROUND(ROUND(AT163*CZ163,2),6)</f>
        <v>20.93</v>
      </c>
      <c r="DC163">
        <f>ROUND(ROUND(AT163*AG163,2),6)</f>
        <v>0</v>
      </c>
      <c r="DD163" t="s">
        <v>3</v>
      </c>
      <c r="DE163" t="s">
        <v>3</v>
      </c>
      <c r="DF163">
        <f>ROUND(ROUND(AE163*AI163,2)*CX163,2)</f>
        <v>0.73</v>
      </c>
      <c r="DG163">
        <f t="shared" si="99"/>
        <v>0</v>
      </c>
      <c r="DH163">
        <f t="shared" si="100"/>
        <v>0</v>
      </c>
      <c r="DI163">
        <f t="shared" si="98"/>
        <v>0</v>
      </c>
      <c r="DJ163">
        <f>DF163</f>
        <v>0.73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">
      <c r="A164">
        <f>ROW(Source!A155)</f>
        <v>155</v>
      </c>
      <c r="B164">
        <v>60256982</v>
      </c>
      <c r="C164">
        <v>60257409</v>
      </c>
      <c r="D164">
        <v>59041461</v>
      </c>
      <c r="E164">
        <v>1</v>
      </c>
      <c r="F164">
        <v>1</v>
      </c>
      <c r="G164">
        <v>1080</v>
      </c>
      <c r="H164">
        <v>3</v>
      </c>
      <c r="I164" t="s">
        <v>397</v>
      </c>
      <c r="J164" t="s">
        <v>398</v>
      </c>
      <c r="K164" t="s">
        <v>399</v>
      </c>
      <c r="L164">
        <v>1355</v>
      </c>
      <c r="N164">
        <v>1010</v>
      </c>
      <c r="O164" t="s">
        <v>63</v>
      </c>
      <c r="P164" t="s">
        <v>63</v>
      </c>
      <c r="Q164">
        <v>100</v>
      </c>
      <c r="W164">
        <v>0</v>
      </c>
      <c r="X164">
        <v>558684665</v>
      </c>
      <c r="Y164">
        <f>AT164</f>
        <v>2</v>
      </c>
      <c r="AA164">
        <v>20.88</v>
      </c>
      <c r="AB164">
        <v>0</v>
      </c>
      <c r="AC164">
        <v>0</v>
      </c>
      <c r="AD164">
        <v>0</v>
      </c>
      <c r="AE164">
        <v>10.6</v>
      </c>
      <c r="AF164">
        <v>0</v>
      </c>
      <c r="AG164">
        <v>0</v>
      </c>
      <c r="AH164">
        <v>0</v>
      </c>
      <c r="AI164">
        <v>1.97</v>
      </c>
      <c r="AJ164">
        <v>1</v>
      </c>
      <c r="AK164">
        <v>1</v>
      </c>
      <c r="AL164">
        <v>1</v>
      </c>
      <c r="AM164">
        <v>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2</v>
      </c>
      <c r="AU164" t="s">
        <v>3</v>
      </c>
      <c r="AV164">
        <v>0</v>
      </c>
      <c r="AW164">
        <v>2</v>
      </c>
      <c r="AX164">
        <v>60257596</v>
      </c>
      <c r="AY164">
        <v>1</v>
      </c>
      <c r="AZ164">
        <v>0</v>
      </c>
      <c r="BA164">
        <v>176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ROUND(Y164*Source!I155,9)</f>
        <v>0.04</v>
      </c>
      <c r="CY164">
        <f>AA164</f>
        <v>20.88</v>
      </c>
      <c r="CZ164">
        <f>AE164</f>
        <v>10.6</v>
      </c>
      <c r="DA164">
        <f>AI164</f>
        <v>1.97</v>
      </c>
      <c r="DB164">
        <f>ROUND(ROUND(AT164*CZ164,2),6)</f>
        <v>21.2</v>
      </c>
      <c r="DC164">
        <f>ROUND(ROUND(AT164*AG164,2),6)</f>
        <v>0</v>
      </c>
      <c r="DD164" t="s">
        <v>3</v>
      </c>
      <c r="DE164" t="s">
        <v>3</v>
      </c>
      <c r="DF164">
        <f>ROUND(ROUND(AE164*AI164,2)*CX164,2)</f>
        <v>0.84</v>
      </c>
      <c r="DG164">
        <f t="shared" si="99"/>
        <v>0</v>
      </c>
      <c r="DH164">
        <f t="shared" si="100"/>
        <v>0</v>
      </c>
      <c r="DI164">
        <f t="shared" si="98"/>
        <v>0</v>
      </c>
      <c r="DJ164">
        <f>DF164</f>
        <v>0.84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">
      <c r="A165">
        <f>ROW(Source!A155)</f>
        <v>155</v>
      </c>
      <c r="B165">
        <v>60256982</v>
      </c>
      <c r="C165">
        <v>60257409</v>
      </c>
      <c r="D165">
        <v>59057906</v>
      </c>
      <c r="E165">
        <v>1</v>
      </c>
      <c r="F165">
        <v>1</v>
      </c>
      <c r="G165">
        <v>1080</v>
      </c>
      <c r="H165">
        <v>3</v>
      </c>
      <c r="I165" t="s">
        <v>210</v>
      </c>
      <c r="J165" t="s">
        <v>212</v>
      </c>
      <c r="K165" t="s">
        <v>211</v>
      </c>
      <c r="L165">
        <v>1354</v>
      </c>
      <c r="N165">
        <v>1010</v>
      </c>
      <c r="O165" t="s">
        <v>31</v>
      </c>
      <c r="P165" t="s">
        <v>31</v>
      </c>
      <c r="Q165">
        <v>1</v>
      </c>
      <c r="W165">
        <v>0</v>
      </c>
      <c r="X165">
        <v>639455440</v>
      </c>
      <c r="Y165">
        <f>AT165</f>
        <v>100</v>
      </c>
      <c r="AA165">
        <v>182.63</v>
      </c>
      <c r="AB165">
        <v>0</v>
      </c>
      <c r="AC165">
        <v>0</v>
      </c>
      <c r="AD165">
        <v>0</v>
      </c>
      <c r="AE165">
        <v>29.6</v>
      </c>
      <c r="AF165">
        <v>0</v>
      </c>
      <c r="AG165">
        <v>0</v>
      </c>
      <c r="AH165">
        <v>0</v>
      </c>
      <c r="AI165">
        <v>6.17</v>
      </c>
      <c r="AJ165">
        <v>1</v>
      </c>
      <c r="AK165">
        <v>1</v>
      </c>
      <c r="AL165">
        <v>1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 t="s">
        <v>3</v>
      </c>
      <c r="AT165">
        <v>100</v>
      </c>
      <c r="AU165" t="s">
        <v>3</v>
      </c>
      <c r="AV165">
        <v>0</v>
      </c>
      <c r="AW165">
        <v>1</v>
      </c>
      <c r="AX165">
        <v>-1</v>
      </c>
      <c r="AY165">
        <v>0</v>
      </c>
      <c r="AZ165">
        <v>0</v>
      </c>
      <c r="BA165" t="s">
        <v>3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v>0</v>
      </c>
      <c r="CX165">
        <f>ROUND(Y165*Source!I155,9)</f>
        <v>2</v>
      </c>
      <c r="CY165">
        <f>AA165</f>
        <v>182.63</v>
      </c>
      <c r="CZ165">
        <f>AE165</f>
        <v>29.6</v>
      </c>
      <c r="DA165">
        <f>AI165</f>
        <v>6.17</v>
      </c>
      <c r="DB165">
        <f>ROUND(ROUND(AT165*CZ165,2),6)</f>
        <v>2960</v>
      </c>
      <c r="DC165">
        <f>ROUND(ROUND(AT165*AG165,2),6)</f>
        <v>0</v>
      </c>
      <c r="DD165" t="s">
        <v>3</v>
      </c>
      <c r="DE165" t="s">
        <v>3</v>
      </c>
      <c r="DF165">
        <f>ROUND(ROUND(AE165*AI165,2)*CX165,2)</f>
        <v>365.26</v>
      </c>
      <c r="DG165">
        <f t="shared" si="99"/>
        <v>0</v>
      </c>
      <c r="DH165">
        <f t="shared" si="100"/>
        <v>0</v>
      </c>
      <c r="DI165">
        <f t="shared" si="98"/>
        <v>0</v>
      </c>
      <c r="DJ165">
        <f>DF165</f>
        <v>365.26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ROW(Source!A155)</f>
        <v>155</v>
      </c>
      <c r="B166">
        <v>60256982</v>
      </c>
      <c r="C166">
        <v>60257409</v>
      </c>
      <c r="D166">
        <v>59004256</v>
      </c>
      <c r="E166">
        <v>1080</v>
      </c>
      <c r="F166">
        <v>1</v>
      </c>
      <c r="G166">
        <v>1080</v>
      </c>
      <c r="H166">
        <v>3</v>
      </c>
      <c r="I166" t="s">
        <v>347</v>
      </c>
      <c r="J166" t="s">
        <v>3</v>
      </c>
      <c r="K166" t="s">
        <v>348</v>
      </c>
      <c r="L166">
        <v>1348</v>
      </c>
      <c r="N166">
        <v>1009</v>
      </c>
      <c r="O166" t="s">
        <v>310</v>
      </c>
      <c r="P166" t="s">
        <v>310</v>
      </c>
      <c r="Q166">
        <v>1000</v>
      </c>
      <c r="W166">
        <v>0</v>
      </c>
      <c r="X166">
        <v>-783086922</v>
      </c>
      <c r="Y166">
        <f>AT166</f>
        <v>0.03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9.8800000000000008</v>
      </c>
      <c r="AJ166">
        <v>1</v>
      </c>
      <c r="AK166">
        <v>1</v>
      </c>
      <c r="AL166">
        <v>1</v>
      </c>
      <c r="AM166">
        <v>5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0.03</v>
      </c>
      <c r="AU166" t="s">
        <v>3</v>
      </c>
      <c r="AV166">
        <v>0</v>
      </c>
      <c r="AW166">
        <v>2</v>
      </c>
      <c r="AX166">
        <v>60257598</v>
      </c>
      <c r="AY166">
        <v>1</v>
      </c>
      <c r="AZ166">
        <v>0</v>
      </c>
      <c r="BA166">
        <v>178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ROUND(Y166*Source!I155,9)</f>
        <v>5.9999999999999995E-4</v>
      </c>
      <c r="CY166">
        <f>AA166</f>
        <v>0</v>
      </c>
      <c r="CZ166">
        <f>AE166</f>
        <v>0</v>
      </c>
      <c r="DA166">
        <f>AI166</f>
        <v>9.8800000000000008</v>
      </c>
      <c r="DB166">
        <f>ROUND(ROUND(AT166*CZ166,2),6)</f>
        <v>0</v>
      </c>
      <c r="DC166">
        <f>ROUND(ROUND(AT166*AG166,2),6)</f>
        <v>0</v>
      </c>
      <c r="DD166" t="s">
        <v>3</v>
      </c>
      <c r="DE166" t="s">
        <v>3</v>
      </c>
      <c r="DF166">
        <f>ROUND(ROUND(AE166*AI166,2)*CX166,2)</f>
        <v>0</v>
      </c>
      <c r="DG166">
        <f t="shared" si="99"/>
        <v>0</v>
      </c>
      <c r="DH166">
        <f t="shared" si="100"/>
        <v>0</v>
      </c>
      <c r="DI166">
        <f t="shared" si="98"/>
        <v>0</v>
      </c>
      <c r="DJ166">
        <f>DF166</f>
        <v>0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">
      <c r="A167">
        <f>ROW(Source!A158)</f>
        <v>158</v>
      </c>
      <c r="B167">
        <v>60256985</v>
      </c>
      <c r="C167">
        <v>60257423</v>
      </c>
      <c r="D167">
        <v>58999254</v>
      </c>
      <c r="E167">
        <v>1080</v>
      </c>
      <c r="F167">
        <v>1</v>
      </c>
      <c r="G167">
        <v>1080</v>
      </c>
      <c r="H167">
        <v>1</v>
      </c>
      <c r="I167" t="s">
        <v>293</v>
      </c>
      <c r="J167" t="s">
        <v>3</v>
      </c>
      <c r="K167" t="s">
        <v>294</v>
      </c>
      <c r="L167">
        <v>1191</v>
      </c>
      <c r="N167">
        <v>1013</v>
      </c>
      <c r="O167" t="s">
        <v>295</v>
      </c>
      <c r="P167" t="s">
        <v>295</v>
      </c>
      <c r="Q167">
        <v>1</v>
      </c>
      <c r="W167">
        <v>0</v>
      </c>
      <c r="X167">
        <v>476480486</v>
      </c>
      <c r="Y167">
        <f>(AT167*1.1)</f>
        <v>3.0470000000000002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-2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2.77</v>
      </c>
      <c r="AU167" t="s">
        <v>23</v>
      </c>
      <c r="AV167">
        <v>1</v>
      </c>
      <c r="AW167">
        <v>2</v>
      </c>
      <c r="AX167">
        <v>60257599</v>
      </c>
      <c r="AY167">
        <v>1</v>
      </c>
      <c r="AZ167">
        <v>0</v>
      </c>
      <c r="BA167">
        <v>179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U167">
        <f>ROUND(AT167*Source!I158*AH167*AL167,2)</f>
        <v>0</v>
      </c>
      <c r="CV167">
        <f>ROUND(Y167*Source!I158,9)</f>
        <v>3.0470000000000002</v>
      </c>
      <c r="CW167">
        <v>0</v>
      </c>
      <c r="CX167">
        <f>ROUND(Y167*Source!I158,9)</f>
        <v>3.0470000000000002</v>
      </c>
      <c r="CY167">
        <f>AD167</f>
        <v>0</v>
      </c>
      <c r="CZ167">
        <f>AH167</f>
        <v>0</v>
      </c>
      <c r="DA167">
        <f>AL167</f>
        <v>1</v>
      </c>
      <c r="DB167">
        <f>ROUND((ROUND(AT167*CZ167,2)*1.1),6)</f>
        <v>0</v>
      </c>
      <c r="DC167">
        <f>ROUND((ROUND(AT167*AG167,2)*1.1),6)</f>
        <v>0</v>
      </c>
      <c r="DD167" t="s">
        <v>3</v>
      </c>
      <c r="DE167" t="s">
        <v>3</v>
      </c>
      <c r="DF167">
        <f>ROUND(ROUND(AE167,2)*CX167,2)</f>
        <v>0</v>
      </c>
      <c r="DG167">
        <f t="shared" si="99"/>
        <v>0</v>
      </c>
      <c r="DH167">
        <f t="shared" si="100"/>
        <v>0</v>
      </c>
      <c r="DI167">
        <f t="shared" si="98"/>
        <v>0</v>
      </c>
      <c r="DJ167">
        <f>DI167</f>
        <v>0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ROW(Source!A158)</f>
        <v>158</v>
      </c>
      <c r="B168">
        <v>60256985</v>
      </c>
      <c r="C168">
        <v>60257423</v>
      </c>
      <c r="D168">
        <v>59166681</v>
      </c>
      <c r="E168">
        <v>1</v>
      </c>
      <c r="F168">
        <v>1</v>
      </c>
      <c r="G168">
        <v>1080</v>
      </c>
      <c r="H168">
        <v>3</v>
      </c>
      <c r="I168" t="s">
        <v>219</v>
      </c>
      <c r="J168" t="s">
        <v>3</v>
      </c>
      <c r="K168" t="s">
        <v>220</v>
      </c>
      <c r="L168">
        <v>1354</v>
      </c>
      <c r="N168">
        <v>1010</v>
      </c>
      <c r="O168" t="s">
        <v>31</v>
      </c>
      <c r="P168" t="s">
        <v>31</v>
      </c>
      <c r="Q168">
        <v>1</v>
      </c>
      <c r="W168">
        <v>0</v>
      </c>
      <c r="X168">
        <v>-2038341889</v>
      </c>
      <c r="Y168">
        <f>AT168</f>
        <v>1</v>
      </c>
      <c r="AA168">
        <v>1144.1099999999999</v>
      </c>
      <c r="AB168">
        <v>0</v>
      </c>
      <c r="AC168">
        <v>0</v>
      </c>
      <c r="AD168">
        <v>0</v>
      </c>
      <c r="AE168">
        <v>1144.1099999999999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0</v>
      </c>
      <c r="AS168" t="s">
        <v>3</v>
      </c>
      <c r="AT168">
        <v>1</v>
      </c>
      <c r="AU168" t="s">
        <v>3</v>
      </c>
      <c r="AV168">
        <v>0</v>
      </c>
      <c r="AW168">
        <v>1</v>
      </c>
      <c r="AX168">
        <v>-1</v>
      </c>
      <c r="AY168">
        <v>0</v>
      </c>
      <c r="AZ168">
        <v>0</v>
      </c>
      <c r="BA168" t="s">
        <v>3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ROUND(Y168*Source!I158,9)</f>
        <v>1</v>
      </c>
      <c r="CY168">
        <f>AA168</f>
        <v>1144.1099999999999</v>
      </c>
      <c r="CZ168">
        <f>AE168</f>
        <v>1144.1099999999999</v>
      </c>
      <c r="DA168">
        <f>AI168</f>
        <v>1</v>
      </c>
      <c r="DB168">
        <f>ROUND(ROUND(AT168*CZ168,2),6)</f>
        <v>1144.1099999999999</v>
      </c>
      <c r="DC168">
        <f>ROUND(ROUND(AT168*AG168,2),6)</f>
        <v>0</v>
      </c>
      <c r="DD168" t="s">
        <v>3</v>
      </c>
      <c r="DE168" t="s">
        <v>3</v>
      </c>
      <c r="DF168">
        <f>ROUND(ROUND(AE168,2)*CX168,2)</f>
        <v>1144.1099999999999</v>
      </c>
      <c r="DG168">
        <f t="shared" si="99"/>
        <v>0</v>
      </c>
      <c r="DH168">
        <f t="shared" si="100"/>
        <v>0</v>
      </c>
      <c r="DI168">
        <f t="shared" si="98"/>
        <v>0</v>
      </c>
      <c r="DJ168">
        <f>DF168</f>
        <v>1144.1099999999999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">
      <c r="A169">
        <f>ROW(Source!A159)</f>
        <v>159</v>
      </c>
      <c r="B169">
        <v>60256982</v>
      </c>
      <c r="C169">
        <v>60257423</v>
      </c>
      <c r="D169">
        <v>58999254</v>
      </c>
      <c r="E169">
        <v>1080</v>
      </c>
      <c r="F169">
        <v>1</v>
      </c>
      <c r="G169">
        <v>1080</v>
      </c>
      <c r="H169">
        <v>1</v>
      </c>
      <c r="I169" t="s">
        <v>293</v>
      </c>
      <c r="J169" t="s">
        <v>3</v>
      </c>
      <c r="K169" t="s">
        <v>294</v>
      </c>
      <c r="L169">
        <v>1191</v>
      </c>
      <c r="N169">
        <v>1013</v>
      </c>
      <c r="O169" t="s">
        <v>295</v>
      </c>
      <c r="P169" t="s">
        <v>295</v>
      </c>
      <c r="Q169">
        <v>1</v>
      </c>
      <c r="W169">
        <v>0</v>
      </c>
      <c r="X169">
        <v>476480486</v>
      </c>
      <c r="Y169">
        <f>(AT169*1.1)</f>
        <v>3.0470000000000002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5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2.77</v>
      </c>
      <c r="AU169" t="s">
        <v>23</v>
      </c>
      <c r="AV169">
        <v>1</v>
      </c>
      <c r="AW169">
        <v>2</v>
      </c>
      <c r="AX169">
        <v>60257599</v>
      </c>
      <c r="AY169">
        <v>1</v>
      </c>
      <c r="AZ169">
        <v>0</v>
      </c>
      <c r="BA169">
        <v>180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U169">
        <f>ROUND(AT169*Source!I159*AH169*AL169,2)</f>
        <v>0</v>
      </c>
      <c r="CV169">
        <f>ROUND(Y169*Source!I159,9)</f>
        <v>3.0470000000000002</v>
      </c>
      <c r="CW169">
        <v>0</v>
      </c>
      <c r="CX169">
        <f>ROUND(Y169*Source!I159,9)</f>
        <v>3.0470000000000002</v>
      </c>
      <c r="CY169">
        <f>AD169</f>
        <v>0</v>
      </c>
      <c r="CZ169">
        <f>AH169</f>
        <v>0</v>
      </c>
      <c r="DA169">
        <f>AL169</f>
        <v>1</v>
      </c>
      <c r="DB169">
        <f>ROUND((ROUND(AT169*CZ169,2)*1.1),6)</f>
        <v>0</v>
      </c>
      <c r="DC169">
        <f>ROUND((ROUND(AT169*AG169,2)*1.1),6)</f>
        <v>0</v>
      </c>
      <c r="DD169" t="s">
        <v>3</v>
      </c>
      <c r="DE169" t="s">
        <v>3</v>
      </c>
      <c r="DF169">
        <f>ROUND(ROUND(AE169,2)*CX169,2)</f>
        <v>0</v>
      </c>
      <c r="DG169">
        <f t="shared" si="99"/>
        <v>0</v>
      </c>
      <c r="DH169">
        <f t="shared" si="100"/>
        <v>0</v>
      </c>
      <c r="DI169">
        <f t="shared" si="98"/>
        <v>0</v>
      </c>
      <c r="DJ169">
        <f>DI169</f>
        <v>0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ROW(Source!A159)</f>
        <v>159</v>
      </c>
      <c r="B170">
        <v>60256982</v>
      </c>
      <c r="C170">
        <v>60257423</v>
      </c>
      <c r="D170">
        <v>59166681</v>
      </c>
      <c r="E170">
        <v>1</v>
      </c>
      <c r="F170">
        <v>1</v>
      </c>
      <c r="G170">
        <v>1080</v>
      </c>
      <c r="H170">
        <v>3</v>
      </c>
      <c r="I170" t="s">
        <v>219</v>
      </c>
      <c r="J170" t="s">
        <v>3</v>
      </c>
      <c r="K170" t="s">
        <v>220</v>
      </c>
      <c r="L170">
        <v>1354</v>
      </c>
      <c r="N170">
        <v>1010</v>
      </c>
      <c r="O170" t="s">
        <v>31</v>
      </c>
      <c r="P170" t="s">
        <v>31</v>
      </c>
      <c r="Q170">
        <v>1</v>
      </c>
      <c r="W170">
        <v>0</v>
      </c>
      <c r="X170">
        <v>-2038341889</v>
      </c>
      <c r="Y170">
        <f>AT170</f>
        <v>1</v>
      </c>
      <c r="AA170">
        <v>7036.28</v>
      </c>
      <c r="AB170">
        <v>0</v>
      </c>
      <c r="AC170">
        <v>0</v>
      </c>
      <c r="AD170">
        <v>0</v>
      </c>
      <c r="AE170">
        <v>1144.1099999999999</v>
      </c>
      <c r="AF170">
        <v>0</v>
      </c>
      <c r="AG170">
        <v>0</v>
      </c>
      <c r="AH170">
        <v>0</v>
      </c>
      <c r="AI170">
        <v>6.15</v>
      </c>
      <c r="AJ170">
        <v>1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 t="s">
        <v>3</v>
      </c>
      <c r="AT170">
        <v>1</v>
      </c>
      <c r="AU170" t="s">
        <v>3</v>
      </c>
      <c r="AV170">
        <v>0</v>
      </c>
      <c r="AW170">
        <v>1</v>
      </c>
      <c r="AX170">
        <v>-1</v>
      </c>
      <c r="AY170">
        <v>0</v>
      </c>
      <c r="AZ170">
        <v>0</v>
      </c>
      <c r="BA170" t="s">
        <v>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ROUND(Y170*Source!I159,9)</f>
        <v>1</v>
      </c>
      <c r="CY170">
        <f>AA170</f>
        <v>7036.28</v>
      </c>
      <c r="CZ170">
        <f>AE170</f>
        <v>1144.1099999999999</v>
      </c>
      <c r="DA170">
        <f>AI170</f>
        <v>6.15</v>
      </c>
      <c r="DB170">
        <f>ROUND(ROUND(AT170*CZ170,2),6)</f>
        <v>1144.1099999999999</v>
      </c>
      <c r="DC170">
        <f>ROUND(ROUND(AT170*AG170,2),6)</f>
        <v>0</v>
      </c>
      <c r="DD170" t="s">
        <v>3</v>
      </c>
      <c r="DE170" t="s">
        <v>3</v>
      </c>
      <c r="DF170">
        <f>ROUND(ROUND(AE170*AI170,2)*CX170,2)</f>
        <v>7036.28</v>
      </c>
      <c r="DG170">
        <f t="shared" ref="DG170:DG201" si="103">ROUND(ROUND(AF170,2)*CX170,2)</f>
        <v>0</v>
      </c>
      <c r="DH170">
        <f t="shared" ref="DH170:DH201" si="104">ROUND(ROUND(AG170,2)*CX170,2)</f>
        <v>0</v>
      </c>
      <c r="DI170">
        <f t="shared" si="98"/>
        <v>0</v>
      </c>
      <c r="DJ170">
        <f>DF170</f>
        <v>7036.28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">
      <c r="A171">
        <f>ROW(Source!A162)</f>
        <v>162</v>
      </c>
      <c r="B171">
        <v>60256985</v>
      </c>
      <c r="C171">
        <v>60257428</v>
      </c>
      <c r="D171">
        <v>58999254</v>
      </c>
      <c r="E171">
        <v>1080</v>
      </c>
      <c r="F171">
        <v>1</v>
      </c>
      <c r="G171">
        <v>1080</v>
      </c>
      <c r="H171">
        <v>1</v>
      </c>
      <c r="I171" t="s">
        <v>293</v>
      </c>
      <c r="J171" t="s">
        <v>3</v>
      </c>
      <c r="K171" t="s">
        <v>294</v>
      </c>
      <c r="L171">
        <v>1191</v>
      </c>
      <c r="N171">
        <v>1013</v>
      </c>
      <c r="O171" t="s">
        <v>295</v>
      </c>
      <c r="P171" t="s">
        <v>295</v>
      </c>
      <c r="Q171">
        <v>1</v>
      </c>
      <c r="W171">
        <v>0</v>
      </c>
      <c r="X171">
        <v>476480486</v>
      </c>
      <c r="Y171">
        <f>(AT171*1.1)</f>
        <v>5.9070000000000009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-2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5.37</v>
      </c>
      <c r="AU171" t="s">
        <v>23</v>
      </c>
      <c r="AV171">
        <v>1</v>
      </c>
      <c r="AW171">
        <v>2</v>
      </c>
      <c r="AX171">
        <v>60257600</v>
      </c>
      <c r="AY171">
        <v>1</v>
      </c>
      <c r="AZ171">
        <v>0</v>
      </c>
      <c r="BA171">
        <v>181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U171">
        <f>ROUND(AT171*Source!I162*AH171*AL171,2)</f>
        <v>0</v>
      </c>
      <c r="CV171">
        <f>ROUND(Y171*Source!I162,9)</f>
        <v>5.907</v>
      </c>
      <c r="CW171">
        <v>0</v>
      </c>
      <c r="CX171">
        <f>ROUND(Y171*Source!I162,9)</f>
        <v>5.907</v>
      </c>
      <c r="CY171">
        <f>AD171</f>
        <v>0</v>
      </c>
      <c r="CZ171">
        <f>AH171</f>
        <v>0</v>
      </c>
      <c r="DA171">
        <f>AL171</f>
        <v>1</v>
      </c>
      <c r="DB171">
        <f>ROUND((ROUND(AT171*CZ171,2)*1.1),6)</f>
        <v>0</v>
      </c>
      <c r="DC171">
        <f>ROUND((ROUND(AT171*AG171,2)*1.1),6)</f>
        <v>0</v>
      </c>
      <c r="DD171" t="s">
        <v>3</v>
      </c>
      <c r="DE171" t="s">
        <v>3</v>
      </c>
      <c r="DF171">
        <f>ROUND(ROUND(AE171,2)*CX171,2)</f>
        <v>0</v>
      </c>
      <c r="DG171">
        <f t="shared" si="103"/>
        <v>0</v>
      </c>
      <c r="DH171">
        <f t="shared" si="104"/>
        <v>0</v>
      </c>
      <c r="DI171">
        <f t="shared" si="98"/>
        <v>0</v>
      </c>
      <c r="DJ171">
        <f>DI171</f>
        <v>0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">
      <c r="A172">
        <f>ROW(Source!A162)</f>
        <v>162</v>
      </c>
      <c r="B172">
        <v>60256985</v>
      </c>
      <c r="C172">
        <v>60257428</v>
      </c>
      <c r="D172">
        <v>0</v>
      </c>
      <c r="E172">
        <v>1080</v>
      </c>
      <c r="F172">
        <v>1</v>
      </c>
      <c r="G172">
        <v>1080</v>
      </c>
      <c r="H172">
        <v>3</v>
      </c>
      <c r="I172" t="s">
        <v>226</v>
      </c>
      <c r="J172" t="s">
        <v>3</v>
      </c>
      <c r="K172" t="s">
        <v>227</v>
      </c>
      <c r="L172">
        <v>1371</v>
      </c>
      <c r="N172">
        <v>1013</v>
      </c>
      <c r="O172" t="s">
        <v>206</v>
      </c>
      <c r="P172" t="s">
        <v>206</v>
      </c>
      <c r="Q172">
        <v>1</v>
      </c>
      <c r="W172">
        <v>0</v>
      </c>
      <c r="X172">
        <v>1435618978</v>
      </c>
      <c r="Y172">
        <f>AT172</f>
        <v>1</v>
      </c>
      <c r="AA172">
        <v>1349.44</v>
      </c>
      <c r="AB172">
        <v>0</v>
      </c>
      <c r="AC172">
        <v>0</v>
      </c>
      <c r="AD172">
        <v>0</v>
      </c>
      <c r="AE172">
        <v>1349.4399999999998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 t="s">
        <v>3</v>
      </c>
      <c r="AT172">
        <v>1</v>
      </c>
      <c r="AU172" t="s">
        <v>3</v>
      </c>
      <c r="AV172">
        <v>0</v>
      </c>
      <c r="AW172">
        <v>1</v>
      </c>
      <c r="AX172">
        <v>-1</v>
      </c>
      <c r="AY172">
        <v>0</v>
      </c>
      <c r="AZ172">
        <v>0</v>
      </c>
      <c r="BA172" t="s">
        <v>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ROUND(Y172*Source!I162,9)</f>
        <v>1</v>
      </c>
      <c r="CY172">
        <f>AA172</f>
        <v>1349.44</v>
      </c>
      <c r="CZ172">
        <f>AE172</f>
        <v>1349.4399999999998</v>
      </c>
      <c r="DA172">
        <f>AI172</f>
        <v>1</v>
      </c>
      <c r="DB172">
        <f>ROUND(ROUND(AT172*CZ172,2),6)</f>
        <v>1349.44</v>
      </c>
      <c r="DC172">
        <f>ROUND(ROUND(AT172*AG172,2),6)</f>
        <v>0</v>
      </c>
      <c r="DD172" t="s">
        <v>3</v>
      </c>
      <c r="DE172" t="s">
        <v>3</v>
      </c>
      <c r="DF172">
        <f>ROUND(ROUND(AE172,2)*CX172,2)</f>
        <v>1349.44</v>
      </c>
      <c r="DG172">
        <f t="shared" si="103"/>
        <v>0</v>
      </c>
      <c r="DH172">
        <f t="shared" si="104"/>
        <v>0</v>
      </c>
      <c r="DI172">
        <f t="shared" si="98"/>
        <v>0</v>
      </c>
      <c r="DJ172">
        <f>DF172</f>
        <v>1349.44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">
      <c r="A173">
        <f>ROW(Source!A163)</f>
        <v>163</v>
      </c>
      <c r="B173">
        <v>60256982</v>
      </c>
      <c r="C173">
        <v>60257428</v>
      </c>
      <c r="D173">
        <v>58999254</v>
      </c>
      <c r="E173">
        <v>1080</v>
      </c>
      <c r="F173">
        <v>1</v>
      </c>
      <c r="G173">
        <v>1080</v>
      </c>
      <c r="H173">
        <v>1</v>
      </c>
      <c r="I173" t="s">
        <v>293</v>
      </c>
      <c r="J173" t="s">
        <v>3</v>
      </c>
      <c r="K173" t="s">
        <v>294</v>
      </c>
      <c r="L173">
        <v>1191</v>
      </c>
      <c r="N173">
        <v>1013</v>
      </c>
      <c r="O173" t="s">
        <v>295</v>
      </c>
      <c r="P173" t="s">
        <v>295</v>
      </c>
      <c r="Q173">
        <v>1</v>
      </c>
      <c r="W173">
        <v>0</v>
      </c>
      <c r="X173">
        <v>476480486</v>
      </c>
      <c r="Y173">
        <f>(AT173*1.1)</f>
        <v>5.9070000000000009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5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5.37</v>
      </c>
      <c r="AU173" t="s">
        <v>23</v>
      </c>
      <c r="AV173">
        <v>1</v>
      </c>
      <c r="AW173">
        <v>2</v>
      </c>
      <c r="AX173">
        <v>60257600</v>
      </c>
      <c r="AY173">
        <v>1</v>
      </c>
      <c r="AZ173">
        <v>0</v>
      </c>
      <c r="BA173">
        <v>182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U173">
        <f>ROUND(AT173*Source!I163*AH173*AL173,2)</f>
        <v>0</v>
      </c>
      <c r="CV173">
        <f>ROUND(Y173*Source!I163,9)</f>
        <v>5.907</v>
      </c>
      <c r="CW173">
        <v>0</v>
      </c>
      <c r="CX173">
        <f>ROUND(Y173*Source!I163,9)</f>
        <v>5.907</v>
      </c>
      <c r="CY173">
        <f>AD173</f>
        <v>0</v>
      </c>
      <c r="CZ173">
        <f>AH173</f>
        <v>0</v>
      </c>
      <c r="DA173">
        <f>AL173</f>
        <v>1</v>
      </c>
      <c r="DB173">
        <f>ROUND((ROUND(AT173*CZ173,2)*1.1),6)</f>
        <v>0</v>
      </c>
      <c r="DC173">
        <f>ROUND((ROUND(AT173*AG173,2)*1.1),6)</f>
        <v>0</v>
      </c>
      <c r="DD173" t="s">
        <v>3</v>
      </c>
      <c r="DE173" t="s">
        <v>3</v>
      </c>
      <c r="DF173">
        <f>ROUND(ROUND(AE173,2)*CX173,2)</f>
        <v>0</v>
      </c>
      <c r="DG173">
        <f t="shared" si="103"/>
        <v>0</v>
      </c>
      <c r="DH173">
        <f t="shared" si="104"/>
        <v>0</v>
      </c>
      <c r="DI173">
        <f t="shared" si="98"/>
        <v>0</v>
      </c>
      <c r="DJ173">
        <f>DI173</f>
        <v>0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">
      <c r="A174">
        <f>ROW(Source!A163)</f>
        <v>163</v>
      </c>
      <c r="B174">
        <v>60256982</v>
      </c>
      <c r="C174">
        <v>60257428</v>
      </c>
      <c r="D174">
        <v>0</v>
      </c>
      <c r="E174">
        <v>1080</v>
      </c>
      <c r="F174">
        <v>1</v>
      </c>
      <c r="G174">
        <v>1080</v>
      </c>
      <c r="H174">
        <v>3</v>
      </c>
      <c r="I174" t="s">
        <v>226</v>
      </c>
      <c r="J174" t="s">
        <v>3</v>
      </c>
      <c r="K174" t="s">
        <v>227</v>
      </c>
      <c r="L174">
        <v>1371</v>
      </c>
      <c r="N174">
        <v>1013</v>
      </c>
      <c r="O174" t="s">
        <v>206</v>
      </c>
      <c r="P174" t="s">
        <v>206</v>
      </c>
      <c r="Q174">
        <v>1</v>
      </c>
      <c r="W174">
        <v>0</v>
      </c>
      <c r="X174">
        <v>1435618978</v>
      </c>
      <c r="Y174">
        <f>AT174</f>
        <v>1</v>
      </c>
      <c r="AA174">
        <v>10336.709999999999</v>
      </c>
      <c r="AB174">
        <v>0</v>
      </c>
      <c r="AC174">
        <v>0</v>
      </c>
      <c r="AD174">
        <v>0</v>
      </c>
      <c r="AE174">
        <v>1349.4399999999998</v>
      </c>
      <c r="AF174">
        <v>0</v>
      </c>
      <c r="AG174">
        <v>0</v>
      </c>
      <c r="AH174">
        <v>0</v>
      </c>
      <c r="AI174">
        <v>7.66</v>
      </c>
      <c r="AJ174">
        <v>1</v>
      </c>
      <c r="AK174">
        <v>1</v>
      </c>
      <c r="AL174">
        <v>1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 t="s">
        <v>3</v>
      </c>
      <c r="AT174">
        <v>1</v>
      </c>
      <c r="AU174" t="s">
        <v>3</v>
      </c>
      <c r="AV174">
        <v>0</v>
      </c>
      <c r="AW174">
        <v>1</v>
      </c>
      <c r="AX174">
        <v>-1</v>
      </c>
      <c r="AY174">
        <v>0</v>
      </c>
      <c r="AZ174">
        <v>0</v>
      </c>
      <c r="BA174" t="s">
        <v>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v>0</v>
      </c>
      <c r="CX174">
        <f>ROUND(Y174*Source!I163,9)</f>
        <v>1</v>
      </c>
      <c r="CY174">
        <f>AA174</f>
        <v>10336.709999999999</v>
      </c>
      <c r="CZ174">
        <f>AE174</f>
        <v>1349.4399999999998</v>
      </c>
      <c r="DA174">
        <f>AI174</f>
        <v>7.66</v>
      </c>
      <c r="DB174">
        <f>ROUND(ROUND(AT174*CZ174,2),6)</f>
        <v>1349.44</v>
      </c>
      <c r="DC174">
        <f>ROUND(ROUND(AT174*AG174,2),6)</f>
        <v>0</v>
      </c>
      <c r="DD174" t="s">
        <v>3</v>
      </c>
      <c r="DE174" t="s">
        <v>3</v>
      </c>
      <c r="DF174">
        <f>ROUND(ROUND(AE174*AI174,2)*CX174,2)</f>
        <v>10336.709999999999</v>
      </c>
      <c r="DG174">
        <f t="shared" si="103"/>
        <v>0</v>
      </c>
      <c r="DH174">
        <f t="shared" si="104"/>
        <v>0</v>
      </c>
      <c r="DI174">
        <f t="shared" si="98"/>
        <v>0</v>
      </c>
      <c r="DJ174">
        <f>DF174</f>
        <v>10336.709999999999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">
      <c r="A175">
        <f>ROW(Source!A166)</f>
        <v>166</v>
      </c>
      <c r="B175">
        <v>60256985</v>
      </c>
      <c r="C175">
        <v>60257433</v>
      </c>
      <c r="D175">
        <v>58999254</v>
      </c>
      <c r="E175">
        <v>1080</v>
      </c>
      <c r="F175">
        <v>1</v>
      </c>
      <c r="G175">
        <v>1080</v>
      </c>
      <c r="H175">
        <v>1</v>
      </c>
      <c r="I175" t="s">
        <v>293</v>
      </c>
      <c r="J175" t="s">
        <v>3</v>
      </c>
      <c r="K175" t="s">
        <v>294</v>
      </c>
      <c r="L175">
        <v>1191</v>
      </c>
      <c r="N175">
        <v>1013</v>
      </c>
      <c r="O175" t="s">
        <v>295</v>
      </c>
      <c r="P175" t="s">
        <v>295</v>
      </c>
      <c r="Q175">
        <v>1</v>
      </c>
      <c r="W175">
        <v>0</v>
      </c>
      <c r="X175">
        <v>476480486</v>
      </c>
      <c r="Y175">
        <f>(AT175*1.1)</f>
        <v>35.200000000000003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32</v>
      </c>
      <c r="AU175" t="s">
        <v>23</v>
      </c>
      <c r="AV175">
        <v>1</v>
      </c>
      <c r="AW175">
        <v>2</v>
      </c>
      <c r="AX175">
        <v>60257601</v>
      </c>
      <c r="AY175">
        <v>1</v>
      </c>
      <c r="AZ175">
        <v>0</v>
      </c>
      <c r="BA175">
        <v>183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U175">
        <f>ROUND(AT175*Source!I166*AH175*AL175,2)</f>
        <v>0</v>
      </c>
      <c r="CV175">
        <f>ROUND(Y175*Source!I166,9)</f>
        <v>0.17952000000000001</v>
      </c>
      <c r="CW175">
        <v>0</v>
      </c>
      <c r="CX175">
        <f>ROUND(Y175*Source!I166,9)</f>
        <v>0.17952000000000001</v>
      </c>
      <c r="CY175">
        <f>AD175</f>
        <v>0</v>
      </c>
      <c r="CZ175">
        <f>AH175</f>
        <v>0</v>
      </c>
      <c r="DA175">
        <f>AL175</f>
        <v>1</v>
      </c>
      <c r="DB175">
        <f>ROUND((ROUND(AT175*CZ175,2)*1.1),6)</f>
        <v>0</v>
      </c>
      <c r="DC175">
        <f>ROUND((ROUND(AT175*AG175,2)*1.1),6)</f>
        <v>0</v>
      </c>
      <c r="DD175" t="s">
        <v>3</v>
      </c>
      <c r="DE175" t="s">
        <v>3</v>
      </c>
      <c r="DF175">
        <f t="shared" ref="DF175:DF193" si="105">ROUND(ROUND(AE175,2)*CX175,2)</f>
        <v>0</v>
      </c>
      <c r="DG175">
        <f t="shared" si="103"/>
        <v>0</v>
      </c>
      <c r="DH175">
        <f t="shared" si="104"/>
        <v>0</v>
      </c>
      <c r="DI175">
        <f t="shared" si="98"/>
        <v>0</v>
      </c>
      <c r="DJ175">
        <f>DI175</f>
        <v>0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">
      <c r="A176">
        <f>ROW(Source!A167)</f>
        <v>167</v>
      </c>
      <c r="B176">
        <v>60256982</v>
      </c>
      <c r="C176">
        <v>60257433</v>
      </c>
      <c r="D176">
        <v>58999254</v>
      </c>
      <c r="E176">
        <v>1080</v>
      </c>
      <c r="F176">
        <v>1</v>
      </c>
      <c r="G176">
        <v>1080</v>
      </c>
      <c r="H176">
        <v>1</v>
      </c>
      <c r="I176" t="s">
        <v>293</v>
      </c>
      <c r="J176" t="s">
        <v>3</v>
      </c>
      <c r="K176" t="s">
        <v>294</v>
      </c>
      <c r="L176">
        <v>1191</v>
      </c>
      <c r="N176">
        <v>1013</v>
      </c>
      <c r="O176" t="s">
        <v>295</v>
      </c>
      <c r="P176" t="s">
        <v>295</v>
      </c>
      <c r="Q176">
        <v>1</v>
      </c>
      <c r="W176">
        <v>0</v>
      </c>
      <c r="X176">
        <v>476480486</v>
      </c>
      <c r="Y176">
        <f>(AT176*1.1)</f>
        <v>35.200000000000003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5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32</v>
      </c>
      <c r="AU176" t="s">
        <v>23</v>
      </c>
      <c r="AV176">
        <v>1</v>
      </c>
      <c r="AW176">
        <v>2</v>
      </c>
      <c r="AX176">
        <v>60257601</v>
      </c>
      <c r="AY176">
        <v>1</v>
      </c>
      <c r="AZ176">
        <v>0</v>
      </c>
      <c r="BA176">
        <v>184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U176">
        <f>ROUND(AT176*Source!I167*AH176*AL176,2)</f>
        <v>0</v>
      </c>
      <c r="CV176">
        <f>ROUND(Y176*Source!I167,9)</f>
        <v>0.17952000000000001</v>
      </c>
      <c r="CW176">
        <v>0</v>
      </c>
      <c r="CX176">
        <f>ROUND(Y176*Source!I167,9)</f>
        <v>0.17952000000000001</v>
      </c>
      <c r="CY176">
        <f>AD176</f>
        <v>0</v>
      </c>
      <c r="CZ176">
        <f>AH176</f>
        <v>0</v>
      </c>
      <c r="DA176">
        <f>AL176</f>
        <v>1</v>
      </c>
      <c r="DB176">
        <f>ROUND((ROUND(AT176*CZ176,2)*1.1),6)</f>
        <v>0</v>
      </c>
      <c r="DC176">
        <f>ROUND((ROUND(AT176*AG176,2)*1.1),6)</f>
        <v>0</v>
      </c>
      <c r="DD176" t="s">
        <v>3</v>
      </c>
      <c r="DE176" t="s">
        <v>3</v>
      </c>
      <c r="DF176">
        <f t="shared" si="105"/>
        <v>0</v>
      </c>
      <c r="DG176">
        <f t="shared" si="103"/>
        <v>0</v>
      </c>
      <c r="DH176">
        <f t="shared" si="104"/>
        <v>0</v>
      </c>
      <c r="DI176">
        <f t="shared" si="98"/>
        <v>0</v>
      </c>
      <c r="DJ176">
        <f>DI176</f>
        <v>0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">
      <c r="A177">
        <f>ROW(Source!A174)</f>
        <v>174</v>
      </c>
      <c r="B177">
        <v>60256985</v>
      </c>
      <c r="C177">
        <v>60257439</v>
      </c>
      <c r="D177">
        <v>58999254</v>
      </c>
      <c r="E177">
        <v>1080</v>
      </c>
      <c r="F177">
        <v>1</v>
      </c>
      <c r="G177">
        <v>1080</v>
      </c>
      <c r="H177">
        <v>1</v>
      </c>
      <c r="I177" t="s">
        <v>293</v>
      </c>
      <c r="J177" t="s">
        <v>3</v>
      </c>
      <c r="K177" t="s">
        <v>294</v>
      </c>
      <c r="L177">
        <v>1191</v>
      </c>
      <c r="N177">
        <v>1013</v>
      </c>
      <c r="O177" t="s">
        <v>295</v>
      </c>
      <c r="P177" t="s">
        <v>295</v>
      </c>
      <c r="Q177">
        <v>1</v>
      </c>
      <c r="W177">
        <v>0</v>
      </c>
      <c r="X177">
        <v>476480486</v>
      </c>
      <c r="Y177">
        <f>(AT177*1.1)</f>
        <v>3.3000000000000003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3</v>
      </c>
      <c r="AU177" t="s">
        <v>23</v>
      </c>
      <c r="AV177">
        <v>1</v>
      </c>
      <c r="AW177">
        <v>2</v>
      </c>
      <c r="AX177">
        <v>60257602</v>
      </c>
      <c r="AY177">
        <v>1</v>
      </c>
      <c r="AZ177">
        <v>0</v>
      </c>
      <c r="BA177">
        <v>185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U177">
        <f>ROUND(AT177*Source!I174*AH177*AL177,2)</f>
        <v>0</v>
      </c>
      <c r="CV177">
        <f>ROUND(Y177*Source!I174,9)</f>
        <v>3.3</v>
      </c>
      <c r="CW177">
        <v>0</v>
      </c>
      <c r="CX177">
        <f>ROUND(Y177*Source!I174,9)</f>
        <v>3.3</v>
      </c>
      <c r="CY177">
        <f>AD177</f>
        <v>0</v>
      </c>
      <c r="CZ177">
        <f>AH177</f>
        <v>0</v>
      </c>
      <c r="DA177">
        <f>AL177</f>
        <v>1</v>
      </c>
      <c r="DB177">
        <f>ROUND((ROUND(AT177*CZ177,2)*1.1),6)</f>
        <v>0</v>
      </c>
      <c r="DC177">
        <f>ROUND((ROUND(AT177*AG177,2)*1.1),6)</f>
        <v>0</v>
      </c>
      <c r="DD177" t="s">
        <v>3</v>
      </c>
      <c r="DE177" t="s">
        <v>3</v>
      </c>
      <c r="DF177">
        <f t="shared" si="105"/>
        <v>0</v>
      </c>
      <c r="DG177">
        <f t="shared" si="103"/>
        <v>0</v>
      </c>
      <c r="DH177">
        <f t="shared" si="104"/>
        <v>0</v>
      </c>
      <c r="DI177">
        <f t="shared" si="98"/>
        <v>0</v>
      </c>
      <c r="DJ177">
        <f>DI177</f>
        <v>0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">
      <c r="A178">
        <f>ROW(Source!A174)</f>
        <v>174</v>
      </c>
      <c r="B178">
        <v>60256985</v>
      </c>
      <c r="C178">
        <v>60257439</v>
      </c>
      <c r="D178">
        <v>59039563</v>
      </c>
      <c r="E178">
        <v>1</v>
      </c>
      <c r="F178">
        <v>1</v>
      </c>
      <c r="G178">
        <v>1080</v>
      </c>
      <c r="H178">
        <v>3</v>
      </c>
      <c r="I178" t="s">
        <v>400</v>
      </c>
      <c r="J178" t="s">
        <v>401</v>
      </c>
      <c r="K178" t="s">
        <v>402</v>
      </c>
      <c r="L178">
        <v>1348</v>
      </c>
      <c r="N178">
        <v>1009</v>
      </c>
      <c r="O178" t="s">
        <v>310</v>
      </c>
      <c r="P178" t="s">
        <v>310</v>
      </c>
      <c r="Q178">
        <v>1000</v>
      </c>
      <c r="W178">
        <v>0</v>
      </c>
      <c r="X178">
        <v>-1186875871</v>
      </c>
      <c r="Y178">
        <f t="shared" ref="Y178:Y192" si="106">AT178</f>
        <v>1E-3</v>
      </c>
      <c r="AA178">
        <v>15319.65</v>
      </c>
      <c r="AB178">
        <v>0</v>
      </c>
      <c r="AC178">
        <v>0</v>
      </c>
      <c r="AD178">
        <v>0</v>
      </c>
      <c r="AE178">
        <v>15319.65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-2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1E-3</v>
      </c>
      <c r="AU178" t="s">
        <v>3</v>
      </c>
      <c r="AV178">
        <v>0</v>
      </c>
      <c r="AW178">
        <v>2</v>
      </c>
      <c r="AX178">
        <v>60257603</v>
      </c>
      <c r="AY178">
        <v>1</v>
      </c>
      <c r="AZ178">
        <v>0</v>
      </c>
      <c r="BA178">
        <v>186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ROUND(Y178*Source!I174,9)</f>
        <v>1E-3</v>
      </c>
      <c r="CY178">
        <f t="shared" ref="CY178:CY192" si="107">AA178</f>
        <v>15319.65</v>
      </c>
      <c r="CZ178">
        <f t="shared" ref="CZ178:CZ192" si="108">AE178</f>
        <v>15319.65</v>
      </c>
      <c r="DA178">
        <f t="shared" ref="DA178:DA192" si="109">AI178</f>
        <v>1</v>
      </c>
      <c r="DB178">
        <f t="shared" ref="DB178:DB192" si="110">ROUND(ROUND(AT178*CZ178,2),6)</f>
        <v>15.32</v>
      </c>
      <c r="DC178">
        <f t="shared" ref="DC178:DC192" si="111">ROUND(ROUND(AT178*AG178,2),6)</f>
        <v>0</v>
      </c>
      <c r="DD178" t="s">
        <v>3</v>
      </c>
      <c r="DE178" t="s">
        <v>3</v>
      </c>
      <c r="DF178">
        <f t="shared" si="105"/>
        <v>15.32</v>
      </c>
      <c r="DG178">
        <f t="shared" si="103"/>
        <v>0</v>
      </c>
      <c r="DH178">
        <f t="shared" si="104"/>
        <v>0</v>
      </c>
      <c r="DI178">
        <f t="shared" si="98"/>
        <v>0</v>
      </c>
      <c r="DJ178">
        <f t="shared" ref="DJ178:DJ192" si="112">DF178</f>
        <v>15.32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">
      <c r="A179">
        <f>ROW(Source!A174)</f>
        <v>174</v>
      </c>
      <c r="B179">
        <v>60256985</v>
      </c>
      <c r="C179">
        <v>60257439</v>
      </c>
      <c r="D179">
        <v>59038929</v>
      </c>
      <c r="E179">
        <v>1</v>
      </c>
      <c r="F179">
        <v>1</v>
      </c>
      <c r="G179">
        <v>1080</v>
      </c>
      <c r="H179">
        <v>3</v>
      </c>
      <c r="I179" t="s">
        <v>403</v>
      </c>
      <c r="J179" t="s">
        <v>404</v>
      </c>
      <c r="K179" t="s">
        <v>405</v>
      </c>
      <c r="L179">
        <v>1348</v>
      </c>
      <c r="N179">
        <v>1009</v>
      </c>
      <c r="O179" t="s">
        <v>310</v>
      </c>
      <c r="P179" t="s">
        <v>310</v>
      </c>
      <c r="Q179">
        <v>1000</v>
      </c>
      <c r="W179">
        <v>0</v>
      </c>
      <c r="X179">
        <v>-573574343</v>
      </c>
      <c r="Y179">
        <f t="shared" si="106"/>
        <v>5.0000000000000002E-5</v>
      </c>
      <c r="AA179">
        <v>1219.68</v>
      </c>
      <c r="AB179">
        <v>0</v>
      </c>
      <c r="AC179">
        <v>0</v>
      </c>
      <c r="AD179">
        <v>0</v>
      </c>
      <c r="AE179">
        <v>1219.68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-2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5.0000000000000002E-5</v>
      </c>
      <c r="AU179" t="s">
        <v>3</v>
      </c>
      <c r="AV179">
        <v>0</v>
      </c>
      <c r="AW179">
        <v>2</v>
      </c>
      <c r="AX179">
        <v>60257604</v>
      </c>
      <c r="AY179">
        <v>1</v>
      </c>
      <c r="AZ179">
        <v>0</v>
      </c>
      <c r="BA179">
        <v>187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v>0</v>
      </c>
      <c r="CX179">
        <f>ROUND(Y179*Source!I174,9)</f>
        <v>5.0000000000000002E-5</v>
      </c>
      <c r="CY179">
        <f t="shared" si="107"/>
        <v>1219.68</v>
      </c>
      <c r="CZ179">
        <f t="shared" si="108"/>
        <v>1219.68</v>
      </c>
      <c r="DA179">
        <f t="shared" si="109"/>
        <v>1</v>
      </c>
      <c r="DB179">
        <f t="shared" si="110"/>
        <v>0.06</v>
      </c>
      <c r="DC179">
        <f t="shared" si="111"/>
        <v>0</v>
      </c>
      <c r="DD179" t="s">
        <v>3</v>
      </c>
      <c r="DE179" t="s">
        <v>3</v>
      </c>
      <c r="DF179">
        <f t="shared" si="105"/>
        <v>0.06</v>
      </c>
      <c r="DG179">
        <f t="shared" si="103"/>
        <v>0</v>
      </c>
      <c r="DH179">
        <f t="shared" si="104"/>
        <v>0</v>
      </c>
      <c r="DI179">
        <f t="shared" si="98"/>
        <v>0</v>
      </c>
      <c r="DJ179">
        <f t="shared" si="112"/>
        <v>0.06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">
      <c r="A180">
        <f>ROW(Source!A174)</f>
        <v>174</v>
      </c>
      <c r="B180">
        <v>60256985</v>
      </c>
      <c r="C180">
        <v>60257439</v>
      </c>
      <c r="D180">
        <v>59039997</v>
      </c>
      <c r="E180">
        <v>1</v>
      </c>
      <c r="F180">
        <v>1</v>
      </c>
      <c r="G180">
        <v>1080</v>
      </c>
      <c r="H180">
        <v>3</v>
      </c>
      <c r="I180" t="s">
        <v>406</v>
      </c>
      <c r="J180" t="s">
        <v>407</v>
      </c>
      <c r="K180" t="s">
        <v>408</v>
      </c>
      <c r="L180">
        <v>1301</v>
      </c>
      <c r="N180">
        <v>1003</v>
      </c>
      <c r="O180" t="s">
        <v>139</v>
      </c>
      <c r="P180" t="s">
        <v>139</v>
      </c>
      <c r="Q180">
        <v>1</v>
      </c>
      <c r="W180">
        <v>0</v>
      </c>
      <c r="X180">
        <v>882847464</v>
      </c>
      <c r="Y180">
        <f t="shared" si="106"/>
        <v>5</v>
      </c>
      <c r="AA180">
        <v>0.39</v>
      </c>
      <c r="AB180">
        <v>0</v>
      </c>
      <c r="AC180">
        <v>0</v>
      </c>
      <c r="AD180">
        <v>0</v>
      </c>
      <c r="AE180">
        <v>0.39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-2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5</v>
      </c>
      <c r="AU180" t="s">
        <v>3</v>
      </c>
      <c r="AV180">
        <v>0</v>
      </c>
      <c r="AW180">
        <v>2</v>
      </c>
      <c r="AX180">
        <v>60257605</v>
      </c>
      <c r="AY180">
        <v>1</v>
      </c>
      <c r="AZ180">
        <v>0</v>
      </c>
      <c r="BA180">
        <v>188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ROUND(Y180*Source!I174,9)</f>
        <v>5</v>
      </c>
      <c r="CY180">
        <f t="shared" si="107"/>
        <v>0.39</v>
      </c>
      <c r="CZ180">
        <f t="shared" si="108"/>
        <v>0.39</v>
      </c>
      <c r="DA180">
        <f t="shared" si="109"/>
        <v>1</v>
      </c>
      <c r="DB180">
        <f t="shared" si="110"/>
        <v>1.95</v>
      </c>
      <c r="DC180">
        <f t="shared" si="111"/>
        <v>0</v>
      </c>
      <c r="DD180" t="s">
        <v>3</v>
      </c>
      <c r="DE180" t="s">
        <v>3</v>
      </c>
      <c r="DF180">
        <f t="shared" si="105"/>
        <v>1.95</v>
      </c>
      <c r="DG180">
        <f t="shared" si="103"/>
        <v>0</v>
      </c>
      <c r="DH180">
        <f t="shared" si="104"/>
        <v>0</v>
      </c>
      <c r="DI180">
        <f t="shared" si="98"/>
        <v>0</v>
      </c>
      <c r="DJ180">
        <f t="shared" si="112"/>
        <v>1.95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">
      <c r="A181">
        <f>ROW(Source!A174)</f>
        <v>174</v>
      </c>
      <c r="B181">
        <v>60256985</v>
      </c>
      <c r="C181">
        <v>60257439</v>
      </c>
      <c r="D181">
        <v>59038980</v>
      </c>
      <c r="E181">
        <v>1</v>
      </c>
      <c r="F181">
        <v>1</v>
      </c>
      <c r="G181">
        <v>1080</v>
      </c>
      <c r="H181">
        <v>3</v>
      </c>
      <c r="I181" t="s">
        <v>409</v>
      </c>
      <c r="J181" t="s">
        <v>410</v>
      </c>
      <c r="K181" t="s">
        <v>411</v>
      </c>
      <c r="L181">
        <v>1339</v>
      </c>
      <c r="N181">
        <v>1007</v>
      </c>
      <c r="O181" t="s">
        <v>412</v>
      </c>
      <c r="P181" t="s">
        <v>412</v>
      </c>
      <c r="Q181">
        <v>1</v>
      </c>
      <c r="W181">
        <v>0</v>
      </c>
      <c r="X181">
        <v>1880586541</v>
      </c>
      <c r="Y181">
        <f t="shared" si="106"/>
        <v>1E-3</v>
      </c>
      <c r="AA181">
        <v>1176.3</v>
      </c>
      <c r="AB181">
        <v>0</v>
      </c>
      <c r="AC181">
        <v>0</v>
      </c>
      <c r="AD181">
        <v>0</v>
      </c>
      <c r="AE181">
        <v>1176.3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1E-3</v>
      </c>
      <c r="AU181" t="s">
        <v>3</v>
      </c>
      <c r="AV181">
        <v>0</v>
      </c>
      <c r="AW181">
        <v>2</v>
      </c>
      <c r="AX181">
        <v>60257606</v>
      </c>
      <c r="AY181">
        <v>1</v>
      </c>
      <c r="AZ181">
        <v>0</v>
      </c>
      <c r="BA181">
        <v>189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ROUND(Y181*Source!I174,9)</f>
        <v>1E-3</v>
      </c>
      <c r="CY181">
        <f t="shared" si="107"/>
        <v>1176.3</v>
      </c>
      <c r="CZ181">
        <f t="shared" si="108"/>
        <v>1176.3</v>
      </c>
      <c r="DA181">
        <f t="shared" si="109"/>
        <v>1</v>
      </c>
      <c r="DB181">
        <f t="shared" si="110"/>
        <v>1.18</v>
      </c>
      <c r="DC181">
        <f t="shared" si="111"/>
        <v>0</v>
      </c>
      <c r="DD181" t="s">
        <v>3</v>
      </c>
      <c r="DE181" t="s">
        <v>3</v>
      </c>
      <c r="DF181">
        <f t="shared" si="105"/>
        <v>1.18</v>
      </c>
      <c r="DG181">
        <f t="shared" si="103"/>
        <v>0</v>
      </c>
      <c r="DH181">
        <f t="shared" si="104"/>
        <v>0</v>
      </c>
      <c r="DI181">
        <f t="shared" si="98"/>
        <v>0</v>
      </c>
      <c r="DJ181">
        <f t="shared" si="112"/>
        <v>1.18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">
      <c r="A182">
        <f>ROW(Source!A174)</f>
        <v>174</v>
      </c>
      <c r="B182">
        <v>60256985</v>
      </c>
      <c r="C182">
        <v>60257439</v>
      </c>
      <c r="D182">
        <v>59040899</v>
      </c>
      <c r="E182">
        <v>1</v>
      </c>
      <c r="F182">
        <v>1</v>
      </c>
      <c r="G182">
        <v>1080</v>
      </c>
      <c r="H182">
        <v>3</v>
      </c>
      <c r="I182" t="s">
        <v>413</v>
      </c>
      <c r="J182" t="s">
        <v>414</v>
      </c>
      <c r="K182" t="s">
        <v>415</v>
      </c>
      <c r="L182">
        <v>1346</v>
      </c>
      <c r="N182">
        <v>1009</v>
      </c>
      <c r="O182" t="s">
        <v>314</v>
      </c>
      <c r="P182" t="s">
        <v>314</v>
      </c>
      <c r="Q182">
        <v>1</v>
      </c>
      <c r="W182">
        <v>0</v>
      </c>
      <c r="X182">
        <v>-1707271536</v>
      </c>
      <c r="Y182">
        <f t="shared" si="106"/>
        <v>0.01</v>
      </c>
      <c r="AA182">
        <v>15.11</v>
      </c>
      <c r="AB182">
        <v>0</v>
      </c>
      <c r="AC182">
        <v>0</v>
      </c>
      <c r="AD182">
        <v>0</v>
      </c>
      <c r="AE182">
        <v>15.11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-2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0.01</v>
      </c>
      <c r="AU182" t="s">
        <v>3</v>
      </c>
      <c r="AV182">
        <v>0</v>
      </c>
      <c r="AW182">
        <v>2</v>
      </c>
      <c r="AX182">
        <v>60257607</v>
      </c>
      <c r="AY182">
        <v>1</v>
      </c>
      <c r="AZ182">
        <v>0</v>
      </c>
      <c r="BA182">
        <v>190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ROUND(Y182*Source!I174,9)</f>
        <v>0.01</v>
      </c>
      <c r="CY182">
        <f t="shared" si="107"/>
        <v>15.11</v>
      </c>
      <c r="CZ182">
        <f t="shared" si="108"/>
        <v>15.11</v>
      </c>
      <c r="DA182">
        <f t="shared" si="109"/>
        <v>1</v>
      </c>
      <c r="DB182">
        <f t="shared" si="110"/>
        <v>0.15</v>
      </c>
      <c r="DC182">
        <f t="shared" si="111"/>
        <v>0</v>
      </c>
      <c r="DD182" t="s">
        <v>3</v>
      </c>
      <c r="DE182" t="s">
        <v>3</v>
      </c>
      <c r="DF182">
        <f t="shared" si="105"/>
        <v>0.15</v>
      </c>
      <c r="DG182">
        <f t="shared" si="103"/>
        <v>0</v>
      </c>
      <c r="DH182">
        <f t="shared" si="104"/>
        <v>0</v>
      </c>
      <c r="DI182">
        <f t="shared" si="98"/>
        <v>0</v>
      </c>
      <c r="DJ182">
        <f t="shared" si="112"/>
        <v>0.15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">
      <c r="A183">
        <f>ROW(Source!A174)</f>
        <v>174</v>
      </c>
      <c r="B183">
        <v>60256985</v>
      </c>
      <c r="C183">
        <v>60257439</v>
      </c>
      <c r="D183">
        <v>59039068</v>
      </c>
      <c r="E183">
        <v>1</v>
      </c>
      <c r="F183">
        <v>1</v>
      </c>
      <c r="G183">
        <v>1080</v>
      </c>
      <c r="H183">
        <v>3</v>
      </c>
      <c r="I183" t="s">
        <v>416</v>
      </c>
      <c r="J183" t="s">
        <v>417</v>
      </c>
      <c r="K183" t="s">
        <v>418</v>
      </c>
      <c r="L183">
        <v>1346</v>
      </c>
      <c r="N183">
        <v>1009</v>
      </c>
      <c r="O183" t="s">
        <v>314</v>
      </c>
      <c r="P183" t="s">
        <v>314</v>
      </c>
      <c r="Q183">
        <v>1</v>
      </c>
      <c r="W183">
        <v>0</v>
      </c>
      <c r="X183">
        <v>2120032869</v>
      </c>
      <c r="Y183">
        <f t="shared" si="106"/>
        <v>0.01</v>
      </c>
      <c r="AA183">
        <v>16.690000000000001</v>
      </c>
      <c r="AB183">
        <v>0</v>
      </c>
      <c r="AC183">
        <v>0</v>
      </c>
      <c r="AD183">
        <v>0</v>
      </c>
      <c r="AE183">
        <v>16.690000000000001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-2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0.01</v>
      </c>
      <c r="AU183" t="s">
        <v>3</v>
      </c>
      <c r="AV183">
        <v>0</v>
      </c>
      <c r="AW183">
        <v>2</v>
      </c>
      <c r="AX183">
        <v>60257608</v>
      </c>
      <c r="AY183">
        <v>1</v>
      </c>
      <c r="AZ183">
        <v>0</v>
      </c>
      <c r="BA183">
        <v>191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V183">
        <v>0</v>
      </c>
      <c r="CW183">
        <v>0</v>
      </c>
      <c r="CX183">
        <f>ROUND(Y183*Source!I174,9)</f>
        <v>0.01</v>
      </c>
      <c r="CY183">
        <f t="shared" si="107"/>
        <v>16.690000000000001</v>
      </c>
      <c r="CZ183">
        <f t="shared" si="108"/>
        <v>16.690000000000001</v>
      </c>
      <c r="DA183">
        <f t="shared" si="109"/>
        <v>1</v>
      </c>
      <c r="DB183">
        <f t="shared" si="110"/>
        <v>0.17</v>
      </c>
      <c r="DC183">
        <f t="shared" si="111"/>
        <v>0</v>
      </c>
      <c r="DD183" t="s">
        <v>3</v>
      </c>
      <c r="DE183" t="s">
        <v>3</v>
      </c>
      <c r="DF183">
        <f t="shared" si="105"/>
        <v>0.17</v>
      </c>
      <c r="DG183">
        <f t="shared" si="103"/>
        <v>0</v>
      </c>
      <c r="DH183">
        <f t="shared" si="104"/>
        <v>0</v>
      </c>
      <c r="DI183">
        <f t="shared" si="98"/>
        <v>0</v>
      </c>
      <c r="DJ183">
        <f t="shared" si="112"/>
        <v>0.17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">
      <c r="A184">
        <f>ROW(Source!A174)</f>
        <v>174</v>
      </c>
      <c r="B184">
        <v>60256985</v>
      </c>
      <c r="C184">
        <v>60257439</v>
      </c>
      <c r="D184">
        <v>59041389</v>
      </c>
      <c r="E184">
        <v>1</v>
      </c>
      <c r="F184">
        <v>1</v>
      </c>
      <c r="G184">
        <v>1080</v>
      </c>
      <c r="H184">
        <v>3</v>
      </c>
      <c r="I184" t="s">
        <v>419</v>
      </c>
      <c r="J184" t="s">
        <v>420</v>
      </c>
      <c r="K184" t="s">
        <v>421</v>
      </c>
      <c r="L184">
        <v>1348</v>
      </c>
      <c r="N184">
        <v>1009</v>
      </c>
      <c r="O184" t="s">
        <v>310</v>
      </c>
      <c r="P184" t="s">
        <v>310</v>
      </c>
      <c r="Q184">
        <v>1000</v>
      </c>
      <c r="W184">
        <v>0</v>
      </c>
      <c r="X184">
        <v>1940187695</v>
      </c>
      <c r="Y184">
        <f t="shared" si="106"/>
        <v>1E-4</v>
      </c>
      <c r="AA184">
        <v>10643.18</v>
      </c>
      <c r="AB184">
        <v>0</v>
      </c>
      <c r="AC184">
        <v>0</v>
      </c>
      <c r="AD184">
        <v>0</v>
      </c>
      <c r="AE184">
        <v>10643.18</v>
      </c>
      <c r="AF184">
        <v>0</v>
      </c>
      <c r="AG184">
        <v>0</v>
      </c>
      <c r="AH184">
        <v>0</v>
      </c>
      <c r="AI184">
        <v>1</v>
      </c>
      <c r="AJ184">
        <v>1</v>
      </c>
      <c r="AK184">
        <v>1</v>
      </c>
      <c r="AL184">
        <v>1</v>
      </c>
      <c r="AM184">
        <v>-2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1E-4</v>
      </c>
      <c r="AU184" t="s">
        <v>3</v>
      </c>
      <c r="AV184">
        <v>0</v>
      </c>
      <c r="AW184">
        <v>2</v>
      </c>
      <c r="AX184">
        <v>60257609</v>
      </c>
      <c r="AY184">
        <v>1</v>
      </c>
      <c r="AZ184">
        <v>0</v>
      </c>
      <c r="BA184">
        <v>192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v>0</v>
      </c>
      <c r="CX184">
        <f>ROUND(Y184*Source!I174,9)</f>
        <v>1E-4</v>
      </c>
      <c r="CY184">
        <f t="shared" si="107"/>
        <v>10643.18</v>
      </c>
      <c r="CZ184">
        <f t="shared" si="108"/>
        <v>10643.18</v>
      </c>
      <c r="DA184">
        <f t="shared" si="109"/>
        <v>1</v>
      </c>
      <c r="DB184">
        <f t="shared" si="110"/>
        <v>1.06</v>
      </c>
      <c r="DC184">
        <f t="shared" si="111"/>
        <v>0</v>
      </c>
      <c r="DD184" t="s">
        <v>3</v>
      </c>
      <c r="DE184" t="s">
        <v>3</v>
      </c>
      <c r="DF184">
        <f t="shared" si="105"/>
        <v>1.06</v>
      </c>
      <c r="DG184">
        <f t="shared" si="103"/>
        <v>0</v>
      </c>
      <c r="DH184">
        <f t="shared" si="104"/>
        <v>0</v>
      </c>
      <c r="DI184">
        <f t="shared" si="98"/>
        <v>0</v>
      </c>
      <c r="DJ184">
        <f t="shared" si="112"/>
        <v>1.06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">
      <c r="A185">
        <f>ROW(Source!A174)</f>
        <v>174</v>
      </c>
      <c r="B185">
        <v>60256985</v>
      </c>
      <c r="C185">
        <v>60257439</v>
      </c>
      <c r="D185">
        <v>59045670</v>
      </c>
      <c r="E185">
        <v>1</v>
      </c>
      <c r="F185">
        <v>1</v>
      </c>
      <c r="G185">
        <v>1080</v>
      </c>
      <c r="H185">
        <v>3</v>
      </c>
      <c r="I185" t="s">
        <v>422</v>
      </c>
      <c r="J185" t="s">
        <v>423</v>
      </c>
      <c r="K185" t="s">
        <v>424</v>
      </c>
      <c r="L185">
        <v>1355</v>
      </c>
      <c r="N185">
        <v>1010</v>
      </c>
      <c r="O185" t="s">
        <v>63</v>
      </c>
      <c r="P185" t="s">
        <v>63</v>
      </c>
      <c r="Q185">
        <v>100</v>
      </c>
      <c r="W185">
        <v>0</v>
      </c>
      <c r="X185">
        <v>-1616851610</v>
      </c>
      <c r="Y185">
        <f t="shared" si="106"/>
        <v>0.01</v>
      </c>
      <c r="AA185">
        <v>120.19</v>
      </c>
      <c r="AB185">
        <v>0</v>
      </c>
      <c r="AC185">
        <v>0</v>
      </c>
      <c r="AD185">
        <v>0</v>
      </c>
      <c r="AE185">
        <v>120.19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-2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0.01</v>
      </c>
      <c r="AU185" t="s">
        <v>3</v>
      </c>
      <c r="AV185">
        <v>0</v>
      </c>
      <c r="AW185">
        <v>2</v>
      </c>
      <c r="AX185">
        <v>60257610</v>
      </c>
      <c r="AY185">
        <v>1</v>
      </c>
      <c r="AZ185">
        <v>0</v>
      </c>
      <c r="BA185">
        <v>193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v>0</v>
      </c>
      <c r="CX185">
        <f>ROUND(Y185*Source!I174,9)</f>
        <v>0.01</v>
      </c>
      <c r="CY185">
        <f t="shared" si="107"/>
        <v>120.19</v>
      </c>
      <c r="CZ185">
        <f t="shared" si="108"/>
        <v>120.19</v>
      </c>
      <c r="DA185">
        <f t="shared" si="109"/>
        <v>1</v>
      </c>
      <c r="DB185">
        <f t="shared" si="110"/>
        <v>1.2</v>
      </c>
      <c r="DC185">
        <f t="shared" si="111"/>
        <v>0</v>
      </c>
      <c r="DD185" t="s">
        <v>3</v>
      </c>
      <c r="DE185" t="s">
        <v>3</v>
      </c>
      <c r="DF185">
        <f t="shared" si="105"/>
        <v>1.2</v>
      </c>
      <c r="DG185">
        <f t="shared" si="103"/>
        <v>0</v>
      </c>
      <c r="DH185">
        <f t="shared" si="104"/>
        <v>0</v>
      </c>
      <c r="DI185">
        <f t="shared" si="98"/>
        <v>0</v>
      </c>
      <c r="DJ185">
        <f t="shared" si="112"/>
        <v>1.2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">
      <c r="A186">
        <f>ROW(Source!A174)</f>
        <v>174</v>
      </c>
      <c r="B186">
        <v>60256985</v>
      </c>
      <c r="C186">
        <v>60257439</v>
      </c>
      <c r="D186">
        <v>59039462</v>
      </c>
      <c r="E186">
        <v>1</v>
      </c>
      <c r="F186">
        <v>1</v>
      </c>
      <c r="G186">
        <v>1080</v>
      </c>
      <c r="H186">
        <v>3</v>
      </c>
      <c r="I186" t="s">
        <v>425</v>
      </c>
      <c r="J186" t="s">
        <v>426</v>
      </c>
      <c r="K186" t="s">
        <v>427</v>
      </c>
      <c r="L186">
        <v>1348</v>
      </c>
      <c r="N186">
        <v>1009</v>
      </c>
      <c r="O186" t="s">
        <v>310</v>
      </c>
      <c r="P186" t="s">
        <v>310</v>
      </c>
      <c r="Q186">
        <v>1000</v>
      </c>
      <c r="W186">
        <v>0</v>
      </c>
      <c r="X186">
        <v>-1945031955</v>
      </c>
      <c r="Y186">
        <f t="shared" si="106"/>
        <v>2.0000000000000002E-5</v>
      </c>
      <c r="AA186">
        <v>64123.05</v>
      </c>
      <c r="AB186">
        <v>0</v>
      </c>
      <c r="AC186">
        <v>0</v>
      </c>
      <c r="AD186">
        <v>0</v>
      </c>
      <c r="AE186">
        <v>64123.05</v>
      </c>
      <c r="AF186">
        <v>0</v>
      </c>
      <c r="AG186">
        <v>0</v>
      </c>
      <c r="AH186">
        <v>0</v>
      </c>
      <c r="AI186">
        <v>1</v>
      </c>
      <c r="AJ186">
        <v>1</v>
      </c>
      <c r="AK186">
        <v>1</v>
      </c>
      <c r="AL186">
        <v>1</v>
      </c>
      <c r="AM186">
        <v>-2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2.0000000000000002E-5</v>
      </c>
      <c r="AU186" t="s">
        <v>3</v>
      </c>
      <c r="AV186">
        <v>0</v>
      </c>
      <c r="AW186">
        <v>2</v>
      </c>
      <c r="AX186">
        <v>60257611</v>
      </c>
      <c r="AY186">
        <v>1</v>
      </c>
      <c r="AZ186">
        <v>0</v>
      </c>
      <c r="BA186">
        <v>194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ROUND(Y186*Source!I174,9)</f>
        <v>2.0000000000000002E-5</v>
      </c>
      <c r="CY186">
        <f t="shared" si="107"/>
        <v>64123.05</v>
      </c>
      <c r="CZ186">
        <f t="shared" si="108"/>
        <v>64123.05</v>
      </c>
      <c r="DA186">
        <f t="shared" si="109"/>
        <v>1</v>
      </c>
      <c r="DB186">
        <f t="shared" si="110"/>
        <v>1.28</v>
      </c>
      <c r="DC186">
        <f t="shared" si="111"/>
        <v>0</v>
      </c>
      <c r="DD186" t="s">
        <v>3</v>
      </c>
      <c r="DE186" t="s">
        <v>3</v>
      </c>
      <c r="DF186">
        <f t="shared" si="105"/>
        <v>1.28</v>
      </c>
      <c r="DG186">
        <f t="shared" si="103"/>
        <v>0</v>
      </c>
      <c r="DH186">
        <f t="shared" si="104"/>
        <v>0</v>
      </c>
      <c r="DI186">
        <f t="shared" si="98"/>
        <v>0</v>
      </c>
      <c r="DJ186">
        <f t="shared" si="112"/>
        <v>1.28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">
      <c r="A187">
        <f>ROW(Source!A174)</f>
        <v>174</v>
      </c>
      <c r="B187">
        <v>60256985</v>
      </c>
      <c r="C187">
        <v>60257439</v>
      </c>
      <c r="D187">
        <v>59039479</v>
      </c>
      <c r="E187">
        <v>1</v>
      </c>
      <c r="F187">
        <v>1</v>
      </c>
      <c r="G187">
        <v>1080</v>
      </c>
      <c r="H187">
        <v>3</v>
      </c>
      <c r="I187" t="s">
        <v>428</v>
      </c>
      <c r="J187" t="s">
        <v>429</v>
      </c>
      <c r="K187" t="s">
        <v>430</v>
      </c>
      <c r="L187">
        <v>1348</v>
      </c>
      <c r="N187">
        <v>1009</v>
      </c>
      <c r="O187" t="s">
        <v>310</v>
      </c>
      <c r="P187" t="s">
        <v>310</v>
      </c>
      <c r="Q187">
        <v>1000</v>
      </c>
      <c r="W187">
        <v>0</v>
      </c>
      <c r="X187">
        <v>-1532056584</v>
      </c>
      <c r="Y187">
        <f t="shared" si="106"/>
        <v>1E-4</v>
      </c>
      <c r="AA187">
        <v>9238.1299999999992</v>
      </c>
      <c r="AB187">
        <v>0</v>
      </c>
      <c r="AC187">
        <v>0</v>
      </c>
      <c r="AD187">
        <v>0</v>
      </c>
      <c r="AE187">
        <v>9238.1299999999992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-2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1E-4</v>
      </c>
      <c r="AU187" t="s">
        <v>3</v>
      </c>
      <c r="AV187">
        <v>0</v>
      </c>
      <c r="AW187">
        <v>2</v>
      </c>
      <c r="AX187">
        <v>60257612</v>
      </c>
      <c r="AY187">
        <v>1</v>
      </c>
      <c r="AZ187">
        <v>0</v>
      </c>
      <c r="BA187">
        <v>195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v>0</v>
      </c>
      <c r="CX187">
        <f>ROUND(Y187*Source!I174,9)</f>
        <v>1E-4</v>
      </c>
      <c r="CY187">
        <f t="shared" si="107"/>
        <v>9238.1299999999992</v>
      </c>
      <c r="CZ187">
        <f t="shared" si="108"/>
        <v>9238.1299999999992</v>
      </c>
      <c r="DA187">
        <f t="shared" si="109"/>
        <v>1</v>
      </c>
      <c r="DB187">
        <f t="shared" si="110"/>
        <v>0.92</v>
      </c>
      <c r="DC187">
        <f t="shared" si="111"/>
        <v>0</v>
      </c>
      <c r="DD187" t="s">
        <v>3</v>
      </c>
      <c r="DE187" t="s">
        <v>3</v>
      </c>
      <c r="DF187">
        <f t="shared" si="105"/>
        <v>0.92</v>
      </c>
      <c r="DG187">
        <f t="shared" si="103"/>
        <v>0</v>
      </c>
      <c r="DH187">
        <f t="shared" si="104"/>
        <v>0</v>
      </c>
      <c r="DI187">
        <f t="shared" si="98"/>
        <v>0</v>
      </c>
      <c r="DJ187">
        <f t="shared" si="112"/>
        <v>0.92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">
      <c r="A188">
        <f>ROW(Source!A174)</f>
        <v>174</v>
      </c>
      <c r="B188">
        <v>60256985</v>
      </c>
      <c r="C188">
        <v>60257439</v>
      </c>
      <c r="D188">
        <v>59062697</v>
      </c>
      <c r="E188">
        <v>1</v>
      </c>
      <c r="F188">
        <v>1</v>
      </c>
      <c r="G188">
        <v>1080</v>
      </c>
      <c r="H188">
        <v>3</v>
      </c>
      <c r="I188" t="s">
        <v>431</v>
      </c>
      <c r="J188" t="s">
        <v>432</v>
      </c>
      <c r="K188" t="s">
        <v>433</v>
      </c>
      <c r="L188">
        <v>1301</v>
      </c>
      <c r="N188">
        <v>1003</v>
      </c>
      <c r="O188" t="s">
        <v>139</v>
      </c>
      <c r="P188" t="s">
        <v>139</v>
      </c>
      <c r="Q188">
        <v>1</v>
      </c>
      <c r="W188">
        <v>0</v>
      </c>
      <c r="X188">
        <v>-1624118800</v>
      </c>
      <c r="Y188">
        <f t="shared" si="106"/>
        <v>1</v>
      </c>
      <c r="AA188">
        <v>0.69</v>
      </c>
      <c r="AB188">
        <v>0</v>
      </c>
      <c r="AC188">
        <v>0</v>
      </c>
      <c r="AD188">
        <v>0</v>
      </c>
      <c r="AE188">
        <v>0.69</v>
      </c>
      <c r="AF188">
        <v>0</v>
      </c>
      <c r="AG188">
        <v>0</v>
      </c>
      <c r="AH188">
        <v>0</v>
      </c>
      <c r="AI188">
        <v>1</v>
      </c>
      <c r="AJ188">
        <v>1</v>
      </c>
      <c r="AK188">
        <v>1</v>
      </c>
      <c r="AL188">
        <v>1</v>
      </c>
      <c r="AM188">
        <v>-2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1</v>
      </c>
      <c r="AU188" t="s">
        <v>3</v>
      </c>
      <c r="AV188">
        <v>0</v>
      </c>
      <c r="AW188">
        <v>2</v>
      </c>
      <c r="AX188">
        <v>60257613</v>
      </c>
      <c r="AY188">
        <v>1</v>
      </c>
      <c r="AZ188">
        <v>0</v>
      </c>
      <c r="BA188">
        <v>196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ROUND(Y188*Source!I174,9)</f>
        <v>1</v>
      </c>
      <c r="CY188">
        <f t="shared" si="107"/>
        <v>0.69</v>
      </c>
      <c r="CZ188">
        <f t="shared" si="108"/>
        <v>0.69</v>
      </c>
      <c r="DA188">
        <f t="shared" si="109"/>
        <v>1</v>
      </c>
      <c r="DB188">
        <f t="shared" si="110"/>
        <v>0.69</v>
      </c>
      <c r="DC188">
        <f t="shared" si="111"/>
        <v>0</v>
      </c>
      <c r="DD188" t="s">
        <v>3</v>
      </c>
      <c r="DE188" t="s">
        <v>3</v>
      </c>
      <c r="DF188">
        <f t="shared" si="105"/>
        <v>0.69</v>
      </c>
      <c r="DG188">
        <f t="shared" si="103"/>
        <v>0</v>
      </c>
      <c r="DH188">
        <f t="shared" si="104"/>
        <v>0</v>
      </c>
      <c r="DI188">
        <f t="shared" si="98"/>
        <v>0</v>
      </c>
      <c r="DJ188">
        <f t="shared" si="112"/>
        <v>0.69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">
      <c r="A189">
        <f>ROW(Source!A174)</f>
        <v>174</v>
      </c>
      <c r="B189">
        <v>60256985</v>
      </c>
      <c r="C189">
        <v>60257439</v>
      </c>
      <c r="D189">
        <v>59062976</v>
      </c>
      <c r="E189">
        <v>1</v>
      </c>
      <c r="F189">
        <v>1</v>
      </c>
      <c r="G189">
        <v>1080</v>
      </c>
      <c r="H189">
        <v>3</v>
      </c>
      <c r="I189" t="s">
        <v>434</v>
      </c>
      <c r="J189" t="s">
        <v>435</v>
      </c>
      <c r="K189" t="s">
        <v>436</v>
      </c>
      <c r="L189">
        <v>1356</v>
      </c>
      <c r="N189">
        <v>1010</v>
      </c>
      <c r="O189" t="s">
        <v>74</v>
      </c>
      <c r="P189" t="s">
        <v>74</v>
      </c>
      <c r="Q189">
        <v>1000</v>
      </c>
      <c r="W189">
        <v>0</v>
      </c>
      <c r="X189">
        <v>-1808005655</v>
      </c>
      <c r="Y189">
        <f t="shared" si="106"/>
        <v>0.01</v>
      </c>
      <c r="AA189">
        <v>294.89</v>
      </c>
      <c r="AB189">
        <v>0</v>
      </c>
      <c r="AC189">
        <v>0</v>
      </c>
      <c r="AD189">
        <v>0</v>
      </c>
      <c r="AE189">
        <v>294.89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-2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0.01</v>
      </c>
      <c r="AU189" t="s">
        <v>3</v>
      </c>
      <c r="AV189">
        <v>0</v>
      </c>
      <c r="AW189">
        <v>2</v>
      </c>
      <c r="AX189">
        <v>60257614</v>
      </c>
      <c r="AY189">
        <v>1</v>
      </c>
      <c r="AZ189">
        <v>0</v>
      </c>
      <c r="BA189">
        <v>197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v>0</v>
      </c>
      <c r="CX189">
        <f>ROUND(Y189*Source!I174,9)</f>
        <v>0.01</v>
      </c>
      <c r="CY189">
        <f t="shared" si="107"/>
        <v>294.89</v>
      </c>
      <c r="CZ189">
        <f t="shared" si="108"/>
        <v>294.89</v>
      </c>
      <c r="DA189">
        <f t="shared" si="109"/>
        <v>1</v>
      </c>
      <c r="DB189">
        <f t="shared" si="110"/>
        <v>2.95</v>
      </c>
      <c r="DC189">
        <f t="shared" si="111"/>
        <v>0</v>
      </c>
      <c r="DD189" t="s">
        <v>3</v>
      </c>
      <c r="DE189" t="s">
        <v>3</v>
      </c>
      <c r="DF189">
        <f t="shared" si="105"/>
        <v>2.95</v>
      </c>
      <c r="DG189">
        <f t="shared" si="103"/>
        <v>0</v>
      </c>
      <c r="DH189">
        <f t="shared" si="104"/>
        <v>0</v>
      </c>
      <c r="DI189">
        <f t="shared" si="98"/>
        <v>0</v>
      </c>
      <c r="DJ189">
        <f t="shared" si="112"/>
        <v>2.95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">
      <c r="A190">
        <f>ROW(Source!A174)</f>
        <v>174</v>
      </c>
      <c r="B190">
        <v>60256985</v>
      </c>
      <c r="C190">
        <v>60257439</v>
      </c>
      <c r="D190">
        <v>59062049</v>
      </c>
      <c r="E190">
        <v>1</v>
      </c>
      <c r="F190">
        <v>1</v>
      </c>
      <c r="G190">
        <v>1080</v>
      </c>
      <c r="H190">
        <v>3</v>
      </c>
      <c r="I190" t="s">
        <v>437</v>
      </c>
      <c r="J190" t="s">
        <v>438</v>
      </c>
      <c r="K190" t="s">
        <v>439</v>
      </c>
      <c r="L190">
        <v>1354</v>
      </c>
      <c r="N190">
        <v>1010</v>
      </c>
      <c r="O190" t="s">
        <v>31</v>
      </c>
      <c r="P190" t="s">
        <v>31</v>
      </c>
      <c r="Q190">
        <v>1</v>
      </c>
      <c r="W190">
        <v>0</v>
      </c>
      <c r="X190">
        <v>1729520002</v>
      </c>
      <c r="Y190">
        <f t="shared" si="106"/>
        <v>1</v>
      </c>
      <c r="AA190">
        <v>15.67</v>
      </c>
      <c r="AB190">
        <v>0</v>
      </c>
      <c r="AC190">
        <v>0</v>
      </c>
      <c r="AD190">
        <v>0</v>
      </c>
      <c r="AE190">
        <v>15.67</v>
      </c>
      <c r="AF190">
        <v>0</v>
      </c>
      <c r="AG190">
        <v>0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-2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1</v>
      </c>
      <c r="AU190" t="s">
        <v>3</v>
      </c>
      <c r="AV190">
        <v>0</v>
      </c>
      <c r="AW190">
        <v>2</v>
      </c>
      <c r="AX190">
        <v>60257615</v>
      </c>
      <c r="AY190">
        <v>1</v>
      </c>
      <c r="AZ190">
        <v>0</v>
      </c>
      <c r="BA190">
        <v>198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ROUND(Y190*Source!I174,9)</f>
        <v>1</v>
      </c>
      <c r="CY190">
        <f t="shared" si="107"/>
        <v>15.67</v>
      </c>
      <c r="CZ190">
        <f t="shared" si="108"/>
        <v>15.67</v>
      </c>
      <c r="DA190">
        <f t="shared" si="109"/>
        <v>1</v>
      </c>
      <c r="DB190">
        <f t="shared" si="110"/>
        <v>15.67</v>
      </c>
      <c r="DC190">
        <f t="shared" si="111"/>
        <v>0</v>
      </c>
      <c r="DD190" t="s">
        <v>3</v>
      </c>
      <c r="DE190" t="s">
        <v>3</v>
      </c>
      <c r="DF190">
        <f t="shared" si="105"/>
        <v>15.67</v>
      </c>
      <c r="DG190">
        <f t="shared" si="103"/>
        <v>0</v>
      </c>
      <c r="DH190">
        <f t="shared" si="104"/>
        <v>0</v>
      </c>
      <c r="DI190">
        <f t="shared" si="98"/>
        <v>0</v>
      </c>
      <c r="DJ190">
        <f t="shared" si="112"/>
        <v>15.67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">
      <c r="A191">
        <f>ROW(Source!A174)</f>
        <v>174</v>
      </c>
      <c r="B191">
        <v>60256985</v>
      </c>
      <c r="C191">
        <v>60257439</v>
      </c>
      <c r="D191">
        <v>59004256</v>
      </c>
      <c r="E191">
        <v>1080</v>
      </c>
      <c r="F191">
        <v>1</v>
      </c>
      <c r="G191">
        <v>1080</v>
      </c>
      <c r="H191">
        <v>3</v>
      </c>
      <c r="I191" t="s">
        <v>347</v>
      </c>
      <c r="J191" t="s">
        <v>3</v>
      </c>
      <c r="K191" t="s">
        <v>348</v>
      </c>
      <c r="L191">
        <v>1348</v>
      </c>
      <c r="N191">
        <v>1009</v>
      </c>
      <c r="O191" t="s">
        <v>310</v>
      </c>
      <c r="P191" t="s">
        <v>310</v>
      </c>
      <c r="Q191">
        <v>1000</v>
      </c>
      <c r="W191">
        <v>0</v>
      </c>
      <c r="X191">
        <v>-783086922</v>
      </c>
      <c r="Y191">
        <f t="shared" si="106"/>
        <v>1E-3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-2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1E-3</v>
      </c>
      <c r="AU191" t="s">
        <v>3</v>
      </c>
      <c r="AV191">
        <v>0</v>
      </c>
      <c r="AW191">
        <v>2</v>
      </c>
      <c r="AX191">
        <v>60257618</v>
      </c>
      <c r="AY191">
        <v>1</v>
      </c>
      <c r="AZ191">
        <v>0</v>
      </c>
      <c r="BA191">
        <v>201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ROUND(Y191*Source!I174,9)</f>
        <v>1E-3</v>
      </c>
      <c r="CY191">
        <f t="shared" si="107"/>
        <v>0</v>
      </c>
      <c r="CZ191">
        <f t="shared" si="108"/>
        <v>0</v>
      </c>
      <c r="DA191">
        <f t="shared" si="109"/>
        <v>1</v>
      </c>
      <c r="DB191">
        <f t="shared" si="110"/>
        <v>0</v>
      </c>
      <c r="DC191">
        <f t="shared" si="111"/>
        <v>0</v>
      </c>
      <c r="DD191" t="s">
        <v>3</v>
      </c>
      <c r="DE191" t="s">
        <v>3</v>
      </c>
      <c r="DF191">
        <f t="shared" si="105"/>
        <v>0</v>
      </c>
      <c r="DG191">
        <f t="shared" si="103"/>
        <v>0</v>
      </c>
      <c r="DH191">
        <f t="shared" si="104"/>
        <v>0</v>
      </c>
      <c r="DI191">
        <f t="shared" si="98"/>
        <v>0</v>
      </c>
      <c r="DJ191">
        <f t="shared" si="112"/>
        <v>0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">
      <c r="A192">
        <f>ROW(Source!A174)</f>
        <v>174</v>
      </c>
      <c r="B192">
        <v>60256985</v>
      </c>
      <c r="C192">
        <v>60257439</v>
      </c>
      <c r="D192">
        <v>0</v>
      </c>
      <c r="E192">
        <v>1080</v>
      </c>
      <c r="F192">
        <v>1</v>
      </c>
      <c r="G192">
        <v>1080</v>
      </c>
      <c r="H192">
        <v>3</v>
      </c>
      <c r="I192" t="s">
        <v>251</v>
      </c>
      <c r="J192" t="s">
        <v>3</v>
      </c>
      <c r="K192" t="s">
        <v>252</v>
      </c>
      <c r="L192">
        <v>1371</v>
      </c>
      <c r="N192">
        <v>1013</v>
      </c>
      <c r="O192" t="s">
        <v>206</v>
      </c>
      <c r="P192" t="s">
        <v>206</v>
      </c>
      <c r="Q192">
        <v>1</v>
      </c>
      <c r="W192">
        <v>0</v>
      </c>
      <c r="X192">
        <v>1847129524</v>
      </c>
      <c r="Y192">
        <f t="shared" si="106"/>
        <v>1</v>
      </c>
      <c r="AA192">
        <v>462.21</v>
      </c>
      <c r="AB192">
        <v>0</v>
      </c>
      <c r="AC192">
        <v>0</v>
      </c>
      <c r="AD192">
        <v>0</v>
      </c>
      <c r="AE192">
        <v>462.21000000000004</v>
      </c>
      <c r="AF192">
        <v>0</v>
      </c>
      <c r="AG192">
        <v>0</v>
      </c>
      <c r="AH192">
        <v>0</v>
      </c>
      <c r="AI192">
        <v>1</v>
      </c>
      <c r="AJ192">
        <v>1</v>
      </c>
      <c r="AK192">
        <v>1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 t="s">
        <v>3</v>
      </c>
      <c r="AT192">
        <v>1</v>
      </c>
      <c r="AU192" t="s">
        <v>3</v>
      </c>
      <c r="AV192">
        <v>0</v>
      </c>
      <c r="AW192">
        <v>1</v>
      </c>
      <c r="AX192">
        <v>-1</v>
      </c>
      <c r="AY192">
        <v>0</v>
      </c>
      <c r="AZ192">
        <v>0</v>
      </c>
      <c r="BA192" t="s">
        <v>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ROUND(Y192*Source!I174,9)</f>
        <v>1</v>
      </c>
      <c r="CY192">
        <f t="shared" si="107"/>
        <v>462.21</v>
      </c>
      <c r="CZ192">
        <f t="shared" si="108"/>
        <v>462.21000000000004</v>
      </c>
      <c r="DA192">
        <f t="shared" si="109"/>
        <v>1</v>
      </c>
      <c r="DB192">
        <f t="shared" si="110"/>
        <v>462.21</v>
      </c>
      <c r="DC192">
        <f t="shared" si="111"/>
        <v>0</v>
      </c>
      <c r="DD192" t="s">
        <v>3</v>
      </c>
      <c r="DE192" t="s">
        <v>3</v>
      </c>
      <c r="DF192">
        <f t="shared" si="105"/>
        <v>462.21</v>
      </c>
      <c r="DG192">
        <f t="shared" si="103"/>
        <v>0</v>
      </c>
      <c r="DH192">
        <f t="shared" si="104"/>
        <v>0</v>
      </c>
      <c r="DI192">
        <f t="shared" si="98"/>
        <v>0</v>
      </c>
      <c r="DJ192">
        <f t="shared" si="112"/>
        <v>462.21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">
      <c r="A193">
        <f>ROW(Source!A175)</f>
        <v>175</v>
      </c>
      <c r="B193">
        <v>60256982</v>
      </c>
      <c r="C193">
        <v>60257439</v>
      </c>
      <c r="D193">
        <v>58999254</v>
      </c>
      <c r="E193">
        <v>1080</v>
      </c>
      <c r="F193">
        <v>1</v>
      </c>
      <c r="G193">
        <v>1080</v>
      </c>
      <c r="H193">
        <v>1</v>
      </c>
      <c r="I193" t="s">
        <v>293</v>
      </c>
      <c r="J193" t="s">
        <v>3</v>
      </c>
      <c r="K193" t="s">
        <v>294</v>
      </c>
      <c r="L193">
        <v>1191</v>
      </c>
      <c r="N193">
        <v>1013</v>
      </c>
      <c r="O193" t="s">
        <v>295</v>
      </c>
      <c r="P193" t="s">
        <v>295</v>
      </c>
      <c r="Q193">
        <v>1</v>
      </c>
      <c r="W193">
        <v>0</v>
      </c>
      <c r="X193">
        <v>476480486</v>
      </c>
      <c r="Y193">
        <f>(AT193*1.1)</f>
        <v>3.3000000000000003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5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3</v>
      </c>
      <c r="AU193" t="s">
        <v>23</v>
      </c>
      <c r="AV193">
        <v>1</v>
      </c>
      <c r="AW193">
        <v>2</v>
      </c>
      <c r="AX193">
        <v>60257602</v>
      </c>
      <c r="AY193">
        <v>1</v>
      </c>
      <c r="AZ193">
        <v>0</v>
      </c>
      <c r="BA193">
        <v>202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U193">
        <f>ROUND(AT193*Source!I175*AH193*AL193,2)</f>
        <v>0</v>
      </c>
      <c r="CV193">
        <f>ROUND(Y193*Source!I175,9)</f>
        <v>3.3</v>
      </c>
      <c r="CW193">
        <v>0</v>
      </c>
      <c r="CX193">
        <f>ROUND(Y193*Source!I175,9)</f>
        <v>3.3</v>
      </c>
      <c r="CY193">
        <f>AD193</f>
        <v>0</v>
      </c>
      <c r="CZ193">
        <f>AH193</f>
        <v>0</v>
      </c>
      <c r="DA193">
        <f>AL193</f>
        <v>1</v>
      </c>
      <c r="DB193">
        <f>ROUND((ROUND(AT193*CZ193,2)*1.1),6)</f>
        <v>0</v>
      </c>
      <c r="DC193">
        <f>ROUND((ROUND(AT193*AG193,2)*1.1),6)</f>
        <v>0</v>
      </c>
      <c r="DD193" t="s">
        <v>3</v>
      </c>
      <c r="DE193" t="s">
        <v>3</v>
      </c>
      <c r="DF193">
        <f t="shared" si="105"/>
        <v>0</v>
      </c>
      <c r="DG193">
        <f t="shared" si="103"/>
        <v>0</v>
      </c>
      <c r="DH193">
        <f t="shared" si="104"/>
        <v>0</v>
      </c>
      <c r="DI193">
        <f t="shared" ref="DI193:DI240" si="113">ROUND(ROUND(AH193,2)*CX193,2)</f>
        <v>0</v>
      </c>
      <c r="DJ193">
        <f>DI193</f>
        <v>0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">
      <c r="A194">
        <f>ROW(Source!A175)</f>
        <v>175</v>
      </c>
      <c r="B194">
        <v>60256982</v>
      </c>
      <c r="C194">
        <v>60257439</v>
      </c>
      <c r="D194">
        <v>59039563</v>
      </c>
      <c r="E194">
        <v>1</v>
      </c>
      <c r="F194">
        <v>1</v>
      </c>
      <c r="G194">
        <v>1080</v>
      </c>
      <c r="H194">
        <v>3</v>
      </c>
      <c r="I194" t="s">
        <v>400</v>
      </c>
      <c r="J194" t="s">
        <v>401</v>
      </c>
      <c r="K194" t="s">
        <v>402</v>
      </c>
      <c r="L194">
        <v>1348</v>
      </c>
      <c r="N194">
        <v>1009</v>
      </c>
      <c r="O194" t="s">
        <v>310</v>
      </c>
      <c r="P194" t="s">
        <v>310</v>
      </c>
      <c r="Q194">
        <v>1000</v>
      </c>
      <c r="W194">
        <v>0</v>
      </c>
      <c r="X194">
        <v>-1186875871</v>
      </c>
      <c r="Y194">
        <f t="shared" ref="Y194:Y208" si="114">AT194</f>
        <v>1E-3</v>
      </c>
      <c r="AA194">
        <v>83645.289999999994</v>
      </c>
      <c r="AB194">
        <v>0</v>
      </c>
      <c r="AC194">
        <v>0</v>
      </c>
      <c r="AD194">
        <v>0</v>
      </c>
      <c r="AE194">
        <v>15319.65</v>
      </c>
      <c r="AF194">
        <v>0</v>
      </c>
      <c r="AG194">
        <v>0</v>
      </c>
      <c r="AH194">
        <v>0</v>
      </c>
      <c r="AI194">
        <v>5.46</v>
      </c>
      <c r="AJ194">
        <v>1</v>
      </c>
      <c r="AK194">
        <v>1</v>
      </c>
      <c r="AL194">
        <v>1</v>
      </c>
      <c r="AM194">
        <v>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1E-3</v>
      </c>
      <c r="AU194" t="s">
        <v>3</v>
      </c>
      <c r="AV194">
        <v>0</v>
      </c>
      <c r="AW194">
        <v>2</v>
      </c>
      <c r="AX194">
        <v>60257603</v>
      </c>
      <c r="AY194">
        <v>1</v>
      </c>
      <c r="AZ194">
        <v>0</v>
      </c>
      <c r="BA194">
        <v>203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ROUND(Y194*Source!I175,9)</f>
        <v>1E-3</v>
      </c>
      <c r="CY194">
        <f t="shared" ref="CY194:CY208" si="115">AA194</f>
        <v>83645.289999999994</v>
      </c>
      <c r="CZ194">
        <f t="shared" ref="CZ194:CZ208" si="116">AE194</f>
        <v>15319.65</v>
      </c>
      <c r="DA194">
        <f t="shared" ref="DA194:DA208" si="117">AI194</f>
        <v>5.46</v>
      </c>
      <c r="DB194">
        <f t="shared" ref="DB194:DB208" si="118">ROUND(ROUND(AT194*CZ194,2),6)</f>
        <v>15.32</v>
      </c>
      <c r="DC194">
        <f t="shared" ref="DC194:DC208" si="119">ROUND(ROUND(AT194*AG194,2),6)</f>
        <v>0</v>
      </c>
      <c r="DD194" t="s">
        <v>3</v>
      </c>
      <c r="DE194" t="s">
        <v>3</v>
      </c>
      <c r="DF194">
        <f t="shared" ref="DF194:DF208" si="120">ROUND(ROUND(AE194*AI194,2)*CX194,2)</f>
        <v>83.65</v>
      </c>
      <c r="DG194">
        <f t="shared" si="103"/>
        <v>0</v>
      </c>
      <c r="DH194">
        <f t="shared" si="104"/>
        <v>0</v>
      </c>
      <c r="DI194">
        <f t="shared" si="113"/>
        <v>0</v>
      </c>
      <c r="DJ194">
        <f t="shared" ref="DJ194:DJ208" si="121">DF194</f>
        <v>83.65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">
      <c r="A195">
        <f>ROW(Source!A175)</f>
        <v>175</v>
      </c>
      <c r="B195">
        <v>60256982</v>
      </c>
      <c r="C195">
        <v>60257439</v>
      </c>
      <c r="D195">
        <v>59038929</v>
      </c>
      <c r="E195">
        <v>1</v>
      </c>
      <c r="F195">
        <v>1</v>
      </c>
      <c r="G195">
        <v>1080</v>
      </c>
      <c r="H195">
        <v>3</v>
      </c>
      <c r="I195" t="s">
        <v>403</v>
      </c>
      <c r="J195" t="s">
        <v>404</v>
      </c>
      <c r="K195" t="s">
        <v>405</v>
      </c>
      <c r="L195">
        <v>1348</v>
      </c>
      <c r="N195">
        <v>1009</v>
      </c>
      <c r="O195" t="s">
        <v>310</v>
      </c>
      <c r="P195" t="s">
        <v>310</v>
      </c>
      <c r="Q195">
        <v>1000</v>
      </c>
      <c r="W195">
        <v>0</v>
      </c>
      <c r="X195">
        <v>-573574343</v>
      </c>
      <c r="Y195">
        <f t="shared" si="114"/>
        <v>5.0000000000000002E-5</v>
      </c>
      <c r="AA195">
        <v>7281.49</v>
      </c>
      <c r="AB195">
        <v>0</v>
      </c>
      <c r="AC195">
        <v>0</v>
      </c>
      <c r="AD195">
        <v>0</v>
      </c>
      <c r="AE195">
        <v>1219.68</v>
      </c>
      <c r="AF195">
        <v>0</v>
      </c>
      <c r="AG195">
        <v>0</v>
      </c>
      <c r="AH195">
        <v>0</v>
      </c>
      <c r="AI195">
        <v>5.97</v>
      </c>
      <c r="AJ195">
        <v>1</v>
      </c>
      <c r="AK195">
        <v>1</v>
      </c>
      <c r="AL195">
        <v>1</v>
      </c>
      <c r="AM195">
        <v>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5.0000000000000002E-5</v>
      </c>
      <c r="AU195" t="s">
        <v>3</v>
      </c>
      <c r="AV195">
        <v>0</v>
      </c>
      <c r="AW195">
        <v>2</v>
      </c>
      <c r="AX195">
        <v>60257604</v>
      </c>
      <c r="AY195">
        <v>1</v>
      </c>
      <c r="AZ195">
        <v>0</v>
      </c>
      <c r="BA195">
        <v>204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ROUND(Y195*Source!I175,9)</f>
        <v>5.0000000000000002E-5</v>
      </c>
      <c r="CY195">
        <f t="shared" si="115"/>
        <v>7281.49</v>
      </c>
      <c r="CZ195">
        <f t="shared" si="116"/>
        <v>1219.68</v>
      </c>
      <c r="DA195">
        <f t="shared" si="117"/>
        <v>5.97</v>
      </c>
      <c r="DB195">
        <f t="shared" si="118"/>
        <v>0.06</v>
      </c>
      <c r="DC195">
        <f t="shared" si="119"/>
        <v>0</v>
      </c>
      <c r="DD195" t="s">
        <v>3</v>
      </c>
      <c r="DE195" t="s">
        <v>3</v>
      </c>
      <c r="DF195">
        <f t="shared" si="120"/>
        <v>0.36</v>
      </c>
      <c r="DG195">
        <f t="shared" si="103"/>
        <v>0</v>
      </c>
      <c r="DH195">
        <f t="shared" si="104"/>
        <v>0</v>
      </c>
      <c r="DI195">
        <f t="shared" si="113"/>
        <v>0</v>
      </c>
      <c r="DJ195">
        <f t="shared" si="121"/>
        <v>0.36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">
      <c r="A196">
        <f>ROW(Source!A175)</f>
        <v>175</v>
      </c>
      <c r="B196">
        <v>60256982</v>
      </c>
      <c r="C196">
        <v>60257439</v>
      </c>
      <c r="D196">
        <v>59039997</v>
      </c>
      <c r="E196">
        <v>1</v>
      </c>
      <c r="F196">
        <v>1</v>
      </c>
      <c r="G196">
        <v>1080</v>
      </c>
      <c r="H196">
        <v>3</v>
      </c>
      <c r="I196" t="s">
        <v>406</v>
      </c>
      <c r="J196" t="s">
        <v>407</v>
      </c>
      <c r="K196" t="s">
        <v>408</v>
      </c>
      <c r="L196">
        <v>1301</v>
      </c>
      <c r="N196">
        <v>1003</v>
      </c>
      <c r="O196" t="s">
        <v>139</v>
      </c>
      <c r="P196" t="s">
        <v>139</v>
      </c>
      <c r="Q196">
        <v>1</v>
      </c>
      <c r="W196">
        <v>0</v>
      </c>
      <c r="X196">
        <v>882847464</v>
      </c>
      <c r="Y196">
        <f t="shared" si="114"/>
        <v>5</v>
      </c>
      <c r="AA196">
        <v>5.48</v>
      </c>
      <c r="AB196">
        <v>0</v>
      </c>
      <c r="AC196">
        <v>0</v>
      </c>
      <c r="AD196">
        <v>0</v>
      </c>
      <c r="AE196">
        <v>0.39</v>
      </c>
      <c r="AF196">
        <v>0</v>
      </c>
      <c r="AG196">
        <v>0</v>
      </c>
      <c r="AH196">
        <v>0</v>
      </c>
      <c r="AI196">
        <v>14.05</v>
      </c>
      <c r="AJ196">
        <v>1</v>
      </c>
      <c r="AK196">
        <v>1</v>
      </c>
      <c r="AL196">
        <v>1</v>
      </c>
      <c r="AM196">
        <v>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5</v>
      </c>
      <c r="AU196" t="s">
        <v>3</v>
      </c>
      <c r="AV196">
        <v>0</v>
      </c>
      <c r="AW196">
        <v>2</v>
      </c>
      <c r="AX196">
        <v>60257605</v>
      </c>
      <c r="AY196">
        <v>1</v>
      </c>
      <c r="AZ196">
        <v>0</v>
      </c>
      <c r="BA196">
        <v>205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ROUND(Y196*Source!I175,9)</f>
        <v>5</v>
      </c>
      <c r="CY196">
        <f t="shared" si="115"/>
        <v>5.48</v>
      </c>
      <c r="CZ196">
        <f t="shared" si="116"/>
        <v>0.39</v>
      </c>
      <c r="DA196">
        <f t="shared" si="117"/>
        <v>14.05</v>
      </c>
      <c r="DB196">
        <f t="shared" si="118"/>
        <v>1.95</v>
      </c>
      <c r="DC196">
        <f t="shared" si="119"/>
        <v>0</v>
      </c>
      <c r="DD196" t="s">
        <v>3</v>
      </c>
      <c r="DE196" t="s">
        <v>3</v>
      </c>
      <c r="DF196">
        <f t="shared" si="120"/>
        <v>27.4</v>
      </c>
      <c r="DG196">
        <f t="shared" si="103"/>
        <v>0</v>
      </c>
      <c r="DH196">
        <f t="shared" si="104"/>
        <v>0</v>
      </c>
      <c r="DI196">
        <f t="shared" si="113"/>
        <v>0</v>
      </c>
      <c r="DJ196">
        <f t="shared" si="121"/>
        <v>27.4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">
      <c r="A197">
        <f>ROW(Source!A175)</f>
        <v>175</v>
      </c>
      <c r="B197">
        <v>60256982</v>
      </c>
      <c r="C197">
        <v>60257439</v>
      </c>
      <c r="D197">
        <v>59038980</v>
      </c>
      <c r="E197">
        <v>1</v>
      </c>
      <c r="F197">
        <v>1</v>
      </c>
      <c r="G197">
        <v>1080</v>
      </c>
      <c r="H197">
        <v>3</v>
      </c>
      <c r="I197" t="s">
        <v>409</v>
      </c>
      <c r="J197" t="s">
        <v>410</v>
      </c>
      <c r="K197" t="s">
        <v>411</v>
      </c>
      <c r="L197">
        <v>1339</v>
      </c>
      <c r="N197">
        <v>1007</v>
      </c>
      <c r="O197" t="s">
        <v>412</v>
      </c>
      <c r="P197" t="s">
        <v>412</v>
      </c>
      <c r="Q197">
        <v>1</v>
      </c>
      <c r="W197">
        <v>0</v>
      </c>
      <c r="X197">
        <v>1880586541</v>
      </c>
      <c r="Y197">
        <f t="shared" si="114"/>
        <v>1E-3</v>
      </c>
      <c r="AA197">
        <v>8575.23</v>
      </c>
      <c r="AB197">
        <v>0</v>
      </c>
      <c r="AC197">
        <v>0</v>
      </c>
      <c r="AD197">
        <v>0</v>
      </c>
      <c r="AE197">
        <v>1176.3</v>
      </c>
      <c r="AF197">
        <v>0</v>
      </c>
      <c r="AG197">
        <v>0</v>
      </c>
      <c r="AH197">
        <v>0</v>
      </c>
      <c r="AI197">
        <v>7.29</v>
      </c>
      <c r="AJ197">
        <v>1</v>
      </c>
      <c r="AK197">
        <v>1</v>
      </c>
      <c r="AL197">
        <v>1</v>
      </c>
      <c r="AM197">
        <v>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1E-3</v>
      </c>
      <c r="AU197" t="s">
        <v>3</v>
      </c>
      <c r="AV197">
        <v>0</v>
      </c>
      <c r="AW197">
        <v>2</v>
      </c>
      <c r="AX197">
        <v>60257606</v>
      </c>
      <c r="AY197">
        <v>1</v>
      </c>
      <c r="AZ197">
        <v>0</v>
      </c>
      <c r="BA197">
        <v>206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ROUND(Y197*Source!I175,9)</f>
        <v>1E-3</v>
      </c>
      <c r="CY197">
        <f t="shared" si="115"/>
        <v>8575.23</v>
      </c>
      <c r="CZ197">
        <f t="shared" si="116"/>
        <v>1176.3</v>
      </c>
      <c r="DA197">
        <f t="shared" si="117"/>
        <v>7.29</v>
      </c>
      <c r="DB197">
        <f t="shared" si="118"/>
        <v>1.18</v>
      </c>
      <c r="DC197">
        <f t="shared" si="119"/>
        <v>0</v>
      </c>
      <c r="DD197" t="s">
        <v>3</v>
      </c>
      <c r="DE197" t="s">
        <v>3</v>
      </c>
      <c r="DF197">
        <f t="shared" si="120"/>
        <v>8.58</v>
      </c>
      <c r="DG197">
        <f t="shared" si="103"/>
        <v>0</v>
      </c>
      <c r="DH197">
        <f t="shared" si="104"/>
        <v>0</v>
      </c>
      <c r="DI197">
        <f t="shared" si="113"/>
        <v>0</v>
      </c>
      <c r="DJ197">
        <f t="shared" si="121"/>
        <v>8.58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">
      <c r="A198">
        <f>ROW(Source!A175)</f>
        <v>175</v>
      </c>
      <c r="B198">
        <v>60256982</v>
      </c>
      <c r="C198">
        <v>60257439</v>
      </c>
      <c r="D198">
        <v>59040899</v>
      </c>
      <c r="E198">
        <v>1</v>
      </c>
      <c r="F198">
        <v>1</v>
      </c>
      <c r="G198">
        <v>1080</v>
      </c>
      <c r="H198">
        <v>3</v>
      </c>
      <c r="I198" t="s">
        <v>413</v>
      </c>
      <c r="J198" t="s">
        <v>414</v>
      </c>
      <c r="K198" t="s">
        <v>415</v>
      </c>
      <c r="L198">
        <v>1346</v>
      </c>
      <c r="N198">
        <v>1009</v>
      </c>
      <c r="O198" t="s">
        <v>314</v>
      </c>
      <c r="P198" t="s">
        <v>314</v>
      </c>
      <c r="Q198">
        <v>1</v>
      </c>
      <c r="W198">
        <v>0</v>
      </c>
      <c r="X198">
        <v>-1707271536</v>
      </c>
      <c r="Y198">
        <f t="shared" si="114"/>
        <v>0.01</v>
      </c>
      <c r="AA198">
        <v>200.81</v>
      </c>
      <c r="AB198">
        <v>0</v>
      </c>
      <c r="AC198">
        <v>0</v>
      </c>
      <c r="AD198">
        <v>0</v>
      </c>
      <c r="AE198">
        <v>15.11</v>
      </c>
      <c r="AF198">
        <v>0</v>
      </c>
      <c r="AG198">
        <v>0</v>
      </c>
      <c r="AH198">
        <v>0</v>
      </c>
      <c r="AI198">
        <v>13.29</v>
      </c>
      <c r="AJ198">
        <v>1</v>
      </c>
      <c r="AK198">
        <v>1</v>
      </c>
      <c r="AL198">
        <v>1</v>
      </c>
      <c r="AM198">
        <v>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0.01</v>
      </c>
      <c r="AU198" t="s">
        <v>3</v>
      </c>
      <c r="AV198">
        <v>0</v>
      </c>
      <c r="AW198">
        <v>2</v>
      </c>
      <c r="AX198">
        <v>60257607</v>
      </c>
      <c r="AY198">
        <v>1</v>
      </c>
      <c r="AZ198">
        <v>0</v>
      </c>
      <c r="BA198">
        <v>207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ROUND(Y198*Source!I175,9)</f>
        <v>0.01</v>
      </c>
      <c r="CY198">
        <f t="shared" si="115"/>
        <v>200.81</v>
      </c>
      <c r="CZ198">
        <f t="shared" si="116"/>
        <v>15.11</v>
      </c>
      <c r="DA198">
        <f t="shared" si="117"/>
        <v>13.29</v>
      </c>
      <c r="DB198">
        <f t="shared" si="118"/>
        <v>0.15</v>
      </c>
      <c r="DC198">
        <f t="shared" si="119"/>
        <v>0</v>
      </c>
      <c r="DD198" t="s">
        <v>3</v>
      </c>
      <c r="DE198" t="s">
        <v>3</v>
      </c>
      <c r="DF198">
        <f t="shared" si="120"/>
        <v>2.0099999999999998</v>
      </c>
      <c r="DG198">
        <f t="shared" si="103"/>
        <v>0</v>
      </c>
      <c r="DH198">
        <f t="shared" si="104"/>
        <v>0</v>
      </c>
      <c r="DI198">
        <f t="shared" si="113"/>
        <v>0</v>
      </c>
      <c r="DJ198">
        <f t="shared" si="121"/>
        <v>2.0099999999999998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">
      <c r="A199">
        <f>ROW(Source!A175)</f>
        <v>175</v>
      </c>
      <c r="B199">
        <v>60256982</v>
      </c>
      <c r="C199">
        <v>60257439</v>
      </c>
      <c r="D199">
        <v>59039068</v>
      </c>
      <c r="E199">
        <v>1</v>
      </c>
      <c r="F199">
        <v>1</v>
      </c>
      <c r="G199">
        <v>1080</v>
      </c>
      <c r="H199">
        <v>3</v>
      </c>
      <c r="I199" t="s">
        <v>416</v>
      </c>
      <c r="J199" t="s">
        <v>417</v>
      </c>
      <c r="K199" t="s">
        <v>418</v>
      </c>
      <c r="L199">
        <v>1346</v>
      </c>
      <c r="N199">
        <v>1009</v>
      </c>
      <c r="O199" t="s">
        <v>314</v>
      </c>
      <c r="P199" t="s">
        <v>314</v>
      </c>
      <c r="Q199">
        <v>1</v>
      </c>
      <c r="W199">
        <v>0</v>
      </c>
      <c r="X199">
        <v>2120032869</v>
      </c>
      <c r="Y199">
        <f t="shared" si="114"/>
        <v>0.01</v>
      </c>
      <c r="AA199">
        <v>387.54</v>
      </c>
      <c r="AB199">
        <v>0</v>
      </c>
      <c r="AC199">
        <v>0</v>
      </c>
      <c r="AD199">
        <v>0</v>
      </c>
      <c r="AE199">
        <v>16.690000000000001</v>
      </c>
      <c r="AF199">
        <v>0</v>
      </c>
      <c r="AG199">
        <v>0</v>
      </c>
      <c r="AH199">
        <v>0</v>
      </c>
      <c r="AI199">
        <v>23.22</v>
      </c>
      <c r="AJ199">
        <v>1</v>
      </c>
      <c r="AK199">
        <v>1</v>
      </c>
      <c r="AL199">
        <v>1</v>
      </c>
      <c r="AM199">
        <v>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0.01</v>
      </c>
      <c r="AU199" t="s">
        <v>3</v>
      </c>
      <c r="AV199">
        <v>0</v>
      </c>
      <c r="AW199">
        <v>2</v>
      </c>
      <c r="AX199">
        <v>60257608</v>
      </c>
      <c r="AY199">
        <v>1</v>
      </c>
      <c r="AZ199">
        <v>0</v>
      </c>
      <c r="BA199">
        <v>208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ROUND(Y199*Source!I175,9)</f>
        <v>0.01</v>
      </c>
      <c r="CY199">
        <f t="shared" si="115"/>
        <v>387.54</v>
      </c>
      <c r="CZ199">
        <f t="shared" si="116"/>
        <v>16.690000000000001</v>
      </c>
      <c r="DA199">
        <f t="shared" si="117"/>
        <v>23.22</v>
      </c>
      <c r="DB199">
        <f t="shared" si="118"/>
        <v>0.17</v>
      </c>
      <c r="DC199">
        <f t="shared" si="119"/>
        <v>0</v>
      </c>
      <c r="DD199" t="s">
        <v>3</v>
      </c>
      <c r="DE199" t="s">
        <v>3</v>
      </c>
      <c r="DF199">
        <f t="shared" si="120"/>
        <v>3.88</v>
      </c>
      <c r="DG199">
        <f t="shared" si="103"/>
        <v>0</v>
      </c>
      <c r="DH199">
        <f t="shared" si="104"/>
        <v>0</v>
      </c>
      <c r="DI199">
        <f t="shared" si="113"/>
        <v>0</v>
      </c>
      <c r="DJ199">
        <f t="shared" si="121"/>
        <v>3.88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">
      <c r="A200">
        <f>ROW(Source!A175)</f>
        <v>175</v>
      </c>
      <c r="B200">
        <v>60256982</v>
      </c>
      <c r="C200">
        <v>60257439</v>
      </c>
      <c r="D200">
        <v>59041389</v>
      </c>
      <c r="E200">
        <v>1</v>
      </c>
      <c r="F200">
        <v>1</v>
      </c>
      <c r="G200">
        <v>1080</v>
      </c>
      <c r="H200">
        <v>3</v>
      </c>
      <c r="I200" t="s">
        <v>419</v>
      </c>
      <c r="J200" t="s">
        <v>420</v>
      </c>
      <c r="K200" t="s">
        <v>421</v>
      </c>
      <c r="L200">
        <v>1348</v>
      </c>
      <c r="N200">
        <v>1009</v>
      </c>
      <c r="O200" t="s">
        <v>310</v>
      </c>
      <c r="P200" t="s">
        <v>310</v>
      </c>
      <c r="Q200">
        <v>1000</v>
      </c>
      <c r="W200">
        <v>0</v>
      </c>
      <c r="X200">
        <v>1940187695</v>
      </c>
      <c r="Y200">
        <f t="shared" si="114"/>
        <v>1E-4</v>
      </c>
      <c r="AA200">
        <v>147514.47</v>
      </c>
      <c r="AB200">
        <v>0</v>
      </c>
      <c r="AC200">
        <v>0</v>
      </c>
      <c r="AD200">
        <v>0</v>
      </c>
      <c r="AE200">
        <v>10643.18</v>
      </c>
      <c r="AF200">
        <v>0</v>
      </c>
      <c r="AG200">
        <v>0</v>
      </c>
      <c r="AH200">
        <v>0</v>
      </c>
      <c r="AI200">
        <v>13.86</v>
      </c>
      <c r="AJ200">
        <v>1</v>
      </c>
      <c r="AK200">
        <v>1</v>
      </c>
      <c r="AL200">
        <v>1</v>
      </c>
      <c r="AM200">
        <v>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1E-4</v>
      </c>
      <c r="AU200" t="s">
        <v>3</v>
      </c>
      <c r="AV200">
        <v>0</v>
      </c>
      <c r="AW200">
        <v>2</v>
      </c>
      <c r="AX200">
        <v>60257609</v>
      </c>
      <c r="AY200">
        <v>1</v>
      </c>
      <c r="AZ200">
        <v>0</v>
      </c>
      <c r="BA200">
        <v>209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ROUND(Y200*Source!I175,9)</f>
        <v>1E-4</v>
      </c>
      <c r="CY200">
        <f t="shared" si="115"/>
        <v>147514.47</v>
      </c>
      <c r="CZ200">
        <f t="shared" si="116"/>
        <v>10643.18</v>
      </c>
      <c r="DA200">
        <f t="shared" si="117"/>
        <v>13.86</v>
      </c>
      <c r="DB200">
        <f t="shared" si="118"/>
        <v>1.06</v>
      </c>
      <c r="DC200">
        <f t="shared" si="119"/>
        <v>0</v>
      </c>
      <c r="DD200" t="s">
        <v>3</v>
      </c>
      <c r="DE200" t="s">
        <v>3</v>
      </c>
      <c r="DF200">
        <f t="shared" si="120"/>
        <v>14.75</v>
      </c>
      <c r="DG200">
        <f t="shared" si="103"/>
        <v>0</v>
      </c>
      <c r="DH200">
        <f t="shared" si="104"/>
        <v>0</v>
      </c>
      <c r="DI200">
        <f t="shared" si="113"/>
        <v>0</v>
      </c>
      <c r="DJ200">
        <f t="shared" si="121"/>
        <v>14.75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">
      <c r="A201">
        <f>ROW(Source!A175)</f>
        <v>175</v>
      </c>
      <c r="B201">
        <v>60256982</v>
      </c>
      <c r="C201">
        <v>60257439</v>
      </c>
      <c r="D201">
        <v>59045670</v>
      </c>
      <c r="E201">
        <v>1</v>
      </c>
      <c r="F201">
        <v>1</v>
      </c>
      <c r="G201">
        <v>1080</v>
      </c>
      <c r="H201">
        <v>3</v>
      </c>
      <c r="I201" t="s">
        <v>422</v>
      </c>
      <c r="J201" t="s">
        <v>423</v>
      </c>
      <c r="K201" t="s">
        <v>424</v>
      </c>
      <c r="L201">
        <v>1355</v>
      </c>
      <c r="N201">
        <v>1010</v>
      </c>
      <c r="O201" t="s">
        <v>63</v>
      </c>
      <c r="P201" t="s">
        <v>63</v>
      </c>
      <c r="Q201">
        <v>100</v>
      </c>
      <c r="W201">
        <v>0</v>
      </c>
      <c r="X201">
        <v>-1616851610</v>
      </c>
      <c r="Y201">
        <f t="shared" si="114"/>
        <v>0.01</v>
      </c>
      <c r="AA201">
        <v>1542.04</v>
      </c>
      <c r="AB201">
        <v>0</v>
      </c>
      <c r="AC201">
        <v>0</v>
      </c>
      <c r="AD201">
        <v>0</v>
      </c>
      <c r="AE201">
        <v>120.19</v>
      </c>
      <c r="AF201">
        <v>0</v>
      </c>
      <c r="AG201">
        <v>0</v>
      </c>
      <c r="AH201">
        <v>0</v>
      </c>
      <c r="AI201">
        <v>12.83</v>
      </c>
      <c r="AJ201">
        <v>1</v>
      </c>
      <c r="AK201">
        <v>1</v>
      </c>
      <c r="AL201">
        <v>1</v>
      </c>
      <c r="AM201">
        <v>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0.01</v>
      </c>
      <c r="AU201" t="s">
        <v>3</v>
      </c>
      <c r="AV201">
        <v>0</v>
      </c>
      <c r="AW201">
        <v>2</v>
      </c>
      <c r="AX201">
        <v>60257610</v>
      </c>
      <c r="AY201">
        <v>1</v>
      </c>
      <c r="AZ201">
        <v>0</v>
      </c>
      <c r="BA201">
        <v>210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v>0</v>
      </c>
      <c r="CX201">
        <f>ROUND(Y201*Source!I175,9)</f>
        <v>0.01</v>
      </c>
      <c r="CY201">
        <f t="shared" si="115"/>
        <v>1542.04</v>
      </c>
      <c r="CZ201">
        <f t="shared" si="116"/>
        <v>120.19</v>
      </c>
      <c r="DA201">
        <f t="shared" si="117"/>
        <v>12.83</v>
      </c>
      <c r="DB201">
        <f t="shared" si="118"/>
        <v>1.2</v>
      </c>
      <c r="DC201">
        <f t="shared" si="119"/>
        <v>0</v>
      </c>
      <c r="DD201" t="s">
        <v>3</v>
      </c>
      <c r="DE201" t="s">
        <v>3</v>
      </c>
      <c r="DF201">
        <f t="shared" si="120"/>
        <v>15.42</v>
      </c>
      <c r="DG201">
        <f t="shared" si="103"/>
        <v>0</v>
      </c>
      <c r="DH201">
        <f t="shared" si="104"/>
        <v>0</v>
      </c>
      <c r="DI201">
        <f t="shared" si="113"/>
        <v>0</v>
      </c>
      <c r="DJ201">
        <f t="shared" si="121"/>
        <v>15.42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">
      <c r="A202">
        <f>ROW(Source!A175)</f>
        <v>175</v>
      </c>
      <c r="B202">
        <v>60256982</v>
      </c>
      <c r="C202">
        <v>60257439</v>
      </c>
      <c r="D202">
        <v>59039462</v>
      </c>
      <c r="E202">
        <v>1</v>
      </c>
      <c r="F202">
        <v>1</v>
      </c>
      <c r="G202">
        <v>1080</v>
      </c>
      <c r="H202">
        <v>3</v>
      </c>
      <c r="I202" t="s">
        <v>425</v>
      </c>
      <c r="J202" t="s">
        <v>426</v>
      </c>
      <c r="K202" t="s">
        <v>427</v>
      </c>
      <c r="L202">
        <v>1348</v>
      </c>
      <c r="N202">
        <v>1009</v>
      </c>
      <c r="O202" t="s">
        <v>310</v>
      </c>
      <c r="P202" t="s">
        <v>310</v>
      </c>
      <c r="Q202">
        <v>1000</v>
      </c>
      <c r="W202">
        <v>0</v>
      </c>
      <c r="X202">
        <v>-1945031955</v>
      </c>
      <c r="Y202">
        <f t="shared" si="114"/>
        <v>2.0000000000000002E-5</v>
      </c>
      <c r="AA202">
        <v>1930103.81</v>
      </c>
      <c r="AB202">
        <v>0</v>
      </c>
      <c r="AC202">
        <v>0</v>
      </c>
      <c r="AD202">
        <v>0</v>
      </c>
      <c r="AE202">
        <v>64123.05</v>
      </c>
      <c r="AF202">
        <v>0</v>
      </c>
      <c r="AG202">
        <v>0</v>
      </c>
      <c r="AH202">
        <v>0</v>
      </c>
      <c r="AI202">
        <v>30.1</v>
      </c>
      <c r="AJ202">
        <v>1</v>
      </c>
      <c r="AK202">
        <v>1</v>
      </c>
      <c r="AL202">
        <v>1</v>
      </c>
      <c r="AM202">
        <v>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2.0000000000000002E-5</v>
      </c>
      <c r="AU202" t="s">
        <v>3</v>
      </c>
      <c r="AV202">
        <v>0</v>
      </c>
      <c r="AW202">
        <v>2</v>
      </c>
      <c r="AX202">
        <v>60257611</v>
      </c>
      <c r="AY202">
        <v>1</v>
      </c>
      <c r="AZ202">
        <v>0</v>
      </c>
      <c r="BA202">
        <v>211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ROUND(Y202*Source!I175,9)</f>
        <v>2.0000000000000002E-5</v>
      </c>
      <c r="CY202">
        <f t="shared" si="115"/>
        <v>1930103.81</v>
      </c>
      <c r="CZ202">
        <f t="shared" si="116"/>
        <v>64123.05</v>
      </c>
      <c r="DA202">
        <f t="shared" si="117"/>
        <v>30.1</v>
      </c>
      <c r="DB202">
        <f t="shared" si="118"/>
        <v>1.28</v>
      </c>
      <c r="DC202">
        <f t="shared" si="119"/>
        <v>0</v>
      </c>
      <c r="DD202" t="s">
        <v>3</v>
      </c>
      <c r="DE202" t="s">
        <v>3</v>
      </c>
      <c r="DF202">
        <f t="shared" si="120"/>
        <v>38.6</v>
      </c>
      <c r="DG202">
        <f t="shared" ref="DG202:DG233" si="122">ROUND(ROUND(AF202,2)*CX202,2)</f>
        <v>0</v>
      </c>
      <c r="DH202">
        <f t="shared" ref="DH202:DH233" si="123">ROUND(ROUND(AG202,2)*CX202,2)</f>
        <v>0</v>
      </c>
      <c r="DI202">
        <f t="shared" si="113"/>
        <v>0</v>
      </c>
      <c r="DJ202">
        <f t="shared" si="121"/>
        <v>38.6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">
      <c r="A203">
        <f>ROW(Source!A175)</f>
        <v>175</v>
      </c>
      <c r="B203">
        <v>60256982</v>
      </c>
      <c r="C203">
        <v>60257439</v>
      </c>
      <c r="D203">
        <v>59039479</v>
      </c>
      <c r="E203">
        <v>1</v>
      </c>
      <c r="F203">
        <v>1</v>
      </c>
      <c r="G203">
        <v>1080</v>
      </c>
      <c r="H203">
        <v>3</v>
      </c>
      <c r="I203" t="s">
        <v>428</v>
      </c>
      <c r="J203" t="s">
        <v>429</v>
      </c>
      <c r="K203" t="s">
        <v>430</v>
      </c>
      <c r="L203">
        <v>1348</v>
      </c>
      <c r="N203">
        <v>1009</v>
      </c>
      <c r="O203" t="s">
        <v>310</v>
      </c>
      <c r="P203" t="s">
        <v>310</v>
      </c>
      <c r="Q203">
        <v>1000</v>
      </c>
      <c r="W203">
        <v>0</v>
      </c>
      <c r="X203">
        <v>-1532056584</v>
      </c>
      <c r="Y203">
        <f t="shared" si="114"/>
        <v>1E-4</v>
      </c>
      <c r="AA203">
        <v>73258.37</v>
      </c>
      <c r="AB203">
        <v>0</v>
      </c>
      <c r="AC203">
        <v>0</v>
      </c>
      <c r="AD203">
        <v>0</v>
      </c>
      <c r="AE203">
        <v>9238.1299999999992</v>
      </c>
      <c r="AF203">
        <v>0</v>
      </c>
      <c r="AG203">
        <v>0</v>
      </c>
      <c r="AH203">
        <v>0</v>
      </c>
      <c r="AI203">
        <v>7.93</v>
      </c>
      <c r="AJ203">
        <v>1</v>
      </c>
      <c r="AK203">
        <v>1</v>
      </c>
      <c r="AL203">
        <v>1</v>
      </c>
      <c r="AM203">
        <v>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1E-4</v>
      </c>
      <c r="AU203" t="s">
        <v>3</v>
      </c>
      <c r="AV203">
        <v>0</v>
      </c>
      <c r="AW203">
        <v>2</v>
      </c>
      <c r="AX203">
        <v>60257612</v>
      </c>
      <c r="AY203">
        <v>1</v>
      </c>
      <c r="AZ203">
        <v>0</v>
      </c>
      <c r="BA203">
        <v>212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v>0</v>
      </c>
      <c r="CX203">
        <f>ROUND(Y203*Source!I175,9)</f>
        <v>1E-4</v>
      </c>
      <c r="CY203">
        <f t="shared" si="115"/>
        <v>73258.37</v>
      </c>
      <c r="CZ203">
        <f t="shared" si="116"/>
        <v>9238.1299999999992</v>
      </c>
      <c r="DA203">
        <f t="shared" si="117"/>
        <v>7.93</v>
      </c>
      <c r="DB203">
        <f t="shared" si="118"/>
        <v>0.92</v>
      </c>
      <c r="DC203">
        <f t="shared" si="119"/>
        <v>0</v>
      </c>
      <c r="DD203" t="s">
        <v>3</v>
      </c>
      <c r="DE203" t="s">
        <v>3</v>
      </c>
      <c r="DF203">
        <f t="shared" si="120"/>
        <v>7.33</v>
      </c>
      <c r="DG203">
        <f t="shared" si="122"/>
        <v>0</v>
      </c>
      <c r="DH203">
        <f t="shared" si="123"/>
        <v>0</v>
      </c>
      <c r="DI203">
        <f t="shared" si="113"/>
        <v>0</v>
      </c>
      <c r="DJ203">
        <f t="shared" si="121"/>
        <v>7.33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">
      <c r="A204">
        <f>ROW(Source!A175)</f>
        <v>175</v>
      </c>
      <c r="B204">
        <v>60256982</v>
      </c>
      <c r="C204">
        <v>60257439</v>
      </c>
      <c r="D204">
        <v>59062697</v>
      </c>
      <c r="E204">
        <v>1</v>
      </c>
      <c r="F204">
        <v>1</v>
      </c>
      <c r="G204">
        <v>1080</v>
      </c>
      <c r="H204">
        <v>3</v>
      </c>
      <c r="I204" t="s">
        <v>431</v>
      </c>
      <c r="J204" t="s">
        <v>432</v>
      </c>
      <c r="K204" t="s">
        <v>433</v>
      </c>
      <c r="L204">
        <v>1301</v>
      </c>
      <c r="N204">
        <v>1003</v>
      </c>
      <c r="O204" t="s">
        <v>139</v>
      </c>
      <c r="P204" t="s">
        <v>139</v>
      </c>
      <c r="Q204">
        <v>1</v>
      </c>
      <c r="W204">
        <v>0</v>
      </c>
      <c r="X204">
        <v>-1624118800</v>
      </c>
      <c r="Y204">
        <f t="shared" si="114"/>
        <v>1</v>
      </c>
      <c r="AA204">
        <v>4.54</v>
      </c>
      <c r="AB204">
        <v>0</v>
      </c>
      <c r="AC204">
        <v>0</v>
      </c>
      <c r="AD204">
        <v>0</v>
      </c>
      <c r="AE204">
        <v>0.69</v>
      </c>
      <c r="AF204">
        <v>0</v>
      </c>
      <c r="AG204">
        <v>0</v>
      </c>
      <c r="AH204">
        <v>0</v>
      </c>
      <c r="AI204">
        <v>6.58</v>
      </c>
      <c r="AJ204">
        <v>1</v>
      </c>
      <c r="AK204">
        <v>1</v>
      </c>
      <c r="AL204">
        <v>1</v>
      </c>
      <c r="AM204">
        <v>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1</v>
      </c>
      <c r="AU204" t="s">
        <v>3</v>
      </c>
      <c r="AV204">
        <v>0</v>
      </c>
      <c r="AW204">
        <v>2</v>
      </c>
      <c r="AX204">
        <v>60257613</v>
      </c>
      <c r="AY204">
        <v>1</v>
      </c>
      <c r="AZ204">
        <v>0</v>
      </c>
      <c r="BA204">
        <v>213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ROUND(Y204*Source!I175,9)</f>
        <v>1</v>
      </c>
      <c r="CY204">
        <f t="shared" si="115"/>
        <v>4.54</v>
      </c>
      <c r="CZ204">
        <f t="shared" si="116"/>
        <v>0.69</v>
      </c>
      <c r="DA204">
        <f t="shared" si="117"/>
        <v>6.58</v>
      </c>
      <c r="DB204">
        <f t="shared" si="118"/>
        <v>0.69</v>
      </c>
      <c r="DC204">
        <f t="shared" si="119"/>
        <v>0</v>
      </c>
      <c r="DD204" t="s">
        <v>3</v>
      </c>
      <c r="DE204" t="s">
        <v>3</v>
      </c>
      <c r="DF204">
        <f t="shared" si="120"/>
        <v>4.54</v>
      </c>
      <c r="DG204">
        <f t="shared" si="122"/>
        <v>0</v>
      </c>
      <c r="DH204">
        <f t="shared" si="123"/>
        <v>0</v>
      </c>
      <c r="DI204">
        <f t="shared" si="113"/>
        <v>0</v>
      </c>
      <c r="DJ204">
        <f t="shared" si="121"/>
        <v>4.54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">
      <c r="A205">
        <f>ROW(Source!A175)</f>
        <v>175</v>
      </c>
      <c r="B205">
        <v>60256982</v>
      </c>
      <c r="C205">
        <v>60257439</v>
      </c>
      <c r="D205">
        <v>59062976</v>
      </c>
      <c r="E205">
        <v>1</v>
      </c>
      <c r="F205">
        <v>1</v>
      </c>
      <c r="G205">
        <v>1080</v>
      </c>
      <c r="H205">
        <v>3</v>
      </c>
      <c r="I205" t="s">
        <v>434</v>
      </c>
      <c r="J205" t="s">
        <v>435</v>
      </c>
      <c r="K205" t="s">
        <v>436</v>
      </c>
      <c r="L205">
        <v>1356</v>
      </c>
      <c r="N205">
        <v>1010</v>
      </c>
      <c r="O205" t="s">
        <v>74</v>
      </c>
      <c r="P205" t="s">
        <v>74</v>
      </c>
      <c r="Q205">
        <v>1000</v>
      </c>
      <c r="W205">
        <v>0</v>
      </c>
      <c r="X205">
        <v>-1808005655</v>
      </c>
      <c r="Y205">
        <f t="shared" si="114"/>
        <v>0.01</v>
      </c>
      <c r="AA205">
        <v>1141.22</v>
      </c>
      <c r="AB205">
        <v>0</v>
      </c>
      <c r="AC205">
        <v>0</v>
      </c>
      <c r="AD205">
        <v>0</v>
      </c>
      <c r="AE205">
        <v>294.89</v>
      </c>
      <c r="AF205">
        <v>0</v>
      </c>
      <c r="AG205">
        <v>0</v>
      </c>
      <c r="AH205">
        <v>0</v>
      </c>
      <c r="AI205">
        <v>3.87</v>
      </c>
      <c r="AJ205">
        <v>1</v>
      </c>
      <c r="AK205">
        <v>1</v>
      </c>
      <c r="AL205">
        <v>1</v>
      </c>
      <c r="AM205">
        <v>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0.01</v>
      </c>
      <c r="AU205" t="s">
        <v>3</v>
      </c>
      <c r="AV205">
        <v>0</v>
      </c>
      <c r="AW205">
        <v>2</v>
      </c>
      <c r="AX205">
        <v>60257614</v>
      </c>
      <c r="AY205">
        <v>1</v>
      </c>
      <c r="AZ205">
        <v>0</v>
      </c>
      <c r="BA205">
        <v>214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ROUND(Y205*Source!I175,9)</f>
        <v>0.01</v>
      </c>
      <c r="CY205">
        <f t="shared" si="115"/>
        <v>1141.22</v>
      </c>
      <c r="CZ205">
        <f t="shared" si="116"/>
        <v>294.89</v>
      </c>
      <c r="DA205">
        <f t="shared" si="117"/>
        <v>3.87</v>
      </c>
      <c r="DB205">
        <f t="shared" si="118"/>
        <v>2.95</v>
      </c>
      <c r="DC205">
        <f t="shared" si="119"/>
        <v>0</v>
      </c>
      <c r="DD205" t="s">
        <v>3</v>
      </c>
      <c r="DE205" t="s">
        <v>3</v>
      </c>
      <c r="DF205">
        <f t="shared" si="120"/>
        <v>11.41</v>
      </c>
      <c r="DG205">
        <f t="shared" si="122"/>
        <v>0</v>
      </c>
      <c r="DH205">
        <f t="shared" si="123"/>
        <v>0</v>
      </c>
      <c r="DI205">
        <f t="shared" si="113"/>
        <v>0</v>
      </c>
      <c r="DJ205">
        <f t="shared" si="121"/>
        <v>11.41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">
      <c r="A206">
        <f>ROW(Source!A175)</f>
        <v>175</v>
      </c>
      <c r="B206">
        <v>60256982</v>
      </c>
      <c r="C206">
        <v>60257439</v>
      </c>
      <c r="D206">
        <v>59062049</v>
      </c>
      <c r="E206">
        <v>1</v>
      </c>
      <c r="F206">
        <v>1</v>
      </c>
      <c r="G206">
        <v>1080</v>
      </c>
      <c r="H206">
        <v>3</v>
      </c>
      <c r="I206" t="s">
        <v>437</v>
      </c>
      <c r="J206" t="s">
        <v>438</v>
      </c>
      <c r="K206" t="s">
        <v>439</v>
      </c>
      <c r="L206">
        <v>1354</v>
      </c>
      <c r="N206">
        <v>1010</v>
      </c>
      <c r="O206" t="s">
        <v>31</v>
      </c>
      <c r="P206" t="s">
        <v>31</v>
      </c>
      <c r="Q206">
        <v>1</v>
      </c>
      <c r="W206">
        <v>0</v>
      </c>
      <c r="X206">
        <v>1729520002</v>
      </c>
      <c r="Y206">
        <f t="shared" si="114"/>
        <v>1</v>
      </c>
      <c r="AA206">
        <v>10.029999999999999</v>
      </c>
      <c r="AB206">
        <v>0</v>
      </c>
      <c r="AC206">
        <v>0</v>
      </c>
      <c r="AD206">
        <v>0</v>
      </c>
      <c r="AE206">
        <v>15.67</v>
      </c>
      <c r="AF206">
        <v>0</v>
      </c>
      <c r="AG206">
        <v>0</v>
      </c>
      <c r="AH206">
        <v>0</v>
      </c>
      <c r="AI206">
        <v>0.64</v>
      </c>
      <c r="AJ206">
        <v>1</v>
      </c>
      <c r="AK206">
        <v>1</v>
      </c>
      <c r="AL206">
        <v>1</v>
      </c>
      <c r="AM206">
        <v>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1</v>
      </c>
      <c r="AU206" t="s">
        <v>3</v>
      </c>
      <c r="AV206">
        <v>0</v>
      </c>
      <c r="AW206">
        <v>2</v>
      </c>
      <c r="AX206">
        <v>60257615</v>
      </c>
      <c r="AY206">
        <v>1</v>
      </c>
      <c r="AZ206">
        <v>0</v>
      </c>
      <c r="BA206">
        <v>215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ROUND(Y206*Source!I175,9)</f>
        <v>1</v>
      </c>
      <c r="CY206">
        <f t="shared" si="115"/>
        <v>10.029999999999999</v>
      </c>
      <c r="CZ206">
        <f t="shared" si="116"/>
        <v>15.67</v>
      </c>
      <c r="DA206">
        <f t="shared" si="117"/>
        <v>0.64</v>
      </c>
      <c r="DB206">
        <f t="shared" si="118"/>
        <v>15.67</v>
      </c>
      <c r="DC206">
        <f t="shared" si="119"/>
        <v>0</v>
      </c>
      <c r="DD206" t="s">
        <v>3</v>
      </c>
      <c r="DE206" t="s">
        <v>3</v>
      </c>
      <c r="DF206">
        <f t="shared" si="120"/>
        <v>10.029999999999999</v>
      </c>
      <c r="DG206">
        <f t="shared" si="122"/>
        <v>0</v>
      </c>
      <c r="DH206">
        <f t="shared" si="123"/>
        <v>0</v>
      </c>
      <c r="DI206">
        <f t="shared" si="113"/>
        <v>0</v>
      </c>
      <c r="DJ206">
        <f t="shared" si="121"/>
        <v>10.029999999999999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">
      <c r="A207">
        <f>ROW(Source!A175)</f>
        <v>175</v>
      </c>
      <c r="B207">
        <v>60256982</v>
      </c>
      <c r="C207">
        <v>60257439</v>
      </c>
      <c r="D207">
        <v>59004256</v>
      </c>
      <c r="E207">
        <v>1080</v>
      </c>
      <c r="F207">
        <v>1</v>
      </c>
      <c r="G207">
        <v>1080</v>
      </c>
      <c r="H207">
        <v>3</v>
      </c>
      <c r="I207" t="s">
        <v>347</v>
      </c>
      <c r="J207" t="s">
        <v>3</v>
      </c>
      <c r="K207" t="s">
        <v>348</v>
      </c>
      <c r="L207">
        <v>1348</v>
      </c>
      <c r="N207">
        <v>1009</v>
      </c>
      <c r="O207" t="s">
        <v>310</v>
      </c>
      <c r="P207" t="s">
        <v>310</v>
      </c>
      <c r="Q207">
        <v>1000</v>
      </c>
      <c r="W207">
        <v>0</v>
      </c>
      <c r="X207">
        <v>-783086922</v>
      </c>
      <c r="Y207">
        <f t="shared" si="114"/>
        <v>1E-3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9.8800000000000008</v>
      </c>
      <c r="AJ207">
        <v>1</v>
      </c>
      <c r="AK207">
        <v>1</v>
      </c>
      <c r="AL207">
        <v>1</v>
      </c>
      <c r="AM207">
        <v>5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1E-3</v>
      </c>
      <c r="AU207" t="s">
        <v>3</v>
      </c>
      <c r="AV207">
        <v>0</v>
      </c>
      <c r="AW207">
        <v>2</v>
      </c>
      <c r="AX207">
        <v>60257618</v>
      </c>
      <c r="AY207">
        <v>1</v>
      </c>
      <c r="AZ207">
        <v>0</v>
      </c>
      <c r="BA207">
        <v>218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ROUND(Y207*Source!I175,9)</f>
        <v>1E-3</v>
      </c>
      <c r="CY207">
        <f t="shared" si="115"/>
        <v>0</v>
      </c>
      <c r="CZ207">
        <f t="shared" si="116"/>
        <v>0</v>
      </c>
      <c r="DA207">
        <f t="shared" si="117"/>
        <v>9.8800000000000008</v>
      </c>
      <c r="DB207">
        <f t="shared" si="118"/>
        <v>0</v>
      </c>
      <c r="DC207">
        <f t="shared" si="119"/>
        <v>0</v>
      </c>
      <c r="DD207" t="s">
        <v>3</v>
      </c>
      <c r="DE207" t="s">
        <v>3</v>
      </c>
      <c r="DF207">
        <f t="shared" si="120"/>
        <v>0</v>
      </c>
      <c r="DG207">
        <f t="shared" si="122"/>
        <v>0</v>
      </c>
      <c r="DH207">
        <f t="shared" si="123"/>
        <v>0</v>
      </c>
      <c r="DI207">
        <f t="shared" si="113"/>
        <v>0</v>
      </c>
      <c r="DJ207">
        <f t="shared" si="121"/>
        <v>0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">
      <c r="A208">
        <f>ROW(Source!A175)</f>
        <v>175</v>
      </c>
      <c r="B208">
        <v>60256982</v>
      </c>
      <c r="C208">
        <v>60257439</v>
      </c>
      <c r="D208">
        <v>0</v>
      </c>
      <c r="E208">
        <v>1080</v>
      </c>
      <c r="F208">
        <v>1</v>
      </c>
      <c r="G208">
        <v>1080</v>
      </c>
      <c r="H208">
        <v>3</v>
      </c>
      <c r="I208" t="s">
        <v>251</v>
      </c>
      <c r="J208" t="s">
        <v>3</v>
      </c>
      <c r="K208" t="s">
        <v>252</v>
      </c>
      <c r="L208">
        <v>1371</v>
      </c>
      <c r="N208">
        <v>1013</v>
      </c>
      <c r="O208" t="s">
        <v>206</v>
      </c>
      <c r="P208" t="s">
        <v>206</v>
      </c>
      <c r="Q208">
        <v>1</v>
      </c>
      <c r="W208">
        <v>0</v>
      </c>
      <c r="X208">
        <v>1847129524</v>
      </c>
      <c r="Y208">
        <f t="shared" si="114"/>
        <v>1</v>
      </c>
      <c r="AA208">
        <v>3540.53</v>
      </c>
      <c r="AB208">
        <v>0</v>
      </c>
      <c r="AC208">
        <v>0</v>
      </c>
      <c r="AD208">
        <v>0</v>
      </c>
      <c r="AE208">
        <v>462.21000000000004</v>
      </c>
      <c r="AF208">
        <v>0</v>
      </c>
      <c r="AG208">
        <v>0</v>
      </c>
      <c r="AH208">
        <v>0</v>
      </c>
      <c r="AI208">
        <v>7.66</v>
      </c>
      <c r="AJ208">
        <v>1</v>
      </c>
      <c r="AK208">
        <v>1</v>
      </c>
      <c r="AL208">
        <v>1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 t="s">
        <v>3</v>
      </c>
      <c r="AT208">
        <v>1</v>
      </c>
      <c r="AU208" t="s">
        <v>3</v>
      </c>
      <c r="AV208">
        <v>0</v>
      </c>
      <c r="AW208">
        <v>1</v>
      </c>
      <c r="AX208">
        <v>-1</v>
      </c>
      <c r="AY208">
        <v>0</v>
      </c>
      <c r="AZ208">
        <v>0</v>
      </c>
      <c r="BA208" t="s">
        <v>3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ROUND(Y208*Source!I175,9)</f>
        <v>1</v>
      </c>
      <c r="CY208">
        <f t="shared" si="115"/>
        <v>3540.53</v>
      </c>
      <c r="CZ208">
        <f t="shared" si="116"/>
        <v>462.21000000000004</v>
      </c>
      <c r="DA208">
        <f t="shared" si="117"/>
        <v>7.66</v>
      </c>
      <c r="DB208">
        <f t="shared" si="118"/>
        <v>462.21</v>
      </c>
      <c r="DC208">
        <f t="shared" si="119"/>
        <v>0</v>
      </c>
      <c r="DD208" t="s">
        <v>3</v>
      </c>
      <c r="DE208" t="s">
        <v>3</v>
      </c>
      <c r="DF208">
        <f t="shared" si="120"/>
        <v>3540.53</v>
      </c>
      <c r="DG208">
        <f t="shared" si="122"/>
        <v>0</v>
      </c>
      <c r="DH208">
        <f t="shared" si="123"/>
        <v>0</v>
      </c>
      <c r="DI208">
        <f t="shared" si="113"/>
        <v>0</v>
      </c>
      <c r="DJ208">
        <f t="shared" si="121"/>
        <v>3540.53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">
      <c r="A209">
        <f>ROW(Source!A186)</f>
        <v>186</v>
      </c>
      <c r="B209">
        <v>60256985</v>
      </c>
      <c r="C209">
        <v>60257478</v>
      </c>
      <c r="D209">
        <v>58999254</v>
      </c>
      <c r="E209">
        <v>1080</v>
      </c>
      <c r="F209">
        <v>1</v>
      </c>
      <c r="G209">
        <v>1080</v>
      </c>
      <c r="H209">
        <v>1</v>
      </c>
      <c r="I209" t="s">
        <v>293</v>
      </c>
      <c r="J209" t="s">
        <v>3</v>
      </c>
      <c r="K209" t="s">
        <v>294</v>
      </c>
      <c r="L209">
        <v>1191</v>
      </c>
      <c r="N209">
        <v>1013</v>
      </c>
      <c r="O209" t="s">
        <v>295</v>
      </c>
      <c r="P209" t="s">
        <v>295</v>
      </c>
      <c r="Q209">
        <v>1</v>
      </c>
      <c r="W209">
        <v>0</v>
      </c>
      <c r="X209">
        <v>476480486</v>
      </c>
      <c r="Y209">
        <f>(AT209*1.1)</f>
        <v>3.3000000000000003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-2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3</v>
      </c>
      <c r="AU209" t="s">
        <v>23</v>
      </c>
      <c r="AV209">
        <v>1</v>
      </c>
      <c r="AW209">
        <v>2</v>
      </c>
      <c r="AX209">
        <v>60257619</v>
      </c>
      <c r="AY209">
        <v>1</v>
      </c>
      <c r="AZ209">
        <v>0</v>
      </c>
      <c r="BA209">
        <v>219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U209">
        <f>ROUND(AT209*Source!I186*AH209*AL209,2)</f>
        <v>0</v>
      </c>
      <c r="CV209">
        <f>ROUND(Y209*Source!I186,9)</f>
        <v>3.3</v>
      </c>
      <c r="CW209">
        <v>0</v>
      </c>
      <c r="CX209">
        <f>ROUND(Y209*Source!I186,9)</f>
        <v>3.3</v>
      </c>
      <c r="CY209">
        <f>AD209</f>
        <v>0</v>
      </c>
      <c r="CZ209">
        <f>AH209</f>
        <v>0</v>
      </c>
      <c r="DA209">
        <f>AL209</f>
        <v>1</v>
      </c>
      <c r="DB209">
        <f>ROUND((ROUND(AT209*CZ209,2)*1.1),6)</f>
        <v>0</v>
      </c>
      <c r="DC209">
        <f>ROUND((ROUND(AT209*AG209,2)*1.1),6)</f>
        <v>0</v>
      </c>
      <c r="DD209" t="s">
        <v>3</v>
      </c>
      <c r="DE209" t="s">
        <v>3</v>
      </c>
      <c r="DF209">
        <f t="shared" ref="DF209:DF225" si="124">ROUND(ROUND(AE209,2)*CX209,2)</f>
        <v>0</v>
      </c>
      <c r="DG209">
        <f t="shared" si="122"/>
        <v>0</v>
      </c>
      <c r="DH209">
        <f t="shared" si="123"/>
        <v>0</v>
      </c>
      <c r="DI209">
        <f t="shared" si="113"/>
        <v>0</v>
      </c>
      <c r="DJ209">
        <f>DI209</f>
        <v>0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">
      <c r="A210">
        <f>ROW(Source!A186)</f>
        <v>186</v>
      </c>
      <c r="B210">
        <v>60256985</v>
      </c>
      <c r="C210">
        <v>60257478</v>
      </c>
      <c r="D210">
        <v>59039563</v>
      </c>
      <c r="E210">
        <v>1</v>
      </c>
      <c r="F210">
        <v>1</v>
      </c>
      <c r="G210">
        <v>1080</v>
      </c>
      <c r="H210">
        <v>3</v>
      </c>
      <c r="I210" t="s">
        <v>400</v>
      </c>
      <c r="J210" t="s">
        <v>401</v>
      </c>
      <c r="K210" t="s">
        <v>402</v>
      </c>
      <c r="L210">
        <v>1348</v>
      </c>
      <c r="N210">
        <v>1009</v>
      </c>
      <c r="O210" t="s">
        <v>310</v>
      </c>
      <c r="P210" t="s">
        <v>310</v>
      </c>
      <c r="Q210">
        <v>1000</v>
      </c>
      <c r="W210">
        <v>0</v>
      </c>
      <c r="X210">
        <v>-1186875871</v>
      </c>
      <c r="Y210">
        <f t="shared" ref="Y210:Y224" si="125">AT210</f>
        <v>1E-3</v>
      </c>
      <c r="AA210">
        <v>15319.65</v>
      </c>
      <c r="AB210">
        <v>0</v>
      </c>
      <c r="AC210">
        <v>0</v>
      </c>
      <c r="AD210">
        <v>0</v>
      </c>
      <c r="AE210">
        <v>15319.65</v>
      </c>
      <c r="AF210">
        <v>0</v>
      </c>
      <c r="AG210">
        <v>0</v>
      </c>
      <c r="AH210">
        <v>0</v>
      </c>
      <c r="AI210">
        <v>1</v>
      </c>
      <c r="AJ210">
        <v>1</v>
      </c>
      <c r="AK210">
        <v>1</v>
      </c>
      <c r="AL210">
        <v>1</v>
      </c>
      <c r="AM210">
        <v>-2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1E-3</v>
      </c>
      <c r="AU210" t="s">
        <v>3</v>
      </c>
      <c r="AV210">
        <v>0</v>
      </c>
      <c r="AW210">
        <v>2</v>
      </c>
      <c r="AX210">
        <v>60257620</v>
      </c>
      <c r="AY210">
        <v>1</v>
      </c>
      <c r="AZ210">
        <v>0</v>
      </c>
      <c r="BA210">
        <v>220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ROUND(Y210*Source!I186,9)</f>
        <v>1E-3</v>
      </c>
      <c r="CY210">
        <f t="shared" ref="CY210:CY224" si="126">AA210</f>
        <v>15319.65</v>
      </c>
      <c r="CZ210">
        <f t="shared" ref="CZ210:CZ224" si="127">AE210</f>
        <v>15319.65</v>
      </c>
      <c r="DA210">
        <f t="shared" ref="DA210:DA224" si="128">AI210</f>
        <v>1</v>
      </c>
      <c r="DB210">
        <f t="shared" ref="DB210:DB224" si="129">ROUND(ROUND(AT210*CZ210,2),6)</f>
        <v>15.32</v>
      </c>
      <c r="DC210">
        <f t="shared" ref="DC210:DC224" si="130">ROUND(ROUND(AT210*AG210,2),6)</f>
        <v>0</v>
      </c>
      <c r="DD210" t="s">
        <v>3</v>
      </c>
      <c r="DE210" t="s">
        <v>3</v>
      </c>
      <c r="DF210">
        <f t="shared" si="124"/>
        <v>15.32</v>
      </c>
      <c r="DG210">
        <f t="shared" si="122"/>
        <v>0</v>
      </c>
      <c r="DH210">
        <f t="shared" si="123"/>
        <v>0</v>
      </c>
      <c r="DI210">
        <f t="shared" si="113"/>
        <v>0</v>
      </c>
      <c r="DJ210">
        <f t="shared" ref="DJ210:DJ224" si="131">DF210</f>
        <v>15.32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">
      <c r="A211">
        <f>ROW(Source!A186)</f>
        <v>186</v>
      </c>
      <c r="B211">
        <v>60256985</v>
      </c>
      <c r="C211">
        <v>60257478</v>
      </c>
      <c r="D211">
        <v>59038929</v>
      </c>
      <c r="E211">
        <v>1</v>
      </c>
      <c r="F211">
        <v>1</v>
      </c>
      <c r="G211">
        <v>1080</v>
      </c>
      <c r="H211">
        <v>3</v>
      </c>
      <c r="I211" t="s">
        <v>403</v>
      </c>
      <c r="J211" t="s">
        <v>404</v>
      </c>
      <c r="K211" t="s">
        <v>405</v>
      </c>
      <c r="L211">
        <v>1348</v>
      </c>
      <c r="N211">
        <v>1009</v>
      </c>
      <c r="O211" t="s">
        <v>310</v>
      </c>
      <c r="P211" t="s">
        <v>310</v>
      </c>
      <c r="Q211">
        <v>1000</v>
      </c>
      <c r="W211">
        <v>0</v>
      </c>
      <c r="X211">
        <v>-573574343</v>
      </c>
      <c r="Y211">
        <f t="shared" si="125"/>
        <v>5.0000000000000002E-5</v>
      </c>
      <c r="AA211">
        <v>1219.68</v>
      </c>
      <c r="AB211">
        <v>0</v>
      </c>
      <c r="AC211">
        <v>0</v>
      </c>
      <c r="AD211">
        <v>0</v>
      </c>
      <c r="AE211">
        <v>1219.68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-2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5.0000000000000002E-5</v>
      </c>
      <c r="AU211" t="s">
        <v>3</v>
      </c>
      <c r="AV211">
        <v>0</v>
      </c>
      <c r="AW211">
        <v>2</v>
      </c>
      <c r="AX211">
        <v>60257621</v>
      </c>
      <c r="AY211">
        <v>1</v>
      </c>
      <c r="AZ211">
        <v>0</v>
      </c>
      <c r="BA211">
        <v>221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ROUND(Y211*Source!I186,9)</f>
        <v>5.0000000000000002E-5</v>
      </c>
      <c r="CY211">
        <f t="shared" si="126"/>
        <v>1219.68</v>
      </c>
      <c r="CZ211">
        <f t="shared" si="127"/>
        <v>1219.68</v>
      </c>
      <c r="DA211">
        <f t="shared" si="128"/>
        <v>1</v>
      </c>
      <c r="DB211">
        <f t="shared" si="129"/>
        <v>0.06</v>
      </c>
      <c r="DC211">
        <f t="shared" si="130"/>
        <v>0</v>
      </c>
      <c r="DD211" t="s">
        <v>3</v>
      </c>
      <c r="DE211" t="s">
        <v>3</v>
      </c>
      <c r="DF211">
        <f t="shared" si="124"/>
        <v>0.06</v>
      </c>
      <c r="DG211">
        <f t="shared" si="122"/>
        <v>0</v>
      </c>
      <c r="DH211">
        <f t="shared" si="123"/>
        <v>0</v>
      </c>
      <c r="DI211">
        <f t="shared" si="113"/>
        <v>0</v>
      </c>
      <c r="DJ211">
        <f t="shared" si="131"/>
        <v>0.06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">
      <c r="A212">
        <f>ROW(Source!A186)</f>
        <v>186</v>
      </c>
      <c r="B212">
        <v>60256985</v>
      </c>
      <c r="C212">
        <v>60257478</v>
      </c>
      <c r="D212">
        <v>59039997</v>
      </c>
      <c r="E212">
        <v>1</v>
      </c>
      <c r="F212">
        <v>1</v>
      </c>
      <c r="G212">
        <v>1080</v>
      </c>
      <c r="H212">
        <v>3</v>
      </c>
      <c r="I212" t="s">
        <v>406</v>
      </c>
      <c r="J212" t="s">
        <v>407</v>
      </c>
      <c r="K212" t="s">
        <v>408</v>
      </c>
      <c r="L212">
        <v>1301</v>
      </c>
      <c r="N212">
        <v>1003</v>
      </c>
      <c r="O212" t="s">
        <v>139</v>
      </c>
      <c r="P212" t="s">
        <v>139</v>
      </c>
      <c r="Q212">
        <v>1</v>
      </c>
      <c r="W212">
        <v>0</v>
      </c>
      <c r="X212">
        <v>882847464</v>
      </c>
      <c r="Y212">
        <f t="shared" si="125"/>
        <v>5</v>
      </c>
      <c r="AA212">
        <v>0.39</v>
      </c>
      <c r="AB212">
        <v>0</v>
      </c>
      <c r="AC212">
        <v>0</v>
      </c>
      <c r="AD212">
        <v>0</v>
      </c>
      <c r="AE212">
        <v>0.39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-2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5</v>
      </c>
      <c r="AU212" t="s">
        <v>3</v>
      </c>
      <c r="AV212">
        <v>0</v>
      </c>
      <c r="AW212">
        <v>2</v>
      </c>
      <c r="AX212">
        <v>60257622</v>
      </c>
      <c r="AY212">
        <v>1</v>
      </c>
      <c r="AZ212">
        <v>0</v>
      </c>
      <c r="BA212">
        <v>222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ROUND(Y212*Source!I186,9)</f>
        <v>5</v>
      </c>
      <c r="CY212">
        <f t="shared" si="126"/>
        <v>0.39</v>
      </c>
      <c r="CZ212">
        <f t="shared" si="127"/>
        <v>0.39</v>
      </c>
      <c r="DA212">
        <f t="shared" si="128"/>
        <v>1</v>
      </c>
      <c r="DB212">
        <f t="shared" si="129"/>
        <v>1.95</v>
      </c>
      <c r="DC212">
        <f t="shared" si="130"/>
        <v>0</v>
      </c>
      <c r="DD212" t="s">
        <v>3</v>
      </c>
      <c r="DE212" t="s">
        <v>3</v>
      </c>
      <c r="DF212">
        <f t="shared" si="124"/>
        <v>1.95</v>
      </c>
      <c r="DG212">
        <f t="shared" si="122"/>
        <v>0</v>
      </c>
      <c r="DH212">
        <f t="shared" si="123"/>
        <v>0</v>
      </c>
      <c r="DI212">
        <f t="shared" si="113"/>
        <v>0</v>
      </c>
      <c r="DJ212">
        <f t="shared" si="131"/>
        <v>1.95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">
      <c r="A213">
        <f>ROW(Source!A186)</f>
        <v>186</v>
      </c>
      <c r="B213">
        <v>60256985</v>
      </c>
      <c r="C213">
        <v>60257478</v>
      </c>
      <c r="D213">
        <v>59038980</v>
      </c>
      <c r="E213">
        <v>1</v>
      </c>
      <c r="F213">
        <v>1</v>
      </c>
      <c r="G213">
        <v>1080</v>
      </c>
      <c r="H213">
        <v>3</v>
      </c>
      <c r="I213" t="s">
        <v>409</v>
      </c>
      <c r="J213" t="s">
        <v>410</v>
      </c>
      <c r="K213" t="s">
        <v>411</v>
      </c>
      <c r="L213">
        <v>1339</v>
      </c>
      <c r="N213">
        <v>1007</v>
      </c>
      <c r="O213" t="s">
        <v>412</v>
      </c>
      <c r="P213" t="s">
        <v>412</v>
      </c>
      <c r="Q213">
        <v>1</v>
      </c>
      <c r="W213">
        <v>0</v>
      </c>
      <c r="X213">
        <v>1880586541</v>
      </c>
      <c r="Y213">
        <f t="shared" si="125"/>
        <v>1E-3</v>
      </c>
      <c r="AA213">
        <v>1176.3</v>
      </c>
      <c r="AB213">
        <v>0</v>
      </c>
      <c r="AC213">
        <v>0</v>
      </c>
      <c r="AD213">
        <v>0</v>
      </c>
      <c r="AE213">
        <v>1176.3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-2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1E-3</v>
      </c>
      <c r="AU213" t="s">
        <v>3</v>
      </c>
      <c r="AV213">
        <v>0</v>
      </c>
      <c r="AW213">
        <v>2</v>
      </c>
      <c r="AX213">
        <v>60257623</v>
      </c>
      <c r="AY213">
        <v>1</v>
      </c>
      <c r="AZ213">
        <v>0</v>
      </c>
      <c r="BA213">
        <v>223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v>0</v>
      </c>
      <c r="CX213">
        <f>ROUND(Y213*Source!I186,9)</f>
        <v>1E-3</v>
      </c>
      <c r="CY213">
        <f t="shared" si="126"/>
        <v>1176.3</v>
      </c>
      <c r="CZ213">
        <f t="shared" si="127"/>
        <v>1176.3</v>
      </c>
      <c r="DA213">
        <f t="shared" si="128"/>
        <v>1</v>
      </c>
      <c r="DB213">
        <f t="shared" si="129"/>
        <v>1.18</v>
      </c>
      <c r="DC213">
        <f t="shared" si="130"/>
        <v>0</v>
      </c>
      <c r="DD213" t="s">
        <v>3</v>
      </c>
      <c r="DE213" t="s">
        <v>3</v>
      </c>
      <c r="DF213">
        <f t="shared" si="124"/>
        <v>1.18</v>
      </c>
      <c r="DG213">
        <f t="shared" si="122"/>
        <v>0</v>
      </c>
      <c r="DH213">
        <f t="shared" si="123"/>
        <v>0</v>
      </c>
      <c r="DI213">
        <f t="shared" si="113"/>
        <v>0</v>
      </c>
      <c r="DJ213">
        <f t="shared" si="131"/>
        <v>1.18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">
      <c r="A214">
        <f>ROW(Source!A186)</f>
        <v>186</v>
      </c>
      <c r="B214">
        <v>60256985</v>
      </c>
      <c r="C214">
        <v>60257478</v>
      </c>
      <c r="D214">
        <v>59040899</v>
      </c>
      <c r="E214">
        <v>1</v>
      </c>
      <c r="F214">
        <v>1</v>
      </c>
      <c r="G214">
        <v>1080</v>
      </c>
      <c r="H214">
        <v>3</v>
      </c>
      <c r="I214" t="s">
        <v>413</v>
      </c>
      <c r="J214" t="s">
        <v>414</v>
      </c>
      <c r="K214" t="s">
        <v>415</v>
      </c>
      <c r="L214">
        <v>1346</v>
      </c>
      <c r="N214">
        <v>1009</v>
      </c>
      <c r="O214" t="s">
        <v>314</v>
      </c>
      <c r="P214" t="s">
        <v>314</v>
      </c>
      <c r="Q214">
        <v>1</v>
      </c>
      <c r="W214">
        <v>0</v>
      </c>
      <c r="X214">
        <v>-1707271536</v>
      </c>
      <c r="Y214">
        <f t="shared" si="125"/>
        <v>0.01</v>
      </c>
      <c r="AA214">
        <v>15.11</v>
      </c>
      <c r="AB214">
        <v>0</v>
      </c>
      <c r="AC214">
        <v>0</v>
      </c>
      <c r="AD214">
        <v>0</v>
      </c>
      <c r="AE214">
        <v>15.11</v>
      </c>
      <c r="AF214">
        <v>0</v>
      </c>
      <c r="AG214">
        <v>0</v>
      </c>
      <c r="AH214">
        <v>0</v>
      </c>
      <c r="AI214">
        <v>1</v>
      </c>
      <c r="AJ214">
        <v>1</v>
      </c>
      <c r="AK214">
        <v>1</v>
      </c>
      <c r="AL214">
        <v>1</v>
      </c>
      <c r="AM214">
        <v>-2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0.01</v>
      </c>
      <c r="AU214" t="s">
        <v>3</v>
      </c>
      <c r="AV214">
        <v>0</v>
      </c>
      <c r="AW214">
        <v>2</v>
      </c>
      <c r="AX214">
        <v>60257624</v>
      </c>
      <c r="AY214">
        <v>1</v>
      </c>
      <c r="AZ214">
        <v>0</v>
      </c>
      <c r="BA214">
        <v>224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v>0</v>
      </c>
      <c r="CX214">
        <f>ROUND(Y214*Source!I186,9)</f>
        <v>0.01</v>
      </c>
      <c r="CY214">
        <f t="shared" si="126"/>
        <v>15.11</v>
      </c>
      <c r="CZ214">
        <f t="shared" si="127"/>
        <v>15.11</v>
      </c>
      <c r="DA214">
        <f t="shared" si="128"/>
        <v>1</v>
      </c>
      <c r="DB214">
        <f t="shared" si="129"/>
        <v>0.15</v>
      </c>
      <c r="DC214">
        <f t="shared" si="130"/>
        <v>0</v>
      </c>
      <c r="DD214" t="s">
        <v>3</v>
      </c>
      <c r="DE214" t="s">
        <v>3</v>
      </c>
      <c r="DF214">
        <f t="shared" si="124"/>
        <v>0.15</v>
      </c>
      <c r="DG214">
        <f t="shared" si="122"/>
        <v>0</v>
      </c>
      <c r="DH214">
        <f t="shared" si="123"/>
        <v>0</v>
      </c>
      <c r="DI214">
        <f t="shared" si="113"/>
        <v>0</v>
      </c>
      <c r="DJ214">
        <f t="shared" si="131"/>
        <v>0.15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">
      <c r="A215">
        <f>ROW(Source!A186)</f>
        <v>186</v>
      </c>
      <c r="B215">
        <v>60256985</v>
      </c>
      <c r="C215">
        <v>60257478</v>
      </c>
      <c r="D215">
        <v>59039068</v>
      </c>
      <c r="E215">
        <v>1</v>
      </c>
      <c r="F215">
        <v>1</v>
      </c>
      <c r="G215">
        <v>1080</v>
      </c>
      <c r="H215">
        <v>3</v>
      </c>
      <c r="I215" t="s">
        <v>416</v>
      </c>
      <c r="J215" t="s">
        <v>417</v>
      </c>
      <c r="K215" t="s">
        <v>418</v>
      </c>
      <c r="L215">
        <v>1346</v>
      </c>
      <c r="N215">
        <v>1009</v>
      </c>
      <c r="O215" t="s">
        <v>314</v>
      </c>
      <c r="P215" t="s">
        <v>314</v>
      </c>
      <c r="Q215">
        <v>1</v>
      </c>
      <c r="W215">
        <v>0</v>
      </c>
      <c r="X215">
        <v>2120032869</v>
      </c>
      <c r="Y215">
        <f t="shared" si="125"/>
        <v>0.01</v>
      </c>
      <c r="AA215">
        <v>16.690000000000001</v>
      </c>
      <c r="AB215">
        <v>0</v>
      </c>
      <c r="AC215">
        <v>0</v>
      </c>
      <c r="AD215">
        <v>0</v>
      </c>
      <c r="AE215">
        <v>16.690000000000001</v>
      </c>
      <c r="AF215">
        <v>0</v>
      </c>
      <c r="AG215">
        <v>0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-2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0.01</v>
      </c>
      <c r="AU215" t="s">
        <v>3</v>
      </c>
      <c r="AV215">
        <v>0</v>
      </c>
      <c r="AW215">
        <v>2</v>
      </c>
      <c r="AX215">
        <v>60257625</v>
      </c>
      <c r="AY215">
        <v>1</v>
      </c>
      <c r="AZ215">
        <v>0</v>
      </c>
      <c r="BA215">
        <v>225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v>0</v>
      </c>
      <c r="CX215">
        <f>ROUND(Y215*Source!I186,9)</f>
        <v>0.01</v>
      </c>
      <c r="CY215">
        <f t="shared" si="126"/>
        <v>16.690000000000001</v>
      </c>
      <c r="CZ215">
        <f t="shared" si="127"/>
        <v>16.690000000000001</v>
      </c>
      <c r="DA215">
        <f t="shared" si="128"/>
        <v>1</v>
      </c>
      <c r="DB215">
        <f t="shared" si="129"/>
        <v>0.17</v>
      </c>
      <c r="DC215">
        <f t="shared" si="130"/>
        <v>0</v>
      </c>
      <c r="DD215" t="s">
        <v>3</v>
      </c>
      <c r="DE215" t="s">
        <v>3</v>
      </c>
      <c r="DF215">
        <f t="shared" si="124"/>
        <v>0.17</v>
      </c>
      <c r="DG215">
        <f t="shared" si="122"/>
        <v>0</v>
      </c>
      <c r="DH215">
        <f t="shared" si="123"/>
        <v>0</v>
      </c>
      <c r="DI215">
        <f t="shared" si="113"/>
        <v>0</v>
      </c>
      <c r="DJ215">
        <f t="shared" si="131"/>
        <v>0.17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">
      <c r="A216">
        <f>ROW(Source!A186)</f>
        <v>186</v>
      </c>
      <c r="B216">
        <v>60256985</v>
      </c>
      <c r="C216">
        <v>60257478</v>
      </c>
      <c r="D216">
        <v>59041389</v>
      </c>
      <c r="E216">
        <v>1</v>
      </c>
      <c r="F216">
        <v>1</v>
      </c>
      <c r="G216">
        <v>1080</v>
      </c>
      <c r="H216">
        <v>3</v>
      </c>
      <c r="I216" t="s">
        <v>419</v>
      </c>
      <c r="J216" t="s">
        <v>420</v>
      </c>
      <c r="K216" t="s">
        <v>421</v>
      </c>
      <c r="L216">
        <v>1348</v>
      </c>
      <c r="N216">
        <v>1009</v>
      </c>
      <c r="O216" t="s">
        <v>310</v>
      </c>
      <c r="P216" t="s">
        <v>310</v>
      </c>
      <c r="Q216">
        <v>1000</v>
      </c>
      <c r="W216">
        <v>0</v>
      </c>
      <c r="X216">
        <v>1940187695</v>
      </c>
      <c r="Y216">
        <f t="shared" si="125"/>
        <v>1E-4</v>
      </c>
      <c r="AA216">
        <v>10643.18</v>
      </c>
      <c r="AB216">
        <v>0</v>
      </c>
      <c r="AC216">
        <v>0</v>
      </c>
      <c r="AD216">
        <v>0</v>
      </c>
      <c r="AE216">
        <v>10643.18</v>
      </c>
      <c r="AF216">
        <v>0</v>
      </c>
      <c r="AG216">
        <v>0</v>
      </c>
      <c r="AH216">
        <v>0</v>
      </c>
      <c r="AI216">
        <v>1</v>
      </c>
      <c r="AJ216">
        <v>1</v>
      </c>
      <c r="AK216">
        <v>1</v>
      </c>
      <c r="AL216">
        <v>1</v>
      </c>
      <c r="AM216">
        <v>-2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1E-4</v>
      </c>
      <c r="AU216" t="s">
        <v>3</v>
      </c>
      <c r="AV216">
        <v>0</v>
      </c>
      <c r="AW216">
        <v>2</v>
      </c>
      <c r="AX216">
        <v>60257626</v>
      </c>
      <c r="AY216">
        <v>1</v>
      </c>
      <c r="AZ216">
        <v>0</v>
      </c>
      <c r="BA216">
        <v>226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v>0</v>
      </c>
      <c r="CX216">
        <f>ROUND(Y216*Source!I186,9)</f>
        <v>1E-4</v>
      </c>
      <c r="CY216">
        <f t="shared" si="126"/>
        <v>10643.18</v>
      </c>
      <c r="CZ216">
        <f t="shared" si="127"/>
        <v>10643.18</v>
      </c>
      <c r="DA216">
        <f t="shared" si="128"/>
        <v>1</v>
      </c>
      <c r="DB216">
        <f t="shared" si="129"/>
        <v>1.06</v>
      </c>
      <c r="DC216">
        <f t="shared" si="130"/>
        <v>0</v>
      </c>
      <c r="DD216" t="s">
        <v>3</v>
      </c>
      <c r="DE216" t="s">
        <v>3</v>
      </c>
      <c r="DF216">
        <f t="shared" si="124"/>
        <v>1.06</v>
      </c>
      <c r="DG216">
        <f t="shared" si="122"/>
        <v>0</v>
      </c>
      <c r="DH216">
        <f t="shared" si="123"/>
        <v>0</v>
      </c>
      <c r="DI216">
        <f t="shared" si="113"/>
        <v>0</v>
      </c>
      <c r="DJ216">
        <f t="shared" si="131"/>
        <v>1.06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">
      <c r="A217">
        <f>ROW(Source!A186)</f>
        <v>186</v>
      </c>
      <c r="B217">
        <v>60256985</v>
      </c>
      <c r="C217">
        <v>60257478</v>
      </c>
      <c r="D217">
        <v>59045670</v>
      </c>
      <c r="E217">
        <v>1</v>
      </c>
      <c r="F217">
        <v>1</v>
      </c>
      <c r="G217">
        <v>1080</v>
      </c>
      <c r="H217">
        <v>3</v>
      </c>
      <c r="I217" t="s">
        <v>422</v>
      </c>
      <c r="J217" t="s">
        <v>423</v>
      </c>
      <c r="K217" t="s">
        <v>424</v>
      </c>
      <c r="L217">
        <v>1355</v>
      </c>
      <c r="N217">
        <v>1010</v>
      </c>
      <c r="O217" t="s">
        <v>63</v>
      </c>
      <c r="P217" t="s">
        <v>63</v>
      </c>
      <c r="Q217">
        <v>100</v>
      </c>
      <c r="W217">
        <v>0</v>
      </c>
      <c r="X217">
        <v>-1616851610</v>
      </c>
      <c r="Y217">
        <f t="shared" si="125"/>
        <v>0.01</v>
      </c>
      <c r="AA217">
        <v>120.19</v>
      </c>
      <c r="AB217">
        <v>0</v>
      </c>
      <c r="AC217">
        <v>0</v>
      </c>
      <c r="AD217">
        <v>0</v>
      </c>
      <c r="AE217">
        <v>120.19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1</v>
      </c>
      <c r="AL217">
        <v>1</v>
      </c>
      <c r="AM217">
        <v>-2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0.01</v>
      </c>
      <c r="AU217" t="s">
        <v>3</v>
      </c>
      <c r="AV217">
        <v>0</v>
      </c>
      <c r="AW217">
        <v>2</v>
      </c>
      <c r="AX217">
        <v>60257627</v>
      </c>
      <c r="AY217">
        <v>1</v>
      </c>
      <c r="AZ217">
        <v>0</v>
      </c>
      <c r="BA217">
        <v>227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v>0</v>
      </c>
      <c r="CX217">
        <f>ROUND(Y217*Source!I186,9)</f>
        <v>0.01</v>
      </c>
      <c r="CY217">
        <f t="shared" si="126"/>
        <v>120.19</v>
      </c>
      <c r="CZ217">
        <f t="shared" si="127"/>
        <v>120.19</v>
      </c>
      <c r="DA217">
        <f t="shared" si="128"/>
        <v>1</v>
      </c>
      <c r="DB217">
        <f t="shared" si="129"/>
        <v>1.2</v>
      </c>
      <c r="DC217">
        <f t="shared" si="130"/>
        <v>0</v>
      </c>
      <c r="DD217" t="s">
        <v>3</v>
      </c>
      <c r="DE217" t="s">
        <v>3</v>
      </c>
      <c r="DF217">
        <f t="shared" si="124"/>
        <v>1.2</v>
      </c>
      <c r="DG217">
        <f t="shared" si="122"/>
        <v>0</v>
      </c>
      <c r="DH217">
        <f t="shared" si="123"/>
        <v>0</v>
      </c>
      <c r="DI217">
        <f t="shared" si="113"/>
        <v>0</v>
      </c>
      <c r="DJ217">
        <f t="shared" si="131"/>
        <v>1.2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">
      <c r="A218">
        <f>ROW(Source!A186)</f>
        <v>186</v>
      </c>
      <c r="B218">
        <v>60256985</v>
      </c>
      <c r="C218">
        <v>60257478</v>
      </c>
      <c r="D218">
        <v>59039462</v>
      </c>
      <c r="E218">
        <v>1</v>
      </c>
      <c r="F218">
        <v>1</v>
      </c>
      <c r="G218">
        <v>1080</v>
      </c>
      <c r="H218">
        <v>3</v>
      </c>
      <c r="I218" t="s">
        <v>425</v>
      </c>
      <c r="J218" t="s">
        <v>426</v>
      </c>
      <c r="K218" t="s">
        <v>427</v>
      </c>
      <c r="L218">
        <v>1348</v>
      </c>
      <c r="N218">
        <v>1009</v>
      </c>
      <c r="O218" t="s">
        <v>310</v>
      </c>
      <c r="P218" t="s">
        <v>310</v>
      </c>
      <c r="Q218">
        <v>1000</v>
      </c>
      <c r="W218">
        <v>0</v>
      </c>
      <c r="X218">
        <v>-1945031955</v>
      </c>
      <c r="Y218">
        <f t="shared" si="125"/>
        <v>2.0000000000000002E-5</v>
      </c>
      <c r="AA218">
        <v>64123.05</v>
      </c>
      <c r="AB218">
        <v>0</v>
      </c>
      <c r="AC218">
        <v>0</v>
      </c>
      <c r="AD218">
        <v>0</v>
      </c>
      <c r="AE218">
        <v>64123.05</v>
      </c>
      <c r="AF218">
        <v>0</v>
      </c>
      <c r="AG218">
        <v>0</v>
      </c>
      <c r="AH218">
        <v>0</v>
      </c>
      <c r="AI218">
        <v>1</v>
      </c>
      <c r="AJ218">
        <v>1</v>
      </c>
      <c r="AK218">
        <v>1</v>
      </c>
      <c r="AL218">
        <v>1</v>
      </c>
      <c r="AM218">
        <v>-2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2.0000000000000002E-5</v>
      </c>
      <c r="AU218" t="s">
        <v>3</v>
      </c>
      <c r="AV218">
        <v>0</v>
      </c>
      <c r="AW218">
        <v>2</v>
      </c>
      <c r="AX218">
        <v>60257628</v>
      </c>
      <c r="AY218">
        <v>1</v>
      </c>
      <c r="AZ218">
        <v>0</v>
      </c>
      <c r="BA218">
        <v>228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ROUND(Y218*Source!I186,9)</f>
        <v>2.0000000000000002E-5</v>
      </c>
      <c r="CY218">
        <f t="shared" si="126"/>
        <v>64123.05</v>
      </c>
      <c r="CZ218">
        <f t="shared" si="127"/>
        <v>64123.05</v>
      </c>
      <c r="DA218">
        <f t="shared" si="128"/>
        <v>1</v>
      </c>
      <c r="DB218">
        <f t="shared" si="129"/>
        <v>1.28</v>
      </c>
      <c r="DC218">
        <f t="shared" si="130"/>
        <v>0</v>
      </c>
      <c r="DD218" t="s">
        <v>3</v>
      </c>
      <c r="DE218" t="s">
        <v>3</v>
      </c>
      <c r="DF218">
        <f t="shared" si="124"/>
        <v>1.28</v>
      </c>
      <c r="DG218">
        <f t="shared" si="122"/>
        <v>0</v>
      </c>
      <c r="DH218">
        <f t="shared" si="123"/>
        <v>0</v>
      </c>
      <c r="DI218">
        <f t="shared" si="113"/>
        <v>0</v>
      </c>
      <c r="DJ218">
        <f t="shared" si="131"/>
        <v>1.28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">
      <c r="A219">
        <f>ROW(Source!A186)</f>
        <v>186</v>
      </c>
      <c r="B219">
        <v>60256985</v>
      </c>
      <c r="C219">
        <v>60257478</v>
      </c>
      <c r="D219">
        <v>59039479</v>
      </c>
      <c r="E219">
        <v>1</v>
      </c>
      <c r="F219">
        <v>1</v>
      </c>
      <c r="G219">
        <v>1080</v>
      </c>
      <c r="H219">
        <v>3</v>
      </c>
      <c r="I219" t="s">
        <v>428</v>
      </c>
      <c r="J219" t="s">
        <v>429</v>
      </c>
      <c r="K219" t="s">
        <v>430</v>
      </c>
      <c r="L219">
        <v>1348</v>
      </c>
      <c r="N219">
        <v>1009</v>
      </c>
      <c r="O219" t="s">
        <v>310</v>
      </c>
      <c r="P219" t="s">
        <v>310</v>
      </c>
      <c r="Q219">
        <v>1000</v>
      </c>
      <c r="W219">
        <v>0</v>
      </c>
      <c r="X219">
        <v>-1532056584</v>
      </c>
      <c r="Y219">
        <f t="shared" si="125"/>
        <v>1E-4</v>
      </c>
      <c r="AA219">
        <v>9238.1299999999992</v>
      </c>
      <c r="AB219">
        <v>0</v>
      </c>
      <c r="AC219">
        <v>0</v>
      </c>
      <c r="AD219">
        <v>0</v>
      </c>
      <c r="AE219">
        <v>9238.1299999999992</v>
      </c>
      <c r="AF219">
        <v>0</v>
      </c>
      <c r="AG219">
        <v>0</v>
      </c>
      <c r="AH219">
        <v>0</v>
      </c>
      <c r="AI219">
        <v>1</v>
      </c>
      <c r="AJ219">
        <v>1</v>
      </c>
      <c r="AK219">
        <v>1</v>
      </c>
      <c r="AL219">
        <v>1</v>
      </c>
      <c r="AM219">
        <v>-2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1E-4</v>
      </c>
      <c r="AU219" t="s">
        <v>3</v>
      </c>
      <c r="AV219">
        <v>0</v>
      </c>
      <c r="AW219">
        <v>2</v>
      </c>
      <c r="AX219">
        <v>60257629</v>
      </c>
      <c r="AY219">
        <v>1</v>
      </c>
      <c r="AZ219">
        <v>0</v>
      </c>
      <c r="BA219">
        <v>229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v>0</v>
      </c>
      <c r="CX219">
        <f>ROUND(Y219*Source!I186,9)</f>
        <v>1E-4</v>
      </c>
      <c r="CY219">
        <f t="shared" si="126"/>
        <v>9238.1299999999992</v>
      </c>
      <c r="CZ219">
        <f t="shared" si="127"/>
        <v>9238.1299999999992</v>
      </c>
      <c r="DA219">
        <f t="shared" si="128"/>
        <v>1</v>
      </c>
      <c r="DB219">
        <f t="shared" si="129"/>
        <v>0.92</v>
      </c>
      <c r="DC219">
        <f t="shared" si="130"/>
        <v>0</v>
      </c>
      <c r="DD219" t="s">
        <v>3</v>
      </c>
      <c r="DE219" t="s">
        <v>3</v>
      </c>
      <c r="DF219">
        <f t="shared" si="124"/>
        <v>0.92</v>
      </c>
      <c r="DG219">
        <f t="shared" si="122"/>
        <v>0</v>
      </c>
      <c r="DH219">
        <f t="shared" si="123"/>
        <v>0</v>
      </c>
      <c r="DI219">
        <f t="shared" si="113"/>
        <v>0</v>
      </c>
      <c r="DJ219">
        <f t="shared" si="131"/>
        <v>0.92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">
      <c r="A220">
        <f>ROW(Source!A186)</f>
        <v>186</v>
      </c>
      <c r="B220">
        <v>60256985</v>
      </c>
      <c r="C220">
        <v>60257478</v>
      </c>
      <c r="D220">
        <v>59062697</v>
      </c>
      <c r="E220">
        <v>1</v>
      </c>
      <c r="F220">
        <v>1</v>
      </c>
      <c r="G220">
        <v>1080</v>
      </c>
      <c r="H220">
        <v>3</v>
      </c>
      <c r="I220" t="s">
        <v>431</v>
      </c>
      <c r="J220" t="s">
        <v>432</v>
      </c>
      <c r="K220" t="s">
        <v>433</v>
      </c>
      <c r="L220">
        <v>1301</v>
      </c>
      <c r="N220">
        <v>1003</v>
      </c>
      <c r="O220" t="s">
        <v>139</v>
      </c>
      <c r="P220" t="s">
        <v>139</v>
      </c>
      <c r="Q220">
        <v>1</v>
      </c>
      <c r="W220">
        <v>0</v>
      </c>
      <c r="X220">
        <v>-1624118800</v>
      </c>
      <c r="Y220">
        <f t="shared" si="125"/>
        <v>1</v>
      </c>
      <c r="AA220">
        <v>0.69</v>
      </c>
      <c r="AB220">
        <v>0</v>
      </c>
      <c r="AC220">
        <v>0</v>
      </c>
      <c r="AD220">
        <v>0</v>
      </c>
      <c r="AE220">
        <v>0.69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1</v>
      </c>
      <c r="AL220">
        <v>1</v>
      </c>
      <c r="AM220">
        <v>-2</v>
      </c>
      <c r="AN220">
        <v>0</v>
      </c>
      <c r="AO220">
        <v>1</v>
      </c>
      <c r="AP220">
        <v>1</v>
      </c>
      <c r="AQ220">
        <v>0</v>
      </c>
      <c r="AR220">
        <v>0</v>
      </c>
      <c r="AS220" t="s">
        <v>3</v>
      </c>
      <c r="AT220">
        <v>1</v>
      </c>
      <c r="AU220" t="s">
        <v>3</v>
      </c>
      <c r="AV220">
        <v>0</v>
      </c>
      <c r="AW220">
        <v>2</v>
      </c>
      <c r="AX220">
        <v>60257630</v>
      </c>
      <c r="AY220">
        <v>1</v>
      </c>
      <c r="AZ220">
        <v>0</v>
      </c>
      <c r="BA220">
        <v>230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ROUND(Y220*Source!I186,9)</f>
        <v>1</v>
      </c>
      <c r="CY220">
        <f t="shared" si="126"/>
        <v>0.69</v>
      </c>
      <c r="CZ220">
        <f t="shared" si="127"/>
        <v>0.69</v>
      </c>
      <c r="DA220">
        <f t="shared" si="128"/>
        <v>1</v>
      </c>
      <c r="DB220">
        <f t="shared" si="129"/>
        <v>0.69</v>
      </c>
      <c r="DC220">
        <f t="shared" si="130"/>
        <v>0</v>
      </c>
      <c r="DD220" t="s">
        <v>3</v>
      </c>
      <c r="DE220" t="s">
        <v>3</v>
      </c>
      <c r="DF220">
        <f t="shared" si="124"/>
        <v>0.69</v>
      </c>
      <c r="DG220">
        <f t="shared" si="122"/>
        <v>0</v>
      </c>
      <c r="DH220">
        <f t="shared" si="123"/>
        <v>0</v>
      </c>
      <c r="DI220">
        <f t="shared" si="113"/>
        <v>0</v>
      </c>
      <c r="DJ220">
        <f t="shared" si="131"/>
        <v>0.69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">
      <c r="A221">
        <f>ROW(Source!A186)</f>
        <v>186</v>
      </c>
      <c r="B221">
        <v>60256985</v>
      </c>
      <c r="C221">
        <v>60257478</v>
      </c>
      <c r="D221">
        <v>59062976</v>
      </c>
      <c r="E221">
        <v>1</v>
      </c>
      <c r="F221">
        <v>1</v>
      </c>
      <c r="G221">
        <v>1080</v>
      </c>
      <c r="H221">
        <v>3</v>
      </c>
      <c r="I221" t="s">
        <v>434</v>
      </c>
      <c r="J221" t="s">
        <v>435</v>
      </c>
      <c r="K221" t="s">
        <v>436</v>
      </c>
      <c r="L221">
        <v>1356</v>
      </c>
      <c r="N221">
        <v>1010</v>
      </c>
      <c r="O221" t="s">
        <v>74</v>
      </c>
      <c r="P221" t="s">
        <v>74</v>
      </c>
      <c r="Q221">
        <v>1000</v>
      </c>
      <c r="W221">
        <v>0</v>
      </c>
      <c r="X221">
        <v>-1808005655</v>
      </c>
      <c r="Y221">
        <f t="shared" si="125"/>
        <v>0.01</v>
      </c>
      <c r="AA221">
        <v>294.89</v>
      </c>
      <c r="AB221">
        <v>0</v>
      </c>
      <c r="AC221">
        <v>0</v>
      </c>
      <c r="AD221">
        <v>0</v>
      </c>
      <c r="AE221">
        <v>294.89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-2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0.01</v>
      </c>
      <c r="AU221" t="s">
        <v>3</v>
      </c>
      <c r="AV221">
        <v>0</v>
      </c>
      <c r="AW221">
        <v>2</v>
      </c>
      <c r="AX221">
        <v>60257631</v>
      </c>
      <c r="AY221">
        <v>1</v>
      </c>
      <c r="AZ221">
        <v>0</v>
      </c>
      <c r="BA221">
        <v>231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v>0</v>
      </c>
      <c r="CX221">
        <f>ROUND(Y221*Source!I186,9)</f>
        <v>0.01</v>
      </c>
      <c r="CY221">
        <f t="shared" si="126"/>
        <v>294.89</v>
      </c>
      <c r="CZ221">
        <f t="shared" si="127"/>
        <v>294.89</v>
      </c>
      <c r="DA221">
        <f t="shared" si="128"/>
        <v>1</v>
      </c>
      <c r="DB221">
        <f t="shared" si="129"/>
        <v>2.95</v>
      </c>
      <c r="DC221">
        <f t="shared" si="130"/>
        <v>0</v>
      </c>
      <c r="DD221" t="s">
        <v>3</v>
      </c>
      <c r="DE221" t="s">
        <v>3</v>
      </c>
      <c r="DF221">
        <f t="shared" si="124"/>
        <v>2.95</v>
      </c>
      <c r="DG221">
        <f t="shared" si="122"/>
        <v>0</v>
      </c>
      <c r="DH221">
        <f t="shared" si="123"/>
        <v>0</v>
      </c>
      <c r="DI221">
        <f t="shared" si="113"/>
        <v>0</v>
      </c>
      <c r="DJ221">
        <f t="shared" si="131"/>
        <v>2.95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">
      <c r="A222">
        <f>ROW(Source!A186)</f>
        <v>186</v>
      </c>
      <c r="B222">
        <v>60256985</v>
      </c>
      <c r="C222">
        <v>60257478</v>
      </c>
      <c r="D222">
        <v>59062049</v>
      </c>
      <c r="E222">
        <v>1</v>
      </c>
      <c r="F222">
        <v>1</v>
      </c>
      <c r="G222">
        <v>1080</v>
      </c>
      <c r="H222">
        <v>3</v>
      </c>
      <c r="I222" t="s">
        <v>437</v>
      </c>
      <c r="J222" t="s">
        <v>438</v>
      </c>
      <c r="K222" t="s">
        <v>439</v>
      </c>
      <c r="L222">
        <v>1354</v>
      </c>
      <c r="N222">
        <v>1010</v>
      </c>
      <c r="O222" t="s">
        <v>31</v>
      </c>
      <c r="P222" t="s">
        <v>31</v>
      </c>
      <c r="Q222">
        <v>1</v>
      </c>
      <c r="W222">
        <v>0</v>
      </c>
      <c r="X222">
        <v>1729520002</v>
      </c>
      <c r="Y222">
        <f t="shared" si="125"/>
        <v>1</v>
      </c>
      <c r="AA222">
        <v>15.67</v>
      </c>
      <c r="AB222">
        <v>0</v>
      </c>
      <c r="AC222">
        <v>0</v>
      </c>
      <c r="AD222">
        <v>0</v>
      </c>
      <c r="AE222">
        <v>15.67</v>
      </c>
      <c r="AF222">
        <v>0</v>
      </c>
      <c r="AG222">
        <v>0</v>
      </c>
      <c r="AH222">
        <v>0</v>
      </c>
      <c r="AI222">
        <v>1</v>
      </c>
      <c r="AJ222">
        <v>1</v>
      </c>
      <c r="AK222">
        <v>1</v>
      </c>
      <c r="AL222">
        <v>1</v>
      </c>
      <c r="AM222">
        <v>-2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1</v>
      </c>
      <c r="AU222" t="s">
        <v>3</v>
      </c>
      <c r="AV222">
        <v>0</v>
      </c>
      <c r="AW222">
        <v>2</v>
      </c>
      <c r="AX222">
        <v>60257632</v>
      </c>
      <c r="AY222">
        <v>1</v>
      </c>
      <c r="AZ222">
        <v>0</v>
      </c>
      <c r="BA222">
        <v>232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v>0</v>
      </c>
      <c r="CX222">
        <f>ROUND(Y222*Source!I186,9)</f>
        <v>1</v>
      </c>
      <c r="CY222">
        <f t="shared" si="126"/>
        <v>15.67</v>
      </c>
      <c r="CZ222">
        <f t="shared" si="127"/>
        <v>15.67</v>
      </c>
      <c r="DA222">
        <f t="shared" si="128"/>
        <v>1</v>
      </c>
      <c r="DB222">
        <f t="shared" si="129"/>
        <v>15.67</v>
      </c>
      <c r="DC222">
        <f t="shared" si="130"/>
        <v>0</v>
      </c>
      <c r="DD222" t="s">
        <v>3</v>
      </c>
      <c r="DE222" t="s">
        <v>3</v>
      </c>
      <c r="DF222">
        <f t="shared" si="124"/>
        <v>15.67</v>
      </c>
      <c r="DG222">
        <f t="shared" si="122"/>
        <v>0</v>
      </c>
      <c r="DH222">
        <f t="shared" si="123"/>
        <v>0</v>
      </c>
      <c r="DI222">
        <f t="shared" si="113"/>
        <v>0</v>
      </c>
      <c r="DJ222">
        <f t="shared" si="131"/>
        <v>15.67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">
      <c r="A223">
        <f>ROW(Source!A186)</f>
        <v>186</v>
      </c>
      <c r="B223">
        <v>60256985</v>
      </c>
      <c r="C223">
        <v>60257478</v>
      </c>
      <c r="D223">
        <v>59004256</v>
      </c>
      <c r="E223">
        <v>1080</v>
      </c>
      <c r="F223">
        <v>1</v>
      </c>
      <c r="G223">
        <v>1080</v>
      </c>
      <c r="H223">
        <v>3</v>
      </c>
      <c r="I223" t="s">
        <v>347</v>
      </c>
      <c r="J223" t="s">
        <v>3</v>
      </c>
      <c r="K223" t="s">
        <v>348</v>
      </c>
      <c r="L223">
        <v>1348</v>
      </c>
      <c r="N223">
        <v>1009</v>
      </c>
      <c r="O223" t="s">
        <v>310</v>
      </c>
      <c r="P223" t="s">
        <v>310</v>
      </c>
      <c r="Q223">
        <v>1000</v>
      </c>
      <c r="W223">
        <v>0</v>
      </c>
      <c r="X223">
        <v>-783086922</v>
      </c>
      <c r="Y223">
        <f t="shared" si="125"/>
        <v>1E-3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1</v>
      </c>
      <c r="AM223">
        <v>-2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1E-3</v>
      </c>
      <c r="AU223" t="s">
        <v>3</v>
      </c>
      <c r="AV223">
        <v>0</v>
      </c>
      <c r="AW223">
        <v>2</v>
      </c>
      <c r="AX223">
        <v>60257635</v>
      </c>
      <c r="AY223">
        <v>1</v>
      </c>
      <c r="AZ223">
        <v>0</v>
      </c>
      <c r="BA223">
        <v>235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V223">
        <v>0</v>
      </c>
      <c r="CW223">
        <v>0</v>
      </c>
      <c r="CX223">
        <f>ROUND(Y223*Source!I186,9)</f>
        <v>1E-3</v>
      </c>
      <c r="CY223">
        <f t="shared" si="126"/>
        <v>0</v>
      </c>
      <c r="CZ223">
        <f t="shared" si="127"/>
        <v>0</v>
      </c>
      <c r="DA223">
        <f t="shared" si="128"/>
        <v>1</v>
      </c>
      <c r="DB223">
        <f t="shared" si="129"/>
        <v>0</v>
      </c>
      <c r="DC223">
        <f t="shared" si="130"/>
        <v>0</v>
      </c>
      <c r="DD223" t="s">
        <v>3</v>
      </c>
      <c r="DE223" t="s">
        <v>3</v>
      </c>
      <c r="DF223">
        <f t="shared" si="124"/>
        <v>0</v>
      </c>
      <c r="DG223">
        <f t="shared" si="122"/>
        <v>0</v>
      </c>
      <c r="DH223">
        <f t="shared" si="123"/>
        <v>0</v>
      </c>
      <c r="DI223">
        <f t="shared" si="113"/>
        <v>0</v>
      </c>
      <c r="DJ223">
        <f t="shared" si="131"/>
        <v>0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">
      <c r="A224">
        <f>ROW(Source!A186)</f>
        <v>186</v>
      </c>
      <c r="B224">
        <v>60256985</v>
      </c>
      <c r="C224">
        <v>60257478</v>
      </c>
      <c r="D224">
        <v>0</v>
      </c>
      <c r="E224">
        <v>1080</v>
      </c>
      <c r="F224">
        <v>1</v>
      </c>
      <c r="G224">
        <v>1080</v>
      </c>
      <c r="H224">
        <v>3</v>
      </c>
      <c r="I224" t="s">
        <v>272</v>
      </c>
      <c r="J224" t="s">
        <v>3</v>
      </c>
      <c r="K224" t="s">
        <v>273</v>
      </c>
      <c r="L224">
        <v>1371</v>
      </c>
      <c r="N224">
        <v>1013</v>
      </c>
      <c r="O224" t="s">
        <v>206</v>
      </c>
      <c r="P224" t="s">
        <v>206</v>
      </c>
      <c r="Q224">
        <v>1</v>
      </c>
      <c r="W224">
        <v>0</v>
      </c>
      <c r="X224">
        <v>300816588</v>
      </c>
      <c r="Y224">
        <f t="shared" si="125"/>
        <v>1</v>
      </c>
      <c r="AA224">
        <v>578.33000000000004</v>
      </c>
      <c r="AB224">
        <v>0</v>
      </c>
      <c r="AC224">
        <v>0</v>
      </c>
      <c r="AD224">
        <v>0</v>
      </c>
      <c r="AE224">
        <v>578.33000000000004</v>
      </c>
      <c r="AF224">
        <v>0</v>
      </c>
      <c r="AG224">
        <v>0</v>
      </c>
      <c r="AH224">
        <v>0</v>
      </c>
      <c r="AI224">
        <v>1</v>
      </c>
      <c r="AJ224">
        <v>1</v>
      </c>
      <c r="AK224">
        <v>1</v>
      </c>
      <c r="AL224">
        <v>1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 t="s">
        <v>3</v>
      </c>
      <c r="AT224">
        <v>1</v>
      </c>
      <c r="AU224" t="s">
        <v>3</v>
      </c>
      <c r="AV224">
        <v>0</v>
      </c>
      <c r="AW224">
        <v>1</v>
      </c>
      <c r="AX224">
        <v>-1</v>
      </c>
      <c r="AY224">
        <v>0</v>
      </c>
      <c r="AZ224">
        <v>0</v>
      </c>
      <c r="BA224" t="s">
        <v>3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ROUND(Y224*Source!I186,9)</f>
        <v>1</v>
      </c>
      <c r="CY224">
        <f t="shared" si="126"/>
        <v>578.33000000000004</v>
      </c>
      <c r="CZ224">
        <f t="shared" si="127"/>
        <v>578.33000000000004</v>
      </c>
      <c r="DA224">
        <f t="shared" si="128"/>
        <v>1</v>
      </c>
      <c r="DB224">
        <f t="shared" si="129"/>
        <v>578.33000000000004</v>
      </c>
      <c r="DC224">
        <f t="shared" si="130"/>
        <v>0</v>
      </c>
      <c r="DD224" t="s">
        <v>3</v>
      </c>
      <c r="DE224" t="s">
        <v>3</v>
      </c>
      <c r="DF224">
        <f t="shared" si="124"/>
        <v>578.33000000000004</v>
      </c>
      <c r="DG224">
        <f t="shared" si="122"/>
        <v>0</v>
      </c>
      <c r="DH224">
        <f t="shared" si="123"/>
        <v>0</v>
      </c>
      <c r="DI224">
        <f t="shared" si="113"/>
        <v>0</v>
      </c>
      <c r="DJ224">
        <f t="shared" si="131"/>
        <v>578.33000000000004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">
      <c r="A225">
        <f>ROW(Source!A187)</f>
        <v>187</v>
      </c>
      <c r="B225">
        <v>60256982</v>
      </c>
      <c r="C225">
        <v>60257478</v>
      </c>
      <c r="D225">
        <v>58999254</v>
      </c>
      <c r="E225">
        <v>1080</v>
      </c>
      <c r="F225">
        <v>1</v>
      </c>
      <c r="G225">
        <v>1080</v>
      </c>
      <c r="H225">
        <v>1</v>
      </c>
      <c r="I225" t="s">
        <v>293</v>
      </c>
      <c r="J225" t="s">
        <v>3</v>
      </c>
      <c r="K225" t="s">
        <v>294</v>
      </c>
      <c r="L225">
        <v>1191</v>
      </c>
      <c r="N225">
        <v>1013</v>
      </c>
      <c r="O225" t="s">
        <v>295</v>
      </c>
      <c r="P225" t="s">
        <v>295</v>
      </c>
      <c r="Q225">
        <v>1</v>
      </c>
      <c r="W225">
        <v>0</v>
      </c>
      <c r="X225">
        <v>476480486</v>
      </c>
      <c r="Y225">
        <f>(AT225*1.1)</f>
        <v>3.3000000000000003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1</v>
      </c>
      <c r="AK225">
        <v>1</v>
      </c>
      <c r="AL225">
        <v>1</v>
      </c>
      <c r="AM225">
        <v>5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3</v>
      </c>
      <c r="AU225" t="s">
        <v>23</v>
      </c>
      <c r="AV225">
        <v>1</v>
      </c>
      <c r="AW225">
        <v>2</v>
      </c>
      <c r="AX225">
        <v>60257619</v>
      </c>
      <c r="AY225">
        <v>1</v>
      </c>
      <c r="AZ225">
        <v>0</v>
      </c>
      <c r="BA225">
        <v>236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U225">
        <f>ROUND(AT225*Source!I187*AH225*AL225,2)</f>
        <v>0</v>
      </c>
      <c r="CV225">
        <f>ROUND(Y225*Source!I187,9)</f>
        <v>3.3</v>
      </c>
      <c r="CW225">
        <v>0</v>
      </c>
      <c r="CX225">
        <f>ROUND(Y225*Source!I187,9)</f>
        <v>3.3</v>
      </c>
      <c r="CY225">
        <f>AD225</f>
        <v>0</v>
      </c>
      <c r="CZ225">
        <f>AH225</f>
        <v>0</v>
      </c>
      <c r="DA225">
        <f>AL225</f>
        <v>1</v>
      </c>
      <c r="DB225">
        <f>ROUND((ROUND(AT225*CZ225,2)*1.1),6)</f>
        <v>0</v>
      </c>
      <c r="DC225">
        <f>ROUND((ROUND(AT225*AG225,2)*1.1),6)</f>
        <v>0</v>
      </c>
      <c r="DD225" t="s">
        <v>3</v>
      </c>
      <c r="DE225" t="s">
        <v>3</v>
      </c>
      <c r="DF225">
        <f t="shared" si="124"/>
        <v>0</v>
      </c>
      <c r="DG225">
        <f t="shared" si="122"/>
        <v>0</v>
      </c>
      <c r="DH225">
        <f t="shared" si="123"/>
        <v>0</v>
      </c>
      <c r="DI225">
        <f t="shared" si="113"/>
        <v>0</v>
      </c>
      <c r="DJ225">
        <f>DI225</f>
        <v>0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">
      <c r="A226">
        <f>ROW(Source!A187)</f>
        <v>187</v>
      </c>
      <c r="B226">
        <v>60256982</v>
      </c>
      <c r="C226">
        <v>60257478</v>
      </c>
      <c r="D226">
        <v>59039563</v>
      </c>
      <c r="E226">
        <v>1</v>
      </c>
      <c r="F226">
        <v>1</v>
      </c>
      <c r="G226">
        <v>1080</v>
      </c>
      <c r="H226">
        <v>3</v>
      </c>
      <c r="I226" t="s">
        <v>400</v>
      </c>
      <c r="J226" t="s">
        <v>401</v>
      </c>
      <c r="K226" t="s">
        <v>402</v>
      </c>
      <c r="L226">
        <v>1348</v>
      </c>
      <c r="N226">
        <v>1009</v>
      </c>
      <c r="O226" t="s">
        <v>310</v>
      </c>
      <c r="P226" t="s">
        <v>310</v>
      </c>
      <c r="Q226">
        <v>1000</v>
      </c>
      <c r="W226">
        <v>0</v>
      </c>
      <c r="X226">
        <v>-1186875871</v>
      </c>
      <c r="Y226">
        <f t="shared" ref="Y226:Y240" si="132">AT226</f>
        <v>1E-3</v>
      </c>
      <c r="AA226">
        <v>83645.289999999994</v>
      </c>
      <c r="AB226">
        <v>0</v>
      </c>
      <c r="AC226">
        <v>0</v>
      </c>
      <c r="AD226">
        <v>0</v>
      </c>
      <c r="AE226">
        <v>15319.65</v>
      </c>
      <c r="AF226">
        <v>0</v>
      </c>
      <c r="AG226">
        <v>0</v>
      </c>
      <c r="AH226">
        <v>0</v>
      </c>
      <c r="AI226">
        <v>5.46</v>
      </c>
      <c r="AJ226">
        <v>1</v>
      </c>
      <c r="AK226">
        <v>1</v>
      </c>
      <c r="AL226">
        <v>1</v>
      </c>
      <c r="AM226">
        <v>2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1E-3</v>
      </c>
      <c r="AU226" t="s">
        <v>3</v>
      </c>
      <c r="AV226">
        <v>0</v>
      </c>
      <c r="AW226">
        <v>2</v>
      </c>
      <c r="AX226">
        <v>60257620</v>
      </c>
      <c r="AY226">
        <v>1</v>
      </c>
      <c r="AZ226">
        <v>0</v>
      </c>
      <c r="BA226">
        <v>237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ROUND(Y226*Source!I187,9)</f>
        <v>1E-3</v>
      </c>
      <c r="CY226">
        <f t="shared" ref="CY226:CY240" si="133">AA226</f>
        <v>83645.289999999994</v>
      </c>
      <c r="CZ226">
        <f t="shared" ref="CZ226:CZ240" si="134">AE226</f>
        <v>15319.65</v>
      </c>
      <c r="DA226">
        <f t="shared" ref="DA226:DA240" si="135">AI226</f>
        <v>5.46</v>
      </c>
      <c r="DB226">
        <f t="shared" ref="DB226:DB240" si="136">ROUND(ROUND(AT226*CZ226,2),6)</f>
        <v>15.32</v>
      </c>
      <c r="DC226">
        <f t="shared" ref="DC226:DC240" si="137">ROUND(ROUND(AT226*AG226,2),6)</f>
        <v>0</v>
      </c>
      <c r="DD226" t="s">
        <v>3</v>
      </c>
      <c r="DE226" t="s">
        <v>3</v>
      </c>
      <c r="DF226">
        <f t="shared" ref="DF226:DF240" si="138">ROUND(ROUND(AE226*AI226,2)*CX226,2)</f>
        <v>83.65</v>
      </c>
      <c r="DG226">
        <f t="shared" si="122"/>
        <v>0</v>
      </c>
      <c r="DH226">
        <f t="shared" si="123"/>
        <v>0</v>
      </c>
      <c r="DI226">
        <f t="shared" si="113"/>
        <v>0</v>
      </c>
      <c r="DJ226">
        <f t="shared" ref="DJ226:DJ240" si="139">DF226</f>
        <v>83.65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">
      <c r="A227">
        <f>ROW(Source!A187)</f>
        <v>187</v>
      </c>
      <c r="B227">
        <v>60256982</v>
      </c>
      <c r="C227">
        <v>60257478</v>
      </c>
      <c r="D227">
        <v>59038929</v>
      </c>
      <c r="E227">
        <v>1</v>
      </c>
      <c r="F227">
        <v>1</v>
      </c>
      <c r="G227">
        <v>1080</v>
      </c>
      <c r="H227">
        <v>3</v>
      </c>
      <c r="I227" t="s">
        <v>403</v>
      </c>
      <c r="J227" t="s">
        <v>404</v>
      </c>
      <c r="K227" t="s">
        <v>405</v>
      </c>
      <c r="L227">
        <v>1348</v>
      </c>
      <c r="N227">
        <v>1009</v>
      </c>
      <c r="O227" t="s">
        <v>310</v>
      </c>
      <c r="P227" t="s">
        <v>310</v>
      </c>
      <c r="Q227">
        <v>1000</v>
      </c>
      <c r="W227">
        <v>0</v>
      </c>
      <c r="X227">
        <v>-573574343</v>
      </c>
      <c r="Y227">
        <f t="shared" si="132"/>
        <v>5.0000000000000002E-5</v>
      </c>
      <c r="AA227">
        <v>7281.49</v>
      </c>
      <c r="AB227">
        <v>0</v>
      </c>
      <c r="AC227">
        <v>0</v>
      </c>
      <c r="AD227">
        <v>0</v>
      </c>
      <c r="AE227">
        <v>1219.68</v>
      </c>
      <c r="AF227">
        <v>0</v>
      </c>
      <c r="AG227">
        <v>0</v>
      </c>
      <c r="AH227">
        <v>0</v>
      </c>
      <c r="AI227">
        <v>5.97</v>
      </c>
      <c r="AJ227">
        <v>1</v>
      </c>
      <c r="AK227">
        <v>1</v>
      </c>
      <c r="AL227">
        <v>1</v>
      </c>
      <c r="AM227">
        <v>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5.0000000000000002E-5</v>
      </c>
      <c r="AU227" t="s">
        <v>3</v>
      </c>
      <c r="AV227">
        <v>0</v>
      </c>
      <c r="AW227">
        <v>2</v>
      </c>
      <c r="AX227">
        <v>60257621</v>
      </c>
      <c r="AY227">
        <v>1</v>
      </c>
      <c r="AZ227">
        <v>0</v>
      </c>
      <c r="BA227">
        <v>238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v>0</v>
      </c>
      <c r="CX227">
        <f>ROUND(Y227*Source!I187,9)</f>
        <v>5.0000000000000002E-5</v>
      </c>
      <c r="CY227">
        <f t="shared" si="133"/>
        <v>7281.49</v>
      </c>
      <c r="CZ227">
        <f t="shared" si="134"/>
        <v>1219.68</v>
      </c>
      <c r="DA227">
        <f t="shared" si="135"/>
        <v>5.97</v>
      </c>
      <c r="DB227">
        <f t="shared" si="136"/>
        <v>0.06</v>
      </c>
      <c r="DC227">
        <f t="shared" si="137"/>
        <v>0</v>
      </c>
      <c r="DD227" t="s">
        <v>3</v>
      </c>
      <c r="DE227" t="s">
        <v>3</v>
      </c>
      <c r="DF227">
        <f t="shared" si="138"/>
        <v>0.36</v>
      </c>
      <c r="DG227">
        <f t="shared" si="122"/>
        <v>0</v>
      </c>
      <c r="DH227">
        <f t="shared" si="123"/>
        <v>0</v>
      </c>
      <c r="DI227">
        <f t="shared" si="113"/>
        <v>0</v>
      </c>
      <c r="DJ227">
        <f t="shared" si="139"/>
        <v>0.36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">
      <c r="A228">
        <f>ROW(Source!A187)</f>
        <v>187</v>
      </c>
      <c r="B228">
        <v>60256982</v>
      </c>
      <c r="C228">
        <v>60257478</v>
      </c>
      <c r="D228">
        <v>59039997</v>
      </c>
      <c r="E228">
        <v>1</v>
      </c>
      <c r="F228">
        <v>1</v>
      </c>
      <c r="G228">
        <v>1080</v>
      </c>
      <c r="H228">
        <v>3</v>
      </c>
      <c r="I228" t="s">
        <v>406</v>
      </c>
      <c r="J228" t="s">
        <v>407</v>
      </c>
      <c r="K228" t="s">
        <v>408</v>
      </c>
      <c r="L228">
        <v>1301</v>
      </c>
      <c r="N228">
        <v>1003</v>
      </c>
      <c r="O228" t="s">
        <v>139</v>
      </c>
      <c r="P228" t="s">
        <v>139</v>
      </c>
      <c r="Q228">
        <v>1</v>
      </c>
      <c r="W228">
        <v>0</v>
      </c>
      <c r="X228">
        <v>882847464</v>
      </c>
      <c r="Y228">
        <f t="shared" si="132"/>
        <v>5</v>
      </c>
      <c r="AA228">
        <v>5.48</v>
      </c>
      <c r="AB228">
        <v>0</v>
      </c>
      <c r="AC228">
        <v>0</v>
      </c>
      <c r="AD228">
        <v>0</v>
      </c>
      <c r="AE228">
        <v>0.39</v>
      </c>
      <c r="AF228">
        <v>0</v>
      </c>
      <c r="AG228">
        <v>0</v>
      </c>
      <c r="AH228">
        <v>0</v>
      </c>
      <c r="AI228">
        <v>14.05</v>
      </c>
      <c r="AJ228">
        <v>1</v>
      </c>
      <c r="AK228">
        <v>1</v>
      </c>
      <c r="AL228">
        <v>1</v>
      </c>
      <c r="AM228">
        <v>2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5</v>
      </c>
      <c r="AU228" t="s">
        <v>3</v>
      </c>
      <c r="AV228">
        <v>0</v>
      </c>
      <c r="AW228">
        <v>2</v>
      </c>
      <c r="AX228">
        <v>60257622</v>
      </c>
      <c r="AY228">
        <v>1</v>
      </c>
      <c r="AZ228">
        <v>0</v>
      </c>
      <c r="BA228">
        <v>239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v>0</v>
      </c>
      <c r="CX228">
        <f>ROUND(Y228*Source!I187,9)</f>
        <v>5</v>
      </c>
      <c r="CY228">
        <f t="shared" si="133"/>
        <v>5.48</v>
      </c>
      <c r="CZ228">
        <f t="shared" si="134"/>
        <v>0.39</v>
      </c>
      <c r="DA228">
        <f t="shared" si="135"/>
        <v>14.05</v>
      </c>
      <c r="DB228">
        <f t="shared" si="136"/>
        <v>1.95</v>
      </c>
      <c r="DC228">
        <f t="shared" si="137"/>
        <v>0</v>
      </c>
      <c r="DD228" t="s">
        <v>3</v>
      </c>
      <c r="DE228" t="s">
        <v>3</v>
      </c>
      <c r="DF228">
        <f t="shared" si="138"/>
        <v>27.4</v>
      </c>
      <c r="DG228">
        <f t="shared" si="122"/>
        <v>0</v>
      </c>
      <c r="DH228">
        <f t="shared" si="123"/>
        <v>0</v>
      </c>
      <c r="DI228">
        <f t="shared" si="113"/>
        <v>0</v>
      </c>
      <c r="DJ228">
        <f t="shared" si="139"/>
        <v>27.4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">
      <c r="A229">
        <f>ROW(Source!A187)</f>
        <v>187</v>
      </c>
      <c r="B229">
        <v>60256982</v>
      </c>
      <c r="C229">
        <v>60257478</v>
      </c>
      <c r="D229">
        <v>59038980</v>
      </c>
      <c r="E229">
        <v>1</v>
      </c>
      <c r="F229">
        <v>1</v>
      </c>
      <c r="G229">
        <v>1080</v>
      </c>
      <c r="H229">
        <v>3</v>
      </c>
      <c r="I229" t="s">
        <v>409</v>
      </c>
      <c r="J229" t="s">
        <v>410</v>
      </c>
      <c r="K229" t="s">
        <v>411</v>
      </c>
      <c r="L229">
        <v>1339</v>
      </c>
      <c r="N229">
        <v>1007</v>
      </c>
      <c r="O229" t="s">
        <v>412</v>
      </c>
      <c r="P229" t="s">
        <v>412</v>
      </c>
      <c r="Q229">
        <v>1</v>
      </c>
      <c r="W229">
        <v>0</v>
      </c>
      <c r="X229">
        <v>1880586541</v>
      </c>
      <c r="Y229">
        <f t="shared" si="132"/>
        <v>1E-3</v>
      </c>
      <c r="AA229">
        <v>8575.23</v>
      </c>
      <c r="AB229">
        <v>0</v>
      </c>
      <c r="AC229">
        <v>0</v>
      </c>
      <c r="AD229">
        <v>0</v>
      </c>
      <c r="AE229">
        <v>1176.3</v>
      </c>
      <c r="AF229">
        <v>0</v>
      </c>
      <c r="AG229">
        <v>0</v>
      </c>
      <c r="AH229">
        <v>0</v>
      </c>
      <c r="AI229">
        <v>7.29</v>
      </c>
      <c r="AJ229">
        <v>1</v>
      </c>
      <c r="AK229">
        <v>1</v>
      </c>
      <c r="AL229">
        <v>1</v>
      </c>
      <c r="AM229">
        <v>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1E-3</v>
      </c>
      <c r="AU229" t="s">
        <v>3</v>
      </c>
      <c r="AV229">
        <v>0</v>
      </c>
      <c r="AW229">
        <v>2</v>
      </c>
      <c r="AX229">
        <v>60257623</v>
      </c>
      <c r="AY229">
        <v>1</v>
      </c>
      <c r="AZ229">
        <v>0</v>
      </c>
      <c r="BA229">
        <v>240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V229">
        <v>0</v>
      </c>
      <c r="CW229">
        <v>0</v>
      </c>
      <c r="CX229">
        <f>ROUND(Y229*Source!I187,9)</f>
        <v>1E-3</v>
      </c>
      <c r="CY229">
        <f t="shared" si="133"/>
        <v>8575.23</v>
      </c>
      <c r="CZ229">
        <f t="shared" si="134"/>
        <v>1176.3</v>
      </c>
      <c r="DA229">
        <f t="shared" si="135"/>
        <v>7.29</v>
      </c>
      <c r="DB229">
        <f t="shared" si="136"/>
        <v>1.18</v>
      </c>
      <c r="DC229">
        <f t="shared" si="137"/>
        <v>0</v>
      </c>
      <c r="DD229" t="s">
        <v>3</v>
      </c>
      <c r="DE229" t="s">
        <v>3</v>
      </c>
      <c r="DF229">
        <f t="shared" si="138"/>
        <v>8.58</v>
      </c>
      <c r="DG229">
        <f t="shared" si="122"/>
        <v>0</v>
      </c>
      <c r="DH229">
        <f t="shared" si="123"/>
        <v>0</v>
      </c>
      <c r="DI229">
        <f t="shared" si="113"/>
        <v>0</v>
      </c>
      <c r="DJ229">
        <f t="shared" si="139"/>
        <v>8.58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">
      <c r="A230">
        <f>ROW(Source!A187)</f>
        <v>187</v>
      </c>
      <c r="B230">
        <v>60256982</v>
      </c>
      <c r="C230">
        <v>60257478</v>
      </c>
      <c r="D230">
        <v>59040899</v>
      </c>
      <c r="E230">
        <v>1</v>
      </c>
      <c r="F230">
        <v>1</v>
      </c>
      <c r="G230">
        <v>1080</v>
      </c>
      <c r="H230">
        <v>3</v>
      </c>
      <c r="I230" t="s">
        <v>413</v>
      </c>
      <c r="J230" t="s">
        <v>414</v>
      </c>
      <c r="K230" t="s">
        <v>415</v>
      </c>
      <c r="L230">
        <v>1346</v>
      </c>
      <c r="N230">
        <v>1009</v>
      </c>
      <c r="O230" t="s">
        <v>314</v>
      </c>
      <c r="P230" t="s">
        <v>314</v>
      </c>
      <c r="Q230">
        <v>1</v>
      </c>
      <c r="W230">
        <v>0</v>
      </c>
      <c r="X230">
        <v>-1707271536</v>
      </c>
      <c r="Y230">
        <f t="shared" si="132"/>
        <v>0.01</v>
      </c>
      <c r="AA230">
        <v>200.81</v>
      </c>
      <c r="AB230">
        <v>0</v>
      </c>
      <c r="AC230">
        <v>0</v>
      </c>
      <c r="AD230">
        <v>0</v>
      </c>
      <c r="AE230">
        <v>15.11</v>
      </c>
      <c r="AF230">
        <v>0</v>
      </c>
      <c r="AG230">
        <v>0</v>
      </c>
      <c r="AH230">
        <v>0</v>
      </c>
      <c r="AI230">
        <v>13.29</v>
      </c>
      <c r="AJ230">
        <v>1</v>
      </c>
      <c r="AK230">
        <v>1</v>
      </c>
      <c r="AL230">
        <v>1</v>
      </c>
      <c r="AM230">
        <v>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0.01</v>
      </c>
      <c r="AU230" t="s">
        <v>3</v>
      </c>
      <c r="AV230">
        <v>0</v>
      </c>
      <c r="AW230">
        <v>2</v>
      </c>
      <c r="AX230">
        <v>60257624</v>
      </c>
      <c r="AY230">
        <v>1</v>
      </c>
      <c r="AZ230">
        <v>0</v>
      </c>
      <c r="BA230">
        <v>241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v>0</v>
      </c>
      <c r="CX230">
        <f>ROUND(Y230*Source!I187,9)</f>
        <v>0.01</v>
      </c>
      <c r="CY230">
        <f t="shared" si="133"/>
        <v>200.81</v>
      </c>
      <c r="CZ230">
        <f t="shared" si="134"/>
        <v>15.11</v>
      </c>
      <c r="DA230">
        <f t="shared" si="135"/>
        <v>13.29</v>
      </c>
      <c r="DB230">
        <f t="shared" si="136"/>
        <v>0.15</v>
      </c>
      <c r="DC230">
        <f t="shared" si="137"/>
        <v>0</v>
      </c>
      <c r="DD230" t="s">
        <v>3</v>
      </c>
      <c r="DE230" t="s">
        <v>3</v>
      </c>
      <c r="DF230">
        <f t="shared" si="138"/>
        <v>2.0099999999999998</v>
      </c>
      <c r="DG230">
        <f t="shared" si="122"/>
        <v>0</v>
      </c>
      <c r="DH230">
        <f t="shared" si="123"/>
        <v>0</v>
      </c>
      <c r="DI230">
        <f t="shared" si="113"/>
        <v>0</v>
      </c>
      <c r="DJ230">
        <f t="shared" si="139"/>
        <v>2.0099999999999998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">
      <c r="A231">
        <f>ROW(Source!A187)</f>
        <v>187</v>
      </c>
      <c r="B231">
        <v>60256982</v>
      </c>
      <c r="C231">
        <v>60257478</v>
      </c>
      <c r="D231">
        <v>59039068</v>
      </c>
      <c r="E231">
        <v>1</v>
      </c>
      <c r="F231">
        <v>1</v>
      </c>
      <c r="G231">
        <v>1080</v>
      </c>
      <c r="H231">
        <v>3</v>
      </c>
      <c r="I231" t="s">
        <v>416</v>
      </c>
      <c r="J231" t="s">
        <v>417</v>
      </c>
      <c r="K231" t="s">
        <v>418</v>
      </c>
      <c r="L231">
        <v>1346</v>
      </c>
      <c r="N231">
        <v>1009</v>
      </c>
      <c r="O231" t="s">
        <v>314</v>
      </c>
      <c r="P231" t="s">
        <v>314</v>
      </c>
      <c r="Q231">
        <v>1</v>
      </c>
      <c r="W231">
        <v>0</v>
      </c>
      <c r="X231">
        <v>2120032869</v>
      </c>
      <c r="Y231">
        <f t="shared" si="132"/>
        <v>0.01</v>
      </c>
      <c r="AA231">
        <v>387.54</v>
      </c>
      <c r="AB231">
        <v>0</v>
      </c>
      <c r="AC231">
        <v>0</v>
      </c>
      <c r="AD231">
        <v>0</v>
      </c>
      <c r="AE231">
        <v>16.690000000000001</v>
      </c>
      <c r="AF231">
        <v>0</v>
      </c>
      <c r="AG231">
        <v>0</v>
      </c>
      <c r="AH231">
        <v>0</v>
      </c>
      <c r="AI231">
        <v>23.22</v>
      </c>
      <c r="AJ231">
        <v>1</v>
      </c>
      <c r="AK231">
        <v>1</v>
      </c>
      <c r="AL231">
        <v>1</v>
      </c>
      <c r="AM231">
        <v>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0.01</v>
      </c>
      <c r="AU231" t="s">
        <v>3</v>
      </c>
      <c r="AV231">
        <v>0</v>
      </c>
      <c r="AW231">
        <v>2</v>
      </c>
      <c r="AX231">
        <v>60257625</v>
      </c>
      <c r="AY231">
        <v>1</v>
      </c>
      <c r="AZ231">
        <v>0</v>
      </c>
      <c r="BA231">
        <v>242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v>0</v>
      </c>
      <c r="CX231">
        <f>ROUND(Y231*Source!I187,9)</f>
        <v>0.01</v>
      </c>
      <c r="CY231">
        <f t="shared" si="133"/>
        <v>387.54</v>
      </c>
      <c r="CZ231">
        <f t="shared" si="134"/>
        <v>16.690000000000001</v>
      </c>
      <c r="DA231">
        <f t="shared" si="135"/>
        <v>23.22</v>
      </c>
      <c r="DB231">
        <f t="shared" si="136"/>
        <v>0.17</v>
      </c>
      <c r="DC231">
        <f t="shared" si="137"/>
        <v>0</v>
      </c>
      <c r="DD231" t="s">
        <v>3</v>
      </c>
      <c r="DE231" t="s">
        <v>3</v>
      </c>
      <c r="DF231">
        <f t="shared" si="138"/>
        <v>3.88</v>
      </c>
      <c r="DG231">
        <f t="shared" si="122"/>
        <v>0</v>
      </c>
      <c r="DH231">
        <f t="shared" si="123"/>
        <v>0</v>
      </c>
      <c r="DI231">
        <f t="shared" si="113"/>
        <v>0</v>
      </c>
      <c r="DJ231">
        <f t="shared" si="139"/>
        <v>3.88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">
      <c r="A232">
        <f>ROW(Source!A187)</f>
        <v>187</v>
      </c>
      <c r="B232">
        <v>60256982</v>
      </c>
      <c r="C232">
        <v>60257478</v>
      </c>
      <c r="D232">
        <v>59041389</v>
      </c>
      <c r="E232">
        <v>1</v>
      </c>
      <c r="F232">
        <v>1</v>
      </c>
      <c r="G232">
        <v>1080</v>
      </c>
      <c r="H232">
        <v>3</v>
      </c>
      <c r="I232" t="s">
        <v>419</v>
      </c>
      <c r="J232" t="s">
        <v>420</v>
      </c>
      <c r="K232" t="s">
        <v>421</v>
      </c>
      <c r="L232">
        <v>1348</v>
      </c>
      <c r="N232">
        <v>1009</v>
      </c>
      <c r="O232" t="s">
        <v>310</v>
      </c>
      <c r="P232" t="s">
        <v>310</v>
      </c>
      <c r="Q232">
        <v>1000</v>
      </c>
      <c r="W232">
        <v>0</v>
      </c>
      <c r="X232">
        <v>1940187695</v>
      </c>
      <c r="Y232">
        <f t="shared" si="132"/>
        <v>1E-4</v>
      </c>
      <c r="AA232">
        <v>147514.47</v>
      </c>
      <c r="AB232">
        <v>0</v>
      </c>
      <c r="AC232">
        <v>0</v>
      </c>
      <c r="AD232">
        <v>0</v>
      </c>
      <c r="AE232">
        <v>10643.18</v>
      </c>
      <c r="AF232">
        <v>0</v>
      </c>
      <c r="AG232">
        <v>0</v>
      </c>
      <c r="AH232">
        <v>0</v>
      </c>
      <c r="AI232">
        <v>13.86</v>
      </c>
      <c r="AJ232">
        <v>1</v>
      </c>
      <c r="AK232">
        <v>1</v>
      </c>
      <c r="AL232">
        <v>1</v>
      </c>
      <c r="AM232">
        <v>2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1E-4</v>
      </c>
      <c r="AU232" t="s">
        <v>3</v>
      </c>
      <c r="AV232">
        <v>0</v>
      </c>
      <c r="AW232">
        <v>2</v>
      </c>
      <c r="AX232">
        <v>60257626</v>
      </c>
      <c r="AY232">
        <v>1</v>
      </c>
      <c r="AZ232">
        <v>0</v>
      </c>
      <c r="BA232">
        <v>243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v>0</v>
      </c>
      <c r="CX232">
        <f>ROUND(Y232*Source!I187,9)</f>
        <v>1E-4</v>
      </c>
      <c r="CY232">
        <f t="shared" si="133"/>
        <v>147514.47</v>
      </c>
      <c r="CZ232">
        <f t="shared" si="134"/>
        <v>10643.18</v>
      </c>
      <c r="DA232">
        <f t="shared" si="135"/>
        <v>13.86</v>
      </c>
      <c r="DB232">
        <f t="shared" si="136"/>
        <v>1.06</v>
      </c>
      <c r="DC232">
        <f t="shared" si="137"/>
        <v>0</v>
      </c>
      <c r="DD232" t="s">
        <v>3</v>
      </c>
      <c r="DE232" t="s">
        <v>3</v>
      </c>
      <c r="DF232">
        <f t="shared" si="138"/>
        <v>14.75</v>
      </c>
      <c r="DG232">
        <f t="shared" si="122"/>
        <v>0</v>
      </c>
      <c r="DH232">
        <f t="shared" si="123"/>
        <v>0</v>
      </c>
      <c r="DI232">
        <f t="shared" si="113"/>
        <v>0</v>
      </c>
      <c r="DJ232">
        <f t="shared" si="139"/>
        <v>14.75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">
      <c r="A233">
        <f>ROW(Source!A187)</f>
        <v>187</v>
      </c>
      <c r="B233">
        <v>60256982</v>
      </c>
      <c r="C233">
        <v>60257478</v>
      </c>
      <c r="D233">
        <v>59045670</v>
      </c>
      <c r="E233">
        <v>1</v>
      </c>
      <c r="F233">
        <v>1</v>
      </c>
      <c r="G233">
        <v>1080</v>
      </c>
      <c r="H233">
        <v>3</v>
      </c>
      <c r="I233" t="s">
        <v>422</v>
      </c>
      <c r="J233" t="s">
        <v>423</v>
      </c>
      <c r="K233" t="s">
        <v>424</v>
      </c>
      <c r="L233">
        <v>1355</v>
      </c>
      <c r="N233">
        <v>1010</v>
      </c>
      <c r="O233" t="s">
        <v>63</v>
      </c>
      <c r="P233" t="s">
        <v>63</v>
      </c>
      <c r="Q233">
        <v>100</v>
      </c>
      <c r="W233">
        <v>0</v>
      </c>
      <c r="X233">
        <v>-1616851610</v>
      </c>
      <c r="Y233">
        <f t="shared" si="132"/>
        <v>0.01</v>
      </c>
      <c r="AA233">
        <v>1542.04</v>
      </c>
      <c r="AB233">
        <v>0</v>
      </c>
      <c r="AC233">
        <v>0</v>
      </c>
      <c r="AD233">
        <v>0</v>
      </c>
      <c r="AE233">
        <v>120.19</v>
      </c>
      <c r="AF233">
        <v>0</v>
      </c>
      <c r="AG233">
        <v>0</v>
      </c>
      <c r="AH233">
        <v>0</v>
      </c>
      <c r="AI233">
        <v>12.83</v>
      </c>
      <c r="AJ233">
        <v>1</v>
      </c>
      <c r="AK233">
        <v>1</v>
      </c>
      <c r="AL233">
        <v>1</v>
      </c>
      <c r="AM233">
        <v>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0.01</v>
      </c>
      <c r="AU233" t="s">
        <v>3</v>
      </c>
      <c r="AV233">
        <v>0</v>
      </c>
      <c r="AW233">
        <v>2</v>
      </c>
      <c r="AX233">
        <v>60257627</v>
      </c>
      <c r="AY233">
        <v>1</v>
      </c>
      <c r="AZ233">
        <v>0</v>
      </c>
      <c r="BA233">
        <v>244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v>0</v>
      </c>
      <c r="CX233">
        <f>ROUND(Y233*Source!I187,9)</f>
        <v>0.01</v>
      </c>
      <c r="CY233">
        <f t="shared" si="133"/>
        <v>1542.04</v>
      </c>
      <c r="CZ233">
        <f t="shared" si="134"/>
        <v>120.19</v>
      </c>
      <c r="DA233">
        <f t="shared" si="135"/>
        <v>12.83</v>
      </c>
      <c r="DB233">
        <f t="shared" si="136"/>
        <v>1.2</v>
      </c>
      <c r="DC233">
        <f t="shared" si="137"/>
        <v>0</v>
      </c>
      <c r="DD233" t="s">
        <v>3</v>
      </c>
      <c r="DE233" t="s">
        <v>3</v>
      </c>
      <c r="DF233">
        <f t="shared" si="138"/>
        <v>15.42</v>
      </c>
      <c r="DG233">
        <f t="shared" si="122"/>
        <v>0</v>
      </c>
      <c r="DH233">
        <f t="shared" si="123"/>
        <v>0</v>
      </c>
      <c r="DI233">
        <f t="shared" si="113"/>
        <v>0</v>
      </c>
      <c r="DJ233">
        <f t="shared" si="139"/>
        <v>15.42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">
      <c r="A234">
        <f>ROW(Source!A187)</f>
        <v>187</v>
      </c>
      <c r="B234">
        <v>60256982</v>
      </c>
      <c r="C234">
        <v>60257478</v>
      </c>
      <c r="D234">
        <v>59039462</v>
      </c>
      <c r="E234">
        <v>1</v>
      </c>
      <c r="F234">
        <v>1</v>
      </c>
      <c r="G234">
        <v>1080</v>
      </c>
      <c r="H234">
        <v>3</v>
      </c>
      <c r="I234" t="s">
        <v>425</v>
      </c>
      <c r="J234" t="s">
        <v>426</v>
      </c>
      <c r="K234" t="s">
        <v>427</v>
      </c>
      <c r="L234">
        <v>1348</v>
      </c>
      <c r="N234">
        <v>1009</v>
      </c>
      <c r="O234" t="s">
        <v>310</v>
      </c>
      <c r="P234" t="s">
        <v>310</v>
      </c>
      <c r="Q234">
        <v>1000</v>
      </c>
      <c r="W234">
        <v>0</v>
      </c>
      <c r="X234">
        <v>-1945031955</v>
      </c>
      <c r="Y234">
        <f t="shared" si="132"/>
        <v>2.0000000000000002E-5</v>
      </c>
      <c r="AA234">
        <v>1930103.81</v>
      </c>
      <c r="AB234">
        <v>0</v>
      </c>
      <c r="AC234">
        <v>0</v>
      </c>
      <c r="AD234">
        <v>0</v>
      </c>
      <c r="AE234">
        <v>64123.05</v>
      </c>
      <c r="AF234">
        <v>0</v>
      </c>
      <c r="AG234">
        <v>0</v>
      </c>
      <c r="AH234">
        <v>0</v>
      </c>
      <c r="AI234">
        <v>30.1</v>
      </c>
      <c r="AJ234">
        <v>1</v>
      </c>
      <c r="AK234">
        <v>1</v>
      </c>
      <c r="AL234">
        <v>1</v>
      </c>
      <c r="AM234">
        <v>2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2.0000000000000002E-5</v>
      </c>
      <c r="AU234" t="s">
        <v>3</v>
      </c>
      <c r="AV234">
        <v>0</v>
      </c>
      <c r="AW234">
        <v>2</v>
      </c>
      <c r="AX234">
        <v>60257628</v>
      </c>
      <c r="AY234">
        <v>1</v>
      </c>
      <c r="AZ234">
        <v>0</v>
      </c>
      <c r="BA234">
        <v>245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v>0</v>
      </c>
      <c r="CX234">
        <f>ROUND(Y234*Source!I187,9)</f>
        <v>2.0000000000000002E-5</v>
      </c>
      <c r="CY234">
        <f t="shared" si="133"/>
        <v>1930103.81</v>
      </c>
      <c r="CZ234">
        <f t="shared" si="134"/>
        <v>64123.05</v>
      </c>
      <c r="DA234">
        <f t="shared" si="135"/>
        <v>30.1</v>
      </c>
      <c r="DB234">
        <f t="shared" si="136"/>
        <v>1.28</v>
      </c>
      <c r="DC234">
        <f t="shared" si="137"/>
        <v>0</v>
      </c>
      <c r="DD234" t="s">
        <v>3</v>
      </c>
      <c r="DE234" t="s">
        <v>3</v>
      </c>
      <c r="DF234">
        <f t="shared" si="138"/>
        <v>38.6</v>
      </c>
      <c r="DG234">
        <f t="shared" ref="DG234:DG240" si="140">ROUND(ROUND(AF234,2)*CX234,2)</f>
        <v>0</v>
      </c>
      <c r="DH234">
        <f t="shared" ref="DH234:DH240" si="141">ROUND(ROUND(AG234,2)*CX234,2)</f>
        <v>0</v>
      </c>
      <c r="DI234">
        <f t="shared" si="113"/>
        <v>0</v>
      </c>
      <c r="DJ234">
        <f t="shared" si="139"/>
        <v>38.6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">
      <c r="A235">
        <f>ROW(Source!A187)</f>
        <v>187</v>
      </c>
      <c r="B235">
        <v>60256982</v>
      </c>
      <c r="C235">
        <v>60257478</v>
      </c>
      <c r="D235">
        <v>59039479</v>
      </c>
      <c r="E235">
        <v>1</v>
      </c>
      <c r="F235">
        <v>1</v>
      </c>
      <c r="G235">
        <v>1080</v>
      </c>
      <c r="H235">
        <v>3</v>
      </c>
      <c r="I235" t="s">
        <v>428</v>
      </c>
      <c r="J235" t="s">
        <v>429</v>
      </c>
      <c r="K235" t="s">
        <v>430</v>
      </c>
      <c r="L235">
        <v>1348</v>
      </c>
      <c r="N235">
        <v>1009</v>
      </c>
      <c r="O235" t="s">
        <v>310</v>
      </c>
      <c r="P235" t="s">
        <v>310</v>
      </c>
      <c r="Q235">
        <v>1000</v>
      </c>
      <c r="W235">
        <v>0</v>
      </c>
      <c r="X235">
        <v>-1532056584</v>
      </c>
      <c r="Y235">
        <f t="shared" si="132"/>
        <v>1E-4</v>
      </c>
      <c r="AA235">
        <v>73258.37</v>
      </c>
      <c r="AB235">
        <v>0</v>
      </c>
      <c r="AC235">
        <v>0</v>
      </c>
      <c r="AD235">
        <v>0</v>
      </c>
      <c r="AE235">
        <v>9238.1299999999992</v>
      </c>
      <c r="AF235">
        <v>0</v>
      </c>
      <c r="AG235">
        <v>0</v>
      </c>
      <c r="AH235">
        <v>0</v>
      </c>
      <c r="AI235">
        <v>7.93</v>
      </c>
      <c r="AJ235">
        <v>1</v>
      </c>
      <c r="AK235">
        <v>1</v>
      </c>
      <c r="AL235">
        <v>1</v>
      </c>
      <c r="AM235">
        <v>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1E-4</v>
      </c>
      <c r="AU235" t="s">
        <v>3</v>
      </c>
      <c r="AV235">
        <v>0</v>
      </c>
      <c r="AW235">
        <v>2</v>
      </c>
      <c r="AX235">
        <v>60257629</v>
      </c>
      <c r="AY235">
        <v>1</v>
      </c>
      <c r="AZ235">
        <v>0</v>
      </c>
      <c r="BA235">
        <v>246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v>0</v>
      </c>
      <c r="CX235">
        <f>ROUND(Y235*Source!I187,9)</f>
        <v>1E-4</v>
      </c>
      <c r="CY235">
        <f t="shared" si="133"/>
        <v>73258.37</v>
      </c>
      <c r="CZ235">
        <f t="shared" si="134"/>
        <v>9238.1299999999992</v>
      </c>
      <c r="DA235">
        <f t="shared" si="135"/>
        <v>7.93</v>
      </c>
      <c r="DB235">
        <f t="shared" si="136"/>
        <v>0.92</v>
      </c>
      <c r="DC235">
        <f t="shared" si="137"/>
        <v>0</v>
      </c>
      <c r="DD235" t="s">
        <v>3</v>
      </c>
      <c r="DE235" t="s">
        <v>3</v>
      </c>
      <c r="DF235">
        <f t="shared" si="138"/>
        <v>7.33</v>
      </c>
      <c r="DG235">
        <f t="shared" si="140"/>
        <v>0</v>
      </c>
      <c r="DH235">
        <f t="shared" si="141"/>
        <v>0</v>
      </c>
      <c r="DI235">
        <f t="shared" si="113"/>
        <v>0</v>
      </c>
      <c r="DJ235">
        <f t="shared" si="139"/>
        <v>7.33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">
      <c r="A236">
        <f>ROW(Source!A187)</f>
        <v>187</v>
      </c>
      <c r="B236">
        <v>60256982</v>
      </c>
      <c r="C236">
        <v>60257478</v>
      </c>
      <c r="D236">
        <v>59062697</v>
      </c>
      <c r="E236">
        <v>1</v>
      </c>
      <c r="F236">
        <v>1</v>
      </c>
      <c r="G236">
        <v>1080</v>
      </c>
      <c r="H236">
        <v>3</v>
      </c>
      <c r="I236" t="s">
        <v>431</v>
      </c>
      <c r="J236" t="s">
        <v>432</v>
      </c>
      <c r="K236" t="s">
        <v>433</v>
      </c>
      <c r="L236">
        <v>1301</v>
      </c>
      <c r="N236">
        <v>1003</v>
      </c>
      <c r="O236" t="s">
        <v>139</v>
      </c>
      <c r="P236" t="s">
        <v>139</v>
      </c>
      <c r="Q236">
        <v>1</v>
      </c>
      <c r="W236">
        <v>0</v>
      </c>
      <c r="X236">
        <v>-1624118800</v>
      </c>
      <c r="Y236">
        <f t="shared" si="132"/>
        <v>1</v>
      </c>
      <c r="AA236">
        <v>4.54</v>
      </c>
      <c r="AB236">
        <v>0</v>
      </c>
      <c r="AC236">
        <v>0</v>
      </c>
      <c r="AD236">
        <v>0</v>
      </c>
      <c r="AE236">
        <v>0.69</v>
      </c>
      <c r="AF236">
        <v>0</v>
      </c>
      <c r="AG236">
        <v>0</v>
      </c>
      <c r="AH236">
        <v>0</v>
      </c>
      <c r="AI236">
        <v>6.58</v>
      </c>
      <c r="AJ236">
        <v>1</v>
      </c>
      <c r="AK236">
        <v>1</v>
      </c>
      <c r="AL236">
        <v>1</v>
      </c>
      <c r="AM236">
        <v>2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1</v>
      </c>
      <c r="AU236" t="s">
        <v>3</v>
      </c>
      <c r="AV236">
        <v>0</v>
      </c>
      <c r="AW236">
        <v>2</v>
      </c>
      <c r="AX236">
        <v>60257630</v>
      </c>
      <c r="AY236">
        <v>1</v>
      </c>
      <c r="AZ236">
        <v>0</v>
      </c>
      <c r="BA236">
        <v>247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v>0</v>
      </c>
      <c r="CX236">
        <f>ROUND(Y236*Source!I187,9)</f>
        <v>1</v>
      </c>
      <c r="CY236">
        <f t="shared" si="133"/>
        <v>4.54</v>
      </c>
      <c r="CZ236">
        <f t="shared" si="134"/>
        <v>0.69</v>
      </c>
      <c r="DA236">
        <f t="shared" si="135"/>
        <v>6.58</v>
      </c>
      <c r="DB236">
        <f t="shared" si="136"/>
        <v>0.69</v>
      </c>
      <c r="DC236">
        <f t="shared" si="137"/>
        <v>0</v>
      </c>
      <c r="DD236" t="s">
        <v>3</v>
      </c>
      <c r="DE236" t="s">
        <v>3</v>
      </c>
      <c r="DF236">
        <f t="shared" si="138"/>
        <v>4.54</v>
      </c>
      <c r="DG236">
        <f t="shared" si="140"/>
        <v>0</v>
      </c>
      <c r="DH236">
        <f t="shared" si="141"/>
        <v>0</v>
      </c>
      <c r="DI236">
        <f t="shared" si="113"/>
        <v>0</v>
      </c>
      <c r="DJ236">
        <f t="shared" si="139"/>
        <v>4.54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">
      <c r="A237">
        <f>ROW(Source!A187)</f>
        <v>187</v>
      </c>
      <c r="B237">
        <v>60256982</v>
      </c>
      <c r="C237">
        <v>60257478</v>
      </c>
      <c r="D237">
        <v>59062976</v>
      </c>
      <c r="E237">
        <v>1</v>
      </c>
      <c r="F237">
        <v>1</v>
      </c>
      <c r="G237">
        <v>1080</v>
      </c>
      <c r="H237">
        <v>3</v>
      </c>
      <c r="I237" t="s">
        <v>434</v>
      </c>
      <c r="J237" t="s">
        <v>435</v>
      </c>
      <c r="K237" t="s">
        <v>436</v>
      </c>
      <c r="L237">
        <v>1356</v>
      </c>
      <c r="N237">
        <v>1010</v>
      </c>
      <c r="O237" t="s">
        <v>74</v>
      </c>
      <c r="P237" t="s">
        <v>74</v>
      </c>
      <c r="Q237">
        <v>1000</v>
      </c>
      <c r="W237">
        <v>0</v>
      </c>
      <c r="X237">
        <v>-1808005655</v>
      </c>
      <c r="Y237">
        <f t="shared" si="132"/>
        <v>0.01</v>
      </c>
      <c r="AA237">
        <v>1141.22</v>
      </c>
      <c r="AB237">
        <v>0</v>
      </c>
      <c r="AC237">
        <v>0</v>
      </c>
      <c r="AD237">
        <v>0</v>
      </c>
      <c r="AE237">
        <v>294.89</v>
      </c>
      <c r="AF237">
        <v>0</v>
      </c>
      <c r="AG237">
        <v>0</v>
      </c>
      <c r="AH237">
        <v>0</v>
      </c>
      <c r="AI237">
        <v>3.87</v>
      </c>
      <c r="AJ237">
        <v>1</v>
      </c>
      <c r="AK237">
        <v>1</v>
      </c>
      <c r="AL237">
        <v>1</v>
      </c>
      <c r="AM237">
        <v>2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0.01</v>
      </c>
      <c r="AU237" t="s">
        <v>3</v>
      </c>
      <c r="AV237">
        <v>0</v>
      </c>
      <c r="AW237">
        <v>2</v>
      </c>
      <c r="AX237">
        <v>60257631</v>
      </c>
      <c r="AY237">
        <v>1</v>
      </c>
      <c r="AZ237">
        <v>0</v>
      </c>
      <c r="BA237">
        <v>248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v>0</v>
      </c>
      <c r="CX237">
        <f>ROUND(Y237*Source!I187,9)</f>
        <v>0.01</v>
      </c>
      <c r="CY237">
        <f t="shared" si="133"/>
        <v>1141.22</v>
      </c>
      <c r="CZ237">
        <f t="shared" si="134"/>
        <v>294.89</v>
      </c>
      <c r="DA237">
        <f t="shared" si="135"/>
        <v>3.87</v>
      </c>
      <c r="DB237">
        <f t="shared" si="136"/>
        <v>2.95</v>
      </c>
      <c r="DC237">
        <f t="shared" si="137"/>
        <v>0</v>
      </c>
      <c r="DD237" t="s">
        <v>3</v>
      </c>
      <c r="DE237" t="s">
        <v>3</v>
      </c>
      <c r="DF237">
        <f t="shared" si="138"/>
        <v>11.41</v>
      </c>
      <c r="DG237">
        <f t="shared" si="140"/>
        <v>0</v>
      </c>
      <c r="DH237">
        <f t="shared" si="141"/>
        <v>0</v>
      </c>
      <c r="DI237">
        <f t="shared" si="113"/>
        <v>0</v>
      </c>
      <c r="DJ237">
        <f t="shared" si="139"/>
        <v>11.41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">
      <c r="A238">
        <f>ROW(Source!A187)</f>
        <v>187</v>
      </c>
      <c r="B238">
        <v>60256982</v>
      </c>
      <c r="C238">
        <v>60257478</v>
      </c>
      <c r="D238">
        <v>59062049</v>
      </c>
      <c r="E238">
        <v>1</v>
      </c>
      <c r="F238">
        <v>1</v>
      </c>
      <c r="G238">
        <v>1080</v>
      </c>
      <c r="H238">
        <v>3</v>
      </c>
      <c r="I238" t="s">
        <v>437</v>
      </c>
      <c r="J238" t="s">
        <v>438</v>
      </c>
      <c r="K238" t="s">
        <v>439</v>
      </c>
      <c r="L238">
        <v>1354</v>
      </c>
      <c r="N238">
        <v>1010</v>
      </c>
      <c r="O238" t="s">
        <v>31</v>
      </c>
      <c r="P238" t="s">
        <v>31</v>
      </c>
      <c r="Q238">
        <v>1</v>
      </c>
      <c r="W238">
        <v>0</v>
      </c>
      <c r="X238">
        <v>1729520002</v>
      </c>
      <c r="Y238">
        <f t="shared" si="132"/>
        <v>1</v>
      </c>
      <c r="AA238">
        <v>10.029999999999999</v>
      </c>
      <c r="AB238">
        <v>0</v>
      </c>
      <c r="AC238">
        <v>0</v>
      </c>
      <c r="AD238">
        <v>0</v>
      </c>
      <c r="AE238">
        <v>15.67</v>
      </c>
      <c r="AF238">
        <v>0</v>
      </c>
      <c r="AG238">
        <v>0</v>
      </c>
      <c r="AH238">
        <v>0</v>
      </c>
      <c r="AI238">
        <v>0.64</v>
      </c>
      <c r="AJ238">
        <v>1</v>
      </c>
      <c r="AK238">
        <v>1</v>
      </c>
      <c r="AL238">
        <v>1</v>
      </c>
      <c r="AM238">
        <v>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1</v>
      </c>
      <c r="AU238" t="s">
        <v>3</v>
      </c>
      <c r="AV238">
        <v>0</v>
      </c>
      <c r="AW238">
        <v>2</v>
      </c>
      <c r="AX238">
        <v>60257632</v>
      </c>
      <c r="AY238">
        <v>1</v>
      </c>
      <c r="AZ238">
        <v>0</v>
      </c>
      <c r="BA238">
        <v>249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v>0</v>
      </c>
      <c r="CX238">
        <f>ROUND(Y238*Source!I187,9)</f>
        <v>1</v>
      </c>
      <c r="CY238">
        <f t="shared" si="133"/>
        <v>10.029999999999999</v>
      </c>
      <c r="CZ238">
        <f t="shared" si="134"/>
        <v>15.67</v>
      </c>
      <c r="DA238">
        <f t="shared" si="135"/>
        <v>0.64</v>
      </c>
      <c r="DB238">
        <f t="shared" si="136"/>
        <v>15.67</v>
      </c>
      <c r="DC238">
        <f t="shared" si="137"/>
        <v>0</v>
      </c>
      <c r="DD238" t="s">
        <v>3</v>
      </c>
      <c r="DE238" t="s">
        <v>3</v>
      </c>
      <c r="DF238">
        <f t="shared" si="138"/>
        <v>10.029999999999999</v>
      </c>
      <c r="DG238">
        <f t="shared" si="140"/>
        <v>0</v>
      </c>
      <c r="DH238">
        <f t="shared" si="141"/>
        <v>0</v>
      </c>
      <c r="DI238">
        <f t="shared" si="113"/>
        <v>0</v>
      </c>
      <c r="DJ238">
        <f t="shared" si="139"/>
        <v>10.029999999999999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">
      <c r="A239">
        <f>ROW(Source!A187)</f>
        <v>187</v>
      </c>
      <c r="B239">
        <v>60256982</v>
      </c>
      <c r="C239">
        <v>60257478</v>
      </c>
      <c r="D239">
        <v>59004256</v>
      </c>
      <c r="E239">
        <v>1080</v>
      </c>
      <c r="F239">
        <v>1</v>
      </c>
      <c r="G239">
        <v>1080</v>
      </c>
      <c r="H239">
        <v>3</v>
      </c>
      <c r="I239" t="s">
        <v>347</v>
      </c>
      <c r="J239" t="s">
        <v>3</v>
      </c>
      <c r="K239" t="s">
        <v>348</v>
      </c>
      <c r="L239">
        <v>1348</v>
      </c>
      <c r="N239">
        <v>1009</v>
      </c>
      <c r="O239" t="s">
        <v>310</v>
      </c>
      <c r="P239" t="s">
        <v>310</v>
      </c>
      <c r="Q239">
        <v>1000</v>
      </c>
      <c r="W239">
        <v>0</v>
      </c>
      <c r="X239">
        <v>-783086922</v>
      </c>
      <c r="Y239">
        <f t="shared" si="132"/>
        <v>1E-3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9.8800000000000008</v>
      </c>
      <c r="AJ239">
        <v>1</v>
      </c>
      <c r="AK239">
        <v>1</v>
      </c>
      <c r="AL239">
        <v>1</v>
      </c>
      <c r="AM239">
        <v>5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1E-3</v>
      </c>
      <c r="AU239" t="s">
        <v>3</v>
      </c>
      <c r="AV239">
        <v>0</v>
      </c>
      <c r="AW239">
        <v>2</v>
      </c>
      <c r="AX239">
        <v>60257635</v>
      </c>
      <c r="AY239">
        <v>1</v>
      </c>
      <c r="AZ239">
        <v>0</v>
      </c>
      <c r="BA239">
        <v>252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v>0</v>
      </c>
      <c r="CX239">
        <f>ROUND(Y239*Source!I187,9)</f>
        <v>1E-3</v>
      </c>
      <c r="CY239">
        <f t="shared" si="133"/>
        <v>0</v>
      </c>
      <c r="CZ239">
        <f t="shared" si="134"/>
        <v>0</v>
      </c>
      <c r="DA239">
        <f t="shared" si="135"/>
        <v>9.8800000000000008</v>
      </c>
      <c r="DB239">
        <f t="shared" si="136"/>
        <v>0</v>
      </c>
      <c r="DC239">
        <f t="shared" si="137"/>
        <v>0</v>
      </c>
      <c r="DD239" t="s">
        <v>3</v>
      </c>
      <c r="DE239" t="s">
        <v>3</v>
      </c>
      <c r="DF239">
        <f t="shared" si="138"/>
        <v>0</v>
      </c>
      <c r="DG239">
        <f t="shared" si="140"/>
        <v>0</v>
      </c>
      <c r="DH239">
        <f t="shared" si="141"/>
        <v>0</v>
      </c>
      <c r="DI239">
        <f t="shared" si="113"/>
        <v>0</v>
      </c>
      <c r="DJ239">
        <f t="shared" si="139"/>
        <v>0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">
      <c r="A240">
        <f>ROW(Source!A187)</f>
        <v>187</v>
      </c>
      <c r="B240">
        <v>60256982</v>
      </c>
      <c r="C240">
        <v>60257478</v>
      </c>
      <c r="D240">
        <v>0</v>
      </c>
      <c r="E240">
        <v>1080</v>
      </c>
      <c r="F240">
        <v>1</v>
      </c>
      <c r="G240">
        <v>1080</v>
      </c>
      <c r="H240">
        <v>3</v>
      </c>
      <c r="I240" t="s">
        <v>272</v>
      </c>
      <c r="J240" t="s">
        <v>3</v>
      </c>
      <c r="K240" t="s">
        <v>273</v>
      </c>
      <c r="L240">
        <v>1371</v>
      </c>
      <c r="N240">
        <v>1013</v>
      </c>
      <c r="O240" t="s">
        <v>206</v>
      </c>
      <c r="P240" t="s">
        <v>206</v>
      </c>
      <c r="Q240">
        <v>1</v>
      </c>
      <c r="W240">
        <v>0</v>
      </c>
      <c r="X240">
        <v>300816588</v>
      </c>
      <c r="Y240">
        <f t="shared" si="132"/>
        <v>1</v>
      </c>
      <c r="AA240">
        <v>4430.01</v>
      </c>
      <c r="AB240">
        <v>0</v>
      </c>
      <c r="AC240">
        <v>0</v>
      </c>
      <c r="AD240">
        <v>0</v>
      </c>
      <c r="AE240">
        <v>578.33000000000004</v>
      </c>
      <c r="AF240">
        <v>0</v>
      </c>
      <c r="AG240">
        <v>0</v>
      </c>
      <c r="AH240">
        <v>0</v>
      </c>
      <c r="AI240">
        <v>7.66</v>
      </c>
      <c r="AJ240">
        <v>1</v>
      </c>
      <c r="AK240">
        <v>1</v>
      </c>
      <c r="AL240">
        <v>1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 t="s">
        <v>3</v>
      </c>
      <c r="AT240">
        <v>1</v>
      </c>
      <c r="AU240" t="s">
        <v>3</v>
      </c>
      <c r="AV240">
        <v>0</v>
      </c>
      <c r="AW240">
        <v>1</v>
      </c>
      <c r="AX240">
        <v>-1</v>
      </c>
      <c r="AY240">
        <v>0</v>
      </c>
      <c r="AZ240">
        <v>0</v>
      </c>
      <c r="BA240" t="s">
        <v>3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v>0</v>
      </c>
      <c r="CX240">
        <f>ROUND(Y240*Source!I187,9)</f>
        <v>1</v>
      </c>
      <c r="CY240">
        <f t="shared" si="133"/>
        <v>4430.01</v>
      </c>
      <c r="CZ240">
        <f t="shared" si="134"/>
        <v>578.33000000000004</v>
      </c>
      <c r="DA240">
        <f t="shared" si="135"/>
        <v>7.66</v>
      </c>
      <c r="DB240">
        <f t="shared" si="136"/>
        <v>578.33000000000004</v>
      </c>
      <c r="DC240">
        <f t="shared" si="137"/>
        <v>0</v>
      </c>
      <c r="DD240" t="s">
        <v>3</v>
      </c>
      <c r="DE240" t="s">
        <v>3</v>
      </c>
      <c r="DF240">
        <f t="shared" si="138"/>
        <v>4430.01</v>
      </c>
      <c r="DG240">
        <f t="shared" si="140"/>
        <v>0</v>
      </c>
      <c r="DH240">
        <f t="shared" si="141"/>
        <v>0</v>
      </c>
      <c r="DI240">
        <f t="shared" si="113"/>
        <v>0</v>
      </c>
      <c r="DJ240">
        <f t="shared" si="139"/>
        <v>4430.01</v>
      </c>
      <c r="DK240">
        <v>0</v>
      </c>
      <c r="DL240" t="s">
        <v>3</v>
      </c>
      <c r="DM240">
        <v>0</v>
      </c>
      <c r="DN240" t="s">
        <v>3</v>
      </c>
      <c r="DO24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60257513</v>
      </c>
      <c r="C1">
        <v>60257099</v>
      </c>
      <c r="D1">
        <v>58999254</v>
      </c>
      <c r="E1">
        <v>1080</v>
      </c>
      <c r="F1">
        <v>1</v>
      </c>
      <c r="G1">
        <v>1080</v>
      </c>
      <c r="H1">
        <v>1</v>
      </c>
      <c r="I1" t="s">
        <v>293</v>
      </c>
      <c r="J1" t="s">
        <v>3</v>
      </c>
      <c r="K1" t="s">
        <v>294</v>
      </c>
      <c r="L1">
        <v>1191</v>
      </c>
      <c r="N1">
        <v>1013</v>
      </c>
      <c r="O1" t="s">
        <v>295</v>
      </c>
      <c r="P1" t="s">
        <v>295</v>
      </c>
      <c r="Q1">
        <v>1</v>
      </c>
      <c r="X1">
        <v>5.15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23</v>
      </c>
      <c r="AG1">
        <v>5.6650000000000009</v>
      </c>
      <c r="AH1">
        <v>2</v>
      </c>
      <c r="AI1">
        <v>60257100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60257514</v>
      </c>
      <c r="C2">
        <v>60257099</v>
      </c>
      <c r="D2">
        <v>59070370</v>
      </c>
      <c r="E2">
        <v>1</v>
      </c>
      <c r="F2">
        <v>1</v>
      </c>
      <c r="G2">
        <v>1080</v>
      </c>
      <c r="H2">
        <v>2</v>
      </c>
      <c r="I2" t="s">
        <v>296</v>
      </c>
      <c r="J2" t="s">
        <v>297</v>
      </c>
      <c r="K2" t="s">
        <v>298</v>
      </c>
      <c r="L2">
        <v>1368</v>
      </c>
      <c r="N2">
        <v>1011</v>
      </c>
      <c r="O2" t="s">
        <v>299</v>
      </c>
      <c r="P2" t="s">
        <v>299</v>
      </c>
      <c r="Q2">
        <v>1</v>
      </c>
      <c r="X2">
        <v>0.2</v>
      </c>
      <c r="Y2">
        <v>0</v>
      </c>
      <c r="Z2">
        <v>7.11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23</v>
      </c>
      <c r="AG2">
        <v>0.22000000000000003</v>
      </c>
      <c r="AH2">
        <v>2</v>
      </c>
      <c r="AI2">
        <v>60257101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ROW(Source!A28)</f>
        <v>28</v>
      </c>
      <c r="B3">
        <v>60257515</v>
      </c>
      <c r="C3">
        <v>60257099</v>
      </c>
      <c r="D3">
        <v>59070669</v>
      </c>
      <c r="E3">
        <v>1</v>
      </c>
      <c r="F3">
        <v>1</v>
      </c>
      <c r="G3">
        <v>1080</v>
      </c>
      <c r="H3">
        <v>2</v>
      </c>
      <c r="I3" t="s">
        <v>300</v>
      </c>
      <c r="J3" t="s">
        <v>301</v>
      </c>
      <c r="K3" t="s">
        <v>302</v>
      </c>
      <c r="L3">
        <v>1368</v>
      </c>
      <c r="N3">
        <v>1011</v>
      </c>
      <c r="O3" t="s">
        <v>299</v>
      </c>
      <c r="P3" t="s">
        <v>299</v>
      </c>
      <c r="Q3">
        <v>1</v>
      </c>
      <c r="X3">
        <v>0.03</v>
      </c>
      <c r="Y3">
        <v>0</v>
      </c>
      <c r="Z3">
        <v>83.1</v>
      </c>
      <c r="AA3">
        <v>12.62</v>
      </c>
      <c r="AB3">
        <v>0</v>
      </c>
      <c r="AC3">
        <v>0</v>
      </c>
      <c r="AD3">
        <v>1</v>
      </c>
      <c r="AE3">
        <v>0</v>
      </c>
      <c r="AF3" t="s">
        <v>23</v>
      </c>
      <c r="AG3">
        <v>3.3000000000000002E-2</v>
      </c>
      <c r="AH3">
        <v>2</v>
      </c>
      <c r="AI3">
        <v>60257102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ROW(Source!A28)</f>
        <v>28</v>
      </c>
      <c r="B4">
        <v>60257516</v>
      </c>
      <c r="C4">
        <v>60257099</v>
      </c>
      <c r="D4">
        <v>59070743</v>
      </c>
      <c r="E4">
        <v>1</v>
      </c>
      <c r="F4">
        <v>1</v>
      </c>
      <c r="G4">
        <v>1080</v>
      </c>
      <c r="H4">
        <v>2</v>
      </c>
      <c r="I4" t="s">
        <v>304</v>
      </c>
      <c r="J4" t="s">
        <v>305</v>
      </c>
      <c r="K4" t="s">
        <v>306</v>
      </c>
      <c r="L4">
        <v>1368</v>
      </c>
      <c r="N4">
        <v>1011</v>
      </c>
      <c r="O4" t="s">
        <v>299</v>
      </c>
      <c r="P4" t="s">
        <v>299</v>
      </c>
      <c r="Q4">
        <v>1</v>
      </c>
      <c r="X4">
        <v>0.46</v>
      </c>
      <c r="Y4">
        <v>0</v>
      </c>
      <c r="Z4">
        <v>0.78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23</v>
      </c>
      <c r="AG4">
        <v>0.50600000000000012</v>
      </c>
      <c r="AH4">
        <v>2</v>
      </c>
      <c r="AI4">
        <v>60257103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ROW(Source!A28)</f>
        <v>28</v>
      </c>
      <c r="B5">
        <v>60257517</v>
      </c>
      <c r="C5">
        <v>60257099</v>
      </c>
      <c r="D5">
        <v>59039969</v>
      </c>
      <c r="E5">
        <v>1</v>
      </c>
      <c r="F5">
        <v>1</v>
      </c>
      <c r="G5">
        <v>1080</v>
      </c>
      <c r="H5">
        <v>3</v>
      </c>
      <c r="I5" t="s">
        <v>307</v>
      </c>
      <c r="J5" t="s">
        <v>308</v>
      </c>
      <c r="K5" t="s">
        <v>309</v>
      </c>
      <c r="L5">
        <v>1348</v>
      </c>
      <c r="N5">
        <v>1009</v>
      </c>
      <c r="O5" t="s">
        <v>310</v>
      </c>
      <c r="P5" t="s">
        <v>310</v>
      </c>
      <c r="Q5">
        <v>1000</v>
      </c>
      <c r="X5">
        <v>1.21E-4</v>
      </c>
      <c r="Y5">
        <v>7185.82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3</v>
      </c>
      <c r="AG5">
        <v>1.21E-4</v>
      </c>
      <c r="AH5">
        <v>2</v>
      </c>
      <c r="AI5">
        <v>60257104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ROW(Source!A28)</f>
        <v>28</v>
      </c>
      <c r="B6">
        <v>60257518</v>
      </c>
      <c r="C6">
        <v>60257099</v>
      </c>
      <c r="D6">
        <v>59039978</v>
      </c>
      <c r="E6">
        <v>1</v>
      </c>
      <c r="F6">
        <v>1</v>
      </c>
      <c r="G6">
        <v>1080</v>
      </c>
      <c r="H6">
        <v>3</v>
      </c>
      <c r="I6" t="s">
        <v>311</v>
      </c>
      <c r="J6" t="s">
        <v>312</v>
      </c>
      <c r="K6" t="s">
        <v>313</v>
      </c>
      <c r="L6">
        <v>1346</v>
      </c>
      <c r="N6">
        <v>1009</v>
      </c>
      <c r="O6" t="s">
        <v>314</v>
      </c>
      <c r="P6" t="s">
        <v>314</v>
      </c>
      <c r="Q6">
        <v>1</v>
      </c>
      <c r="X6">
        <v>2.3E-2</v>
      </c>
      <c r="Y6">
        <v>29.82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3</v>
      </c>
      <c r="AG6">
        <v>2.3E-2</v>
      </c>
      <c r="AH6">
        <v>2</v>
      </c>
      <c r="AI6">
        <v>60257105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ROW(Source!A28)</f>
        <v>28</v>
      </c>
      <c r="B7">
        <v>60257519</v>
      </c>
      <c r="C7">
        <v>60257099</v>
      </c>
      <c r="D7">
        <v>59038948</v>
      </c>
      <c r="E7">
        <v>1</v>
      </c>
      <c r="F7">
        <v>1</v>
      </c>
      <c r="G7">
        <v>1080</v>
      </c>
      <c r="H7">
        <v>3</v>
      </c>
      <c r="I7" t="s">
        <v>315</v>
      </c>
      <c r="J7" t="s">
        <v>316</v>
      </c>
      <c r="K7" t="s">
        <v>317</v>
      </c>
      <c r="L7">
        <v>1348</v>
      </c>
      <c r="N7">
        <v>1009</v>
      </c>
      <c r="O7" t="s">
        <v>310</v>
      </c>
      <c r="P7" t="s">
        <v>310</v>
      </c>
      <c r="Q7">
        <v>1000</v>
      </c>
      <c r="X7">
        <v>1.8E-5</v>
      </c>
      <c r="Y7">
        <v>18653.07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3</v>
      </c>
      <c r="AG7">
        <v>1.8E-5</v>
      </c>
      <c r="AH7">
        <v>2</v>
      </c>
      <c r="AI7">
        <v>60257106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ROW(Source!A28)</f>
        <v>28</v>
      </c>
      <c r="B8">
        <v>60257520</v>
      </c>
      <c r="C8">
        <v>60257099</v>
      </c>
      <c r="D8">
        <v>59040738</v>
      </c>
      <c r="E8">
        <v>1</v>
      </c>
      <c r="F8">
        <v>1</v>
      </c>
      <c r="G8">
        <v>1080</v>
      </c>
      <c r="H8">
        <v>3</v>
      </c>
      <c r="I8" t="s">
        <v>318</v>
      </c>
      <c r="J8" t="s">
        <v>319</v>
      </c>
      <c r="K8" t="s">
        <v>320</v>
      </c>
      <c r="L8">
        <v>1348</v>
      </c>
      <c r="N8">
        <v>1009</v>
      </c>
      <c r="O8" t="s">
        <v>310</v>
      </c>
      <c r="P8" t="s">
        <v>310</v>
      </c>
      <c r="Q8">
        <v>1000</v>
      </c>
      <c r="X8">
        <v>2.3780000000000001E-4</v>
      </c>
      <c r="Y8">
        <v>11487.92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3</v>
      </c>
      <c r="AG8">
        <v>2.3780000000000001E-4</v>
      </c>
      <c r="AH8">
        <v>2</v>
      </c>
      <c r="AI8">
        <v>60257107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ROW(Source!A28)</f>
        <v>28</v>
      </c>
      <c r="B9">
        <v>60257521</v>
      </c>
      <c r="C9">
        <v>60257099</v>
      </c>
      <c r="D9">
        <v>59041302</v>
      </c>
      <c r="E9">
        <v>1</v>
      </c>
      <c r="F9">
        <v>1</v>
      </c>
      <c r="G9">
        <v>1080</v>
      </c>
      <c r="H9">
        <v>3</v>
      </c>
      <c r="I9" t="s">
        <v>321</v>
      </c>
      <c r="J9" t="s">
        <v>322</v>
      </c>
      <c r="K9" t="s">
        <v>323</v>
      </c>
      <c r="L9">
        <v>1348</v>
      </c>
      <c r="N9">
        <v>1009</v>
      </c>
      <c r="O9" t="s">
        <v>310</v>
      </c>
      <c r="P9" t="s">
        <v>310</v>
      </c>
      <c r="Q9">
        <v>1000</v>
      </c>
      <c r="X9">
        <v>7.0000000000000001E-3</v>
      </c>
      <c r="Y9">
        <v>12089.95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3</v>
      </c>
      <c r="AG9">
        <v>7.0000000000000001E-3</v>
      </c>
      <c r="AH9">
        <v>2</v>
      </c>
      <c r="AI9">
        <v>60257108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ROW(Source!A28)</f>
        <v>28</v>
      </c>
      <c r="B10">
        <v>60257522</v>
      </c>
      <c r="C10">
        <v>60257099</v>
      </c>
      <c r="D10">
        <v>59039500</v>
      </c>
      <c r="E10">
        <v>1</v>
      </c>
      <c r="F10">
        <v>1</v>
      </c>
      <c r="G10">
        <v>1080</v>
      </c>
      <c r="H10">
        <v>3</v>
      </c>
      <c r="I10" t="s">
        <v>324</v>
      </c>
      <c r="J10" t="s">
        <v>325</v>
      </c>
      <c r="K10" t="s">
        <v>326</v>
      </c>
      <c r="L10">
        <v>1348</v>
      </c>
      <c r="N10">
        <v>1009</v>
      </c>
      <c r="O10" t="s">
        <v>310</v>
      </c>
      <c r="P10" t="s">
        <v>310</v>
      </c>
      <c r="Q10">
        <v>1000</v>
      </c>
      <c r="X10">
        <v>1.0000000000000001E-5</v>
      </c>
      <c r="Y10">
        <v>8582.42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3</v>
      </c>
      <c r="AG10">
        <v>1.0000000000000001E-5</v>
      </c>
      <c r="AH10">
        <v>2</v>
      </c>
      <c r="AI10">
        <v>60257109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ROW(Source!A28)</f>
        <v>28</v>
      </c>
      <c r="B11">
        <v>60257523</v>
      </c>
      <c r="C11">
        <v>60257099</v>
      </c>
      <c r="D11">
        <v>59039504</v>
      </c>
      <c r="E11">
        <v>1</v>
      </c>
      <c r="F11">
        <v>1</v>
      </c>
      <c r="G11">
        <v>1080</v>
      </c>
      <c r="H11">
        <v>3</v>
      </c>
      <c r="I11" t="s">
        <v>327</v>
      </c>
      <c r="J11" t="s">
        <v>328</v>
      </c>
      <c r="K11" t="s">
        <v>329</v>
      </c>
      <c r="L11">
        <v>1348</v>
      </c>
      <c r="N11">
        <v>1009</v>
      </c>
      <c r="O11" t="s">
        <v>310</v>
      </c>
      <c r="P11" t="s">
        <v>310</v>
      </c>
      <c r="Q11">
        <v>1000</v>
      </c>
      <c r="X11">
        <v>1.9999999999999999E-6</v>
      </c>
      <c r="Y11">
        <v>12521.99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3</v>
      </c>
      <c r="AG11">
        <v>1.9999999999999999E-6</v>
      </c>
      <c r="AH11">
        <v>2</v>
      </c>
      <c r="AI11">
        <v>60257110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ROW(Source!A28)</f>
        <v>28</v>
      </c>
      <c r="B12">
        <v>60257524</v>
      </c>
      <c r="C12">
        <v>60257099</v>
      </c>
      <c r="D12">
        <v>59021283</v>
      </c>
      <c r="E12">
        <v>1080</v>
      </c>
      <c r="F12">
        <v>1</v>
      </c>
      <c r="G12">
        <v>1080</v>
      </c>
      <c r="H12">
        <v>3</v>
      </c>
      <c r="I12" t="s">
        <v>440</v>
      </c>
      <c r="J12" t="s">
        <v>3</v>
      </c>
      <c r="K12" t="s">
        <v>441</v>
      </c>
      <c r="L12">
        <v>1354</v>
      </c>
      <c r="N12">
        <v>1010</v>
      </c>
      <c r="O12" t="s">
        <v>31</v>
      </c>
      <c r="P12" t="s">
        <v>31</v>
      </c>
      <c r="Q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3</v>
      </c>
      <c r="AG12">
        <v>1</v>
      </c>
      <c r="AH12">
        <v>3</v>
      </c>
      <c r="AI12">
        <v>-1</v>
      </c>
      <c r="AJ12" t="s">
        <v>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ROW(Source!A29)</f>
        <v>29</v>
      </c>
      <c r="B13">
        <v>60257513</v>
      </c>
      <c r="C13">
        <v>60257099</v>
      </c>
      <c r="D13">
        <v>58999254</v>
      </c>
      <c r="E13">
        <v>1080</v>
      </c>
      <c r="F13">
        <v>1</v>
      </c>
      <c r="G13">
        <v>1080</v>
      </c>
      <c r="H13">
        <v>1</v>
      </c>
      <c r="I13" t="s">
        <v>293</v>
      </c>
      <c r="J13" t="s">
        <v>3</v>
      </c>
      <c r="K13" t="s">
        <v>294</v>
      </c>
      <c r="L13">
        <v>1191</v>
      </c>
      <c r="N13">
        <v>1013</v>
      </c>
      <c r="O13" t="s">
        <v>295</v>
      </c>
      <c r="P13" t="s">
        <v>295</v>
      </c>
      <c r="Q13">
        <v>1</v>
      </c>
      <c r="X13">
        <v>5.15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 t="s">
        <v>23</v>
      </c>
      <c r="AG13">
        <v>5.6650000000000009</v>
      </c>
      <c r="AH13">
        <v>2</v>
      </c>
      <c r="AI13">
        <v>60257100</v>
      </c>
      <c r="AJ13">
        <v>13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ROW(Source!A29)</f>
        <v>29</v>
      </c>
      <c r="B14">
        <v>60257514</v>
      </c>
      <c r="C14">
        <v>60257099</v>
      </c>
      <c r="D14">
        <v>59070370</v>
      </c>
      <c r="E14">
        <v>1</v>
      </c>
      <c r="F14">
        <v>1</v>
      </c>
      <c r="G14">
        <v>1080</v>
      </c>
      <c r="H14">
        <v>2</v>
      </c>
      <c r="I14" t="s">
        <v>296</v>
      </c>
      <c r="J14" t="s">
        <v>297</v>
      </c>
      <c r="K14" t="s">
        <v>298</v>
      </c>
      <c r="L14">
        <v>1368</v>
      </c>
      <c r="N14">
        <v>1011</v>
      </c>
      <c r="O14" t="s">
        <v>299</v>
      </c>
      <c r="P14" t="s">
        <v>299</v>
      </c>
      <c r="Q14">
        <v>1</v>
      </c>
      <c r="X14">
        <v>0.2</v>
      </c>
      <c r="Y14">
        <v>0</v>
      </c>
      <c r="Z14">
        <v>7.11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23</v>
      </c>
      <c r="AG14">
        <v>0.22000000000000003</v>
      </c>
      <c r="AH14">
        <v>2</v>
      </c>
      <c r="AI14">
        <v>60257101</v>
      </c>
      <c r="AJ14">
        <v>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ROW(Source!A29)</f>
        <v>29</v>
      </c>
      <c r="B15">
        <v>60257515</v>
      </c>
      <c r="C15">
        <v>60257099</v>
      </c>
      <c r="D15">
        <v>59070669</v>
      </c>
      <c r="E15">
        <v>1</v>
      </c>
      <c r="F15">
        <v>1</v>
      </c>
      <c r="G15">
        <v>1080</v>
      </c>
      <c r="H15">
        <v>2</v>
      </c>
      <c r="I15" t="s">
        <v>300</v>
      </c>
      <c r="J15" t="s">
        <v>301</v>
      </c>
      <c r="K15" t="s">
        <v>302</v>
      </c>
      <c r="L15">
        <v>1368</v>
      </c>
      <c r="N15">
        <v>1011</v>
      </c>
      <c r="O15" t="s">
        <v>299</v>
      </c>
      <c r="P15" t="s">
        <v>299</v>
      </c>
      <c r="Q15">
        <v>1</v>
      </c>
      <c r="X15">
        <v>0.03</v>
      </c>
      <c r="Y15">
        <v>0</v>
      </c>
      <c r="Z15">
        <v>83.1</v>
      </c>
      <c r="AA15">
        <v>12.62</v>
      </c>
      <c r="AB15">
        <v>0</v>
      </c>
      <c r="AC15">
        <v>0</v>
      </c>
      <c r="AD15">
        <v>1</v>
      </c>
      <c r="AE15">
        <v>0</v>
      </c>
      <c r="AF15" t="s">
        <v>23</v>
      </c>
      <c r="AG15">
        <v>3.3000000000000002E-2</v>
      </c>
      <c r="AH15">
        <v>2</v>
      </c>
      <c r="AI15">
        <v>60257102</v>
      </c>
      <c r="AJ15">
        <v>15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ROW(Source!A29)</f>
        <v>29</v>
      </c>
      <c r="B16">
        <v>60257516</v>
      </c>
      <c r="C16">
        <v>60257099</v>
      </c>
      <c r="D16">
        <v>59070743</v>
      </c>
      <c r="E16">
        <v>1</v>
      </c>
      <c r="F16">
        <v>1</v>
      </c>
      <c r="G16">
        <v>1080</v>
      </c>
      <c r="H16">
        <v>2</v>
      </c>
      <c r="I16" t="s">
        <v>304</v>
      </c>
      <c r="J16" t="s">
        <v>305</v>
      </c>
      <c r="K16" t="s">
        <v>306</v>
      </c>
      <c r="L16">
        <v>1368</v>
      </c>
      <c r="N16">
        <v>1011</v>
      </c>
      <c r="O16" t="s">
        <v>299</v>
      </c>
      <c r="P16" t="s">
        <v>299</v>
      </c>
      <c r="Q16">
        <v>1</v>
      </c>
      <c r="X16">
        <v>0.46</v>
      </c>
      <c r="Y16">
        <v>0</v>
      </c>
      <c r="Z16">
        <v>0.78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23</v>
      </c>
      <c r="AG16">
        <v>0.50600000000000012</v>
      </c>
      <c r="AH16">
        <v>2</v>
      </c>
      <c r="AI16">
        <v>60257103</v>
      </c>
      <c r="AJ16">
        <v>16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ROW(Source!A29)</f>
        <v>29</v>
      </c>
      <c r="B17">
        <v>60257517</v>
      </c>
      <c r="C17">
        <v>60257099</v>
      </c>
      <c r="D17">
        <v>59039969</v>
      </c>
      <c r="E17">
        <v>1</v>
      </c>
      <c r="F17">
        <v>1</v>
      </c>
      <c r="G17">
        <v>1080</v>
      </c>
      <c r="H17">
        <v>3</v>
      </c>
      <c r="I17" t="s">
        <v>307</v>
      </c>
      <c r="J17" t="s">
        <v>308</v>
      </c>
      <c r="K17" t="s">
        <v>309</v>
      </c>
      <c r="L17">
        <v>1348</v>
      </c>
      <c r="N17">
        <v>1009</v>
      </c>
      <c r="O17" t="s">
        <v>310</v>
      </c>
      <c r="P17" t="s">
        <v>310</v>
      </c>
      <c r="Q17">
        <v>1000</v>
      </c>
      <c r="X17">
        <v>1.21E-4</v>
      </c>
      <c r="Y17">
        <v>7185.82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3</v>
      </c>
      <c r="AG17">
        <v>1.21E-4</v>
      </c>
      <c r="AH17">
        <v>2</v>
      </c>
      <c r="AI17">
        <v>60257104</v>
      </c>
      <c r="AJ17">
        <v>17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ROW(Source!A29)</f>
        <v>29</v>
      </c>
      <c r="B18">
        <v>60257518</v>
      </c>
      <c r="C18">
        <v>60257099</v>
      </c>
      <c r="D18">
        <v>59039978</v>
      </c>
      <c r="E18">
        <v>1</v>
      </c>
      <c r="F18">
        <v>1</v>
      </c>
      <c r="G18">
        <v>1080</v>
      </c>
      <c r="H18">
        <v>3</v>
      </c>
      <c r="I18" t="s">
        <v>311</v>
      </c>
      <c r="J18" t="s">
        <v>312</v>
      </c>
      <c r="K18" t="s">
        <v>313</v>
      </c>
      <c r="L18">
        <v>1346</v>
      </c>
      <c r="N18">
        <v>1009</v>
      </c>
      <c r="O18" t="s">
        <v>314</v>
      </c>
      <c r="P18" t="s">
        <v>314</v>
      </c>
      <c r="Q18">
        <v>1</v>
      </c>
      <c r="X18">
        <v>2.3E-2</v>
      </c>
      <c r="Y18">
        <v>29.82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3</v>
      </c>
      <c r="AG18">
        <v>2.3E-2</v>
      </c>
      <c r="AH18">
        <v>2</v>
      </c>
      <c r="AI18">
        <v>60257105</v>
      </c>
      <c r="AJ18">
        <v>18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ROW(Source!A29)</f>
        <v>29</v>
      </c>
      <c r="B19">
        <v>60257519</v>
      </c>
      <c r="C19">
        <v>60257099</v>
      </c>
      <c r="D19">
        <v>59038948</v>
      </c>
      <c r="E19">
        <v>1</v>
      </c>
      <c r="F19">
        <v>1</v>
      </c>
      <c r="G19">
        <v>1080</v>
      </c>
      <c r="H19">
        <v>3</v>
      </c>
      <c r="I19" t="s">
        <v>315</v>
      </c>
      <c r="J19" t="s">
        <v>316</v>
      </c>
      <c r="K19" t="s">
        <v>317</v>
      </c>
      <c r="L19">
        <v>1348</v>
      </c>
      <c r="N19">
        <v>1009</v>
      </c>
      <c r="O19" t="s">
        <v>310</v>
      </c>
      <c r="P19" t="s">
        <v>310</v>
      </c>
      <c r="Q19">
        <v>1000</v>
      </c>
      <c r="X19">
        <v>1.8E-5</v>
      </c>
      <c r="Y19">
        <v>18653.07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3</v>
      </c>
      <c r="AG19">
        <v>1.8E-5</v>
      </c>
      <c r="AH19">
        <v>2</v>
      </c>
      <c r="AI19">
        <v>60257106</v>
      </c>
      <c r="AJ19">
        <v>19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ROW(Source!A29)</f>
        <v>29</v>
      </c>
      <c r="B20">
        <v>60257520</v>
      </c>
      <c r="C20">
        <v>60257099</v>
      </c>
      <c r="D20">
        <v>59040738</v>
      </c>
      <c r="E20">
        <v>1</v>
      </c>
      <c r="F20">
        <v>1</v>
      </c>
      <c r="G20">
        <v>1080</v>
      </c>
      <c r="H20">
        <v>3</v>
      </c>
      <c r="I20" t="s">
        <v>318</v>
      </c>
      <c r="J20" t="s">
        <v>319</v>
      </c>
      <c r="K20" t="s">
        <v>320</v>
      </c>
      <c r="L20">
        <v>1348</v>
      </c>
      <c r="N20">
        <v>1009</v>
      </c>
      <c r="O20" t="s">
        <v>310</v>
      </c>
      <c r="P20" t="s">
        <v>310</v>
      </c>
      <c r="Q20">
        <v>1000</v>
      </c>
      <c r="X20">
        <v>2.3780000000000001E-4</v>
      </c>
      <c r="Y20">
        <v>11487.92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3</v>
      </c>
      <c r="AG20">
        <v>2.3780000000000001E-4</v>
      </c>
      <c r="AH20">
        <v>2</v>
      </c>
      <c r="AI20">
        <v>60257107</v>
      </c>
      <c r="AJ20">
        <v>20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ROW(Source!A29)</f>
        <v>29</v>
      </c>
      <c r="B21">
        <v>60257521</v>
      </c>
      <c r="C21">
        <v>60257099</v>
      </c>
      <c r="D21">
        <v>59041302</v>
      </c>
      <c r="E21">
        <v>1</v>
      </c>
      <c r="F21">
        <v>1</v>
      </c>
      <c r="G21">
        <v>1080</v>
      </c>
      <c r="H21">
        <v>3</v>
      </c>
      <c r="I21" t="s">
        <v>321</v>
      </c>
      <c r="J21" t="s">
        <v>322</v>
      </c>
      <c r="K21" t="s">
        <v>323</v>
      </c>
      <c r="L21">
        <v>1348</v>
      </c>
      <c r="N21">
        <v>1009</v>
      </c>
      <c r="O21" t="s">
        <v>310</v>
      </c>
      <c r="P21" t="s">
        <v>310</v>
      </c>
      <c r="Q21">
        <v>1000</v>
      </c>
      <c r="X21">
        <v>7.0000000000000001E-3</v>
      </c>
      <c r="Y21">
        <v>12089.95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3</v>
      </c>
      <c r="AG21">
        <v>7.0000000000000001E-3</v>
      </c>
      <c r="AH21">
        <v>2</v>
      </c>
      <c r="AI21">
        <v>60257108</v>
      </c>
      <c r="AJ21">
        <v>21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ROW(Source!A29)</f>
        <v>29</v>
      </c>
      <c r="B22">
        <v>60257522</v>
      </c>
      <c r="C22">
        <v>60257099</v>
      </c>
      <c r="D22">
        <v>59039500</v>
      </c>
      <c r="E22">
        <v>1</v>
      </c>
      <c r="F22">
        <v>1</v>
      </c>
      <c r="G22">
        <v>1080</v>
      </c>
      <c r="H22">
        <v>3</v>
      </c>
      <c r="I22" t="s">
        <v>324</v>
      </c>
      <c r="J22" t="s">
        <v>325</v>
      </c>
      <c r="K22" t="s">
        <v>326</v>
      </c>
      <c r="L22">
        <v>1348</v>
      </c>
      <c r="N22">
        <v>1009</v>
      </c>
      <c r="O22" t="s">
        <v>310</v>
      </c>
      <c r="P22" t="s">
        <v>310</v>
      </c>
      <c r="Q22">
        <v>1000</v>
      </c>
      <c r="X22">
        <v>1.0000000000000001E-5</v>
      </c>
      <c r="Y22">
        <v>8582.42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3</v>
      </c>
      <c r="AG22">
        <v>1.0000000000000001E-5</v>
      </c>
      <c r="AH22">
        <v>2</v>
      </c>
      <c r="AI22">
        <v>60257109</v>
      </c>
      <c r="AJ22">
        <v>22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ROW(Source!A29)</f>
        <v>29</v>
      </c>
      <c r="B23">
        <v>60257523</v>
      </c>
      <c r="C23">
        <v>60257099</v>
      </c>
      <c r="D23">
        <v>59039504</v>
      </c>
      <c r="E23">
        <v>1</v>
      </c>
      <c r="F23">
        <v>1</v>
      </c>
      <c r="G23">
        <v>1080</v>
      </c>
      <c r="H23">
        <v>3</v>
      </c>
      <c r="I23" t="s">
        <v>327</v>
      </c>
      <c r="J23" t="s">
        <v>328</v>
      </c>
      <c r="K23" t="s">
        <v>329</v>
      </c>
      <c r="L23">
        <v>1348</v>
      </c>
      <c r="N23">
        <v>1009</v>
      </c>
      <c r="O23" t="s">
        <v>310</v>
      </c>
      <c r="P23" t="s">
        <v>310</v>
      </c>
      <c r="Q23">
        <v>1000</v>
      </c>
      <c r="X23">
        <v>1.9999999999999999E-6</v>
      </c>
      <c r="Y23">
        <v>12521.99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3</v>
      </c>
      <c r="AG23">
        <v>1.9999999999999999E-6</v>
      </c>
      <c r="AH23">
        <v>2</v>
      </c>
      <c r="AI23">
        <v>60257110</v>
      </c>
      <c r="AJ23">
        <v>23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ROW(Source!A29)</f>
        <v>29</v>
      </c>
      <c r="B24">
        <v>60257524</v>
      </c>
      <c r="C24">
        <v>60257099</v>
      </c>
      <c r="D24">
        <v>59021283</v>
      </c>
      <c r="E24">
        <v>1080</v>
      </c>
      <c r="F24">
        <v>1</v>
      </c>
      <c r="G24">
        <v>1080</v>
      </c>
      <c r="H24">
        <v>3</v>
      </c>
      <c r="I24" t="s">
        <v>440</v>
      </c>
      <c r="J24" t="s">
        <v>3</v>
      </c>
      <c r="K24" t="s">
        <v>441</v>
      </c>
      <c r="L24">
        <v>1354</v>
      </c>
      <c r="N24">
        <v>1010</v>
      </c>
      <c r="O24" t="s">
        <v>31</v>
      </c>
      <c r="P24" t="s">
        <v>31</v>
      </c>
      <c r="Q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3</v>
      </c>
      <c r="AG24">
        <v>1</v>
      </c>
      <c r="AH24">
        <v>3</v>
      </c>
      <c r="AI24">
        <v>-1</v>
      </c>
      <c r="AJ24" t="s">
        <v>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ROW(Source!A32)</f>
        <v>32</v>
      </c>
      <c r="B25">
        <v>60257525</v>
      </c>
      <c r="C25">
        <v>60257125</v>
      </c>
      <c r="D25">
        <v>58999254</v>
      </c>
      <c r="E25">
        <v>1080</v>
      </c>
      <c r="F25">
        <v>1</v>
      </c>
      <c r="G25">
        <v>1080</v>
      </c>
      <c r="H25">
        <v>1</v>
      </c>
      <c r="I25" t="s">
        <v>293</v>
      </c>
      <c r="J25" t="s">
        <v>3</v>
      </c>
      <c r="K25" t="s">
        <v>294</v>
      </c>
      <c r="L25">
        <v>1191</v>
      </c>
      <c r="N25">
        <v>1013</v>
      </c>
      <c r="O25" t="s">
        <v>295</v>
      </c>
      <c r="P25" t="s">
        <v>295</v>
      </c>
      <c r="Q25">
        <v>1</v>
      </c>
      <c r="X25">
        <v>1.03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 t="s">
        <v>23</v>
      </c>
      <c r="AG25">
        <v>1.1330000000000002</v>
      </c>
      <c r="AH25">
        <v>2</v>
      </c>
      <c r="AI25">
        <v>60257126</v>
      </c>
      <c r="AJ25">
        <v>25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ROW(Source!A32)</f>
        <v>32</v>
      </c>
      <c r="B26">
        <v>60257526</v>
      </c>
      <c r="C26">
        <v>60257125</v>
      </c>
      <c r="D26">
        <v>59070669</v>
      </c>
      <c r="E26">
        <v>1</v>
      </c>
      <c r="F26">
        <v>1</v>
      </c>
      <c r="G26">
        <v>1080</v>
      </c>
      <c r="H26">
        <v>2</v>
      </c>
      <c r="I26" t="s">
        <v>300</v>
      </c>
      <c r="J26" t="s">
        <v>301</v>
      </c>
      <c r="K26" t="s">
        <v>302</v>
      </c>
      <c r="L26">
        <v>1368</v>
      </c>
      <c r="N26">
        <v>1011</v>
      </c>
      <c r="O26" t="s">
        <v>299</v>
      </c>
      <c r="P26" t="s">
        <v>299</v>
      </c>
      <c r="Q26">
        <v>1</v>
      </c>
      <c r="X26">
        <v>6.0000000000000001E-3</v>
      </c>
      <c r="Y26">
        <v>0</v>
      </c>
      <c r="Z26">
        <v>83.1</v>
      </c>
      <c r="AA26">
        <v>12.62</v>
      </c>
      <c r="AB26">
        <v>0</v>
      </c>
      <c r="AC26">
        <v>0</v>
      </c>
      <c r="AD26">
        <v>1</v>
      </c>
      <c r="AE26">
        <v>0</v>
      </c>
      <c r="AF26" t="s">
        <v>23</v>
      </c>
      <c r="AG26">
        <v>6.6000000000000008E-3</v>
      </c>
      <c r="AH26">
        <v>2</v>
      </c>
      <c r="AI26">
        <v>60257127</v>
      </c>
      <c r="AJ26">
        <v>26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ROW(Source!A32)</f>
        <v>32</v>
      </c>
      <c r="B27">
        <v>60257527</v>
      </c>
      <c r="C27">
        <v>60257125</v>
      </c>
      <c r="D27">
        <v>59021131</v>
      </c>
      <c r="E27">
        <v>1080</v>
      </c>
      <c r="F27">
        <v>1</v>
      </c>
      <c r="G27">
        <v>1080</v>
      </c>
      <c r="H27">
        <v>3</v>
      </c>
      <c r="I27" t="s">
        <v>442</v>
      </c>
      <c r="J27" t="s">
        <v>3</v>
      </c>
      <c r="K27" t="s">
        <v>443</v>
      </c>
      <c r="L27">
        <v>1354</v>
      </c>
      <c r="N27">
        <v>1010</v>
      </c>
      <c r="O27" t="s">
        <v>31</v>
      </c>
      <c r="P27" t="s">
        <v>31</v>
      </c>
      <c r="Q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3</v>
      </c>
      <c r="AG27">
        <v>1</v>
      </c>
      <c r="AH27">
        <v>3</v>
      </c>
      <c r="AI27">
        <v>-1</v>
      </c>
      <c r="AJ27" t="s">
        <v>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ROW(Source!A33)</f>
        <v>33</v>
      </c>
      <c r="B28">
        <v>60257525</v>
      </c>
      <c r="C28">
        <v>60257125</v>
      </c>
      <c r="D28">
        <v>58999254</v>
      </c>
      <c r="E28">
        <v>1080</v>
      </c>
      <c r="F28">
        <v>1</v>
      </c>
      <c r="G28">
        <v>1080</v>
      </c>
      <c r="H28">
        <v>1</v>
      </c>
      <c r="I28" t="s">
        <v>293</v>
      </c>
      <c r="J28" t="s">
        <v>3</v>
      </c>
      <c r="K28" t="s">
        <v>294</v>
      </c>
      <c r="L28">
        <v>1191</v>
      </c>
      <c r="N28">
        <v>1013</v>
      </c>
      <c r="O28" t="s">
        <v>295</v>
      </c>
      <c r="P28" t="s">
        <v>295</v>
      </c>
      <c r="Q28">
        <v>1</v>
      </c>
      <c r="X28">
        <v>1.03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1</v>
      </c>
      <c r="AF28" t="s">
        <v>23</v>
      </c>
      <c r="AG28">
        <v>1.1330000000000002</v>
      </c>
      <c r="AH28">
        <v>2</v>
      </c>
      <c r="AI28">
        <v>60257126</v>
      </c>
      <c r="AJ28">
        <v>28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ROW(Source!A33)</f>
        <v>33</v>
      </c>
      <c r="B29">
        <v>60257526</v>
      </c>
      <c r="C29">
        <v>60257125</v>
      </c>
      <c r="D29">
        <v>59070669</v>
      </c>
      <c r="E29">
        <v>1</v>
      </c>
      <c r="F29">
        <v>1</v>
      </c>
      <c r="G29">
        <v>1080</v>
      </c>
      <c r="H29">
        <v>2</v>
      </c>
      <c r="I29" t="s">
        <v>300</v>
      </c>
      <c r="J29" t="s">
        <v>301</v>
      </c>
      <c r="K29" t="s">
        <v>302</v>
      </c>
      <c r="L29">
        <v>1368</v>
      </c>
      <c r="N29">
        <v>1011</v>
      </c>
      <c r="O29" t="s">
        <v>299</v>
      </c>
      <c r="P29" t="s">
        <v>299</v>
      </c>
      <c r="Q29">
        <v>1</v>
      </c>
      <c r="X29">
        <v>6.0000000000000001E-3</v>
      </c>
      <c r="Y29">
        <v>0</v>
      </c>
      <c r="Z29">
        <v>83.1</v>
      </c>
      <c r="AA29">
        <v>12.62</v>
      </c>
      <c r="AB29">
        <v>0</v>
      </c>
      <c r="AC29">
        <v>0</v>
      </c>
      <c r="AD29">
        <v>1</v>
      </c>
      <c r="AE29">
        <v>0</v>
      </c>
      <c r="AF29" t="s">
        <v>23</v>
      </c>
      <c r="AG29">
        <v>6.6000000000000008E-3</v>
      </c>
      <c r="AH29">
        <v>2</v>
      </c>
      <c r="AI29">
        <v>60257127</v>
      </c>
      <c r="AJ29">
        <v>29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ROW(Source!A33)</f>
        <v>33</v>
      </c>
      <c r="B30">
        <v>60257527</v>
      </c>
      <c r="C30">
        <v>60257125</v>
      </c>
      <c r="D30">
        <v>59021131</v>
      </c>
      <c r="E30">
        <v>1080</v>
      </c>
      <c r="F30">
        <v>1</v>
      </c>
      <c r="G30">
        <v>1080</v>
      </c>
      <c r="H30">
        <v>3</v>
      </c>
      <c r="I30" t="s">
        <v>442</v>
      </c>
      <c r="J30" t="s">
        <v>3</v>
      </c>
      <c r="K30" t="s">
        <v>443</v>
      </c>
      <c r="L30">
        <v>1354</v>
      </c>
      <c r="N30">
        <v>1010</v>
      </c>
      <c r="O30" t="s">
        <v>31</v>
      </c>
      <c r="P30" t="s">
        <v>31</v>
      </c>
      <c r="Q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</v>
      </c>
      <c r="AG30">
        <v>1</v>
      </c>
      <c r="AH30">
        <v>3</v>
      </c>
      <c r="AI30">
        <v>-1</v>
      </c>
      <c r="AJ30" t="s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ROW(Source!A36)</f>
        <v>36</v>
      </c>
      <c r="B31">
        <v>60257528</v>
      </c>
      <c r="C31">
        <v>60257133</v>
      </c>
      <c r="D31">
        <v>58999254</v>
      </c>
      <c r="E31">
        <v>1080</v>
      </c>
      <c r="F31">
        <v>1</v>
      </c>
      <c r="G31">
        <v>1080</v>
      </c>
      <c r="H31">
        <v>1</v>
      </c>
      <c r="I31" t="s">
        <v>293</v>
      </c>
      <c r="J31" t="s">
        <v>3</v>
      </c>
      <c r="K31" t="s">
        <v>294</v>
      </c>
      <c r="L31">
        <v>1191</v>
      </c>
      <c r="N31">
        <v>1013</v>
      </c>
      <c r="O31" t="s">
        <v>295</v>
      </c>
      <c r="P31" t="s">
        <v>295</v>
      </c>
      <c r="Q31">
        <v>1</v>
      </c>
      <c r="X31">
        <v>5.15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 t="s">
        <v>23</v>
      </c>
      <c r="AG31">
        <v>5.6650000000000009</v>
      </c>
      <c r="AH31">
        <v>2</v>
      </c>
      <c r="AI31">
        <v>60257134</v>
      </c>
      <c r="AJ31">
        <v>31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ROW(Source!A36)</f>
        <v>36</v>
      </c>
      <c r="B32">
        <v>60257529</v>
      </c>
      <c r="C32">
        <v>60257133</v>
      </c>
      <c r="D32">
        <v>59070370</v>
      </c>
      <c r="E32">
        <v>1</v>
      </c>
      <c r="F32">
        <v>1</v>
      </c>
      <c r="G32">
        <v>1080</v>
      </c>
      <c r="H32">
        <v>2</v>
      </c>
      <c r="I32" t="s">
        <v>296</v>
      </c>
      <c r="J32" t="s">
        <v>297</v>
      </c>
      <c r="K32" t="s">
        <v>298</v>
      </c>
      <c r="L32">
        <v>1368</v>
      </c>
      <c r="N32">
        <v>1011</v>
      </c>
      <c r="O32" t="s">
        <v>299</v>
      </c>
      <c r="P32" t="s">
        <v>299</v>
      </c>
      <c r="Q32">
        <v>1</v>
      </c>
      <c r="X32">
        <v>0.2</v>
      </c>
      <c r="Y32">
        <v>0</v>
      </c>
      <c r="Z32">
        <v>7.11</v>
      </c>
      <c r="AA32">
        <v>0</v>
      </c>
      <c r="AB32">
        <v>0</v>
      </c>
      <c r="AC32">
        <v>0</v>
      </c>
      <c r="AD32">
        <v>1</v>
      </c>
      <c r="AE32">
        <v>0</v>
      </c>
      <c r="AF32" t="s">
        <v>23</v>
      </c>
      <c r="AG32">
        <v>0.22000000000000003</v>
      </c>
      <c r="AH32">
        <v>2</v>
      </c>
      <c r="AI32">
        <v>60257135</v>
      </c>
      <c r="AJ32">
        <v>32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ROW(Source!A36)</f>
        <v>36</v>
      </c>
      <c r="B33">
        <v>60257530</v>
      </c>
      <c r="C33">
        <v>60257133</v>
      </c>
      <c r="D33">
        <v>59070669</v>
      </c>
      <c r="E33">
        <v>1</v>
      </c>
      <c r="F33">
        <v>1</v>
      </c>
      <c r="G33">
        <v>1080</v>
      </c>
      <c r="H33">
        <v>2</v>
      </c>
      <c r="I33" t="s">
        <v>300</v>
      </c>
      <c r="J33" t="s">
        <v>301</v>
      </c>
      <c r="K33" t="s">
        <v>302</v>
      </c>
      <c r="L33">
        <v>1368</v>
      </c>
      <c r="N33">
        <v>1011</v>
      </c>
      <c r="O33" t="s">
        <v>299</v>
      </c>
      <c r="P33" t="s">
        <v>299</v>
      </c>
      <c r="Q33">
        <v>1</v>
      </c>
      <c r="X33">
        <v>0.03</v>
      </c>
      <c r="Y33">
        <v>0</v>
      </c>
      <c r="Z33">
        <v>83.1</v>
      </c>
      <c r="AA33">
        <v>12.62</v>
      </c>
      <c r="AB33">
        <v>0</v>
      </c>
      <c r="AC33">
        <v>0</v>
      </c>
      <c r="AD33">
        <v>1</v>
      </c>
      <c r="AE33">
        <v>0</v>
      </c>
      <c r="AF33" t="s">
        <v>23</v>
      </c>
      <c r="AG33">
        <v>3.3000000000000002E-2</v>
      </c>
      <c r="AH33">
        <v>2</v>
      </c>
      <c r="AI33">
        <v>60257136</v>
      </c>
      <c r="AJ33">
        <v>33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ROW(Source!A36)</f>
        <v>36</v>
      </c>
      <c r="B34">
        <v>60257531</v>
      </c>
      <c r="C34">
        <v>60257133</v>
      </c>
      <c r="D34">
        <v>59070743</v>
      </c>
      <c r="E34">
        <v>1</v>
      </c>
      <c r="F34">
        <v>1</v>
      </c>
      <c r="G34">
        <v>1080</v>
      </c>
      <c r="H34">
        <v>2</v>
      </c>
      <c r="I34" t="s">
        <v>304</v>
      </c>
      <c r="J34" t="s">
        <v>305</v>
      </c>
      <c r="K34" t="s">
        <v>306</v>
      </c>
      <c r="L34">
        <v>1368</v>
      </c>
      <c r="N34">
        <v>1011</v>
      </c>
      <c r="O34" t="s">
        <v>299</v>
      </c>
      <c r="P34" t="s">
        <v>299</v>
      </c>
      <c r="Q34">
        <v>1</v>
      </c>
      <c r="X34">
        <v>0.46</v>
      </c>
      <c r="Y34">
        <v>0</v>
      </c>
      <c r="Z34">
        <v>0.78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23</v>
      </c>
      <c r="AG34">
        <v>0.50600000000000012</v>
      </c>
      <c r="AH34">
        <v>2</v>
      </c>
      <c r="AI34">
        <v>60257137</v>
      </c>
      <c r="AJ34">
        <v>34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ROW(Source!A36)</f>
        <v>36</v>
      </c>
      <c r="B35">
        <v>60257532</v>
      </c>
      <c r="C35">
        <v>60257133</v>
      </c>
      <c r="D35">
        <v>59039969</v>
      </c>
      <c r="E35">
        <v>1</v>
      </c>
      <c r="F35">
        <v>1</v>
      </c>
      <c r="G35">
        <v>1080</v>
      </c>
      <c r="H35">
        <v>3</v>
      </c>
      <c r="I35" t="s">
        <v>307</v>
      </c>
      <c r="J35" t="s">
        <v>308</v>
      </c>
      <c r="K35" t="s">
        <v>309</v>
      </c>
      <c r="L35">
        <v>1348</v>
      </c>
      <c r="N35">
        <v>1009</v>
      </c>
      <c r="O35" t="s">
        <v>310</v>
      </c>
      <c r="P35" t="s">
        <v>310</v>
      </c>
      <c r="Q35">
        <v>1000</v>
      </c>
      <c r="X35">
        <v>1.21E-4</v>
      </c>
      <c r="Y35">
        <v>7185.82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3</v>
      </c>
      <c r="AG35">
        <v>1.21E-4</v>
      </c>
      <c r="AH35">
        <v>2</v>
      </c>
      <c r="AI35">
        <v>60257138</v>
      </c>
      <c r="AJ35">
        <v>35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ROW(Source!A36)</f>
        <v>36</v>
      </c>
      <c r="B36">
        <v>60257533</v>
      </c>
      <c r="C36">
        <v>60257133</v>
      </c>
      <c r="D36">
        <v>59039978</v>
      </c>
      <c r="E36">
        <v>1</v>
      </c>
      <c r="F36">
        <v>1</v>
      </c>
      <c r="G36">
        <v>1080</v>
      </c>
      <c r="H36">
        <v>3</v>
      </c>
      <c r="I36" t="s">
        <v>311</v>
      </c>
      <c r="J36" t="s">
        <v>312</v>
      </c>
      <c r="K36" t="s">
        <v>313</v>
      </c>
      <c r="L36">
        <v>1346</v>
      </c>
      <c r="N36">
        <v>1009</v>
      </c>
      <c r="O36" t="s">
        <v>314</v>
      </c>
      <c r="P36" t="s">
        <v>314</v>
      </c>
      <c r="Q36">
        <v>1</v>
      </c>
      <c r="X36">
        <v>2.3E-2</v>
      </c>
      <c r="Y36">
        <v>29.82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3</v>
      </c>
      <c r="AG36">
        <v>2.3E-2</v>
      </c>
      <c r="AH36">
        <v>2</v>
      </c>
      <c r="AI36">
        <v>60257139</v>
      </c>
      <c r="AJ36">
        <v>36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ROW(Source!A36)</f>
        <v>36</v>
      </c>
      <c r="B37">
        <v>60257534</v>
      </c>
      <c r="C37">
        <v>60257133</v>
      </c>
      <c r="D37">
        <v>59038948</v>
      </c>
      <c r="E37">
        <v>1</v>
      </c>
      <c r="F37">
        <v>1</v>
      </c>
      <c r="G37">
        <v>1080</v>
      </c>
      <c r="H37">
        <v>3</v>
      </c>
      <c r="I37" t="s">
        <v>315</v>
      </c>
      <c r="J37" t="s">
        <v>316</v>
      </c>
      <c r="K37" t="s">
        <v>317</v>
      </c>
      <c r="L37">
        <v>1348</v>
      </c>
      <c r="N37">
        <v>1009</v>
      </c>
      <c r="O37" t="s">
        <v>310</v>
      </c>
      <c r="P37" t="s">
        <v>310</v>
      </c>
      <c r="Q37">
        <v>1000</v>
      </c>
      <c r="X37">
        <v>1.8E-5</v>
      </c>
      <c r="Y37">
        <v>18653.07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3</v>
      </c>
      <c r="AG37">
        <v>1.8E-5</v>
      </c>
      <c r="AH37">
        <v>2</v>
      </c>
      <c r="AI37">
        <v>60257140</v>
      </c>
      <c r="AJ37">
        <v>37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ROW(Source!A36)</f>
        <v>36</v>
      </c>
      <c r="B38">
        <v>60257535</v>
      </c>
      <c r="C38">
        <v>60257133</v>
      </c>
      <c r="D38">
        <v>59040738</v>
      </c>
      <c r="E38">
        <v>1</v>
      </c>
      <c r="F38">
        <v>1</v>
      </c>
      <c r="G38">
        <v>1080</v>
      </c>
      <c r="H38">
        <v>3</v>
      </c>
      <c r="I38" t="s">
        <v>318</v>
      </c>
      <c r="J38" t="s">
        <v>319</v>
      </c>
      <c r="K38" t="s">
        <v>320</v>
      </c>
      <c r="L38">
        <v>1348</v>
      </c>
      <c r="N38">
        <v>1009</v>
      </c>
      <c r="O38" t="s">
        <v>310</v>
      </c>
      <c r="P38" t="s">
        <v>310</v>
      </c>
      <c r="Q38">
        <v>1000</v>
      </c>
      <c r="X38">
        <v>2.3780000000000001E-4</v>
      </c>
      <c r="Y38">
        <v>11487.92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3</v>
      </c>
      <c r="AG38">
        <v>2.3780000000000001E-4</v>
      </c>
      <c r="AH38">
        <v>2</v>
      </c>
      <c r="AI38">
        <v>60257141</v>
      </c>
      <c r="AJ38">
        <v>38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ROW(Source!A36)</f>
        <v>36</v>
      </c>
      <c r="B39">
        <v>60257536</v>
      </c>
      <c r="C39">
        <v>60257133</v>
      </c>
      <c r="D39">
        <v>59041302</v>
      </c>
      <c r="E39">
        <v>1</v>
      </c>
      <c r="F39">
        <v>1</v>
      </c>
      <c r="G39">
        <v>1080</v>
      </c>
      <c r="H39">
        <v>3</v>
      </c>
      <c r="I39" t="s">
        <v>321</v>
      </c>
      <c r="J39" t="s">
        <v>322</v>
      </c>
      <c r="K39" t="s">
        <v>323</v>
      </c>
      <c r="L39">
        <v>1348</v>
      </c>
      <c r="N39">
        <v>1009</v>
      </c>
      <c r="O39" t="s">
        <v>310</v>
      </c>
      <c r="P39" t="s">
        <v>310</v>
      </c>
      <c r="Q39">
        <v>1000</v>
      </c>
      <c r="X39">
        <v>7.0000000000000001E-3</v>
      </c>
      <c r="Y39">
        <v>12089.95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3</v>
      </c>
      <c r="AG39">
        <v>7.0000000000000001E-3</v>
      </c>
      <c r="AH39">
        <v>2</v>
      </c>
      <c r="AI39">
        <v>60257142</v>
      </c>
      <c r="AJ39">
        <v>39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ROW(Source!A36)</f>
        <v>36</v>
      </c>
      <c r="B40">
        <v>60257537</v>
      </c>
      <c r="C40">
        <v>60257133</v>
      </c>
      <c r="D40">
        <v>59039500</v>
      </c>
      <c r="E40">
        <v>1</v>
      </c>
      <c r="F40">
        <v>1</v>
      </c>
      <c r="G40">
        <v>1080</v>
      </c>
      <c r="H40">
        <v>3</v>
      </c>
      <c r="I40" t="s">
        <v>324</v>
      </c>
      <c r="J40" t="s">
        <v>325</v>
      </c>
      <c r="K40" t="s">
        <v>326</v>
      </c>
      <c r="L40">
        <v>1348</v>
      </c>
      <c r="N40">
        <v>1009</v>
      </c>
      <c r="O40" t="s">
        <v>310</v>
      </c>
      <c r="P40" t="s">
        <v>310</v>
      </c>
      <c r="Q40">
        <v>1000</v>
      </c>
      <c r="X40">
        <v>1.0000000000000001E-5</v>
      </c>
      <c r="Y40">
        <v>8582.42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3</v>
      </c>
      <c r="AG40">
        <v>1.0000000000000001E-5</v>
      </c>
      <c r="AH40">
        <v>2</v>
      </c>
      <c r="AI40">
        <v>60257143</v>
      </c>
      <c r="AJ40">
        <v>40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ROW(Source!A36)</f>
        <v>36</v>
      </c>
      <c r="B41">
        <v>60257538</v>
      </c>
      <c r="C41">
        <v>60257133</v>
      </c>
      <c r="D41">
        <v>59039504</v>
      </c>
      <c r="E41">
        <v>1</v>
      </c>
      <c r="F41">
        <v>1</v>
      </c>
      <c r="G41">
        <v>1080</v>
      </c>
      <c r="H41">
        <v>3</v>
      </c>
      <c r="I41" t="s">
        <v>327</v>
      </c>
      <c r="J41" t="s">
        <v>328</v>
      </c>
      <c r="K41" t="s">
        <v>329</v>
      </c>
      <c r="L41">
        <v>1348</v>
      </c>
      <c r="N41">
        <v>1009</v>
      </c>
      <c r="O41" t="s">
        <v>310</v>
      </c>
      <c r="P41" t="s">
        <v>310</v>
      </c>
      <c r="Q41">
        <v>1000</v>
      </c>
      <c r="X41">
        <v>1.9999999999999999E-6</v>
      </c>
      <c r="Y41">
        <v>12521.99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3</v>
      </c>
      <c r="AG41">
        <v>1.9999999999999999E-6</v>
      </c>
      <c r="AH41">
        <v>2</v>
      </c>
      <c r="AI41">
        <v>60257144</v>
      </c>
      <c r="AJ41">
        <v>41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ROW(Source!A36)</f>
        <v>36</v>
      </c>
      <c r="B42">
        <v>60257539</v>
      </c>
      <c r="C42">
        <v>60257133</v>
      </c>
      <c r="D42">
        <v>59021283</v>
      </c>
      <c r="E42">
        <v>1080</v>
      </c>
      <c r="F42">
        <v>1</v>
      </c>
      <c r="G42">
        <v>1080</v>
      </c>
      <c r="H42">
        <v>3</v>
      </c>
      <c r="I42" t="s">
        <v>440</v>
      </c>
      <c r="J42" t="s">
        <v>3</v>
      </c>
      <c r="K42" t="s">
        <v>441</v>
      </c>
      <c r="L42">
        <v>1354</v>
      </c>
      <c r="N42">
        <v>1010</v>
      </c>
      <c r="O42" t="s">
        <v>31</v>
      </c>
      <c r="P42" t="s">
        <v>31</v>
      </c>
      <c r="Q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3</v>
      </c>
      <c r="AG42">
        <v>1</v>
      </c>
      <c r="AH42">
        <v>3</v>
      </c>
      <c r="AI42">
        <v>-1</v>
      </c>
      <c r="AJ42" t="s">
        <v>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ROW(Source!A37)</f>
        <v>37</v>
      </c>
      <c r="B43">
        <v>60257528</v>
      </c>
      <c r="C43">
        <v>60257133</v>
      </c>
      <c r="D43">
        <v>58999254</v>
      </c>
      <c r="E43">
        <v>1080</v>
      </c>
      <c r="F43">
        <v>1</v>
      </c>
      <c r="G43">
        <v>1080</v>
      </c>
      <c r="H43">
        <v>1</v>
      </c>
      <c r="I43" t="s">
        <v>293</v>
      </c>
      <c r="J43" t="s">
        <v>3</v>
      </c>
      <c r="K43" t="s">
        <v>294</v>
      </c>
      <c r="L43">
        <v>1191</v>
      </c>
      <c r="N43">
        <v>1013</v>
      </c>
      <c r="O43" t="s">
        <v>295</v>
      </c>
      <c r="P43" t="s">
        <v>295</v>
      </c>
      <c r="Q43">
        <v>1</v>
      </c>
      <c r="X43">
        <v>5.15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 t="s">
        <v>23</v>
      </c>
      <c r="AG43">
        <v>5.6650000000000009</v>
      </c>
      <c r="AH43">
        <v>2</v>
      </c>
      <c r="AI43">
        <v>60257134</v>
      </c>
      <c r="AJ43">
        <v>43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ROW(Source!A37)</f>
        <v>37</v>
      </c>
      <c r="B44">
        <v>60257529</v>
      </c>
      <c r="C44">
        <v>60257133</v>
      </c>
      <c r="D44">
        <v>59070370</v>
      </c>
      <c r="E44">
        <v>1</v>
      </c>
      <c r="F44">
        <v>1</v>
      </c>
      <c r="G44">
        <v>1080</v>
      </c>
      <c r="H44">
        <v>2</v>
      </c>
      <c r="I44" t="s">
        <v>296</v>
      </c>
      <c r="J44" t="s">
        <v>297</v>
      </c>
      <c r="K44" t="s">
        <v>298</v>
      </c>
      <c r="L44">
        <v>1368</v>
      </c>
      <c r="N44">
        <v>1011</v>
      </c>
      <c r="O44" t="s">
        <v>299</v>
      </c>
      <c r="P44" t="s">
        <v>299</v>
      </c>
      <c r="Q44">
        <v>1</v>
      </c>
      <c r="X44">
        <v>0.2</v>
      </c>
      <c r="Y44">
        <v>0</v>
      </c>
      <c r="Z44">
        <v>7.11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23</v>
      </c>
      <c r="AG44">
        <v>0.22000000000000003</v>
      </c>
      <c r="AH44">
        <v>2</v>
      </c>
      <c r="AI44">
        <v>60257135</v>
      </c>
      <c r="AJ44">
        <v>44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ROW(Source!A37)</f>
        <v>37</v>
      </c>
      <c r="B45">
        <v>60257530</v>
      </c>
      <c r="C45">
        <v>60257133</v>
      </c>
      <c r="D45">
        <v>59070669</v>
      </c>
      <c r="E45">
        <v>1</v>
      </c>
      <c r="F45">
        <v>1</v>
      </c>
      <c r="G45">
        <v>1080</v>
      </c>
      <c r="H45">
        <v>2</v>
      </c>
      <c r="I45" t="s">
        <v>300</v>
      </c>
      <c r="J45" t="s">
        <v>301</v>
      </c>
      <c r="K45" t="s">
        <v>302</v>
      </c>
      <c r="L45">
        <v>1368</v>
      </c>
      <c r="N45">
        <v>1011</v>
      </c>
      <c r="O45" t="s">
        <v>299</v>
      </c>
      <c r="P45" t="s">
        <v>299</v>
      </c>
      <c r="Q45">
        <v>1</v>
      </c>
      <c r="X45">
        <v>0.03</v>
      </c>
      <c r="Y45">
        <v>0</v>
      </c>
      <c r="Z45">
        <v>83.1</v>
      </c>
      <c r="AA45">
        <v>12.62</v>
      </c>
      <c r="AB45">
        <v>0</v>
      </c>
      <c r="AC45">
        <v>0</v>
      </c>
      <c r="AD45">
        <v>1</v>
      </c>
      <c r="AE45">
        <v>0</v>
      </c>
      <c r="AF45" t="s">
        <v>23</v>
      </c>
      <c r="AG45">
        <v>3.3000000000000002E-2</v>
      </c>
      <c r="AH45">
        <v>2</v>
      </c>
      <c r="AI45">
        <v>60257136</v>
      </c>
      <c r="AJ45">
        <v>45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ROW(Source!A37)</f>
        <v>37</v>
      </c>
      <c r="B46">
        <v>60257531</v>
      </c>
      <c r="C46">
        <v>60257133</v>
      </c>
      <c r="D46">
        <v>59070743</v>
      </c>
      <c r="E46">
        <v>1</v>
      </c>
      <c r="F46">
        <v>1</v>
      </c>
      <c r="G46">
        <v>1080</v>
      </c>
      <c r="H46">
        <v>2</v>
      </c>
      <c r="I46" t="s">
        <v>304</v>
      </c>
      <c r="J46" t="s">
        <v>305</v>
      </c>
      <c r="K46" t="s">
        <v>306</v>
      </c>
      <c r="L46">
        <v>1368</v>
      </c>
      <c r="N46">
        <v>1011</v>
      </c>
      <c r="O46" t="s">
        <v>299</v>
      </c>
      <c r="P46" t="s">
        <v>299</v>
      </c>
      <c r="Q46">
        <v>1</v>
      </c>
      <c r="X46">
        <v>0.46</v>
      </c>
      <c r="Y46">
        <v>0</v>
      </c>
      <c r="Z46">
        <v>0.78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23</v>
      </c>
      <c r="AG46">
        <v>0.50600000000000012</v>
      </c>
      <c r="AH46">
        <v>2</v>
      </c>
      <c r="AI46">
        <v>60257137</v>
      </c>
      <c r="AJ46">
        <v>46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ROW(Source!A37)</f>
        <v>37</v>
      </c>
      <c r="B47">
        <v>60257532</v>
      </c>
      <c r="C47">
        <v>60257133</v>
      </c>
      <c r="D47">
        <v>59039969</v>
      </c>
      <c r="E47">
        <v>1</v>
      </c>
      <c r="F47">
        <v>1</v>
      </c>
      <c r="G47">
        <v>1080</v>
      </c>
      <c r="H47">
        <v>3</v>
      </c>
      <c r="I47" t="s">
        <v>307</v>
      </c>
      <c r="J47" t="s">
        <v>308</v>
      </c>
      <c r="K47" t="s">
        <v>309</v>
      </c>
      <c r="L47">
        <v>1348</v>
      </c>
      <c r="N47">
        <v>1009</v>
      </c>
      <c r="O47" t="s">
        <v>310</v>
      </c>
      <c r="P47" t="s">
        <v>310</v>
      </c>
      <c r="Q47">
        <v>1000</v>
      </c>
      <c r="X47">
        <v>1.21E-4</v>
      </c>
      <c r="Y47">
        <v>7185.82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3</v>
      </c>
      <c r="AG47">
        <v>1.21E-4</v>
      </c>
      <c r="AH47">
        <v>2</v>
      </c>
      <c r="AI47">
        <v>60257138</v>
      </c>
      <c r="AJ47">
        <v>47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ROW(Source!A37)</f>
        <v>37</v>
      </c>
      <c r="B48">
        <v>60257533</v>
      </c>
      <c r="C48">
        <v>60257133</v>
      </c>
      <c r="D48">
        <v>59039978</v>
      </c>
      <c r="E48">
        <v>1</v>
      </c>
      <c r="F48">
        <v>1</v>
      </c>
      <c r="G48">
        <v>1080</v>
      </c>
      <c r="H48">
        <v>3</v>
      </c>
      <c r="I48" t="s">
        <v>311</v>
      </c>
      <c r="J48" t="s">
        <v>312</v>
      </c>
      <c r="K48" t="s">
        <v>313</v>
      </c>
      <c r="L48">
        <v>1346</v>
      </c>
      <c r="N48">
        <v>1009</v>
      </c>
      <c r="O48" t="s">
        <v>314</v>
      </c>
      <c r="P48" t="s">
        <v>314</v>
      </c>
      <c r="Q48">
        <v>1</v>
      </c>
      <c r="X48">
        <v>2.3E-2</v>
      </c>
      <c r="Y48">
        <v>29.82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3</v>
      </c>
      <c r="AG48">
        <v>2.3E-2</v>
      </c>
      <c r="AH48">
        <v>2</v>
      </c>
      <c r="AI48">
        <v>60257139</v>
      </c>
      <c r="AJ48">
        <v>48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ROW(Source!A37)</f>
        <v>37</v>
      </c>
      <c r="B49">
        <v>60257534</v>
      </c>
      <c r="C49">
        <v>60257133</v>
      </c>
      <c r="D49">
        <v>59038948</v>
      </c>
      <c r="E49">
        <v>1</v>
      </c>
      <c r="F49">
        <v>1</v>
      </c>
      <c r="G49">
        <v>1080</v>
      </c>
      <c r="H49">
        <v>3</v>
      </c>
      <c r="I49" t="s">
        <v>315</v>
      </c>
      <c r="J49" t="s">
        <v>316</v>
      </c>
      <c r="K49" t="s">
        <v>317</v>
      </c>
      <c r="L49">
        <v>1348</v>
      </c>
      <c r="N49">
        <v>1009</v>
      </c>
      <c r="O49" t="s">
        <v>310</v>
      </c>
      <c r="P49" t="s">
        <v>310</v>
      </c>
      <c r="Q49">
        <v>1000</v>
      </c>
      <c r="X49">
        <v>1.8E-5</v>
      </c>
      <c r="Y49">
        <v>18653.07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 t="s">
        <v>3</v>
      </c>
      <c r="AG49">
        <v>1.8E-5</v>
      </c>
      <c r="AH49">
        <v>2</v>
      </c>
      <c r="AI49">
        <v>60257140</v>
      </c>
      <c r="AJ49">
        <v>49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ROW(Source!A37)</f>
        <v>37</v>
      </c>
      <c r="B50">
        <v>60257535</v>
      </c>
      <c r="C50">
        <v>60257133</v>
      </c>
      <c r="D50">
        <v>59040738</v>
      </c>
      <c r="E50">
        <v>1</v>
      </c>
      <c r="F50">
        <v>1</v>
      </c>
      <c r="G50">
        <v>1080</v>
      </c>
      <c r="H50">
        <v>3</v>
      </c>
      <c r="I50" t="s">
        <v>318</v>
      </c>
      <c r="J50" t="s">
        <v>319</v>
      </c>
      <c r="K50" t="s">
        <v>320</v>
      </c>
      <c r="L50">
        <v>1348</v>
      </c>
      <c r="N50">
        <v>1009</v>
      </c>
      <c r="O50" t="s">
        <v>310</v>
      </c>
      <c r="P50" t="s">
        <v>310</v>
      </c>
      <c r="Q50">
        <v>1000</v>
      </c>
      <c r="X50">
        <v>2.3780000000000001E-4</v>
      </c>
      <c r="Y50">
        <v>11487.92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3</v>
      </c>
      <c r="AG50">
        <v>2.3780000000000001E-4</v>
      </c>
      <c r="AH50">
        <v>2</v>
      </c>
      <c r="AI50">
        <v>60257141</v>
      </c>
      <c r="AJ50">
        <v>50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ROW(Source!A37)</f>
        <v>37</v>
      </c>
      <c r="B51">
        <v>60257536</v>
      </c>
      <c r="C51">
        <v>60257133</v>
      </c>
      <c r="D51">
        <v>59041302</v>
      </c>
      <c r="E51">
        <v>1</v>
      </c>
      <c r="F51">
        <v>1</v>
      </c>
      <c r="G51">
        <v>1080</v>
      </c>
      <c r="H51">
        <v>3</v>
      </c>
      <c r="I51" t="s">
        <v>321</v>
      </c>
      <c r="J51" t="s">
        <v>322</v>
      </c>
      <c r="K51" t="s">
        <v>323</v>
      </c>
      <c r="L51">
        <v>1348</v>
      </c>
      <c r="N51">
        <v>1009</v>
      </c>
      <c r="O51" t="s">
        <v>310</v>
      </c>
      <c r="P51" t="s">
        <v>310</v>
      </c>
      <c r="Q51">
        <v>1000</v>
      </c>
      <c r="X51">
        <v>7.0000000000000001E-3</v>
      </c>
      <c r="Y51">
        <v>12089.95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3</v>
      </c>
      <c r="AG51">
        <v>7.0000000000000001E-3</v>
      </c>
      <c r="AH51">
        <v>2</v>
      </c>
      <c r="AI51">
        <v>60257142</v>
      </c>
      <c r="AJ51">
        <v>51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ROW(Source!A37)</f>
        <v>37</v>
      </c>
      <c r="B52">
        <v>60257537</v>
      </c>
      <c r="C52">
        <v>60257133</v>
      </c>
      <c r="D52">
        <v>59039500</v>
      </c>
      <c r="E52">
        <v>1</v>
      </c>
      <c r="F52">
        <v>1</v>
      </c>
      <c r="G52">
        <v>1080</v>
      </c>
      <c r="H52">
        <v>3</v>
      </c>
      <c r="I52" t="s">
        <v>324</v>
      </c>
      <c r="J52" t="s">
        <v>325</v>
      </c>
      <c r="K52" t="s">
        <v>326</v>
      </c>
      <c r="L52">
        <v>1348</v>
      </c>
      <c r="N52">
        <v>1009</v>
      </c>
      <c r="O52" t="s">
        <v>310</v>
      </c>
      <c r="P52" t="s">
        <v>310</v>
      </c>
      <c r="Q52">
        <v>1000</v>
      </c>
      <c r="X52">
        <v>1.0000000000000001E-5</v>
      </c>
      <c r="Y52">
        <v>8582.42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3</v>
      </c>
      <c r="AG52">
        <v>1.0000000000000001E-5</v>
      </c>
      <c r="AH52">
        <v>2</v>
      </c>
      <c r="AI52">
        <v>60257143</v>
      </c>
      <c r="AJ52">
        <v>52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ROW(Source!A37)</f>
        <v>37</v>
      </c>
      <c r="B53">
        <v>60257538</v>
      </c>
      <c r="C53">
        <v>60257133</v>
      </c>
      <c r="D53">
        <v>59039504</v>
      </c>
      <c r="E53">
        <v>1</v>
      </c>
      <c r="F53">
        <v>1</v>
      </c>
      <c r="G53">
        <v>1080</v>
      </c>
      <c r="H53">
        <v>3</v>
      </c>
      <c r="I53" t="s">
        <v>327</v>
      </c>
      <c r="J53" t="s">
        <v>328</v>
      </c>
      <c r="K53" t="s">
        <v>329</v>
      </c>
      <c r="L53">
        <v>1348</v>
      </c>
      <c r="N53">
        <v>1009</v>
      </c>
      <c r="O53" t="s">
        <v>310</v>
      </c>
      <c r="P53" t="s">
        <v>310</v>
      </c>
      <c r="Q53">
        <v>1000</v>
      </c>
      <c r="X53">
        <v>1.9999999999999999E-6</v>
      </c>
      <c r="Y53">
        <v>12521.99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3</v>
      </c>
      <c r="AG53">
        <v>1.9999999999999999E-6</v>
      </c>
      <c r="AH53">
        <v>2</v>
      </c>
      <c r="AI53">
        <v>60257144</v>
      </c>
      <c r="AJ53">
        <v>53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ROW(Source!A37)</f>
        <v>37</v>
      </c>
      <c r="B54">
        <v>60257539</v>
      </c>
      <c r="C54">
        <v>60257133</v>
      </c>
      <c r="D54">
        <v>59021283</v>
      </c>
      <c r="E54">
        <v>1080</v>
      </c>
      <c r="F54">
        <v>1</v>
      </c>
      <c r="G54">
        <v>1080</v>
      </c>
      <c r="H54">
        <v>3</v>
      </c>
      <c r="I54" t="s">
        <v>440</v>
      </c>
      <c r="J54" t="s">
        <v>3</v>
      </c>
      <c r="K54" t="s">
        <v>441</v>
      </c>
      <c r="L54">
        <v>1354</v>
      </c>
      <c r="N54">
        <v>1010</v>
      </c>
      <c r="O54" t="s">
        <v>31</v>
      </c>
      <c r="P54" t="s">
        <v>31</v>
      </c>
      <c r="Q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3</v>
      </c>
      <c r="AG54">
        <v>1</v>
      </c>
      <c r="AH54">
        <v>3</v>
      </c>
      <c r="AI54">
        <v>-1</v>
      </c>
      <c r="AJ54" t="s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ROW(Source!A40)</f>
        <v>40</v>
      </c>
      <c r="B55">
        <v>60257540</v>
      </c>
      <c r="C55">
        <v>60257159</v>
      </c>
      <c r="D55">
        <v>58999254</v>
      </c>
      <c r="E55">
        <v>1080</v>
      </c>
      <c r="F55">
        <v>1</v>
      </c>
      <c r="G55">
        <v>1080</v>
      </c>
      <c r="H55">
        <v>1</v>
      </c>
      <c r="I55" t="s">
        <v>293</v>
      </c>
      <c r="J55" t="s">
        <v>3</v>
      </c>
      <c r="K55" t="s">
        <v>294</v>
      </c>
      <c r="L55">
        <v>1191</v>
      </c>
      <c r="N55">
        <v>1013</v>
      </c>
      <c r="O55" t="s">
        <v>295</v>
      </c>
      <c r="P55" t="s">
        <v>295</v>
      </c>
      <c r="Q55">
        <v>1</v>
      </c>
      <c r="X55">
        <v>33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1</v>
      </c>
      <c r="AF55" t="s">
        <v>23</v>
      </c>
      <c r="AG55">
        <v>36.300000000000004</v>
      </c>
      <c r="AH55">
        <v>2</v>
      </c>
      <c r="AI55">
        <v>60257160</v>
      </c>
      <c r="AJ55">
        <v>55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ROW(Source!A40)</f>
        <v>40</v>
      </c>
      <c r="B56">
        <v>60257541</v>
      </c>
      <c r="C56">
        <v>60257159</v>
      </c>
      <c r="D56">
        <v>59040215</v>
      </c>
      <c r="E56">
        <v>1</v>
      </c>
      <c r="F56">
        <v>1</v>
      </c>
      <c r="G56">
        <v>1080</v>
      </c>
      <c r="H56">
        <v>3</v>
      </c>
      <c r="I56" t="s">
        <v>330</v>
      </c>
      <c r="J56" t="s">
        <v>331</v>
      </c>
      <c r="K56" t="s">
        <v>332</v>
      </c>
      <c r="L56">
        <v>1255</v>
      </c>
      <c r="N56">
        <v>1013</v>
      </c>
      <c r="O56" t="s">
        <v>333</v>
      </c>
      <c r="P56" t="s">
        <v>333</v>
      </c>
      <c r="Q56">
        <v>1</v>
      </c>
      <c r="X56">
        <v>1.1000000000000001</v>
      </c>
      <c r="Y56">
        <v>0.42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3</v>
      </c>
      <c r="AG56">
        <v>1.1000000000000001</v>
      </c>
      <c r="AH56">
        <v>2</v>
      </c>
      <c r="AI56">
        <v>60257161</v>
      </c>
      <c r="AJ56">
        <v>56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ROW(Source!A40)</f>
        <v>40</v>
      </c>
      <c r="B57">
        <v>60257542</v>
      </c>
      <c r="C57">
        <v>60257159</v>
      </c>
      <c r="D57">
        <v>59039461</v>
      </c>
      <c r="E57">
        <v>1</v>
      </c>
      <c r="F57">
        <v>1</v>
      </c>
      <c r="G57">
        <v>1080</v>
      </c>
      <c r="H57">
        <v>3</v>
      </c>
      <c r="I57" t="s">
        <v>334</v>
      </c>
      <c r="J57" t="s">
        <v>335</v>
      </c>
      <c r="K57" t="s">
        <v>336</v>
      </c>
      <c r="L57">
        <v>1348</v>
      </c>
      <c r="N57">
        <v>1009</v>
      </c>
      <c r="O57" t="s">
        <v>310</v>
      </c>
      <c r="P57" t="s">
        <v>310</v>
      </c>
      <c r="Q57">
        <v>1000</v>
      </c>
      <c r="X57">
        <v>1.9000000000000001E-4</v>
      </c>
      <c r="Y57">
        <v>60960.43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3</v>
      </c>
      <c r="AG57">
        <v>1.9000000000000001E-4</v>
      </c>
      <c r="AH57">
        <v>2</v>
      </c>
      <c r="AI57">
        <v>60257162</v>
      </c>
      <c r="AJ57">
        <v>57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ROW(Source!A40)</f>
        <v>40</v>
      </c>
      <c r="B58">
        <v>60257543</v>
      </c>
      <c r="C58">
        <v>60257159</v>
      </c>
      <c r="D58">
        <v>59045949</v>
      </c>
      <c r="E58">
        <v>1</v>
      </c>
      <c r="F58">
        <v>1</v>
      </c>
      <c r="G58">
        <v>1080</v>
      </c>
      <c r="H58">
        <v>3</v>
      </c>
      <c r="I58" t="s">
        <v>337</v>
      </c>
      <c r="J58" t="s">
        <v>338</v>
      </c>
      <c r="K58" t="s">
        <v>339</v>
      </c>
      <c r="L58">
        <v>1349</v>
      </c>
      <c r="N58">
        <v>1009</v>
      </c>
      <c r="O58" t="s">
        <v>340</v>
      </c>
      <c r="P58" t="s">
        <v>340</v>
      </c>
      <c r="Q58">
        <v>1E-3</v>
      </c>
      <c r="X58">
        <v>20</v>
      </c>
      <c r="Y58">
        <v>7.0000000000000007E-2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3</v>
      </c>
      <c r="AG58">
        <v>20</v>
      </c>
      <c r="AH58">
        <v>2</v>
      </c>
      <c r="AI58">
        <v>60257163</v>
      </c>
      <c r="AJ58">
        <v>58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ROW(Source!A40)</f>
        <v>40</v>
      </c>
      <c r="B59">
        <v>60257544</v>
      </c>
      <c r="C59">
        <v>60257159</v>
      </c>
      <c r="D59">
        <v>59062734</v>
      </c>
      <c r="E59">
        <v>1</v>
      </c>
      <c r="F59">
        <v>1</v>
      </c>
      <c r="G59">
        <v>1080</v>
      </c>
      <c r="H59">
        <v>3</v>
      </c>
      <c r="I59" t="s">
        <v>341</v>
      </c>
      <c r="J59" t="s">
        <v>342</v>
      </c>
      <c r="K59" t="s">
        <v>343</v>
      </c>
      <c r="L59">
        <v>1356</v>
      </c>
      <c r="N59">
        <v>1010</v>
      </c>
      <c r="O59" t="s">
        <v>74</v>
      </c>
      <c r="P59" t="s">
        <v>74</v>
      </c>
      <c r="Q59">
        <v>1000</v>
      </c>
      <c r="X59">
        <v>0.04</v>
      </c>
      <c r="Y59">
        <v>226.66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3</v>
      </c>
      <c r="AG59">
        <v>0.04</v>
      </c>
      <c r="AH59">
        <v>2</v>
      </c>
      <c r="AI59">
        <v>60257164</v>
      </c>
      <c r="AJ59">
        <v>59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ROW(Source!A40)</f>
        <v>40</v>
      </c>
      <c r="B60">
        <v>60257545</v>
      </c>
      <c r="C60">
        <v>60257159</v>
      </c>
      <c r="D60">
        <v>59062764</v>
      </c>
      <c r="E60">
        <v>1</v>
      </c>
      <c r="F60">
        <v>1</v>
      </c>
      <c r="G60">
        <v>1080</v>
      </c>
      <c r="H60">
        <v>3</v>
      </c>
      <c r="I60" t="s">
        <v>344</v>
      </c>
      <c r="J60" t="s">
        <v>345</v>
      </c>
      <c r="K60" t="s">
        <v>346</v>
      </c>
      <c r="L60">
        <v>1346</v>
      </c>
      <c r="N60">
        <v>1009</v>
      </c>
      <c r="O60" t="s">
        <v>314</v>
      </c>
      <c r="P60" t="s">
        <v>314</v>
      </c>
      <c r="Q60">
        <v>1</v>
      </c>
      <c r="X60">
        <v>0.11</v>
      </c>
      <c r="Y60">
        <v>493.08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3</v>
      </c>
      <c r="AG60">
        <v>0.11</v>
      </c>
      <c r="AH60">
        <v>2</v>
      </c>
      <c r="AI60">
        <v>60257165</v>
      </c>
      <c r="AJ60">
        <v>60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ROW(Source!A40)</f>
        <v>40</v>
      </c>
      <c r="B61">
        <v>60257546</v>
      </c>
      <c r="C61">
        <v>60257159</v>
      </c>
      <c r="D61">
        <v>59037371</v>
      </c>
      <c r="E61">
        <v>1080</v>
      </c>
      <c r="F61">
        <v>1</v>
      </c>
      <c r="G61">
        <v>1080</v>
      </c>
      <c r="H61">
        <v>3</v>
      </c>
      <c r="I61" t="s">
        <v>444</v>
      </c>
      <c r="J61" t="s">
        <v>3</v>
      </c>
      <c r="K61" t="s">
        <v>445</v>
      </c>
      <c r="L61">
        <v>1354</v>
      </c>
      <c r="N61">
        <v>1010</v>
      </c>
      <c r="O61" t="s">
        <v>31</v>
      </c>
      <c r="P61" t="s">
        <v>31</v>
      </c>
      <c r="Q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3</v>
      </c>
      <c r="AG61">
        <v>1</v>
      </c>
      <c r="AH61">
        <v>3</v>
      </c>
      <c r="AI61">
        <v>-1</v>
      </c>
      <c r="AJ61" t="s">
        <v>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ROW(Source!A40)</f>
        <v>40</v>
      </c>
      <c r="B62">
        <v>60257547</v>
      </c>
      <c r="C62">
        <v>60257159</v>
      </c>
      <c r="D62">
        <v>59004256</v>
      </c>
      <c r="E62">
        <v>1080</v>
      </c>
      <c r="F62">
        <v>1</v>
      </c>
      <c r="G62">
        <v>1080</v>
      </c>
      <c r="H62">
        <v>3</v>
      </c>
      <c r="I62" t="s">
        <v>347</v>
      </c>
      <c r="J62" t="s">
        <v>3</v>
      </c>
      <c r="K62" t="s">
        <v>348</v>
      </c>
      <c r="L62">
        <v>1348</v>
      </c>
      <c r="N62">
        <v>1009</v>
      </c>
      <c r="O62" t="s">
        <v>310</v>
      </c>
      <c r="P62" t="s">
        <v>310</v>
      </c>
      <c r="Q62">
        <v>1000</v>
      </c>
      <c r="X62">
        <v>7.4999999999999997E-2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3</v>
      </c>
      <c r="AG62">
        <v>7.4999999999999997E-2</v>
      </c>
      <c r="AH62">
        <v>2</v>
      </c>
      <c r="AI62">
        <v>60257166</v>
      </c>
      <c r="AJ62">
        <v>61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ROW(Source!A41)</f>
        <v>41</v>
      </c>
      <c r="B63">
        <v>60257540</v>
      </c>
      <c r="C63">
        <v>60257159</v>
      </c>
      <c r="D63">
        <v>58999254</v>
      </c>
      <c r="E63">
        <v>1080</v>
      </c>
      <c r="F63">
        <v>1</v>
      </c>
      <c r="G63">
        <v>1080</v>
      </c>
      <c r="H63">
        <v>1</v>
      </c>
      <c r="I63" t="s">
        <v>293</v>
      </c>
      <c r="J63" t="s">
        <v>3</v>
      </c>
      <c r="K63" t="s">
        <v>294</v>
      </c>
      <c r="L63">
        <v>1191</v>
      </c>
      <c r="N63">
        <v>1013</v>
      </c>
      <c r="O63" t="s">
        <v>295</v>
      </c>
      <c r="P63" t="s">
        <v>295</v>
      </c>
      <c r="Q63">
        <v>1</v>
      </c>
      <c r="X63">
        <v>33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1</v>
      </c>
      <c r="AF63" t="s">
        <v>23</v>
      </c>
      <c r="AG63">
        <v>36.300000000000004</v>
      </c>
      <c r="AH63">
        <v>2</v>
      </c>
      <c r="AI63">
        <v>60257160</v>
      </c>
      <c r="AJ63">
        <v>63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ROW(Source!A41)</f>
        <v>41</v>
      </c>
      <c r="B64">
        <v>60257541</v>
      </c>
      <c r="C64">
        <v>60257159</v>
      </c>
      <c r="D64">
        <v>59040215</v>
      </c>
      <c r="E64">
        <v>1</v>
      </c>
      <c r="F64">
        <v>1</v>
      </c>
      <c r="G64">
        <v>1080</v>
      </c>
      <c r="H64">
        <v>3</v>
      </c>
      <c r="I64" t="s">
        <v>330</v>
      </c>
      <c r="J64" t="s">
        <v>331</v>
      </c>
      <c r="K64" t="s">
        <v>332</v>
      </c>
      <c r="L64">
        <v>1255</v>
      </c>
      <c r="N64">
        <v>1013</v>
      </c>
      <c r="O64" t="s">
        <v>333</v>
      </c>
      <c r="P64" t="s">
        <v>333</v>
      </c>
      <c r="Q64">
        <v>1</v>
      </c>
      <c r="X64">
        <v>1.1000000000000001</v>
      </c>
      <c r="Y64">
        <v>0.42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3</v>
      </c>
      <c r="AG64">
        <v>1.1000000000000001</v>
      </c>
      <c r="AH64">
        <v>2</v>
      </c>
      <c r="AI64">
        <v>60257161</v>
      </c>
      <c r="AJ64">
        <v>64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ROW(Source!A41)</f>
        <v>41</v>
      </c>
      <c r="B65">
        <v>60257542</v>
      </c>
      <c r="C65">
        <v>60257159</v>
      </c>
      <c r="D65">
        <v>59039461</v>
      </c>
      <c r="E65">
        <v>1</v>
      </c>
      <c r="F65">
        <v>1</v>
      </c>
      <c r="G65">
        <v>1080</v>
      </c>
      <c r="H65">
        <v>3</v>
      </c>
      <c r="I65" t="s">
        <v>334</v>
      </c>
      <c r="J65" t="s">
        <v>335</v>
      </c>
      <c r="K65" t="s">
        <v>336</v>
      </c>
      <c r="L65">
        <v>1348</v>
      </c>
      <c r="N65">
        <v>1009</v>
      </c>
      <c r="O65" t="s">
        <v>310</v>
      </c>
      <c r="P65" t="s">
        <v>310</v>
      </c>
      <c r="Q65">
        <v>1000</v>
      </c>
      <c r="X65">
        <v>1.9000000000000001E-4</v>
      </c>
      <c r="Y65">
        <v>60960.43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 t="s">
        <v>3</v>
      </c>
      <c r="AG65">
        <v>1.9000000000000001E-4</v>
      </c>
      <c r="AH65">
        <v>2</v>
      </c>
      <c r="AI65">
        <v>60257162</v>
      </c>
      <c r="AJ65">
        <v>65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ROW(Source!A41)</f>
        <v>41</v>
      </c>
      <c r="B66">
        <v>60257543</v>
      </c>
      <c r="C66">
        <v>60257159</v>
      </c>
      <c r="D66">
        <v>59045949</v>
      </c>
      <c r="E66">
        <v>1</v>
      </c>
      <c r="F66">
        <v>1</v>
      </c>
      <c r="G66">
        <v>1080</v>
      </c>
      <c r="H66">
        <v>3</v>
      </c>
      <c r="I66" t="s">
        <v>337</v>
      </c>
      <c r="J66" t="s">
        <v>338</v>
      </c>
      <c r="K66" t="s">
        <v>339</v>
      </c>
      <c r="L66">
        <v>1349</v>
      </c>
      <c r="N66">
        <v>1009</v>
      </c>
      <c r="O66" t="s">
        <v>340</v>
      </c>
      <c r="P66" t="s">
        <v>340</v>
      </c>
      <c r="Q66">
        <v>1E-3</v>
      </c>
      <c r="X66">
        <v>20</v>
      </c>
      <c r="Y66">
        <v>7.0000000000000007E-2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3</v>
      </c>
      <c r="AG66">
        <v>20</v>
      </c>
      <c r="AH66">
        <v>2</v>
      </c>
      <c r="AI66">
        <v>60257163</v>
      </c>
      <c r="AJ66">
        <v>66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ROW(Source!A41)</f>
        <v>41</v>
      </c>
      <c r="B67">
        <v>60257544</v>
      </c>
      <c r="C67">
        <v>60257159</v>
      </c>
      <c r="D67">
        <v>59062734</v>
      </c>
      <c r="E67">
        <v>1</v>
      </c>
      <c r="F67">
        <v>1</v>
      </c>
      <c r="G67">
        <v>1080</v>
      </c>
      <c r="H67">
        <v>3</v>
      </c>
      <c r="I67" t="s">
        <v>341</v>
      </c>
      <c r="J67" t="s">
        <v>342</v>
      </c>
      <c r="K67" t="s">
        <v>343</v>
      </c>
      <c r="L67">
        <v>1356</v>
      </c>
      <c r="N67">
        <v>1010</v>
      </c>
      <c r="O67" t="s">
        <v>74</v>
      </c>
      <c r="P67" t="s">
        <v>74</v>
      </c>
      <c r="Q67">
        <v>1000</v>
      </c>
      <c r="X67">
        <v>0.04</v>
      </c>
      <c r="Y67">
        <v>226.66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3</v>
      </c>
      <c r="AG67">
        <v>0.04</v>
      </c>
      <c r="AH67">
        <v>2</v>
      </c>
      <c r="AI67">
        <v>60257164</v>
      </c>
      <c r="AJ67">
        <v>67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ROW(Source!A41)</f>
        <v>41</v>
      </c>
      <c r="B68">
        <v>60257545</v>
      </c>
      <c r="C68">
        <v>60257159</v>
      </c>
      <c r="D68">
        <v>59062764</v>
      </c>
      <c r="E68">
        <v>1</v>
      </c>
      <c r="F68">
        <v>1</v>
      </c>
      <c r="G68">
        <v>1080</v>
      </c>
      <c r="H68">
        <v>3</v>
      </c>
      <c r="I68" t="s">
        <v>344</v>
      </c>
      <c r="J68" t="s">
        <v>345</v>
      </c>
      <c r="K68" t="s">
        <v>346</v>
      </c>
      <c r="L68">
        <v>1346</v>
      </c>
      <c r="N68">
        <v>1009</v>
      </c>
      <c r="O68" t="s">
        <v>314</v>
      </c>
      <c r="P68" t="s">
        <v>314</v>
      </c>
      <c r="Q68">
        <v>1</v>
      </c>
      <c r="X68">
        <v>0.11</v>
      </c>
      <c r="Y68">
        <v>493.08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3</v>
      </c>
      <c r="AG68">
        <v>0.11</v>
      </c>
      <c r="AH68">
        <v>2</v>
      </c>
      <c r="AI68">
        <v>60257165</v>
      </c>
      <c r="AJ68">
        <v>68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ROW(Source!A41)</f>
        <v>41</v>
      </c>
      <c r="B69">
        <v>60257546</v>
      </c>
      <c r="C69">
        <v>60257159</v>
      </c>
      <c r="D69">
        <v>59037371</v>
      </c>
      <c r="E69">
        <v>1080</v>
      </c>
      <c r="F69">
        <v>1</v>
      </c>
      <c r="G69">
        <v>1080</v>
      </c>
      <c r="H69">
        <v>3</v>
      </c>
      <c r="I69" t="s">
        <v>444</v>
      </c>
      <c r="J69" t="s">
        <v>3</v>
      </c>
      <c r="K69" t="s">
        <v>445</v>
      </c>
      <c r="L69">
        <v>1354</v>
      </c>
      <c r="N69">
        <v>1010</v>
      </c>
      <c r="O69" t="s">
        <v>31</v>
      </c>
      <c r="P69" t="s">
        <v>31</v>
      </c>
      <c r="Q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3</v>
      </c>
      <c r="AG69">
        <v>1</v>
      </c>
      <c r="AH69">
        <v>3</v>
      </c>
      <c r="AI69">
        <v>-1</v>
      </c>
      <c r="AJ69" t="s">
        <v>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ROW(Source!A41)</f>
        <v>41</v>
      </c>
      <c r="B70">
        <v>60257547</v>
      </c>
      <c r="C70">
        <v>60257159</v>
      </c>
      <c r="D70">
        <v>59004256</v>
      </c>
      <c r="E70">
        <v>1080</v>
      </c>
      <c r="F70">
        <v>1</v>
      </c>
      <c r="G70">
        <v>1080</v>
      </c>
      <c r="H70">
        <v>3</v>
      </c>
      <c r="I70" t="s">
        <v>347</v>
      </c>
      <c r="J70" t="s">
        <v>3</v>
      </c>
      <c r="K70" t="s">
        <v>348</v>
      </c>
      <c r="L70">
        <v>1348</v>
      </c>
      <c r="N70">
        <v>1009</v>
      </c>
      <c r="O70" t="s">
        <v>310</v>
      </c>
      <c r="P70" t="s">
        <v>310</v>
      </c>
      <c r="Q70">
        <v>1000</v>
      </c>
      <c r="X70">
        <v>7.4999999999999997E-2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3</v>
      </c>
      <c r="AG70">
        <v>7.4999999999999997E-2</v>
      </c>
      <c r="AH70">
        <v>2</v>
      </c>
      <c r="AI70">
        <v>60257166</v>
      </c>
      <c r="AJ70">
        <v>69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ROW(Source!A44)</f>
        <v>44</v>
      </c>
      <c r="B71">
        <v>60257668</v>
      </c>
      <c r="C71">
        <v>60257667</v>
      </c>
      <c r="D71">
        <v>58999254</v>
      </c>
      <c r="E71">
        <v>1080</v>
      </c>
      <c r="F71">
        <v>1</v>
      </c>
      <c r="G71">
        <v>1080</v>
      </c>
      <c r="H71">
        <v>1</v>
      </c>
      <c r="I71" t="s">
        <v>293</v>
      </c>
      <c r="J71" t="s">
        <v>3</v>
      </c>
      <c r="K71" t="s">
        <v>294</v>
      </c>
      <c r="L71">
        <v>1191</v>
      </c>
      <c r="N71">
        <v>1013</v>
      </c>
      <c r="O71" t="s">
        <v>295</v>
      </c>
      <c r="P71" t="s">
        <v>295</v>
      </c>
      <c r="Q71">
        <v>1</v>
      </c>
      <c r="X71">
        <v>18.84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 t="s">
        <v>23</v>
      </c>
      <c r="AG71">
        <v>20.724</v>
      </c>
      <c r="AH71">
        <v>2</v>
      </c>
      <c r="AI71">
        <v>60257668</v>
      </c>
      <c r="AJ71">
        <v>71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ROW(Source!A44)</f>
        <v>44</v>
      </c>
      <c r="B72">
        <v>60257669</v>
      </c>
      <c r="C72">
        <v>60257667</v>
      </c>
      <c r="D72">
        <v>59070669</v>
      </c>
      <c r="E72">
        <v>1</v>
      </c>
      <c r="F72">
        <v>1</v>
      </c>
      <c r="G72">
        <v>1080</v>
      </c>
      <c r="H72">
        <v>2</v>
      </c>
      <c r="I72" t="s">
        <v>300</v>
      </c>
      <c r="J72" t="s">
        <v>301</v>
      </c>
      <c r="K72" t="s">
        <v>302</v>
      </c>
      <c r="L72">
        <v>1368</v>
      </c>
      <c r="N72">
        <v>1011</v>
      </c>
      <c r="O72" t="s">
        <v>299</v>
      </c>
      <c r="P72" t="s">
        <v>299</v>
      </c>
      <c r="Q72">
        <v>1</v>
      </c>
      <c r="X72">
        <v>0.01</v>
      </c>
      <c r="Y72">
        <v>0</v>
      </c>
      <c r="Z72">
        <v>83.1</v>
      </c>
      <c r="AA72">
        <v>12.62</v>
      </c>
      <c r="AB72">
        <v>0</v>
      </c>
      <c r="AC72">
        <v>0</v>
      </c>
      <c r="AD72">
        <v>1</v>
      </c>
      <c r="AE72">
        <v>0</v>
      </c>
      <c r="AF72" t="s">
        <v>23</v>
      </c>
      <c r="AG72">
        <v>1.1000000000000001E-2</v>
      </c>
      <c r="AH72">
        <v>2</v>
      </c>
      <c r="AI72">
        <v>60257669</v>
      </c>
      <c r="AJ72">
        <v>72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ROW(Source!A44)</f>
        <v>44</v>
      </c>
      <c r="B73">
        <v>60257670</v>
      </c>
      <c r="C73">
        <v>60257667</v>
      </c>
      <c r="D73">
        <v>59014300</v>
      </c>
      <c r="E73">
        <v>1080</v>
      </c>
      <c r="F73">
        <v>1</v>
      </c>
      <c r="G73">
        <v>1080</v>
      </c>
      <c r="H73">
        <v>3</v>
      </c>
      <c r="I73" t="s">
        <v>446</v>
      </c>
      <c r="J73" t="s">
        <v>3</v>
      </c>
      <c r="K73" t="s">
        <v>447</v>
      </c>
      <c r="L73">
        <v>1354</v>
      </c>
      <c r="N73">
        <v>1010</v>
      </c>
      <c r="O73" t="s">
        <v>31</v>
      </c>
      <c r="P73" t="s">
        <v>31</v>
      </c>
      <c r="Q73">
        <v>1</v>
      </c>
      <c r="X73">
        <v>102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3</v>
      </c>
      <c r="AG73">
        <v>102</v>
      </c>
      <c r="AH73">
        <v>3</v>
      </c>
      <c r="AI73">
        <v>-1</v>
      </c>
      <c r="AJ73" t="s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ROW(Source!A45)</f>
        <v>45</v>
      </c>
      <c r="B74">
        <v>60257668</v>
      </c>
      <c r="C74">
        <v>60257667</v>
      </c>
      <c r="D74">
        <v>58999254</v>
      </c>
      <c r="E74">
        <v>1080</v>
      </c>
      <c r="F74">
        <v>1</v>
      </c>
      <c r="G74">
        <v>1080</v>
      </c>
      <c r="H74">
        <v>1</v>
      </c>
      <c r="I74" t="s">
        <v>293</v>
      </c>
      <c r="J74" t="s">
        <v>3</v>
      </c>
      <c r="K74" t="s">
        <v>294</v>
      </c>
      <c r="L74">
        <v>1191</v>
      </c>
      <c r="N74">
        <v>1013</v>
      </c>
      <c r="O74" t="s">
        <v>295</v>
      </c>
      <c r="P74" t="s">
        <v>295</v>
      </c>
      <c r="Q74">
        <v>1</v>
      </c>
      <c r="X74">
        <v>18.84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1</v>
      </c>
      <c r="AF74" t="s">
        <v>23</v>
      </c>
      <c r="AG74">
        <v>20.724</v>
      </c>
      <c r="AH74">
        <v>2</v>
      </c>
      <c r="AI74">
        <v>60257668</v>
      </c>
      <c r="AJ74">
        <v>75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ROW(Source!A45)</f>
        <v>45</v>
      </c>
      <c r="B75">
        <v>60257669</v>
      </c>
      <c r="C75">
        <v>60257667</v>
      </c>
      <c r="D75">
        <v>59070669</v>
      </c>
      <c r="E75">
        <v>1</v>
      </c>
      <c r="F75">
        <v>1</v>
      </c>
      <c r="G75">
        <v>1080</v>
      </c>
      <c r="H75">
        <v>2</v>
      </c>
      <c r="I75" t="s">
        <v>300</v>
      </c>
      <c r="J75" t="s">
        <v>301</v>
      </c>
      <c r="K75" t="s">
        <v>302</v>
      </c>
      <c r="L75">
        <v>1368</v>
      </c>
      <c r="N75">
        <v>1011</v>
      </c>
      <c r="O75" t="s">
        <v>299</v>
      </c>
      <c r="P75" t="s">
        <v>299</v>
      </c>
      <c r="Q75">
        <v>1</v>
      </c>
      <c r="X75">
        <v>0.01</v>
      </c>
      <c r="Y75">
        <v>0</v>
      </c>
      <c r="Z75">
        <v>83.1</v>
      </c>
      <c r="AA75">
        <v>12.62</v>
      </c>
      <c r="AB75">
        <v>0</v>
      </c>
      <c r="AC75">
        <v>0</v>
      </c>
      <c r="AD75">
        <v>1</v>
      </c>
      <c r="AE75">
        <v>0</v>
      </c>
      <c r="AF75" t="s">
        <v>23</v>
      </c>
      <c r="AG75">
        <v>1.1000000000000001E-2</v>
      </c>
      <c r="AH75">
        <v>2</v>
      </c>
      <c r="AI75">
        <v>60257669</v>
      </c>
      <c r="AJ75">
        <v>76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ROW(Source!A45)</f>
        <v>45</v>
      </c>
      <c r="B76">
        <v>60257670</v>
      </c>
      <c r="C76">
        <v>60257667</v>
      </c>
      <c r="D76">
        <v>59014300</v>
      </c>
      <c r="E76">
        <v>1080</v>
      </c>
      <c r="F76">
        <v>1</v>
      </c>
      <c r="G76">
        <v>1080</v>
      </c>
      <c r="H76">
        <v>3</v>
      </c>
      <c r="I76" t="s">
        <v>446</v>
      </c>
      <c r="J76" t="s">
        <v>3</v>
      </c>
      <c r="K76" t="s">
        <v>447</v>
      </c>
      <c r="L76">
        <v>1354</v>
      </c>
      <c r="N76">
        <v>1010</v>
      </c>
      <c r="O76" t="s">
        <v>31</v>
      </c>
      <c r="P76" t="s">
        <v>31</v>
      </c>
      <c r="Q76">
        <v>1</v>
      </c>
      <c r="X76">
        <v>102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t="s">
        <v>3</v>
      </c>
      <c r="AG76">
        <v>102</v>
      </c>
      <c r="AH76">
        <v>3</v>
      </c>
      <c r="AI76">
        <v>-1</v>
      </c>
      <c r="AJ76" t="s">
        <v>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ROW(Source!A85)</f>
        <v>85</v>
      </c>
      <c r="B77">
        <v>60257548</v>
      </c>
      <c r="C77">
        <v>60257253</v>
      </c>
      <c r="D77">
        <v>58999254</v>
      </c>
      <c r="E77">
        <v>1080</v>
      </c>
      <c r="F77">
        <v>1</v>
      </c>
      <c r="G77">
        <v>1080</v>
      </c>
      <c r="H77">
        <v>1</v>
      </c>
      <c r="I77" t="s">
        <v>293</v>
      </c>
      <c r="J77" t="s">
        <v>3</v>
      </c>
      <c r="K77" t="s">
        <v>294</v>
      </c>
      <c r="L77">
        <v>1191</v>
      </c>
      <c r="N77">
        <v>1013</v>
      </c>
      <c r="O77" t="s">
        <v>295</v>
      </c>
      <c r="P77" t="s">
        <v>295</v>
      </c>
      <c r="Q77">
        <v>1</v>
      </c>
      <c r="X77">
        <v>15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1</v>
      </c>
      <c r="AF77" t="s">
        <v>23</v>
      </c>
      <c r="AG77">
        <v>16.5</v>
      </c>
      <c r="AH77">
        <v>2</v>
      </c>
      <c r="AI77">
        <v>60257254</v>
      </c>
      <c r="AJ77">
        <v>79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ROW(Source!A85)</f>
        <v>85</v>
      </c>
      <c r="B78">
        <v>60257549</v>
      </c>
      <c r="C78">
        <v>60257253</v>
      </c>
      <c r="D78">
        <v>59008656</v>
      </c>
      <c r="E78">
        <v>1080</v>
      </c>
      <c r="F78">
        <v>1</v>
      </c>
      <c r="G78">
        <v>1080</v>
      </c>
      <c r="H78">
        <v>3</v>
      </c>
      <c r="I78" t="s">
        <v>448</v>
      </c>
      <c r="J78" t="s">
        <v>3</v>
      </c>
      <c r="K78" t="s">
        <v>449</v>
      </c>
      <c r="L78">
        <v>1301</v>
      </c>
      <c r="N78">
        <v>1003</v>
      </c>
      <c r="O78" t="s">
        <v>139</v>
      </c>
      <c r="P78" t="s">
        <v>139</v>
      </c>
      <c r="Q78">
        <v>1</v>
      </c>
      <c r="X78">
        <v>102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3</v>
      </c>
      <c r="AG78">
        <v>102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ROW(Source!A85)</f>
        <v>85</v>
      </c>
      <c r="B79">
        <v>60257550</v>
      </c>
      <c r="C79">
        <v>60257253</v>
      </c>
      <c r="D79">
        <v>59011823</v>
      </c>
      <c r="E79">
        <v>1080</v>
      </c>
      <c r="F79">
        <v>1</v>
      </c>
      <c r="G79">
        <v>1080</v>
      </c>
      <c r="H79">
        <v>3</v>
      </c>
      <c r="I79" t="s">
        <v>450</v>
      </c>
      <c r="J79" t="s">
        <v>3</v>
      </c>
      <c r="K79" t="s">
        <v>451</v>
      </c>
      <c r="L79">
        <v>1354</v>
      </c>
      <c r="N79">
        <v>1010</v>
      </c>
      <c r="O79" t="s">
        <v>31</v>
      </c>
      <c r="P79" t="s">
        <v>31</v>
      </c>
      <c r="Q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 t="s">
        <v>3</v>
      </c>
      <c r="AG79">
        <v>0</v>
      </c>
      <c r="AH79">
        <v>3</v>
      </c>
      <c r="AI79">
        <v>-1</v>
      </c>
      <c r="AJ79" t="s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ROW(Source!A85)</f>
        <v>85</v>
      </c>
      <c r="B80">
        <v>60257551</v>
      </c>
      <c r="C80">
        <v>60257253</v>
      </c>
      <c r="D80">
        <v>59012395</v>
      </c>
      <c r="E80">
        <v>1080</v>
      </c>
      <c r="F80">
        <v>1</v>
      </c>
      <c r="G80">
        <v>1080</v>
      </c>
      <c r="H80">
        <v>3</v>
      </c>
      <c r="I80" t="s">
        <v>452</v>
      </c>
      <c r="J80" t="s">
        <v>3</v>
      </c>
      <c r="K80" t="s">
        <v>453</v>
      </c>
      <c r="L80">
        <v>1354</v>
      </c>
      <c r="N80">
        <v>1010</v>
      </c>
      <c r="O80" t="s">
        <v>31</v>
      </c>
      <c r="P80" t="s">
        <v>31</v>
      </c>
      <c r="Q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3</v>
      </c>
      <c r="AG80">
        <v>0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ROW(Source!A86)</f>
        <v>86</v>
      </c>
      <c r="B81">
        <v>60257548</v>
      </c>
      <c r="C81">
        <v>60257253</v>
      </c>
      <c r="D81">
        <v>58999254</v>
      </c>
      <c r="E81">
        <v>1080</v>
      </c>
      <c r="F81">
        <v>1</v>
      </c>
      <c r="G81">
        <v>1080</v>
      </c>
      <c r="H81">
        <v>1</v>
      </c>
      <c r="I81" t="s">
        <v>293</v>
      </c>
      <c r="J81" t="s">
        <v>3</v>
      </c>
      <c r="K81" t="s">
        <v>294</v>
      </c>
      <c r="L81">
        <v>1191</v>
      </c>
      <c r="N81">
        <v>1013</v>
      </c>
      <c r="O81" t="s">
        <v>295</v>
      </c>
      <c r="P81" t="s">
        <v>295</v>
      </c>
      <c r="Q81">
        <v>1</v>
      </c>
      <c r="X81">
        <v>15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 t="s">
        <v>23</v>
      </c>
      <c r="AG81">
        <v>16.5</v>
      </c>
      <c r="AH81">
        <v>2</v>
      </c>
      <c r="AI81">
        <v>60257254</v>
      </c>
      <c r="AJ81">
        <v>82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ROW(Source!A86)</f>
        <v>86</v>
      </c>
      <c r="B82">
        <v>60257549</v>
      </c>
      <c r="C82">
        <v>60257253</v>
      </c>
      <c r="D82">
        <v>59008656</v>
      </c>
      <c r="E82">
        <v>1080</v>
      </c>
      <c r="F82">
        <v>1</v>
      </c>
      <c r="G82">
        <v>1080</v>
      </c>
      <c r="H82">
        <v>3</v>
      </c>
      <c r="I82" t="s">
        <v>448</v>
      </c>
      <c r="J82" t="s">
        <v>3</v>
      </c>
      <c r="K82" t="s">
        <v>449</v>
      </c>
      <c r="L82">
        <v>1301</v>
      </c>
      <c r="N82">
        <v>1003</v>
      </c>
      <c r="O82" t="s">
        <v>139</v>
      </c>
      <c r="P82" t="s">
        <v>139</v>
      </c>
      <c r="Q82">
        <v>1</v>
      </c>
      <c r="X82">
        <v>102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3</v>
      </c>
      <c r="AG82">
        <v>102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ROW(Source!A86)</f>
        <v>86</v>
      </c>
      <c r="B83">
        <v>60257550</v>
      </c>
      <c r="C83">
        <v>60257253</v>
      </c>
      <c r="D83">
        <v>59011823</v>
      </c>
      <c r="E83">
        <v>1080</v>
      </c>
      <c r="F83">
        <v>1</v>
      </c>
      <c r="G83">
        <v>1080</v>
      </c>
      <c r="H83">
        <v>3</v>
      </c>
      <c r="I83" t="s">
        <v>450</v>
      </c>
      <c r="J83" t="s">
        <v>3</v>
      </c>
      <c r="K83" t="s">
        <v>451</v>
      </c>
      <c r="L83">
        <v>1354</v>
      </c>
      <c r="N83">
        <v>1010</v>
      </c>
      <c r="O83" t="s">
        <v>31</v>
      </c>
      <c r="P83" t="s">
        <v>31</v>
      </c>
      <c r="Q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 t="s">
        <v>3</v>
      </c>
      <c r="AG83">
        <v>0</v>
      </c>
      <c r="AH83">
        <v>3</v>
      </c>
      <c r="AI83">
        <v>-1</v>
      </c>
      <c r="AJ83" t="s">
        <v>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ROW(Source!A86)</f>
        <v>86</v>
      </c>
      <c r="B84">
        <v>60257551</v>
      </c>
      <c r="C84">
        <v>60257253</v>
      </c>
      <c r="D84">
        <v>59012395</v>
      </c>
      <c r="E84">
        <v>1080</v>
      </c>
      <c r="F84">
        <v>1</v>
      </c>
      <c r="G84">
        <v>1080</v>
      </c>
      <c r="H84">
        <v>3</v>
      </c>
      <c r="I84" t="s">
        <v>452</v>
      </c>
      <c r="J84" t="s">
        <v>3</v>
      </c>
      <c r="K84" t="s">
        <v>453</v>
      </c>
      <c r="L84">
        <v>1354</v>
      </c>
      <c r="N84">
        <v>1010</v>
      </c>
      <c r="O84" t="s">
        <v>31</v>
      </c>
      <c r="P84" t="s">
        <v>31</v>
      </c>
      <c r="Q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3</v>
      </c>
      <c r="AG84">
        <v>0</v>
      </c>
      <c r="AH84">
        <v>3</v>
      </c>
      <c r="AI84">
        <v>-1</v>
      </c>
      <c r="AJ84" t="s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ROW(Source!A91)</f>
        <v>91</v>
      </c>
      <c r="B85">
        <v>60257552</v>
      </c>
      <c r="C85">
        <v>60257263</v>
      </c>
      <c r="D85">
        <v>58999254</v>
      </c>
      <c r="E85">
        <v>1080</v>
      </c>
      <c r="F85">
        <v>1</v>
      </c>
      <c r="G85">
        <v>1080</v>
      </c>
      <c r="H85">
        <v>1</v>
      </c>
      <c r="I85" t="s">
        <v>293</v>
      </c>
      <c r="J85" t="s">
        <v>3</v>
      </c>
      <c r="K85" t="s">
        <v>294</v>
      </c>
      <c r="L85">
        <v>1191</v>
      </c>
      <c r="N85">
        <v>1013</v>
      </c>
      <c r="O85" t="s">
        <v>295</v>
      </c>
      <c r="P85" t="s">
        <v>295</v>
      </c>
      <c r="Q85">
        <v>1</v>
      </c>
      <c r="X85">
        <v>29.9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 t="s">
        <v>23</v>
      </c>
      <c r="AG85">
        <v>32.89</v>
      </c>
      <c r="AH85">
        <v>2</v>
      </c>
      <c r="AI85">
        <v>60257264</v>
      </c>
      <c r="AJ85">
        <v>85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ROW(Source!A91)</f>
        <v>91</v>
      </c>
      <c r="B86">
        <v>60257553</v>
      </c>
      <c r="C86">
        <v>60257263</v>
      </c>
      <c r="D86">
        <v>59070370</v>
      </c>
      <c r="E86">
        <v>1</v>
      </c>
      <c r="F86">
        <v>1</v>
      </c>
      <c r="G86">
        <v>1080</v>
      </c>
      <c r="H86">
        <v>2</v>
      </c>
      <c r="I86" t="s">
        <v>296</v>
      </c>
      <c r="J86" t="s">
        <v>297</v>
      </c>
      <c r="K86" t="s">
        <v>298</v>
      </c>
      <c r="L86">
        <v>1368</v>
      </c>
      <c r="N86">
        <v>1011</v>
      </c>
      <c r="O86" t="s">
        <v>299</v>
      </c>
      <c r="P86" t="s">
        <v>299</v>
      </c>
      <c r="Q86">
        <v>1</v>
      </c>
      <c r="X86">
        <v>15.4</v>
      </c>
      <c r="Y86">
        <v>0</v>
      </c>
      <c r="Z86">
        <v>7.11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23</v>
      </c>
      <c r="AG86">
        <v>16.940000000000001</v>
      </c>
      <c r="AH86">
        <v>2</v>
      </c>
      <c r="AI86">
        <v>60257265</v>
      </c>
      <c r="AJ86">
        <v>86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ROW(Source!A91)</f>
        <v>91</v>
      </c>
      <c r="B87">
        <v>60257554</v>
      </c>
      <c r="C87">
        <v>60257263</v>
      </c>
      <c r="D87">
        <v>59070669</v>
      </c>
      <c r="E87">
        <v>1</v>
      </c>
      <c r="F87">
        <v>1</v>
      </c>
      <c r="G87">
        <v>1080</v>
      </c>
      <c r="H87">
        <v>2</v>
      </c>
      <c r="I87" t="s">
        <v>300</v>
      </c>
      <c r="J87" t="s">
        <v>301</v>
      </c>
      <c r="K87" t="s">
        <v>302</v>
      </c>
      <c r="L87">
        <v>1368</v>
      </c>
      <c r="N87">
        <v>1011</v>
      </c>
      <c r="O87" t="s">
        <v>299</v>
      </c>
      <c r="P87" t="s">
        <v>299</v>
      </c>
      <c r="Q87">
        <v>1</v>
      </c>
      <c r="X87">
        <v>0.2</v>
      </c>
      <c r="Y87">
        <v>0</v>
      </c>
      <c r="Z87">
        <v>83.1</v>
      </c>
      <c r="AA87">
        <v>12.62</v>
      </c>
      <c r="AB87">
        <v>0</v>
      </c>
      <c r="AC87">
        <v>0</v>
      </c>
      <c r="AD87">
        <v>1</v>
      </c>
      <c r="AE87">
        <v>0</v>
      </c>
      <c r="AF87" t="s">
        <v>23</v>
      </c>
      <c r="AG87">
        <v>0.22000000000000003</v>
      </c>
      <c r="AH87">
        <v>2</v>
      </c>
      <c r="AI87">
        <v>60257266</v>
      </c>
      <c r="AJ87">
        <v>87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ROW(Source!A91)</f>
        <v>91</v>
      </c>
      <c r="B88">
        <v>60257555</v>
      </c>
      <c r="C88">
        <v>60257263</v>
      </c>
      <c r="D88">
        <v>59070721</v>
      </c>
      <c r="E88">
        <v>1</v>
      </c>
      <c r="F88">
        <v>1</v>
      </c>
      <c r="G88">
        <v>1080</v>
      </c>
      <c r="H88">
        <v>2</v>
      </c>
      <c r="I88" t="s">
        <v>349</v>
      </c>
      <c r="J88" t="s">
        <v>350</v>
      </c>
      <c r="K88" t="s">
        <v>351</v>
      </c>
      <c r="L88">
        <v>1368</v>
      </c>
      <c r="N88">
        <v>1011</v>
      </c>
      <c r="O88" t="s">
        <v>299</v>
      </c>
      <c r="P88" t="s">
        <v>299</v>
      </c>
      <c r="Q88">
        <v>1</v>
      </c>
      <c r="X88">
        <v>3.83</v>
      </c>
      <c r="Y88">
        <v>0</v>
      </c>
      <c r="Z88">
        <v>0.77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23</v>
      </c>
      <c r="AG88">
        <v>4.2130000000000001</v>
      </c>
      <c r="AH88">
        <v>2</v>
      </c>
      <c r="AI88">
        <v>60257267</v>
      </c>
      <c r="AJ88">
        <v>88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ROW(Source!A91)</f>
        <v>91</v>
      </c>
      <c r="B89">
        <v>60257556</v>
      </c>
      <c r="C89">
        <v>60257263</v>
      </c>
      <c r="D89">
        <v>59039576</v>
      </c>
      <c r="E89">
        <v>1</v>
      </c>
      <c r="F89">
        <v>1</v>
      </c>
      <c r="G89">
        <v>1080</v>
      </c>
      <c r="H89">
        <v>3</v>
      </c>
      <c r="I89" t="s">
        <v>352</v>
      </c>
      <c r="J89" t="s">
        <v>353</v>
      </c>
      <c r="K89" t="s">
        <v>354</v>
      </c>
      <c r="L89">
        <v>1348</v>
      </c>
      <c r="N89">
        <v>1009</v>
      </c>
      <c r="O89" t="s">
        <v>310</v>
      </c>
      <c r="P89" t="s">
        <v>310</v>
      </c>
      <c r="Q89">
        <v>1000</v>
      </c>
      <c r="X89">
        <v>5.1499999999999997E-2</v>
      </c>
      <c r="Y89">
        <v>7246.05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 t="s">
        <v>3</v>
      </c>
      <c r="AG89">
        <v>5.1499999999999997E-2</v>
      </c>
      <c r="AH89">
        <v>2</v>
      </c>
      <c r="AI89">
        <v>60257268</v>
      </c>
      <c r="AJ89">
        <v>89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ROW(Source!A91)</f>
        <v>91</v>
      </c>
      <c r="B90">
        <v>60257557</v>
      </c>
      <c r="C90">
        <v>60257263</v>
      </c>
      <c r="D90">
        <v>59040049</v>
      </c>
      <c r="E90">
        <v>1</v>
      </c>
      <c r="F90">
        <v>1</v>
      </c>
      <c r="G90">
        <v>1080</v>
      </c>
      <c r="H90">
        <v>3</v>
      </c>
      <c r="I90" t="s">
        <v>355</v>
      </c>
      <c r="J90" t="s">
        <v>356</v>
      </c>
      <c r="K90" t="s">
        <v>357</v>
      </c>
      <c r="L90">
        <v>1348</v>
      </c>
      <c r="N90">
        <v>1009</v>
      </c>
      <c r="O90" t="s">
        <v>310</v>
      </c>
      <c r="P90" t="s">
        <v>310</v>
      </c>
      <c r="Q90">
        <v>1000</v>
      </c>
      <c r="X90">
        <v>1.0499999999999999E-3</v>
      </c>
      <c r="Y90">
        <v>8590.86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3</v>
      </c>
      <c r="AG90">
        <v>1.0499999999999999E-3</v>
      </c>
      <c r="AH90">
        <v>2</v>
      </c>
      <c r="AI90">
        <v>60257269</v>
      </c>
      <c r="AJ90">
        <v>90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ROW(Source!A91)</f>
        <v>91</v>
      </c>
      <c r="B91">
        <v>60257558</v>
      </c>
      <c r="C91">
        <v>60257263</v>
      </c>
      <c r="D91">
        <v>59039007</v>
      </c>
      <c r="E91">
        <v>1</v>
      </c>
      <c r="F91">
        <v>1</v>
      </c>
      <c r="G91">
        <v>1080</v>
      </c>
      <c r="H91">
        <v>3</v>
      </c>
      <c r="I91" t="s">
        <v>358</v>
      </c>
      <c r="J91" t="s">
        <v>359</v>
      </c>
      <c r="K91" t="s">
        <v>360</v>
      </c>
      <c r="L91">
        <v>1354</v>
      </c>
      <c r="N91">
        <v>1010</v>
      </c>
      <c r="O91" t="s">
        <v>31</v>
      </c>
      <c r="P91" t="s">
        <v>31</v>
      </c>
      <c r="Q91">
        <v>1</v>
      </c>
      <c r="X91">
        <v>218</v>
      </c>
      <c r="Y91">
        <v>3.86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3</v>
      </c>
      <c r="AG91">
        <v>218</v>
      </c>
      <c r="AH91">
        <v>2</v>
      </c>
      <c r="AI91">
        <v>60257270</v>
      </c>
      <c r="AJ91">
        <v>91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ROW(Source!A91)</f>
        <v>91</v>
      </c>
      <c r="B92">
        <v>60257559</v>
      </c>
      <c r="C92">
        <v>60257263</v>
      </c>
      <c r="D92">
        <v>59040551</v>
      </c>
      <c r="E92">
        <v>1</v>
      </c>
      <c r="F92">
        <v>1</v>
      </c>
      <c r="G92">
        <v>1080</v>
      </c>
      <c r="H92">
        <v>3</v>
      </c>
      <c r="I92" t="s">
        <v>361</v>
      </c>
      <c r="J92" t="s">
        <v>362</v>
      </c>
      <c r="K92" t="s">
        <v>363</v>
      </c>
      <c r="L92">
        <v>1348</v>
      </c>
      <c r="N92">
        <v>1009</v>
      </c>
      <c r="O92" t="s">
        <v>310</v>
      </c>
      <c r="P92" t="s">
        <v>310</v>
      </c>
      <c r="Q92">
        <v>1000</v>
      </c>
      <c r="X92">
        <v>2.1800000000000001E-3</v>
      </c>
      <c r="Y92">
        <v>14327.51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3</v>
      </c>
      <c r="AG92">
        <v>2.1800000000000001E-3</v>
      </c>
      <c r="AH92">
        <v>2</v>
      </c>
      <c r="AI92">
        <v>60257271</v>
      </c>
      <c r="AJ92">
        <v>92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ROW(Source!A91)</f>
        <v>91</v>
      </c>
      <c r="B93">
        <v>60257560</v>
      </c>
      <c r="C93">
        <v>60257263</v>
      </c>
      <c r="D93">
        <v>59039484</v>
      </c>
      <c r="E93">
        <v>1</v>
      </c>
      <c r="F93">
        <v>1</v>
      </c>
      <c r="G93">
        <v>1080</v>
      </c>
      <c r="H93">
        <v>3</v>
      </c>
      <c r="I93" t="s">
        <v>364</v>
      </c>
      <c r="J93" t="s">
        <v>365</v>
      </c>
      <c r="K93" t="s">
        <v>366</v>
      </c>
      <c r="L93">
        <v>1348</v>
      </c>
      <c r="N93">
        <v>1009</v>
      </c>
      <c r="O93" t="s">
        <v>310</v>
      </c>
      <c r="P93" t="s">
        <v>310</v>
      </c>
      <c r="Q93">
        <v>1000</v>
      </c>
      <c r="X93">
        <v>3.0000000000000001E-3</v>
      </c>
      <c r="Y93">
        <v>7973.67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3</v>
      </c>
      <c r="AG93">
        <v>3.0000000000000001E-3</v>
      </c>
      <c r="AH93">
        <v>2</v>
      </c>
      <c r="AI93">
        <v>60257272</v>
      </c>
      <c r="AJ93">
        <v>93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ROW(Source!A91)</f>
        <v>91</v>
      </c>
      <c r="B94">
        <v>60257561</v>
      </c>
      <c r="C94">
        <v>60257263</v>
      </c>
      <c r="D94">
        <v>59063148</v>
      </c>
      <c r="E94">
        <v>1</v>
      </c>
      <c r="F94">
        <v>1</v>
      </c>
      <c r="G94">
        <v>1080</v>
      </c>
      <c r="H94">
        <v>3</v>
      </c>
      <c r="I94" t="s">
        <v>367</v>
      </c>
      <c r="J94" t="s">
        <v>368</v>
      </c>
      <c r="K94" t="s">
        <v>369</v>
      </c>
      <c r="L94">
        <v>1354</v>
      </c>
      <c r="N94">
        <v>1010</v>
      </c>
      <c r="O94" t="s">
        <v>31</v>
      </c>
      <c r="P94" t="s">
        <v>31</v>
      </c>
      <c r="Q94">
        <v>1</v>
      </c>
      <c r="X94">
        <v>5</v>
      </c>
      <c r="Y94">
        <v>14.99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3</v>
      </c>
      <c r="AG94">
        <v>5</v>
      </c>
      <c r="AH94">
        <v>2</v>
      </c>
      <c r="AI94">
        <v>60257273</v>
      </c>
      <c r="AJ94">
        <v>95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ROW(Source!A91)</f>
        <v>91</v>
      </c>
      <c r="B95">
        <v>60257562</v>
      </c>
      <c r="C95">
        <v>60257263</v>
      </c>
      <c r="D95">
        <v>59062464</v>
      </c>
      <c r="E95">
        <v>1</v>
      </c>
      <c r="F95">
        <v>1</v>
      </c>
      <c r="G95">
        <v>1080</v>
      </c>
      <c r="H95">
        <v>3</v>
      </c>
      <c r="I95" t="s">
        <v>370</v>
      </c>
      <c r="J95" t="s">
        <v>371</v>
      </c>
      <c r="K95" t="s">
        <v>372</v>
      </c>
      <c r="L95">
        <v>1356</v>
      </c>
      <c r="N95">
        <v>1010</v>
      </c>
      <c r="O95" t="s">
        <v>74</v>
      </c>
      <c r="P95" t="s">
        <v>74</v>
      </c>
      <c r="Q95">
        <v>1000</v>
      </c>
      <c r="X95">
        <v>0.25</v>
      </c>
      <c r="Y95">
        <v>1639.86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3</v>
      </c>
      <c r="AG95">
        <v>0.25</v>
      </c>
      <c r="AH95">
        <v>2</v>
      </c>
      <c r="AI95">
        <v>60257274</v>
      </c>
      <c r="AJ95">
        <v>96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ROW(Source!A91)</f>
        <v>91</v>
      </c>
      <c r="B96">
        <v>60257563</v>
      </c>
      <c r="C96">
        <v>60257263</v>
      </c>
      <c r="D96">
        <v>59012392</v>
      </c>
      <c r="E96">
        <v>1080</v>
      </c>
      <c r="F96">
        <v>1</v>
      </c>
      <c r="G96">
        <v>1080</v>
      </c>
      <c r="H96">
        <v>3</v>
      </c>
      <c r="I96" t="s">
        <v>454</v>
      </c>
      <c r="J96" t="s">
        <v>3</v>
      </c>
      <c r="K96" t="s">
        <v>455</v>
      </c>
      <c r="L96">
        <v>1301</v>
      </c>
      <c r="N96">
        <v>1003</v>
      </c>
      <c r="O96" t="s">
        <v>139</v>
      </c>
      <c r="P96" t="s">
        <v>139</v>
      </c>
      <c r="Q96">
        <v>1</v>
      </c>
      <c r="X96">
        <v>103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 t="s">
        <v>3</v>
      </c>
      <c r="AG96">
        <v>103</v>
      </c>
      <c r="AH96">
        <v>3</v>
      </c>
      <c r="AI96">
        <v>-1</v>
      </c>
      <c r="AJ96" t="s">
        <v>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ROW(Source!A91)</f>
        <v>91</v>
      </c>
      <c r="B97">
        <v>60257564</v>
      </c>
      <c r="C97">
        <v>60257263</v>
      </c>
      <c r="D97">
        <v>59012390</v>
      </c>
      <c r="E97">
        <v>1080</v>
      </c>
      <c r="F97">
        <v>1</v>
      </c>
      <c r="G97">
        <v>1080</v>
      </c>
      <c r="H97">
        <v>3</v>
      </c>
      <c r="I97" t="s">
        <v>454</v>
      </c>
      <c r="J97" t="s">
        <v>3</v>
      </c>
      <c r="K97" t="s">
        <v>456</v>
      </c>
      <c r="L97">
        <v>1354</v>
      </c>
      <c r="N97">
        <v>1010</v>
      </c>
      <c r="O97" t="s">
        <v>31</v>
      </c>
      <c r="P97" t="s">
        <v>31</v>
      </c>
      <c r="Q97">
        <v>1</v>
      </c>
      <c r="X97">
        <v>10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 t="s">
        <v>3</v>
      </c>
      <c r="AG97">
        <v>10</v>
      </c>
      <c r="AH97">
        <v>3</v>
      </c>
      <c r="AI97">
        <v>-1</v>
      </c>
      <c r="AJ97" t="s">
        <v>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ROW(Source!A91)</f>
        <v>91</v>
      </c>
      <c r="B98">
        <v>60257565</v>
      </c>
      <c r="C98">
        <v>60257263</v>
      </c>
      <c r="D98">
        <v>59012391</v>
      </c>
      <c r="E98">
        <v>1080</v>
      </c>
      <c r="F98">
        <v>1</v>
      </c>
      <c r="G98">
        <v>1080</v>
      </c>
      <c r="H98">
        <v>3</v>
      </c>
      <c r="I98" t="s">
        <v>454</v>
      </c>
      <c r="J98" t="s">
        <v>3</v>
      </c>
      <c r="K98" t="s">
        <v>457</v>
      </c>
      <c r="L98">
        <v>1354</v>
      </c>
      <c r="N98">
        <v>1010</v>
      </c>
      <c r="O98" t="s">
        <v>31</v>
      </c>
      <c r="P98" t="s">
        <v>31</v>
      </c>
      <c r="Q98">
        <v>1</v>
      </c>
      <c r="X98">
        <v>10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3</v>
      </c>
      <c r="AG98">
        <v>10</v>
      </c>
      <c r="AH98">
        <v>3</v>
      </c>
      <c r="AI98">
        <v>-1</v>
      </c>
      <c r="AJ98" t="s">
        <v>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ROW(Source!A91)</f>
        <v>91</v>
      </c>
      <c r="B99">
        <v>60257566</v>
      </c>
      <c r="C99">
        <v>60257263</v>
      </c>
      <c r="D99">
        <v>59012403</v>
      </c>
      <c r="E99">
        <v>1080</v>
      </c>
      <c r="F99">
        <v>1</v>
      </c>
      <c r="G99">
        <v>1080</v>
      </c>
      <c r="H99">
        <v>3</v>
      </c>
      <c r="I99" t="s">
        <v>458</v>
      </c>
      <c r="J99" t="s">
        <v>3</v>
      </c>
      <c r="K99" t="s">
        <v>459</v>
      </c>
      <c r="L99">
        <v>1356</v>
      </c>
      <c r="N99">
        <v>1010</v>
      </c>
      <c r="O99" t="s">
        <v>74</v>
      </c>
      <c r="P99" t="s">
        <v>74</v>
      </c>
      <c r="Q99">
        <v>1000</v>
      </c>
      <c r="X99">
        <v>0.01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 t="s">
        <v>3</v>
      </c>
      <c r="AG99">
        <v>0.01</v>
      </c>
      <c r="AH99">
        <v>3</v>
      </c>
      <c r="AI99">
        <v>-1</v>
      </c>
      <c r="AJ99" t="s">
        <v>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ROW(Source!A91)</f>
        <v>91</v>
      </c>
      <c r="B100">
        <v>60257567</v>
      </c>
      <c r="C100">
        <v>60257263</v>
      </c>
      <c r="D100">
        <v>59014459</v>
      </c>
      <c r="E100">
        <v>1080</v>
      </c>
      <c r="F100">
        <v>1</v>
      </c>
      <c r="G100">
        <v>1080</v>
      </c>
      <c r="H100">
        <v>3</v>
      </c>
      <c r="I100" t="s">
        <v>460</v>
      </c>
      <c r="J100" t="s">
        <v>3</v>
      </c>
      <c r="K100" t="s">
        <v>461</v>
      </c>
      <c r="L100">
        <v>1354</v>
      </c>
      <c r="N100">
        <v>1010</v>
      </c>
      <c r="O100" t="s">
        <v>31</v>
      </c>
      <c r="P100" t="s">
        <v>31</v>
      </c>
      <c r="Q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3</v>
      </c>
      <c r="AG100">
        <v>0</v>
      </c>
      <c r="AH100">
        <v>3</v>
      </c>
      <c r="AI100">
        <v>-1</v>
      </c>
      <c r="AJ100" t="s">
        <v>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ROW(Source!A92)</f>
        <v>92</v>
      </c>
      <c r="B101">
        <v>60257552</v>
      </c>
      <c r="C101">
        <v>60257263</v>
      </c>
      <c r="D101">
        <v>58999254</v>
      </c>
      <c r="E101">
        <v>1080</v>
      </c>
      <c r="F101">
        <v>1</v>
      </c>
      <c r="G101">
        <v>1080</v>
      </c>
      <c r="H101">
        <v>1</v>
      </c>
      <c r="I101" t="s">
        <v>293</v>
      </c>
      <c r="J101" t="s">
        <v>3</v>
      </c>
      <c r="K101" t="s">
        <v>294</v>
      </c>
      <c r="L101">
        <v>1191</v>
      </c>
      <c r="N101">
        <v>1013</v>
      </c>
      <c r="O101" t="s">
        <v>295</v>
      </c>
      <c r="P101" t="s">
        <v>295</v>
      </c>
      <c r="Q101">
        <v>1</v>
      </c>
      <c r="X101">
        <v>29.9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 t="s">
        <v>23</v>
      </c>
      <c r="AG101">
        <v>32.89</v>
      </c>
      <c r="AH101">
        <v>2</v>
      </c>
      <c r="AI101">
        <v>60257264</v>
      </c>
      <c r="AJ101">
        <v>97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ROW(Source!A92)</f>
        <v>92</v>
      </c>
      <c r="B102">
        <v>60257553</v>
      </c>
      <c r="C102">
        <v>60257263</v>
      </c>
      <c r="D102">
        <v>59070370</v>
      </c>
      <c r="E102">
        <v>1</v>
      </c>
      <c r="F102">
        <v>1</v>
      </c>
      <c r="G102">
        <v>1080</v>
      </c>
      <c r="H102">
        <v>2</v>
      </c>
      <c r="I102" t="s">
        <v>296</v>
      </c>
      <c r="J102" t="s">
        <v>297</v>
      </c>
      <c r="K102" t="s">
        <v>298</v>
      </c>
      <c r="L102">
        <v>1368</v>
      </c>
      <c r="N102">
        <v>1011</v>
      </c>
      <c r="O102" t="s">
        <v>299</v>
      </c>
      <c r="P102" t="s">
        <v>299</v>
      </c>
      <c r="Q102">
        <v>1</v>
      </c>
      <c r="X102">
        <v>15.4</v>
      </c>
      <c r="Y102">
        <v>0</v>
      </c>
      <c r="Z102">
        <v>7.11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23</v>
      </c>
      <c r="AG102">
        <v>16.940000000000001</v>
      </c>
      <c r="AH102">
        <v>2</v>
      </c>
      <c r="AI102">
        <v>60257265</v>
      </c>
      <c r="AJ102">
        <v>98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ROW(Source!A92)</f>
        <v>92</v>
      </c>
      <c r="B103">
        <v>60257554</v>
      </c>
      <c r="C103">
        <v>60257263</v>
      </c>
      <c r="D103">
        <v>59070669</v>
      </c>
      <c r="E103">
        <v>1</v>
      </c>
      <c r="F103">
        <v>1</v>
      </c>
      <c r="G103">
        <v>1080</v>
      </c>
      <c r="H103">
        <v>2</v>
      </c>
      <c r="I103" t="s">
        <v>300</v>
      </c>
      <c r="J103" t="s">
        <v>301</v>
      </c>
      <c r="K103" t="s">
        <v>302</v>
      </c>
      <c r="L103">
        <v>1368</v>
      </c>
      <c r="N103">
        <v>1011</v>
      </c>
      <c r="O103" t="s">
        <v>299</v>
      </c>
      <c r="P103" t="s">
        <v>299</v>
      </c>
      <c r="Q103">
        <v>1</v>
      </c>
      <c r="X103">
        <v>0.2</v>
      </c>
      <c r="Y103">
        <v>0</v>
      </c>
      <c r="Z103">
        <v>83.1</v>
      </c>
      <c r="AA103">
        <v>12.62</v>
      </c>
      <c r="AB103">
        <v>0</v>
      </c>
      <c r="AC103">
        <v>0</v>
      </c>
      <c r="AD103">
        <v>1</v>
      </c>
      <c r="AE103">
        <v>0</v>
      </c>
      <c r="AF103" t="s">
        <v>23</v>
      </c>
      <c r="AG103">
        <v>0.22000000000000003</v>
      </c>
      <c r="AH103">
        <v>2</v>
      </c>
      <c r="AI103">
        <v>60257266</v>
      </c>
      <c r="AJ103">
        <v>99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ROW(Source!A92)</f>
        <v>92</v>
      </c>
      <c r="B104">
        <v>60257555</v>
      </c>
      <c r="C104">
        <v>60257263</v>
      </c>
      <c r="D104">
        <v>59070721</v>
      </c>
      <c r="E104">
        <v>1</v>
      </c>
      <c r="F104">
        <v>1</v>
      </c>
      <c r="G104">
        <v>1080</v>
      </c>
      <c r="H104">
        <v>2</v>
      </c>
      <c r="I104" t="s">
        <v>349</v>
      </c>
      <c r="J104" t="s">
        <v>350</v>
      </c>
      <c r="K104" t="s">
        <v>351</v>
      </c>
      <c r="L104">
        <v>1368</v>
      </c>
      <c r="N104">
        <v>1011</v>
      </c>
      <c r="O104" t="s">
        <v>299</v>
      </c>
      <c r="P104" t="s">
        <v>299</v>
      </c>
      <c r="Q104">
        <v>1</v>
      </c>
      <c r="X104">
        <v>3.83</v>
      </c>
      <c r="Y104">
        <v>0</v>
      </c>
      <c r="Z104">
        <v>0.77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23</v>
      </c>
      <c r="AG104">
        <v>4.2130000000000001</v>
      </c>
      <c r="AH104">
        <v>2</v>
      </c>
      <c r="AI104">
        <v>60257267</v>
      </c>
      <c r="AJ104">
        <v>100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ROW(Source!A92)</f>
        <v>92</v>
      </c>
      <c r="B105">
        <v>60257556</v>
      </c>
      <c r="C105">
        <v>60257263</v>
      </c>
      <c r="D105">
        <v>59039576</v>
      </c>
      <c r="E105">
        <v>1</v>
      </c>
      <c r="F105">
        <v>1</v>
      </c>
      <c r="G105">
        <v>1080</v>
      </c>
      <c r="H105">
        <v>3</v>
      </c>
      <c r="I105" t="s">
        <v>352</v>
      </c>
      <c r="J105" t="s">
        <v>353</v>
      </c>
      <c r="K105" t="s">
        <v>354</v>
      </c>
      <c r="L105">
        <v>1348</v>
      </c>
      <c r="N105">
        <v>1009</v>
      </c>
      <c r="O105" t="s">
        <v>310</v>
      </c>
      <c r="P105" t="s">
        <v>310</v>
      </c>
      <c r="Q105">
        <v>1000</v>
      </c>
      <c r="X105">
        <v>5.1499999999999997E-2</v>
      </c>
      <c r="Y105">
        <v>7246.05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 t="s">
        <v>3</v>
      </c>
      <c r="AG105">
        <v>5.1499999999999997E-2</v>
      </c>
      <c r="AH105">
        <v>2</v>
      </c>
      <c r="AI105">
        <v>60257268</v>
      </c>
      <c r="AJ105">
        <v>101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ROW(Source!A92)</f>
        <v>92</v>
      </c>
      <c r="B106">
        <v>60257557</v>
      </c>
      <c r="C106">
        <v>60257263</v>
      </c>
      <c r="D106">
        <v>59040049</v>
      </c>
      <c r="E106">
        <v>1</v>
      </c>
      <c r="F106">
        <v>1</v>
      </c>
      <c r="G106">
        <v>1080</v>
      </c>
      <c r="H106">
        <v>3</v>
      </c>
      <c r="I106" t="s">
        <v>355</v>
      </c>
      <c r="J106" t="s">
        <v>356</v>
      </c>
      <c r="K106" t="s">
        <v>357</v>
      </c>
      <c r="L106">
        <v>1348</v>
      </c>
      <c r="N106">
        <v>1009</v>
      </c>
      <c r="O106" t="s">
        <v>310</v>
      </c>
      <c r="P106" t="s">
        <v>310</v>
      </c>
      <c r="Q106">
        <v>1000</v>
      </c>
      <c r="X106">
        <v>1.0499999999999999E-3</v>
      </c>
      <c r="Y106">
        <v>8590.86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3</v>
      </c>
      <c r="AG106">
        <v>1.0499999999999999E-3</v>
      </c>
      <c r="AH106">
        <v>2</v>
      </c>
      <c r="AI106">
        <v>60257269</v>
      </c>
      <c r="AJ106">
        <v>102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ROW(Source!A92)</f>
        <v>92</v>
      </c>
      <c r="B107">
        <v>60257558</v>
      </c>
      <c r="C107">
        <v>60257263</v>
      </c>
      <c r="D107">
        <v>59039007</v>
      </c>
      <c r="E107">
        <v>1</v>
      </c>
      <c r="F107">
        <v>1</v>
      </c>
      <c r="G107">
        <v>1080</v>
      </c>
      <c r="H107">
        <v>3</v>
      </c>
      <c r="I107" t="s">
        <v>358</v>
      </c>
      <c r="J107" t="s">
        <v>359</v>
      </c>
      <c r="K107" t="s">
        <v>360</v>
      </c>
      <c r="L107">
        <v>1354</v>
      </c>
      <c r="N107">
        <v>1010</v>
      </c>
      <c r="O107" t="s">
        <v>31</v>
      </c>
      <c r="P107" t="s">
        <v>31</v>
      </c>
      <c r="Q107">
        <v>1</v>
      </c>
      <c r="X107">
        <v>218</v>
      </c>
      <c r="Y107">
        <v>3.86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3</v>
      </c>
      <c r="AG107">
        <v>218</v>
      </c>
      <c r="AH107">
        <v>2</v>
      </c>
      <c r="AI107">
        <v>60257270</v>
      </c>
      <c r="AJ107">
        <v>103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ROW(Source!A92)</f>
        <v>92</v>
      </c>
      <c r="B108">
        <v>60257559</v>
      </c>
      <c r="C108">
        <v>60257263</v>
      </c>
      <c r="D108">
        <v>59040551</v>
      </c>
      <c r="E108">
        <v>1</v>
      </c>
      <c r="F108">
        <v>1</v>
      </c>
      <c r="G108">
        <v>1080</v>
      </c>
      <c r="H108">
        <v>3</v>
      </c>
      <c r="I108" t="s">
        <v>361</v>
      </c>
      <c r="J108" t="s">
        <v>362</v>
      </c>
      <c r="K108" t="s">
        <v>363</v>
      </c>
      <c r="L108">
        <v>1348</v>
      </c>
      <c r="N108">
        <v>1009</v>
      </c>
      <c r="O108" t="s">
        <v>310</v>
      </c>
      <c r="P108" t="s">
        <v>310</v>
      </c>
      <c r="Q108">
        <v>1000</v>
      </c>
      <c r="X108">
        <v>2.1800000000000001E-3</v>
      </c>
      <c r="Y108">
        <v>14327.51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3</v>
      </c>
      <c r="AG108">
        <v>2.1800000000000001E-3</v>
      </c>
      <c r="AH108">
        <v>2</v>
      </c>
      <c r="AI108">
        <v>60257271</v>
      </c>
      <c r="AJ108">
        <v>104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ROW(Source!A92)</f>
        <v>92</v>
      </c>
      <c r="B109">
        <v>60257560</v>
      </c>
      <c r="C109">
        <v>60257263</v>
      </c>
      <c r="D109">
        <v>59039484</v>
      </c>
      <c r="E109">
        <v>1</v>
      </c>
      <c r="F109">
        <v>1</v>
      </c>
      <c r="G109">
        <v>1080</v>
      </c>
      <c r="H109">
        <v>3</v>
      </c>
      <c r="I109" t="s">
        <v>364</v>
      </c>
      <c r="J109" t="s">
        <v>365</v>
      </c>
      <c r="K109" t="s">
        <v>366</v>
      </c>
      <c r="L109">
        <v>1348</v>
      </c>
      <c r="N109">
        <v>1009</v>
      </c>
      <c r="O109" t="s">
        <v>310</v>
      </c>
      <c r="P109" t="s">
        <v>310</v>
      </c>
      <c r="Q109">
        <v>1000</v>
      </c>
      <c r="X109">
        <v>3.0000000000000001E-3</v>
      </c>
      <c r="Y109">
        <v>7973.67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3</v>
      </c>
      <c r="AG109">
        <v>3.0000000000000001E-3</v>
      </c>
      <c r="AH109">
        <v>2</v>
      </c>
      <c r="AI109">
        <v>60257272</v>
      </c>
      <c r="AJ109">
        <v>105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ROW(Source!A92)</f>
        <v>92</v>
      </c>
      <c r="B110">
        <v>60257561</v>
      </c>
      <c r="C110">
        <v>60257263</v>
      </c>
      <c r="D110">
        <v>59063148</v>
      </c>
      <c r="E110">
        <v>1</v>
      </c>
      <c r="F110">
        <v>1</v>
      </c>
      <c r="G110">
        <v>1080</v>
      </c>
      <c r="H110">
        <v>3</v>
      </c>
      <c r="I110" t="s">
        <v>367</v>
      </c>
      <c r="J110" t="s">
        <v>368</v>
      </c>
      <c r="K110" t="s">
        <v>369</v>
      </c>
      <c r="L110">
        <v>1354</v>
      </c>
      <c r="N110">
        <v>1010</v>
      </c>
      <c r="O110" t="s">
        <v>31</v>
      </c>
      <c r="P110" t="s">
        <v>31</v>
      </c>
      <c r="Q110">
        <v>1</v>
      </c>
      <c r="X110">
        <v>5</v>
      </c>
      <c r="Y110">
        <v>14.99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3</v>
      </c>
      <c r="AG110">
        <v>5</v>
      </c>
      <c r="AH110">
        <v>2</v>
      </c>
      <c r="AI110">
        <v>60257273</v>
      </c>
      <c r="AJ110">
        <v>107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ROW(Source!A92)</f>
        <v>92</v>
      </c>
      <c r="B111">
        <v>60257562</v>
      </c>
      <c r="C111">
        <v>60257263</v>
      </c>
      <c r="D111">
        <v>59062464</v>
      </c>
      <c r="E111">
        <v>1</v>
      </c>
      <c r="F111">
        <v>1</v>
      </c>
      <c r="G111">
        <v>1080</v>
      </c>
      <c r="H111">
        <v>3</v>
      </c>
      <c r="I111" t="s">
        <v>370</v>
      </c>
      <c r="J111" t="s">
        <v>371</v>
      </c>
      <c r="K111" t="s">
        <v>372</v>
      </c>
      <c r="L111">
        <v>1356</v>
      </c>
      <c r="N111">
        <v>1010</v>
      </c>
      <c r="O111" t="s">
        <v>74</v>
      </c>
      <c r="P111" t="s">
        <v>74</v>
      </c>
      <c r="Q111">
        <v>1000</v>
      </c>
      <c r="X111">
        <v>0.25</v>
      </c>
      <c r="Y111">
        <v>1639.86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3</v>
      </c>
      <c r="AG111">
        <v>0.25</v>
      </c>
      <c r="AH111">
        <v>2</v>
      </c>
      <c r="AI111">
        <v>60257274</v>
      </c>
      <c r="AJ111">
        <v>108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ROW(Source!A92)</f>
        <v>92</v>
      </c>
      <c r="B112">
        <v>60257563</v>
      </c>
      <c r="C112">
        <v>60257263</v>
      </c>
      <c r="D112">
        <v>59012392</v>
      </c>
      <c r="E112">
        <v>1080</v>
      </c>
      <c r="F112">
        <v>1</v>
      </c>
      <c r="G112">
        <v>1080</v>
      </c>
      <c r="H112">
        <v>3</v>
      </c>
      <c r="I112" t="s">
        <v>454</v>
      </c>
      <c r="J112" t="s">
        <v>3</v>
      </c>
      <c r="K112" t="s">
        <v>455</v>
      </c>
      <c r="L112">
        <v>1301</v>
      </c>
      <c r="N112">
        <v>1003</v>
      </c>
      <c r="O112" t="s">
        <v>139</v>
      </c>
      <c r="P112" t="s">
        <v>139</v>
      </c>
      <c r="Q112">
        <v>1</v>
      </c>
      <c r="X112">
        <v>103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 t="s">
        <v>3</v>
      </c>
      <c r="AG112">
        <v>103</v>
      </c>
      <c r="AH112">
        <v>3</v>
      </c>
      <c r="AI112">
        <v>-1</v>
      </c>
      <c r="AJ112" t="s">
        <v>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ROW(Source!A92)</f>
        <v>92</v>
      </c>
      <c r="B113">
        <v>60257564</v>
      </c>
      <c r="C113">
        <v>60257263</v>
      </c>
      <c r="D113">
        <v>59012390</v>
      </c>
      <c r="E113">
        <v>1080</v>
      </c>
      <c r="F113">
        <v>1</v>
      </c>
      <c r="G113">
        <v>1080</v>
      </c>
      <c r="H113">
        <v>3</v>
      </c>
      <c r="I113" t="s">
        <v>454</v>
      </c>
      <c r="J113" t="s">
        <v>3</v>
      </c>
      <c r="K113" t="s">
        <v>456</v>
      </c>
      <c r="L113">
        <v>1354</v>
      </c>
      <c r="N113">
        <v>1010</v>
      </c>
      <c r="O113" t="s">
        <v>31</v>
      </c>
      <c r="P113" t="s">
        <v>31</v>
      </c>
      <c r="Q113">
        <v>1</v>
      </c>
      <c r="X113">
        <v>10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 t="s">
        <v>3</v>
      </c>
      <c r="AG113">
        <v>10</v>
      </c>
      <c r="AH113">
        <v>3</v>
      </c>
      <c r="AI113">
        <v>-1</v>
      </c>
      <c r="AJ113" t="s">
        <v>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ROW(Source!A92)</f>
        <v>92</v>
      </c>
      <c r="B114">
        <v>60257565</v>
      </c>
      <c r="C114">
        <v>60257263</v>
      </c>
      <c r="D114">
        <v>59012391</v>
      </c>
      <c r="E114">
        <v>1080</v>
      </c>
      <c r="F114">
        <v>1</v>
      </c>
      <c r="G114">
        <v>1080</v>
      </c>
      <c r="H114">
        <v>3</v>
      </c>
      <c r="I114" t="s">
        <v>454</v>
      </c>
      <c r="J114" t="s">
        <v>3</v>
      </c>
      <c r="K114" t="s">
        <v>457</v>
      </c>
      <c r="L114">
        <v>1354</v>
      </c>
      <c r="N114">
        <v>1010</v>
      </c>
      <c r="O114" t="s">
        <v>31</v>
      </c>
      <c r="P114" t="s">
        <v>31</v>
      </c>
      <c r="Q114">
        <v>1</v>
      </c>
      <c r="X114">
        <v>10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 t="s">
        <v>3</v>
      </c>
      <c r="AG114">
        <v>10</v>
      </c>
      <c r="AH114">
        <v>3</v>
      </c>
      <c r="AI114">
        <v>-1</v>
      </c>
      <c r="AJ114" t="s">
        <v>3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ROW(Source!A92)</f>
        <v>92</v>
      </c>
      <c r="B115">
        <v>60257566</v>
      </c>
      <c r="C115">
        <v>60257263</v>
      </c>
      <c r="D115">
        <v>59012403</v>
      </c>
      <c r="E115">
        <v>1080</v>
      </c>
      <c r="F115">
        <v>1</v>
      </c>
      <c r="G115">
        <v>1080</v>
      </c>
      <c r="H115">
        <v>3</v>
      </c>
      <c r="I115" t="s">
        <v>458</v>
      </c>
      <c r="J115" t="s">
        <v>3</v>
      </c>
      <c r="K115" t="s">
        <v>459</v>
      </c>
      <c r="L115">
        <v>1356</v>
      </c>
      <c r="N115">
        <v>1010</v>
      </c>
      <c r="O115" t="s">
        <v>74</v>
      </c>
      <c r="P115" t="s">
        <v>74</v>
      </c>
      <c r="Q115">
        <v>1000</v>
      </c>
      <c r="X115">
        <v>0.01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3</v>
      </c>
      <c r="AG115">
        <v>0.01</v>
      </c>
      <c r="AH115">
        <v>3</v>
      </c>
      <c r="AI115">
        <v>-1</v>
      </c>
      <c r="AJ115" t="s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ROW(Source!A92)</f>
        <v>92</v>
      </c>
      <c r="B116">
        <v>60257567</v>
      </c>
      <c r="C116">
        <v>60257263</v>
      </c>
      <c r="D116">
        <v>59014459</v>
      </c>
      <c r="E116">
        <v>1080</v>
      </c>
      <c r="F116">
        <v>1</v>
      </c>
      <c r="G116">
        <v>1080</v>
      </c>
      <c r="H116">
        <v>3</v>
      </c>
      <c r="I116" t="s">
        <v>460</v>
      </c>
      <c r="J116" t="s">
        <v>3</v>
      </c>
      <c r="K116" t="s">
        <v>461</v>
      </c>
      <c r="L116">
        <v>1354</v>
      </c>
      <c r="N116">
        <v>1010</v>
      </c>
      <c r="O116" t="s">
        <v>31</v>
      </c>
      <c r="P116" t="s">
        <v>31</v>
      </c>
      <c r="Q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3</v>
      </c>
      <c r="AG116">
        <v>0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ROW(Source!A95)</f>
        <v>95</v>
      </c>
      <c r="B117">
        <v>60257568</v>
      </c>
      <c r="C117">
        <v>60257293</v>
      </c>
      <c r="D117">
        <v>58999254</v>
      </c>
      <c r="E117">
        <v>1080</v>
      </c>
      <c r="F117">
        <v>1</v>
      </c>
      <c r="G117">
        <v>1080</v>
      </c>
      <c r="H117">
        <v>1</v>
      </c>
      <c r="I117" t="s">
        <v>293</v>
      </c>
      <c r="J117" t="s">
        <v>3</v>
      </c>
      <c r="K117" t="s">
        <v>294</v>
      </c>
      <c r="L117">
        <v>1191</v>
      </c>
      <c r="N117">
        <v>1013</v>
      </c>
      <c r="O117" t="s">
        <v>295</v>
      </c>
      <c r="P117" t="s">
        <v>295</v>
      </c>
      <c r="Q117">
        <v>1</v>
      </c>
      <c r="X117">
        <v>5.39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 t="s">
        <v>23</v>
      </c>
      <c r="AG117">
        <v>5.9290000000000003</v>
      </c>
      <c r="AH117">
        <v>2</v>
      </c>
      <c r="AI117">
        <v>60257294</v>
      </c>
      <c r="AJ117">
        <v>109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ROW(Source!A95)</f>
        <v>95</v>
      </c>
      <c r="B118">
        <v>60257569</v>
      </c>
      <c r="C118">
        <v>60257293</v>
      </c>
      <c r="D118">
        <v>59070669</v>
      </c>
      <c r="E118">
        <v>1</v>
      </c>
      <c r="F118">
        <v>1</v>
      </c>
      <c r="G118">
        <v>1080</v>
      </c>
      <c r="H118">
        <v>2</v>
      </c>
      <c r="I118" t="s">
        <v>300</v>
      </c>
      <c r="J118" t="s">
        <v>301</v>
      </c>
      <c r="K118" t="s">
        <v>302</v>
      </c>
      <c r="L118">
        <v>1368</v>
      </c>
      <c r="N118">
        <v>1011</v>
      </c>
      <c r="O118" t="s">
        <v>299</v>
      </c>
      <c r="P118" t="s">
        <v>299</v>
      </c>
      <c r="Q118">
        <v>1</v>
      </c>
      <c r="X118">
        <v>0.02</v>
      </c>
      <c r="Y118">
        <v>0</v>
      </c>
      <c r="Z118">
        <v>83.1</v>
      </c>
      <c r="AA118">
        <v>12.62</v>
      </c>
      <c r="AB118">
        <v>0</v>
      </c>
      <c r="AC118">
        <v>0</v>
      </c>
      <c r="AD118">
        <v>1</v>
      </c>
      <c r="AE118">
        <v>0</v>
      </c>
      <c r="AF118" t="s">
        <v>23</v>
      </c>
      <c r="AG118">
        <v>2.2000000000000002E-2</v>
      </c>
      <c r="AH118">
        <v>2</v>
      </c>
      <c r="AI118">
        <v>60257295</v>
      </c>
      <c r="AJ118">
        <v>110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ROW(Source!A95)</f>
        <v>95</v>
      </c>
      <c r="B119">
        <v>60257570</v>
      </c>
      <c r="C119">
        <v>60257293</v>
      </c>
      <c r="D119">
        <v>59069905</v>
      </c>
      <c r="E119">
        <v>1</v>
      </c>
      <c r="F119">
        <v>1</v>
      </c>
      <c r="G119">
        <v>1080</v>
      </c>
      <c r="H119">
        <v>2</v>
      </c>
      <c r="I119" t="s">
        <v>373</v>
      </c>
      <c r="J119" t="s">
        <v>374</v>
      </c>
      <c r="K119" t="s">
        <v>375</v>
      </c>
      <c r="L119">
        <v>1368</v>
      </c>
      <c r="N119">
        <v>1011</v>
      </c>
      <c r="O119" t="s">
        <v>299</v>
      </c>
      <c r="P119" t="s">
        <v>299</v>
      </c>
      <c r="Q119">
        <v>1</v>
      </c>
      <c r="X119">
        <v>0.02</v>
      </c>
      <c r="Y119">
        <v>0</v>
      </c>
      <c r="Z119">
        <v>179.17</v>
      </c>
      <c r="AA119">
        <v>16.93</v>
      </c>
      <c r="AB119">
        <v>0</v>
      </c>
      <c r="AC119">
        <v>0</v>
      </c>
      <c r="AD119">
        <v>1</v>
      </c>
      <c r="AE119">
        <v>0</v>
      </c>
      <c r="AF119" t="s">
        <v>23</v>
      </c>
      <c r="AG119">
        <v>2.2000000000000002E-2</v>
      </c>
      <c r="AH119">
        <v>2</v>
      </c>
      <c r="AI119">
        <v>60257296</v>
      </c>
      <c r="AJ119">
        <v>111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ROW(Source!A95)</f>
        <v>95</v>
      </c>
      <c r="B120">
        <v>60257571</v>
      </c>
      <c r="C120">
        <v>60257293</v>
      </c>
      <c r="D120">
        <v>59039702</v>
      </c>
      <c r="E120">
        <v>1</v>
      </c>
      <c r="F120">
        <v>1</v>
      </c>
      <c r="G120">
        <v>1080</v>
      </c>
      <c r="H120">
        <v>3</v>
      </c>
      <c r="I120" t="s">
        <v>376</v>
      </c>
      <c r="J120" t="s">
        <v>377</v>
      </c>
      <c r="K120" t="s">
        <v>378</v>
      </c>
      <c r="L120">
        <v>1346</v>
      </c>
      <c r="N120">
        <v>1009</v>
      </c>
      <c r="O120" t="s">
        <v>314</v>
      </c>
      <c r="P120" t="s">
        <v>314</v>
      </c>
      <c r="Q120">
        <v>1</v>
      </c>
      <c r="X120">
        <v>0.6</v>
      </c>
      <c r="Y120">
        <v>1.38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3</v>
      </c>
      <c r="AG120">
        <v>0.6</v>
      </c>
      <c r="AH120">
        <v>2</v>
      </c>
      <c r="AI120">
        <v>60257297</v>
      </c>
      <c r="AJ120">
        <v>112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ROW(Source!A95)</f>
        <v>95</v>
      </c>
      <c r="B121">
        <v>60257572</v>
      </c>
      <c r="C121">
        <v>60257293</v>
      </c>
      <c r="D121">
        <v>59040093</v>
      </c>
      <c r="E121">
        <v>1</v>
      </c>
      <c r="F121">
        <v>1</v>
      </c>
      <c r="G121">
        <v>1080</v>
      </c>
      <c r="H121">
        <v>3</v>
      </c>
      <c r="I121" t="s">
        <v>379</v>
      </c>
      <c r="J121" t="s">
        <v>380</v>
      </c>
      <c r="K121" t="s">
        <v>381</v>
      </c>
      <c r="L121">
        <v>1346</v>
      </c>
      <c r="N121">
        <v>1009</v>
      </c>
      <c r="O121" t="s">
        <v>314</v>
      </c>
      <c r="P121" t="s">
        <v>314</v>
      </c>
      <c r="Q121">
        <v>1</v>
      </c>
      <c r="X121">
        <v>0.16</v>
      </c>
      <c r="Y121">
        <v>159.06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3</v>
      </c>
      <c r="AG121">
        <v>0.16</v>
      </c>
      <c r="AH121">
        <v>2</v>
      </c>
      <c r="AI121">
        <v>60257298</v>
      </c>
      <c r="AJ121">
        <v>113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ROW(Source!A95)</f>
        <v>95</v>
      </c>
      <c r="B122">
        <v>60257573</v>
      </c>
      <c r="C122">
        <v>60257293</v>
      </c>
      <c r="D122">
        <v>59063037</v>
      </c>
      <c r="E122">
        <v>1</v>
      </c>
      <c r="F122">
        <v>1</v>
      </c>
      <c r="G122">
        <v>1080</v>
      </c>
      <c r="H122">
        <v>3</v>
      </c>
      <c r="I122" t="s">
        <v>382</v>
      </c>
      <c r="J122" t="s">
        <v>383</v>
      </c>
      <c r="K122" t="s">
        <v>384</v>
      </c>
      <c r="L122">
        <v>1355</v>
      </c>
      <c r="N122">
        <v>1010</v>
      </c>
      <c r="O122" t="s">
        <v>63</v>
      </c>
      <c r="P122" t="s">
        <v>63</v>
      </c>
      <c r="Q122">
        <v>100</v>
      </c>
      <c r="X122">
        <v>0.05</v>
      </c>
      <c r="Y122">
        <v>130.15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3</v>
      </c>
      <c r="AG122">
        <v>0.05</v>
      </c>
      <c r="AH122">
        <v>2</v>
      </c>
      <c r="AI122">
        <v>60257299</v>
      </c>
      <c r="AJ122">
        <v>114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ROW(Source!A95)</f>
        <v>95</v>
      </c>
      <c r="B123">
        <v>60257574</v>
      </c>
      <c r="C123">
        <v>60257293</v>
      </c>
      <c r="D123">
        <v>59063048</v>
      </c>
      <c r="E123">
        <v>1</v>
      </c>
      <c r="F123">
        <v>1</v>
      </c>
      <c r="G123">
        <v>1080</v>
      </c>
      <c r="H123">
        <v>3</v>
      </c>
      <c r="I123" t="s">
        <v>385</v>
      </c>
      <c r="J123" t="s">
        <v>386</v>
      </c>
      <c r="K123" t="s">
        <v>387</v>
      </c>
      <c r="L123">
        <v>1356</v>
      </c>
      <c r="N123">
        <v>1010</v>
      </c>
      <c r="O123" t="s">
        <v>74</v>
      </c>
      <c r="P123" t="s">
        <v>74</v>
      </c>
      <c r="Q123">
        <v>1000</v>
      </c>
      <c r="X123">
        <v>1.2200000000000001E-2</v>
      </c>
      <c r="Y123">
        <v>226.86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3</v>
      </c>
      <c r="AG123">
        <v>1.2200000000000001E-2</v>
      </c>
      <c r="AH123">
        <v>2</v>
      </c>
      <c r="AI123">
        <v>60257300</v>
      </c>
      <c r="AJ123">
        <v>115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ROW(Source!A95)</f>
        <v>95</v>
      </c>
      <c r="B124">
        <v>60257575</v>
      </c>
      <c r="C124">
        <v>60257293</v>
      </c>
      <c r="D124">
        <v>59062373</v>
      </c>
      <c r="E124">
        <v>1</v>
      </c>
      <c r="F124">
        <v>1</v>
      </c>
      <c r="G124">
        <v>1080</v>
      </c>
      <c r="H124">
        <v>3</v>
      </c>
      <c r="I124" t="s">
        <v>388</v>
      </c>
      <c r="J124" t="s">
        <v>389</v>
      </c>
      <c r="K124" t="s">
        <v>390</v>
      </c>
      <c r="L124">
        <v>1354</v>
      </c>
      <c r="N124">
        <v>1010</v>
      </c>
      <c r="O124" t="s">
        <v>31</v>
      </c>
      <c r="P124" t="s">
        <v>31</v>
      </c>
      <c r="Q124">
        <v>1</v>
      </c>
      <c r="X124">
        <v>3.1</v>
      </c>
      <c r="Y124">
        <v>6.94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3</v>
      </c>
      <c r="AG124">
        <v>3.1</v>
      </c>
      <c r="AH124">
        <v>2</v>
      </c>
      <c r="AI124">
        <v>60257301</v>
      </c>
      <c r="AJ124">
        <v>116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ROW(Source!A95)</f>
        <v>95</v>
      </c>
      <c r="B125">
        <v>60257576</v>
      </c>
      <c r="C125">
        <v>60257293</v>
      </c>
      <c r="D125">
        <v>59062381</v>
      </c>
      <c r="E125">
        <v>1</v>
      </c>
      <c r="F125">
        <v>1</v>
      </c>
      <c r="G125">
        <v>1080</v>
      </c>
      <c r="H125">
        <v>3</v>
      </c>
      <c r="I125" t="s">
        <v>391</v>
      </c>
      <c r="J125" t="s">
        <v>392</v>
      </c>
      <c r="K125" t="s">
        <v>393</v>
      </c>
      <c r="L125">
        <v>1356</v>
      </c>
      <c r="N125">
        <v>1010</v>
      </c>
      <c r="O125" t="s">
        <v>74</v>
      </c>
      <c r="P125" t="s">
        <v>74</v>
      </c>
      <c r="Q125">
        <v>1000</v>
      </c>
      <c r="X125">
        <v>8.0000000000000002E-3</v>
      </c>
      <c r="Y125">
        <v>614.09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3</v>
      </c>
      <c r="AG125">
        <v>8.0000000000000002E-3</v>
      </c>
      <c r="AH125">
        <v>2</v>
      </c>
      <c r="AI125">
        <v>60257302</v>
      </c>
      <c r="AJ125">
        <v>117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ROW(Source!A95)</f>
        <v>95</v>
      </c>
      <c r="B126">
        <v>60257577</v>
      </c>
      <c r="C126">
        <v>60257293</v>
      </c>
      <c r="D126">
        <v>59014724</v>
      </c>
      <c r="E126">
        <v>1080</v>
      </c>
      <c r="F126">
        <v>1</v>
      </c>
      <c r="G126">
        <v>1080</v>
      </c>
      <c r="H126">
        <v>3</v>
      </c>
      <c r="I126" t="s">
        <v>462</v>
      </c>
      <c r="J126" t="s">
        <v>3</v>
      </c>
      <c r="K126" t="s">
        <v>463</v>
      </c>
      <c r="L126">
        <v>1303</v>
      </c>
      <c r="N126">
        <v>1003</v>
      </c>
      <c r="O126" t="s">
        <v>164</v>
      </c>
      <c r="P126" t="s">
        <v>164</v>
      </c>
      <c r="Q126">
        <v>1000</v>
      </c>
      <c r="X126">
        <v>0.10299999999999999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s">
        <v>3</v>
      </c>
      <c r="AG126">
        <v>0.10299999999999999</v>
      </c>
      <c r="AH126">
        <v>3</v>
      </c>
      <c r="AI126">
        <v>-1</v>
      </c>
      <c r="AJ126" t="s">
        <v>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ROW(Source!A96)</f>
        <v>96</v>
      </c>
      <c r="B127">
        <v>60257568</v>
      </c>
      <c r="C127">
        <v>60257293</v>
      </c>
      <c r="D127">
        <v>58999254</v>
      </c>
      <c r="E127">
        <v>1080</v>
      </c>
      <c r="F127">
        <v>1</v>
      </c>
      <c r="G127">
        <v>1080</v>
      </c>
      <c r="H127">
        <v>1</v>
      </c>
      <c r="I127" t="s">
        <v>293</v>
      </c>
      <c r="J127" t="s">
        <v>3</v>
      </c>
      <c r="K127" t="s">
        <v>294</v>
      </c>
      <c r="L127">
        <v>1191</v>
      </c>
      <c r="N127">
        <v>1013</v>
      </c>
      <c r="O127" t="s">
        <v>295</v>
      </c>
      <c r="P127" t="s">
        <v>295</v>
      </c>
      <c r="Q127">
        <v>1</v>
      </c>
      <c r="X127">
        <v>5.39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1</v>
      </c>
      <c r="AF127" t="s">
        <v>23</v>
      </c>
      <c r="AG127">
        <v>5.9290000000000003</v>
      </c>
      <c r="AH127">
        <v>2</v>
      </c>
      <c r="AI127">
        <v>60257294</v>
      </c>
      <c r="AJ127">
        <v>118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ROW(Source!A96)</f>
        <v>96</v>
      </c>
      <c r="B128">
        <v>60257569</v>
      </c>
      <c r="C128">
        <v>60257293</v>
      </c>
      <c r="D128">
        <v>59070669</v>
      </c>
      <c r="E128">
        <v>1</v>
      </c>
      <c r="F128">
        <v>1</v>
      </c>
      <c r="G128">
        <v>1080</v>
      </c>
      <c r="H128">
        <v>2</v>
      </c>
      <c r="I128" t="s">
        <v>300</v>
      </c>
      <c r="J128" t="s">
        <v>301</v>
      </c>
      <c r="K128" t="s">
        <v>302</v>
      </c>
      <c r="L128">
        <v>1368</v>
      </c>
      <c r="N128">
        <v>1011</v>
      </c>
      <c r="O128" t="s">
        <v>299</v>
      </c>
      <c r="P128" t="s">
        <v>299</v>
      </c>
      <c r="Q128">
        <v>1</v>
      </c>
      <c r="X128">
        <v>0.02</v>
      </c>
      <c r="Y128">
        <v>0</v>
      </c>
      <c r="Z128">
        <v>83.1</v>
      </c>
      <c r="AA128">
        <v>12.62</v>
      </c>
      <c r="AB128">
        <v>0</v>
      </c>
      <c r="AC128">
        <v>0</v>
      </c>
      <c r="AD128">
        <v>1</v>
      </c>
      <c r="AE128">
        <v>0</v>
      </c>
      <c r="AF128" t="s">
        <v>23</v>
      </c>
      <c r="AG128">
        <v>2.2000000000000002E-2</v>
      </c>
      <c r="AH128">
        <v>2</v>
      </c>
      <c r="AI128">
        <v>60257295</v>
      </c>
      <c r="AJ128">
        <v>119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ROW(Source!A96)</f>
        <v>96</v>
      </c>
      <c r="B129">
        <v>60257570</v>
      </c>
      <c r="C129">
        <v>60257293</v>
      </c>
      <c r="D129">
        <v>59069905</v>
      </c>
      <c r="E129">
        <v>1</v>
      </c>
      <c r="F129">
        <v>1</v>
      </c>
      <c r="G129">
        <v>1080</v>
      </c>
      <c r="H129">
        <v>2</v>
      </c>
      <c r="I129" t="s">
        <v>373</v>
      </c>
      <c r="J129" t="s">
        <v>374</v>
      </c>
      <c r="K129" t="s">
        <v>375</v>
      </c>
      <c r="L129">
        <v>1368</v>
      </c>
      <c r="N129">
        <v>1011</v>
      </c>
      <c r="O129" t="s">
        <v>299</v>
      </c>
      <c r="P129" t="s">
        <v>299</v>
      </c>
      <c r="Q129">
        <v>1</v>
      </c>
      <c r="X129">
        <v>0.02</v>
      </c>
      <c r="Y129">
        <v>0</v>
      </c>
      <c r="Z129">
        <v>179.17</v>
      </c>
      <c r="AA129">
        <v>16.93</v>
      </c>
      <c r="AB129">
        <v>0</v>
      </c>
      <c r="AC129">
        <v>0</v>
      </c>
      <c r="AD129">
        <v>1</v>
      </c>
      <c r="AE129">
        <v>0</v>
      </c>
      <c r="AF129" t="s">
        <v>23</v>
      </c>
      <c r="AG129">
        <v>2.2000000000000002E-2</v>
      </c>
      <c r="AH129">
        <v>2</v>
      </c>
      <c r="AI129">
        <v>60257296</v>
      </c>
      <c r="AJ129">
        <v>120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ROW(Source!A96)</f>
        <v>96</v>
      </c>
      <c r="B130">
        <v>60257571</v>
      </c>
      <c r="C130">
        <v>60257293</v>
      </c>
      <c r="D130">
        <v>59039702</v>
      </c>
      <c r="E130">
        <v>1</v>
      </c>
      <c r="F130">
        <v>1</v>
      </c>
      <c r="G130">
        <v>1080</v>
      </c>
      <c r="H130">
        <v>3</v>
      </c>
      <c r="I130" t="s">
        <v>376</v>
      </c>
      <c r="J130" t="s">
        <v>377</v>
      </c>
      <c r="K130" t="s">
        <v>378</v>
      </c>
      <c r="L130">
        <v>1346</v>
      </c>
      <c r="N130">
        <v>1009</v>
      </c>
      <c r="O130" t="s">
        <v>314</v>
      </c>
      <c r="P130" t="s">
        <v>314</v>
      </c>
      <c r="Q130">
        <v>1</v>
      </c>
      <c r="X130">
        <v>0.6</v>
      </c>
      <c r="Y130">
        <v>1.38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3</v>
      </c>
      <c r="AG130">
        <v>0.6</v>
      </c>
      <c r="AH130">
        <v>2</v>
      </c>
      <c r="AI130">
        <v>60257297</v>
      </c>
      <c r="AJ130">
        <v>121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ROW(Source!A96)</f>
        <v>96</v>
      </c>
      <c r="B131">
        <v>60257572</v>
      </c>
      <c r="C131">
        <v>60257293</v>
      </c>
      <c r="D131">
        <v>59040093</v>
      </c>
      <c r="E131">
        <v>1</v>
      </c>
      <c r="F131">
        <v>1</v>
      </c>
      <c r="G131">
        <v>1080</v>
      </c>
      <c r="H131">
        <v>3</v>
      </c>
      <c r="I131" t="s">
        <v>379</v>
      </c>
      <c r="J131" t="s">
        <v>380</v>
      </c>
      <c r="K131" t="s">
        <v>381</v>
      </c>
      <c r="L131">
        <v>1346</v>
      </c>
      <c r="N131">
        <v>1009</v>
      </c>
      <c r="O131" t="s">
        <v>314</v>
      </c>
      <c r="P131" t="s">
        <v>314</v>
      </c>
      <c r="Q131">
        <v>1</v>
      </c>
      <c r="X131">
        <v>0.16</v>
      </c>
      <c r="Y131">
        <v>159.06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3</v>
      </c>
      <c r="AG131">
        <v>0.16</v>
      </c>
      <c r="AH131">
        <v>2</v>
      </c>
      <c r="AI131">
        <v>60257298</v>
      </c>
      <c r="AJ131">
        <v>122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ROW(Source!A96)</f>
        <v>96</v>
      </c>
      <c r="B132">
        <v>60257573</v>
      </c>
      <c r="C132">
        <v>60257293</v>
      </c>
      <c r="D132">
        <v>59063037</v>
      </c>
      <c r="E132">
        <v>1</v>
      </c>
      <c r="F132">
        <v>1</v>
      </c>
      <c r="G132">
        <v>1080</v>
      </c>
      <c r="H132">
        <v>3</v>
      </c>
      <c r="I132" t="s">
        <v>382</v>
      </c>
      <c r="J132" t="s">
        <v>383</v>
      </c>
      <c r="K132" t="s">
        <v>384</v>
      </c>
      <c r="L132">
        <v>1355</v>
      </c>
      <c r="N132">
        <v>1010</v>
      </c>
      <c r="O132" t="s">
        <v>63</v>
      </c>
      <c r="P132" t="s">
        <v>63</v>
      </c>
      <c r="Q132">
        <v>100</v>
      </c>
      <c r="X132">
        <v>0.05</v>
      </c>
      <c r="Y132">
        <v>130.15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3</v>
      </c>
      <c r="AG132">
        <v>0.05</v>
      </c>
      <c r="AH132">
        <v>2</v>
      </c>
      <c r="AI132">
        <v>60257299</v>
      </c>
      <c r="AJ132">
        <v>123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ROW(Source!A96)</f>
        <v>96</v>
      </c>
      <c r="B133">
        <v>60257574</v>
      </c>
      <c r="C133">
        <v>60257293</v>
      </c>
      <c r="D133">
        <v>59063048</v>
      </c>
      <c r="E133">
        <v>1</v>
      </c>
      <c r="F133">
        <v>1</v>
      </c>
      <c r="G133">
        <v>1080</v>
      </c>
      <c r="H133">
        <v>3</v>
      </c>
      <c r="I133" t="s">
        <v>385</v>
      </c>
      <c r="J133" t="s">
        <v>386</v>
      </c>
      <c r="K133" t="s">
        <v>387</v>
      </c>
      <c r="L133">
        <v>1356</v>
      </c>
      <c r="N133">
        <v>1010</v>
      </c>
      <c r="O133" t="s">
        <v>74</v>
      </c>
      <c r="P133" t="s">
        <v>74</v>
      </c>
      <c r="Q133">
        <v>1000</v>
      </c>
      <c r="X133">
        <v>1.2200000000000001E-2</v>
      </c>
      <c r="Y133">
        <v>226.86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3</v>
      </c>
      <c r="AG133">
        <v>1.2200000000000001E-2</v>
      </c>
      <c r="AH133">
        <v>2</v>
      </c>
      <c r="AI133">
        <v>60257300</v>
      </c>
      <c r="AJ133">
        <v>124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ROW(Source!A96)</f>
        <v>96</v>
      </c>
      <c r="B134">
        <v>60257575</v>
      </c>
      <c r="C134">
        <v>60257293</v>
      </c>
      <c r="D134">
        <v>59062373</v>
      </c>
      <c r="E134">
        <v>1</v>
      </c>
      <c r="F134">
        <v>1</v>
      </c>
      <c r="G134">
        <v>1080</v>
      </c>
      <c r="H134">
        <v>3</v>
      </c>
      <c r="I134" t="s">
        <v>388</v>
      </c>
      <c r="J134" t="s">
        <v>389</v>
      </c>
      <c r="K134" t="s">
        <v>390</v>
      </c>
      <c r="L134">
        <v>1354</v>
      </c>
      <c r="N134">
        <v>1010</v>
      </c>
      <c r="O134" t="s">
        <v>31</v>
      </c>
      <c r="P134" t="s">
        <v>31</v>
      </c>
      <c r="Q134">
        <v>1</v>
      </c>
      <c r="X134">
        <v>3.1</v>
      </c>
      <c r="Y134">
        <v>6.94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3</v>
      </c>
      <c r="AG134">
        <v>3.1</v>
      </c>
      <c r="AH134">
        <v>2</v>
      </c>
      <c r="AI134">
        <v>60257301</v>
      </c>
      <c r="AJ134">
        <v>125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ROW(Source!A96)</f>
        <v>96</v>
      </c>
      <c r="B135">
        <v>60257576</v>
      </c>
      <c r="C135">
        <v>60257293</v>
      </c>
      <c r="D135">
        <v>59062381</v>
      </c>
      <c r="E135">
        <v>1</v>
      </c>
      <c r="F135">
        <v>1</v>
      </c>
      <c r="G135">
        <v>1080</v>
      </c>
      <c r="H135">
        <v>3</v>
      </c>
      <c r="I135" t="s">
        <v>391</v>
      </c>
      <c r="J135" t="s">
        <v>392</v>
      </c>
      <c r="K135" t="s">
        <v>393</v>
      </c>
      <c r="L135">
        <v>1356</v>
      </c>
      <c r="N135">
        <v>1010</v>
      </c>
      <c r="O135" t="s">
        <v>74</v>
      </c>
      <c r="P135" t="s">
        <v>74</v>
      </c>
      <c r="Q135">
        <v>1000</v>
      </c>
      <c r="X135">
        <v>8.0000000000000002E-3</v>
      </c>
      <c r="Y135">
        <v>614.09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3</v>
      </c>
      <c r="AG135">
        <v>8.0000000000000002E-3</v>
      </c>
      <c r="AH135">
        <v>2</v>
      </c>
      <c r="AI135">
        <v>60257302</v>
      </c>
      <c r="AJ135">
        <v>126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ROW(Source!A96)</f>
        <v>96</v>
      </c>
      <c r="B136">
        <v>60257577</v>
      </c>
      <c r="C136">
        <v>60257293</v>
      </c>
      <c r="D136">
        <v>59014724</v>
      </c>
      <c r="E136">
        <v>1080</v>
      </c>
      <c r="F136">
        <v>1</v>
      </c>
      <c r="G136">
        <v>1080</v>
      </c>
      <c r="H136">
        <v>3</v>
      </c>
      <c r="I136" t="s">
        <v>462</v>
      </c>
      <c r="J136" t="s">
        <v>3</v>
      </c>
      <c r="K136" t="s">
        <v>463</v>
      </c>
      <c r="L136">
        <v>1303</v>
      </c>
      <c r="N136">
        <v>1003</v>
      </c>
      <c r="O136" t="s">
        <v>164</v>
      </c>
      <c r="P136" t="s">
        <v>164</v>
      </c>
      <c r="Q136">
        <v>1000</v>
      </c>
      <c r="X136">
        <v>0.10299999999999999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3</v>
      </c>
      <c r="AG136">
        <v>0.10299999999999999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ROW(Source!A97)</f>
        <v>97</v>
      </c>
      <c r="B137">
        <v>60257578</v>
      </c>
      <c r="C137">
        <v>60257313</v>
      </c>
      <c r="D137">
        <v>58999254</v>
      </c>
      <c r="E137">
        <v>1080</v>
      </c>
      <c r="F137">
        <v>1</v>
      </c>
      <c r="G137">
        <v>1080</v>
      </c>
      <c r="H137">
        <v>1</v>
      </c>
      <c r="I137" t="s">
        <v>293</v>
      </c>
      <c r="J137" t="s">
        <v>3</v>
      </c>
      <c r="K137" t="s">
        <v>294</v>
      </c>
      <c r="L137">
        <v>1191</v>
      </c>
      <c r="N137">
        <v>1013</v>
      </c>
      <c r="O137" t="s">
        <v>295</v>
      </c>
      <c r="P137" t="s">
        <v>295</v>
      </c>
      <c r="Q137">
        <v>1</v>
      </c>
      <c r="X137">
        <v>1.83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1</v>
      </c>
      <c r="AF137" t="s">
        <v>23</v>
      </c>
      <c r="AG137">
        <v>2.0130000000000003</v>
      </c>
      <c r="AH137">
        <v>2</v>
      </c>
      <c r="AI137">
        <v>60257314</v>
      </c>
      <c r="AJ137">
        <v>127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ROW(Source!A97)</f>
        <v>97</v>
      </c>
      <c r="B138">
        <v>60257579</v>
      </c>
      <c r="C138">
        <v>60257313</v>
      </c>
      <c r="D138">
        <v>59070669</v>
      </c>
      <c r="E138">
        <v>1</v>
      </c>
      <c r="F138">
        <v>1</v>
      </c>
      <c r="G138">
        <v>1080</v>
      </c>
      <c r="H138">
        <v>2</v>
      </c>
      <c r="I138" t="s">
        <v>300</v>
      </c>
      <c r="J138" t="s">
        <v>301</v>
      </c>
      <c r="K138" t="s">
        <v>302</v>
      </c>
      <c r="L138">
        <v>1368</v>
      </c>
      <c r="N138">
        <v>1011</v>
      </c>
      <c r="O138" t="s">
        <v>299</v>
      </c>
      <c r="P138" t="s">
        <v>299</v>
      </c>
      <c r="Q138">
        <v>1</v>
      </c>
      <c r="X138">
        <v>0.01</v>
      </c>
      <c r="Y138">
        <v>0</v>
      </c>
      <c r="Z138">
        <v>83.1</v>
      </c>
      <c r="AA138">
        <v>12.62</v>
      </c>
      <c r="AB138">
        <v>0</v>
      </c>
      <c r="AC138">
        <v>0</v>
      </c>
      <c r="AD138">
        <v>1</v>
      </c>
      <c r="AE138">
        <v>0</v>
      </c>
      <c r="AF138" t="s">
        <v>23</v>
      </c>
      <c r="AG138">
        <v>1.1000000000000001E-2</v>
      </c>
      <c r="AH138">
        <v>2</v>
      </c>
      <c r="AI138">
        <v>60257315</v>
      </c>
      <c r="AJ138">
        <v>128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ROW(Source!A97)</f>
        <v>97</v>
      </c>
      <c r="B139">
        <v>60257580</v>
      </c>
      <c r="C139">
        <v>60257313</v>
      </c>
      <c r="D139">
        <v>59069905</v>
      </c>
      <c r="E139">
        <v>1</v>
      </c>
      <c r="F139">
        <v>1</v>
      </c>
      <c r="G139">
        <v>1080</v>
      </c>
      <c r="H139">
        <v>2</v>
      </c>
      <c r="I139" t="s">
        <v>373</v>
      </c>
      <c r="J139" t="s">
        <v>374</v>
      </c>
      <c r="K139" t="s">
        <v>375</v>
      </c>
      <c r="L139">
        <v>1368</v>
      </c>
      <c r="N139">
        <v>1011</v>
      </c>
      <c r="O139" t="s">
        <v>299</v>
      </c>
      <c r="P139" t="s">
        <v>299</v>
      </c>
      <c r="Q139">
        <v>1</v>
      </c>
      <c r="X139">
        <v>0.01</v>
      </c>
      <c r="Y139">
        <v>0</v>
      </c>
      <c r="Z139">
        <v>179.17</v>
      </c>
      <c r="AA139">
        <v>16.93</v>
      </c>
      <c r="AB139">
        <v>0</v>
      </c>
      <c r="AC139">
        <v>0</v>
      </c>
      <c r="AD139">
        <v>1</v>
      </c>
      <c r="AE139">
        <v>0</v>
      </c>
      <c r="AF139" t="s">
        <v>23</v>
      </c>
      <c r="AG139">
        <v>1.1000000000000001E-2</v>
      </c>
      <c r="AH139">
        <v>2</v>
      </c>
      <c r="AI139">
        <v>60257316</v>
      </c>
      <c r="AJ139">
        <v>129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ROW(Source!A97)</f>
        <v>97</v>
      </c>
      <c r="B140">
        <v>60257581</v>
      </c>
      <c r="C140">
        <v>60257313</v>
      </c>
      <c r="D140">
        <v>59039702</v>
      </c>
      <c r="E140">
        <v>1</v>
      </c>
      <c r="F140">
        <v>1</v>
      </c>
      <c r="G140">
        <v>1080</v>
      </c>
      <c r="H140">
        <v>3</v>
      </c>
      <c r="I140" t="s">
        <v>376</v>
      </c>
      <c r="J140" t="s">
        <v>377</v>
      </c>
      <c r="K140" t="s">
        <v>378</v>
      </c>
      <c r="L140">
        <v>1346</v>
      </c>
      <c r="N140">
        <v>1009</v>
      </c>
      <c r="O140" t="s">
        <v>314</v>
      </c>
      <c r="P140" t="s">
        <v>314</v>
      </c>
      <c r="Q140">
        <v>1</v>
      </c>
      <c r="X140">
        <v>0.6</v>
      </c>
      <c r="Y140">
        <v>1.38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3</v>
      </c>
      <c r="AG140">
        <v>0.6</v>
      </c>
      <c r="AH140">
        <v>2</v>
      </c>
      <c r="AI140">
        <v>60257317</v>
      </c>
      <c r="AJ140">
        <v>130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ROW(Source!A97)</f>
        <v>97</v>
      </c>
      <c r="B141">
        <v>60257582</v>
      </c>
      <c r="C141">
        <v>60257313</v>
      </c>
      <c r="D141">
        <v>59040093</v>
      </c>
      <c r="E141">
        <v>1</v>
      </c>
      <c r="F141">
        <v>1</v>
      </c>
      <c r="G141">
        <v>1080</v>
      </c>
      <c r="H141">
        <v>3</v>
      </c>
      <c r="I141" t="s">
        <v>379</v>
      </c>
      <c r="J141" t="s">
        <v>380</v>
      </c>
      <c r="K141" t="s">
        <v>381</v>
      </c>
      <c r="L141">
        <v>1346</v>
      </c>
      <c r="N141">
        <v>1009</v>
      </c>
      <c r="O141" t="s">
        <v>314</v>
      </c>
      <c r="P141" t="s">
        <v>314</v>
      </c>
      <c r="Q141">
        <v>1</v>
      </c>
      <c r="X141">
        <v>0.16</v>
      </c>
      <c r="Y141">
        <v>159.06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3</v>
      </c>
      <c r="AG141">
        <v>0.16</v>
      </c>
      <c r="AH141">
        <v>2</v>
      </c>
      <c r="AI141">
        <v>60257318</v>
      </c>
      <c r="AJ141">
        <v>131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ROW(Source!A97)</f>
        <v>97</v>
      </c>
      <c r="B142">
        <v>60257583</v>
      </c>
      <c r="C142">
        <v>60257313</v>
      </c>
      <c r="D142">
        <v>59063048</v>
      </c>
      <c r="E142">
        <v>1</v>
      </c>
      <c r="F142">
        <v>1</v>
      </c>
      <c r="G142">
        <v>1080</v>
      </c>
      <c r="H142">
        <v>3</v>
      </c>
      <c r="I142" t="s">
        <v>385</v>
      </c>
      <c r="J142" t="s">
        <v>386</v>
      </c>
      <c r="K142" t="s">
        <v>387</v>
      </c>
      <c r="L142">
        <v>1356</v>
      </c>
      <c r="N142">
        <v>1010</v>
      </c>
      <c r="O142" t="s">
        <v>74</v>
      </c>
      <c r="P142" t="s">
        <v>74</v>
      </c>
      <c r="Q142">
        <v>1000</v>
      </c>
      <c r="X142">
        <v>1.2200000000000001E-2</v>
      </c>
      <c r="Y142">
        <v>226.86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3</v>
      </c>
      <c r="AG142">
        <v>1.2200000000000001E-2</v>
      </c>
      <c r="AH142">
        <v>2</v>
      </c>
      <c r="AI142">
        <v>60257319</v>
      </c>
      <c r="AJ142">
        <v>132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ROW(Source!A97)</f>
        <v>97</v>
      </c>
      <c r="B143">
        <v>60257584</v>
      </c>
      <c r="C143">
        <v>60257313</v>
      </c>
      <c r="D143">
        <v>59062373</v>
      </c>
      <c r="E143">
        <v>1</v>
      </c>
      <c r="F143">
        <v>1</v>
      </c>
      <c r="G143">
        <v>1080</v>
      </c>
      <c r="H143">
        <v>3</v>
      </c>
      <c r="I143" t="s">
        <v>388</v>
      </c>
      <c r="J143" t="s">
        <v>389</v>
      </c>
      <c r="K143" t="s">
        <v>390</v>
      </c>
      <c r="L143">
        <v>1354</v>
      </c>
      <c r="N143">
        <v>1010</v>
      </c>
      <c r="O143" t="s">
        <v>31</v>
      </c>
      <c r="P143" t="s">
        <v>31</v>
      </c>
      <c r="Q143">
        <v>1</v>
      </c>
      <c r="X143">
        <v>3.1</v>
      </c>
      <c r="Y143">
        <v>6.94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3</v>
      </c>
      <c r="AG143">
        <v>3.1</v>
      </c>
      <c r="AH143">
        <v>2</v>
      </c>
      <c r="AI143">
        <v>60257320</v>
      </c>
      <c r="AJ143">
        <v>133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ROW(Source!A97)</f>
        <v>97</v>
      </c>
      <c r="B144">
        <v>60257585</v>
      </c>
      <c r="C144">
        <v>60257313</v>
      </c>
      <c r="D144">
        <v>59062381</v>
      </c>
      <c r="E144">
        <v>1</v>
      </c>
      <c r="F144">
        <v>1</v>
      </c>
      <c r="G144">
        <v>1080</v>
      </c>
      <c r="H144">
        <v>3</v>
      </c>
      <c r="I144" t="s">
        <v>391</v>
      </c>
      <c r="J144" t="s">
        <v>392</v>
      </c>
      <c r="K144" t="s">
        <v>393</v>
      </c>
      <c r="L144">
        <v>1356</v>
      </c>
      <c r="N144">
        <v>1010</v>
      </c>
      <c r="O144" t="s">
        <v>74</v>
      </c>
      <c r="P144" t="s">
        <v>74</v>
      </c>
      <c r="Q144">
        <v>1000</v>
      </c>
      <c r="X144">
        <v>8.0000000000000002E-3</v>
      </c>
      <c r="Y144">
        <v>614.09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3</v>
      </c>
      <c r="AG144">
        <v>8.0000000000000002E-3</v>
      </c>
      <c r="AH144">
        <v>2</v>
      </c>
      <c r="AI144">
        <v>60257321</v>
      </c>
      <c r="AJ144">
        <v>134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ROW(Source!A97)</f>
        <v>97</v>
      </c>
      <c r="B145">
        <v>60257586</v>
      </c>
      <c r="C145">
        <v>60257313</v>
      </c>
      <c r="D145">
        <v>59014724</v>
      </c>
      <c r="E145">
        <v>1080</v>
      </c>
      <c r="F145">
        <v>1</v>
      </c>
      <c r="G145">
        <v>1080</v>
      </c>
      <c r="H145">
        <v>3</v>
      </c>
      <c r="I145" t="s">
        <v>462</v>
      </c>
      <c r="J145" t="s">
        <v>3</v>
      </c>
      <c r="K145" t="s">
        <v>463</v>
      </c>
      <c r="L145">
        <v>1303</v>
      </c>
      <c r="N145">
        <v>1003</v>
      </c>
      <c r="O145" t="s">
        <v>164</v>
      </c>
      <c r="P145" t="s">
        <v>164</v>
      </c>
      <c r="Q145">
        <v>1000</v>
      </c>
      <c r="X145">
        <v>0.10299999999999999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 t="s">
        <v>3</v>
      </c>
      <c r="AG145">
        <v>0.10299999999999999</v>
      </c>
      <c r="AH145">
        <v>3</v>
      </c>
      <c r="AI145">
        <v>-1</v>
      </c>
      <c r="AJ145" t="s">
        <v>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ROW(Source!A98)</f>
        <v>98</v>
      </c>
      <c r="B146">
        <v>60257578</v>
      </c>
      <c r="C146">
        <v>60257313</v>
      </c>
      <c r="D146">
        <v>58999254</v>
      </c>
      <c r="E146">
        <v>1080</v>
      </c>
      <c r="F146">
        <v>1</v>
      </c>
      <c r="G146">
        <v>1080</v>
      </c>
      <c r="H146">
        <v>1</v>
      </c>
      <c r="I146" t="s">
        <v>293</v>
      </c>
      <c r="J146" t="s">
        <v>3</v>
      </c>
      <c r="K146" t="s">
        <v>294</v>
      </c>
      <c r="L146">
        <v>1191</v>
      </c>
      <c r="N146">
        <v>1013</v>
      </c>
      <c r="O146" t="s">
        <v>295</v>
      </c>
      <c r="P146" t="s">
        <v>295</v>
      </c>
      <c r="Q146">
        <v>1</v>
      </c>
      <c r="X146">
        <v>1.83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1</v>
      </c>
      <c r="AF146" t="s">
        <v>23</v>
      </c>
      <c r="AG146">
        <v>2.0130000000000003</v>
      </c>
      <c r="AH146">
        <v>2</v>
      </c>
      <c r="AI146">
        <v>60257314</v>
      </c>
      <c r="AJ146">
        <v>135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ROW(Source!A98)</f>
        <v>98</v>
      </c>
      <c r="B147">
        <v>60257579</v>
      </c>
      <c r="C147">
        <v>60257313</v>
      </c>
      <c r="D147">
        <v>59070669</v>
      </c>
      <c r="E147">
        <v>1</v>
      </c>
      <c r="F147">
        <v>1</v>
      </c>
      <c r="G147">
        <v>1080</v>
      </c>
      <c r="H147">
        <v>2</v>
      </c>
      <c r="I147" t="s">
        <v>300</v>
      </c>
      <c r="J147" t="s">
        <v>301</v>
      </c>
      <c r="K147" t="s">
        <v>302</v>
      </c>
      <c r="L147">
        <v>1368</v>
      </c>
      <c r="N147">
        <v>1011</v>
      </c>
      <c r="O147" t="s">
        <v>299</v>
      </c>
      <c r="P147" t="s">
        <v>299</v>
      </c>
      <c r="Q147">
        <v>1</v>
      </c>
      <c r="X147">
        <v>0.01</v>
      </c>
      <c r="Y147">
        <v>0</v>
      </c>
      <c r="Z147">
        <v>83.1</v>
      </c>
      <c r="AA147">
        <v>12.62</v>
      </c>
      <c r="AB147">
        <v>0</v>
      </c>
      <c r="AC147">
        <v>0</v>
      </c>
      <c r="AD147">
        <v>1</v>
      </c>
      <c r="AE147">
        <v>0</v>
      </c>
      <c r="AF147" t="s">
        <v>23</v>
      </c>
      <c r="AG147">
        <v>1.1000000000000001E-2</v>
      </c>
      <c r="AH147">
        <v>2</v>
      </c>
      <c r="AI147">
        <v>60257315</v>
      </c>
      <c r="AJ147">
        <v>136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ROW(Source!A98)</f>
        <v>98</v>
      </c>
      <c r="B148">
        <v>60257580</v>
      </c>
      <c r="C148">
        <v>60257313</v>
      </c>
      <c r="D148">
        <v>59069905</v>
      </c>
      <c r="E148">
        <v>1</v>
      </c>
      <c r="F148">
        <v>1</v>
      </c>
      <c r="G148">
        <v>1080</v>
      </c>
      <c r="H148">
        <v>2</v>
      </c>
      <c r="I148" t="s">
        <v>373</v>
      </c>
      <c r="J148" t="s">
        <v>374</v>
      </c>
      <c r="K148" t="s">
        <v>375</v>
      </c>
      <c r="L148">
        <v>1368</v>
      </c>
      <c r="N148">
        <v>1011</v>
      </c>
      <c r="O148" t="s">
        <v>299</v>
      </c>
      <c r="P148" t="s">
        <v>299</v>
      </c>
      <c r="Q148">
        <v>1</v>
      </c>
      <c r="X148">
        <v>0.01</v>
      </c>
      <c r="Y148">
        <v>0</v>
      </c>
      <c r="Z148">
        <v>179.17</v>
      </c>
      <c r="AA148">
        <v>16.93</v>
      </c>
      <c r="AB148">
        <v>0</v>
      </c>
      <c r="AC148">
        <v>0</v>
      </c>
      <c r="AD148">
        <v>1</v>
      </c>
      <c r="AE148">
        <v>0</v>
      </c>
      <c r="AF148" t="s">
        <v>23</v>
      </c>
      <c r="AG148">
        <v>1.1000000000000001E-2</v>
      </c>
      <c r="AH148">
        <v>2</v>
      </c>
      <c r="AI148">
        <v>60257316</v>
      </c>
      <c r="AJ148">
        <v>137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ROW(Source!A98)</f>
        <v>98</v>
      </c>
      <c r="B149">
        <v>60257581</v>
      </c>
      <c r="C149">
        <v>60257313</v>
      </c>
      <c r="D149">
        <v>59039702</v>
      </c>
      <c r="E149">
        <v>1</v>
      </c>
      <c r="F149">
        <v>1</v>
      </c>
      <c r="G149">
        <v>1080</v>
      </c>
      <c r="H149">
        <v>3</v>
      </c>
      <c r="I149" t="s">
        <v>376</v>
      </c>
      <c r="J149" t="s">
        <v>377</v>
      </c>
      <c r="K149" t="s">
        <v>378</v>
      </c>
      <c r="L149">
        <v>1346</v>
      </c>
      <c r="N149">
        <v>1009</v>
      </c>
      <c r="O149" t="s">
        <v>314</v>
      </c>
      <c r="P149" t="s">
        <v>314</v>
      </c>
      <c r="Q149">
        <v>1</v>
      </c>
      <c r="X149">
        <v>0.6</v>
      </c>
      <c r="Y149">
        <v>1.38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3</v>
      </c>
      <c r="AG149">
        <v>0.6</v>
      </c>
      <c r="AH149">
        <v>2</v>
      </c>
      <c r="AI149">
        <v>60257317</v>
      </c>
      <c r="AJ149">
        <v>138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ROW(Source!A98)</f>
        <v>98</v>
      </c>
      <c r="B150">
        <v>60257582</v>
      </c>
      <c r="C150">
        <v>60257313</v>
      </c>
      <c r="D150">
        <v>59040093</v>
      </c>
      <c r="E150">
        <v>1</v>
      </c>
      <c r="F150">
        <v>1</v>
      </c>
      <c r="G150">
        <v>1080</v>
      </c>
      <c r="H150">
        <v>3</v>
      </c>
      <c r="I150" t="s">
        <v>379</v>
      </c>
      <c r="J150" t="s">
        <v>380</v>
      </c>
      <c r="K150" t="s">
        <v>381</v>
      </c>
      <c r="L150">
        <v>1346</v>
      </c>
      <c r="N150">
        <v>1009</v>
      </c>
      <c r="O150" t="s">
        <v>314</v>
      </c>
      <c r="P150" t="s">
        <v>314</v>
      </c>
      <c r="Q150">
        <v>1</v>
      </c>
      <c r="X150">
        <v>0.16</v>
      </c>
      <c r="Y150">
        <v>159.06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3</v>
      </c>
      <c r="AG150">
        <v>0.16</v>
      </c>
      <c r="AH150">
        <v>2</v>
      </c>
      <c r="AI150">
        <v>60257318</v>
      </c>
      <c r="AJ150">
        <v>139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ROW(Source!A98)</f>
        <v>98</v>
      </c>
      <c r="B151">
        <v>60257583</v>
      </c>
      <c r="C151">
        <v>60257313</v>
      </c>
      <c r="D151">
        <v>59063048</v>
      </c>
      <c r="E151">
        <v>1</v>
      </c>
      <c r="F151">
        <v>1</v>
      </c>
      <c r="G151">
        <v>1080</v>
      </c>
      <c r="H151">
        <v>3</v>
      </c>
      <c r="I151" t="s">
        <v>385</v>
      </c>
      <c r="J151" t="s">
        <v>386</v>
      </c>
      <c r="K151" t="s">
        <v>387</v>
      </c>
      <c r="L151">
        <v>1356</v>
      </c>
      <c r="N151">
        <v>1010</v>
      </c>
      <c r="O151" t="s">
        <v>74</v>
      </c>
      <c r="P151" t="s">
        <v>74</v>
      </c>
      <c r="Q151">
        <v>1000</v>
      </c>
      <c r="X151">
        <v>1.2200000000000001E-2</v>
      </c>
      <c r="Y151">
        <v>226.86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3</v>
      </c>
      <c r="AG151">
        <v>1.2200000000000001E-2</v>
      </c>
      <c r="AH151">
        <v>2</v>
      </c>
      <c r="AI151">
        <v>60257319</v>
      </c>
      <c r="AJ151">
        <v>140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ROW(Source!A98)</f>
        <v>98</v>
      </c>
      <c r="B152">
        <v>60257584</v>
      </c>
      <c r="C152">
        <v>60257313</v>
      </c>
      <c r="D152">
        <v>59062373</v>
      </c>
      <c r="E152">
        <v>1</v>
      </c>
      <c r="F152">
        <v>1</v>
      </c>
      <c r="G152">
        <v>1080</v>
      </c>
      <c r="H152">
        <v>3</v>
      </c>
      <c r="I152" t="s">
        <v>388</v>
      </c>
      <c r="J152" t="s">
        <v>389</v>
      </c>
      <c r="K152" t="s">
        <v>390</v>
      </c>
      <c r="L152">
        <v>1354</v>
      </c>
      <c r="N152">
        <v>1010</v>
      </c>
      <c r="O152" t="s">
        <v>31</v>
      </c>
      <c r="P152" t="s">
        <v>31</v>
      </c>
      <c r="Q152">
        <v>1</v>
      </c>
      <c r="X152">
        <v>3.1</v>
      </c>
      <c r="Y152">
        <v>6.94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3</v>
      </c>
      <c r="AG152">
        <v>3.1</v>
      </c>
      <c r="AH152">
        <v>2</v>
      </c>
      <c r="AI152">
        <v>60257320</v>
      </c>
      <c r="AJ152">
        <v>141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ROW(Source!A98)</f>
        <v>98</v>
      </c>
      <c r="B153">
        <v>60257585</v>
      </c>
      <c r="C153">
        <v>60257313</v>
      </c>
      <c r="D153">
        <v>59062381</v>
      </c>
      <c r="E153">
        <v>1</v>
      </c>
      <c r="F153">
        <v>1</v>
      </c>
      <c r="G153">
        <v>1080</v>
      </c>
      <c r="H153">
        <v>3</v>
      </c>
      <c r="I153" t="s">
        <v>391</v>
      </c>
      <c r="J153" t="s">
        <v>392</v>
      </c>
      <c r="K153" t="s">
        <v>393</v>
      </c>
      <c r="L153">
        <v>1356</v>
      </c>
      <c r="N153">
        <v>1010</v>
      </c>
      <c r="O153" t="s">
        <v>74</v>
      </c>
      <c r="P153" t="s">
        <v>74</v>
      </c>
      <c r="Q153">
        <v>1000</v>
      </c>
      <c r="X153">
        <v>8.0000000000000002E-3</v>
      </c>
      <c r="Y153">
        <v>614.09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3</v>
      </c>
      <c r="AG153">
        <v>8.0000000000000002E-3</v>
      </c>
      <c r="AH153">
        <v>2</v>
      </c>
      <c r="AI153">
        <v>60257321</v>
      </c>
      <c r="AJ153">
        <v>142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ROW(Source!A98)</f>
        <v>98</v>
      </c>
      <c r="B154">
        <v>60257586</v>
      </c>
      <c r="C154">
        <v>60257313</v>
      </c>
      <c r="D154">
        <v>59014724</v>
      </c>
      <c r="E154">
        <v>1080</v>
      </c>
      <c r="F154">
        <v>1</v>
      </c>
      <c r="G154">
        <v>1080</v>
      </c>
      <c r="H154">
        <v>3</v>
      </c>
      <c r="I154" t="s">
        <v>462</v>
      </c>
      <c r="J154" t="s">
        <v>3</v>
      </c>
      <c r="K154" t="s">
        <v>463</v>
      </c>
      <c r="L154">
        <v>1303</v>
      </c>
      <c r="N154">
        <v>1003</v>
      </c>
      <c r="O154" t="s">
        <v>164</v>
      </c>
      <c r="P154" t="s">
        <v>164</v>
      </c>
      <c r="Q154">
        <v>1000</v>
      </c>
      <c r="X154">
        <v>0.10299999999999999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 t="s">
        <v>3</v>
      </c>
      <c r="AG154">
        <v>0.10299999999999999</v>
      </c>
      <c r="AH154">
        <v>3</v>
      </c>
      <c r="AI154">
        <v>-1</v>
      </c>
      <c r="AJ154" t="s">
        <v>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ROW(Source!A150)</f>
        <v>150</v>
      </c>
      <c r="B155">
        <v>60257587</v>
      </c>
      <c r="C155">
        <v>60257395</v>
      </c>
      <c r="D155">
        <v>58999254</v>
      </c>
      <c r="E155">
        <v>1080</v>
      </c>
      <c r="F155">
        <v>1</v>
      </c>
      <c r="G155">
        <v>1080</v>
      </c>
      <c r="H155">
        <v>1</v>
      </c>
      <c r="I155" t="s">
        <v>293</v>
      </c>
      <c r="J155" t="s">
        <v>3</v>
      </c>
      <c r="K155" t="s">
        <v>294</v>
      </c>
      <c r="L155">
        <v>1191</v>
      </c>
      <c r="N155">
        <v>1013</v>
      </c>
      <c r="O155" t="s">
        <v>295</v>
      </c>
      <c r="P155" t="s">
        <v>295</v>
      </c>
      <c r="Q155">
        <v>1</v>
      </c>
      <c r="X155">
        <v>24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 t="s">
        <v>23</v>
      </c>
      <c r="AG155">
        <v>26.400000000000002</v>
      </c>
      <c r="AH155">
        <v>2</v>
      </c>
      <c r="AI155">
        <v>60257396</v>
      </c>
      <c r="AJ155">
        <v>143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ROW(Source!A150)</f>
        <v>150</v>
      </c>
      <c r="B156">
        <v>60257588</v>
      </c>
      <c r="C156">
        <v>60257395</v>
      </c>
      <c r="D156">
        <v>59039576</v>
      </c>
      <c r="E156">
        <v>1</v>
      </c>
      <c r="F156">
        <v>1</v>
      </c>
      <c r="G156">
        <v>1080</v>
      </c>
      <c r="H156">
        <v>3</v>
      </c>
      <c r="I156" t="s">
        <v>352</v>
      </c>
      <c r="J156" t="s">
        <v>353</v>
      </c>
      <c r="K156" t="s">
        <v>354</v>
      </c>
      <c r="L156">
        <v>1348</v>
      </c>
      <c r="N156">
        <v>1009</v>
      </c>
      <c r="O156" t="s">
        <v>310</v>
      </c>
      <c r="P156" t="s">
        <v>310</v>
      </c>
      <c r="Q156">
        <v>1000</v>
      </c>
      <c r="X156">
        <v>6.0000000000000001E-3</v>
      </c>
      <c r="Y156">
        <v>7246.05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3</v>
      </c>
      <c r="AG156">
        <v>6.0000000000000001E-3</v>
      </c>
      <c r="AH156">
        <v>2</v>
      </c>
      <c r="AI156">
        <v>60257397</v>
      </c>
      <c r="AJ156">
        <v>144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ROW(Source!A150)</f>
        <v>150</v>
      </c>
      <c r="B157">
        <v>60257589</v>
      </c>
      <c r="C157">
        <v>60257395</v>
      </c>
      <c r="D157">
        <v>59039985</v>
      </c>
      <c r="E157">
        <v>1</v>
      </c>
      <c r="F157">
        <v>1</v>
      </c>
      <c r="G157">
        <v>1080</v>
      </c>
      <c r="H157">
        <v>3</v>
      </c>
      <c r="I157" t="s">
        <v>394</v>
      </c>
      <c r="J157" t="s">
        <v>395</v>
      </c>
      <c r="K157" t="s">
        <v>396</v>
      </c>
      <c r="L157">
        <v>1346</v>
      </c>
      <c r="N157">
        <v>1009</v>
      </c>
      <c r="O157" t="s">
        <v>314</v>
      </c>
      <c r="P157" t="s">
        <v>314</v>
      </c>
      <c r="Q157">
        <v>1</v>
      </c>
      <c r="X157">
        <v>0.2</v>
      </c>
      <c r="Y157">
        <v>104.63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3</v>
      </c>
      <c r="AG157">
        <v>0.2</v>
      </c>
      <c r="AH157">
        <v>2</v>
      </c>
      <c r="AI157">
        <v>60257398</v>
      </c>
      <c r="AJ157">
        <v>145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ROW(Source!A150)</f>
        <v>150</v>
      </c>
      <c r="B158">
        <v>60257590</v>
      </c>
      <c r="C158">
        <v>60257395</v>
      </c>
      <c r="D158">
        <v>59041461</v>
      </c>
      <c r="E158">
        <v>1</v>
      </c>
      <c r="F158">
        <v>1</v>
      </c>
      <c r="G158">
        <v>1080</v>
      </c>
      <c r="H158">
        <v>3</v>
      </c>
      <c r="I158" t="s">
        <v>397</v>
      </c>
      <c r="J158" t="s">
        <v>398</v>
      </c>
      <c r="K158" t="s">
        <v>399</v>
      </c>
      <c r="L158">
        <v>1355</v>
      </c>
      <c r="N158">
        <v>1010</v>
      </c>
      <c r="O158" t="s">
        <v>63</v>
      </c>
      <c r="P158" t="s">
        <v>63</v>
      </c>
      <c r="Q158">
        <v>100</v>
      </c>
      <c r="X158">
        <v>2</v>
      </c>
      <c r="Y158">
        <v>10.6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3</v>
      </c>
      <c r="AG158">
        <v>2</v>
      </c>
      <c r="AH158">
        <v>2</v>
      </c>
      <c r="AI158">
        <v>60257399</v>
      </c>
      <c r="AJ158">
        <v>146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ROW(Source!A150)</f>
        <v>150</v>
      </c>
      <c r="B159">
        <v>60257591</v>
      </c>
      <c r="C159">
        <v>60257395</v>
      </c>
      <c r="D159">
        <v>59029925</v>
      </c>
      <c r="E159">
        <v>1080</v>
      </c>
      <c r="F159">
        <v>1</v>
      </c>
      <c r="G159">
        <v>1080</v>
      </c>
      <c r="H159">
        <v>3</v>
      </c>
      <c r="I159" t="s">
        <v>464</v>
      </c>
      <c r="J159" t="s">
        <v>3</v>
      </c>
      <c r="K159" t="s">
        <v>465</v>
      </c>
      <c r="L159">
        <v>1354</v>
      </c>
      <c r="N159">
        <v>1010</v>
      </c>
      <c r="O159" t="s">
        <v>31</v>
      </c>
      <c r="P159" t="s">
        <v>31</v>
      </c>
      <c r="Q159">
        <v>1</v>
      </c>
      <c r="X159">
        <v>100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 t="s">
        <v>3</v>
      </c>
      <c r="AG159">
        <v>100</v>
      </c>
      <c r="AH159">
        <v>3</v>
      </c>
      <c r="AI159">
        <v>-1</v>
      </c>
      <c r="AJ159" t="s">
        <v>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ROW(Source!A150)</f>
        <v>150</v>
      </c>
      <c r="B160">
        <v>60257592</v>
      </c>
      <c r="C160">
        <v>60257395</v>
      </c>
      <c r="D160">
        <v>59004256</v>
      </c>
      <c r="E160">
        <v>1080</v>
      </c>
      <c r="F160">
        <v>1</v>
      </c>
      <c r="G160">
        <v>1080</v>
      </c>
      <c r="H160">
        <v>3</v>
      </c>
      <c r="I160" t="s">
        <v>347</v>
      </c>
      <c r="J160" t="s">
        <v>3</v>
      </c>
      <c r="K160" t="s">
        <v>348</v>
      </c>
      <c r="L160">
        <v>1348</v>
      </c>
      <c r="N160">
        <v>1009</v>
      </c>
      <c r="O160" t="s">
        <v>310</v>
      </c>
      <c r="P160" t="s">
        <v>310</v>
      </c>
      <c r="Q160">
        <v>1000</v>
      </c>
      <c r="X160">
        <v>0.03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 t="s">
        <v>3</v>
      </c>
      <c r="AG160">
        <v>0.03</v>
      </c>
      <c r="AH160">
        <v>2</v>
      </c>
      <c r="AI160">
        <v>60257400</v>
      </c>
      <c r="AJ160">
        <v>147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ROW(Source!A151)</f>
        <v>151</v>
      </c>
      <c r="B161">
        <v>60257587</v>
      </c>
      <c r="C161">
        <v>60257395</v>
      </c>
      <c r="D161">
        <v>58999254</v>
      </c>
      <c r="E161">
        <v>1080</v>
      </c>
      <c r="F161">
        <v>1</v>
      </c>
      <c r="G161">
        <v>1080</v>
      </c>
      <c r="H161">
        <v>1</v>
      </c>
      <c r="I161" t="s">
        <v>293</v>
      </c>
      <c r="J161" t="s">
        <v>3</v>
      </c>
      <c r="K161" t="s">
        <v>294</v>
      </c>
      <c r="L161">
        <v>1191</v>
      </c>
      <c r="N161">
        <v>1013</v>
      </c>
      <c r="O161" t="s">
        <v>295</v>
      </c>
      <c r="P161" t="s">
        <v>295</v>
      </c>
      <c r="Q161">
        <v>1</v>
      </c>
      <c r="X161">
        <v>24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1</v>
      </c>
      <c r="AF161" t="s">
        <v>23</v>
      </c>
      <c r="AG161">
        <v>26.400000000000002</v>
      </c>
      <c r="AH161">
        <v>2</v>
      </c>
      <c r="AI161">
        <v>60257396</v>
      </c>
      <c r="AJ161">
        <v>149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ROW(Source!A151)</f>
        <v>151</v>
      </c>
      <c r="B162">
        <v>60257588</v>
      </c>
      <c r="C162">
        <v>60257395</v>
      </c>
      <c r="D162">
        <v>59039576</v>
      </c>
      <c r="E162">
        <v>1</v>
      </c>
      <c r="F162">
        <v>1</v>
      </c>
      <c r="G162">
        <v>1080</v>
      </c>
      <c r="H162">
        <v>3</v>
      </c>
      <c r="I162" t="s">
        <v>352</v>
      </c>
      <c r="J162" t="s">
        <v>353</v>
      </c>
      <c r="K162" t="s">
        <v>354</v>
      </c>
      <c r="L162">
        <v>1348</v>
      </c>
      <c r="N162">
        <v>1009</v>
      </c>
      <c r="O162" t="s">
        <v>310</v>
      </c>
      <c r="P162" t="s">
        <v>310</v>
      </c>
      <c r="Q162">
        <v>1000</v>
      </c>
      <c r="X162">
        <v>6.0000000000000001E-3</v>
      </c>
      <c r="Y162">
        <v>7246.05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3</v>
      </c>
      <c r="AG162">
        <v>6.0000000000000001E-3</v>
      </c>
      <c r="AH162">
        <v>2</v>
      </c>
      <c r="AI162">
        <v>60257397</v>
      </c>
      <c r="AJ162">
        <v>150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ROW(Source!A151)</f>
        <v>151</v>
      </c>
      <c r="B163">
        <v>60257589</v>
      </c>
      <c r="C163">
        <v>60257395</v>
      </c>
      <c r="D163">
        <v>59039985</v>
      </c>
      <c r="E163">
        <v>1</v>
      </c>
      <c r="F163">
        <v>1</v>
      </c>
      <c r="G163">
        <v>1080</v>
      </c>
      <c r="H163">
        <v>3</v>
      </c>
      <c r="I163" t="s">
        <v>394</v>
      </c>
      <c r="J163" t="s">
        <v>395</v>
      </c>
      <c r="K163" t="s">
        <v>396</v>
      </c>
      <c r="L163">
        <v>1346</v>
      </c>
      <c r="N163">
        <v>1009</v>
      </c>
      <c r="O163" t="s">
        <v>314</v>
      </c>
      <c r="P163" t="s">
        <v>314</v>
      </c>
      <c r="Q163">
        <v>1</v>
      </c>
      <c r="X163">
        <v>0.2</v>
      </c>
      <c r="Y163">
        <v>104.63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3</v>
      </c>
      <c r="AG163">
        <v>0.2</v>
      </c>
      <c r="AH163">
        <v>2</v>
      </c>
      <c r="AI163">
        <v>60257398</v>
      </c>
      <c r="AJ163">
        <v>151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ROW(Source!A151)</f>
        <v>151</v>
      </c>
      <c r="B164">
        <v>60257590</v>
      </c>
      <c r="C164">
        <v>60257395</v>
      </c>
      <c r="D164">
        <v>59041461</v>
      </c>
      <c r="E164">
        <v>1</v>
      </c>
      <c r="F164">
        <v>1</v>
      </c>
      <c r="G164">
        <v>1080</v>
      </c>
      <c r="H164">
        <v>3</v>
      </c>
      <c r="I164" t="s">
        <v>397</v>
      </c>
      <c r="J164" t="s">
        <v>398</v>
      </c>
      <c r="K164" t="s">
        <v>399</v>
      </c>
      <c r="L164">
        <v>1355</v>
      </c>
      <c r="N164">
        <v>1010</v>
      </c>
      <c r="O164" t="s">
        <v>63</v>
      </c>
      <c r="P164" t="s">
        <v>63</v>
      </c>
      <c r="Q164">
        <v>100</v>
      </c>
      <c r="X164">
        <v>2</v>
      </c>
      <c r="Y164">
        <v>10.6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3</v>
      </c>
      <c r="AG164">
        <v>2</v>
      </c>
      <c r="AH164">
        <v>2</v>
      </c>
      <c r="AI164">
        <v>60257399</v>
      </c>
      <c r="AJ164">
        <v>152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ROW(Source!A151)</f>
        <v>151</v>
      </c>
      <c r="B165">
        <v>60257591</v>
      </c>
      <c r="C165">
        <v>60257395</v>
      </c>
      <c r="D165">
        <v>59029925</v>
      </c>
      <c r="E165">
        <v>1080</v>
      </c>
      <c r="F165">
        <v>1</v>
      </c>
      <c r="G165">
        <v>1080</v>
      </c>
      <c r="H165">
        <v>3</v>
      </c>
      <c r="I165" t="s">
        <v>464</v>
      </c>
      <c r="J165" t="s">
        <v>3</v>
      </c>
      <c r="K165" t="s">
        <v>465</v>
      </c>
      <c r="L165">
        <v>1354</v>
      </c>
      <c r="N165">
        <v>1010</v>
      </c>
      <c r="O165" t="s">
        <v>31</v>
      </c>
      <c r="P165" t="s">
        <v>31</v>
      </c>
      <c r="Q165">
        <v>1</v>
      </c>
      <c r="X165">
        <v>100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3</v>
      </c>
      <c r="AG165">
        <v>100</v>
      </c>
      <c r="AH165">
        <v>3</v>
      </c>
      <c r="AI165">
        <v>-1</v>
      </c>
      <c r="AJ165" t="s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ROW(Source!A151)</f>
        <v>151</v>
      </c>
      <c r="B166">
        <v>60257592</v>
      </c>
      <c r="C166">
        <v>60257395</v>
      </c>
      <c r="D166">
        <v>59004256</v>
      </c>
      <c r="E166">
        <v>1080</v>
      </c>
      <c r="F166">
        <v>1</v>
      </c>
      <c r="G166">
        <v>1080</v>
      </c>
      <c r="H166">
        <v>3</v>
      </c>
      <c r="I166" t="s">
        <v>347</v>
      </c>
      <c r="J166" t="s">
        <v>3</v>
      </c>
      <c r="K166" t="s">
        <v>348</v>
      </c>
      <c r="L166">
        <v>1348</v>
      </c>
      <c r="N166">
        <v>1009</v>
      </c>
      <c r="O166" t="s">
        <v>310</v>
      </c>
      <c r="P166" t="s">
        <v>310</v>
      </c>
      <c r="Q166">
        <v>1000</v>
      </c>
      <c r="X166">
        <v>0.03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 t="s">
        <v>3</v>
      </c>
      <c r="AG166">
        <v>0.03</v>
      </c>
      <c r="AH166">
        <v>2</v>
      </c>
      <c r="AI166">
        <v>60257400</v>
      </c>
      <c r="AJ166">
        <v>153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ROW(Source!A154)</f>
        <v>154</v>
      </c>
      <c r="B167">
        <v>60257593</v>
      </c>
      <c r="C167">
        <v>60257409</v>
      </c>
      <c r="D167">
        <v>58999254</v>
      </c>
      <c r="E167">
        <v>1080</v>
      </c>
      <c r="F167">
        <v>1</v>
      </c>
      <c r="G167">
        <v>1080</v>
      </c>
      <c r="H167">
        <v>1</v>
      </c>
      <c r="I167" t="s">
        <v>293</v>
      </c>
      <c r="J167" t="s">
        <v>3</v>
      </c>
      <c r="K167" t="s">
        <v>294</v>
      </c>
      <c r="L167">
        <v>1191</v>
      </c>
      <c r="N167">
        <v>1013</v>
      </c>
      <c r="O167" t="s">
        <v>295</v>
      </c>
      <c r="P167" t="s">
        <v>295</v>
      </c>
      <c r="Q167">
        <v>1</v>
      </c>
      <c r="X167">
        <v>24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1</v>
      </c>
      <c r="AF167" t="s">
        <v>23</v>
      </c>
      <c r="AG167">
        <v>26.400000000000002</v>
      </c>
      <c r="AH167">
        <v>2</v>
      </c>
      <c r="AI167">
        <v>60257410</v>
      </c>
      <c r="AJ167">
        <v>155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ROW(Source!A154)</f>
        <v>154</v>
      </c>
      <c r="B168">
        <v>60257594</v>
      </c>
      <c r="C168">
        <v>60257409</v>
      </c>
      <c r="D168">
        <v>59039576</v>
      </c>
      <c r="E168">
        <v>1</v>
      </c>
      <c r="F168">
        <v>1</v>
      </c>
      <c r="G168">
        <v>1080</v>
      </c>
      <c r="H168">
        <v>3</v>
      </c>
      <c r="I168" t="s">
        <v>352</v>
      </c>
      <c r="J168" t="s">
        <v>353</v>
      </c>
      <c r="K168" t="s">
        <v>354</v>
      </c>
      <c r="L168">
        <v>1348</v>
      </c>
      <c r="N168">
        <v>1009</v>
      </c>
      <c r="O168" t="s">
        <v>310</v>
      </c>
      <c r="P168" t="s">
        <v>310</v>
      </c>
      <c r="Q168">
        <v>1000</v>
      </c>
      <c r="X168">
        <v>6.0000000000000001E-3</v>
      </c>
      <c r="Y168">
        <v>7246.05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3</v>
      </c>
      <c r="AG168">
        <v>6.0000000000000001E-3</v>
      </c>
      <c r="AH168">
        <v>2</v>
      </c>
      <c r="AI168">
        <v>60257411</v>
      </c>
      <c r="AJ168">
        <v>156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ROW(Source!A154)</f>
        <v>154</v>
      </c>
      <c r="B169">
        <v>60257595</v>
      </c>
      <c r="C169">
        <v>60257409</v>
      </c>
      <c r="D169">
        <v>59039985</v>
      </c>
      <c r="E169">
        <v>1</v>
      </c>
      <c r="F169">
        <v>1</v>
      </c>
      <c r="G169">
        <v>1080</v>
      </c>
      <c r="H169">
        <v>3</v>
      </c>
      <c r="I169" t="s">
        <v>394</v>
      </c>
      <c r="J169" t="s">
        <v>395</v>
      </c>
      <c r="K169" t="s">
        <v>396</v>
      </c>
      <c r="L169">
        <v>1346</v>
      </c>
      <c r="N169">
        <v>1009</v>
      </c>
      <c r="O169" t="s">
        <v>314</v>
      </c>
      <c r="P169" t="s">
        <v>314</v>
      </c>
      <c r="Q169">
        <v>1</v>
      </c>
      <c r="X169">
        <v>0.2</v>
      </c>
      <c r="Y169">
        <v>104.63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3</v>
      </c>
      <c r="AG169">
        <v>0.2</v>
      </c>
      <c r="AH169">
        <v>2</v>
      </c>
      <c r="AI169">
        <v>60257412</v>
      </c>
      <c r="AJ169">
        <v>157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ROW(Source!A154)</f>
        <v>154</v>
      </c>
      <c r="B170">
        <v>60257596</v>
      </c>
      <c r="C170">
        <v>60257409</v>
      </c>
      <c r="D170">
        <v>59041461</v>
      </c>
      <c r="E170">
        <v>1</v>
      </c>
      <c r="F170">
        <v>1</v>
      </c>
      <c r="G170">
        <v>1080</v>
      </c>
      <c r="H170">
        <v>3</v>
      </c>
      <c r="I170" t="s">
        <v>397</v>
      </c>
      <c r="J170" t="s">
        <v>398</v>
      </c>
      <c r="K170" t="s">
        <v>399</v>
      </c>
      <c r="L170">
        <v>1355</v>
      </c>
      <c r="N170">
        <v>1010</v>
      </c>
      <c r="O170" t="s">
        <v>63</v>
      </c>
      <c r="P170" t="s">
        <v>63</v>
      </c>
      <c r="Q170">
        <v>100</v>
      </c>
      <c r="X170">
        <v>2</v>
      </c>
      <c r="Y170">
        <v>10.6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3</v>
      </c>
      <c r="AG170">
        <v>2</v>
      </c>
      <c r="AH170">
        <v>2</v>
      </c>
      <c r="AI170">
        <v>60257413</v>
      </c>
      <c r="AJ170">
        <v>158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ROW(Source!A154)</f>
        <v>154</v>
      </c>
      <c r="B171">
        <v>60257597</v>
      </c>
      <c r="C171">
        <v>60257409</v>
      </c>
      <c r="D171">
        <v>59029925</v>
      </c>
      <c r="E171">
        <v>1080</v>
      </c>
      <c r="F171">
        <v>1</v>
      </c>
      <c r="G171">
        <v>1080</v>
      </c>
      <c r="H171">
        <v>3</v>
      </c>
      <c r="I171" t="s">
        <v>464</v>
      </c>
      <c r="J171" t="s">
        <v>3</v>
      </c>
      <c r="K171" t="s">
        <v>465</v>
      </c>
      <c r="L171">
        <v>1354</v>
      </c>
      <c r="N171">
        <v>1010</v>
      </c>
      <c r="O171" t="s">
        <v>31</v>
      </c>
      <c r="P171" t="s">
        <v>31</v>
      </c>
      <c r="Q171">
        <v>1</v>
      </c>
      <c r="X171">
        <v>100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 t="s">
        <v>3</v>
      </c>
      <c r="AG171">
        <v>100</v>
      </c>
      <c r="AH171">
        <v>3</v>
      </c>
      <c r="AI171">
        <v>-1</v>
      </c>
      <c r="AJ171" t="s">
        <v>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ROW(Source!A154)</f>
        <v>154</v>
      </c>
      <c r="B172">
        <v>60257598</v>
      </c>
      <c r="C172">
        <v>60257409</v>
      </c>
      <c r="D172">
        <v>59004256</v>
      </c>
      <c r="E172">
        <v>1080</v>
      </c>
      <c r="F172">
        <v>1</v>
      </c>
      <c r="G172">
        <v>1080</v>
      </c>
      <c r="H172">
        <v>3</v>
      </c>
      <c r="I172" t="s">
        <v>347</v>
      </c>
      <c r="J172" t="s">
        <v>3</v>
      </c>
      <c r="K172" t="s">
        <v>348</v>
      </c>
      <c r="L172">
        <v>1348</v>
      </c>
      <c r="N172">
        <v>1009</v>
      </c>
      <c r="O172" t="s">
        <v>310</v>
      </c>
      <c r="P172" t="s">
        <v>310</v>
      </c>
      <c r="Q172">
        <v>1000</v>
      </c>
      <c r="X172">
        <v>0.03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3</v>
      </c>
      <c r="AG172">
        <v>0.03</v>
      </c>
      <c r="AH172">
        <v>2</v>
      </c>
      <c r="AI172">
        <v>60257414</v>
      </c>
      <c r="AJ172">
        <v>160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ROW(Source!A155)</f>
        <v>155</v>
      </c>
      <c r="B173">
        <v>60257593</v>
      </c>
      <c r="C173">
        <v>60257409</v>
      </c>
      <c r="D173">
        <v>58999254</v>
      </c>
      <c r="E173">
        <v>1080</v>
      </c>
      <c r="F173">
        <v>1</v>
      </c>
      <c r="G173">
        <v>1080</v>
      </c>
      <c r="H173">
        <v>1</v>
      </c>
      <c r="I173" t="s">
        <v>293</v>
      </c>
      <c r="J173" t="s">
        <v>3</v>
      </c>
      <c r="K173" t="s">
        <v>294</v>
      </c>
      <c r="L173">
        <v>1191</v>
      </c>
      <c r="N173">
        <v>1013</v>
      </c>
      <c r="O173" t="s">
        <v>295</v>
      </c>
      <c r="P173" t="s">
        <v>295</v>
      </c>
      <c r="Q173">
        <v>1</v>
      </c>
      <c r="X173">
        <v>24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1</v>
      </c>
      <c r="AF173" t="s">
        <v>23</v>
      </c>
      <c r="AG173">
        <v>26.400000000000002</v>
      </c>
      <c r="AH173">
        <v>2</v>
      </c>
      <c r="AI173">
        <v>60257410</v>
      </c>
      <c r="AJ173">
        <v>161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ROW(Source!A155)</f>
        <v>155</v>
      </c>
      <c r="B174">
        <v>60257594</v>
      </c>
      <c r="C174">
        <v>60257409</v>
      </c>
      <c r="D174">
        <v>59039576</v>
      </c>
      <c r="E174">
        <v>1</v>
      </c>
      <c r="F174">
        <v>1</v>
      </c>
      <c r="G174">
        <v>1080</v>
      </c>
      <c r="H174">
        <v>3</v>
      </c>
      <c r="I174" t="s">
        <v>352</v>
      </c>
      <c r="J174" t="s">
        <v>353</v>
      </c>
      <c r="K174" t="s">
        <v>354</v>
      </c>
      <c r="L174">
        <v>1348</v>
      </c>
      <c r="N174">
        <v>1009</v>
      </c>
      <c r="O174" t="s">
        <v>310</v>
      </c>
      <c r="P174" t="s">
        <v>310</v>
      </c>
      <c r="Q174">
        <v>1000</v>
      </c>
      <c r="X174">
        <v>6.0000000000000001E-3</v>
      </c>
      <c r="Y174">
        <v>7246.05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3</v>
      </c>
      <c r="AG174">
        <v>6.0000000000000001E-3</v>
      </c>
      <c r="AH174">
        <v>2</v>
      </c>
      <c r="AI174">
        <v>60257411</v>
      </c>
      <c r="AJ174">
        <v>162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ROW(Source!A155)</f>
        <v>155</v>
      </c>
      <c r="B175">
        <v>60257595</v>
      </c>
      <c r="C175">
        <v>60257409</v>
      </c>
      <c r="D175">
        <v>59039985</v>
      </c>
      <c r="E175">
        <v>1</v>
      </c>
      <c r="F175">
        <v>1</v>
      </c>
      <c r="G175">
        <v>1080</v>
      </c>
      <c r="H175">
        <v>3</v>
      </c>
      <c r="I175" t="s">
        <v>394</v>
      </c>
      <c r="J175" t="s">
        <v>395</v>
      </c>
      <c r="K175" t="s">
        <v>396</v>
      </c>
      <c r="L175">
        <v>1346</v>
      </c>
      <c r="N175">
        <v>1009</v>
      </c>
      <c r="O175" t="s">
        <v>314</v>
      </c>
      <c r="P175" t="s">
        <v>314</v>
      </c>
      <c r="Q175">
        <v>1</v>
      </c>
      <c r="X175">
        <v>0.2</v>
      </c>
      <c r="Y175">
        <v>104.63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3</v>
      </c>
      <c r="AG175">
        <v>0.2</v>
      </c>
      <c r="AH175">
        <v>2</v>
      </c>
      <c r="AI175">
        <v>60257412</v>
      </c>
      <c r="AJ175">
        <v>163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ROW(Source!A155)</f>
        <v>155</v>
      </c>
      <c r="B176">
        <v>60257596</v>
      </c>
      <c r="C176">
        <v>60257409</v>
      </c>
      <c r="D176">
        <v>59041461</v>
      </c>
      <c r="E176">
        <v>1</v>
      </c>
      <c r="F176">
        <v>1</v>
      </c>
      <c r="G176">
        <v>1080</v>
      </c>
      <c r="H176">
        <v>3</v>
      </c>
      <c r="I176" t="s">
        <v>397</v>
      </c>
      <c r="J176" t="s">
        <v>398</v>
      </c>
      <c r="K176" t="s">
        <v>399</v>
      </c>
      <c r="L176">
        <v>1355</v>
      </c>
      <c r="N176">
        <v>1010</v>
      </c>
      <c r="O176" t="s">
        <v>63</v>
      </c>
      <c r="P176" t="s">
        <v>63</v>
      </c>
      <c r="Q176">
        <v>100</v>
      </c>
      <c r="X176">
        <v>2</v>
      </c>
      <c r="Y176">
        <v>10.6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3</v>
      </c>
      <c r="AG176">
        <v>2</v>
      </c>
      <c r="AH176">
        <v>2</v>
      </c>
      <c r="AI176">
        <v>60257413</v>
      </c>
      <c r="AJ176">
        <v>164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ROW(Source!A155)</f>
        <v>155</v>
      </c>
      <c r="B177">
        <v>60257597</v>
      </c>
      <c r="C177">
        <v>60257409</v>
      </c>
      <c r="D177">
        <v>59029925</v>
      </c>
      <c r="E177">
        <v>1080</v>
      </c>
      <c r="F177">
        <v>1</v>
      </c>
      <c r="G177">
        <v>1080</v>
      </c>
      <c r="H177">
        <v>3</v>
      </c>
      <c r="I177" t="s">
        <v>464</v>
      </c>
      <c r="J177" t="s">
        <v>3</v>
      </c>
      <c r="K177" t="s">
        <v>465</v>
      </c>
      <c r="L177">
        <v>1354</v>
      </c>
      <c r="N177">
        <v>1010</v>
      </c>
      <c r="O177" t="s">
        <v>31</v>
      </c>
      <c r="P177" t="s">
        <v>31</v>
      </c>
      <c r="Q177">
        <v>1</v>
      </c>
      <c r="X177">
        <v>100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 t="s">
        <v>3</v>
      </c>
      <c r="AG177">
        <v>100</v>
      </c>
      <c r="AH177">
        <v>3</v>
      </c>
      <c r="AI177">
        <v>-1</v>
      </c>
      <c r="AJ177" t="s">
        <v>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ROW(Source!A155)</f>
        <v>155</v>
      </c>
      <c r="B178">
        <v>60257598</v>
      </c>
      <c r="C178">
        <v>60257409</v>
      </c>
      <c r="D178">
        <v>59004256</v>
      </c>
      <c r="E178">
        <v>1080</v>
      </c>
      <c r="F178">
        <v>1</v>
      </c>
      <c r="G178">
        <v>1080</v>
      </c>
      <c r="H178">
        <v>3</v>
      </c>
      <c r="I178" t="s">
        <v>347</v>
      </c>
      <c r="J178" t="s">
        <v>3</v>
      </c>
      <c r="K178" t="s">
        <v>348</v>
      </c>
      <c r="L178">
        <v>1348</v>
      </c>
      <c r="N178">
        <v>1009</v>
      </c>
      <c r="O178" t="s">
        <v>310</v>
      </c>
      <c r="P178" t="s">
        <v>310</v>
      </c>
      <c r="Q178">
        <v>1000</v>
      </c>
      <c r="X178">
        <v>0.03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3</v>
      </c>
      <c r="AG178">
        <v>0.03</v>
      </c>
      <c r="AH178">
        <v>2</v>
      </c>
      <c r="AI178">
        <v>60257414</v>
      </c>
      <c r="AJ178">
        <v>166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ROW(Source!A158)</f>
        <v>158</v>
      </c>
      <c r="B179">
        <v>60257599</v>
      </c>
      <c r="C179">
        <v>60257423</v>
      </c>
      <c r="D179">
        <v>58999254</v>
      </c>
      <c r="E179">
        <v>1080</v>
      </c>
      <c r="F179">
        <v>1</v>
      </c>
      <c r="G179">
        <v>1080</v>
      </c>
      <c r="H179">
        <v>1</v>
      </c>
      <c r="I179" t="s">
        <v>293</v>
      </c>
      <c r="J179" t="s">
        <v>3</v>
      </c>
      <c r="K179" t="s">
        <v>294</v>
      </c>
      <c r="L179">
        <v>1191</v>
      </c>
      <c r="N179">
        <v>1013</v>
      </c>
      <c r="O179" t="s">
        <v>295</v>
      </c>
      <c r="P179" t="s">
        <v>295</v>
      </c>
      <c r="Q179">
        <v>1</v>
      </c>
      <c r="X179">
        <v>2.77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1</v>
      </c>
      <c r="AF179" t="s">
        <v>23</v>
      </c>
      <c r="AG179">
        <v>3.0470000000000002</v>
      </c>
      <c r="AH179">
        <v>2</v>
      </c>
      <c r="AI179">
        <v>60257424</v>
      </c>
      <c r="AJ179">
        <v>167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ROW(Source!A159)</f>
        <v>159</v>
      </c>
      <c r="B180">
        <v>60257599</v>
      </c>
      <c r="C180">
        <v>60257423</v>
      </c>
      <c r="D180">
        <v>58999254</v>
      </c>
      <c r="E180">
        <v>1080</v>
      </c>
      <c r="F180">
        <v>1</v>
      </c>
      <c r="G180">
        <v>1080</v>
      </c>
      <c r="H180">
        <v>1</v>
      </c>
      <c r="I180" t="s">
        <v>293</v>
      </c>
      <c r="J180" t="s">
        <v>3</v>
      </c>
      <c r="K180" t="s">
        <v>294</v>
      </c>
      <c r="L180">
        <v>1191</v>
      </c>
      <c r="N180">
        <v>1013</v>
      </c>
      <c r="O180" t="s">
        <v>295</v>
      </c>
      <c r="P180" t="s">
        <v>295</v>
      </c>
      <c r="Q180">
        <v>1</v>
      </c>
      <c r="X180">
        <v>2.77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23</v>
      </c>
      <c r="AG180">
        <v>3.0470000000000002</v>
      </c>
      <c r="AH180">
        <v>2</v>
      </c>
      <c r="AI180">
        <v>60257424</v>
      </c>
      <c r="AJ180">
        <v>169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ROW(Source!A162)</f>
        <v>162</v>
      </c>
      <c r="B181">
        <v>60257600</v>
      </c>
      <c r="C181">
        <v>60257428</v>
      </c>
      <c r="D181">
        <v>58999254</v>
      </c>
      <c r="E181">
        <v>1080</v>
      </c>
      <c r="F181">
        <v>1</v>
      </c>
      <c r="G181">
        <v>1080</v>
      </c>
      <c r="H181">
        <v>1</v>
      </c>
      <c r="I181" t="s">
        <v>293</v>
      </c>
      <c r="J181" t="s">
        <v>3</v>
      </c>
      <c r="K181" t="s">
        <v>294</v>
      </c>
      <c r="L181">
        <v>1191</v>
      </c>
      <c r="N181">
        <v>1013</v>
      </c>
      <c r="O181" t="s">
        <v>295</v>
      </c>
      <c r="P181" t="s">
        <v>295</v>
      </c>
      <c r="Q181">
        <v>1</v>
      </c>
      <c r="X181">
        <v>5.37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23</v>
      </c>
      <c r="AG181">
        <v>5.9070000000000009</v>
      </c>
      <c r="AH181">
        <v>2</v>
      </c>
      <c r="AI181">
        <v>60257429</v>
      </c>
      <c r="AJ181">
        <v>171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ROW(Source!A163)</f>
        <v>163</v>
      </c>
      <c r="B182">
        <v>60257600</v>
      </c>
      <c r="C182">
        <v>60257428</v>
      </c>
      <c r="D182">
        <v>58999254</v>
      </c>
      <c r="E182">
        <v>1080</v>
      </c>
      <c r="F182">
        <v>1</v>
      </c>
      <c r="G182">
        <v>1080</v>
      </c>
      <c r="H182">
        <v>1</v>
      </c>
      <c r="I182" t="s">
        <v>293</v>
      </c>
      <c r="J182" t="s">
        <v>3</v>
      </c>
      <c r="K182" t="s">
        <v>294</v>
      </c>
      <c r="L182">
        <v>1191</v>
      </c>
      <c r="N182">
        <v>1013</v>
      </c>
      <c r="O182" t="s">
        <v>295</v>
      </c>
      <c r="P182" t="s">
        <v>295</v>
      </c>
      <c r="Q182">
        <v>1</v>
      </c>
      <c r="X182">
        <v>5.37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1</v>
      </c>
      <c r="AF182" t="s">
        <v>23</v>
      </c>
      <c r="AG182">
        <v>5.9070000000000009</v>
      </c>
      <c r="AH182">
        <v>2</v>
      </c>
      <c r="AI182">
        <v>60257429</v>
      </c>
      <c r="AJ182">
        <v>173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ROW(Source!A166)</f>
        <v>166</v>
      </c>
      <c r="B183">
        <v>60257601</v>
      </c>
      <c r="C183">
        <v>60257433</v>
      </c>
      <c r="D183">
        <v>58999254</v>
      </c>
      <c r="E183">
        <v>1080</v>
      </c>
      <c r="F183">
        <v>1</v>
      </c>
      <c r="G183">
        <v>1080</v>
      </c>
      <c r="H183">
        <v>1</v>
      </c>
      <c r="I183" t="s">
        <v>293</v>
      </c>
      <c r="J183" t="s">
        <v>3</v>
      </c>
      <c r="K183" t="s">
        <v>294</v>
      </c>
      <c r="L183">
        <v>1191</v>
      </c>
      <c r="N183">
        <v>1013</v>
      </c>
      <c r="O183" t="s">
        <v>295</v>
      </c>
      <c r="P183" t="s">
        <v>295</v>
      </c>
      <c r="Q183">
        <v>1</v>
      </c>
      <c r="X183">
        <v>32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1</v>
      </c>
      <c r="AF183" t="s">
        <v>23</v>
      </c>
      <c r="AG183">
        <v>35.200000000000003</v>
      </c>
      <c r="AH183">
        <v>2</v>
      </c>
      <c r="AI183">
        <v>60257434</v>
      </c>
      <c r="AJ183">
        <v>175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ROW(Source!A167)</f>
        <v>167</v>
      </c>
      <c r="B184">
        <v>60257601</v>
      </c>
      <c r="C184">
        <v>60257433</v>
      </c>
      <c r="D184">
        <v>58999254</v>
      </c>
      <c r="E184">
        <v>1080</v>
      </c>
      <c r="F184">
        <v>1</v>
      </c>
      <c r="G184">
        <v>1080</v>
      </c>
      <c r="H184">
        <v>1</v>
      </c>
      <c r="I184" t="s">
        <v>293</v>
      </c>
      <c r="J184" t="s">
        <v>3</v>
      </c>
      <c r="K184" t="s">
        <v>294</v>
      </c>
      <c r="L184">
        <v>1191</v>
      </c>
      <c r="N184">
        <v>1013</v>
      </c>
      <c r="O184" t="s">
        <v>295</v>
      </c>
      <c r="P184" t="s">
        <v>295</v>
      </c>
      <c r="Q184">
        <v>1</v>
      </c>
      <c r="X184">
        <v>32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1</v>
      </c>
      <c r="AF184" t="s">
        <v>23</v>
      </c>
      <c r="AG184">
        <v>35.200000000000003</v>
      </c>
      <c r="AH184">
        <v>2</v>
      </c>
      <c r="AI184">
        <v>60257434</v>
      </c>
      <c r="AJ184">
        <v>176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ROW(Source!A174)</f>
        <v>174</v>
      </c>
      <c r="B185">
        <v>60257602</v>
      </c>
      <c r="C185">
        <v>60257439</v>
      </c>
      <c r="D185">
        <v>58999254</v>
      </c>
      <c r="E185">
        <v>1080</v>
      </c>
      <c r="F185">
        <v>1</v>
      </c>
      <c r="G185">
        <v>1080</v>
      </c>
      <c r="H185">
        <v>1</v>
      </c>
      <c r="I185" t="s">
        <v>293</v>
      </c>
      <c r="J185" t="s">
        <v>3</v>
      </c>
      <c r="K185" t="s">
        <v>294</v>
      </c>
      <c r="L185">
        <v>1191</v>
      </c>
      <c r="N185">
        <v>1013</v>
      </c>
      <c r="O185" t="s">
        <v>295</v>
      </c>
      <c r="P185" t="s">
        <v>295</v>
      </c>
      <c r="Q185">
        <v>1</v>
      </c>
      <c r="X185">
        <v>3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1</v>
      </c>
      <c r="AF185" t="s">
        <v>23</v>
      </c>
      <c r="AG185">
        <v>3.3000000000000003</v>
      </c>
      <c r="AH185">
        <v>2</v>
      </c>
      <c r="AI185">
        <v>60257440</v>
      </c>
      <c r="AJ185">
        <v>177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ROW(Source!A174)</f>
        <v>174</v>
      </c>
      <c r="B186">
        <v>60257603</v>
      </c>
      <c r="C186">
        <v>60257439</v>
      </c>
      <c r="D186">
        <v>59039563</v>
      </c>
      <c r="E186">
        <v>1</v>
      </c>
      <c r="F186">
        <v>1</v>
      </c>
      <c r="G186">
        <v>1080</v>
      </c>
      <c r="H186">
        <v>3</v>
      </c>
      <c r="I186" t="s">
        <v>400</v>
      </c>
      <c r="J186" t="s">
        <v>401</v>
      </c>
      <c r="K186" t="s">
        <v>402</v>
      </c>
      <c r="L186">
        <v>1348</v>
      </c>
      <c r="N186">
        <v>1009</v>
      </c>
      <c r="O186" t="s">
        <v>310</v>
      </c>
      <c r="P186" t="s">
        <v>310</v>
      </c>
      <c r="Q186">
        <v>1000</v>
      </c>
      <c r="X186">
        <v>1E-3</v>
      </c>
      <c r="Y186">
        <v>15319.65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3</v>
      </c>
      <c r="AG186">
        <v>1E-3</v>
      </c>
      <c r="AH186">
        <v>2</v>
      </c>
      <c r="AI186">
        <v>60257441</v>
      </c>
      <c r="AJ186">
        <v>178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ROW(Source!A174)</f>
        <v>174</v>
      </c>
      <c r="B187">
        <v>60257604</v>
      </c>
      <c r="C187">
        <v>60257439</v>
      </c>
      <c r="D187">
        <v>59038929</v>
      </c>
      <c r="E187">
        <v>1</v>
      </c>
      <c r="F187">
        <v>1</v>
      </c>
      <c r="G187">
        <v>1080</v>
      </c>
      <c r="H187">
        <v>3</v>
      </c>
      <c r="I187" t="s">
        <v>403</v>
      </c>
      <c r="J187" t="s">
        <v>404</v>
      </c>
      <c r="K187" t="s">
        <v>405</v>
      </c>
      <c r="L187">
        <v>1348</v>
      </c>
      <c r="N187">
        <v>1009</v>
      </c>
      <c r="O187" t="s">
        <v>310</v>
      </c>
      <c r="P187" t="s">
        <v>310</v>
      </c>
      <c r="Q187">
        <v>1000</v>
      </c>
      <c r="X187">
        <v>5.0000000000000002E-5</v>
      </c>
      <c r="Y187">
        <v>1219.68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3</v>
      </c>
      <c r="AG187">
        <v>5.0000000000000002E-5</v>
      </c>
      <c r="AH187">
        <v>2</v>
      </c>
      <c r="AI187">
        <v>60257442</v>
      </c>
      <c r="AJ187">
        <v>179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ROW(Source!A174)</f>
        <v>174</v>
      </c>
      <c r="B188">
        <v>60257605</v>
      </c>
      <c r="C188">
        <v>60257439</v>
      </c>
      <c r="D188">
        <v>59039997</v>
      </c>
      <c r="E188">
        <v>1</v>
      </c>
      <c r="F188">
        <v>1</v>
      </c>
      <c r="G188">
        <v>1080</v>
      </c>
      <c r="H188">
        <v>3</v>
      </c>
      <c r="I188" t="s">
        <v>406</v>
      </c>
      <c r="J188" t="s">
        <v>407</v>
      </c>
      <c r="K188" t="s">
        <v>408</v>
      </c>
      <c r="L188">
        <v>1301</v>
      </c>
      <c r="N188">
        <v>1003</v>
      </c>
      <c r="O188" t="s">
        <v>139</v>
      </c>
      <c r="P188" t="s">
        <v>139</v>
      </c>
      <c r="Q188">
        <v>1</v>
      </c>
      <c r="X188">
        <v>5</v>
      </c>
      <c r="Y188">
        <v>0.39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3</v>
      </c>
      <c r="AG188">
        <v>5</v>
      </c>
      <c r="AH188">
        <v>2</v>
      </c>
      <c r="AI188">
        <v>60257443</v>
      </c>
      <c r="AJ188">
        <v>180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ROW(Source!A174)</f>
        <v>174</v>
      </c>
      <c r="B189">
        <v>60257606</v>
      </c>
      <c r="C189">
        <v>60257439</v>
      </c>
      <c r="D189">
        <v>59038980</v>
      </c>
      <c r="E189">
        <v>1</v>
      </c>
      <c r="F189">
        <v>1</v>
      </c>
      <c r="G189">
        <v>1080</v>
      </c>
      <c r="H189">
        <v>3</v>
      </c>
      <c r="I189" t="s">
        <v>409</v>
      </c>
      <c r="J189" t="s">
        <v>410</v>
      </c>
      <c r="K189" t="s">
        <v>411</v>
      </c>
      <c r="L189">
        <v>1339</v>
      </c>
      <c r="N189">
        <v>1007</v>
      </c>
      <c r="O189" t="s">
        <v>412</v>
      </c>
      <c r="P189" t="s">
        <v>412</v>
      </c>
      <c r="Q189">
        <v>1</v>
      </c>
      <c r="X189">
        <v>1E-3</v>
      </c>
      <c r="Y189">
        <v>1176.3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3</v>
      </c>
      <c r="AG189">
        <v>1E-3</v>
      </c>
      <c r="AH189">
        <v>2</v>
      </c>
      <c r="AI189">
        <v>60257444</v>
      </c>
      <c r="AJ189">
        <v>181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ROW(Source!A174)</f>
        <v>174</v>
      </c>
      <c r="B190">
        <v>60257607</v>
      </c>
      <c r="C190">
        <v>60257439</v>
      </c>
      <c r="D190">
        <v>59040899</v>
      </c>
      <c r="E190">
        <v>1</v>
      </c>
      <c r="F190">
        <v>1</v>
      </c>
      <c r="G190">
        <v>1080</v>
      </c>
      <c r="H190">
        <v>3</v>
      </c>
      <c r="I190" t="s">
        <v>413</v>
      </c>
      <c r="J190" t="s">
        <v>414</v>
      </c>
      <c r="K190" t="s">
        <v>415</v>
      </c>
      <c r="L190">
        <v>1346</v>
      </c>
      <c r="N190">
        <v>1009</v>
      </c>
      <c r="O190" t="s">
        <v>314</v>
      </c>
      <c r="P190" t="s">
        <v>314</v>
      </c>
      <c r="Q190">
        <v>1</v>
      </c>
      <c r="X190">
        <v>0.01</v>
      </c>
      <c r="Y190">
        <v>15.11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3</v>
      </c>
      <c r="AG190">
        <v>0.01</v>
      </c>
      <c r="AH190">
        <v>2</v>
      </c>
      <c r="AI190">
        <v>60257445</v>
      </c>
      <c r="AJ190">
        <v>182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ROW(Source!A174)</f>
        <v>174</v>
      </c>
      <c r="B191">
        <v>60257608</v>
      </c>
      <c r="C191">
        <v>60257439</v>
      </c>
      <c r="D191">
        <v>59039068</v>
      </c>
      <c r="E191">
        <v>1</v>
      </c>
      <c r="F191">
        <v>1</v>
      </c>
      <c r="G191">
        <v>1080</v>
      </c>
      <c r="H191">
        <v>3</v>
      </c>
      <c r="I191" t="s">
        <v>416</v>
      </c>
      <c r="J191" t="s">
        <v>417</v>
      </c>
      <c r="K191" t="s">
        <v>418</v>
      </c>
      <c r="L191">
        <v>1346</v>
      </c>
      <c r="N191">
        <v>1009</v>
      </c>
      <c r="O191" t="s">
        <v>314</v>
      </c>
      <c r="P191" t="s">
        <v>314</v>
      </c>
      <c r="Q191">
        <v>1</v>
      </c>
      <c r="X191">
        <v>0.01</v>
      </c>
      <c r="Y191">
        <v>16.690000000000001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3</v>
      </c>
      <c r="AG191">
        <v>0.01</v>
      </c>
      <c r="AH191">
        <v>2</v>
      </c>
      <c r="AI191">
        <v>60257446</v>
      </c>
      <c r="AJ191">
        <v>183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ROW(Source!A174)</f>
        <v>174</v>
      </c>
      <c r="B192">
        <v>60257609</v>
      </c>
      <c r="C192">
        <v>60257439</v>
      </c>
      <c r="D192">
        <v>59041389</v>
      </c>
      <c r="E192">
        <v>1</v>
      </c>
      <c r="F192">
        <v>1</v>
      </c>
      <c r="G192">
        <v>1080</v>
      </c>
      <c r="H192">
        <v>3</v>
      </c>
      <c r="I192" t="s">
        <v>419</v>
      </c>
      <c r="J192" t="s">
        <v>420</v>
      </c>
      <c r="K192" t="s">
        <v>421</v>
      </c>
      <c r="L192">
        <v>1348</v>
      </c>
      <c r="N192">
        <v>1009</v>
      </c>
      <c r="O192" t="s">
        <v>310</v>
      </c>
      <c r="P192" t="s">
        <v>310</v>
      </c>
      <c r="Q192">
        <v>1000</v>
      </c>
      <c r="X192">
        <v>1E-4</v>
      </c>
      <c r="Y192">
        <v>10643.18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3</v>
      </c>
      <c r="AG192">
        <v>1E-4</v>
      </c>
      <c r="AH192">
        <v>2</v>
      </c>
      <c r="AI192">
        <v>60257447</v>
      </c>
      <c r="AJ192">
        <v>184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ROW(Source!A174)</f>
        <v>174</v>
      </c>
      <c r="B193">
        <v>60257610</v>
      </c>
      <c r="C193">
        <v>60257439</v>
      </c>
      <c r="D193">
        <v>59045670</v>
      </c>
      <c r="E193">
        <v>1</v>
      </c>
      <c r="F193">
        <v>1</v>
      </c>
      <c r="G193">
        <v>1080</v>
      </c>
      <c r="H193">
        <v>3</v>
      </c>
      <c r="I193" t="s">
        <v>422</v>
      </c>
      <c r="J193" t="s">
        <v>423</v>
      </c>
      <c r="K193" t="s">
        <v>424</v>
      </c>
      <c r="L193">
        <v>1355</v>
      </c>
      <c r="N193">
        <v>1010</v>
      </c>
      <c r="O193" t="s">
        <v>63</v>
      </c>
      <c r="P193" t="s">
        <v>63</v>
      </c>
      <c r="Q193">
        <v>100</v>
      </c>
      <c r="X193">
        <v>0.01</v>
      </c>
      <c r="Y193">
        <v>120.19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3</v>
      </c>
      <c r="AG193">
        <v>0.01</v>
      </c>
      <c r="AH193">
        <v>2</v>
      </c>
      <c r="AI193">
        <v>60257448</v>
      </c>
      <c r="AJ193">
        <v>185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ROW(Source!A174)</f>
        <v>174</v>
      </c>
      <c r="B194">
        <v>60257611</v>
      </c>
      <c r="C194">
        <v>60257439</v>
      </c>
      <c r="D194">
        <v>59039462</v>
      </c>
      <c r="E194">
        <v>1</v>
      </c>
      <c r="F194">
        <v>1</v>
      </c>
      <c r="G194">
        <v>1080</v>
      </c>
      <c r="H194">
        <v>3</v>
      </c>
      <c r="I194" t="s">
        <v>425</v>
      </c>
      <c r="J194" t="s">
        <v>426</v>
      </c>
      <c r="K194" t="s">
        <v>427</v>
      </c>
      <c r="L194">
        <v>1348</v>
      </c>
      <c r="N194">
        <v>1009</v>
      </c>
      <c r="O194" t="s">
        <v>310</v>
      </c>
      <c r="P194" t="s">
        <v>310</v>
      </c>
      <c r="Q194">
        <v>1000</v>
      </c>
      <c r="X194">
        <v>2.0000000000000002E-5</v>
      </c>
      <c r="Y194">
        <v>64123.05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3</v>
      </c>
      <c r="AG194">
        <v>2.0000000000000002E-5</v>
      </c>
      <c r="AH194">
        <v>2</v>
      </c>
      <c r="AI194">
        <v>60257449</v>
      </c>
      <c r="AJ194">
        <v>186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ROW(Source!A174)</f>
        <v>174</v>
      </c>
      <c r="B195">
        <v>60257612</v>
      </c>
      <c r="C195">
        <v>60257439</v>
      </c>
      <c r="D195">
        <v>59039479</v>
      </c>
      <c r="E195">
        <v>1</v>
      </c>
      <c r="F195">
        <v>1</v>
      </c>
      <c r="G195">
        <v>1080</v>
      </c>
      <c r="H195">
        <v>3</v>
      </c>
      <c r="I195" t="s">
        <v>428</v>
      </c>
      <c r="J195" t="s">
        <v>429</v>
      </c>
      <c r="K195" t="s">
        <v>430</v>
      </c>
      <c r="L195">
        <v>1348</v>
      </c>
      <c r="N195">
        <v>1009</v>
      </c>
      <c r="O195" t="s">
        <v>310</v>
      </c>
      <c r="P195" t="s">
        <v>310</v>
      </c>
      <c r="Q195">
        <v>1000</v>
      </c>
      <c r="X195">
        <v>1E-4</v>
      </c>
      <c r="Y195">
        <v>9238.1299999999992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3</v>
      </c>
      <c r="AG195">
        <v>1E-4</v>
      </c>
      <c r="AH195">
        <v>2</v>
      </c>
      <c r="AI195">
        <v>60257450</v>
      </c>
      <c r="AJ195">
        <v>187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ROW(Source!A174)</f>
        <v>174</v>
      </c>
      <c r="B196">
        <v>60257613</v>
      </c>
      <c r="C196">
        <v>60257439</v>
      </c>
      <c r="D196">
        <v>59062697</v>
      </c>
      <c r="E196">
        <v>1</v>
      </c>
      <c r="F196">
        <v>1</v>
      </c>
      <c r="G196">
        <v>1080</v>
      </c>
      <c r="H196">
        <v>3</v>
      </c>
      <c r="I196" t="s">
        <v>431</v>
      </c>
      <c r="J196" t="s">
        <v>432</v>
      </c>
      <c r="K196" t="s">
        <v>433</v>
      </c>
      <c r="L196">
        <v>1301</v>
      </c>
      <c r="N196">
        <v>1003</v>
      </c>
      <c r="O196" t="s">
        <v>139</v>
      </c>
      <c r="P196" t="s">
        <v>139</v>
      </c>
      <c r="Q196">
        <v>1</v>
      </c>
      <c r="X196">
        <v>1</v>
      </c>
      <c r="Y196">
        <v>0.69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3</v>
      </c>
      <c r="AG196">
        <v>1</v>
      </c>
      <c r="AH196">
        <v>2</v>
      </c>
      <c r="AI196">
        <v>60257451</v>
      </c>
      <c r="AJ196">
        <v>188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ROW(Source!A174)</f>
        <v>174</v>
      </c>
      <c r="B197">
        <v>60257614</v>
      </c>
      <c r="C197">
        <v>60257439</v>
      </c>
      <c r="D197">
        <v>59062976</v>
      </c>
      <c r="E197">
        <v>1</v>
      </c>
      <c r="F197">
        <v>1</v>
      </c>
      <c r="G197">
        <v>1080</v>
      </c>
      <c r="H197">
        <v>3</v>
      </c>
      <c r="I197" t="s">
        <v>434</v>
      </c>
      <c r="J197" t="s">
        <v>435</v>
      </c>
      <c r="K197" t="s">
        <v>436</v>
      </c>
      <c r="L197">
        <v>1356</v>
      </c>
      <c r="N197">
        <v>1010</v>
      </c>
      <c r="O197" t="s">
        <v>74</v>
      </c>
      <c r="P197" t="s">
        <v>74</v>
      </c>
      <c r="Q197">
        <v>1000</v>
      </c>
      <c r="X197">
        <v>0.01</v>
      </c>
      <c r="Y197">
        <v>294.89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3</v>
      </c>
      <c r="AG197">
        <v>0.01</v>
      </c>
      <c r="AH197">
        <v>2</v>
      </c>
      <c r="AI197">
        <v>60257452</v>
      </c>
      <c r="AJ197">
        <v>189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ROW(Source!A174)</f>
        <v>174</v>
      </c>
      <c r="B198">
        <v>60257615</v>
      </c>
      <c r="C198">
        <v>60257439</v>
      </c>
      <c r="D198">
        <v>59062049</v>
      </c>
      <c r="E198">
        <v>1</v>
      </c>
      <c r="F198">
        <v>1</v>
      </c>
      <c r="G198">
        <v>1080</v>
      </c>
      <c r="H198">
        <v>3</v>
      </c>
      <c r="I198" t="s">
        <v>437</v>
      </c>
      <c r="J198" t="s">
        <v>438</v>
      </c>
      <c r="K198" t="s">
        <v>439</v>
      </c>
      <c r="L198">
        <v>1354</v>
      </c>
      <c r="N198">
        <v>1010</v>
      </c>
      <c r="O198" t="s">
        <v>31</v>
      </c>
      <c r="P198" t="s">
        <v>31</v>
      </c>
      <c r="Q198">
        <v>1</v>
      </c>
      <c r="X198">
        <v>1</v>
      </c>
      <c r="Y198">
        <v>15.67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3</v>
      </c>
      <c r="AG198">
        <v>1</v>
      </c>
      <c r="AH198">
        <v>2</v>
      </c>
      <c r="AI198">
        <v>60257453</v>
      </c>
      <c r="AJ198">
        <v>190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ROW(Source!A174)</f>
        <v>174</v>
      </c>
      <c r="B199">
        <v>60257616</v>
      </c>
      <c r="C199">
        <v>60257439</v>
      </c>
      <c r="D199">
        <v>58996482</v>
      </c>
      <c r="E199">
        <v>1080</v>
      </c>
      <c r="F199">
        <v>1</v>
      </c>
      <c r="G199">
        <v>1080</v>
      </c>
      <c r="H199">
        <v>3</v>
      </c>
      <c r="I199" t="s">
        <v>466</v>
      </c>
      <c r="J199" t="s">
        <v>3</v>
      </c>
      <c r="K199" t="s">
        <v>467</v>
      </c>
      <c r="L199">
        <v>1346</v>
      </c>
      <c r="N199">
        <v>1009</v>
      </c>
      <c r="O199" t="s">
        <v>314</v>
      </c>
      <c r="P199" t="s">
        <v>314</v>
      </c>
      <c r="Q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3</v>
      </c>
      <c r="AG199">
        <v>0</v>
      </c>
      <c r="AH199">
        <v>3</v>
      </c>
      <c r="AI199">
        <v>-1</v>
      </c>
      <c r="AJ199" t="s">
        <v>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ROW(Source!A174)</f>
        <v>174</v>
      </c>
      <c r="B200">
        <v>60257617</v>
      </c>
      <c r="C200">
        <v>60257439</v>
      </c>
      <c r="D200">
        <v>59037438</v>
      </c>
      <c r="E200">
        <v>1080</v>
      </c>
      <c r="F200">
        <v>1</v>
      </c>
      <c r="G200">
        <v>1080</v>
      </c>
      <c r="H200">
        <v>3</v>
      </c>
      <c r="I200" t="s">
        <v>468</v>
      </c>
      <c r="J200" t="s">
        <v>3</v>
      </c>
      <c r="K200" t="s">
        <v>469</v>
      </c>
      <c r="L200">
        <v>1391</v>
      </c>
      <c r="N200">
        <v>1013</v>
      </c>
      <c r="O200" t="s">
        <v>470</v>
      </c>
      <c r="P200" t="s">
        <v>470</v>
      </c>
      <c r="Q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3</v>
      </c>
      <c r="AG200">
        <v>1</v>
      </c>
      <c r="AH200">
        <v>3</v>
      </c>
      <c r="AI200">
        <v>-1</v>
      </c>
      <c r="AJ200" t="s">
        <v>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ROW(Source!A174)</f>
        <v>174</v>
      </c>
      <c r="B201">
        <v>60257618</v>
      </c>
      <c r="C201">
        <v>60257439</v>
      </c>
      <c r="D201">
        <v>59004256</v>
      </c>
      <c r="E201">
        <v>1080</v>
      </c>
      <c r="F201">
        <v>1</v>
      </c>
      <c r="G201">
        <v>1080</v>
      </c>
      <c r="H201">
        <v>3</v>
      </c>
      <c r="I201" t="s">
        <v>347</v>
      </c>
      <c r="J201" t="s">
        <v>3</v>
      </c>
      <c r="K201" t="s">
        <v>348</v>
      </c>
      <c r="L201">
        <v>1348</v>
      </c>
      <c r="N201">
        <v>1009</v>
      </c>
      <c r="O201" t="s">
        <v>310</v>
      </c>
      <c r="P201" t="s">
        <v>310</v>
      </c>
      <c r="Q201">
        <v>1000</v>
      </c>
      <c r="X201">
        <v>1E-3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 t="s">
        <v>3</v>
      </c>
      <c r="AG201">
        <v>1E-3</v>
      </c>
      <c r="AH201">
        <v>2</v>
      </c>
      <c r="AI201">
        <v>60257454</v>
      </c>
      <c r="AJ201">
        <v>191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ROW(Source!A175)</f>
        <v>175</v>
      </c>
      <c r="B202">
        <v>60257602</v>
      </c>
      <c r="C202">
        <v>60257439</v>
      </c>
      <c r="D202">
        <v>58999254</v>
      </c>
      <c r="E202">
        <v>1080</v>
      </c>
      <c r="F202">
        <v>1</v>
      </c>
      <c r="G202">
        <v>1080</v>
      </c>
      <c r="H202">
        <v>1</v>
      </c>
      <c r="I202" t="s">
        <v>293</v>
      </c>
      <c r="J202" t="s">
        <v>3</v>
      </c>
      <c r="K202" t="s">
        <v>294</v>
      </c>
      <c r="L202">
        <v>1191</v>
      </c>
      <c r="N202">
        <v>1013</v>
      </c>
      <c r="O202" t="s">
        <v>295</v>
      </c>
      <c r="P202" t="s">
        <v>295</v>
      </c>
      <c r="Q202">
        <v>1</v>
      </c>
      <c r="X202">
        <v>3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1</v>
      </c>
      <c r="AF202" t="s">
        <v>23</v>
      </c>
      <c r="AG202">
        <v>3.3000000000000003</v>
      </c>
      <c r="AH202">
        <v>2</v>
      </c>
      <c r="AI202">
        <v>60257440</v>
      </c>
      <c r="AJ202">
        <v>193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ROW(Source!A175)</f>
        <v>175</v>
      </c>
      <c r="B203">
        <v>60257603</v>
      </c>
      <c r="C203">
        <v>60257439</v>
      </c>
      <c r="D203">
        <v>59039563</v>
      </c>
      <c r="E203">
        <v>1</v>
      </c>
      <c r="F203">
        <v>1</v>
      </c>
      <c r="G203">
        <v>1080</v>
      </c>
      <c r="H203">
        <v>3</v>
      </c>
      <c r="I203" t="s">
        <v>400</v>
      </c>
      <c r="J203" t="s">
        <v>401</v>
      </c>
      <c r="K203" t="s">
        <v>402</v>
      </c>
      <c r="L203">
        <v>1348</v>
      </c>
      <c r="N203">
        <v>1009</v>
      </c>
      <c r="O203" t="s">
        <v>310</v>
      </c>
      <c r="P203" t="s">
        <v>310</v>
      </c>
      <c r="Q203">
        <v>1000</v>
      </c>
      <c r="X203">
        <v>1E-3</v>
      </c>
      <c r="Y203">
        <v>15319.65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3</v>
      </c>
      <c r="AG203">
        <v>1E-3</v>
      </c>
      <c r="AH203">
        <v>2</v>
      </c>
      <c r="AI203">
        <v>60257441</v>
      </c>
      <c r="AJ203">
        <v>194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ROW(Source!A175)</f>
        <v>175</v>
      </c>
      <c r="B204">
        <v>60257604</v>
      </c>
      <c r="C204">
        <v>60257439</v>
      </c>
      <c r="D204">
        <v>59038929</v>
      </c>
      <c r="E204">
        <v>1</v>
      </c>
      <c r="F204">
        <v>1</v>
      </c>
      <c r="G204">
        <v>1080</v>
      </c>
      <c r="H204">
        <v>3</v>
      </c>
      <c r="I204" t="s">
        <v>403</v>
      </c>
      <c r="J204" t="s">
        <v>404</v>
      </c>
      <c r="K204" t="s">
        <v>405</v>
      </c>
      <c r="L204">
        <v>1348</v>
      </c>
      <c r="N204">
        <v>1009</v>
      </c>
      <c r="O204" t="s">
        <v>310</v>
      </c>
      <c r="P204" t="s">
        <v>310</v>
      </c>
      <c r="Q204">
        <v>1000</v>
      </c>
      <c r="X204">
        <v>5.0000000000000002E-5</v>
      </c>
      <c r="Y204">
        <v>1219.68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3</v>
      </c>
      <c r="AG204">
        <v>5.0000000000000002E-5</v>
      </c>
      <c r="AH204">
        <v>2</v>
      </c>
      <c r="AI204">
        <v>60257442</v>
      </c>
      <c r="AJ204">
        <v>195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ROW(Source!A175)</f>
        <v>175</v>
      </c>
      <c r="B205">
        <v>60257605</v>
      </c>
      <c r="C205">
        <v>60257439</v>
      </c>
      <c r="D205">
        <v>59039997</v>
      </c>
      <c r="E205">
        <v>1</v>
      </c>
      <c r="F205">
        <v>1</v>
      </c>
      <c r="G205">
        <v>1080</v>
      </c>
      <c r="H205">
        <v>3</v>
      </c>
      <c r="I205" t="s">
        <v>406</v>
      </c>
      <c r="J205" t="s">
        <v>407</v>
      </c>
      <c r="K205" t="s">
        <v>408</v>
      </c>
      <c r="L205">
        <v>1301</v>
      </c>
      <c r="N205">
        <v>1003</v>
      </c>
      <c r="O205" t="s">
        <v>139</v>
      </c>
      <c r="P205" t="s">
        <v>139</v>
      </c>
      <c r="Q205">
        <v>1</v>
      </c>
      <c r="X205">
        <v>5</v>
      </c>
      <c r="Y205">
        <v>0.39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3</v>
      </c>
      <c r="AG205">
        <v>5</v>
      </c>
      <c r="AH205">
        <v>2</v>
      </c>
      <c r="AI205">
        <v>60257443</v>
      </c>
      <c r="AJ205">
        <v>196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ROW(Source!A175)</f>
        <v>175</v>
      </c>
      <c r="B206">
        <v>60257606</v>
      </c>
      <c r="C206">
        <v>60257439</v>
      </c>
      <c r="D206">
        <v>59038980</v>
      </c>
      <c r="E206">
        <v>1</v>
      </c>
      <c r="F206">
        <v>1</v>
      </c>
      <c r="G206">
        <v>1080</v>
      </c>
      <c r="H206">
        <v>3</v>
      </c>
      <c r="I206" t="s">
        <v>409</v>
      </c>
      <c r="J206" t="s">
        <v>410</v>
      </c>
      <c r="K206" t="s">
        <v>411</v>
      </c>
      <c r="L206">
        <v>1339</v>
      </c>
      <c r="N206">
        <v>1007</v>
      </c>
      <c r="O206" t="s">
        <v>412</v>
      </c>
      <c r="P206" t="s">
        <v>412</v>
      </c>
      <c r="Q206">
        <v>1</v>
      </c>
      <c r="X206">
        <v>1E-3</v>
      </c>
      <c r="Y206">
        <v>1176.3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3</v>
      </c>
      <c r="AG206">
        <v>1E-3</v>
      </c>
      <c r="AH206">
        <v>2</v>
      </c>
      <c r="AI206">
        <v>60257444</v>
      </c>
      <c r="AJ206">
        <v>197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ROW(Source!A175)</f>
        <v>175</v>
      </c>
      <c r="B207">
        <v>60257607</v>
      </c>
      <c r="C207">
        <v>60257439</v>
      </c>
      <c r="D207">
        <v>59040899</v>
      </c>
      <c r="E207">
        <v>1</v>
      </c>
      <c r="F207">
        <v>1</v>
      </c>
      <c r="G207">
        <v>1080</v>
      </c>
      <c r="H207">
        <v>3</v>
      </c>
      <c r="I207" t="s">
        <v>413</v>
      </c>
      <c r="J207" t="s">
        <v>414</v>
      </c>
      <c r="K207" t="s">
        <v>415</v>
      </c>
      <c r="L207">
        <v>1346</v>
      </c>
      <c r="N207">
        <v>1009</v>
      </c>
      <c r="O207" t="s">
        <v>314</v>
      </c>
      <c r="P207" t="s">
        <v>314</v>
      </c>
      <c r="Q207">
        <v>1</v>
      </c>
      <c r="X207">
        <v>0.01</v>
      </c>
      <c r="Y207">
        <v>15.11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3</v>
      </c>
      <c r="AG207">
        <v>0.01</v>
      </c>
      <c r="AH207">
        <v>2</v>
      </c>
      <c r="AI207">
        <v>60257445</v>
      </c>
      <c r="AJ207">
        <v>198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ROW(Source!A175)</f>
        <v>175</v>
      </c>
      <c r="B208">
        <v>60257608</v>
      </c>
      <c r="C208">
        <v>60257439</v>
      </c>
      <c r="D208">
        <v>59039068</v>
      </c>
      <c r="E208">
        <v>1</v>
      </c>
      <c r="F208">
        <v>1</v>
      </c>
      <c r="G208">
        <v>1080</v>
      </c>
      <c r="H208">
        <v>3</v>
      </c>
      <c r="I208" t="s">
        <v>416</v>
      </c>
      <c r="J208" t="s">
        <v>417</v>
      </c>
      <c r="K208" t="s">
        <v>418</v>
      </c>
      <c r="L208">
        <v>1346</v>
      </c>
      <c r="N208">
        <v>1009</v>
      </c>
      <c r="O208" t="s">
        <v>314</v>
      </c>
      <c r="P208" t="s">
        <v>314</v>
      </c>
      <c r="Q208">
        <v>1</v>
      </c>
      <c r="X208">
        <v>0.01</v>
      </c>
      <c r="Y208">
        <v>16.690000000000001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3</v>
      </c>
      <c r="AG208">
        <v>0.01</v>
      </c>
      <c r="AH208">
        <v>2</v>
      </c>
      <c r="AI208">
        <v>60257446</v>
      </c>
      <c r="AJ208">
        <v>199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ROW(Source!A175)</f>
        <v>175</v>
      </c>
      <c r="B209">
        <v>60257609</v>
      </c>
      <c r="C209">
        <v>60257439</v>
      </c>
      <c r="D209">
        <v>59041389</v>
      </c>
      <c r="E209">
        <v>1</v>
      </c>
      <c r="F209">
        <v>1</v>
      </c>
      <c r="G209">
        <v>1080</v>
      </c>
      <c r="H209">
        <v>3</v>
      </c>
      <c r="I209" t="s">
        <v>419</v>
      </c>
      <c r="J209" t="s">
        <v>420</v>
      </c>
      <c r="K209" t="s">
        <v>421</v>
      </c>
      <c r="L209">
        <v>1348</v>
      </c>
      <c r="N209">
        <v>1009</v>
      </c>
      <c r="O209" t="s">
        <v>310</v>
      </c>
      <c r="P209" t="s">
        <v>310</v>
      </c>
      <c r="Q209">
        <v>1000</v>
      </c>
      <c r="X209">
        <v>1E-4</v>
      </c>
      <c r="Y209">
        <v>10643.18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3</v>
      </c>
      <c r="AG209">
        <v>1E-4</v>
      </c>
      <c r="AH209">
        <v>2</v>
      </c>
      <c r="AI209">
        <v>60257447</v>
      </c>
      <c r="AJ209">
        <v>200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ROW(Source!A175)</f>
        <v>175</v>
      </c>
      <c r="B210">
        <v>60257610</v>
      </c>
      <c r="C210">
        <v>60257439</v>
      </c>
      <c r="D210">
        <v>59045670</v>
      </c>
      <c r="E210">
        <v>1</v>
      </c>
      <c r="F210">
        <v>1</v>
      </c>
      <c r="G210">
        <v>1080</v>
      </c>
      <c r="H210">
        <v>3</v>
      </c>
      <c r="I210" t="s">
        <v>422</v>
      </c>
      <c r="J210" t="s">
        <v>423</v>
      </c>
      <c r="K210" t="s">
        <v>424</v>
      </c>
      <c r="L210">
        <v>1355</v>
      </c>
      <c r="N210">
        <v>1010</v>
      </c>
      <c r="O210" t="s">
        <v>63</v>
      </c>
      <c r="P210" t="s">
        <v>63</v>
      </c>
      <c r="Q210">
        <v>100</v>
      </c>
      <c r="X210">
        <v>0.01</v>
      </c>
      <c r="Y210">
        <v>120.19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 t="s">
        <v>3</v>
      </c>
      <c r="AG210">
        <v>0.01</v>
      </c>
      <c r="AH210">
        <v>2</v>
      </c>
      <c r="AI210">
        <v>60257448</v>
      </c>
      <c r="AJ210">
        <v>201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ROW(Source!A175)</f>
        <v>175</v>
      </c>
      <c r="B211">
        <v>60257611</v>
      </c>
      <c r="C211">
        <v>60257439</v>
      </c>
      <c r="D211">
        <v>59039462</v>
      </c>
      <c r="E211">
        <v>1</v>
      </c>
      <c r="F211">
        <v>1</v>
      </c>
      <c r="G211">
        <v>1080</v>
      </c>
      <c r="H211">
        <v>3</v>
      </c>
      <c r="I211" t="s">
        <v>425</v>
      </c>
      <c r="J211" t="s">
        <v>426</v>
      </c>
      <c r="K211" t="s">
        <v>427</v>
      </c>
      <c r="L211">
        <v>1348</v>
      </c>
      <c r="N211">
        <v>1009</v>
      </c>
      <c r="O211" t="s">
        <v>310</v>
      </c>
      <c r="P211" t="s">
        <v>310</v>
      </c>
      <c r="Q211">
        <v>1000</v>
      </c>
      <c r="X211">
        <v>2.0000000000000002E-5</v>
      </c>
      <c r="Y211">
        <v>64123.05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 t="s">
        <v>3</v>
      </c>
      <c r="AG211">
        <v>2.0000000000000002E-5</v>
      </c>
      <c r="AH211">
        <v>2</v>
      </c>
      <c r="AI211">
        <v>60257449</v>
      </c>
      <c r="AJ211">
        <v>202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ROW(Source!A175)</f>
        <v>175</v>
      </c>
      <c r="B212">
        <v>60257612</v>
      </c>
      <c r="C212">
        <v>60257439</v>
      </c>
      <c r="D212">
        <v>59039479</v>
      </c>
      <c r="E212">
        <v>1</v>
      </c>
      <c r="F212">
        <v>1</v>
      </c>
      <c r="G212">
        <v>1080</v>
      </c>
      <c r="H212">
        <v>3</v>
      </c>
      <c r="I212" t="s">
        <v>428</v>
      </c>
      <c r="J212" t="s">
        <v>429</v>
      </c>
      <c r="K212" t="s">
        <v>430</v>
      </c>
      <c r="L212">
        <v>1348</v>
      </c>
      <c r="N212">
        <v>1009</v>
      </c>
      <c r="O212" t="s">
        <v>310</v>
      </c>
      <c r="P212" t="s">
        <v>310</v>
      </c>
      <c r="Q212">
        <v>1000</v>
      </c>
      <c r="X212">
        <v>1E-4</v>
      </c>
      <c r="Y212">
        <v>9238.1299999999992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3</v>
      </c>
      <c r="AG212">
        <v>1E-4</v>
      </c>
      <c r="AH212">
        <v>2</v>
      </c>
      <c r="AI212">
        <v>60257450</v>
      </c>
      <c r="AJ212">
        <v>203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ROW(Source!A175)</f>
        <v>175</v>
      </c>
      <c r="B213">
        <v>60257613</v>
      </c>
      <c r="C213">
        <v>60257439</v>
      </c>
      <c r="D213">
        <v>59062697</v>
      </c>
      <c r="E213">
        <v>1</v>
      </c>
      <c r="F213">
        <v>1</v>
      </c>
      <c r="G213">
        <v>1080</v>
      </c>
      <c r="H213">
        <v>3</v>
      </c>
      <c r="I213" t="s">
        <v>431</v>
      </c>
      <c r="J213" t="s">
        <v>432</v>
      </c>
      <c r="K213" t="s">
        <v>433</v>
      </c>
      <c r="L213">
        <v>1301</v>
      </c>
      <c r="N213">
        <v>1003</v>
      </c>
      <c r="O213" t="s">
        <v>139</v>
      </c>
      <c r="P213" t="s">
        <v>139</v>
      </c>
      <c r="Q213">
        <v>1</v>
      </c>
      <c r="X213">
        <v>1</v>
      </c>
      <c r="Y213">
        <v>0.69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3</v>
      </c>
      <c r="AG213">
        <v>1</v>
      </c>
      <c r="AH213">
        <v>2</v>
      </c>
      <c r="AI213">
        <v>60257451</v>
      </c>
      <c r="AJ213">
        <v>204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ROW(Source!A175)</f>
        <v>175</v>
      </c>
      <c r="B214">
        <v>60257614</v>
      </c>
      <c r="C214">
        <v>60257439</v>
      </c>
      <c r="D214">
        <v>59062976</v>
      </c>
      <c r="E214">
        <v>1</v>
      </c>
      <c r="F214">
        <v>1</v>
      </c>
      <c r="G214">
        <v>1080</v>
      </c>
      <c r="H214">
        <v>3</v>
      </c>
      <c r="I214" t="s">
        <v>434</v>
      </c>
      <c r="J214" t="s">
        <v>435</v>
      </c>
      <c r="K214" t="s">
        <v>436</v>
      </c>
      <c r="L214">
        <v>1356</v>
      </c>
      <c r="N214">
        <v>1010</v>
      </c>
      <c r="O214" t="s">
        <v>74</v>
      </c>
      <c r="P214" t="s">
        <v>74</v>
      </c>
      <c r="Q214">
        <v>1000</v>
      </c>
      <c r="X214">
        <v>0.01</v>
      </c>
      <c r="Y214">
        <v>294.89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3</v>
      </c>
      <c r="AG214">
        <v>0.01</v>
      </c>
      <c r="AH214">
        <v>2</v>
      </c>
      <c r="AI214">
        <v>60257452</v>
      </c>
      <c r="AJ214">
        <v>205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ROW(Source!A175)</f>
        <v>175</v>
      </c>
      <c r="B215">
        <v>60257615</v>
      </c>
      <c r="C215">
        <v>60257439</v>
      </c>
      <c r="D215">
        <v>59062049</v>
      </c>
      <c r="E215">
        <v>1</v>
      </c>
      <c r="F215">
        <v>1</v>
      </c>
      <c r="G215">
        <v>1080</v>
      </c>
      <c r="H215">
        <v>3</v>
      </c>
      <c r="I215" t="s">
        <v>437</v>
      </c>
      <c r="J215" t="s">
        <v>438</v>
      </c>
      <c r="K215" t="s">
        <v>439</v>
      </c>
      <c r="L215">
        <v>1354</v>
      </c>
      <c r="N215">
        <v>1010</v>
      </c>
      <c r="O215" t="s">
        <v>31</v>
      </c>
      <c r="P215" t="s">
        <v>31</v>
      </c>
      <c r="Q215">
        <v>1</v>
      </c>
      <c r="X215">
        <v>1</v>
      </c>
      <c r="Y215">
        <v>15.67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 t="s">
        <v>3</v>
      </c>
      <c r="AG215">
        <v>1</v>
      </c>
      <c r="AH215">
        <v>2</v>
      </c>
      <c r="AI215">
        <v>60257453</v>
      </c>
      <c r="AJ215">
        <v>206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ROW(Source!A175)</f>
        <v>175</v>
      </c>
      <c r="B216">
        <v>60257616</v>
      </c>
      <c r="C216">
        <v>60257439</v>
      </c>
      <c r="D216">
        <v>58996482</v>
      </c>
      <c r="E216">
        <v>1080</v>
      </c>
      <c r="F216">
        <v>1</v>
      </c>
      <c r="G216">
        <v>1080</v>
      </c>
      <c r="H216">
        <v>3</v>
      </c>
      <c r="I216" t="s">
        <v>466</v>
      </c>
      <c r="J216" t="s">
        <v>3</v>
      </c>
      <c r="K216" t="s">
        <v>467</v>
      </c>
      <c r="L216">
        <v>1346</v>
      </c>
      <c r="N216">
        <v>1009</v>
      </c>
      <c r="O216" t="s">
        <v>314</v>
      </c>
      <c r="P216" t="s">
        <v>314</v>
      </c>
      <c r="Q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 t="s">
        <v>3</v>
      </c>
      <c r="AG216">
        <v>0</v>
      </c>
      <c r="AH216">
        <v>3</v>
      </c>
      <c r="AI216">
        <v>-1</v>
      </c>
      <c r="AJ216" t="s">
        <v>3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ROW(Source!A175)</f>
        <v>175</v>
      </c>
      <c r="B217">
        <v>60257617</v>
      </c>
      <c r="C217">
        <v>60257439</v>
      </c>
      <c r="D217">
        <v>59037438</v>
      </c>
      <c r="E217">
        <v>1080</v>
      </c>
      <c r="F217">
        <v>1</v>
      </c>
      <c r="G217">
        <v>1080</v>
      </c>
      <c r="H217">
        <v>3</v>
      </c>
      <c r="I217" t="s">
        <v>468</v>
      </c>
      <c r="J217" t="s">
        <v>3</v>
      </c>
      <c r="K217" t="s">
        <v>469</v>
      </c>
      <c r="L217">
        <v>1391</v>
      </c>
      <c r="N217">
        <v>1013</v>
      </c>
      <c r="O217" t="s">
        <v>470</v>
      </c>
      <c r="P217" t="s">
        <v>470</v>
      </c>
      <c r="Q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 t="s">
        <v>3</v>
      </c>
      <c r="AG217">
        <v>1</v>
      </c>
      <c r="AH217">
        <v>3</v>
      </c>
      <c r="AI217">
        <v>-1</v>
      </c>
      <c r="AJ217" t="s">
        <v>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ROW(Source!A175)</f>
        <v>175</v>
      </c>
      <c r="B218">
        <v>60257618</v>
      </c>
      <c r="C218">
        <v>60257439</v>
      </c>
      <c r="D218">
        <v>59004256</v>
      </c>
      <c r="E218">
        <v>1080</v>
      </c>
      <c r="F218">
        <v>1</v>
      </c>
      <c r="G218">
        <v>1080</v>
      </c>
      <c r="H218">
        <v>3</v>
      </c>
      <c r="I218" t="s">
        <v>347</v>
      </c>
      <c r="J218" t="s">
        <v>3</v>
      </c>
      <c r="K218" t="s">
        <v>348</v>
      </c>
      <c r="L218">
        <v>1348</v>
      </c>
      <c r="N218">
        <v>1009</v>
      </c>
      <c r="O218" t="s">
        <v>310</v>
      </c>
      <c r="P218" t="s">
        <v>310</v>
      </c>
      <c r="Q218">
        <v>1000</v>
      </c>
      <c r="X218">
        <v>1E-3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3</v>
      </c>
      <c r="AG218">
        <v>1E-3</v>
      </c>
      <c r="AH218">
        <v>2</v>
      </c>
      <c r="AI218">
        <v>60257454</v>
      </c>
      <c r="AJ218">
        <v>207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ROW(Source!A186)</f>
        <v>186</v>
      </c>
      <c r="B219">
        <v>60257619</v>
      </c>
      <c r="C219">
        <v>60257478</v>
      </c>
      <c r="D219">
        <v>58999254</v>
      </c>
      <c r="E219">
        <v>1080</v>
      </c>
      <c r="F219">
        <v>1</v>
      </c>
      <c r="G219">
        <v>1080</v>
      </c>
      <c r="H219">
        <v>1</v>
      </c>
      <c r="I219" t="s">
        <v>293</v>
      </c>
      <c r="J219" t="s">
        <v>3</v>
      </c>
      <c r="K219" t="s">
        <v>294</v>
      </c>
      <c r="L219">
        <v>1191</v>
      </c>
      <c r="N219">
        <v>1013</v>
      </c>
      <c r="O219" t="s">
        <v>295</v>
      </c>
      <c r="P219" t="s">
        <v>295</v>
      </c>
      <c r="Q219">
        <v>1</v>
      </c>
      <c r="X219">
        <v>3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1</v>
      </c>
      <c r="AF219" t="s">
        <v>23</v>
      </c>
      <c r="AG219">
        <v>3.3000000000000003</v>
      </c>
      <c r="AH219">
        <v>2</v>
      </c>
      <c r="AI219">
        <v>60257479</v>
      </c>
      <c r="AJ219">
        <v>209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ROW(Source!A186)</f>
        <v>186</v>
      </c>
      <c r="B220">
        <v>60257620</v>
      </c>
      <c r="C220">
        <v>60257478</v>
      </c>
      <c r="D220">
        <v>59039563</v>
      </c>
      <c r="E220">
        <v>1</v>
      </c>
      <c r="F220">
        <v>1</v>
      </c>
      <c r="G220">
        <v>1080</v>
      </c>
      <c r="H220">
        <v>3</v>
      </c>
      <c r="I220" t="s">
        <v>400</v>
      </c>
      <c r="J220" t="s">
        <v>401</v>
      </c>
      <c r="K220" t="s">
        <v>402</v>
      </c>
      <c r="L220">
        <v>1348</v>
      </c>
      <c r="N220">
        <v>1009</v>
      </c>
      <c r="O220" t="s">
        <v>310</v>
      </c>
      <c r="P220" t="s">
        <v>310</v>
      </c>
      <c r="Q220">
        <v>1000</v>
      </c>
      <c r="X220">
        <v>1E-3</v>
      </c>
      <c r="Y220">
        <v>15319.65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 t="s">
        <v>3</v>
      </c>
      <c r="AG220">
        <v>1E-3</v>
      </c>
      <c r="AH220">
        <v>2</v>
      </c>
      <c r="AI220">
        <v>60257480</v>
      </c>
      <c r="AJ220">
        <v>210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ROW(Source!A186)</f>
        <v>186</v>
      </c>
      <c r="B221">
        <v>60257621</v>
      </c>
      <c r="C221">
        <v>60257478</v>
      </c>
      <c r="D221">
        <v>59038929</v>
      </c>
      <c r="E221">
        <v>1</v>
      </c>
      <c r="F221">
        <v>1</v>
      </c>
      <c r="G221">
        <v>1080</v>
      </c>
      <c r="H221">
        <v>3</v>
      </c>
      <c r="I221" t="s">
        <v>403</v>
      </c>
      <c r="J221" t="s">
        <v>404</v>
      </c>
      <c r="K221" t="s">
        <v>405</v>
      </c>
      <c r="L221">
        <v>1348</v>
      </c>
      <c r="N221">
        <v>1009</v>
      </c>
      <c r="O221" t="s">
        <v>310</v>
      </c>
      <c r="P221" t="s">
        <v>310</v>
      </c>
      <c r="Q221">
        <v>1000</v>
      </c>
      <c r="X221">
        <v>5.0000000000000002E-5</v>
      </c>
      <c r="Y221">
        <v>1219.68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 t="s">
        <v>3</v>
      </c>
      <c r="AG221">
        <v>5.0000000000000002E-5</v>
      </c>
      <c r="AH221">
        <v>2</v>
      </c>
      <c r="AI221">
        <v>60257481</v>
      </c>
      <c r="AJ221">
        <v>211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ROW(Source!A186)</f>
        <v>186</v>
      </c>
      <c r="B222">
        <v>60257622</v>
      </c>
      <c r="C222">
        <v>60257478</v>
      </c>
      <c r="D222">
        <v>59039997</v>
      </c>
      <c r="E222">
        <v>1</v>
      </c>
      <c r="F222">
        <v>1</v>
      </c>
      <c r="G222">
        <v>1080</v>
      </c>
      <c r="H222">
        <v>3</v>
      </c>
      <c r="I222" t="s">
        <v>406</v>
      </c>
      <c r="J222" t="s">
        <v>407</v>
      </c>
      <c r="K222" t="s">
        <v>408</v>
      </c>
      <c r="L222">
        <v>1301</v>
      </c>
      <c r="N222">
        <v>1003</v>
      </c>
      <c r="O222" t="s">
        <v>139</v>
      </c>
      <c r="P222" t="s">
        <v>139</v>
      </c>
      <c r="Q222">
        <v>1</v>
      </c>
      <c r="X222">
        <v>5</v>
      </c>
      <c r="Y222">
        <v>0.39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3</v>
      </c>
      <c r="AG222">
        <v>5</v>
      </c>
      <c r="AH222">
        <v>2</v>
      </c>
      <c r="AI222">
        <v>60257482</v>
      </c>
      <c r="AJ222">
        <v>212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ROW(Source!A186)</f>
        <v>186</v>
      </c>
      <c r="B223">
        <v>60257623</v>
      </c>
      <c r="C223">
        <v>60257478</v>
      </c>
      <c r="D223">
        <v>59038980</v>
      </c>
      <c r="E223">
        <v>1</v>
      </c>
      <c r="F223">
        <v>1</v>
      </c>
      <c r="G223">
        <v>1080</v>
      </c>
      <c r="H223">
        <v>3</v>
      </c>
      <c r="I223" t="s">
        <v>409</v>
      </c>
      <c r="J223" t="s">
        <v>410</v>
      </c>
      <c r="K223" t="s">
        <v>411</v>
      </c>
      <c r="L223">
        <v>1339</v>
      </c>
      <c r="N223">
        <v>1007</v>
      </c>
      <c r="O223" t="s">
        <v>412</v>
      </c>
      <c r="P223" t="s">
        <v>412</v>
      </c>
      <c r="Q223">
        <v>1</v>
      </c>
      <c r="X223">
        <v>1E-3</v>
      </c>
      <c r="Y223">
        <v>1176.3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3</v>
      </c>
      <c r="AG223">
        <v>1E-3</v>
      </c>
      <c r="AH223">
        <v>2</v>
      </c>
      <c r="AI223">
        <v>60257483</v>
      </c>
      <c r="AJ223">
        <v>213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ROW(Source!A186)</f>
        <v>186</v>
      </c>
      <c r="B224">
        <v>60257624</v>
      </c>
      <c r="C224">
        <v>60257478</v>
      </c>
      <c r="D224">
        <v>59040899</v>
      </c>
      <c r="E224">
        <v>1</v>
      </c>
      <c r="F224">
        <v>1</v>
      </c>
      <c r="G224">
        <v>1080</v>
      </c>
      <c r="H224">
        <v>3</v>
      </c>
      <c r="I224" t="s">
        <v>413</v>
      </c>
      <c r="J224" t="s">
        <v>414</v>
      </c>
      <c r="K224" t="s">
        <v>415</v>
      </c>
      <c r="L224">
        <v>1346</v>
      </c>
      <c r="N224">
        <v>1009</v>
      </c>
      <c r="O224" t="s">
        <v>314</v>
      </c>
      <c r="P224" t="s">
        <v>314</v>
      </c>
      <c r="Q224">
        <v>1</v>
      </c>
      <c r="X224">
        <v>0.01</v>
      </c>
      <c r="Y224">
        <v>15.11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3</v>
      </c>
      <c r="AG224">
        <v>0.01</v>
      </c>
      <c r="AH224">
        <v>2</v>
      </c>
      <c r="AI224">
        <v>60257484</v>
      </c>
      <c r="AJ224">
        <v>214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ROW(Source!A186)</f>
        <v>186</v>
      </c>
      <c r="B225">
        <v>60257625</v>
      </c>
      <c r="C225">
        <v>60257478</v>
      </c>
      <c r="D225">
        <v>59039068</v>
      </c>
      <c r="E225">
        <v>1</v>
      </c>
      <c r="F225">
        <v>1</v>
      </c>
      <c r="G225">
        <v>1080</v>
      </c>
      <c r="H225">
        <v>3</v>
      </c>
      <c r="I225" t="s">
        <v>416</v>
      </c>
      <c r="J225" t="s">
        <v>417</v>
      </c>
      <c r="K225" t="s">
        <v>418</v>
      </c>
      <c r="L225">
        <v>1346</v>
      </c>
      <c r="N225">
        <v>1009</v>
      </c>
      <c r="O225" t="s">
        <v>314</v>
      </c>
      <c r="P225" t="s">
        <v>314</v>
      </c>
      <c r="Q225">
        <v>1</v>
      </c>
      <c r="X225">
        <v>0.01</v>
      </c>
      <c r="Y225">
        <v>16.690000000000001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 t="s">
        <v>3</v>
      </c>
      <c r="AG225">
        <v>0.01</v>
      </c>
      <c r="AH225">
        <v>2</v>
      </c>
      <c r="AI225">
        <v>60257485</v>
      </c>
      <c r="AJ225">
        <v>215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ROW(Source!A186)</f>
        <v>186</v>
      </c>
      <c r="B226">
        <v>60257626</v>
      </c>
      <c r="C226">
        <v>60257478</v>
      </c>
      <c r="D226">
        <v>59041389</v>
      </c>
      <c r="E226">
        <v>1</v>
      </c>
      <c r="F226">
        <v>1</v>
      </c>
      <c r="G226">
        <v>1080</v>
      </c>
      <c r="H226">
        <v>3</v>
      </c>
      <c r="I226" t="s">
        <v>419</v>
      </c>
      <c r="J226" t="s">
        <v>420</v>
      </c>
      <c r="K226" t="s">
        <v>421</v>
      </c>
      <c r="L226">
        <v>1348</v>
      </c>
      <c r="N226">
        <v>1009</v>
      </c>
      <c r="O226" t="s">
        <v>310</v>
      </c>
      <c r="P226" t="s">
        <v>310</v>
      </c>
      <c r="Q226">
        <v>1000</v>
      </c>
      <c r="X226">
        <v>1E-4</v>
      </c>
      <c r="Y226">
        <v>10643.18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3</v>
      </c>
      <c r="AG226">
        <v>1E-4</v>
      </c>
      <c r="AH226">
        <v>2</v>
      </c>
      <c r="AI226">
        <v>60257486</v>
      </c>
      <c r="AJ226">
        <v>216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ROW(Source!A186)</f>
        <v>186</v>
      </c>
      <c r="B227">
        <v>60257627</v>
      </c>
      <c r="C227">
        <v>60257478</v>
      </c>
      <c r="D227">
        <v>59045670</v>
      </c>
      <c r="E227">
        <v>1</v>
      </c>
      <c r="F227">
        <v>1</v>
      </c>
      <c r="G227">
        <v>1080</v>
      </c>
      <c r="H227">
        <v>3</v>
      </c>
      <c r="I227" t="s">
        <v>422</v>
      </c>
      <c r="J227" t="s">
        <v>423</v>
      </c>
      <c r="K227" t="s">
        <v>424</v>
      </c>
      <c r="L227">
        <v>1355</v>
      </c>
      <c r="N227">
        <v>1010</v>
      </c>
      <c r="O227" t="s">
        <v>63</v>
      </c>
      <c r="P227" t="s">
        <v>63</v>
      </c>
      <c r="Q227">
        <v>100</v>
      </c>
      <c r="X227">
        <v>0.01</v>
      </c>
      <c r="Y227">
        <v>120.19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3</v>
      </c>
      <c r="AG227">
        <v>0.01</v>
      </c>
      <c r="AH227">
        <v>2</v>
      </c>
      <c r="AI227">
        <v>60257487</v>
      </c>
      <c r="AJ227">
        <v>217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ROW(Source!A186)</f>
        <v>186</v>
      </c>
      <c r="B228">
        <v>60257628</v>
      </c>
      <c r="C228">
        <v>60257478</v>
      </c>
      <c r="D228">
        <v>59039462</v>
      </c>
      <c r="E228">
        <v>1</v>
      </c>
      <c r="F228">
        <v>1</v>
      </c>
      <c r="G228">
        <v>1080</v>
      </c>
      <c r="H228">
        <v>3</v>
      </c>
      <c r="I228" t="s">
        <v>425</v>
      </c>
      <c r="J228" t="s">
        <v>426</v>
      </c>
      <c r="K228" t="s">
        <v>427</v>
      </c>
      <c r="L228">
        <v>1348</v>
      </c>
      <c r="N228">
        <v>1009</v>
      </c>
      <c r="O228" t="s">
        <v>310</v>
      </c>
      <c r="P228" t="s">
        <v>310</v>
      </c>
      <c r="Q228">
        <v>1000</v>
      </c>
      <c r="X228">
        <v>2.0000000000000002E-5</v>
      </c>
      <c r="Y228">
        <v>64123.05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 t="s">
        <v>3</v>
      </c>
      <c r="AG228">
        <v>2.0000000000000002E-5</v>
      </c>
      <c r="AH228">
        <v>2</v>
      </c>
      <c r="AI228">
        <v>60257488</v>
      </c>
      <c r="AJ228">
        <v>218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ROW(Source!A186)</f>
        <v>186</v>
      </c>
      <c r="B229">
        <v>60257629</v>
      </c>
      <c r="C229">
        <v>60257478</v>
      </c>
      <c r="D229">
        <v>59039479</v>
      </c>
      <c r="E229">
        <v>1</v>
      </c>
      <c r="F229">
        <v>1</v>
      </c>
      <c r="G229">
        <v>1080</v>
      </c>
      <c r="H229">
        <v>3</v>
      </c>
      <c r="I229" t="s">
        <v>428</v>
      </c>
      <c r="J229" t="s">
        <v>429</v>
      </c>
      <c r="K229" t="s">
        <v>430</v>
      </c>
      <c r="L229">
        <v>1348</v>
      </c>
      <c r="N229">
        <v>1009</v>
      </c>
      <c r="O229" t="s">
        <v>310</v>
      </c>
      <c r="P229" t="s">
        <v>310</v>
      </c>
      <c r="Q229">
        <v>1000</v>
      </c>
      <c r="X229">
        <v>1E-4</v>
      </c>
      <c r="Y229">
        <v>9238.1299999999992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 t="s">
        <v>3</v>
      </c>
      <c r="AG229">
        <v>1E-4</v>
      </c>
      <c r="AH229">
        <v>2</v>
      </c>
      <c r="AI229">
        <v>60257489</v>
      </c>
      <c r="AJ229">
        <v>219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ROW(Source!A186)</f>
        <v>186</v>
      </c>
      <c r="B230">
        <v>60257630</v>
      </c>
      <c r="C230">
        <v>60257478</v>
      </c>
      <c r="D230">
        <v>59062697</v>
      </c>
      <c r="E230">
        <v>1</v>
      </c>
      <c r="F230">
        <v>1</v>
      </c>
      <c r="G230">
        <v>1080</v>
      </c>
      <c r="H230">
        <v>3</v>
      </c>
      <c r="I230" t="s">
        <v>431</v>
      </c>
      <c r="J230" t="s">
        <v>432</v>
      </c>
      <c r="K230" t="s">
        <v>433</v>
      </c>
      <c r="L230">
        <v>1301</v>
      </c>
      <c r="N230">
        <v>1003</v>
      </c>
      <c r="O230" t="s">
        <v>139</v>
      </c>
      <c r="P230" t="s">
        <v>139</v>
      </c>
      <c r="Q230">
        <v>1</v>
      </c>
      <c r="X230">
        <v>1</v>
      </c>
      <c r="Y230">
        <v>0.69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 t="s">
        <v>3</v>
      </c>
      <c r="AG230">
        <v>1</v>
      </c>
      <c r="AH230">
        <v>2</v>
      </c>
      <c r="AI230">
        <v>60257490</v>
      </c>
      <c r="AJ230">
        <v>220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ROW(Source!A186)</f>
        <v>186</v>
      </c>
      <c r="B231">
        <v>60257631</v>
      </c>
      <c r="C231">
        <v>60257478</v>
      </c>
      <c r="D231">
        <v>59062976</v>
      </c>
      <c r="E231">
        <v>1</v>
      </c>
      <c r="F231">
        <v>1</v>
      </c>
      <c r="G231">
        <v>1080</v>
      </c>
      <c r="H231">
        <v>3</v>
      </c>
      <c r="I231" t="s">
        <v>434</v>
      </c>
      <c r="J231" t="s">
        <v>435</v>
      </c>
      <c r="K231" t="s">
        <v>436</v>
      </c>
      <c r="L231">
        <v>1356</v>
      </c>
      <c r="N231">
        <v>1010</v>
      </c>
      <c r="O231" t="s">
        <v>74</v>
      </c>
      <c r="P231" t="s">
        <v>74</v>
      </c>
      <c r="Q231">
        <v>1000</v>
      </c>
      <c r="X231">
        <v>0.01</v>
      </c>
      <c r="Y231">
        <v>294.89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3</v>
      </c>
      <c r="AG231">
        <v>0.01</v>
      </c>
      <c r="AH231">
        <v>2</v>
      </c>
      <c r="AI231">
        <v>60257491</v>
      </c>
      <c r="AJ231">
        <v>221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ROW(Source!A186)</f>
        <v>186</v>
      </c>
      <c r="B232">
        <v>60257632</v>
      </c>
      <c r="C232">
        <v>60257478</v>
      </c>
      <c r="D232">
        <v>59062049</v>
      </c>
      <c r="E232">
        <v>1</v>
      </c>
      <c r="F232">
        <v>1</v>
      </c>
      <c r="G232">
        <v>1080</v>
      </c>
      <c r="H232">
        <v>3</v>
      </c>
      <c r="I232" t="s">
        <v>437</v>
      </c>
      <c r="J232" t="s">
        <v>438</v>
      </c>
      <c r="K232" t="s">
        <v>439</v>
      </c>
      <c r="L232">
        <v>1354</v>
      </c>
      <c r="N232">
        <v>1010</v>
      </c>
      <c r="O232" t="s">
        <v>31</v>
      </c>
      <c r="P232" t="s">
        <v>31</v>
      </c>
      <c r="Q232">
        <v>1</v>
      </c>
      <c r="X232">
        <v>1</v>
      </c>
      <c r="Y232">
        <v>15.67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3</v>
      </c>
      <c r="AG232">
        <v>1</v>
      </c>
      <c r="AH232">
        <v>2</v>
      </c>
      <c r="AI232">
        <v>60257492</v>
      </c>
      <c r="AJ232">
        <v>222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ROW(Source!A186)</f>
        <v>186</v>
      </c>
      <c r="B233">
        <v>60257633</v>
      </c>
      <c r="C233">
        <v>60257478</v>
      </c>
      <c r="D233">
        <v>58996482</v>
      </c>
      <c r="E233">
        <v>1080</v>
      </c>
      <c r="F233">
        <v>1</v>
      </c>
      <c r="G233">
        <v>1080</v>
      </c>
      <c r="H233">
        <v>3</v>
      </c>
      <c r="I233" t="s">
        <v>466</v>
      </c>
      <c r="J233" t="s">
        <v>3</v>
      </c>
      <c r="K233" t="s">
        <v>467</v>
      </c>
      <c r="L233">
        <v>1346</v>
      </c>
      <c r="N233">
        <v>1009</v>
      </c>
      <c r="O233" t="s">
        <v>314</v>
      </c>
      <c r="P233" t="s">
        <v>314</v>
      </c>
      <c r="Q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3</v>
      </c>
      <c r="AG233">
        <v>0</v>
      </c>
      <c r="AH233">
        <v>3</v>
      </c>
      <c r="AI233">
        <v>-1</v>
      </c>
      <c r="AJ233" t="s">
        <v>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ROW(Source!A186)</f>
        <v>186</v>
      </c>
      <c r="B234">
        <v>60257634</v>
      </c>
      <c r="C234">
        <v>60257478</v>
      </c>
      <c r="D234">
        <v>59037438</v>
      </c>
      <c r="E234">
        <v>1080</v>
      </c>
      <c r="F234">
        <v>1</v>
      </c>
      <c r="G234">
        <v>1080</v>
      </c>
      <c r="H234">
        <v>3</v>
      </c>
      <c r="I234" t="s">
        <v>468</v>
      </c>
      <c r="J234" t="s">
        <v>3</v>
      </c>
      <c r="K234" t="s">
        <v>469</v>
      </c>
      <c r="L234">
        <v>1391</v>
      </c>
      <c r="N234">
        <v>1013</v>
      </c>
      <c r="O234" t="s">
        <v>470</v>
      </c>
      <c r="P234" t="s">
        <v>470</v>
      </c>
      <c r="Q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 t="s">
        <v>3</v>
      </c>
      <c r="AG234">
        <v>1</v>
      </c>
      <c r="AH234">
        <v>3</v>
      </c>
      <c r="AI234">
        <v>-1</v>
      </c>
      <c r="AJ234" t="s">
        <v>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ROW(Source!A186)</f>
        <v>186</v>
      </c>
      <c r="B235">
        <v>60257635</v>
      </c>
      <c r="C235">
        <v>60257478</v>
      </c>
      <c r="D235">
        <v>59004256</v>
      </c>
      <c r="E235">
        <v>1080</v>
      </c>
      <c r="F235">
        <v>1</v>
      </c>
      <c r="G235">
        <v>1080</v>
      </c>
      <c r="H235">
        <v>3</v>
      </c>
      <c r="I235" t="s">
        <v>347</v>
      </c>
      <c r="J235" t="s">
        <v>3</v>
      </c>
      <c r="K235" t="s">
        <v>348</v>
      </c>
      <c r="L235">
        <v>1348</v>
      </c>
      <c r="N235">
        <v>1009</v>
      </c>
      <c r="O235" t="s">
        <v>310</v>
      </c>
      <c r="P235" t="s">
        <v>310</v>
      </c>
      <c r="Q235">
        <v>1000</v>
      </c>
      <c r="X235">
        <v>1E-3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3</v>
      </c>
      <c r="AG235">
        <v>1E-3</v>
      </c>
      <c r="AH235">
        <v>2</v>
      </c>
      <c r="AI235">
        <v>60257493</v>
      </c>
      <c r="AJ235">
        <v>223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ROW(Source!A187)</f>
        <v>187</v>
      </c>
      <c r="B236">
        <v>60257619</v>
      </c>
      <c r="C236">
        <v>60257478</v>
      </c>
      <c r="D236">
        <v>58999254</v>
      </c>
      <c r="E236">
        <v>1080</v>
      </c>
      <c r="F236">
        <v>1</v>
      </c>
      <c r="G236">
        <v>1080</v>
      </c>
      <c r="H236">
        <v>1</v>
      </c>
      <c r="I236" t="s">
        <v>293</v>
      </c>
      <c r="J236" t="s">
        <v>3</v>
      </c>
      <c r="K236" t="s">
        <v>294</v>
      </c>
      <c r="L236">
        <v>1191</v>
      </c>
      <c r="N236">
        <v>1013</v>
      </c>
      <c r="O236" t="s">
        <v>295</v>
      </c>
      <c r="P236" t="s">
        <v>295</v>
      </c>
      <c r="Q236">
        <v>1</v>
      </c>
      <c r="X236">
        <v>3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1</v>
      </c>
      <c r="AF236" t="s">
        <v>23</v>
      </c>
      <c r="AG236">
        <v>3.3000000000000003</v>
      </c>
      <c r="AH236">
        <v>2</v>
      </c>
      <c r="AI236">
        <v>60257479</v>
      </c>
      <c r="AJ236">
        <v>225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ROW(Source!A187)</f>
        <v>187</v>
      </c>
      <c r="B237">
        <v>60257620</v>
      </c>
      <c r="C237">
        <v>60257478</v>
      </c>
      <c r="D237">
        <v>59039563</v>
      </c>
      <c r="E237">
        <v>1</v>
      </c>
      <c r="F237">
        <v>1</v>
      </c>
      <c r="G237">
        <v>1080</v>
      </c>
      <c r="H237">
        <v>3</v>
      </c>
      <c r="I237" t="s">
        <v>400</v>
      </c>
      <c r="J237" t="s">
        <v>401</v>
      </c>
      <c r="K237" t="s">
        <v>402</v>
      </c>
      <c r="L237">
        <v>1348</v>
      </c>
      <c r="N237">
        <v>1009</v>
      </c>
      <c r="O237" t="s">
        <v>310</v>
      </c>
      <c r="P237" t="s">
        <v>310</v>
      </c>
      <c r="Q237">
        <v>1000</v>
      </c>
      <c r="X237">
        <v>1E-3</v>
      </c>
      <c r="Y237">
        <v>15319.65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3</v>
      </c>
      <c r="AG237">
        <v>1E-3</v>
      </c>
      <c r="AH237">
        <v>2</v>
      </c>
      <c r="AI237">
        <v>60257480</v>
      </c>
      <c r="AJ237">
        <v>226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ROW(Source!A187)</f>
        <v>187</v>
      </c>
      <c r="B238">
        <v>60257621</v>
      </c>
      <c r="C238">
        <v>60257478</v>
      </c>
      <c r="D238">
        <v>59038929</v>
      </c>
      <c r="E238">
        <v>1</v>
      </c>
      <c r="F238">
        <v>1</v>
      </c>
      <c r="G238">
        <v>1080</v>
      </c>
      <c r="H238">
        <v>3</v>
      </c>
      <c r="I238" t="s">
        <v>403</v>
      </c>
      <c r="J238" t="s">
        <v>404</v>
      </c>
      <c r="K238" t="s">
        <v>405</v>
      </c>
      <c r="L238">
        <v>1348</v>
      </c>
      <c r="N238">
        <v>1009</v>
      </c>
      <c r="O238" t="s">
        <v>310</v>
      </c>
      <c r="P238" t="s">
        <v>310</v>
      </c>
      <c r="Q238">
        <v>1000</v>
      </c>
      <c r="X238">
        <v>5.0000000000000002E-5</v>
      </c>
      <c r="Y238">
        <v>1219.68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3</v>
      </c>
      <c r="AG238">
        <v>5.0000000000000002E-5</v>
      </c>
      <c r="AH238">
        <v>2</v>
      </c>
      <c r="AI238">
        <v>60257481</v>
      </c>
      <c r="AJ238">
        <v>227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ROW(Source!A187)</f>
        <v>187</v>
      </c>
      <c r="B239">
        <v>60257622</v>
      </c>
      <c r="C239">
        <v>60257478</v>
      </c>
      <c r="D239">
        <v>59039997</v>
      </c>
      <c r="E239">
        <v>1</v>
      </c>
      <c r="F239">
        <v>1</v>
      </c>
      <c r="G239">
        <v>1080</v>
      </c>
      <c r="H239">
        <v>3</v>
      </c>
      <c r="I239" t="s">
        <v>406</v>
      </c>
      <c r="J239" t="s">
        <v>407</v>
      </c>
      <c r="K239" t="s">
        <v>408</v>
      </c>
      <c r="L239">
        <v>1301</v>
      </c>
      <c r="N239">
        <v>1003</v>
      </c>
      <c r="O239" t="s">
        <v>139</v>
      </c>
      <c r="P239" t="s">
        <v>139</v>
      </c>
      <c r="Q239">
        <v>1</v>
      </c>
      <c r="X239">
        <v>5</v>
      </c>
      <c r="Y239">
        <v>0.39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3</v>
      </c>
      <c r="AG239">
        <v>5</v>
      </c>
      <c r="AH239">
        <v>2</v>
      </c>
      <c r="AI239">
        <v>60257482</v>
      </c>
      <c r="AJ239">
        <v>228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ROW(Source!A187)</f>
        <v>187</v>
      </c>
      <c r="B240">
        <v>60257623</v>
      </c>
      <c r="C240">
        <v>60257478</v>
      </c>
      <c r="D240">
        <v>59038980</v>
      </c>
      <c r="E240">
        <v>1</v>
      </c>
      <c r="F240">
        <v>1</v>
      </c>
      <c r="G240">
        <v>1080</v>
      </c>
      <c r="H240">
        <v>3</v>
      </c>
      <c r="I240" t="s">
        <v>409</v>
      </c>
      <c r="J240" t="s">
        <v>410</v>
      </c>
      <c r="K240" t="s">
        <v>411</v>
      </c>
      <c r="L240">
        <v>1339</v>
      </c>
      <c r="N240">
        <v>1007</v>
      </c>
      <c r="O240" t="s">
        <v>412</v>
      </c>
      <c r="P240" t="s">
        <v>412</v>
      </c>
      <c r="Q240">
        <v>1</v>
      </c>
      <c r="X240">
        <v>1E-3</v>
      </c>
      <c r="Y240">
        <v>1176.3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 t="s">
        <v>3</v>
      </c>
      <c r="AG240">
        <v>1E-3</v>
      </c>
      <c r="AH240">
        <v>2</v>
      </c>
      <c r="AI240">
        <v>60257483</v>
      </c>
      <c r="AJ240">
        <v>229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ROW(Source!A187)</f>
        <v>187</v>
      </c>
      <c r="B241">
        <v>60257624</v>
      </c>
      <c r="C241">
        <v>60257478</v>
      </c>
      <c r="D241">
        <v>59040899</v>
      </c>
      <c r="E241">
        <v>1</v>
      </c>
      <c r="F241">
        <v>1</v>
      </c>
      <c r="G241">
        <v>1080</v>
      </c>
      <c r="H241">
        <v>3</v>
      </c>
      <c r="I241" t="s">
        <v>413</v>
      </c>
      <c r="J241" t="s">
        <v>414</v>
      </c>
      <c r="K241" t="s">
        <v>415</v>
      </c>
      <c r="L241">
        <v>1346</v>
      </c>
      <c r="N241">
        <v>1009</v>
      </c>
      <c r="O241" t="s">
        <v>314</v>
      </c>
      <c r="P241" t="s">
        <v>314</v>
      </c>
      <c r="Q241">
        <v>1</v>
      </c>
      <c r="X241">
        <v>0.01</v>
      </c>
      <c r="Y241">
        <v>15.11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 t="s">
        <v>3</v>
      </c>
      <c r="AG241">
        <v>0.01</v>
      </c>
      <c r="AH241">
        <v>2</v>
      </c>
      <c r="AI241">
        <v>60257484</v>
      </c>
      <c r="AJ241">
        <v>230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ROW(Source!A187)</f>
        <v>187</v>
      </c>
      <c r="B242">
        <v>60257625</v>
      </c>
      <c r="C242">
        <v>60257478</v>
      </c>
      <c r="D242">
        <v>59039068</v>
      </c>
      <c r="E242">
        <v>1</v>
      </c>
      <c r="F242">
        <v>1</v>
      </c>
      <c r="G242">
        <v>1080</v>
      </c>
      <c r="H242">
        <v>3</v>
      </c>
      <c r="I242" t="s">
        <v>416</v>
      </c>
      <c r="J242" t="s">
        <v>417</v>
      </c>
      <c r="K242" t="s">
        <v>418</v>
      </c>
      <c r="L242">
        <v>1346</v>
      </c>
      <c r="N242">
        <v>1009</v>
      </c>
      <c r="O242" t="s">
        <v>314</v>
      </c>
      <c r="P242" t="s">
        <v>314</v>
      </c>
      <c r="Q242">
        <v>1</v>
      </c>
      <c r="X242">
        <v>0.01</v>
      </c>
      <c r="Y242">
        <v>16.690000000000001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 t="s">
        <v>3</v>
      </c>
      <c r="AG242">
        <v>0.01</v>
      </c>
      <c r="AH242">
        <v>2</v>
      </c>
      <c r="AI242">
        <v>60257485</v>
      </c>
      <c r="AJ242">
        <v>231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ROW(Source!A187)</f>
        <v>187</v>
      </c>
      <c r="B243">
        <v>60257626</v>
      </c>
      <c r="C243">
        <v>60257478</v>
      </c>
      <c r="D243">
        <v>59041389</v>
      </c>
      <c r="E243">
        <v>1</v>
      </c>
      <c r="F243">
        <v>1</v>
      </c>
      <c r="G243">
        <v>1080</v>
      </c>
      <c r="H243">
        <v>3</v>
      </c>
      <c r="I243" t="s">
        <v>419</v>
      </c>
      <c r="J243" t="s">
        <v>420</v>
      </c>
      <c r="K243" t="s">
        <v>421</v>
      </c>
      <c r="L243">
        <v>1348</v>
      </c>
      <c r="N243">
        <v>1009</v>
      </c>
      <c r="O243" t="s">
        <v>310</v>
      </c>
      <c r="P243" t="s">
        <v>310</v>
      </c>
      <c r="Q243">
        <v>1000</v>
      </c>
      <c r="X243">
        <v>1E-4</v>
      </c>
      <c r="Y243">
        <v>10643.18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 t="s">
        <v>3</v>
      </c>
      <c r="AG243">
        <v>1E-4</v>
      </c>
      <c r="AH243">
        <v>2</v>
      </c>
      <c r="AI243">
        <v>60257486</v>
      </c>
      <c r="AJ243">
        <v>232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ROW(Source!A187)</f>
        <v>187</v>
      </c>
      <c r="B244">
        <v>60257627</v>
      </c>
      <c r="C244">
        <v>60257478</v>
      </c>
      <c r="D244">
        <v>59045670</v>
      </c>
      <c r="E244">
        <v>1</v>
      </c>
      <c r="F244">
        <v>1</v>
      </c>
      <c r="G244">
        <v>1080</v>
      </c>
      <c r="H244">
        <v>3</v>
      </c>
      <c r="I244" t="s">
        <v>422</v>
      </c>
      <c r="J244" t="s">
        <v>423</v>
      </c>
      <c r="K244" t="s">
        <v>424</v>
      </c>
      <c r="L244">
        <v>1355</v>
      </c>
      <c r="N244">
        <v>1010</v>
      </c>
      <c r="O244" t="s">
        <v>63</v>
      </c>
      <c r="P244" t="s">
        <v>63</v>
      </c>
      <c r="Q244">
        <v>100</v>
      </c>
      <c r="X244">
        <v>0.01</v>
      </c>
      <c r="Y244">
        <v>120.19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3</v>
      </c>
      <c r="AG244">
        <v>0.01</v>
      </c>
      <c r="AH244">
        <v>2</v>
      </c>
      <c r="AI244">
        <v>60257487</v>
      </c>
      <c r="AJ244">
        <v>233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ROW(Source!A187)</f>
        <v>187</v>
      </c>
      <c r="B245">
        <v>60257628</v>
      </c>
      <c r="C245">
        <v>60257478</v>
      </c>
      <c r="D245">
        <v>59039462</v>
      </c>
      <c r="E245">
        <v>1</v>
      </c>
      <c r="F245">
        <v>1</v>
      </c>
      <c r="G245">
        <v>1080</v>
      </c>
      <c r="H245">
        <v>3</v>
      </c>
      <c r="I245" t="s">
        <v>425</v>
      </c>
      <c r="J245" t="s">
        <v>426</v>
      </c>
      <c r="K245" t="s">
        <v>427</v>
      </c>
      <c r="L245">
        <v>1348</v>
      </c>
      <c r="N245">
        <v>1009</v>
      </c>
      <c r="O245" t="s">
        <v>310</v>
      </c>
      <c r="P245" t="s">
        <v>310</v>
      </c>
      <c r="Q245">
        <v>1000</v>
      </c>
      <c r="X245">
        <v>2.0000000000000002E-5</v>
      </c>
      <c r="Y245">
        <v>64123.05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 t="s">
        <v>3</v>
      </c>
      <c r="AG245">
        <v>2.0000000000000002E-5</v>
      </c>
      <c r="AH245">
        <v>2</v>
      </c>
      <c r="AI245">
        <v>60257488</v>
      </c>
      <c r="AJ245">
        <v>234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ROW(Source!A187)</f>
        <v>187</v>
      </c>
      <c r="B246">
        <v>60257629</v>
      </c>
      <c r="C246">
        <v>60257478</v>
      </c>
      <c r="D246">
        <v>59039479</v>
      </c>
      <c r="E246">
        <v>1</v>
      </c>
      <c r="F246">
        <v>1</v>
      </c>
      <c r="G246">
        <v>1080</v>
      </c>
      <c r="H246">
        <v>3</v>
      </c>
      <c r="I246" t="s">
        <v>428</v>
      </c>
      <c r="J246" t="s">
        <v>429</v>
      </c>
      <c r="K246" t="s">
        <v>430</v>
      </c>
      <c r="L246">
        <v>1348</v>
      </c>
      <c r="N246">
        <v>1009</v>
      </c>
      <c r="O246" t="s">
        <v>310</v>
      </c>
      <c r="P246" t="s">
        <v>310</v>
      </c>
      <c r="Q246">
        <v>1000</v>
      </c>
      <c r="X246">
        <v>1E-4</v>
      </c>
      <c r="Y246">
        <v>9238.1299999999992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3</v>
      </c>
      <c r="AG246">
        <v>1E-4</v>
      </c>
      <c r="AH246">
        <v>2</v>
      </c>
      <c r="AI246">
        <v>60257489</v>
      </c>
      <c r="AJ246">
        <v>235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ROW(Source!A187)</f>
        <v>187</v>
      </c>
      <c r="B247">
        <v>60257630</v>
      </c>
      <c r="C247">
        <v>60257478</v>
      </c>
      <c r="D247">
        <v>59062697</v>
      </c>
      <c r="E247">
        <v>1</v>
      </c>
      <c r="F247">
        <v>1</v>
      </c>
      <c r="G247">
        <v>1080</v>
      </c>
      <c r="H247">
        <v>3</v>
      </c>
      <c r="I247" t="s">
        <v>431</v>
      </c>
      <c r="J247" t="s">
        <v>432</v>
      </c>
      <c r="K247" t="s">
        <v>433</v>
      </c>
      <c r="L247">
        <v>1301</v>
      </c>
      <c r="N247">
        <v>1003</v>
      </c>
      <c r="O247" t="s">
        <v>139</v>
      </c>
      <c r="P247" t="s">
        <v>139</v>
      </c>
      <c r="Q247">
        <v>1</v>
      </c>
      <c r="X247">
        <v>1</v>
      </c>
      <c r="Y247">
        <v>0.69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3</v>
      </c>
      <c r="AG247">
        <v>1</v>
      </c>
      <c r="AH247">
        <v>2</v>
      </c>
      <c r="AI247">
        <v>60257490</v>
      </c>
      <c r="AJ247">
        <v>236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ROW(Source!A187)</f>
        <v>187</v>
      </c>
      <c r="B248">
        <v>60257631</v>
      </c>
      <c r="C248">
        <v>60257478</v>
      </c>
      <c r="D248">
        <v>59062976</v>
      </c>
      <c r="E248">
        <v>1</v>
      </c>
      <c r="F248">
        <v>1</v>
      </c>
      <c r="G248">
        <v>1080</v>
      </c>
      <c r="H248">
        <v>3</v>
      </c>
      <c r="I248" t="s">
        <v>434</v>
      </c>
      <c r="J248" t="s">
        <v>435</v>
      </c>
      <c r="K248" t="s">
        <v>436</v>
      </c>
      <c r="L248">
        <v>1356</v>
      </c>
      <c r="N248">
        <v>1010</v>
      </c>
      <c r="O248" t="s">
        <v>74</v>
      </c>
      <c r="P248" t="s">
        <v>74</v>
      </c>
      <c r="Q248">
        <v>1000</v>
      </c>
      <c r="X248">
        <v>0.01</v>
      </c>
      <c r="Y248">
        <v>294.89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3</v>
      </c>
      <c r="AG248">
        <v>0.01</v>
      </c>
      <c r="AH248">
        <v>2</v>
      </c>
      <c r="AI248">
        <v>60257491</v>
      </c>
      <c r="AJ248">
        <v>237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ROW(Source!A187)</f>
        <v>187</v>
      </c>
      <c r="B249">
        <v>60257632</v>
      </c>
      <c r="C249">
        <v>60257478</v>
      </c>
      <c r="D249">
        <v>59062049</v>
      </c>
      <c r="E249">
        <v>1</v>
      </c>
      <c r="F249">
        <v>1</v>
      </c>
      <c r="G249">
        <v>1080</v>
      </c>
      <c r="H249">
        <v>3</v>
      </c>
      <c r="I249" t="s">
        <v>437</v>
      </c>
      <c r="J249" t="s">
        <v>438</v>
      </c>
      <c r="K249" t="s">
        <v>439</v>
      </c>
      <c r="L249">
        <v>1354</v>
      </c>
      <c r="N249">
        <v>1010</v>
      </c>
      <c r="O249" t="s">
        <v>31</v>
      </c>
      <c r="P249" t="s">
        <v>31</v>
      </c>
      <c r="Q249">
        <v>1</v>
      </c>
      <c r="X249">
        <v>1</v>
      </c>
      <c r="Y249">
        <v>15.67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3</v>
      </c>
      <c r="AG249">
        <v>1</v>
      </c>
      <c r="AH249">
        <v>2</v>
      </c>
      <c r="AI249">
        <v>60257492</v>
      </c>
      <c r="AJ249">
        <v>238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ROW(Source!A187)</f>
        <v>187</v>
      </c>
      <c r="B250">
        <v>60257633</v>
      </c>
      <c r="C250">
        <v>60257478</v>
      </c>
      <c r="D250">
        <v>58996482</v>
      </c>
      <c r="E250">
        <v>1080</v>
      </c>
      <c r="F250">
        <v>1</v>
      </c>
      <c r="G250">
        <v>1080</v>
      </c>
      <c r="H250">
        <v>3</v>
      </c>
      <c r="I250" t="s">
        <v>466</v>
      </c>
      <c r="J250" t="s">
        <v>3</v>
      </c>
      <c r="K250" t="s">
        <v>467</v>
      </c>
      <c r="L250">
        <v>1346</v>
      </c>
      <c r="N250">
        <v>1009</v>
      </c>
      <c r="O250" t="s">
        <v>314</v>
      </c>
      <c r="P250" t="s">
        <v>314</v>
      </c>
      <c r="Q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3</v>
      </c>
      <c r="AG250">
        <v>0</v>
      </c>
      <c r="AH250">
        <v>3</v>
      </c>
      <c r="AI250">
        <v>-1</v>
      </c>
      <c r="AJ250" t="s">
        <v>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ROW(Source!A187)</f>
        <v>187</v>
      </c>
      <c r="B251">
        <v>60257634</v>
      </c>
      <c r="C251">
        <v>60257478</v>
      </c>
      <c r="D251">
        <v>59037438</v>
      </c>
      <c r="E251">
        <v>1080</v>
      </c>
      <c r="F251">
        <v>1</v>
      </c>
      <c r="G251">
        <v>1080</v>
      </c>
      <c r="H251">
        <v>3</v>
      </c>
      <c r="I251" t="s">
        <v>468</v>
      </c>
      <c r="J251" t="s">
        <v>3</v>
      </c>
      <c r="K251" t="s">
        <v>469</v>
      </c>
      <c r="L251">
        <v>1391</v>
      </c>
      <c r="N251">
        <v>1013</v>
      </c>
      <c r="O251" t="s">
        <v>470</v>
      </c>
      <c r="P251" t="s">
        <v>470</v>
      </c>
      <c r="Q251">
        <v>1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</v>
      </c>
      <c r="AG251">
        <v>1</v>
      </c>
      <c r="AH251">
        <v>3</v>
      </c>
      <c r="AI251">
        <v>-1</v>
      </c>
      <c r="AJ251" t="s">
        <v>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ROW(Source!A187)</f>
        <v>187</v>
      </c>
      <c r="B252">
        <v>60257635</v>
      </c>
      <c r="C252">
        <v>60257478</v>
      </c>
      <c r="D252">
        <v>59004256</v>
      </c>
      <c r="E252">
        <v>1080</v>
      </c>
      <c r="F252">
        <v>1</v>
      </c>
      <c r="G252">
        <v>1080</v>
      </c>
      <c r="H252">
        <v>3</v>
      </c>
      <c r="I252" t="s">
        <v>347</v>
      </c>
      <c r="J252" t="s">
        <v>3</v>
      </c>
      <c r="K252" t="s">
        <v>348</v>
      </c>
      <c r="L252">
        <v>1348</v>
      </c>
      <c r="N252">
        <v>1009</v>
      </c>
      <c r="O252" t="s">
        <v>310</v>
      </c>
      <c r="P252" t="s">
        <v>310</v>
      </c>
      <c r="Q252">
        <v>1000</v>
      </c>
      <c r="X252">
        <v>1E-3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3</v>
      </c>
      <c r="AG252">
        <v>1E-3</v>
      </c>
      <c r="AH252">
        <v>2</v>
      </c>
      <c r="AI252">
        <v>60257493</v>
      </c>
      <c r="AJ252">
        <v>239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3</v>
      </c>
      <c r="E1" t="s">
        <v>23</v>
      </c>
      <c r="F1" t="s">
        <v>23</v>
      </c>
      <c r="G1" t="s">
        <v>23</v>
      </c>
      <c r="H1" t="s">
        <v>3</v>
      </c>
      <c r="I1" t="s">
        <v>23</v>
      </c>
      <c r="J1" t="s">
        <v>23</v>
      </c>
      <c r="K1" t="s">
        <v>3</v>
      </c>
      <c r="L1" t="s">
        <v>3</v>
      </c>
      <c r="M1" t="s">
        <v>3</v>
      </c>
      <c r="N1" t="s">
        <v>3</v>
      </c>
      <c r="O1" t="s">
        <v>23</v>
      </c>
      <c r="P1" t="s">
        <v>3</v>
      </c>
      <c r="Q1" t="s">
        <v>3</v>
      </c>
      <c r="R1" t="s">
        <v>3</v>
      </c>
      <c r="S1" t="s">
        <v>471</v>
      </c>
      <c r="T1" t="s">
        <v>473</v>
      </c>
      <c r="U1" t="s">
        <v>472</v>
      </c>
    </row>
    <row r="2" spans="1:21" x14ac:dyDescent="0.2">
      <c r="A2">
        <v>29</v>
      </c>
      <c r="B2">
        <v>1</v>
      </c>
      <c r="C2" t="s">
        <v>3</v>
      </c>
      <c r="D2" t="s">
        <v>3</v>
      </c>
      <c r="E2" t="s">
        <v>23</v>
      </c>
      <c r="F2" t="s">
        <v>23</v>
      </c>
      <c r="G2" t="s">
        <v>23</v>
      </c>
      <c r="H2" t="s">
        <v>3</v>
      </c>
      <c r="I2" t="s">
        <v>23</v>
      </c>
      <c r="J2" t="s">
        <v>23</v>
      </c>
      <c r="K2" t="s">
        <v>3</v>
      </c>
      <c r="L2" t="s">
        <v>3</v>
      </c>
      <c r="M2" t="s">
        <v>3</v>
      </c>
      <c r="N2" t="s">
        <v>3</v>
      </c>
      <c r="O2" t="s">
        <v>23</v>
      </c>
      <c r="P2" t="s">
        <v>3</v>
      </c>
      <c r="Q2" t="s">
        <v>3</v>
      </c>
      <c r="R2" t="s">
        <v>3</v>
      </c>
      <c r="S2" t="s">
        <v>471</v>
      </c>
      <c r="T2" t="s">
        <v>473</v>
      </c>
      <c r="U2" t="s">
        <v>472</v>
      </c>
    </row>
    <row r="3" spans="1:21" x14ac:dyDescent="0.2">
      <c r="A3">
        <v>32</v>
      </c>
      <c r="B3">
        <v>1</v>
      </c>
      <c r="C3" t="s">
        <v>3</v>
      </c>
      <c r="D3" t="s">
        <v>3</v>
      </c>
      <c r="E3" t="s">
        <v>23</v>
      </c>
      <c r="F3" t="s">
        <v>23</v>
      </c>
      <c r="G3" t="s">
        <v>23</v>
      </c>
      <c r="H3" t="s">
        <v>3</v>
      </c>
      <c r="I3" t="s">
        <v>23</v>
      </c>
      <c r="J3" t="s">
        <v>23</v>
      </c>
      <c r="K3" t="s">
        <v>3</v>
      </c>
      <c r="L3" t="s">
        <v>3</v>
      </c>
      <c r="M3" t="s">
        <v>3</v>
      </c>
      <c r="N3" t="s">
        <v>3</v>
      </c>
      <c r="O3" t="s">
        <v>23</v>
      </c>
      <c r="P3" t="s">
        <v>3</v>
      </c>
      <c r="Q3" t="s">
        <v>3</v>
      </c>
      <c r="R3" t="s">
        <v>3</v>
      </c>
      <c r="S3" t="s">
        <v>471</v>
      </c>
      <c r="T3" t="s">
        <v>473</v>
      </c>
      <c r="U3" t="s">
        <v>472</v>
      </c>
    </row>
    <row r="4" spans="1:21" x14ac:dyDescent="0.2">
      <c r="A4">
        <v>33</v>
      </c>
      <c r="B4">
        <v>1</v>
      </c>
      <c r="C4" t="s">
        <v>3</v>
      </c>
      <c r="D4" t="s">
        <v>3</v>
      </c>
      <c r="E4" t="s">
        <v>23</v>
      </c>
      <c r="F4" t="s">
        <v>23</v>
      </c>
      <c r="G4" t="s">
        <v>23</v>
      </c>
      <c r="H4" t="s">
        <v>3</v>
      </c>
      <c r="I4" t="s">
        <v>23</v>
      </c>
      <c r="J4" t="s">
        <v>23</v>
      </c>
      <c r="K4" t="s">
        <v>3</v>
      </c>
      <c r="L4" t="s">
        <v>3</v>
      </c>
      <c r="M4" t="s">
        <v>3</v>
      </c>
      <c r="N4" t="s">
        <v>3</v>
      </c>
      <c r="O4" t="s">
        <v>23</v>
      </c>
      <c r="P4" t="s">
        <v>3</v>
      </c>
      <c r="Q4" t="s">
        <v>3</v>
      </c>
      <c r="R4" t="s">
        <v>3</v>
      </c>
      <c r="S4" t="s">
        <v>471</v>
      </c>
      <c r="T4" t="s">
        <v>473</v>
      </c>
      <c r="U4" t="s">
        <v>472</v>
      </c>
    </row>
    <row r="5" spans="1:21" x14ac:dyDescent="0.2">
      <c r="A5">
        <v>36</v>
      </c>
      <c r="B5">
        <v>1</v>
      </c>
      <c r="C5" t="s">
        <v>3</v>
      </c>
      <c r="D5" t="s">
        <v>3</v>
      </c>
      <c r="E5" t="s">
        <v>23</v>
      </c>
      <c r="F5" t="s">
        <v>23</v>
      </c>
      <c r="G5" t="s">
        <v>23</v>
      </c>
      <c r="H5" t="s">
        <v>3</v>
      </c>
      <c r="I5" t="s">
        <v>23</v>
      </c>
      <c r="J5" t="s">
        <v>23</v>
      </c>
      <c r="K5" t="s">
        <v>3</v>
      </c>
      <c r="L5" t="s">
        <v>3</v>
      </c>
      <c r="M5" t="s">
        <v>3</v>
      </c>
      <c r="N5" t="s">
        <v>3</v>
      </c>
      <c r="O5" t="s">
        <v>23</v>
      </c>
      <c r="P5" t="s">
        <v>3</v>
      </c>
      <c r="Q5" t="s">
        <v>3</v>
      </c>
      <c r="R5" t="s">
        <v>3</v>
      </c>
      <c r="S5" t="s">
        <v>471</v>
      </c>
      <c r="T5" t="s">
        <v>473</v>
      </c>
      <c r="U5" t="s">
        <v>472</v>
      </c>
    </row>
    <row r="6" spans="1:21" x14ac:dyDescent="0.2">
      <c r="A6">
        <v>37</v>
      </c>
      <c r="B6">
        <v>1</v>
      </c>
      <c r="C6" t="s">
        <v>3</v>
      </c>
      <c r="D6" t="s">
        <v>3</v>
      </c>
      <c r="E6" t="s">
        <v>23</v>
      </c>
      <c r="F6" t="s">
        <v>23</v>
      </c>
      <c r="G6" t="s">
        <v>23</v>
      </c>
      <c r="H6" t="s">
        <v>3</v>
      </c>
      <c r="I6" t="s">
        <v>23</v>
      </c>
      <c r="J6" t="s">
        <v>23</v>
      </c>
      <c r="K6" t="s">
        <v>3</v>
      </c>
      <c r="L6" t="s">
        <v>3</v>
      </c>
      <c r="M6" t="s">
        <v>3</v>
      </c>
      <c r="N6" t="s">
        <v>3</v>
      </c>
      <c r="O6" t="s">
        <v>23</v>
      </c>
      <c r="P6" t="s">
        <v>3</v>
      </c>
      <c r="Q6" t="s">
        <v>3</v>
      </c>
      <c r="R6" t="s">
        <v>3</v>
      </c>
      <c r="S6" t="s">
        <v>471</v>
      </c>
      <c r="T6" t="s">
        <v>473</v>
      </c>
      <c r="U6" t="s">
        <v>472</v>
      </c>
    </row>
    <row r="7" spans="1:21" x14ac:dyDescent="0.2">
      <c r="A7">
        <v>40</v>
      </c>
      <c r="B7">
        <v>1</v>
      </c>
      <c r="C7" t="s">
        <v>3</v>
      </c>
      <c r="D7" t="s">
        <v>3</v>
      </c>
      <c r="E7" t="s">
        <v>23</v>
      </c>
      <c r="F7" t="s">
        <v>23</v>
      </c>
      <c r="G7" t="s">
        <v>23</v>
      </c>
      <c r="H7" t="s">
        <v>3</v>
      </c>
      <c r="I7" t="s">
        <v>23</v>
      </c>
      <c r="J7" t="s">
        <v>23</v>
      </c>
      <c r="K7" t="s">
        <v>3</v>
      </c>
      <c r="L7" t="s">
        <v>3</v>
      </c>
      <c r="M7" t="s">
        <v>3</v>
      </c>
      <c r="N7" t="s">
        <v>3</v>
      </c>
      <c r="O7" t="s">
        <v>23</v>
      </c>
      <c r="P7" t="s">
        <v>3</v>
      </c>
      <c r="Q7" t="s">
        <v>3</v>
      </c>
      <c r="R7" t="s">
        <v>3</v>
      </c>
      <c r="S7" t="s">
        <v>471</v>
      </c>
      <c r="T7" t="s">
        <v>473</v>
      </c>
      <c r="U7" t="s">
        <v>472</v>
      </c>
    </row>
    <row r="8" spans="1:21" x14ac:dyDescent="0.2">
      <c r="A8">
        <v>41</v>
      </c>
      <c r="B8">
        <v>1</v>
      </c>
      <c r="C8" t="s">
        <v>3</v>
      </c>
      <c r="D8" t="s">
        <v>3</v>
      </c>
      <c r="E8" t="s">
        <v>23</v>
      </c>
      <c r="F8" t="s">
        <v>23</v>
      </c>
      <c r="G8" t="s">
        <v>23</v>
      </c>
      <c r="H8" t="s">
        <v>3</v>
      </c>
      <c r="I8" t="s">
        <v>23</v>
      </c>
      <c r="J8" t="s">
        <v>23</v>
      </c>
      <c r="K8" t="s">
        <v>3</v>
      </c>
      <c r="L8" t="s">
        <v>3</v>
      </c>
      <c r="M8" t="s">
        <v>3</v>
      </c>
      <c r="N8" t="s">
        <v>3</v>
      </c>
      <c r="O8" t="s">
        <v>23</v>
      </c>
      <c r="P8" t="s">
        <v>3</v>
      </c>
      <c r="Q8" t="s">
        <v>3</v>
      </c>
      <c r="R8" t="s">
        <v>3</v>
      </c>
      <c r="S8" t="s">
        <v>471</v>
      </c>
      <c r="T8" t="s">
        <v>473</v>
      </c>
      <c r="U8" t="s">
        <v>472</v>
      </c>
    </row>
    <row r="9" spans="1:21" x14ac:dyDescent="0.2">
      <c r="A9">
        <v>44</v>
      </c>
      <c r="B9">
        <v>1</v>
      </c>
      <c r="C9" t="s">
        <v>3</v>
      </c>
      <c r="D9" t="s">
        <v>3</v>
      </c>
      <c r="E9" t="s">
        <v>23</v>
      </c>
      <c r="F9" t="s">
        <v>23</v>
      </c>
      <c r="G9" t="s">
        <v>23</v>
      </c>
      <c r="H9" t="s">
        <v>3</v>
      </c>
      <c r="I9" t="s">
        <v>23</v>
      </c>
      <c r="J9" t="s">
        <v>23</v>
      </c>
      <c r="K9" t="s">
        <v>3</v>
      </c>
      <c r="L9" t="s">
        <v>3</v>
      </c>
      <c r="M9" t="s">
        <v>3</v>
      </c>
      <c r="N9" t="s">
        <v>3</v>
      </c>
      <c r="O9" t="s">
        <v>23</v>
      </c>
      <c r="P9" t="s">
        <v>3</v>
      </c>
      <c r="Q9" t="s">
        <v>3</v>
      </c>
      <c r="R9" t="s">
        <v>3</v>
      </c>
      <c r="S9" t="s">
        <v>471</v>
      </c>
      <c r="T9" t="s">
        <v>473</v>
      </c>
      <c r="U9" t="s">
        <v>472</v>
      </c>
    </row>
    <row r="10" spans="1:21" x14ac:dyDescent="0.2">
      <c r="A10">
        <v>45</v>
      </c>
      <c r="B10">
        <v>1</v>
      </c>
      <c r="C10" t="s">
        <v>3</v>
      </c>
      <c r="D10" t="s">
        <v>3</v>
      </c>
      <c r="E10" t="s">
        <v>23</v>
      </c>
      <c r="F10" t="s">
        <v>23</v>
      </c>
      <c r="G10" t="s">
        <v>23</v>
      </c>
      <c r="H10" t="s">
        <v>3</v>
      </c>
      <c r="I10" t="s">
        <v>23</v>
      </c>
      <c r="J10" t="s">
        <v>23</v>
      </c>
      <c r="K10" t="s">
        <v>3</v>
      </c>
      <c r="L10" t="s">
        <v>3</v>
      </c>
      <c r="M10" t="s">
        <v>3</v>
      </c>
      <c r="N10" t="s">
        <v>3</v>
      </c>
      <c r="O10" t="s">
        <v>23</v>
      </c>
      <c r="P10" t="s">
        <v>3</v>
      </c>
      <c r="Q10" t="s">
        <v>3</v>
      </c>
      <c r="R10" t="s">
        <v>3</v>
      </c>
      <c r="S10" t="s">
        <v>471</v>
      </c>
      <c r="T10" t="s">
        <v>473</v>
      </c>
      <c r="U10" t="s">
        <v>472</v>
      </c>
    </row>
    <row r="11" spans="1:21" x14ac:dyDescent="0.2">
      <c r="A11">
        <v>85</v>
      </c>
      <c r="B11">
        <v>1</v>
      </c>
      <c r="C11" t="s">
        <v>3</v>
      </c>
      <c r="D11" t="s">
        <v>3</v>
      </c>
      <c r="E11" t="s">
        <v>23</v>
      </c>
      <c r="F11" t="s">
        <v>23</v>
      </c>
      <c r="G11" t="s">
        <v>23</v>
      </c>
      <c r="H11" t="s">
        <v>3</v>
      </c>
      <c r="I11" t="s">
        <v>23</v>
      </c>
      <c r="J11" t="s">
        <v>23</v>
      </c>
      <c r="K11" t="s">
        <v>3</v>
      </c>
      <c r="L11" t="s">
        <v>3</v>
      </c>
      <c r="M11" t="s">
        <v>3</v>
      </c>
      <c r="N11" t="s">
        <v>3</v>
      </c>
      <c r="O11" t="s">
        <v>23</v>
      </c>
      <c r="P11" t="s">
        <v>3</v>
      </c>
      <c r="Q11" t="s">
        <v>3</v>
      </c>
      <c r="R11" t="s">
        <v>3</v>
      </c>
      <c r="S11" t="s">
        <v>471</v>
      </c>
      <c r="T11" t="s">
        <v>473</v>
      </c>
      <c r="U11" t="s">
        <v>472</v>
      </c>
    </row>
    <row r="12" spans="1:21" x14ac:dyDescent="0.2">
      <c r="A12">
        <v>86</v>
      </c>
      <c r="B12">
        <v>1</v>
      </c>
      <c r="C12" t="s">
        <v>3</v>
      </c>
      <c r="D12" t="s">
        <v>3</v>
      </c>
      <c r="E12" t="s">
        <v>23</v>
      </c>
      <c r="F12" t="s">
        <v>23</v>
      </c>
      <c r="G12" t="s">
        <v>23</v>
      </c>
      <c r="H12" t="s">
        <v>3</v>
      </c>
      <c r="I12" t="s">
        <v>23</v>
      </c>
      <c r="J12" t="s">
        <v>23</v>
      </c>
      <c r="K12" t="s">
        <v>3</v>
      </c>
      <c r="L12" t="s">
        <v>3</v>
      </c>
      <c r="M12" t="s">
        <v>3</v>
      </c>
      <c r="N12" t="s">
        <v>3</v>
      </c>
      <c r="O12" t="s">
        <v>23</v>
      </c>
      <c r="P12" t="s">
        <v>3</v>
      </c>
      <c r="Q12" t="s">
        <v>3</v>
      </c>
      <c r="R12" t="s">
        <v>3</v>
      </c>
      <c r="S12" t="s">
        <v>471</v>
      </c>
      <c r="T12" t="s">
        <v>473</v>
      </c>
      <c r="U12" t="s">
        <v>472</v>
      </c>
    </row>
    <row r="13" spans="1:21" x14ac:dyDescent="0.2">
      <c r="A13">
        <v>91</v>
      </c>
      <c r="B13">
        <v>1</v>
      </c>
      <c r="C13" t="s">
        <v>3</v>
      </c>
      <c r="D13" t="s">
        <v>3</v>
      </c>
      <c r="E13" t="s">
        <v>23</v>
      </c>
      <c r="F13" t="s">
        <v>23</v>
      </c>
      <c r="G13" t="s">
        <v>23</v>
      </c>
      <c r="H13" t="s">
        <v>3</v>
      </c>
      <c r="I13" t="s">
        <v>23</v>
      </c>
      <c r="J13" t="s">
        <v>23</v>
      </c>
      <c r="K13" t="s">
        <v>3</v>
      </c>
      <c r="L13" t="s">
        <v>3</v>
      </c>
      <c r="M13" t="s">
        <v>3</v>
      </c>
      <c r="N13" t="s">
        <v>3</v>
      </c>
      <c r="O13" t="s">
        <v>23</v>
      </c>
      <c r="P13" t="s">
        <v>3</v>
      </c>
      <c r="Q13" t="s">
        <v>3</v>
      </c>
      <c r="R13" t="s">
        <v>3</v>
      </c>
      <c r="S13" t="s">
        <v>471</v>
      </c>
      <c r="T13" t="s">
        <v>473</v>
      </c>
      <c r="U13" t="s">
        <v>472</v>
      </c>
    </row>
    <row r="14" spans="1:21" x14ac:dyDescent="0.2">
      <c r="A14">
        <v>92</v>
      </c>
      <c r="B14">
        <v>1</v>
      </c>
      <c r="C14" t="s">
        <v>3</v>
      </c>
      <c r="D14" t="s">
        <v>3</v>
      </c>
      <c r="E14" t="s">
        <v>23</v>
      </c>
      <c r="F14" t="s">
        <v>23</v>
      </c>
      <c r="G14" t="s">
        <v>23</v>
      </c>
      <c r="H14" t="s">
        <v>3</v>
      </c>
      <c r="I14" t="s">
        <v>23</v>
      </c>
      <c r="J14" t="s">
        <v>23</v>
      </c>
      <c r="K14" t="s">
        <v>3</v>
      </c>
      <c r="L14" t="s">
        <v>3</v>
      </c>
      <c r="M14" t="s">
        <v>3</v>
      </c>
      <c r="N14" t="s">
        <v>3</v>
      </c>
      <c r="O14" t="s">
        <v>23</v>
      </c>
      <c r="P14" t="s">
        <v>3</v>
      </c>
      <c r="Q14" t="s">
        <v>3</v>
      </c>
      <c r="R14" t="s">
        <v>3</v>
      </c>
      <c r="S14" t="s">
        <v>471</v>
      </c>
      <c r="T14" t="s">
        <v>473</v>
      </c>
      <c r="U14" t="s">
        <v>472</v>
      </c>
    </row>
    <row r="15" spans="1:21" x14ac:dyDescent="0.2">
      <c r="A15">
        <v>95</v>
      </c>
      <c r="B15">
        <v>1</v>
      </c>
      <c r="C15" t="s">
        <v>3</v>
      </c>
      <c r="D15" t="s">
        <v>3</v>
      </c>
      <c r="E15" t="s">
        <v>23</v>
      </c>
      <c r="F15" t="s">
        <v>23</v>
      </c>
      <c r="G15" t="s">
        <v>23</v>
      </c>
      <c r="H15" t="s">
        <v>3</v>
      </c>
      <c r="I15" t="s">
        <v>23</v>
      </c>
      <c r="J15" t="s">
        <v>23</v>
      </c>
      <c r="K15" t="s">
        <v>3</v>
      </c>
      <c r="L15" t="s">
        <v>3</v>
      </c>
      <c r="M15" t="s">
        <v>3</v>
      </c>
      <c r="N15" t="s">
        <v>3</v>
      </c>
      <c r="O15" t="s">
        <v>23</v>
      </c>
      <c r="P15" t="s">
        <v>3</v>
      </c>
      <c r="Q15" t="s">
        <v>3</v>
      </c>
      <c r="R15" t="s">
        <v>3</v>
      </c>
      <c r="S15" t="s">
        <v>471</v>
      </c>
      <c r="T15" t="s">
        <v>473</v>
      </c>
      <c r="U15" t="s">
        <v>472</v>
      </c>
    </row>
    <row r="16" spans="1:21" x14ac:dyDescent="0.2">
      <c r="A16">
        <v>96</v>
      </c>
      <c r="B16">
        <v>1</v>
      </c>
      <c r="C16" t="s">
        <v>3</v>
      </c>
      <c r="D16" t="s">
        <v>3</v>
      </c>
      <c r="E16" t="s">
        <v>23</v>
      </c>
      <c r="F16" t="s">
        <v>23</v>
      </c>
      <c r="G16" t="s">
        <v>23</v>
      </c>
      <c r="H16" t="s">
        <v>3</v>
      </c>
      <c r="I16" t="s">
        <v>23</v>
      </c>
      <c r="J16" t="s">
        <v>23</v>
      </c>
      <c r="K16" t="s">
        <v>3</v>
      </c>
      <c r="L16" t="s">
        <v>3</v>
      </c>
      <c r="M16" t="s">
        <v>3</v>
      </c>
      <c r="N16" t="s">
        <v>3</v>
      </c>
      <c r="O16" t="s">
        <v>23</v>
      </c>
      <c r="P16" t="s">
        <v>3</v>
      </c>
      <c r="Q16" t="s">
        <v>3</v>
      </c>
      <c r="R16" t="s">
        <v>3</v>
      </c>
      <c r="S16" t="s">
        <v>471</v>
      </c>
      <c r="T16" t="s">
        <v>473</v>
      </c>
      <c r="U16" t="s">
        <v>472</v>
      </c>
    </row>
    <row r="17" spans="1:21" x14ac:dyDescent="0.2">
      <c r="A17">
        <v>97</v>
      </c>
      <c r="B17">
        <v>1</v>
      </c>
      <c r="C17" t="s">
        <v>3</v>
      </c>
      <c r="D17" t="s">
        <v>3</v>
      </c>
      <c r="E17" t="s">
        <v>23</v>
      </c>
      <c r="F17" t="s">
        <v>23</v>
      </c>
      <c r="G17" t="s">
        <v>23</v>
      </c>
      <c r="H17" t="s">
        <v>3</v>
      </c>
      <c r="I17" t="s">
        <v>23</v>
      </c>
      <c r="J17" t="s">
        <v>23</v>
      </c>
      <c r="K17" t="s">
        <v>3</v>
      </c>
      <c r="L17" t="s">
        <v>3</v>
      </c>
      <c r="M17" t="s">
        <v>3</v>
      </c>
      <c r="N17" t="s">
        <v>3</v>
      </c>
      <c r="O17" t="s">
        <v>23</v>
      </c>
      <c r="P17" t="s">
        <v>3</v>
      </c>
      <c r="Q17" t="s">
        <v>3</v>
      </c>
      <c r="R17" t="s">
        <v>3</v>
      </c>
      <c r="S17" t="s">
        <v>471</v>
      </c>
      <c r="T17" t="s">
        <v>473</v>
      </c>
      <c r="U17" t="s">
        <v>472</v>
      </c>
    </row>
    <row r="18" spans="1:21" x14ac:dyDescent="0.2">
      <c r="A18">
        <v>98</v>
      </c>
      <c r="B18">
        <v>1</v>
      </c>
      <c r="C18" t="s">
        <v>3</v>
      </c>
      <c r="D18" t="s">
        <v>3</v>
      </c>
      <c r="E18" t="s">
        <v>23</v>
      </c>
      <c r="F18" t="s">
        <v>23</v>
      </c>
      <c r="G18" t="s">
        <v>23</v>
      </c>
      <c r="H18" t="s">
        <v>3</v>
      </c>
      <c r="I18" t="s">
        <v>23</v>
      </c>
      <c r="J18" t="s">
        <v>23</v>
      </c>
      <c r="K18" t="s">
        <v>3</v>
      </c>
      <c r="L18" t="s">
        <v>3</v>
      </c>
      <c r="M18" t="s">
        <v>3</v>
      </c>
      <c r="N18" t="s">
        <v>3</v>
      </c>
      <c r="O18" t="s">
        <v>23</v>
      </c>
      <c r="P18" t="s">
        <v>3</v>
      </c>
      <c r="Q18" t="s">
        <v>3</v>
      </c>
      <c r="R18" t="s">
        <v>3</v>
      </c>
      <c r="S18" t="s">
        <v>471</v>
      </c>
      <c r="T18" t="s">
        <v>473</v>
      </c>
      <c r="U18" t="s">
        <v>472</v>
      </c>
    </row>
    <row r="19" spans="1:21" x14ac:dyDescent="0.2">
      <c r="A19">
        <v>150</v>
      </c>
      <c r="B19">
        <v>1</v>
      </c>
      <c r="C19" t="s">
        <v>3</v>
      </c>
      <c r="D19" t="s">
        <v>3</v>
      </c>
      <c r="E19" t="s">
        <v>23</v>
      </c>
      <c r="F19" t="s">
        <v>23</v>
      </c>
      <c r="G19" t="s">
        <v>23</v>
      </c>
      <c r="H19" t="s">
        <v>3</v>
      </c>
      <c r="I19" t="s">
        <v>23</v>
      </c>
      <c r="J19" t="s">
        <v>23</v>
      </c>
      <c r="K19" t="s">
        <v>3</v>
      </c>
      <c r="L19" t="s">
        <v>3</v>
      </c>
      <c r="M19" t="s">
        <v>3</v>
      </c>
      <c r="N19" t="s">
        <v>3</v>
      </c>
      <c r="O19" t="s">
        <v>23</v>
      </c>
      <c r="P19" t="s">
        <v>3</v>
      </c>
      <c r="Q19" t="s">
        <v>3</v>
      </c>
      <c r="R19" t="s">
        <v>3</v>
      </c>
      <c r="S19" t="s">
        <v>471</v>
      </c>
      <c r="T19" t="s">
        <v>473</v>
      </c>
      <c r="U19" t="s">
        <v>472</v>
      </c>
    </row>
    <row r="20" spans="1:21" x14ac:dyDescent="0.2">
      <c r="A20">
        <v>151</v>
      </c>
      <c r="B20">
        <v>1</v>
      </c>
      <c r="C20" t="s">
        <v>3</v>
      </c>
      <c r="D20" t="s">
        <v>3</v>
      </c>
      <c r="E20" t="s">
        <v>23</v>
      </c>
      <c r="F20" t="s">
        <v>23</v>
      </c>
      <c r="G20" t="s">
        <v>23</v>
      </c>
      <c r="H20" t="s">
        <v>3</v>
      </c>
      <c r="I20" t="s">
        <v>23</v>
      </c>
      <c r="J20" t="s">
        <v>23</v>
      </c>
      <c r="K20" t="s">
        <v>3</v>
      </c>
      <c r="L20" t="s">
        <v>3</v>
      </c>
      <c r="M20" t="s">
        <v>3</v>
      </c>
      <c r="N20" t="s">
        <v>3</v>
      </c>
      <c r="O20" t="s">
        <v>23</v>
      </c>
      <c r="P20" t="s">
        <v>3</v>
      </c>
      <c r="Q20" t="s">
        <v>3</v>
      </c>
      <c r="R20" t="s">
        <v>3</v>
      </c>
      <c r="S20" t="s">
        <v>471</v>
      </c>
      <c r="T20" t="s">
        <v>473</v>
      </c>
      <c r="U20" t="s">
        <v>472</v>
      </c>
    </row>
    <row r="21" spans="1:21" x14ac:dyDescent="0.2">
      <c r="A21">
        <v>154</v>
      </c>
      <c r="B21">
        <v>1</v>
      </c>
      <c r="C21" t="s">
        <v>3</v>
      </c>
      <c r="D21" t="s">
        <v>3</v>
      </c>
      <c r="E21" t="s">
        <v>23</v>
      </c>
      <c r="F21" t="s">
        <v>23</v>
      </c>
      <c r="G21" t="s">
        <v>23</v>
      </c>
      <c r="H21" t="s">
        <v>3</v>
      </c>
      <c r="I21" t="s">
        <v>23</v>
      </c>
      <c r="J21" t="s">
        <v>23</v>
      </c>
      <c r="K21" t="s">
        <v>3</v>
      </c>
      <c r="L21" t="s">
        <v>3</v>
      </c>
      <c r="M21" t="s">
        <v>3</v>
      </c>
      <c r="N21" t="s">
        <v>3</v>
      </c>
      <c r="O21" t="s">
        <v>23</v>
      </c>
      <c r="P21" t="s">
        <v>3</v>
      </c>
      <c r="Q21" t="s">
        <v>3</v>
      </c>
      <c r="R21" t="s">
        <v>3</v>
      </c>
      <c r="S21" t="s">
        <v>471</v>
      </c>
      <c r="T21" t="s">
        <v>473</v>
      </c>
      <c r="U21" t="s">
        <v>472</v>
      </c>
    </row>
    <row r="22" spans="1:21" x14ac:dyDescent="0.2">
      <c r="A22">
        <v>155</v>
      </c>
      <c r="B22">
        <v>1</v>
      </c>
      <c r="C22" t="s">
        <v>3</v>
      </c>
      <c r="D22" t="s">
        <v>3</v>
      </c>
      <c r="E22" t="s">
        <v>23</v>
      </c>
      <c r="F22" t="s">
        <v>23</v>
      </c>
      <c r="G22" t="s">
        <v>23</v>
      </c>
      <c r="H22" t="s">
        <v>3</v>
      </c>
      <c r="I22" t="s">
        <v>23</v>
      </c>
      <c r="J22" t="s">
        <v>23</v>
      </c>
      <c r="K22" t="s">
        <v>3</v>
      </c>
      <c r="L22" t="s">
        <v>3</v>
      </c>
      <c r="M22" t="s">
        <v>3</v>
      </c>
      <c r="N22" t="s">
        <v>3</v>
      </c>
      <c r="O22" t="s">
        <v>23</v>
      </c>
      <c r="P22" t="s">
        <v>3</v>
      </c>
      <c r="Q22" t="s">
        <v>3</v>
      </c>
      <c r="R22" t="s">
        <v>3</v>
      </c>
      <c r="S22" t="s">
        <v>471</v>
      </c>
      <c r="T22" t="s">
        <v>473</v>
      </c>
      <c r="U22" t="s">
        <v>472</v>
      </c>
    </row>
    <row r="23" spans="1:21" x14ac:dyDescent="0.2">
      <c r="A23">
        <v>158</v>
      </c>
      <c r="B23">
        <v>1</v>
      </c>
      <c r="C23" t="s">
        <v>3</v>
      </c>
      <c r="D23" t="s">
        <v>3</v>
      </c>
      <c r="E23" t="s">
        <v>23</v>
      </c>
      <c r="F23" t="s">
        <v>23</v>
      </c>
      <c r="G23" t="s">
        <v>23</v>
      </c>
      <c r="H23" t="s">
        <v>3</v>
      </c>
      <c r="I23" t="s">
        <v>23</v>
      </c>
      <c r="J23" t="s">
        <v>23</v>
      </c>
      <c r="K23" t="s">
        <v>3</v>
      </c>
      <c r="L23" t="s">
        <v>3</v>
      </c>
      <c r="M23" t="s">
        <v>3</v>
      </c>
      <c r="N23" t="s">
        <v>3</v>
      </c>
      <c r="O23" t="s">
        <v>23</v>
      </c>
      <c r="P23" t="s">
        <v>3</v>
      </c>
      <c r="Q23" t="s">
        <v>3</v>
      </c>
      <c r="R23" t="s">
        <v>3</v>
      </c>
      <c r="S23" t="s">
        <v>471</v>
      </c>
      <c r="T23" t="s">
        <v>473</v>
      </c>
      <c r="U23" t="s">
        <v>472</v>
      </c>
    </row>
    <row r="24" spans="1:21" x14ac:dyDescent="0.2">
      <c r="A24">
        <v>159</v>
      </c>
      <c r="B24">
        <v>1</v>
      </c>
      <c r="C24" t="s">
        <v>3</v>
      </c>
      <c r="D24" t="s">
        <v>3</v>
      </c>
      <c r="E24" t="s">
        <v>23</v>
      </c>
      <c r="F24" t="s">
        <v>23</v>
      </c>
      <c r="G24" t="s">
        <v>23</v>
      </c>
      <c r="H24" t="s">
        <v>3</v>
      </c>
      <c r="I24" t="s">
        <v>23</v>
      </c>
      <c r="J24" t="s">
        <v>23</v>
      </c>
      <c r="K24" t="s">
        <v>3</v>
      </c>
      <c r="L24" t="s">
        <v>3</v>
      </c>
      <c r="M24" t="s">
        <v>3</v>
      </c>
      <c r="N24" t="s">
        <v>3</v>
      </c>
      <c r="O24" t="s">
        <v>23</v>
      </c>
      <c r="P24" t="s">
        <v>3</v>
      </c>
      <c r="Q24" t="s">
        <v>3</v>
      </c>
      <c r="R24" t="s">
        <v>3</v>
      </c>
      <c r="S24" t="s">
        <v>471</v>
      </c>
      <c r="T24" t="s">
        <v>473</v>
      </c>
      <c r="U24" t="s">
        <v>472</v>
      </c>
    </row>
    <row r="25" spans="1:21" x14ac:dyDescent="0.2">
      <c r="A25">
        <v>162</v>
      </c>
      <c r="B25">
        <v>1</v>
      </c>
      <c r="C25" t="s">
        <v>3</v>
      </c>
      <c r="D25" t="s">
        <v>3</v>
      </c>
      <c r="E25" t="s">
        <v>23</v>
      </c>
      <c r="F25" t="s">
        <v>23</v>
      </c>
      <c r="G25" t="s">
        <v>23</v>
      </c>
      <c r="H25" t="s">
        <v>3</v>
      </c>
      <c r="I25" t="s">
        <v>23</v>
      </c>
      <c r="J25" t="s">
        <v>23</v>
      </c>
      <c r="K25" t="s">
        <v>3</v>
      </c>
      <c r="L25" t="s">
        <v>3</v>
      </c>
      <c r="M25" t="s">
        <v>3</v>
      </c>
      <c r="N25" t="s">
        <v>3</v>
      </c>
      <c r="O25" t="s">
        <v>23</v>
      </c>
      <c r="P25" t="s">
        <v>3</v>
      </c>
      <c r="Q25" t="s">
        <v>3</v>
      </c>
      <c r="R25" t="s">
        <v>3</v>
      </c>
      <c r="S25" t="s">
        <v>471</v>
      </c>
      <c r="T25" t="s">
        <v>473</v>
      </c>
      <c r="U25" t="s">
        <v>472</v>
      </c>
    </row>
    <row r="26" spans="1:21" x14ac:dyDescent="0.2">
      <c r="A26">
        <v>163</v>
      </c>
      <c r="B26">
        <v>1</v>
      </c>
      <c r="C26" t="s">
        <v>3</v>
      </c>
      <c r="D26" t="s">
        <v>3</v>
      </c>
      <c r="E26" t="s">
        <v>23</v>
      </c>
      <c r="F26" t="s">
        <v>23</v>
      </c>
      <c r="G26" t="s">
        <v>23</v>
      </c>
      <c r="H26" t="s">
        <v>3</v>
      </c>
      <c r="I26" t="s">
        <v>23</v>
      </c>
      <c r="J26" t="s">
        <v>23</v>
      </c>
      <c r="K26" t="s">
        <v>3</v>
      </c>
      <c r="L26" t="s">
        <v>3</v>
      </c>
      <c r="M26" t="s">
        <v>3</v>
      </c>
      <c r="N26" t="s">
        <v>3</v>
      </c>
      <c r="O26" t="s">
        <v>23</v>
      </c>
      <c r="P26" t="s">
        <v>3</v>
      </c>
      <c r="Q26" t="s">
        <v>3</v>
      </c>
      <c r="R26" t="s">
        <v>3</v>
      </c>
      <c r="S26" t="s">
        <v>471</v>
      </c>
      <c r="T26" t="s">
        <v>473</v>
      </c>
      <c r="U26" t="s">
        <v>472</v>
      </c>
    </row>
    <row r="27" spans="1:21" x14ac:dyDescent="0.2">
      <c r="A27">
        <v>166</v>
      </c>
      <c r="B27">
        <v>1</v>
      </c>
      <c r="C27" t="s">
        <v>3</v>
      </c>
      <c r="D27" t="s">
        <v>3</v>
      </c>
      <c r="E27" t="s">
        <v>23</v>
      </c>
      <c r="F27" t="s">
        <v>23</v>
      </c>
      <c r="G27" t="s">
        <v>23</v>
      </c>
      <c r="H27" t="s">
        <v>3</v>
      </c>
      <c r="I27" t="s">
        <v>23</v>
      </c>
      <c r="J27" t="s">
        <v>23</v>
      </c>
      <c r="K27" t="s">
        <v>3</v>
      </c>
      <c r="L27" t="s">
        <v>3</v>
      </c>
      <c r="M27" t="s">
        <v>3</v>
      </c>
      <c r="N27" t="s">
        <v>3</v>
      </c>
      <c r="O27" t="s">
        <v>23</v>
      </c>
      <c r="P27" t="s">
        <v>3</v>
      </c>
      <c r="Q27" t="s">
        <v>3</v>
      </c>
      <c r="R27" t="s">
        <v>3</v>
      </c>
      <c r="S27" t="s">
        <v>471</v>
      </c>
      <c r="T27" t="s">
        <v>473</v>
      </c>
      <c r="U27" t="s">
        <v>472</v>
      </c>
    </row>
    <row r="28" spans="1:21" x14ac:dyDescent="0.2">
      <c r="A28">
        <v>167</v>
      </c>
      <c r="B28">
        <v>1</v>
      </c>
      <c r="C28" t="s">
        <v>3</v>
      </c>
      <c r="D28" t="s">
        <v>3</v>
      </c>
      <c r="E28" t="s">
        <v>23</v>
      </c>
      <c r="F28" t="s">
        <v>23</v>
      </c>
      <c r="G28" t="s">
        <v>23</v>
      </c>
      <c r="H28" t="s">
        <v>3</v>
      </c>
      <c r="I28" t="s">
        <v>23</v>
      </c>
      <c r="J28" t="s">
        <v>23</v>
      </c>
      <c r="K28" t="s">
        <v>3</v>
      </c>
      <c r="L28" t="s">
        <v>3</v>
      </c>
      <c r="M28" t="s">
        <v>3</v>
      </c>
      <c r="N28" t="s">
        <v>3</v>
      </c>
      <c r="O28" t="s">
        <v>23</v>
      </c>
      <c r="P28" t="s">
        <v>3</v>
      </c>
      <c r="Q28" t="s">
        <v>3</v>
      </c>
      <c r="R28" t="s">
        <v>3</v>
      </c>
      <c r="S28" t="s">
        <v>471</v>
      </c>
      <c r="T28" t="s">
        <v>473</v>
      </c>
      <c r="U28" t="s">
        <v>472</v>
      </c>
    </row>
    <row r="29" spans="1:21" x14ac:dyDescent="0.2">
      <c r="A29">
        <v>174</v>
      </c>
      <c r="B29">
        <v>1</v>
      </c>
      <c r="C29" t="s">
        <v>3</v>
      </c>
      <c r="D29" t="s">
        <v>3</v>
      </c>
      <c r="E29" t="s">
        <v>23</v>
      </c>
      <c r="F29" t="s">
        <v>23</v>
      </c>
      <c r="G29" t="s">
        <v>23</v>
      </c>
      <c r="H29" t="s">
        <v>3</v>
      </c>
      <c r="I29" t="s">
        <v>23</v>
      </c>
      <c r="J29" t="s">
        <v>23</v>
      </c>
      <c r="K29" t="s">
        <v>3</v>
      </c>
      <c r="L29" t="s">
        <v>3</v>
      </c>
      <c r="M29" t="s">
        <v>3</v>
      </c>
      <c r="N29" t="s">
        <v>3</v>
      </c>
      <c r="O29" t="s">
        <v>23</v>
      </c>
      <c r="P29" t="s">
        <v>3</v>
      </c>
      <c r="Q29" t="s">
        <v>3</v>
      </c>
      <c r="R29" t="s">
        <v>3</v>
      </c>
      <c r="S29" t="s">
        <v>471</v>
      </c>
      <c r="T29" t="s">
        <v>473</v>
      </c>
      <c r="U29" t="s">
        <v>472</v>
      </c>
    </row>
    <row r="30" spans="1:21" x14ac:dyDescent="0.2">
      <c r="A30">
        <v>175</v>
      </c>
      <c r="B30">
        <v>1</v>
      </c>
      <c r="C30" t="s">
        <v>3</v>
      </c>
      <c r="D30" t="s">
        <v>3</v>
      </c>
      <c r="E30" t="s">
        <v>23</v>
      </c>
      <c r="F30" t="s">
        <v>23</v>
      </c>
      <c r="G30" t="s">
        <v>23</v>
      </c>
      <c r="H30" t="s">
        <v>3</v>
      </c>
      <c r="I30" t="s">
        <v>23</v>
      </c>
      <c r="J30" t="s">
        <v>23</v>
      </c>
      <c r="K30" t="s">
        <v>3</v>
      </c>
      <c r="L30" t="s">
        <v>3</v>
      </c>
      <c r="M30" t="s">
        <v>3</v>
      </c>
      <c r="N30" t="s">
        <v>3</v>
      </c>
      <c r="O30" t="s">
        <v>23</v>
      </c>
      <c r="P30" t="s">
        <v>3</v>
      </c>
      <c r="Q30" t="s">
        <v>3</v>
      </c>
      <c r="R30" t="s">
        <v>3</v>
      </c>
      <c r="S30" t="s">
        <v>471</v>
      </c>
      <c r="T30" t="s">
        <v>473</v>
      </c>
      <c r="U30" t="s">
        <v>472</v>
      </c>
    </row>
    <row r="31" spans="1:21" x14ac:dyDescent="0.2">
      <c r="A31">
        <v>186</v>
      </c>
      <c r="B31">
        <v>1</v>
      </c>
      <c r="C31" t="s">
        <v>3</v>
      </c>
      <c r="D31" t="s">
        <v>3</v>
      </c>
      <c r="E31" t="s">
        <v>23</v>
      </c>
      <c r="F31" t="s">
        <v>23</v>
      </c>
      <c r="G31" t="s">
        <v>23</v>
      </c>
      <c r="H31" t="s">
        <v>3</v>
      </c>
      <c r="I31" t="s">
        <v>23</v>
      </c>
      <c r="J31" t="s">
        <v>23</v>
      </c>
      <c r="K31" t="s">
        <v>3</v>
      </c>
      <c r="L31" t="s">
        <v>3</v>
      </c>
      <c r="M31" t="s">
        <v>3</v>
      </c>
      <c r="N31" t="s">
        <v>3</v>
      </c>
      <c r="O31" t="s">
        <v>23</v>
      </c>
      <c r="P31" t="s">
        <v>3</v>
      </c>
      <c r="Q31" t="s">
        <v>3</v>
      </c>
      <c r="R31" t="s">
        <v>3</v>
      </c>
      <c r="S31" t="s">
        <v>471</v>
      </c>
      <c r="T31" t="s">
        <v>473</v>
      </c>
      <c r="U31" t="s">
        <v>472</v>
      </c>
    </row>
    <row r="32" spans="1:21" x14ac:dyDescent="0.2">
      <c r="A32">
        <v>187</v>
      </c>
      <c r="B32">
        <v>1</v>
      </c>
      <c r="C32" t="s">
        <v>3</v>
      </c>
      <c r="D32" t="s">
        <v>3</v>
      </c>
      <c r="E32" t="s">
        <v>23</v>
      </c>
      <c r="F32" t="s">
        <v>23</v>
      </c>
      <c r="G32" t="s">
        <v>23</v>
      </c>
      <c r="H32" t="s">
        <v>3</v>
      </c>
      <c r="I32" t="s">
        <v>23</v>
      </c>
      <c r="J32" t="s">
        <v>23</v>
      </c>
      <c r="K32" t="s">
        <v>3</v>
      </c>
      <c r="L32" t="s">
        <v>3</v>
      </c>
      <c r="M32" t="s">
        <v>3</v>
      </c>
      <c r="N32" t="s">
        <v>3</v>
      </c>
      <c r="O32" t="s">
        <v>23</v>
      </c>
      <c r="P32" t="s">
        <v>3</v>
      </c>
      <c r="Q32" t="s">
        <v>3</v>
      </c>
      <c r="R32" t="s">
        <v>3</v>
      </c>
      <c r="S32" t="s">
        <v>471</v>
      </c>
      <c r="T32" t="s">
        <v>473</v>
      </c>
      <c r="U32" t="s">
        <v>472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0</v>
      </c>
      <c r="P1">
        <v>0</v>
      </c>
      <c r="Q1">
        <v>3</v>
      </c>
    </row>
    <row r="12" spans="1:103" x14ac:dyDescent="0.2">
      <c r="F12" t="str">
        <f>Source!F12</f>
        <v/>
      </c>
      <c r="G12" t="str">
        <f>Source!G12</f>
        <v>02-01-10 РТС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02-01-10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'02-01-10'!Заголовки_для_печати</vt:lpstr>
      <vt:lpstr>'Ведомость объемов работ'!Заголовки_для_печати</vt:lpstr>
      <vt:lpstr>'02-01-10'!Область_печати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Соколова Ирина Николаевна</cp:lastModifiedBy>
  <cp:lastPrinted>2026-03-23T11:54:14Z</cp:lastPrinted>
  <dcterms:created xsi:type="dcterms:W3CDTF">2026-03-23T11:53:12Z</dcterms:created>
  <dcterms:modified xsi:type="dcterms:W3CDTF">2026-03-23T11:54:30Z</dcterms:modified>
</cp:coreProperties>
</file>