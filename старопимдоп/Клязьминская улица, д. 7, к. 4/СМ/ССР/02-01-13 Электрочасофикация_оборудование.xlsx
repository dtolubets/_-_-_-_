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из смету ру\"/>
    </mc:Choice>
  </mc:AlternateContent>
  <bookViews>
    <workbookView xWindow="0" yWindow="0" windowWidth="13665" windowHeight="7125"/>
  </bookViews>
  <sheets>
    <sheet name="02-01-13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'02-01-13'!$27:$27</definedName>
    <definedName name="_xlnm.Print_Titles" localSheetId="1">'Ведомость объемов работ'!$9:$9</definedName>
    <definedName name="_xlnm.Print_Area" localSheetId="0">'02-01-13'!$A$1:$K$125</definedName>
    <definedName name="_xlnm.Print_Area" localSheetId="1">'Ведомость объемов работ'!$A$1:$H$27</definedName>
  </definedNames>
  <calcPr calcId="162913" iterate="1"/>
</workbook>
</file>

<file path=xl/calcChain.xml><?xml version="1.0" encoding="utf-8"?>
<calcChain xmlns="http://schemas.openxmlformats.org/spreadsheetml/2006/main">
  <c r="D25" i="8" l="1"/>
  <c r="D23" i="8"/>
  <c r="G20" i="8"/>
  <c r="F20" i="8"/>
  <c r="E20" i="8"/>
  <c r="C20" i="8"/>
  <c r="B20" i="8"/>
  <c r="G19" i="8"/>
  <c r="F19" i="8"/>
  <c r="E19" i="8"/>
  <c r="C19" i="8"/>
  <c r="B19" i="8"/>
  <c r="G18" i="8"/>
  <c r="F18" i="8"/>
  <c r="E18" i="8"/>
  <c r="C18" i="8"/>
  <c r="B18" i="8"/>
  <c r="G17" i="8"/>
  <c r="F17" i="8"/>
  <c r="E17" i="8"/>
  <c r="C17" i="8"/>
  <c r="B17" i="8"/>
  <c r="A16" i="8"/>
  <c r="G15" i="8"/>
  <c r="F15" i="8"/>
  <c r="E15" i="8"/>
  <c r="C15" i="8"/>
  <c r="B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123" i="7"/>
  <c r="H120" i="7"/>
  <c r="C123" i="7"/>
  <c r="C120" i="7"/>
  <c r="I117" i="7"/>
  <c r="J117" i="7"/>
  <c r="I116" i="7"/>
  <c r="J116" i="7"/>
  <c r="A115" i="7"/>
  <c r="J22" i="7"/>
  <c r="J19" i="7"/>
  <c r="J18" i="7"/>
  <c r="J17" i="7"/>
  <c r="J16" i="7"/>
  <c r="J14" i="7" s="1"/>
  <c r="J15" i="7"/>
  <c r="I22" i="7"/>
  <c r="I20" i="7"/>
  <c r="I19" i="7"/>
  <c r="I18" i="7"/>
  <c r="I17" i="7"/>
  <c r="I16" i="7"/>
  <c r="I14" i="7" s="1"/>
  <c r="I15" i="7"/>
  <c r="I113" i="7"/>
  <c r="J113" i="7"/>
  <c r="I112" i="7"/>
  <c r="J112" i="7"/>
  <c r="A111" i="7"/>
  <c r="I109" i="7"/>
  <c r="J109" i="7"/>
  <c r="I108" i="7"/>
  <c r="J108" i="7"/>
  <c r="A107" i="7"/>
  <c r="P104" i="7"/>
  <c r="J104" i="7"/>
  <c r="C103" i="7"/>
  <c r="K102" i="7"/>
  <c r="J102" i="7"/>
  <c r="I102" i="7"/>
  <c r="O104" i="7" s="1"/>
  <c r="H102" i="7"/>
  <c r="G102" i="7"/>
  <c r="F102" i="7"/>
  <c r="V102" i="7"/>
  <c r="T102" i="7"/>
  <c r="R102" i="7"/>
  <c r="U102" i="7"/>
  <c r="S102" i="7"/>
  <c r="Q102" i="7"/>
  <c r="E102" i="7"/>
  <c r="D102" i="7"/>
  <c r="B102" i="7"/>
  <c r="H99" i="7"/>
  <c r="J99" i="7"/>
  <c r="I97" i="7"/>
  <c r="H97" i="7"/>
  <c r="G97" i="7"/>
  <c r="E97" i="7"/>
  <c r="J96" i="7"/>
  <c r="I96" i="7"/>
  <c r="E96" i="7"/>
  <c r="J95" i="7"/>
  <c r="E95" i="7"/>
  <c r="K94" i="7"/>
  <c r="J94" i="7"/>
  <c r="I94" i="7"/>
  <c r="H94" i="7"/>
  <c r="G94" i="7"/>
  <c r="F94" i="7"/>
  <c r="K93" i="7"/>
  <c r="J93" i="7"/>
  <c r="I93" i="7"/>
  <c r="H93" i="7"/>
  <c r="G93" i="7"/>
  <c r="F93" i="7"/>
  <c r="K92" i="7"/>
  <c r="J92" i="7"/>
  <c r="I92" i="7"/>
  <c r="H92" i="7"/>
  <c r="G92" i="7"/>
  <c r="F92" i="7"/>
  <c r="K91" i="7"/>
  <c r="P100" i="7" s="1"/>
  <c r="J91" i="7"/>
  <c r="I91" i="7"/>
  <c r="H91" i="7"/>
  <c r="G91" i="7"/>
  <c r="F91" i="7"/>
  <c r="C90" i="7"/>
  <c r="V89" i="7"/>
  <c r="T89" i="7"/>
  <c r="K96" i="7" s="1"/>
  <c r="R89" i="7"/>
  <c r="K95" i="7" s="1"/>
  <c r="U89" i="7"/>
  <c r="S89" i="7"/>
  <c r="Q89" i="7"/>
  <c r="I95" i="7" s="1"/>
  <c r="H98" i="7" s="1"/>
  <c r="E89" i="7"/>
  <c r="D89" i="7"/>
  <c r="B89" i="7"/>
  <c r="H86" i="7"/>
  <c r="J86" i="7"/>
  <c r="I84" i="7"/>
  <c r="H84" i="7"/>
  <c r="G84" i="7"/>
  <c r="E84" i="7"/>
  <c r="J83" i="7"/>
  <c r="E83" i="7"/>
  <c r="K82" i="7"/>
  <c r="J82" i="7"/>
  <c r="E82" i="7"/>
  <c r="K81" i="7"/>
  <c r="J81" i="7"/>
  <c r="I81" i="7"/>
  <c r="H81" i="7"/>
  <c r="G81" i="7"/>
  <c r="F81" i="7"/>
  <c r="K80" i="7"/>
  <c r="J80" i="7"/>
  <c r="I80" i="7"/>
  <c r="H80" i="7"/>
  <c r="G80" i="7"/>
  <c r="F80" i="7"/>
  <c r="K79" i="7"/>
  <c r="J79" i="7"/>
  <c r="I79" i="7"/>
  <c r="H79" i="7"/>
  <c r="G79" i="7"/>
  <c r="F79" i="7"/>
  <c r="K78" i="7"/>
  <c r="J78" i="7"/>
  <c r="I78" i="7"/>
  <c r="H78" i="7"/>
  <c r="G78" i="7"/>
  <c r="F78" i="7"/>
  <c r="C77" i="7"/>
  <c r="V76" i="7"/>
  <c r="T76" i="7"/>
  <c r="K83" i="7" s="1"/>
  <c r="J87" i="7" s="1"/>
  <c r="R76" i="7"/>
  <c r="U76" i="7"/>
  <c r="S76" i="7"/>
  <c r="I83" i="7" s="1"/>
  <c r="Q76" i="7"/>
  <c r="I82" i="7" s="1"/>
  <c r="E76" i="7"/>
  <c r="D76" i="7"/>
  <c r="B76" i="7"/>
  <c r="H73" i="7"/>
  <c r="J73" i="7"/>
  <c r="I71" i="7"/>
  <c r="H71" i="7"/>
  <c r="G71" i="7"/>
  <c r="E71" i="7"/>
  <c r="J70" i="7"/>
  <c r="E70" i="7"/>
  <c r="J69" i="7"/>
  <c r="E69" i="7"/>
  <c r="K68" i="7"/>
  <c r="J68" i="7"/>
  <c r="H68" i="7"/>
  <c r="I68" i="7"/>
  <c r="F68" i="7"/>
  <c r="V68" i="7"/>
  <c r="T68" i="7"/>
  <c r="R68" i="7"/>
  <c r="K69" i="7" s="1"/>
  <c r="U68" i="7"/>
  <c r="S68" i="7"/>
  <c r="Q68" i="7"/>
  <c r="I69" i="7" s="1"/>
  <c r="E68" i="7"/>
  <c r="D68" i="7"/>
  <c r="B68" i="7"/>
  <c r="K67" i="7"/>
  <c r="J67" i="7"/>
  <c r="I67" i="7"/>
  <c r="H67" i="7"/>
  <c r="G67" i="7"/>
  <c r="F67" i="7"/>
  <c r="K66" i="7"/>
  <c r="J66" i="7"/>
  <c r="I66" i="7"/>
  <c r="H66" i="7"/>
  <c r="G66" i="7"/>
  <c r="F66" i="7"/>
  <c r="K65" i="7"/>
  <c r="J65" i="7"/>
  <c r="I65" i="7"/>
  <c r="H65" i="7"/>
  <c r="G65" i="7"/>
  <c r="F65" i="7"/>
  <c r="K64" i="7"/>
  <c r="J64" i="7"/>
  <c r="I64" i="7"/>
  <c r="H64" i="7"/>
  <c r="G64" i="7"/>
  <c r="F64" i="7"/>
  <c r="C63" i="7"/>
  <c r="V62" i="7"/>
  <c r="T62" i="7"/>
  <c r="K70" i="7" s="1"/>
  <c r="R62" i="7"/>
  <c r="U62" i="7"/>
  <c r="S62" i="7"/>
  <c r="I70" i="7" s="1"/>
  <c r="Q62" i="7"/>
  <c r="E62" i="7"/>
  <c r="D62" i="7"/>
  <c r="B62" i="7"/>
  <c r="A61" i="7"/>
  <c r="I59" i="7"/>
  <c r="J59" i="7"/>
  <c r="I58" i="7"/>
  <c r="J58" i="7"/>
  <c r="A57" i="7"/>
  <c r="P54" i="7"/>
  <c r="J54" i="7"/>
  <c r="K53" i="7"/>
  <c r="J53" i="7"/>
  <c r="I53" i="7"/>
  <c r="O54" i="7" s="1"/>
  <c r="H53" i="7"/>
  <c r="G53" i="7"/>
  <c r="F53" i="7"/>
  <c r="V53" i="7"/>
  <c r="T53" i="7"/>
  <c r="R53" i="7"/>
  <c r="U53" i="7"/>
  <c r="S53" i="7"/>
  <c r="Q53" i="7"/>
  <c r="E53" i="7"/>
  <c r="D53" i="7"/>
  <c r="B53" i="7"/>
  <c r="H50" i="7"/>
  <c r="J50" i="7"/>
  <c r="I48" i="7"/>
  <c r="H48" i="7"/>
  <c r="G48" i="7"/>
  <c r="E48" i="7"/>
  <c r="K47" i="7"/>
  <c r="J47" i="7"/>
  <c r="E47" i="7"/>
  <c r="K46" i="7"/>
  <c r="J46" i="7"/>
  <c r="E46" i="7"/>
  <c r="K45" i="7"/>
  <c r="J51" i="7" s="1"/>
  <c r="J45" i="7"/>
  <c r="I45" i="7"/>
  <c r="H45" i="7"/>
  <c r="G45" i="7"/>
  <c r="F45" i="7"/>
  <c r="K44" i="7"/>
  <c r="J44" i="7"/>
  <c r="I44" i="7"/>
  <c r="H44" i="7"/>
  <c r="G44" i="7"/>
  <c r="F44" i="7"/>
  <c r="V43" i="7"/>
  <c r="T43" i="7"/>
  <c r="R43" i="7"/>
  <c r="U43" i="7"/>
  <c r="S43" i="7"/>
  <c r="I47" i="7" s="1"/>
  <c r="Q43" i="7"/>
  <c r="I46" i="7" s="1"/>
  <c r="E43" i="7"/>
  <c r="D43" i="7"/>
  <c r="B43" i="7"/>
  <c r="P41" i="7"/>
  <c r="J41" i="7"/>
  <c r="K40" i="7"/>
  <c r="J40" i="7"/>
  <c r="I40" i="7"/>
  <c r="O41" i="7" s="1"/>
  <c r="H40" i="7"/>
  <c r="G40" i="7"/>
  <c r="F40" i="7"/>
  <c r="V40" i="7"/>
  <c r="T40" i="7"/>
  <c r="R40" i="7"/>
  <c r="U40" i="7"/>
  <c r="S40" i="7"/>
  <c r="Q40" i="7"/>
  <c r="E40" i="7"/>
  <c r="D40" i="7"/>
  <c r="B40" i="7"/>
  <c r="H37" i="7"/>
  <c r="J37" i="7"/>
  <c r="I35" i="7"/>
  <c r="H35" i="7"/>
  <c r="G35" i="7"/>
  <c r="E35" i="7"/>
  <c r="K34" i="7"/>
  <c r="J34" i="7"/>
  <c r="E34" i="7"/>
  <c r="K33" i="7"/>
  <c r="J33" i="7"/>
  <c r="E33" i="7"/>
  <c r="K32" i="7"/>
  <c r="J38" i="7" s="1"/>
  <c r="J32" i="7"/>
  <c r="I32" i="7"/>
  <c r="H32" i="7"/>
  <c r="G32" i="7"/>
  <c r="F32" i="7"/>
  <c r="K31" i="7"/>
  <c r="J31" i="7"/>
  <c r="I31" i="7"/>
  <c r="H31" i="7"/>
  <c r="G31" i="7"/>
  <c r="F31" i="7"/>
  <c r="V30" i="7"/>
  <c r="T30" i="7"/>
  <c r="R30" i="7"/>
  <c r="U30" i="7"/>
  <c r="S30" i="7"/>
  <c r="I34" i="7" s="1"/>
  <c r="Q30" i="7"/>
  <c r="I33" i="7" s="1"/>
  <c r="E30" i="7"/>
  <c r="D30" i="7"/>
  <c r="B30" i="7"/>
  <c r="A29" i="7"/>
  <c r="A11" i="7"/>
  <c r="A8" i="7"/>
  <c r="A6" i="7"/>
  <c r="A1" i="7"/>
  <c r="H38" i="7" l="1"/>
  <c r="H85" i="7"/>
  <c r="H51" i="7"/>
  <c r="J72" i="7"/>
  <c r="O100" i="7"/>
  <c r="P74" i="7"/>
  <c r="O74" i="7"/>
  <c r="H72" i="7"/>
  <c r="H87" i="7"/>
  <c r="J85" i="7"/>
  <c r="J98" i="7"/>
  <c r="O38" i="7"/>
  <c r="O51" i="7"/>
  <c r="H36" i="7"/>
  <c r="H49" i="7"/>
  <c r="P87" i="7"/>
  <c r="O87" i="7"/>
  <c r="P51" i="7"/>
  <c r="J49" i="7"/>
  <c r="H41" i="7"/>
  <c r="H54" i="7"/>
  <c r="J74" i="7"/>
  <c r="H74" i="7"/>
  <c r="J100" i="7"/>
  <c r="H100" i="7"/>
  <c r="H104" i="7"/>
  <c r="P38" i="7"/>
  <c r="J36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1" i="3"/>
  <c r="Y1" i="3"/>
  <c r="CV1" i="3" s="1"/>
  <c r="CU1" i="3"/>
  <c r="CY1" i="3"/>
  <c r="CZ1" i="3"/>
  <c r="DB1" i="3" s="1"/>
  <c r="DA1" i="3"/>
  <c r="DC1" i="3"/>
  <c r="A2" i="3"/>
  <c r="Y2" i="3"/>
  <c r="CU2" i="3"/>
  <c r="CV2" i="3"/>
  <c r="CX2" i="3"/>
  <c r="DI2" i="3" s="1"/>
  <c r="DJ2" i="3" s="1"/>
  <c r="CY2" i="3"/>
  <c r="CZ2" i="3"/>
  <c r="DB2" i="3" s="1"/>
  <c r="DA2" i="3"/>
  <c r="DC2" i="3"/>
  <c r="DF2" i="3"/>
  <c r="DG2" i="3"/>
  <c r="DH2" i="3"/>
  <c r="A3" i="3"/>
  <c r="Y3" i="3"/>
  <c r="CU3" i="3"/>
  <c r="CV3" i="3"/>
  <c r="CX3" i="3"/>
  <c r="DI3" i="3" s="1"/>
  <c r="DJ3" i="3" s="1"/>
  <c r="CY3" i="3"/>
  <c r="CZ3" i="3"/>
  <c r="DA3" i="3"/>
  <c r="DB3" i="3"/>
  <c r="DC3" i="3"/>
  <c r="DH3" i="3"/>
  <c r="A4" i="3"/>
  <c r="Y4" i="3"/>
  <c r="CV4" i="3" s="1"/>
  <c r="CU4" i="3"/>
  <c r="CY4" i="3"/>
  <c r="CZ4" i="3"/>
  <c r="DA4" i="3"/>
  <c r="DB4" i="3"/>
  <c r="DC4" i="3"/>
  <c r="A5" i="3"/>
  <c r="Y5" i="3"/>
  <c r="CY5" i="3"/>
  <c r="CZ5" i="3"/>
  <c r="DB5" i="3" s="1"/>
  <c r="DA5" i="3"/>
  <c r="DC5" i="3"/>
  <c r="A6" i="3"/>
  <c r="Y6" i="3"/>
  <c r="CY6" i="3"/>
  <c r="CZ6" i="3"/>
  <c r="DA6" i="3"/>
  <c r="DB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B34" i="3" s="1"/>
  <c r="DA34" i="3"/>
  <c r="DC34" i="3"/>
  <c r="A35" i="3"/>
  <c r="Y35" i="3"/>
  <c r="CY35" i="3"/>
  <c r="CZ35" i="3"/>
  <c r="DB35" i="3" s="1"/>
  <c r="DA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A44" i="3"/>
  <c r="DB44" i="3"/>
  <c r="DC44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R28" i="1"/>
  <c r="AC28" i="1"/>
  <c r="AD28" i="1"/>
  <c r="AE28" i="1"/>
  <c r="Q28" i="1" s="1"/>
  <c r="AF28" i="1"/>
  <c r="AG28" i="1"/>
  <c r="AH28" i="1"/>
  <c r="CV28" i="1" s="1"/>
  <c r="U28" i="1" s="1"/>
  <c r="AI28" i="1"/>
  <c r="AJ28" i="1"/>
  <c r="CX28" i="1" s="1"/>
  <c r="W28" i="1" s="1"/>
  <c r="CQ28" i="1"/>
  <c r="CR28" i="1"/>
  <c r="CS28" i="1"/>
  <c r="CU28" i="1"/>
  <c r="T28" i="1" s="1"/>
  <c r="CW28" i="1"/>
  <c r="V28" i="1" s="1"/>
  <c r="GL28" i="1"/>
  <c r="GN28" i="1"/>
  <c r="GP28" i="1"/>
  <c r="GV28" i="1"/>
  <c r="GX28" i="1"/>
  <c r="HC28" i="1"/>
  <c r="C29" i="1"/>
  <c r="D29" i="1"/>
  <c r="S29" i="1"/>
  <c r="U29" i="1"/>
  <c r="W29" i="1"/>
  <c r="AC29" i="1"/>
  <c r="AE29" i="1"/>
  <c r="Q29" i="1" s="1"/>
  <c r="AF29" i="1"/>
  <c r="AG29" i="1"/>
  <c r="CU29" i="1" s="1"/>
  <c r="T29" i="1" s="1"/>
  <c r="AH29" i="1"/>
  <c r="AI29" i="1"/>
  <c r="CW29" i="1" s="1"/>
  <c r="V29" i="1" s="1"/>
  <c r="AJ29" i="1"/>
  <c r="CT29" i="1"/>
  <c r="CV29" i="1"/>
  <c r="CX29" i="1"/>
  <c r="GL29" i="1"/>
  <c r="GN29" i="1"/>
  <c r="GP29" i="1"/>
  <c r="GV29" i="1"/>
  <c r="HC29" i="1" s="1"/>
  <c r="GX29" i="1" s="1"/>
  <c r="P30" i="1"/>
  <c r="R30" i="1"/>
  <c r="AC30" i="1"/>
  <c r="AD30" i="1"/>
  <c r="AE30" i="1"/>
  <c r="Q30" i="1" s="1"/>
  <c r="AF30" i="1"/>
  <c r="AG30" i="1"/>
  <c r="AH30" i="1"/>
  <c r="CV30" i="1" s="1"/>
  <c r="U30" i="1" s="1"/>
  <c r="AI30" i="1"/>
  <c r="AJ30" i="1"/>
  <c r="CX30" i="1" s="1"/>
  <c r="W30" i="1" s="1"/>
  <c r="CQ30" i="1"/>
  <c r="CR30" i="1"/>
  <c r="CS30" i="1"/>
  <c r="CU30" i="1"/>
  <c r="T30" i="1" s="1"/>
  <c r="CW30" i="1"/>
  <c r="V30" i="1" s="1"/>
  <c r="FR30" i="1"/>
  <c r="GL30" i="1"/>
  <c r="GN30" i="1"/>
  <c r="GO30" i="1"/>
  <c r="GP30" i="1"/>
  <c r="GV30" i="1"/>
  <c r="HC30" i="1" s="1"/>
  <c r="GX30" i="1" s="1"/>
  <c r="CJ37" i="1" s="1"/>
  <c r="P31" i="1"/>
  <c r="R31" i="1"/>
  <c r="T31" i="1"/>
  <c r="AC31" i="1"/>
  <c r="AD31" i="1"/>
  <c r="AB31" i="1" s="1"/>
  <c r="AE31" i="1"/>
  <c r="Q31" i="1" s="1"/>
  <c r="AF31" i="1"/>
  <c r="AG31" i="1"/>
  <c r="AH31" i="1"/>
  <c r="CV31" i="1" s="1"/>
  <c r="U31" i="1" s="1"/>
  <c r="DZ37" i="1" s="1"/>
  <c r="AI31" i="1"/>
  <c r="AJ31" i="1"/>
  <c r="CX31" i="1" s="1"/>
  <c r="W31" i="1" s="1"/>
  <c r="CQ31" i="1"/>
  <c r="CR31" i="1"/>
  <c r="CS31" i="1"/>
  <c r="CU31" i="1"/>
  <c r="CW31" i="1"/>
  <c r="V31" i="1" s="1"/>
  <c r="FR31" i="1"/>
  <c r="GL31" i="1"/>
  <c r="GN31" i="1"/>
  <c r="GO31" i="1"/>
  <c r="GP31" i="1"/>
  <c r="GV31" i="1"/>
  <c r="HC31" i="1" s="1"/>
  <c r="GX31" i="1" s="1"/>
  <c r="C32" i="1"/>
  <c r="D32" i="1"/>
  <c r="R32" i="1"/>
  <c r="S32" i="1"/>
  <c r="CY32" i="1" s="1"/>
  <c r="W32" i="1"/>
  <c r="X32" i="1"/>
  <c r="AC32" i="1"/>
  <c r="AB32" i="1" s="1"/>
  <c r="AD32" i="1"/>
  <c r="AE32" i="1"/>
  <c r="Q32" i="1" s="1"/>
  <c r="AF32" i="1"/>
  <c r="AG32" i="1"/>
  <c r="AH32" i="1"/>
  <c r="CV32" i="1" s="1"/>
  <c r="U32" i="1" s="1"/>
  <c r="AI32" i="1"/>
  <c r="AJ32" i="1"/>
  <c r="CQ32" i="1"/>
  <c r="CR32" i="1"/>
  <c r="CS32" i="1"/>
  <c r="CT32" i="1"/>
  <c r="CU32" i="1"/>
  <c r="T32" i="1" s="1"/>
  <c r="CW32" i="1"/>
  <c r="V32" i="1" s="1"/>
  <c r="CX32" i="1"/>
  <c r="GL32" i="1"/>
  <c r="GN32" i="1"/>
  <c r="GP32" i="1"/>
  <c r="GV32" i="1"/>
  <c r="HC32" i="1" s="1"/>
  <c r="GX32" i="1" s="1"/>
  <c r="C33" i="1"/>
  <c r="D33" i="1"/>
  <c r="Q33" i="1"/>
  <c r="AB33" i="1"/>
  <c r="AC33" i="1"/>
  <c r="AE33" i="1"/>
  <c r="AD33" i="1" s="1"/>
  <c r="AF33" i="1"/>
  <c r="S33" i="1" s="1"/>
  <c r="AG33" i="1"/>
  <c r="CU33" i="1" s="1"/>
  <c r="T33" i="1" s="1"/>
  <c r="AH33" i="1"/>
  <c r="AI33" i="1"/>
  <c r="AJ33" i="1"/>
  <c r="CX33" i="1" s="1"/>
  <c r="W33" i="1" s="1"/>
  <c r="CR33" i="1"/>
  <c r="CS33" i="1"/>
  <c r="CT33" i="1"/>
  <c r="CV33" i="1"/>
  <c r="U33" i="1" s="1"/>
  <c r="CW33" i="1"/>
  <c r="V33" i="1" s="1"/>
  <c r="GL33" i="1"/>
  <c r="GN33" i="1"/>
  <c r="GP33" i="1"/>
  <c r="GV33" i="1"/>
  <c r="HC33" i="1" s="1"/>
  <c r="GX33" i="1" s="1"/>
  <c r="R34" i="1"/>
  <c r="V34" i="1"/>
  <c r="AC34" i="1"/>
  <c r="P34" i="1" s="1"/>
  <c r="AD34" i="1"/>
  <c r="AE34" i="1"/>
  <c r="Q34" i="1" s="1"/>
  <c r="AF34" i="1"/>
  <c r="S34" i="1" s="1"/>
  <c r="AG34" i="1"/>
  <c r="CU34" i="1" s="1"/>
  <c r="T34" i="1" s="1"/>
  <c r="AH34" i="1"/>
  <c r="CV34" i="1" s="1"/>
  <c r="U34" i="1" s="1"/>
  <c r="AH37" i="1" s="1"/>
  <c r="AI34" i="1"/>
  <c r="AJ34" i="1"/>
  <c r="CR34" i="1"/>
  <c r="CS34" i="1"/>
  <c r="CT34" i="1"/>
  <c r="CW34" i="1"/>
  <c r="CX34" i="1"/>
  <c r="W34" i="1" s="1"/>
  <c r="AJ37" i="1" s="1"/>
  <c r="GL34" i="1"/>
  <c r="BZ37" i="1" s="1"/>
  <c r="GN34" i="1"/>
  <c r="GO34" i="1"/>
  <c r="GP34" i="1"/>
  <c r="CD37" i="1" s="1"/>
  <c r="GV34" i="1"/>
  <c r="HC34" i="1" s="1"/>
  <c r="GX34" i="1" s="1"/>
  <c r="R35" i="1"/>
  <c r="S35" i="1"/>
  <c r="X35" i="1" s="1"/>
  <c r="AC35" i="1"/>
  <c r="P35" i="1" s="1"/>
  <c r="AD35" i="1"/>
  <c r="AE35" i="1"/>
  <c r="Q35" i="1" s="1"/>
  <c r="DV37" i="1" s="1"/>
  <c r="AF35" i="1"/>
  <c r="AG35" i="1"/>
  <c r="CU35" i="1" s="1"/>
  <c r="T35" i="1" s="1"/>
  <c r="DY37" i="1" s="1"/>
  <c r="DY26" i="1" s="1"/>
  <c r="AH35" i="1"/>
  <c r="CV35" i="1" s="1"/>
  <c r="U35" i="1" s="1"/>
  <c r="AI35" i="1"/>
  <c r="AJ35" i="1"/>
  <c r="CR35" i="1"/>
  <c r="CS35" i="1"/>
  <c r="CT35" i="1"/>
  <c r="CW35" i="1"/>
  <c r="V35" i="1" s="1"/>
  <c r="CX35" i="1"/>
  <c r="W35" i="1" s="1"/>
  <c r="GL35" i="1"/>
  <c r="GN35" i="1"/>
  <c r="GO35" i="1"/>
  <c r="GP35" i="1"/>
  <c r="GV35" i="1"/>
  <c r="HC35" i="1" s="1"/>
  <c r="GX35" i="1" s="1"/>
  <c r="B37" i="1"/>
  <c r="B26" i="1" s="1"/>
  <c r="C37" i="1"/>
  <c r="C26" i="1" s="1"/>
  <c r="D37" i="1"/>
  <c r="D26" i="1" s="1"/>
  <c r="F37" i="1"/>
  <c r="F26" i="1" s="1"/>
  <c r="G37" i="1"/>
  <c r="G26" i="1" s="1"/>
  <c r="Q37" i="1"/>
  <c r="Q26" i="1" s="1"/>
  <c r="R37" i="1"/>
  <c r="R26" i="1" s="1"/>
  <c r="AD37" i="1"/>
  <c r="AD26" i="1" s="1"/>
  <c r="AE37" i="1"/>
  <c r="AE26" i="1" s="1"/>
  <c r="BX37" i="1"/>
  <c r="BX26" i="1" s="1"/>
  <c r="CB37" i="1"/>
  <c r="CB26" i="1" s="1"/>
  <c r="CG37" i="1"/>
  <c r="CK37" i="1"/>
  <c r="CL37" i="1"/>
  <c r="CL26" i="1" s="1"/>
  <c r="CM37" i="1"/>
  <c r="CM26" i="1" s="1"/>
  <c r="DL37" i="1"/>
  <c r="DL26" i="1" s="1"/>
  <c r="EV37" i="1"/>
  <c r="EV26" i="1" s="1"/>
  <c r="FP37" i="1"/>
  <c r="FP26" i="1" s="1"/>
  <c r="FR37" i="1"/>
  <c r="FR26" i="1" s="1"/>
  <c r="FT37" i="1"/>
  <c r="FT26" i="1" s="1"/>
  <c r="FV37" i="1"/>
  <c r="FV26" i="1" s="1"/>
  <c r="GC37" i="1"/>
  <c r="GC26" i="1" s="1"/>
  <c r="GD37" i="1"/>
  <c r="GD26" i="1" s="1"/>
  <c r="GE37" i="1"/>
  <c r="GE26" i="1" s="1"/>
  <c r="F49" i="1"/>
  <c r="F51" i="1"/>
  <c r="P62" i="1"/>
  <c r="D67" i="1"/>
  <c r="E69" i="1"/>
  <c r="Z69" i="1"/>
  <c r="AA69" i="1"/>
  <c r="AM69" i="1"/>
  <c r="AN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R69" i="1"/>
  <c r="DS69" i="1"/>
  <c r="EE69" i="1"/>
  <c r="EF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C71" i="1"/>
  <c r="D71" i="1"/>
  <c r="I71" i="1"/>
  <c r="R71" i="1" s="1"/>
  <c r="K71" i="1"/>
  <c r="P71" i="1"/>
  <c r="CP71" i="1" s="1"/>
  <c r="O71" i="1" s="1"/>
  <c r="S71" i="1"/>
  <c r="Y71" i="1" s="1"/>
  <c r="X71" i="1"/>
  <c r="AC71" i="1"/>
  <c r="AB71" i="1" s="1"/>
  <c r="AD71" i="1"/>
  <c r="AE71" i="1"/>
  <c r="Q71" i="1" s="1"/>
  <c r="AF71" i="1"/>
  <c r="AG71" i="1"/>
  <c r="AH71" i="1"/>
  <c r="CV71" i="1" s="1"/>
  <c r="U71" i="1" s="1"/>
  <c r="AI71" i="1"/>
  <c r="CW71" i="1" s="1"/>
  <c r="V71" i="1" s="1"/>
  <c r="AJ71" i="1"/>
  <c r="CQ71" i="1"/>
  <c r="CR71" i="1"/>
  <c r="CT71" i="1"/>
  <c r="CU71" i="1"/>
  <c r="T71" i="1" s="1"/>
  <c r="CX71" i="1"/>
  <c r="W71" i="1" s="1"/>
  <c r="CY71" i="1"/>
  <c r="GL71" i="1"/>
  <c r="GN71" i="1"/>
  <c r="GP71" i="1"/>
  <c r="GV71" i="1"/>
  <c r="HC71" i="1" s="1"/>
  <c r="GX71" i="1" s="1"/>
  <c r="C72" i="1"/>
  <c r="D72" i="1"/>
  <c r="I72" i="1"/>
  <c r="K72" i="1"/>
  <c r="AC72" i="1"/>
  <c r="AE72" i="1"/>
  <c r="CR72" i="1" s="1"/>
  <c r="AF72" i="1"/>
  <c r="S72" i="1" s="1"/>
  <c r="Y72" i="1" s="1"/>
  <c r="AG72" i="1"/>
  <c r="AH72" i="1"/>
  <c r="AI72" i="1"/>
  <c r="CW72" i="1" s="1"/>
  <c r="V72" i="1" s="1"/>
  <c r="AJ72" i="1"/>
  <c r="CX72" i="1" s="1"/>
  <c r="W72" i="1" s="1"/>
  <c r="CQ72" i="1"/>
  <c r="CU72" i="1"/>
  <c r="T72" i="1" s="1"/>
  <c r="CV72" i="1"/>
  <c r="U72" i="1" s="1"/>
  <c r="GL72" i="1"/>
  <c r="GN72" i="1"/>
  <c r="GP72" i="1"/>
  <c r="GV72" i="1"/>
  <c r="GX72" i="1"/>
  <c r="HC72" i="1"/>
  <c r="I73" i="1"/>
  <c r="P73" i="1"/>
  <c r="Q73" i="1"/>
  <c r="T73" i="1"/>
  <c r="AC73" i="1"/>
  <c r="AE73" i="1"/>
  <c r="AF73" i="1"/>
  <c r="S73" i="1" s="1"/>
  <c r="Y73" i="1" s="1"/>
  <c r="AG73" i="1"/>
  <c r="AH73" i="1"/>
  <c r="AI73" i="1"/>
  <c r="CW73" i="1" s="1"/>
  <c r="V73" i="1" s="1"/>
  <c r="AJ73" i="1"/>
  <c r="CX73" i="1" s="1"/>
  <c r="W73" i="1" s="1"/>
  <c r="CQ73" i="1"/>
  <c r="CR73" i="1"/>
  <c r="CU73" i="1"/>
  <c r="CV73" i="1"/>
  <c r="U73" i="1" s="1"/>
  <c r="AH84" i="1" s="1"/>
  <c r="GL73" i="1"/>
  <c r="GN73" i="1"/>
  <c r="GP73" i="1"/>
  <c r="GV73" i="1"/>
  <c r="GX73" i="1"/>
  <c r="HC73" i="1"/>
  <c r="AC74" i="1"/>
  <c r="AD74" i="1"/>
  <c r="AB74" i="1" s="1"/>
  <c r="AE74" i="1"/>
  <c r="CS74" i="1" s="1"/>
  <c r="AF74" i="1"/>
  <c r="AG74" i="1"/>
  <c r="AH74" i="1"/>
  <c r="CV74" i="1" s="1"/>
  <c r="AI74" i="1"/>
  <c r="CW74" i="1" s="1"/>
  <c r="AJ74" i="1"/>
  <c r="CX74" i="1" s="1"/>
  <c r="CQ74" i="1"/>
  <c r="CR74" i="1"/>
  <c r="CU74" i="1"/>
  <c r="GL74" i="1"/>
  <c r="GN74" i="1"/>
  <c r="GP74" i="1"/>
  <c r="GV74" i="1"/>
  <c r="HC74" i="1"/>
  <c r="I75" i="1"/>
  <c r="P75" i="1"/>
  <c r="T75" i="1"/>
  <c r="AC75" i="1"/>
  <c r="AD75" i="1"/>
  <c r="AB75" i="1" s="1"/>
  <c r="AE75" i="1"/>
  <c r="Q75" i="1" s="1"/>
  <c r="AF75" i="1"/>
  <c r="S75" i="1" s="1"/>
  <c r="Y75" i="1" s="1"/>
  <c r="AG75" i="1"/>
  <c r="AH75" i="1"/>
  <c r="CV75" i="1" s="1"/>
  <c r="U75" i="1" s="1"/>
  <c r="AI75" i="1"/>
  <c r="CW75" i="1" s="1"/>
  <c r="V75" i="1" s="1"/>
  <c r="AJ75" i="1"/>
  <c r="CX75" i="1" s="1"/>
  <c r="W75" i="1" s="1"/>
  <c r="CQ75" i="1"/>
  <c r="CR75" i="1"/>
  <c r="CU75" i="1"/>
  <c r="CY75" i="1"/>
  <c r="CZ75" i="1"/>
  <c r="GL75" i="1"/>
  <c r="GN75" i="1"/>
  <c r="GP75" i="1"/>
  <c r="GV75" i="1"/>
  <c r="HC75" i="1"/>
  <c r="GX75" i="1" s="1"/>
  <c r="AC76" i="1"/>
  <c r="AD76" i="1"/>
  <c r="AB76" i="1" s="1"/>
  <c r="AE76" i="1"/>
  <c r="CS76" i="1" s="1"/>
  <c r="AF76" i="1"/>
  <c r="AG76" i="1"/>
  <c r="AH76" i="1"/>
  <c r="CV76" i="1" s="1"/>
  <c r="AI76" i="1"/>
  <c r="CW76" i="1" s="1"/>
  <c r="AJ76" i="1"/>
  <c r="CX76" i="1" s="1"/>
  <c r="CQ76" i="1"/>
  <c r="CR76" i="1"/>
  <c r="CU76" i="1"/>
  <c r="GL76" i="1"/>
  <c r="GN76" i="1"/>
  <c r="GP76" i="1"/>
  <c r="GV76" i="1"/>
  <c r="HC76" i="1"/>
  <c r="C77" i="1"/>
  <c r="D77" i="1"/>
  <c r="I77" i="1"/>
  <c r="K77" i="1"/>
  <c r="Q77" i="1"/>
  <c r="R77" i="1"/>
  <c r="AC77" i="1"/>
  <c r="P77" i="1" s="1"/>
  <c r="AE77" i="1"/>
  <c r="AD77" i="1" s="1"/>
  <c r="AF77" i="1"/>
  <c r="AB77" i="1" s="1"/>
  <c r="AG77" i="1"/>
  <c r="CU77" i="1" s="1"/>
  <c r="T77" i="1" s="1"/>
  <c r="AH77" i="1"/>
  <c r="AI77" i="1"/>
  <c r="AJ77" i="1"/>
  <c r="CX77" i="1" s="1"/>
  <c r="W77" i="1" s="1"/>
  <c r="AJ84" i="1" s="1"/>
  <c r="CR77" i="1"/>
  <c r="CS77" i="1"/>
  <c r="CV77" i="1"/>
  <c r="U77" i="1" s="1"/>
  <c r="CW77" i="1"/>
  <c r="V77" i="1" s="1"/>
  <c r="AI84" i="1" s="1"/>
  <c r="GL77" i="1"/>
  <c r="GN77" i="1"/>
  <c r="GP77" i="1"/>
  <c r="GV77" i="1"/>
  <c r="HC77" i="1"/>
  <c r="GX77" i="1" s="1"/>
  <c r="C78" i="1"/>
  <c r="D78" i="1"/>
  <c r="I78" i="1"/>
  <c r="K78" i="1"/>
  <c r="R78" i="1"/>
  <c r="AC78" i="1"/>
  <c r="AD78" i="1"/>
  <c r="AE78" i="1"/>
  <c r="Q78" i="1" s="1"/>
  <c r="AF78" i="1"/>
  <c r="AB78" i="1" s="1"/>
  <c r="AG78" i="1"/>
  <c r="CU78" i="1" s="1"/>
  <c r="T78" i="1" s="1"/>
  <c r="AH78" i="1"/>
  <c r="CV78" i="1" s="1"/>
  <c r="U78" i="1" s="1"/>
  <c r="AI78" i="1"/>
  <c r="AJ78" i="1"/>
  <c r="CX78" i="1" s="1"/>
  <c r="W78" i="1" s="1"/>
  <c r="CR78" i="1"/>
  <c r="CS78" i="1"/>
  <c r="CT78" i="1"/>
  <c r="CW78" i="1"/>
  <c r="V78" i="1" s="1"/>
  <c r="GL78" i="1"/>
  <c r="GN78" i="1"/>
  <c r="GP78" i="1"/>
  <c r="GV78" i="1"/>
  <c r="HC78" i="1" s="1"/>
  <c r="GX78" i="1" s="1"/>
  <c r="C79" i="1"/>
  <c r="D79" i="1"/>
  <c r="I79" i="1"/>
  <c r="K79" i="1"/>
  <c r="S79" i="1"/>
  <c r="T79" i="1"/>
  <c r="U79" i="1"/>
  <c r="Y79" i="1"/>
  <c r="AC79" i="1"/>
  <c r="AB79" i="1" s="1"/>
  <c r="AD79" i="1"/>
  <c r="AE79" i="1"/>
  <c r="AF79" i="1"/>
  <c r="AG79" i="1"/>
  <c r="AH79" i="1"/>
  <c r="AI79" i="1"/>
  <c r="CW79" i="1" s="1"/>
  <c r="V79" i="1" s="1"/>
  <c r="AJ79" i="1"/>
  <c r="CR79" i="1"/>
  <c r="CT79" i="1"/>
  <c r="CU79" i="1"/>
  <c r="CV79" i="1"/>
  <c r="CX79" i="1"/>
  <c r="W79" i="1" s="1"/>
  <c r="CY79" i="1"/>
  <c r="CZ79" i="1"/>
  <c r="GL79" i="1"/>
  <c r="GN79" i="1"/>
  <c r="CB84" i="1" s="1"/>
  <c r="GP79" i="1"/>
  <c r="GV79" i="1"/>
  <c r="GX79" i="1"/>
  <c r="HC79" i="1"/>
  <c r="C80" i="1"/>
  <c r="D80" i="1"/>
  <c r="I80" i="1"/>
  <c r="R80" i="1" s="1"/>
  <c r="K80" i="1"/>
  <c r="AC80" i="1"/>
  <c r="P80" i="1" s="1"/>
  <c r="CP80" i="1" s="1"/>
  <c r="O80" i="1" s="1"/>
  <c r="AE80" i="1"/>
  <c r="Q80" i="1" s="1"/>
  <c r="AF80" i="1"/>
  <c r="S80" i="1" s="1"/>
  <c r="AG80" i="1"/>
  <c r="CU80" i="1" s="1"/>
  <c r="T80" i="1" s="1"/>
  <c r="AH80" i="1"/>
  <c r="AI80" i="1"/>
  <c r="CW80" i="1" s="1"/>
  <c r="V80" i="1" s="1"/>
  <c r="AJ80" i="1"/>
  <c r="CX80" i="1" s="1"/>
  <c r="W80" i="1" s="1"/>
  <c r="CR80" i="1"/>
  <c r="CV80" i="1"/>
  <c r="U80" i="1" s="1"/>
  <c r="GL80" i="1"/>
  <c r="GN80" i="1"/>
  <c r="GP80" i="1"/>
  <c r="GV80" i="1"/>
  <c r="HC80" i="1"/>
  <c r="GX80" i="1" s="1"/>
  <c r="I81" i="1"/>
  <c r="R81" i="1" s="1"/>
  <c r="K81" i="1"/>
  <c r="P81" i="1"/>
  <c r="AC81" i="1"/>
  <c r="AB81" i="1" s="1"/>
  <c r="AD81" i="1"/>
  <c r="AE81" i="1"/>
  <c r="Q81" i="1" s="1"/>
  <c r="AF81" i="1"/>
  <c r="S81" i="1" s="1"/>
  <c r="AG81" i="1"/>
  <c r="AH81" i="1"/>
  <c r="CV81" i="1" s="1"/>
  <c r="U81" i="1" s="1"/>
  <c r="AI81" i="1"/>
  <c r="CW81" i="1" s="1"/>
  <c r="V81" i="1" s="1"/>
  <c r="AJ81" i="1"/>
  <c r="CQ81" i="1"/>
  <c r="CR81" i="1"/>
  <c r="CT81" i="1"/>
  <c r="CU81" i="1"/>
  <c r="T81" i="1" s="1"/>
  <c r="CX81" i="1"/>
  <c r="W81" i="1" s="1"/>
  <c r="GL81" i="1"/>
  <c r="GN81" i="1"/>
  <c r="GP81" i="1"/>
  <c r="GV81" i="1"/>
  <c r="GX81" i="1"/>
  <c r="HC81" i="1"/>
  <c r="I82" i="1"/>
  <c r="K82" i="1"/>
  <c r="S82" i="1"/>
  <c r="X82" i="1" s="1"/>
  <c r="AC82" i="1"/>
  <c r="P82" i="1" s="1"/>
  <c r="CP82" i="1" s="1"/>
  <c r="O82" i="1" s="1"/>
  <c r="AD82" i="1"/>
  <c r="AE82" i="1"/>
  <c r="Q82" i="1" s="1"/>
  <c r="AF82" i="1"/>
  <c r="AG82" i="1"/>
  <c r="CU82" i="1" s="1"/>
  <c r="T82" i="1" s="1"/>
  <c r="AH82" i="1"/>
  <c r="CV82" i="1" s="1"/>
  <c r="U82" i="1" s="1"/>
  <c r="AI82" i="1"/>
  <c r="AJ82" i="1"/>
  <c r="CR82" i="1"/>
  <c r="CS82" i="1"/>
  <c r="CT82" i="1"/>
  <c r="CW82" i="1"/>
  <c r="V82" i="1" s="1"/>
  <c r="CX82" i="1"/>
  <c r="W82" i="1" s="1"/>
  <c r="GL82" i="1"/>
  <c r="GN82" i="1"/>
  <c r="GP82" i="1"/>
  <c r="GV82" i="1"/>
  <c r="HC82" i="1" s="1"/>
  <c r="GX82" i="1" s="1"/>
  <c r="B84" i="1"/>
  <c r="B69" i="1" s="1"/>
  <c r="C84" i="1"/>
  <c r="C69" i="1" s="1"/>
  <c r="D84" i="1"/>
  <c r="D69" i="1" s="1"/>
  <c r="F84" i="1"/>
  <c r="F69" i="1" s="1"/>
  <c r="G84" i="1"/>
  <c r="G69" i="1" s="1"/>
  <c r="BX84" i="1"/>
  <c r="BX69" i="1" s="1"/>
  <c r="BY84" i="1"/>
  <c r="BY69" i="1" s="1"/>
  <c r="BZ84" i="1"/>
  <c r="BZ69" i="1" s="1"/>
  <c r="CD84" i="1"/>
  <c r="CD69" i="1" s="1"/>
  <c r="CK84" i="1"/>
  <c r="CK69" i="1" s="1"/>
  <c r="CL84" i="1"/>
  <c r="CL69" i="1" s="1"/>
  <c r="CM84" i="1"/>
  <c r="CM69" i="1" s="1"/>
  <c r="FP84" i="1"/>
  <c r="EG84" i="1" s="1"/>
  <c r="FQ84" i="1"/>
  <c r="FQ69" i="1" s="1"/>
  <c r="FR84" i="1"/>
  <c r="FR69" i="1" s="1"/>
  <c r="FT84" i="1"/>
  <c r="EK84" i="1" s="1"/>
  <c r="FV84" i="1"/>
  <c r="FV69" i="1" s="1"/>
  <c r="GC84" i="1"/>
  <c r="GC69" i="1" s="1"/>
  <c r="GD84" i="1"/>
  <c r="GD69" i="1" s="1"/>
  <c r="GE84" i="1"/>
  <c r="GE69" i="1" s="1"/>
  <c r="B114" i="1"/>
  <c r="B22" i="1" s="1"/>
  <c r="C114" i="1"/>
  <c r="C22" i="1" s="1"/>
  <c r="D114" i="1"/>
  <c r="D22" i="1" s="1"/>
  <c r="F114" i="1"/>
  <c r="F22" i="1" s="1"/>
  <c r="G114" i="1"/>
  <c r="G22" i="1" s="1"/>
  <c r="B144" i="1"/>
  <c r="B18" i="1" s="1"/>
  <c r="C144" i="1"/>
  <c r="C18" i="1" s="1"/>
  <c r="D144" i="1"/>
  <c r="D18" i="1" s="1"/>
  <c r="F144" i="1"/>
  <c r="F18" i="1" s="1"/>
  <c r="G144" i="1"/>
  <c r="G18" i="1" s="1"/>
  <c r="F12" i="6"/>
  <c r="G12" i="6"/>
  <c r="J111" i="7" l="1"/>
  <c r="J115" i="7"/>
  <c r="J57" i="7"/>
  <c r="H107" i="7"/>
  <c r="H115" i="7"/>
  <c r="H57" i="7"/>
  <c r="H111" i="7"/>
  <c r="J107" i="7"/>
  <c r="P88" i="1"/>
  <c r="EG69" i="1"/>
  <c r="X81" i="1"/>
  <c r="CY81" i="1"/>
  <c r="Y81" i="1"/>
  <c r="CZ81" i="1"/>
  <c r="AJ69" i="1"/>
  <c r="W84" i="1"/>
  <c r="AG84" i="1"/>
  <c r="Y80" i="1"/>
  <c r="CZ80" i="1"/>
  <c r="X80" i="1"/>
  <c r="CY80" i="1"/>
  <c r="GM80" i="1"/>
  <c r="GO80" i="1" s="1"/>
  <c r="EK69" i="1"/>
  <c r="P101" i="1"/>
  <c r="CB69" i="1"/>
  <c r="AS84" i="1"/>
  <c r="CJ84" i="1"/>
  <c r="CP81" i="1"/>
  <c r="O81" i="1" s="1"/>
  <c r="GM81" i="1" s="1"/>
  <c r="GO81" i="1" s="1"/>
  <c r="AI69" i="1"/>
  <c r="V84" i="1"/>
  <c r="AD84" i="1"/>
  <c r="AH69" i="1"/>
  <c r="U84" i="1"/>
  <c r="BC84" i="1"/>
  <c r="AU84" i="1"/>
  <c r="AQ84" i="1"/>
  <c r="GA84" i="1"/>
  <c r="EV84" i="1"/>
  <c r="CG84" i="1"/>
  <c r="BB84" i="1"/>
  <c r="AP84" i="1"/>
  <c r="AB82" i="1"/>
  <c r="R82" i="1"/>
  <c r="CQ80" i="1"/>
  <c r="AD80" i="1"/>
  <c r="AB80" i="1" s="1"/>
  <c r="Q79" i="1"/>
  <c r="CS79" i="1"/>
  <c r="X79" i="1"/>
  <c r="R79" i="1"/>
  <c r="R73" i="1"/>
  <c r="CS73" i="1"/>
  <c r="X73" i="1"/>
  <c r="CP73" i="1"/>
  <c r="O73" i="1" s="1"/>
  <c r="FT69" i="1"/>
  <c r="EU84" i="1"/>
  <c r="EM84" i="1"/>
  <c r="EI84" i="1"/>
  <c r="AO84" i="1"/>
  <c r="CZ82" i="1"/>
  <c r="Y82" i="1"/>
  <c r="GM82" i="1" s="1"/>
  <c r="GO82" i="1" s="1"/>
  <c r="CS81" i="1"/>
  <c r="CT80" i="1"/>
  <c r="CQ79" i="1"/>
  <c r="P79" i="1"/>
  <c r="P78" i="1"/>
  <c r="CQ78" i="1"/>
  <c r="S78" i="1"/>
  <c r="CX11" i="3"/>
  <c r="CX13" i="3"/>
  <c r="CX17" i="3"/>
  <c r="CU11" i="3"/>
  <c r="CV11" i="3"/>
  <c r="CW13" i="3"/>
  <c r="CX16" i="3"/>
  <c r="R75" i="1"/>
  <c r="CS75" i="1"/>
  <c r="X75" i="1"/>
  <c r="CP75" i="1"/>
  <c r="O75" i="1" s="1"/>
  <c r="CZ73" i="1"/>
  <c r="AD73" i="1"/>
  <c r="AB73" i="1" s="1"/>
  <c r="CZ72" i="1"/>
  <c r="CX9" i="3"/>
  <c r="CU8" i="3"/>
  <c r="P72" i="1"/>
  <c r="R72" i="1"/>
  <c r="I74" i="1"/>
  <c r="W74" i="1" s="1"/>
  <c r="EB84" i="1" s="1"/>
  <c r="I76" i="1"/>
  <c r="W76" i="1" s="1"/>
  <c r="FP69" i="1"/>
  <c r="FY84" i="1"/>
  <c r="ET84" i="1"/>
  <c r="EH84" i="1"/>
  <c r="CI84" i="1"/>
  <c r="BD84" i="1"/>
  <c r="CY82" i="1"/>
  <c r="CQ82" i="1"/>
  <c r="CS80" i="1"/>
  <c r="CY73" i="1"/>
  <c r="X72" i="1"/>
  <c r="CY72" i="1"/>
  <c r="GM71" i="1"/>
  <c r="DZ26" i="1"/>
  <c r="DM37" i="1"/>
  <c r="CX43" i="3"/>
  <c r="CW38" i="3"/>
  <c r="CX40" i="3"/>
  <c r="CX44" i="3"/>
  <c r="CX38" i="3"/>
  <c r="CX41" i="3"/>
  <c r="CU37" i="3"/>
  <c r="S77" i="1"/>
  <c r="CP77" i="1" s="1"/>
  <c r="O77" i="1" s="1"/>
  <c r="CT77" i="1"/>
  <c r="AD72" i="1"/>
  <c r="AB72" i="1" s="1"/>
  <c r="CS72" i="1"/>
  <c r="Q72" i="1"/>
  <c r="DV26" i="1"/>
  <c r="DI37" i="1"/>
  <c r="CV20" i="3"/>
  <c r="CW22" i="3"/>
  <c r="CX25" i="3"/>
  <c r="CX20" i="3"/>
  <c r="CX23" i="3"/>
  <c r="CX27" i="3"/>
  <c r="CU20" i="3"/>
  <c r="CX21" i="3"/>
  <c r="CX28" i="3"/>
  <c r="CQ77" i="1"/>
  <c r="CT76" i="1"/>
  <c r="CT75" i="1"/>
  <c r="CT74" i="1"/>
  <c r="CT73" i="1"/>
  <c r="CT72" i="1"/>
  <c r="CS71" i="1"/>
  <c r="P58" i="1"/>
  <c r="BZ26" i="1"/>
  <c r="AQ37" i="1"/>
  <c r="AH26" i="1"/>
  <c r="U37" i="1"/>
  <c r="GB37" i="1"/>
  <c r="CU29" i="3"/>
  <c r="CX30" i="3"/>
  <c r="CX33" i="3"/>
  <c r="CW30" i="3"/>
  <c r="CX32" i="3"/>
  <c r="CX36" i="3"/>
  <c r="CZ71" i="1"/>
  <c r="CU5" i="3"/>
  <c r="CX7" i="3"/>
  <c r="CX6" i="3"/>
  <c r="CP35" i="1"/>
  <c r="O35" i="1" s="1"/>
  <c r="GM35" i="1" s="1"/>
  <c r="FR35" i="1"/>
  <c r="FQ37" i="1" s="1"/>
  <c r="CD26" i="1"/>
  <c r="AU37" i="1"/>
  <c r="AJ26" i="1"/>
  <c r="W37" i="1"/>
  <c r="CP34" i="1"/>
  <c r="O34" i="1" s="1"/>
  <c r="FR34" i="1"/>
  <c r="BY37" i="1" s="1"/>
  <c r="EB37" i="1"/>
  <c r="X33" i="1"/>
  <c r="CY33" i="1"/>
  <c r="Y33" i="1"/>
  <c r="CZ33" i="1"/>
  <c r="AI37" i="1"/>
  <c r="CK26" i="1"/>
  <c r="BB37" i="1"/>
  <c r="Y34" i="1"/>
  <c r="CY34" i="1"/>
  <c r="X34" i="1"/>
  <c r="CZ34" i="1"/>
  <c r="AG37" i="1"/>
  <c r="CG26" i="1"/>
  <c r="AX37" i="1"/>
  <c r="EA37" i="1"/>
  <c r="CJ26" i="1"/>
  <c r="BA37" i="1"/>
  <c r="EU37" i="1"/>
  <c r="EM37" i="1"/>
  <c r="EI37" i="1"/>
  <c r="AS37" i="1"/>
  <c r="AO37" i="1"/>
  <c r="AB35" i="1"/>
  <c r="AB34" i="1"/>
  <c r="P32" i="1"/>
  <c r="CZ29" i="1"/>
  <c r="CR29" i="1"/>
  <c r="P29" i="1"/>
  <c r="CQ29" i="1"/>
  <c r="AB29" i="1"/>
  <c r="X29" i="1"/>
  <c r="FY37" i="1"/>
  <c r="ET37" i="1"/>
  <c r="BD37" i="1"/>
  <c r="CZ35" i="1"/>
  <c r="Y35" i="1"/>
  <c r="R33" i="1"/>
  <c r="S31" i="1"/>
  <c r="CP31" i="1" s="1"/>
  <c r="O31" i="1" s="1"/>
  <c r="CT31" i="1"/>
  <c r="Y29" i="1"/>
  <c r="EK37" i="1"/>
  <c r="EG37" i="1"/>
  <c r="BC37" i="1"/>
  <c r="CY35" i="1"/>
  <c r="CQ35" i="1"/>
  <c r="CQ34" i="1"/>
  <c r="P33" i="1"/>
  <c r="CP33" i="1" s="1"/>
  <c r="O33" i="1" s="1"/>
  <c r="GM33" i="1" s="1"/>
  <c r="GO33" i="1" s="1"/>
  <c r="CQ33" i="1"/>
  <c r="Y32" i="1"/>
  <c r="CZ32" i="1"/>
  <c r="S30" i="1"/>
  <c r="CP30" i="1" s="1"/>
  <c r="O30" i="1" s="1"/>
  <c r="CT30" i="1"/>
  <c r="AB30" i="1"/>
  <c r="AD29" i="1"/>
  <c r="R29" i="1"/>
  <c r="DW37" i="1" s="1"/>
  <c r="CS29" i="1"/>
  <c r="S28" i="1"/>
  <c r="CT28" i="1"/>
  <c r="AB28" i="1"/>
  <c r="CX34" i="3"/>
  <c r="CX18" i="3"/>
  <c r="CX15" i="3"/>
  <c r="CX10" i="3"/>
  <c r="CV37" i="3"/>
  <c r="CX35" i="3"/>
  <c r="CW31" i="3"/>
  <c r="CX26" i="3"/>
  <c r="CX42" i="3"/>
  <c r="CV29" i="3"/>
  <c r="CW21" i="3"/>
  <c r="CX19" i="3"/>
  <c r="CX14" i="3"/>
  <c r="CV8" i="3"/>
  <c r="CV5" i="3"/>
  <c r="CY29" i="1"/>
  <c r="CW39" i="3"/>
  <c r="CX39" i="3"/>
  <c r="CX24" i="3"/>
  <c r="CX22" i="3"/>
  <c r="CW12" i="3"/>
  <c r="CX8" i="3"/>
  <c r="CX4" i="3"/>
  <c r="DG3" i="3"/>
  <c r="CX37" i="3"/>
  <c r="CX31" i="3"/>
  <c r="CX29" i="3"/>
  <c r="CX12" i="3"/>
  <c r="CX5" i="3"/>
  <c r="DF3" i="3"/>
  <c r="CX1" i="3"/>
  <c r="EB69" i="1" l="1"/>
  <c r="DO84" i="1"/>
  <c r="DI8" i="3"/>
  <c r="DJ8" i="3" s="1"/>
  <c r="DF8" i="3"/>
  <c r="DG8" i="3"/>
  <c r="DH8" i="3"/>
  <c r="DG18" i="3"/>
  <c r="DH18" i="3"/>
  <c r="DI18" i="3"/>
  <c r="DF18" i="3"/>
  <c r="DJ18" i="3" s="1"/>
  <c r="EI26" i="1"/>
  <c r="P47" i="1"/>
  <c r="EI114" i="1"/>
  <c r="AG26" i="1"/>
  <c r="T37" i="1"/>
  <c r="ET69" i="1"/>
  <c r="P97" i="1"/>
  <c r="DH9" i="3"/>
  <c r="DI9" i="3"/>
  <c r="DF9" i="3"/>
  <c r="DJ9" i="3" s="1"/>
  <c r="DG9" i="3"/>
  <c r="V74" i="1"/>
  <c r="DH13" i="3"/>
  <c r="DI13" i="3"/>
  <c r="DF13" i="3"/>
  <c r="DG13" i="3"/>
  <c r="DJ13" i="3" s="1"/>
  <c r="AO69" i="1"/>
  <c r="F88" i="1"/>
  <c r="BB69" i="1"/>
  <c r="F97" i="1"/>
  <c r="AQ69" i="1"/>
  <c r="F94" i="1"/>
  <c r="AD69" i="1"/>
  <c r="Q84" i="1"/>
  <c r="CJ69" i="1"/>
  <c r="BA84" i="1"/>
  <c r="GX74" i="1"/>
  <c r="W69" i="1"/>
  <c r="F108" i="1"/>
  <c r="DF5" i="3"/>
  <c r="DG5" i="3"/>
  <c r="DH5" i="3"/>
  <c r="DI5" i="3"/>
  <c r="DJ5" i="3" s="1"/>
  <c r="DG37" i="3"/>
  <c r="DH37" i="3"/>
  <c r="DI37" i="3"/>
  <c r="DJ37" i="3" s="1"/>
  <c r="DF37" i="3"/>
  <c r="DG14" i="3"/>
  <c r="DH14" i="3"/>
  <c r="DI14" i="3"/>
  <c r="DF14" i="3"/>
  <c r="DJ14" i="3" s="1"/>
  <c r="DH42" i="3"/>
  <c r="DI42" i="3"/>
  <c r="DF42" i="3"/>
  <c r="DJ42" i="3" s="1"/>
  <c r="DG42" i="3"/>
  <c r="DH34" i="3"/>
  <c r="DI34" i="3"/>
  <c r="DF34" i="3"/>
  <c r="DJ34" i="3" s="1"/>
  <c r="DG34" i="3"/>
  <c r="EK26" i="1"/>
  <c r="EK114" i="1"/>
  <c r="P54" i="1"/>
  <c r="ET26" i="1"/>
  <c r="P50" i="1"/>
  <c r="ET114" i="1"/>
  <c r="EM26" i="1"/>
  <c r="P56" i="1"/>
  <c r="EM114" i="1"/>
  <c r="EA26" i="1"/>
  <c r="DN37" i="1"/>
  <c r="BB26" i="1"/>
  <c r="F50" i="1"/>
  <c r="BB114" i="1"/>
  <c r="BY26" i="1"/>
  <c r="AP37" i="1"/>
  <c r="CI37" i="1"/>
  <c r="AU26" i="1"/>
  <c r="F56" i="1"/>
  <c r="AU114" i="1"/>
  <c r="DI6" i="3"/>
  <c r="DF6" i="3"/>
  <c r="DJ6" i="3" s="1"/>
  <c r="DG6" i="3"/>
  <c r="DH6" i="3"/>
  <c r="DF36" i="3"/>
  <c r="DJ36" i="3" s="1"/>
  <c r="DG36" i="3"/>
  <c r="DH36" i="3"/>
  <c r="DI36" i="3"/>
  <c r="DH30" i="3"/>
  <c r="DI30" i="3"/>
  <c r="DF30" i="3"/>
  <c r="DG30" i="3"/>
  <c r="DJ30" i="3" s="1"/>
  <c r="DI21" i="3"/>
  <c r="DF21" i="3"/>
  <c r="DG21" i="3"/>
  <c r="DJ21" i="3" s="1"/>
  <c r="DH21" i="3"/>
  <c r="DG20" i="3"/>
  <c r="DH20" i="3"/>
  <c r="DI20" i="3"/>
  <c r="DJ20" i="3" s="1"/>
  <c r="DF20" i="3"/>
  <c r="DI26" i="1"/>
  <c r="P49" i="1"/>
  <c r="DI41" i="3"/>
  <c r="DF41" i="3"/>
  <c r="DJ41" i="3" s="1"/>
  <c r="DG41" i="3"/>
  <c r="DH41" i="3"/>
  <c r="GO71" i="1"/>
  <c r="V76" i="1"/>
  <c r="BD69" i="1"/>
  <c r="F109" i="1"/>
  <c r="FY69" i="1"/>
  <c r="EP84" i="1"/>
  <c r="GM75" i="1"/>
  <c r="GO75" i="1" s="1"/>
  <c r="S76" i="1"/>
  <c r="DH11" i="3"/>
  <c r="DI11" i="3"/>
  <c r="DJ11" i="3" s="1"/>
  <c r="DF11" i="3"/>
  <c r="DG11" i="3"/>
  <c r="CP78" i="1"/>
  <c r="O78" i="1" s="1"/>
  <c r="EI69" i="1"/>
  <c r="P94" i="1"/>
  <c r="GM73" i="1"/>
  <c r="GO73" i="1" s="1"/>
  <c r="AB84" i="1"/>
  <c r="S74" i="1"/>
  <c r="CG69" i="1"/>
  <c r="AX84" i="1"/>
  <c r="AU69" i="1"/>
  <c r="F103" i="1"/>
  <c r="U69" i="1"/>
  <c r="F106" i="1"/>
  <c r="V69" i="1"/>
  <c r="F107" i="1"/>
  <c r="U76" i="1"/>
  <c r="T76" i="1"/>
  <c r="DF31" i="3"/>
  <c r="DG31" i="3"/>
  <c r="DJ31" i="3" s="1"/>
  <c r="DH31" i="3"/>
  <c r="DI31" i="3"/>
  <c r="EG26" i="1"/>
  <c r="P41" i="1"/>
  <c r="EG114" i="1"/>
  <c r="U26" i="1"/>
  <c r="F59" i="1"/>
  <c r="U114" i="1"/>
  <c r="DI28" i="3"/>
  <c r="DF28" i="3"/>
  <c r="DJ28" i="3" s="1"/>
  <c r="DG28" i="3"/>
  <c r="DH28" i="3"/>
  <c r="DF40" i="3"/>
  <c r="DJ40" i="3" s="1"/>
  <c r="DG40" i="3"/>
  <c r="DH40" i="3"/>
  <c r="DI40" i="3"/>
  <c r="DF12" i="3"/>
  <c r="DG12" i="3"/>
  <c r="DJ12" i="3" s="1"/>
  <c r="DH12" i="3"/>
  <c r="DI12" i="3"/>
  <c r="DG22" i="3"/>
  <c r="DJ22" i="3" s="1"/>
  <c r="DH22" i="3"/>
  <c r="DI22" i="3"/>
  <c r="DF22" i="3"/>
  <c r="DF19" i="3"/>
  <c r="DJ19" i="3" s="1"/>
  <c r="DG19" i="3"/>
  <c r="DH19" i="3"/>
  <c r="DI19" i="3"/>
  <c r="DG26" i="3"/>
  <c r="DH26" i="3"/>
  <c r="DI26" i="3"/>
  <c r="DF26" i="3"/>
  <c r="DJ26" i="3" s="1"/>
  <c r="DG10" i="3"/>
  <c r="DH10" i="3"/>
  <c r="DI10" i="3"/>
  <c r="DF10" i="3"/>
  <c r="DJ10" i="3" s="1"/>
  <c r="DW26" i="1"/>
  <c r="DJ37" i="1"/>
  <c r="Y30" i="1"/>
  <c r="GM30" i="1" s="1"/>
  <c r="CZ30" i="1"/>
  <c r="CY30" i="1"/>
  <c r="X30" i="1"/>
  <c r="FY26" i="1"/>
  <c r="EP37" i="1"/>
  <c r="CP29" i="1"/>
  <c r="O29" i="1" s="1"/>
  <c r="DU37" i="1"/>
  <c r="AO26" i="1"/>
  <c r="F41" i="1"/>
  <c r="AO114" i="1"/>
  <c r="EU26" i="1"/>
  <c r="P53" i="1"/>
  <c r="EU114" i="1"/>
  <c r="AX26" i="1"/>
  <c r="F44" i="1"/>
  <c r="AX114" i="1"/>
  <c r="GM34" i="1"/>
  <c r="DH7" i="3"/>
  <c r="DI7" i="3"/>
  <c r="DF7" i="3"/>
  <c r="DJ7" i="3" s="1"/>
  <c r="DG7" i="3"/>
  <c r="DI32" i="3"/>
  <c r="DF32" i="3"/>
  <c r="DJ32" i="3" s="1"/>
  <c r="DG32" i="3"/>
  <c r="DH32" i="3"/>
  <c r="AQ26" i="1"/>
  <c r="F47" i="1"/>
  <c r="AQ114" i="1"/>
  <c r="DH25" i="3"/>
  <c r="DI25" i="3"/>
  <c r="DF25" i="3"/>
  <c r="DJ25" i="3" s="1"/>
  <c r="DG25" i="3"/>
  <c r="DI38" i="3"/>
  <c r="DF38" i="3"/>
  <c r="DG38" i="3"/>
  <c r="DJ38" i="3" s="1"/>
  <c r="DH38" i="3"/>
  <c r="DG43" i="3"/>
  <c r="DH43" i="3"/>
  <c r="DI43" i="3"/>
  <c r="DF43" i="3"/>
  <c r="DJ43" i="3" s="1"/>
  <c r="CI69" i="1"/>
  <c r="AZ84" i="1"/>
  <c r="CP72" i="1"/>
  <c r="O72" i="1" s="1"/>
  <c r="AC84" i="1"/>
  <c r="CP79" i="1"/>
  <c r="O79" i="1" s="1"/>
  <c r="GM79" i="1" s="1"/>
  <c r="GO79" i="1" s="1"/>
  <c r="EM69" i="1"/>
  <c r="P103" i="1"/>
  <c r="EV69" i="1"/>
  <c r="EV114" i="1"/>
  <c r="P109" i="1"/>
  <c r="BC69" i="1"/>
  <c r="F100" i="1"/>
  <c r="AG69" i="1"/>
  <c r="T84" i="1"/>
  <c r="DG39" i="3"/>
  <c r="DJ39" i="3" s="1"/>
  <c r="DH39" i="3"/>
  <c r="DI39" i="3"/>
  <c r="DF39" i="3"/>
  <c r="DG35" i="3"/>
  <c r="DH35" i="3"/>
  <c r="DI35" i="3"/>
  <c r="DF35" i="3"/>
  <c r="DJ35" i="3" s="1"/>
  <c r="Y28" i="1"/>
  <c r="AL37" i="1" s="1"/>
  <c r="CZ28" i="1"/>
  <c r="X28" i="1"/>
  <c r="AK37" i="1" s="1"/>
  <c r="CY28" i="1"/>
  <c r="AF37" i="1"/>
  <c r="X31" i="1"/>
  <c r="GM31" i="1" s="1"/>
  <c r="Y31" i="1"/>
  <c r="ED37" i="1" s="1"/>
  <c r="CY31" i="1"/>
  <c r="CZ31" i="1"/>
  <c r="DX37" i="1"/>
  <c r="BD26" i="1"/>
  <c r="F62" i="1"/>
  <c r="BD114" i="1"/>
  <c r="EB26" i="1"/>
  <c r="DO37" i="1"/>
  <c r="DI33" i="3"/>
  <c r="DF33" i="3"/>
  <c r="DJ33" i="3" s="1"/>
  <c r="DG33" i="3"/>
  <c r="DH33" i="3"/>
  <c r="DF23" i="3"/>
  <c r="DJ23" i="3" s="1"/>
  <c r="DG23" i="3"/>
  <c r="DH23" i="3"/>
  <c r="DI23" i="3"/>
  <c r="R74" i="1"/>
  <c r="DW84" i="1" s="1"/>
  <c r="T74" i="1"/>
  <c r="DY84" i="1" s="1"/>
  <c r="P74" i="1"/>
  <c r="Q74" i="1"/>
  <c r="AE84" i="1"/>
  <c r="DF1" i="3"/>
  <c r="DG1" i="3"/>
  <c r="DH1" i="3"/>
  <c r="DI1" i="3"/>
  <c r="DJ1" i="3" s="1"/>
  <c r="DF29" i="3"/>
  <c r="DG29" i="3"/>
  <c r="DH29" i="3"/>
  <c r="DI29" i="3"/>
  <c r="DJ29" i="3" s="1"/>
  <c r="DI4" i="3"/>
  <c r="DJ4" i="3" s="1"/>
  <c r="DF4" i="3"/>
  <c r="DG4" i="3"/>
  <c r="DH4" i="3"/>
  <c r="DI24" i="3"/>
  <c r="DF24" i="3"/>
  <c r="DJ24" i="3" s="1"/>
  <c r="DG24" i="3"/>
  <c r="DH24" i="3"/>
  <c r="DF15" i="3"/>
  <c r="DJ15" i="3" s="1"/>
  <c r="DG15" i="3"/>
  <c r="DH15" i="3"/>
  <c r="DI15" i="3"/>
  <c r="CP28" i="1"/>
  <c r="O28" i="1" s="1"/>
  <c r="BC26" i="1"/>
  <c r="F53" i="1"/>
  <c r="BC114" i="1"/>
  <c r="EC37" i="1"/>
  <c r="AC37" i="1"/>
  <c r="CP32" i="1"/>
  <c r="O32" i="1" s="1"/>
  <c r="GM32" i="1" s="1"/>
  <c r="GO32" i="1" s="1"/>
  <c r="AS26" i="1"/>
  <c r="F54" i="1"/>
  <c r="AS114" i="1"/>
  <c r="BA26" i="1"/>
  <c r="F57" i="1"/>
  <c r="BA114" i="1"/>
  <c r="AI26" i="1"/>
  <c r="V37" i="1"/>
  <c r="W26" i="1"/>
  <c r="F61" i="1"/>
  <c r="W114" i="1"/>
  <c r="FQ26" i="1"/>
  <c r="EH37" i="1"/>
  <c r="GA37" i="1"/>
  <c r="ES37" i="1"/>
  <c r="GB26" i="1"/>
  <c r="DF27" i="3"/>
  <c r="DJ27" i="3" s="1"/>
  <c r="DG27" i="3"/>
  <c r="DH27" i="3"/>
  <c r="DI27" i="3"/>
  <c r="DV84" i="1"/>
  <c r="X77" i="1"/>
  <c r="AK84" i="1" s="1"/>
  <c r="CY77" i="1"/>
  <c r="Y77" i="1"/>
  <c r="AL84" i="1" s="1"/>
  <c r="CZ77" i="1"/>
  <c r="AF84" i="1"/>
  <c r="DF44" i="3"/>
  <c r="DJ44" i="3" s="1"/>
  <c r="DG44" i="3"/>
  <c r="DH44" i="3"/>
  <c r="DI44" i="3"/>
  <c r="DM26" i="1"/>
  <c r="P59" i="1"/>
  <c r="EH69" i="1"/>
  <c r="P93" i="1"/>
  <c r="R76" i="1"/>
  <c r="P76" i="1"/>
  <c r="CP76" i="1" s="1"/>
  <c r="O76" i="1" s="1"/>
  <c r="Q76" i="1"/>
  <c r="GX76" i="1"/>
  <c r="DI16" i="3"/>
  <c r="DF16" i="3"/>
  <c r="DJ16" i="3" s="1"/>
  <c r="DG16" i="3"/>
  <c r="DH16" i="3"/>
  <c r="DH17" i="3"/>
  <c r="DI17" i="3"/>
  <c r="DF17" i="3"/>
  <c r="DJ17" i="3" s="1"/>
  <c r="DG17" i="3"/>
  <c r="X78" i="1"/>
  <c r="CY78" i="1"/>
  <c r="Y78" i="1"/>
  <c r="CZ78" i="1"/>
  <c r="EU69" i="1"/>
  <c r="P100" i="1"/>
  <c r="AP69" i="1"/>
  <c r="F93" i="1"/>
  <c r="GA69" i="1"/>
  <c r="ER84" i="1"/>
  <c r="U74" i="1"/>
  <c r="DZ84" i="1" s="1"/>
  <c r="AS69" i="1"/>
  <c r="F101" i="1"/>
  <c r="AK69" i="1" l="1"/>
  <c r="X84" i="1"/>
  <c r="DW69" i="1"/>
  <c r="DJ84" i="1"/>
  <c r="ED26" i="1"/>
  <c r="DQ37" i="1"/>
  <c r="AF69" i="1"/>
  <c r="S84" i="1"/>
  <c r="GM28" i="1"/>
  <c r="AB37" i="1"/>
  <c r="V26" i="1"/>
  <c r="F60" i="1"/>
  <c r="V114" i="1"/>
  <c r="AK26" i="1"/>
  <c r="X37" i="1"/>
  <c r="EV22" i="1"/>
  <c r="EV144" i="1"/>
  <c r="P139" i="1"/>
  <c r="AB69" i="1"/>
  <c r="O84" i="1"/>
  <c r="GM78" i="1"/>
  <c r="GO78" i="1" s="1"/>
  <c r="EP69" i="1"/>
  <c r="P91" i="1"/>
  <c r="BB22" i="1"/>
  <c r="BB144" i="1"/>
  <c r="F127" i="1"/>
  <c r="ET22" i="1"/>
  <c r="P127" i="1"/>
  <c r="ET144" i="1"/>
  <c r="EK22" i="1"/>
  <c r="EK144" i="1"/>
  <c r="P131" i="1"/>
  <c r="E16" i="2" s="1"/>
  <c r="GB84" i="1"/>
  <c r="EI22" i="1"/>
  <c r="P124" i="1"/>
  <c r="EI144" i="1"/>
  <c r="AL69" i="1"/>
  <c r="Y84" i="1"/>
  <c r="DO26" i="1"/>
  <c r="P61" i="1"/>
  <c r="DO114" i="1"/>
  <c r="GM72" i="1"/>
  <c r="DU26" i="1"/>
  <c r="FX37" i="1"/>
  <c r="FZ37" i="1"/>
  <c r="DH37" i="1"/>
  <c r="FW37" i="1"/>
  <c r="DZ69" i="1"/>
  <c r="DM84" i="1"/>
  <c r="ES26" i="1"/>
  <c r="P57" i="1"/>
  <c r="W22" i="1"/>
  <c r="W144" i="1"/>
  <c r="F138" i="1"/>
  <c r="AS22" i="1"/>
  <c r="F131" i="1"/>
  <c r="T16" i="2" s="1"/>
  <c r="AS144" i="1"/>
  <c r="AC26" i="1"/>
  <c r="CH37" i="1"/>
  <c r="P37" i="1"/>
  <c r="CE37" i="1"/>
  <c r="CF37" i="1"/>
  <c r="CP74" i="1"/>
  <c r="O74" i="1" s="1"/>
  <c r="DT84" i="1" s="1"/>
  <c r="DX26" i="1"/>
  <c r="DK37" i="1"/>
  <c r="AZ69" i="1"/>
  <c r="F95" i="1"/>
  <c r="AO22" i="1"/>
  <c r="F118" i="1"/>
  <c r="AO144" i="1"/>
  <c r="GM29" i="1"/>
  <c r="DT37" i="1"/>
  <c r="DJ26" i="1"/>
  <c r="P51" i="1"/>
  <c r="DJ114" i="1"/>
  <c r="AX69" i="1"/>
  <c r="F91" i="1"/>
  <c r="CZ76" i="1"/>
  <c r="X76" i="1"/>
  <c r="Y76" i="1"/>
  <c r="GM76" i="1" s="1"/>
  <c r="GO76" i="1" s="1"/>
  <c r="CY76" i="1"/>
  <c r="CI26" i="1"/>
  <c r="AZ37" i="1"/>
  <c r="EM22" i="1"/>
  <c r="EM144" i="1"/>
  <c r="P133" i="1"/>
  <c r="BA69" i="1"/>
  <c r="F104" i="1"/>
  <c r="GM77" i="1"/>
  <c r="GO77" i="1" s="1"/>
  <c r="GA26" i="1"/>
  <c r="ER37" i="1"/>
  <c r="EC26" i="1"/>
  <c r="DP37" i="1"/>
  <c r="DY69" i="1"/>
  <c r="DL84" i="1"/>
  <c r="BD22" i="1"/>
  <c r="BD144" i="1"/>
  <c r="F139" i="1"/>
  <c r="AF26" i="1"/>
  <c r="S37" i="1"/>
  <c r="AL26" i="1"/>
  <c r="Y37" i="1"/>
  <c r="AC69" i="1"/>
  <c r="P84" i="1"/>
  <c r="CE84" i="1"/>
  <c r="CF84" i="1"/>
  <c r="CH84" i="1"/>
  <c r="EU22" i="1"/>
  <c r="P130" i="1"/>
  <c r="EU144" i="1"/>
  <c r="EP26" i="1"/>
  <c r="P44" i="1"/>
  <c r="EP114" i="1"/>
  <c r="EG22" i="1"/>
  <c r="P118" i="1"/>
  <c r="EG144" i="1"/>
  <c r="CC84" i="1"/>
  <c r="AU22" i="1"/>
  <c r="AU144" i="1"/>
  <c r="F133" i="1"/>
  <c r="AP26" i="1"/>
  <c r="F46" i="1"/>
  <c r="AP114" i="1"/>
  <c r="T26" i="1"/>
  <c r="F58" i="1"/>
  <c r="T114" i="1"/>
  <c r="ER69" i="1"/>
  <c r="P95" i="1"/>
  <c r="BA22" i="1"/>
  <c r="F134" i="1"/>
  <c r="BA144" i="1"/>
  <c r="DV69" i="1"/>
  <c r="DI84" i="1"/>
  <c r="EH26" i="1"/>
  <c r="P46" i="1"/>
  <c r="EH114" i="1"/>
  <c r="BC22" i="1"/>
  <c r="F130" i="1"/>
  <c r="BC144" i="1"/>
  <c r="AE69" i="1"/>
  <c r="R84" i="1"/>
  <c r="F105" i="1"/>
  <c r="T69" i="1"/>
  <c r="DU84" i="1"/>
  <c r="AQ22" i="1"/>
  <c r="F124" i="1"/>
  <c r="AQ144" i="1"/>
  <c r="AX22" i="1"/>
  <c r="AX144" i="1"/>
  <c r="F121" i="1"/>
  <c r="U22" i="1"/>
  <c r="F136" i="1"/>
  <c r="U144" i="1"/>
  <c r="CY74" i="1"/>
  <c r="CZ74" i="1"/>
  <c r="DX84" i="1"/>
  <c r="X74" i="1"/>
  <c r="EC84" i="1" s="1"/>
  <c r="Y74" i="1"/>
  <c r="ED84" i="1" s="1"/>
  <c r="DN26" i="1"/>
  <c r="P60" i="1"/>
  <c r="Q69" i="1"/>
  <c r="Q114" i="1"/>
  <c r="F96" i="1"/>
  <c r="EA84" i="1"/>
  <c r="DO69" i="1"/>
  <c r="P108" i="1"/>
  <c r="DG84" i="1" l="1"/>
  <c r="DT69" i="1"/>
  <c r="AU18" i="1"/>
  <c r="F163" i="1"/>
  <c r="DL69" i="1"/>
  <c r="P105" i="1"/>
  <c r="DL114" i="1"/>
  <c r="DT26" i="1"/>
  <c r="DG37" i="1"/>
  <c r="DU69" i="1"/>
  <c r="FZ84" i="1"/>
  <c r="DH84" i="1"/>
  <c r="FW84" i="1"/>
  <c r="FX84" i="1"/>
  <c r="EH22" i="1"/>
  <c r="EH144" i="1"/>
  <c r="P123" i="1"/>
  <c r="G16" i="2" s="1"/>
  <c r="CC69" i="1"/>
  <c r="AT84" i="1"/>
  <c r="EP22" i="1"/>
  <c r="P121" i="1"/>
  <c r="EP144" i="1"/>
  <c r="CE69" i="1"/>
  <c r="AV84" i="1"/>
  <c r="BD18" i="1"/>
  <c r="F169" i="1"/>
  <c r="DP26" i="1"/>
  <c r="P63" i="1"/>
  <c r="DP114" i="1"/>
  <c r="EM18" i="1"/>
  <c r="P163" i="1"/>
  <c r="CA84" i="1"/>
  <c r="AO18" i="1"/>
  <c r="F148" i="1"/>
  <c r="CF26" i="1"/>
  <c r="AW37" i="1"/>
  <c r="FW26" i="1"/>
  <c r="EN37" i="1"/>
  <c r="EI18" i="1"/>
  <c r="P154" i="1"/>
  <c r="O69" i="1"/>
  <c r="F86" i="1"/>
  <c r="S69" i="1"/>
  <c r="F99" i="1"/>
  <c r="DJ69" i="1"/>
  <c r="P98" i="1"/>
  <c r="ER26" i="1"/>
  <c r="P48" i="1"/>
  <c r="ER114" i="1"/>
  <c r="P26" i="1"/>
  <c r="F40" i="1"/>
  <c r="P114" i="1"/>
  <c r="EA69" i="1"/>
  <c r="DN84" i="1"/>
  <c r="DX69" i="1"/>
  <c r="DK84" i="1"/>
  <c r="Q22" i="1"/>
  <c r="F126" i="1"/>
  <c r="Q144" i="1"/>
  <c r="AQ18" i="1"/>
  <c r="F154" i="1"/>
  <c r="BC18" i="1"/>
  <c r="F160" i="1"/>
  <c r="BA18" i="1"/>
  <c r="F164" i="1"/>
  <c r="W16" i="2"/>
  <c r="EG18" i="1"/>
  <c r="P148" i="1"/>
  <c r="P69" i="1"/>
  <c r="F87" i="1"/>
  <c r="S26" i="1"/>
  <c r="F52" i="1"/>
  <c r="S114" i="1"/>
  <c r="DK26" i="1"/>
  <c r="P52" i="1"/>
  <c r="DK114" i="1"/>
  <c r="CE26" i="1"/>
  <c r="AV37" i="1"/>
  <c r="AS18" i="1"/>
  <c r="F161" i="1"/>
  <c r="W18" i="1"/>
  <c r="F168" i="1"/>
  <c r="DH26" i="1"/>
  <c r="P40" i="1"/>
  <c r="DH114" i="1"/>
  <c r="EK18" i="1"/>
  <c r="P161" i="1"/>
  <c r="X26" i="1"/>
  <c r="F63" i="1"/>
  <c r="X114" i="1"/>
  <c r="AP22" i="1"/>
  <c r="AP144" i="1"/>
  <c r="F123" i="1"/>
  <c r="V16" i="2" s="1"/>
  <c r="DM69" i="1"/>
  <c r="P106" i="1"/>
  <c r="DM114" i="1"/>
  <c r="FZ26" i="1"/>
  <c r="EQ37" i="1"/>
  <c r="GO72" i="1"/>
  <c r="FU84" i="1" s="1"/>
  <c r="Y69" i="1"/>
  <c r="F111" i="1"/>
  <c r="AB26" i="1"/>
  <c r="O37" i="1"/>
  <c r="DQ26" i="1"/>
  <c r="P64" i="1"/>
  <c r="X69" i="1"/>
  <c r="F110" i="1"/>
  <c r="ED69" i="1"/>
  <c r="DQ84" i="1"/>
  <c r="DQ114" i="1" s="1"/>
  <c r="CH69" i="1"/>
  <c r="AY84" i="1"/>
  <c r="AZ26" i="1"/>
  <c r="F48" i="1"/>
  <c r="AZ114" i="1"/>
  <c r="EC69" i="1"/>
  <c r="DP84" i="1"/>
  <c r="U18" i="1"/>
  <c r="F166" i="1"/>
  <c r="AX18" i="1"/>
  <c r="F151" i="1"/>
  <c r="R69" i="1"/>
  <c r="R114" i="1"/>
  <c r="F98" i="1"/>
  <c r="DI69" i="1"/>
  <c r="P96" i="1"/>
  <c r="DI114" i="1"/>
  <c r="T22" i="1"/>
  <c r="T144" i="1"/>
  <c r="F135" i="1"/>
  <c r="EU18" i="1"/>
  <c r="P160" i="1"/>
  <c r="CF69" i="1"/>
  <c r="AW84" i="1"/>
  <c r="Y26" i="1"/>
  <c r="F64" i="1"/>
  <c r="Y114" i="1"/>
  <c r="DJ22" i="1"/>
  <c r="P128" i="1"/>
  <c r="DJ144" i="1"/>
  <c r="GO29" i="1"/>
  <c r="FU37" i="1" s="1"/>
  <c r="FS37" i="1"/>
  <c r="GM74" i="1"/>
  <c r="GO74" i="1" s="1"/>
  <c r="CH26" i="1"/>
  <c r="AY37" i="1"/>
  <c r="EO37" i="1"/>
  <c r="FX26" i="1"/>
  <c r="DO22" i="1"/>
  <c r="P138" i="1"/>
  <c r="DO144" i="1"/>
  <c r="GB69" i="1"/>
  <c r="ES84" i="1"/>
  <c r="ET18" i="1"/>
  <c r="P157" i="1"/>
  <c r="BB18" i="1"/>
  <c r="F157" i="1"/>
  <c r="EV18" i="1"/>
  <c r="P169" i="1"/>
  <c r="V22" i="1"/>
  <c r="F137" i="1"/>
  <c r="V144" i="1"/>
  <c r="GO28" i="1"/>
  <c r="CC37" i="1" s="1"/>
  <c r="CA37" i="1"/>
  <c r="DQ22" i="1" l="1"/>
  <c r="P141" i="1"/>
  <c r="DQ144" i="1"/>
  <c r="FU69" i="1"/>
  <c r="EL84" i="1"/>
  <c r="P22" i="1"/>
  <c r="P144" i="1"/>
  <c r="F117" i="1"/>
  <c r="DP22" i="1"/>
  <c r="DP144" i="1"/>
  <c r="P140" i="1"/>
  <c r="FW69" i="1"/>
  <c r="EN84" i="1"/>
  <c r="ES69" i="1"/>
  <c r="P104" i="1"/>
  <c r="ES114" i="1"/>
  <c r="DJ18" i="1"/>
  <c r="P158" i="1"/>
  <c r="Y22" i="1"/>
  <c r="Y144" i="1"/>
  <c r="F141" i="1"/>
  <c r="T18" i="1"/>
  <c r="F165" i="1"/>
  <c r="DP69" i="1"/>
  <c r="P110" i="1"/>
  <c r="EQ26" i="1"/>
  <c r="P45" i="1"/>
  <c r="Q18" i="1"/>
  <c r="F156" i="1"/>
  <c r="AW26" i="1"/>
  <c r="F43" i="1"/>
  <c r="AW114" i="1"/>
  <c r="CA69" i="1"/>
  <c r="AR84" i="1"/>
  <c r="AV69" i="1"/>
  <c r="F89" i="1"/>
  <c r="EH18" i="1"/>
  <c r="P153" i="1"/>
  <c r="DH69" i="1"/>
  <c r="P87" i="1"/>
  <c r="V18" i="1"/>
  <c r="F167" i="1"/>
  <c r="AY26" i="1"/>
  <c r="F45" i="1"/>
  <c r="AY114" i="1"/>
  <c r="CA26" i="1"/>
  <c r="AR37" i="1"/>
  <c r="AY69" i="1"/>
  <c r="F92" i="1"/>
  <c r="X22" i="1"/>
  <c r="F140" i="1"/>
  <c r="X144" i="1"/>
  <c r="AV26" i="1"/>
  <c r="F42" i="1"/>
  <c r="AV114" i="1"/>
  <c r="DN69" i="1"/>
  <c r="P107" i="1"/>
  <c r="DN114" i="1"/>
  <c r="AT69" i="1"/>
  <c r="F102" i="1"/>
  <c r="FZ69" i="1"/>
  <c r="EQ84" i="1"/>
  <c r="EQ114" i="1" s="1"/>
  <c r="DL22" i="1"/>
  <c r="P135" i="1"/>
  <c r="DL144" i="1"/>
  <c r="FU26" i="1"/>
  <c r="EL37" i="1"/>
  <c r="AP18" i="1"/>
  <c r="F153" i="1"/>
  <c r="DK69" i="1"/>
  <c r="P99" i="1"/>
  <c r="CC26" i="1"/>
  <c r="AT37" i="1"/>
  <c r="DO18" i="1"/>
  <c r="P168" i="1"/>
  <c r="EO26" i="1"/>
  <c r="P43" i="1"/>
  <c r="FS26" i="1"/>
  <c r="EJ37" i="1"/>
  <c r="DI22" i="1"/>
  <c r="DI144" i="1"/>
  <c r="P126" i="1"/>
  <c r="R22" i="1"/>
  <c r="F128" i="1"/>
  <c r="R144" i="1"/>
  <c r="AZ22" i="1"/>
  <c r="AZ144" i="1"/>
  <c r="F125" i="1"/>
  <c r="O26" i="1"/>
  <c r="F39" i="1"/>
  <c r="O114" i="1"/>
  <c r="FS84" i="1"/>
  <c r="DM22" i="1"/>
  <c r="DM144" i="1"/>
  <c r="P136" i="1"/>
  <c r="DH22" i="1"/>
  <c r="P117" i="1"/>
  <c r="DH144" i="1"/>
  <c r="S22" i="1"/>
  <c r="F129" i="1"/>
  <c r="Y16" i="2" s="1"/>
  <c r="S144" i="1"/>
  <c r="ER22" i="1"/>
  <c r="ER144" i="1"/>
  <c r="P125" i="1"/>
  <c r="EN26" i="1"/>
  <c r="P42" i="1"/>
  <c r="EN114" i="1"/>
  <c r="EP18" i="1"/>
  <c r="P151" i="1"/>
  <c r="FX69" i="1"/>
  <c r="EO84" i="1"/>
  <c r="EO114" i="1" s="1"/>
  <c r="AW69" i="1"/>
  <c r="F90" i="1"/>
  <c r="DQ69" i="1"/>
  <c r="P111" i="1"/>
  <c r="DK22" i="1"/>
  <c r="DK144" i="1"/>
  <c r="P129" i="1"/>
  <c r="J16" i="2" s="1"/>
  <c r="DG26" i="1"/>
  <c r="P39" i="1"/>
  <c r="DG114" i="1"/>
  <c r="DG69" i="1"/>
  <c r="P86" i="1"/>
  <c r="EO22" i="1" l="1"/>
  <c r="P120" i="1"/>
  <c r="EO144" i="1"/>
  <c r="EQ22" i="1"/>
  <c r="EQ144" i="1"/>
  <c r="P122" i="1"/>
  <c r="DH18" i="1"/>
  <c r="P147" i="1"/>
  <c r="DM18" i="1"/>
  <c r="P166" i="1"/>
  <c r="EL26" i="1"/>
  <c r="P55" i="1"/>
  <c r="EL114" i="1"/>
  <c r="AV22" i="1"/>
  <c r="AV144" i="1"/>
  <c r="F119" i="1"/>
  <c r="AR26" i="1"/>
  <c r="F65" i="1"/>
  <c r="AR114" i="1"/>
  <c r="Y18" i="1"/>
  <c r="F171" i="1"/>
  <c r="ES22" i="1"/>
  <c r="P134" i="1"/>
  <c r="H16" i="2" s="1"/>
  <c r="ES144" i="1"/>
  <c r="DK18" i="1"/>
  <c r="P159" i="1"/>
  <c r="S18" i="1"/>
  <c r="F159" i="1"/>
  <c r="R18" i="1"/>
  <c r="F158" i="1"/>
  <c r="DI18" i="1"/>
  <c r="P156" i="1"/>
  <c r="EQ69" i="1"/>
  <c r="P92" i="1"/>
  <c r="DN22" i="1"/>
  <c r="DN144" i="1"/>
  <c r="P137" i="1"/>
  <c r="AR69" i="1"/>
  <c r="F112" i="1"/>
  <c r="P18" i="1"/>
  <c r="F147" i="1"/>
  <c r="DQ18" i="1"/>
  <c r="P171" i="1"/>
  <c r="FS69" i="1"/>
  <c r="EJ84" i="1"/>
  <c r="AT26" i="1"/>
  <c r="F55" i="1"/>
  <c r="AT114" i="1"/>
  <c r="DL18" i="1"/>
  <c r="P165" i="1"/>
  <c r="AY22" i="1"/>
  <c r="F122" i="1"/>
  <c r="AY144" i="1"/>
  <c r="DP18" i="1"/>
  <c r="P170" i="1"/>
  <c r="DG22" i="1"/>
  <c r="P116" i="1"/>
  <c r="DG144" i="1"/>
  <c r="EO69" i="1"/>
  <c r="P90" i="1"/>
  <c r="EN22" i="1"/>
  <c r="P119" i="1"/>
  <c r="EN144" i="1"/>
  <c r="ER18" i="1"/>
  <c r="P155" i="1"/>
  <c r="O22" i="1"/>
  <c r="F116" i="1"/>
  <c r="O144" i="1"/>
  <c r="AZ18" i="1"/>
  <c r="F155" i="1"/>
  <c r="EJ26" i="1"/>
  <c r="P65" i="1"/>
  <c r="EJ114" i="1"/>
  <c r="X18" i="1"/>
  <c r="F170" i="1"/>
  <c r="AW22" i="1"/>
  <c r="F120" i="1"/>
  <c r="AW144" i="1"/>
  <c r="EN69" i="1"/>
  <c r="P89" i="1"/>
  <c r="EL69" i="1"/>
  <c r="P102" i="1"/>
  <c r="ES18" i="1" l="1"/>
  <c r="P164" i="1"/>
  <c r="AR22" i="1"/>
  <c r="F142" i="1"/>
  <c r="AR144" i="1"/>
  <c r="AV18" i="1"/>
  <c r="F149" i="1"/>
  <c r="EO18" i="1"/>
  <c r="P150" i="1"/>
  <c r="O18" i="1"/>
  <c r="F146" i="1"/>
  <c r="AT22" i="1"/>
  <c r="F132" i="1"/>
  <c r="U16" i="2" s="1"/>
  <c r="X16" i="2" s="1"/>
  <c r="AC16" i="2" s="1"/>
  <c r="AT144" i="1"/>
  <c r="DN18" i="1"/>
  <c r="P167" i="1"/>
  <c r="EN18" i="1"/>
  <c r="P149" i="1"/>
  <c r="AW18" i="1"/>
  <c r="F150" i="1"/>
  <c r="DG18" i="1"/>
  <c r="P146" i="1"/>
  <c r="EJ22" i="1"/>
  <c r="EJ144" i="1"/>
  <c r="P142" i="1"/>
  <c r="AY18" i="1"/>
  <c r="F152" i="1"/>
  <c r="EJ69" i="1"/>
  <c r="P112" i="1"/>
  <c r="EL22" i="1"/>
  <c r="P132" i="1"/>
  <c r="F16" i="2" s="1"/>
  <c r="I16" i="2" s="1"/>
  <c r="N16" i="2" s="1"/>
  <c r="EL144" i="1"/>
  <c r="EQ18" i="1"/>
  <c r="P152" i="1"/>
  <c r="EJ18" i="1" l="1"/>
  <c r="P172" i="1"/>
  <c r="AT18" i="1"/>
  <c r="F162" i="1"/>
  <c r="EL18" i="1"/>
  <c r="P162" i="1"/>
  <c r="AR18" i="1"/>
  <c r="F172" i="1"/>
</calcChain>
</file>

<file path=xl/sharedStrings.xml><?xml version="1.0" encoding="utf-8"?>
<sst xmlns="http://schemas.openxmlformats.org/spreadsheetml/2006/main" count="2741" uniqueCount="258">
  <si>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</si>
  <si>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</si>
  <si>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</si>
  <si>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</si>
  <si>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</t>
  </si>
  <si>
    <t>02-01-13 Электрочасофикация</t>
  </si>
  <si>
    <t>2024-00272-01-0-ИОС5.6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</si>
  <si>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</si>
  <si>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</si>
  <si>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</si>
  <si>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</si>
  <si>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</si>
  <si>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</si>
  <si>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</si>
  <si>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</si>
  <si>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02-01-13</t>
  </si>
  <si>
    <t>Электрочасофикация</t>
  </si>
  <si>
    <t>Оборудование</t>
  </si>
  <si>
    <t>1</t>
  </si>
  <si>
    <t>4.10-85-1</t>
  </si>
  <si>
    <t>Электрочасы первичные, часы первичные электрические показывающие кварцевые типа ПКЧЗ-2-РИ-Р24-Р6-1</t>
  </si>
  <si>
    <t>1  ШТ.</t>
  </si>
  <si>
    <t>ТСН-2001.4 Доп. 80, Сб. 10, т. 85, поз. 1</t>
  </si>
  <si>
    <t>*1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</si>
  <si>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</si>
  <si>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</si>
  <si>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</si>
  <si>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</si>
  <si>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5_12.00.01.11.003</t>
  </si>
  <si>
    <t>2</t>
  </si>
  <si>
    <t>КА-1</t>
  </si>
  <si>
    <t>Часовая станция "Первичные часы" ПИК-2М-4002</t>
  </si>
  <si>
    <t>ШТ</t>
  </si>
  <si>
    <t>Сметная стоимость оборудования</t>
  </si>
  <si>
    <t>ТСН-2001.13. Сметная стоимость оборудования</t>
  </si>
  <si>
    <t>ТСН-2001.13</t>
  </si>
  <si>
    <t>[92 760 / 1,2 /  7,66] +  3% Трансп +  1,2% Заг.скл</t>
  </si>
  <si>
    <t>3</t>
  </si>
  <si>
    <t>1,2</t>
  </si>
  <si>
    <t>4.10-86-1</t>
  </si>
  <si>
    <t>Электрочасы вторичные для помещений, электрочасы односторонние на стене</t>
  </si>
  <si>
    <t>ТСН-2001.4. Доп. 1-42. Сб. 10, т. 86, поз. 1</t>
  </si>
  <si>
    <t>4</t>
  </si>
  <si>
    <t>13.1-2-211</t>
  </si>
  <si>
    <t>Часы электрические вторичные стрелочные, типа ВЧ03/03</t>
  </si>
  <si>
    <t>шт.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</si>
  <si>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</si>
  <si>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</si>
  <si>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</si>
  <si>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</si>
  <si>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</si>
  <si>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</si>
  <si>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</si>
  <si>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</si>
  <si>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</si>
  <si>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</si>
  <si>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</si>
  <si>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</si>
  <si>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</si>
  <si>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</si>
  <si>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</si>
  <si>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</si>
  <si>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</si>
  <si>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</si>
  <si>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</si>
  <si>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</si>
  <si>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</si>
  <si>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</si>
  <si>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</si>
  <si>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</si>
  <si>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</si>
  <si>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</si>
  <si>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</si>
  <si>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</si>
  <si>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</si>
  <si>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</si>
  <si>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</si>
  <si>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</si>
  <si>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</si>
  <si>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</si>
  <si>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</si>
  <si>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</si>
  <si>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</si>
  <si>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</si>
  <si>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</si>
  <si>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</si>
  <si>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</si>
  <si>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</si>
  <si>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</si>
  <si>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</si>
  <si>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</si>
  <si>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</si>
  <si>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</si>
  <si>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</si>
  <si>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</si>
  <si>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</si>
  <si>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</si>
  <si>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</si>
  <si>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</si>
  <si>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</si>
  <si>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Кабельные изделия</t>
  </si>
  <si>
    <t>5</t>
  </si>
  <si>
    <t>4.8-288-1</t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</si>
  <si>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</si>
  <si>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t>100 м</t>
  </si>
  <si>
    <t>ТСН-2001.4 Доп. 54, Сб. 8, т. 288, поз. 1</t>
  </si>
  <si>
    <t>ТСН-2001.4-8. Электротехнические установки</t>
  </si>
  <si>
    <t>ТСН-2001.4-8-1</t>
  </si>
  <si>
    <t>5,1</t>
  </si>
  <si>
    <t>1.12-5-371</t>
  </si>
  <si>
    <t>Трубы электротехнические, гофрированные, из ПВХ, негорючие, с зондом, наружный диаметр 16 мм</t>
  </si>
  <si>
    <t>м</t>
  </si>
  <si>
    <t>ТСН-2001.1 Доп. 67, Р. 12, о. 5, поз. 371</t>
  </si>
  <si>
    <t>5,2</t>
  </si>
  <si>
    <t>1.1-1-16</t>
  </si>
  <si>
    <t>Антипирен из нефелина</t>
  </si>
  <si>
    <t>т</t>
  </si>
  <si>
    <t>ТСН-2001.1 Доп. 79, Р. 1, о. 1, поз. 16</t>
  </si>
  <si>
    <t>6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</si>
  <si>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</si>
  <si>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</si>
  <si>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</si>
  <si>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7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</si>
  <si>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</si>
  <si>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</si>
  <si>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</si>
  <si>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8</t>
  </si>
  <si>
    <t>КА-2</t>
  </si>
  <si>
    <t>Кабель КПСВВнг(А)-LSLTx 1x2x1,0</t>
  </si>
  <si>
    <t>км</t>
  </si>
  <si>
    <t>Материалы</t>
  </si>
  <si>
    <t>Материалы, изделия и конструкции</t>
  </si>
  <si>
    <t>[36 090 / 1,2 /  9,88] +  2% Заг.скл</t>
  </si>
  <si>
    <t>0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</si>
  <si>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</si>
  <si>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</si>
  <si>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</si>
  <si>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</si>
  <si>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</si>
  <si>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</si>
  <si>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</si>
  <si>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</si>
  <si>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</si>
  <si>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</si>
  <si>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</si>
  <si>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</si>
  <si>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</si>
  <si>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</si>
  <si>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</si>
  <si>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</si>
  <si>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</si>
  <si>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</si>
  <si>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</si>
  <si>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</si>
  <si>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</si>
  <si>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</si>
  <si>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</si>
  <si>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</si>
  <si>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</si>
  <si>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</si>
  <si>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</si>
  <si>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</si>
  <si>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</si>
  <si>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</si>
  <si>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</si>
  <si>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</si>
  <si>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кг</t>
  </si>
  <si>
    <t>1.1-1-1723</t>
  </si>
  <si>
    <t>ТСН-2001.1 Доп. 79, Р. 1, о. 1, поз. 1723</t>
  </si>
  <si>
    <t>Лента изоляционная, прорезиненная, односторонняя</t>
  </si>
  <si>
    <t>1.21-5-1543</t>
  </si>
  <si>
    <t>ТСН-2001.1 Доп. 65, Р. 21, о. 5, поз. 1543</t>
  </si>
  <si>
    <t>Гильзы кабельные медные типа ГМ 2,5</t>
  </si>
  <si>
    <t>100 шт.</t>
  </si>
  <si>
    <t>1.21-5-1554</t>
  </si>
  <si>
    <t>ТСН-2001.1 Доп. 65, Р. 21, о. 5, поз. 1554</t>
  </si>
  <si>
    <t>Втулка трубная, полипропиленовая, диаметр 17 мм</t>
  </si>
  <si>
    <t>1000 шт.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</si>
  <si>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</si>
  <si>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</si>
  <si>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</si>
  <si>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</si>
  <si>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</si>
  <si>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</si>
  <si>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</si>
  <si>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</si>
  <si>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</si>
  <si>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</si>
  <si>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</si>
  <si>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</si>
  <si>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2248200000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</si>
  <si>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</si>
  <si>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</si>
  <si>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</si>
  <si>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</si>
  <si>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</si>
  <si>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3500000000</t>
  </si>
  <si>
    <t>Провода (марка и сечение по проекту)</t>
  </si>
  <si>
    <t>Гл.12.Прил.8.п.8. 5_12.00.01.11.003</t>
  </si>
  <si>
    <t>Глава 12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</si>
  <si>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</si>
  <si>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</si>
  <si>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</si>
  <si>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</si>
  <si>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</si>
  <si>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</si>
  <si>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</si>
  <si>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</si>
  <si>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</si>
  <si>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</si>
  <si>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</si>
  <si>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</si>
  <si>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</si>
  <si>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</si>
  <si>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</si>
  <si>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</si>
  <si>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</si>
  <si>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</si>
  <si>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</si>
  <si>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</si>
  <si>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</si>
  <si>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</si>
  <si>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</si>
  <si>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</si>
  <si>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02-01-13 Электрочасофикация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</si>
  <si>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</si>
  <si>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</si>
  <si>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</si>
  <si>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</si>
  <si>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</si>
  <si>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</si>
  <si>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</si>
  <si>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</si>
  <si>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</si>
  <si>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</si>
  <si>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</si>
  <si>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</si>
  <si>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</si>
  <si>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Часовая станция "Первичные часы" ПИК-2М-4002</t>
    </r>
    <r>
      <rPr>
        <i/>
        <sz val="10"/>
        <color rgb="FF821E82"/>
        <rFont val="Arial"/>
        <family val="2"/>
        <charset val="204"/>
      </rPr>
      <t xml:space="preserve">
10 518,85 = [92 760 / 1,2 /  7,66] +  3% Трансп +  1,2% Заг.скл</t>
    </r>
  </si>
  <si>
    <t>ОБОРУДОВАНИЕ:_x000D_
Часы электрические вторичные стрелочные, типа ВЧ03/03</t>
  </si>
  <si>
    <t xml:space="preserve">   Итого по ТСН-2001.16</t>
  </si>
  <si>
    <t xml:space="preserve">   Итого возвратных сумм</t>
  </si>
  <si>
    <t>ЭМ</t>
  </si>
  <si>
    <t>в т.ч. ЗПМ</t>
  </si>
  <si>
    <t>к нр *1</t>
  </si>
  <si>
    <r>
      <t>Кабель КПСВВнг(А)-LSLTx 1x2x1,0</t>
    </r>
    <r>
      <rPr>
        <i/>
        <sz val="10"/>
        <rFont val="Arial"/>
        <family val="2"/>
        <charset val="204"/>
      </rPr>
      <t xml:space="preserve">
3 104,91 = [36 090 / 1,2 /  9,88]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</si>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</sst>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wrapText="1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24"/>
  <sheetViews>
    <sheetView tabSelected="1" view="pageBreakPreview" topLeftCell="A72" zoomScale="60" zoomScaleNormal="55" workbookViewId="0">
      <selection activeCell="A9" sqref="A9:K9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1.85546875" customWidth="1"/>
    <col min="7" max="7" width="8.5703125" bestFit="1" customWidth="1"/>
    <col min="9" max="9" width="11.85546875" customWidth="1"/>
    <col min="11" max="11" width="12.5703125" customWidth="1"/>
    <col min="15" max="41" width="0" hidden="1" customWidth="1"/>
    <col min="42" max="42" width="129.7109375" hidden="1" customWidth="1"/>
    <col min="43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1" t="s">
        <v>223</v>
      </c>
      <c r="K2" s="31"/>
    </row>
    <row r="3" spans="1:42" ht="47.25" x14ac:dyDescent="0.25">
      <c r="A3" s="12" t="s">
        <v>224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2" t="s">
        <v>224</v>
      </c>
    </row>
    <row r="4" spans="1:42" x14ac:dyDescent="0.2">
      <c r="A4" s="13" t="s">
        <v>202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12" t="str">
        <f>CONCATENATE( "ЛОКАЛЬНАЯ СМЕТА № ",IF(Source!F20&lt;&gt;"Новая локальная смета", Source!F20, ""))</f>
        <v>ЛОКАЛЬНАЯ СМЕТА № 02-01-13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15" t="str">
        <f>IF(Source!G20&lt;&gt;"Новая локальная смета", Source!G20, "")</f>
        <v>Электрочасофикация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2">
      <c r="A9" s="16" t="s">
        <v>203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18" t="str">
        <f>CONCATENATE( "Основание: чертежи № ", Source!J20)</f>
        <v>Основание: чертежи № 2024-00272-01-0-ИОС5.6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204</v>
      </c>
      <c r="J13" s="20" t="s">
        <v>205</v>
      </c>
      <c r="K13" s="11"/>
    </row>
    <row r="14" spans="1:42" ht="15" x14ac:dyDescent="0.25">
      <c r="A14" s="11"/>
      <c r="B14" s="11"/>
      <c r="C14" s="11"/>
      <c r="D14" s="11"/>
      <c r="E14" s="21" t="s">
        <v>206</v>
      </c>
      <c r="F14" s="21"/>
      <c r="G14" s="21"/>
      <c r="H14" s="21"/>
      <c r="I14" s="22">
        <f>I15+I16+I17+I18</f>
        <v>13.31</v>
      </c>
      <c r="J14" s="22">
        <f>J15+J16+J17+J18</f>
        <v>128.31</v>
      </c>
      <c r="K14" s="23" t="s">
        <v>246</v>
      </c>
    </row>
    <row r="15" spans="1:42" ht="14.25" x14ac:dyDescent="0.2">
      <c r="A15" s="11"/>
      <c r="B15" s="11"/>
      <c r="C15" s="11"/>
      <c r="D15" s="11"/>
      <c r="E15" s="24" t="s">
        <v>207</v>
      </c>
      <c r="F15" s="24"/>
      <c r="G15" s="24"/>
      <c r="H15" s="24"/>
      <c r="I15" s="25">
        <f>ROUND((Source!F131)/1000, 2)</f>
        <v>0</v>
      </c>
      <c r="J15" s="25">
        <f>ROUND((Source!P131)/1000, 2)</f>
        <v>0</v>
      </c>
      <c r="K15" s="11" t="s">
        <v>246</v>
      </c>
    </row>
    <row r="16" spans="1:42" ht="14.25" x14ac:dyDescent="0.2">
      <c r="A16" s="11"/>
      <c r="B16" s="11"/>
      <c r="C16" s="11"/>
      <c r="D16" s="11"/>
      <c r="E16" s="24" t="s">
        <v>208</v>
      </c>
      <c r="F16" s="24"/>
      <c r="G16" s="24"/>
      <c r="H16" s="24"/>
      <c r="I16" s="25">
        <f>ROUND((Source!F132)/1000, 2)</f>
        <v>1.33</v>
      </c>
      <c r="J16" s="25">
        <f>ROUND((Source!P132)/1000, 2)</f>
        <v>40.14</v>
      </c>
      <c r="K16" s="11" t="s">
        <v>246</v>
      </c>
    </row>
    <row r="17" spans="1:42" ht="14.25" x14ac:dyDescent="0.2">
      <c r="A17" s="11"/>
      <c r="B17" s="11"/>
      <c r="C17" s="11"/>
      <c r="D17" s="11"/>
      <c r="E17" s="24" t="s">
        <v>17</v>
      </c>
      <c r="F17" s="24"/>
      <c r="G17" s="24"/>
      <c r="H17" s="24"/>
      <c r="I17" s="25">
        <f>ROUND((Source!F123)/1000, 2)</f>
        <v>11.98</v>
      </c>
      <c r="J17" s="25">
        <f>ROUND((Source!P123)/1000, 2)</f>
        <v>88.17</v>
      </c>
      <c r="K17" s="11" t="s">
        <v>246</v>
      </c>
    </row>
    <row r="18" spans="1:42" ht="14.25" x14ac:dyDescent="0.2">
      <c r="A18" s="11"/>
      <c r="B18" s="11"/>
      <c r="C18" s="11"/>
      <c r="D18" s="11"/>
      <c r="E18" s="24" t="s">
        <v>209</v>
      </c>
      <c r="F18" s="24"/>
      <c r="G18" s="24"/>
      <c r="H18" s="24"/>
      <c r="I18" s="25">
        <f>ROUND((Source!F133+Source!F134)/1000, 2)</f>
        <v>0</v>
      </c>
      <c r="J18" s="25">
        <f>ROUND((Source!P133+Source!P134)/1000, 2)</f>
        <v>0</v>
      </c>
      <c r="K18" s="11" t="s">
        <v>246</v>
      </c>
    </row>
    <row r="19" spans="1:42" ht="14.25" x14ac:dyDescent="0.2">
      <c r="A19" s="11"/>
      <c r="B19" s="11"/>
      <c r="C19" s="11"/>
      <c r="D19" s="11"/>
      <c r="E19" s="24" t="s">
        <v>210</v>
      </c>
      <c r="F19" s="24"/>
      <c r="G19" s="24"/>
      <c r="H19" s="24"/>
      <c r="I19" s="25">
        <f>(Source!F129+ Source!F128)/1000</f>
        <v>0.25722</v>
      </c>
      <c r="J19" s="25">
        <f>((Source!P129 + Source!P128)/1000)</f>
        <v>14.14452</v>
      </c>
      <c r="K19" s="11" t="s">
        <v>246</v>
      </c>
    </row>
    <row r="20" spans="1:42" ht="14.25" x14ac:dyDescent="0.2">
      <c r="A20" s="11"/>
      <c r="B20" s="11"/>
      <c r="C20" s="11"/>
      <c r="D20" s="11"/>
      <c r="E20" s="24" t="s">
        <v>211</v>
      </c>
      <c r="F20" s="24"/>
      <c r="G20" s="24"/>
      <c r="H20" s="24"/>
      <c r="I20" s="25">
        <f>Source!F136</f>
        <v>19.976236499999999</v>
      </c>
      <c r="J20" s="25"/>
      <c r="K20" s="11" t="s">
        <v>154</v>
      </c>
    </row>
    <row r="21" spans="1:42" ht="14.25" hidden="1" x14ac:dyDescent="0.2">
      <c r="A21" s="11"/>
      <c r="B21" s="11"/>
      <c r="C21" s="11"/>
      <c r="D21" s="11"/>
      <c r="E21" s="26" t="s">
        <v>212</v>
      </c>
      <c r="F21" s="26"/>
      <c r="G21" s="26"/>
      <c r="H21" s="26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7" t="s">
        <v>85</v>
      </c>
      <c r="F22" s="27"/>
      <c r="G22" s="27"/>
      <c r="H22" s="27"/>
      <c r="I22" s="25">
        <f>SUM(Y28:Y113)/1000</f>
        <v>0</v>
      </c>
      <c r="J22" s="25">
        <f>SUM(Z28:Z113)/1000</f>
        <v>0</v>
      </c>
      <c r="K22" s="11" t="s">
        <v>246</v>
      </c>
    </row>
    <row r="23" spans="1:42" ht="14.25" x14ac:dyDescent="0.2">
      <c r="A23" s="11"/>
      <c r="B23" s="11"/>
      <c r="C23" s="11"/>
      <c r="D23" s="11"/>
      <c r="E23" s="11"/>
      <c r="F23" s="28"/>
      <c r="G23" s="28"/>
      <c r="H23" s="28"/>
      <c r="I23" s="25"/>
      <c r="J23" s="25"/>
      <c r="K23" s="11"/>
    </row>
    <row r="24" spans="1:42" ht="14.25" x14ac:dyDescent="0.2">
      <c r="A24" s="11" t="s">
        <v>225</v>
      </c>
      <c r="B24" s="11"/>
      <c r="C24" s="11"/>
      <c r="D24" s="11"/>
      <c r="E24" s="11"/>
      <c r="F24" s="28"/>
      <c r="G24" s="28"/>
      <c r="H24" s="28"/>
      <c r="I24" s="25"/>
      <c r="J24" s="25"/>
      <c r="K24" s="11"/>
    </row>
    <row r="25" spans="1:42" ht="28.5" x14ac:dyDescent="0.2">
      <c r="A25" s="18" t="s">
        <v>226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3" t="s">
        <v>226</v>
      </c>
    </row>
    <row r="26" spans="1:42" ht="114" x14ac:dyDescent="0.2">
      <c r="A26" s="29" t="s">
        <v>213</v>
      </c>
      <c r="B26" s="29" t="s">
        <v>214</v>
      </c>
      <c r="C26" s="29" t="s">
        <v>215</v>
      </c>
      <c r="D26" s="29" t="s">
        <v>216</v>
      </c>
      <c r="E26" s="29" t="s">
        <v>217</v>
      </c>
      <c r="F26" s="29" t="s">
        <v>218</v>
      </c>
      <c r="G26" s="30" t="s">
        <v>219</v>
      </c>
      <c r="H26" s="30" t="s">
        <v>220</v>
      </c>
      <c r="I26" s="29" t="s">
        <v>227</v>
      </c>
      <c r="J26" s="29" t="s">
        <v>221</v>
      </c>
      <c r="K26" s="29" t="s">
        <v>222</v>
      </c>
    </row>
    <row r="27" spans="1:42" ht="14.25" x14ac:dyDescent="0.2">
      <c r="A27" s="29">
        <v>1</v>
      </c>
      <c r="B27" s="29">
        <v>2</v>
      </c>
      <c r="C27" s="29">
        <v>3</v>
      </c>
      <c r="D27" s="29">
        <v>4</v>
      </c>
      <c r="E27" s="29">
        <v>5</v>
      </c>
      <c r="F27" s="29">
        <v>6</v>
      </c>
      <c r="G27" s="29">
        <v>7</v>
      </c>
      <c r="H27" s="29">
        <v>8</v>
      </c>
      <c r="I27" s="29">
        <v>9</v>
      </c>
      <c r="J27" s="29">
        <v>10</v>
      </c>
      <c r="K27" s="29">
        <v>11</v>
      </c>
    </row>
    <row r="29" spans="1:42" ht="16.5" x14ac:dyDescent="0.2">
      <c r="A29" s="34" t="str">
        <f>CONCATENATE("Раздел: ",IF(Source!G24&lt;&gt;"Новый раздел", Source!G24, ""))</f>
        <v>Раздел: Оборудование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42" ht="57" x14ac:dyDescent="0.2">
      <c r="A30" s="35">
        <v>1</v>
      </c>
      <c r="B30" s="35" t="str">
        <f>Source!F28</f>
        <v>4.10-85-1</v>
      </c>
      <c r="C30" s="35" t="s">
        <v>20</v>
      </c>
      <c r="D30" s="37" t="str">
        <f>Source!H28</f>
        <v>1  ШТ.</v>
      </c>
      <c r="E30" s="36">
        <f>Source!I28</f>
        <v>1</v>
      </c>
      <c r="F30" s="39"/>
      <c r="G30" s="38"/>
      <c r="H30" s="36"/>
      <c r="I30" s="39"/>
      <c r="J30" s="36"/>
      <c r="K30" s="39"/>
      <c r="Q30">
        <f>Source!X28</f>
        <v>42.82</v>
      </c>
      <c r="R30">
        <f>Source!X29</f>
        <v>2354.7800000000002</v>
      </c>
      <c r="S30">
        <f>Source!Y28</f>
        <v>21.89</v>
      </c>
      <c r="T30">
        <f>Source!Y29</f>
        <v>1203.55</v>
      </c>
      <c r="U30">
        <f>ROUND((175/100)*ROUND(Source!R28, 2), 2)</f>
        <v>0</v>
      </c>
      <c r="V30">
        <f>ROUND((0/100)*ROUND(Source!R29, 2), 2)</f>
        <v>0</v>
      </c>
      <c r="AC30">
        <v>0</v>
      </c>
    </row>
    <row r="31" spans="1:42" ht="14.25" x14ac:dyDescent="0.2">
      <c r="A31" s="35"/>
      <c r="B31" s="35"/>
      <c r="C31" s="35" t="s">
        <v>228</v>
      </c>
      <c r="D31" s="37"/>
      <c r="E31" s="36"/>
      <c r="F31" s="39">
        <f>Source!AO28</f>
        <v>41.31</v>
      </c>
      <c r="G31" s="38" t="str">
        <f>Source!DG28</f>
        <v>*1,1</v>
      </c>
      <c r="H31" s="36">
        <f>Source!AV29</f>
        <v>1.0469999999999999</v>
      </c>
      <c r="I31" s="39">
        <f>Source!S28</f>
        <v>47.58</v>
      </c>
      <c r="J31" s="36">
        <f>IF(Source!BA29&lt;&gt; 0, Source!BA29, 1)</f>
        <v>54.99</v>
      </c>
      <c r="K31" s="39">
        <f>Source!S29</f>
        <v>2616.42</v>
      </c>
    </row>
    <row r="32" spans="1:42" ht="14.25" x14ac:dyDescent="0.2">
      <c r="A32" s="35"/>
      <c r="B32" s="35"/>
      <c r="C32" s="35" t="s">
        <v>229</v>
      </c>
      <c r="D32" s="37"/>
      <c r="E32" s="36"/>
      <c r="F32" s="39">
        <f>Source!AL28</f>
        <v>0.49</v>
      </c>
      <c r="G32" s="38" t="str">
        <f>Source!DD28</f>
        <v>*1</v>
      </c>
      <c r="H32" s="36">
        <f>Source!AW29</f>
        <v>1</v>
      </c>
      <c r="I32" s="39">
        <f>Source!P28</f>
        <v>0.49</v>
      </c>
      <c r="J32" s="36">
        <f>IF(Source!BC29&lt;&gt; 0, Source!BC29, 1)</f>
        <v>9.9</v>
      </c>
      <c r="K32" s="39">
        <f>Source!P29</f>
        <v>4.8499999999999996</v>
      </c>
    </row>
    <row r="33" spans="1:29" ht="14.25" x14ac:dyDescent="0.2">
      <c r="A33" s="35"/>
      <c r="B33" s="35"/>
      <c r="C33" s="35" t="s">
        <v>230</v>
      </c>
      <c r="D33" s="37" t="s">
        <v>231</v>
      </c>
      <c r="E33" s="36">
        <f>Source!BZ29</f>
        <v>90</v>
      </c>
      <c r="F33" s="39"/>
      <c r="G33" s="38"/>
      <c r="H33" s="36"/>
      <c r="I33" s="39">
        <f>SUM(Q30:Q32)</f>
        <v>42.82</v>
      </c>
      <c r="J33" s="36">
        <f>Source!AT29</f>
        <v>90</v>
      </c>
      <c r="K33" s="39">
        <f>SUM(R30:R32)</f>
        <v>2354.7800000000002</v>
      </c>
    </row>
    <row r="34" spans="1:29" ht="14.25" x14ac:dyDescent="0.2">
      <c r="A34" s="35"/>
      <c r="B34" s="35"/>
      <c r="C34" s="35" t="s">
        <v>232</v>
      </c>
      <c r="D34" s="37" t="s">
        <v>231</v>
      </c>
      <c r="E34" s="36">
        <f>Source!CA29</f>
        <v>46</v>
      </c>
      <c r="F34" s="39"/>
      <c r="G34" s="38"/>
      <c r="H34" s="36"/>
      <c r="I34" s="39">
        <f>SUM(S30:S33)</f>
        <v>21.89</v>
      </c>
      <c r="J34" s="36">
        <f>Source!AU29</f>
        <v>46</v>
      </c>
      <c r="K34" s="39">
        <f>SUM(T30:T33)</f>
        <v>1203.55</v>
      </c>
    </row>
    <row r="35" spans="1:29" ht="14.25" x14ac:dyDescent="0.2">
      <c r="A35" s="40"/>
      <c r="B35" s="40"/>
      <c r="C35" s="40" t="s">
        <v>233</v>
      </c>
      <c r="D35" s="41" t="s">
        <v>234</v>
      </c>
      <c r="E35" s="42">
        <f>Source!AQ28</f>
        <v>3</v>
      </c>
      <c r="F35" s="43"/>
      <c r="G35" s="44" t="str">
        <f>Source!DI28</f>
        <v>*1,1</v>
      </c>
      <c r="H35" s="42">
        <f>Source!AV29</f>
        <v>1.0469999999999999</v>
      </c>
      <c r="I35" s="43">
        <f>Source!U28</f>
        <v>3.4550999999999998</v>
      </c>
      <c r="J35" s="42"/>
      <c r="K35" s="43"/>
    </row>
    <row r="36" spans="1:29" ht="15" x14ac:dyDescent="0.2">
      <c r="C36" s="45" t="s">
        <v>235</v>
      </c>
      <c r="H36" s="46">
        <f>I31+I32+I33+I34+0-0-0</f>
        <v>112.78</v>
      </c>
      <c r="I36" s="46"/>
      <c r="J36" s="46">
        <f>K31+K32+K33+K34+0-0-0</f>
        <v>6179.6</v>
      </c>
      <c r="K36" s="46"/>
    </row>
    <row r="37" spans="1:29" ht="15" hidden="1" x14ac:dyDescent="0.2">
      <c r="C37" s="45" t="s">
        <v>236</v>
      </c>
      <c r="H37" s="48">
        <f>0+0</f>
        <v>0</v>
      </c>
      <c r="I37" s="48"/>
      <c r="J37" s="48">
        <f>0+0</f>
        <v>0</v>
      </c>
      <c r="K37" s="48"/>
    </row>
    <row r="38" spans="1:29" ht="15" x14ac:dyDescent="0.2">
      <c r="C38" s="45" t="s">
        <v>237</v>
      </c>
      <c r="H38" s="48">
        <f>I31+I32+I33+I34+0</f>
        <v>112.78</v>
      </c>
      <c r="I38" s="48"/>
      <c r="J38" s="48">
        <f>K31+K32+K33+K34+0</f>
        <v>6179.6</v>
      </c>
      <c r="K38" s="48"/>
      <c r="O38" s="49">
        <f>I31+I32+I33+I34+0</f>
        <v>112.78</v>
      </c>
      <c r="P38" s="49">
        <f>K31+K32+K33+K34+0</f>
        <v>6179.6</v>
      </c>
    </row>
    <row r="40" spans="1:29" ht="68.25" x14ac:dyDescent="0.2">
      <c r="A40" s="50">
        <v>2</v>
      </c>
      <c r="B40" s="50" t="str">
        <f>Source!F30</f>
        <v>КА-1</v>
      </c>
      <c r="C40" s="50" t="s">
        <v>238</v>
      </c>
      <c r="D40" s="51" t="str">
        <f>Source!H30</f>
        <v>ШТ</v>
      </c>
      <c r="E40" s="52">
        <f>Source!I30</f>
        <v>1</v>
      </c>
      <c r="F40" s="53">
        <f>Source!AL30</f>
        <v>10518.849999999999</v>
      </c>
      <c r="G40" s="54" t="str">
        <f>Source!DD30</f>
        <v/>
      </c>
      <c r="H40" s="52">
        <f>Source!AW31</f>
        <v>1</v>
      </c>
      <c r="I40" s="53">
        <f>Source!P30</f>
        <v>10518.85</v>
      </c>
      <c r="J40" s="52">
        <f>IF(Source!BC31&lt;&gt; 0, Source!BC31, 1)</f>
        <v>7.66</v>
      </c>
      <c r="K40" s="53">
        <f>Source!P31</f>
        <v>80574.39</v>
      </c>
      <c r="Q40">
        <f>Source!X30</f>
        <v>0</v>
      </c>
      <c r="R40">
        <f>Source!X31</f>
        <v>0</v>
      </c>
      <c r="S40">
        <f>Source!Y30</f>
        <v>0</v>
      </c>
      <c r="T40">
        <f>Source!Y31</f>
        <v>0</v>
      </c>
      <c r="U40">
        <f>ROUND((175/100)*ROUND(Source!R30, 2), 2)</f>
        <v>0</v>
      </c>
      <c r="V40">
        <f>ROUND((0/100)*ROUND(Source!R31, 2), 2)</f>
        <v>0</v>
      </c>
      <c r="AC40">
        <v>5</v>
      </c>
    </row>
    <row r="41" spans="1:29" ht="15" x14ac:dyDescent="0.2">
      <c r="A41" s="55"/>
      <c r="B41" s="55"/>
      <c r="C41" s="56" t="s">
        <v>237</v>
      </c>
      <c r="D41" s="55"/>
      <c r="E41" s="55"/>
      <c r="F41" s="55"/>
      <c r="G41" s="55"/>
      <c r="H41" s="57">
        <f>I40+0</f>
        <v>10518.85</v>
      </c>
      <c r="I41" s="57"/>
      <c r="J41" s="57">
        <f>K40+0</f>
        <v>80574.39</v>
      </c>
      <c r="K41" s="57"/>
      <c r="O41" s="49">
        <f>I40+0</f>
        <v>10518.85</v>
      </c>
      <c r="P41" s="49">
        <f>K40+0</f>
        <v>80574.39</v>
      </c>
    </row>
    <row r="43" spans="1:29" ht="42.75" x14ac:dyDescent="0.2">
      <c r="A43" s="35">
        <v>3</v>
      </c>
      <c r="B43" s="35" t="str">
        <f>Source!F32</f>
        <v>4.10-86-1</v>
      </c>
      <c r="C43" s="35" t="s">
        <v>40</v>
      </c>
      <c r="D43" s="37" t="str">
        <f>Source!H32</f>
        <v>1  ШТ.</v>
      </c>
      <c r="E43" s="36">
        <f>Source!I32</f>
        <v>2</v>
      </c>
      <c r="F43" s="39"/>
      <c r="G43" s="38"/>
      <c r="H43" s="36"/>
      <c r="I43" s="39"/>
      <c r="J43" s="36"/>
      <c r="K43" s="39"/>
      <c r="Q43">
        <f>Source!X32</f>
        <v>49.34</v>
      </c>
      <c r="R43">
        <f>Source!X33</f>
        <v>2713.1</v>
      </c>
      <c r="S43">
        <f>Source!Y32</f>
        <v>25.22</v>
      </c>
      <c r="T43">
        <f>Source!Y33</f>
        <v>1386.69</v>
      </c>
      <c r="U43">
        <f>ROUND((175/100)*ROUND(Source!R32, 2), 2)</f>
        <v>0</v>
      </c>
      <c r="V43">
        <f>ROUND((0/100)*ROUND(Source!R33, 2), 2)</f>
        <v>0</v>
      </c>
      <c r="AC43">
        <v>0</v>
      </c>
    </row>
    <row r="44" spans="1:29" ht="14.25" x14ac:dyDescent="0.2">
      <c r="A44" s="35"/>
      <c r="B44" s="35"/>
      <c r="C44" s="35" t="s">
        <v>228</v>
      </c>
      <c r="D44" s="37"/>
      <c r="E44" s="36"/>
      <c r="F44" s="39">
        <f>Source!AO32</f>
        <v>23.8</v>
      </c>
      <c r="G44" s="38" t="str">
        <f>Source!DG32</f>
        <v>*1,1</v>
      </c>
      <c r="H44" s="36">
        <f>Source!AV33</f>
        <v>1.0469999999999999</v>
      </c>
      <c r="I44" s="39">
        <f>Source!S32</f>
        <v>54.82</v>
      </c>
      <c r="J44" s="36">
        <f>IF(Source!BA33&lt;&gt; 0, Source!BA33, 1)</f>
        <v>54.99</v>
      </c>
      <c r="K44" s="39">
        <f>Source!S33</f>
        <v>3014.55</v>
      </c>
    </row>
    <row r="45" spans="1:29" ht="14.25" x14ac:dyDescent="0.2">
      <c r="A45" s="35"/>
      <c r="B45" s="35"/>
      <c r="C45" s="35" t="s">
        <v>229</v>
      </c>
      <c r="D45" s="37"/>
      <c r="E45" s="36"/>
      <c r="F45" s="39">
        <f>Source!AL32</f>
        <v>0.28000000000000003</v>
      </c>
      <c r="G45" s="38" t="str">
        <f>Source!DD32</f>
        <v>*1</v>
      </c>
      <c r="H45" s="36">
        <f>Source!AW33</f>
        <v>1</v>
      </c>
      <c r="I45" s="39">
        <f>Source!P32</f>
        <v>0.56000000000000005</v>
      </c>
      <c r="J45" s="36">
        <f>IF(Source!BC33&lt;&gt; 0, Source!BC33, 1)</f>
        <v>9.89</v>
      </c>
      <c r="K45" s="39">
        <f>Source!P33</f>
        <v>5.54</v>
      </c>
    </row>
    <row r="46" spans="1:29" ht="14.25" x14ac:dyDescent="0.2">
      <c r="A46" s="35"/>
      <c r="B46" s="35"/>
      <c r="C46" s="35" t="s">
        <v>230</v>
      </c>
      <c r="D46" s="37" t="s">
        <v>231</v>
      </c>
      <c r="E46" s="36">
        <f>Source!BZ33</f>
        <v>90</v>
      </c>
      <c r="F46" s="39"/>
      <c r="G46" s="38"/>
      <c r="H46" s="36"/>
      <c r="I46" s="39">
        <f>SUM(Q43:Q45)</f>
        <v>49.34</v>
      </c>
      <c r="J46" s="36">
        <f>Source!AT33</f>
        <v>90</v>
      </c>
      <c r="K46" s="39">
        <f>SUM(R43:R45)</f>
        <v>2713.1</v>
      </c>
    </row>
    <row r="47" spans="1:29" ht="14.25" x14ac:dyDescent="0.2">
      <c r="A47" s="35"/>
      <c r="B47" s="35"/>
      <c r="C47" s="35" t="s">
        <v>232</v>
      </c>
      <c r="D47" s="37" t="s">
        <v>231</v>
      </c>
      <c r="E47" s="36">
        <f>Source!CA33</f>
        <v>46</v>
      </c>
      <c r="F47" s="39"/>
      <c r="G47" s="38"/>
      <c r="H47" s="36"/>
      <c r="I47" s="39">
        <f>SUM(S43:S46)</f>
        <v>25.22</v>
      </c>
      <c r="J47" s="36">
        <f>Source!AU33</f>
        <v>46</v>
      </c>
      <c r="K47" s="39">
        <f>SUM(T43:T46)</f>
        <v>1386.69</v>
      </c>
    </row>
    <row r="48" spans="1:29" ht="14.25" x14ac:dyDescent="0.2">
      <c r="A48" s="40"/>
      <c r="B48" s="40"/>
      <c r="C48" s="40" t="s">
        <v>233</v>
      </c>
      <c r="D48" s="41" t="s">
        <v>234</v>
      </c>
      <c r="E48" s="42">
        <f>Source!AQ32</f>
        <v>2</v>
      </c>
      <c r="F48" s="43"/>
      <c r="G48" s="44" t="str">
        <f>Source!DI32</f>
        <v>*1,1</v>
      </c>
      <c r="H48" s="42">
        <f>Source!AV33</f>
        <v>1.0469999999999999</v>
      </c>
      <c r="I48" s="43">
        <f>Source!U32</f>
        <v>4.6067999999999998</v>
      </c>
      <c r="J48" s="42"/>
      <c r="K48" s="43"/>
    </row>
    <row r="49" spans="1:29" ht="15" x14ac:dyDescent="0.2">
      <c r="C49" s="45" t="s">
        <v>235</v>
      </c>
      <c r="H49" s="46">
        <f>I44+I45+I46+I47+0-0-0</f>
        <v>129.94</v>
      </c>
      <c r="I49" s="46"/>
      <c r="J49" s="46">
        <f>K44+K45+K46+K47+0-0-0</f>
        <v>7119.880000000001</v>
      </c>
      <c r="K49" s="46"/>
    </row>
    <row r="50" spans="1:29" ht="15" hidden="1" x14ac:dyDescent="0.2">
      <c r="C50" s="45" t="s">
        <v>236</v>
      </c>
      <c r="H50" s="48">
        <f>0+0</f>
        <v>0</v>
      </c>
      <c r="I50" s="48"/>
      <c r="J50" s="48">
        <f>0+0</f>
        <v>0</v>
      </c>
      <c r="K50" s="48"/>
    </row>
    <row r="51" spans="1:29" ht="15" x14ac:dyDescent="0.2">
      <c r="C51" s="45" t="s">
        <v>237</v>
      </c>
      <c r="H51" s="48">
        <f>I44+I45+I46+I47+0</f>
        <v>129.94</v>
      </c>
      <c r="I51" s="48"/>
      <c r="J51" s="48">
        <f>K44+K45+K46+K47+0</f>
        <v>7119.880000000001</v>
      </c>
      <c r="K51" s="48"/>
      <c r="O51" s="49">
        <f>I44+I45+I46+I47+0</f>
        <v>129.94</v>
      </c>
      <c r="P51" s="49">
        <f>K44+K45+K46+K47+0</f>
        <v>7119.880000000001</v>
      </c>
    </row>
    <row r="53" spans="1:29" ht="42.75" x14ac:dyDescent="0.2">
      <c r="A53" s="50">
        <v>4</v>
      </c>
      <c r="B53" s="50" t="str">
        <f>Source!F34</f>
        <v>13.1-2-211</v>
      </c>
      <c r="C53" s="50" t="s">
        <v>239</v>
      </c>
      <c r="D53" s="51" t="str">
        <f>Source!H34</f>
        <v>шт.</v>
      </c>
      <c r="E53" s="52">
        <f>Source!I34</f>
        <v>2</v>
      </c>
      <c r="F53" s="53">
        <f>Source!AL34</f>
        <v>730.63</v>
      </c>
      <c r="G53" s="54" t="str">
        <f>Source!DD34</f>
        <v/>
      </c>
      <c r="H53" s="52">
        <f>Source!AW35</f>
        <v>1</v>
      </c>
      <c r="I53" s="53">
        <f>Source!P34</f>
        <v>1461.26</v>
      </c>
      <c r="J53" s="52">
        <f>IF(Source!BC35&lt;&gt; 0, Source!BC35, 1)</f>
        <v>5.2</v>
      </c>
      <c r="K53" s="53">
        <f>Source!P35</f>
        <v>7598.55</v>
      </c>
      <c r="Q53">
        <f>Source!X34</f>
        <v>0</v>
      </c>
      <c r="R53">
        <f>Source!X35</f>
        <v>0</v>
      </c>
      <c r="S53">
        <f>Source!Y34</f>
        <v>0</v>
      </c>
      <c r="T53">
        <f>Source!Y35</f>
        <v>0</v>
      </c>
      <c r="U53">
        <f>ROUND((175/100)*ROUND(Source!R34, 2), 2)</f>
        <v>0</v>
      </c>
      <c r="V53">
        <f>ROUND((0/100)*ROUND(Source!R35, 2), 2)</f>
        <v>0</v>
      </c>
      <c r="AC53">
        <v>5</v>
      </c>
    </row>
    <row r="54" spans="1:29" ht="15" x14ac:dyDescent="0.2">
      <c r="A54" s="55"/>
      <c r="B54" s="55"/>
      <c r="C54" s="56" t="s">
        <v>237</v>
      </c>
      <c r="D54" s="55"/>
      <c r="E54" s="55"/>
      <c r="F54" s="55"/>
      <c r="G54" s="55"/>
      <c r="H54" s="57">
        <f>I53+0</f>
        <v>1461.26</v>
      </c>
      <c r="I54" s="57"/>
      <c r="J54" s="57">
        <f>K53+0</f>
        <v>7598.55</v>
      </c>
      <c r="K54" s="57"/>
      <c r="O54" s="49">
        <f>I53+0</f>
        <v>1461.26</v>
      </c>
      <c r="P54" s="49">
        <f>K53+0</f>
        <v>7598.55</v>
      </c>
    </row>
    <row r="57" spans="1:29" ht="15" x14ac:dyDescent="0.25">
      <c r="A57" s="58" t="str">
        <f>CONCATENATE("Итого по разделу: ",IF(Source!G37&lt;&gt;"Новый раздел", Source!G37, ""))</f>
        <v>Итого по разделу: Оборудование</v>
      </c>
      <c r="B57" s="58"/>
      <c r="C57" s="58"/>
      <c r="D57" s="58"/>
      <c r="E57" s="58"/>
      <c r="F57" s="58"/>
      <c r="G57" s="58"/>
      <c r="H57" s="48">
        <f>SUM(O29:O56)</f>
        <v>12222.830000000002</v>
      </c>
      <c r="I57" s="47"/>
      <c r="J57" s="48">
        <f>SUM(P29:P56)</f>
        <v>101472.42000000001</v>
      </c>
      <c r="K57" s="47"/>
    </row>
    <row r="58" spans="1:29" hidden="1" x14ac:dyDescent="0.2">
      <c r="A58" t="s">
        <v>240</v>
      </c>
      <c r="I58">
        <f>SUM(W29:W57)</f>
        <v>0</v>
      </c>
      <c r="J58">
        <f>SUM(X29:X57)</f>
        <v>0</v>
      </c>
    </row>
    <row r="59" spans="1:29" hidden="1" x14ac:dyDescent="0.2">
      <c r="A59" t="s">
        <v>241</v>
      </c>
      <c r="I59">
        <f>SUM(Y29:Y58)</f>
        <v>0</v>
      </c>
      <c r="J59">
        <f>SUM(Z29:Z58)</f>
        <v>0</v>
      </c>
    </row>
    <row r="61" spans="1:29" ht="16.5" x14ac:dyDescent="0.2">
      <c r="A61" s="34" t="str">
        <f>CONCATENATE("Раздел: ",IF(Source!G67&lt;&gt;"Новый раздел", Source!G67, ""))</f>
        <v>Раздел: Кабельные изделия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</row>
    <row r="62" spans="1:29" ht="71.25" x14ac:dyDescent="0.2">
      <c r="A62" s="35">
        <v>5</v>
      </c>
      <c r="B62" s="35" t="str">
        <f>Source!F71</f>
        <v>4.8-288-1</v>
      </c>
      <c r="C62" s="35" t="s">
        <v>103</v>
      </c>
      <c r="D62" s="37" t="str">
        <f>Source!H71</f>
        <v>100 м</v>
      </c>
      <c r="E62" s="36">
        <f>Source!I71</f>
        <v>0.5</v>
      </c>
      <c r="F62" s="39"/>
      <c r="G62" s="38"/>
      <c r="H62" s="36"/>
      <c r="I62" s="39"/>
      <c r="J62" s="36"/>
      <c r="K62" s="39"/>
      <c r="Q62">
        <f>Source!X71</f>
        <v>106.43</v>
      </c>
      <c r="R62">
        <f>Source!X72</f>
        <v>5852.5</v>
      </c>
      <c r="S62">
        <f>Source!Y71</f>
        <v>55.96</v>
      </c>
      <c r="T62">
        <f>Source!Y72</f>
        <v>3077.09</v>
      </c>
      <c r="U62">
        <f>ROUND((175/100)*ROUND(Source!R71, 2), 2)</f>
        <v>5.5</v>
      </c>
      <c r="V62">
        <f>ROUND((0/100)*ROUND(Source!R72, 2), 2)</f>
        <v>0</v>
      </c>
      <c r="AC62">
        <v>0</v>
      </c>
    </row>
    <row r="63" spans="1:29" x14ac:dyDescent="0.2">
      <c r="C63" s="59" t="str">
        <f>"Объем: "&amp;Source!I71&amp;"=50/"&amp;"100"</f>
        <v>Объем: 0,5=50/100</v>
      </c>
    </row>
    <row r="64" spans="1:29" ht="14.25" x14ac:dyDescent="0.2">
      <c r="A64" s="35"/>
      <c r="B64" s="35"/>
      <c r="C64" s="35" t="s">
        <v>228</v>
      </c>
      <c r="D64" s="37"/>
      <c r="E64" s="36"/>
      <c r="F64" s="39">
        <f>Source!AO71</f>
        <v>185.09</v>
      </c>
      <c r="G64" s="38" t="str">
        <f>Source!DG71</f>
        <v>*1,1</v>
      </c>
      <c r="H64" s="36">
        <f>Source!AV72</f>
        <v>1.0469999999999999</v>
      </c>
      <c r="I64" s="39">
        <f>Source!S71</f>
        <v>106.58</v>
      </c>
      <c r="J64" s="36">
        <f>IF(Source!BA72&lt;&gt; 0, Source!BA72, 1)</f>
        <v>54.99</v>
      </c>
      <c r="K64" s="39">
        <f>Source!S72</f>
        <v>5860.83</v>
      </c>
    </row>
    <row r="65" spans="1:29" ht="14.25" x14ac:dyDescent="0.2">
      <c r="A65" s="35"/>
      <c r="B65" s="35"/>
      <c r="C65" s="35" t="s">
        <v>242</v>
      </c>
      <c r="D65" s="37"/>
      <c r="E65" s="36"/>
      <c r="F65" s="39">
        <f>Source!AM71</f>
        <v>32.74</v>
      </c>
      <c r="G65" s="38" t="str">
        <f>Source!DE71</f>
        <v>*1,1</v>
      </c>
      <c r="H65" s="36">
        <f>Source!AV72</f>
        <v>1.0469999999999999</v>
      </c>
      <c r="I65" s="39">
        <f>Source!Q71</f>
        <v>18.850000000000001</v>
      </c>
      <c r="J65" s="36">
        <f>IF(Source!BB72&lt;&gt; 0, Source!BB72, 1)</f>
        <v>17.54</v>
      </c>
      <c r="K65" s="39">
        <f>Source!Q72</f>
        <v>330.63</v>
      </c>
    </row>
    <row r="66" spans="1:29" ht="14.25" x14ac:dyDescent="0.2">
      <c r="A66" s="35"/>
      <c r="B66" s="35"/>
      <c r="C66" s="35" t="s">
        <v>243</v>
      </c>
      <c r="D66" s="37"/>
      <c r="E66" s="36"/>
      <c r="F66" s="39">
        <f>Source!AN71</f>
        <v>5.46</v>
      </c>
      <c r="G66" s="38" t="str">
        <f>Source!DF71</f>
        <v>*1,1</v>
      </c>
      <c r="H66" s="36">
        <f>Source!AV72</f>
        <v>1.0469999999999999</v>
      </c>
      <c r="I66" s="60">
        <f>Source!R71</f>
        <v>3.14</v>
      </c>
      <c r="J66" s="36">
        <f>IF(Source!BS72&lt;&gt; 0, Source!BS72, 1)</f>
        <v>54.99</v>
      </c>
      <c r="K66" s="60">
        <f>Source!R72</f>
        <v>172.67</v>
      </c>
    </row>
    <row r="67" spans="1:29" ht="14.25" x14ac:dyDescent="0.2">
      <c r="A67" s="35"/>
      <c r="B67" s="35"/>
      <c r="C67" s="35" t="s">
        <v>229</v>
      </c>
      <c r="D67" s="37"/>
      <c r="E67" s="36"/>
      <c r="F67" s="39">
        <f>Source!AL71</f>
        <v>343.03</v>
      </c>
      <c r="G67" s="38" t="str">
        <f>Source!DD71</f>
        <v>*1</v>
      </c>
      <c r="H67" s="36">
        <f>Source!AW72</f>
        <v>1</v>
      </c>
      <c r="I67" s="39">
        <f>Source!P71</f>
        <v>171.52</v>
      </c>
      <c r="J67" s="36">
        <f>IF(Source!BC72&lt;&gt; 0, Source!BC72, 1)</f>
        <v>9.89</v>
      </c>
      <c r="K67" s="39">
        <f>Source!P72</f>
        <v>1696.33</v>
      </c>
    </row>
    <row r="68" spans="1:29" ht="42.75" x14ac:dyDescent="0.2">
      <c r="A68" s="35" t="s">
        <v>108</v>
      </c>
      <c r="B68" s="35" t="str">
        <f>Source!F73</f>
        <v>1.12-5-371</v>
      </c>
      <c r="C68" s="35" t="s">
        <v>110</v>
      </c>
      <c r="D68" s="37" t="str">
        <f>Source!H73</f>
        <v>м</v>
      </c>
      <c r="E68" s="36">
        <f>Source!I73</f>
        <v>51</v>
      </c>
      <c r="F68" s="39">
        <f>Source!AK73</f>
        <v>2.67</v>
      </c>
      <c r="G68" s="61" t="s">
        <v>244</v>
      </c>
      <c r="H68" s="36">
        <f>Source!AW74</f>
        <v>1</v>
      </c>
      <c r="I68" s="39">
        <f>Source!O73</f>
        <v>136.16999999999999</v>
      </c>
      <c r="J68" s="36">
        <f>IF(Source!BC74&lt;&gt; 0, Source!BC74, 1)</f>
        <v>3.83</v>
      </c>
      <c r="K68" s="39">
        <f>Source!O74</f>
        <v>521.53</v>
      </c>
      <c r="Q68">
        <f>Source!X73</f>
        <v>0</v>
      </c>
      <c r="R68">
        <f>Source!X74</f>
        <v>0</v>
      </c>
      <c r="S68">
        <f>Source!Y73</f>
        <v>0</v>
      </c>
      <c r="T68">
        <f>Source!Y74</f>
        <v>0</v>
      </c>
      <c r="U68">
        <f>ROUND((175/100)*ROUND(Source!R73, 2), 2)</f>
        <v>0</v>
      </c>
      <c r="V68">
        <f>ROUND((0/100)*ROUND(Source!R74, 2), 2)</f>
        <v>0</v>
      </c>
      <c r="AC68">
        <v>3</v>
      </c>
    </row>
    <row r="69" spans="1:29" ht="14.25" x14ac:dyDescent="0.2">
      <c r="A69" s="35"/>
      <c r="B69" s="35"/>
      <c r="C69" s="35" t="s">
        <v>230</v>
      </c>
      <c r="D69" s="37" t="s">
        <v>231</v>
      </c>
      <c r="E69" s="36">
        <f>Source!BZ72</f>
        <v>97</v>
      </c>
      <c r="F69" s="39"/>
      <c r="G69" s="38"/>
      <c r="H69" s="36"/>
      <c r="I69" s="39">
        <f>SUM(Q62:Q68)</f>
        <v>106.43</v>
      </c>
      <c r="J69" s="36">
        <f>Source!AT72</f>
        <v>97</v>
      </c>
      <c r="K69" s="39">
        <f>SUM(R62:R68)</f>
        <v>5852.5</v>
      </c>
    </row>
    <row r="70" spans="1:29" ht="14.25" x14ac:dyDescent="0.2">
      <c r="A70" s="35"/>
      <c r="B70" s="35"/>
      <c r="C70" s="35" t="s">
        <v>232</v>
      </c>
      <c r="D70" s="37" t="s">
        <v>231</v>
      </c>
      <c r="E70" s="36">
        <f>Source!CA72</f>
        <v>51</v>
      </c>
      <c r="F70" s="39"/>
      <c r="G70" s="38"/>
      <c r="H70" s="36"/>
      <c r="I70" s="39">
        <f>SUM(S62:S69)</f>
        <v>55.96</v>
      </c>
      <c r="J70" s="36">
        <f>Source!AU72</f>
        <v>51</v>
      </c>
      <c r="K70" s="39">
        <f>SUM(T62:T69)</f>
        <v>3077.09</v>
      </c>
    </row>
    <row r="71" spans="1:29" ht="14.25" x14ac:dyDescent="0.2">
      <c r="A71" s="40"/>
      <c r="B71" s="40"/>
      <c r="C71" s="40" t="s">
        <v>233</v>
      </c>
      <c r="D71" s="41" t="s">
        <v>234</v>
      </c>
      <c r="E71" s="42">
        <f>Source!AQ71</f>
        <v>14.37</v>
      </c>
      <c r="F71" s="43"/>
      <c r="G71" s="44" t="str">
        <f>Source!DI71</f>
        <v>*1,1</v>
      </c>
      <c r="H71" s="42">
        <f>Source!AV72</f>
        <v>1.0469999999999999</v>
      </c>
      <c r="I71" s="43">
        <f>Source!U71</f>
        <v>8.2749644999999994</v>
      </c>
      <c r="J71" s="42"/>
      <c r="K71" s="43"/>
    </row>
    <row r="72" spans="1:29" ht="15" x14ac:dyDescent="0.2">
      <c r="C72" s="45" t="s">
        <v>235</v>
      </c>
      <c r="H72" s="46">
        <f>I64+I65+I67+I69+I70+SUM(I68:I68)-SUMIF(AC68:AC68, 5, I68:I68)-SUMIF(AC68:AC68, 6, I68:I68)</f>
        <v>595.51</v>
      </c>
      <c r="I72" s="46"/>
      <c r="J72" s="46">
        <f>K64+K65+K67+K69+K70+SUM(K68:K68)-SUMIF(AC68:AC68, 5, K68:K68)-SUMIF(AC68:AC68, 6, K68:K68)</f>
        <v>17338.91</v>
      </c>
      <c r="K72" s="46"/>
    </row>
    <row r="73" spans="1:29" ht="15" hidden="1" x14ac:dyDescent="0.2">
      <c r="C73" s="45" t="s">
        <v>236</v>
      </c>
      <c r="H73" s="48">
        <f>SUMIF(AC68:AC68, 5, I68:I68)+SUMIF(AC68:AC68, 6, I68:I68)</f>
        <v>0</v>
      </c>
      <c r="I73" s="48"/>
      <c r="J73" s="48">
        <f>SUMIF(AC68:AC68, 5, K68:K68)+SUMIF(AC68:AC68, 6, K68:K68)</f>
        <v>0</v>
      </c>
      <c r="K73" s="48"/>
    </row>
    <row r="74" spans="1:29" ht="15" x14ac:dyDescent="0.2">
      <c r="C74" s="45" t="s">
        <v>237</v>
      </c>
      <c r="H74" s="48">
        <f>I64+I65+I67+I69+I70+SUM(I68:I68)</f>
        <v>595.51</v>
      </c>
      <c r="I74" s="48"/>
      <c r="J74" s="48">
        <f>K64+K65+K67+K69+K70+SUM(K68:K68)</f>
        <v>17338.91</v>
      </c>
      <c r="K74" s="48"/>
      <c r="O74" s="49">
        <f>I64+I65+I67+I69+I70+SUM(I68:I68)</f>
        <v>595.51</v>
      </c>
      <c r="P74" s="49">
        <f>K64+K65+K67+K69+K70+SUM(K68:K68)</f>
        <v>17338.91</v>
      </c>
    </row>
    <row r="76" spans="1:29" ht="71.25" x14ac:dyDescent="0.2">
      <c r="A76" s="35">
        <v>6</v>
      </c>
      <c r="B76" s="35" t="str">
        <f>Source!F77</f>
        <v>4.8-175-1</v>
      </c>
      <c r="C76" s="35" t="s">
        <v>120</v>
      </c>
      <c r="D76" s="37" t="str">
        <f>Source!H77</f>
        <v>100 м</v>
      </c>
      <c r="E76" s="36">
        <f>Source!I77</f>
        <v>0.5</v>
      </c>
      <c r="F76" s="39"/>
      <c r="G76" s="38"/>
      <c r="H76" s="36"/>
      <c r="I76" s="39"/>
      <c r="J76" s="36"/>
      <c r="K76" s="39"/>
      <c r="Q76">
        <f>Source!X77</f>
        <v>31.01</v>
      </c>
      <c r="R76">
        <f>Source!X78</f>
        <v>1705.29</v>
      </c>
      <c r="S76">
        <f>Source!Y77</f>
        <v>16.3</v>
      </c>
      <c r="T76">
        <f>Source!Y78</f>
        <v>896.6</v>
      </c>
      <c r="U76">
        <f>ROUND((175/100)*ROUND(Source!R77, 2), 2)</f>
        <v>0.3</v>
      </c>
      <c r="V76">
        <f>ROUND((0/100)*ROUND(Source!R78, 2), 2)</f>
        <v>0</v>
      </c>
      <c r="AC76">
        <v>0</v>
      </c>
    </row>
    <row r="77" spans="1:29" x14ac:dyDescent="0.2">
      <c r="C77" s="59" t="str">
        <f>"Объем: "&amp;Source!I77&amp;"=50/"&amp;"100"</f>
        <v>Объем: 0,5=50/100</v>
      </c>
    </row>
    <row r="78" spans="1:29" ht="14.25" x14ac:dyDescent="0.2">
      <c r="A78" s="35"/>
      <c r="B78" s="35"/>
      <c r="C78" s="35" t="s">
        <v>228</v>
      </c>
      <c r="D78" s="37"/>
      <c r="E78" s="36"/>
      <c r="F78" s="39">
        <f>Source!AO77</f>
        <v>55.23</v>
      </c>
      <c r="G78" s="38" t="str">
        <f>Source!DG77</f>
        <v>*1,1</v>
      </c>
      <c r="H78" s="36">
        <f>Source!AV78</f>
        <v>1.0469999999999999</v>
      </c>
      <c r="I78" s="39">
        <f>Source!S77</f>
        <v>31.8</v>
      </c>
      <c r="J78" s="36">
        <f>IF(Source!BA78&lt;&gt; 0, Source!BA78, 1)</f>
        <v>54.99</v>
      </c>
      <c r="K78" s="39">
        <f>Source!S78</f>
        <v>1748.68</v>
      </c>
    </row>
    <row r="79" spans="1:29" ht="14.25" x14ac:dyDescent="0.2">
      <c r="A79" s="35"/>
      <c r="B79" s="35"/>
      <c r="C79" s="35" t="s">
        <v>242</v>
      </c>
      <c r="D79" s="37"/>
      <c r="E79" s="36"/>
      <c r="F79" s="39">
        <f>Source!AM77</f>
        <v>2.62</v>
      </c>
      <c r="G79" s="38" t="str">
        <f>Source!DE77</f>
        <v>*1,1</v>
      </c>
      <c r="H79" s="36">
        <f>Source!AV78</f>
        <v>1.0469999999999999</v>
      </c>
      <c r="I79" s="39">
        <f>Source!Q77</f>
        <v>1.51</v>
      </c>
      <c r="J79" s="36">
        <f>IF(Source!BB78&lt;&gt; 0, Source!BB78, 1)</f>
        <v>14.57</v>
      </c>
      <c r="K79" s="39">
        <f>Source!Q78</f>
        <v>22</v>
      </c>
    </row>
    <row r="80" spans="1:29" ht="14.25" x14ac:dyDescent="0.2">
      <c r="A80" s="35"/>
      <c r="B80" s="35"/>
      <c r="C80" s="35" t="s">
        <v>243</v>
      </c>
      <c r="D80" s="37"/>
      <c r="E80" s="36"/>
      <c r="F80" s="39">
        <f>Source!AN77</f>
        <v>0.3</v>
      </c>
      <c r="G80" s="38" t="str">
        <f>Source!DF77</f>
        <v>*1,1</v>
      </c>
      <c r="H80" s="36">
        <f>Source!AV78</f>
        <v>1.0469999999999999</v>
      </c>
      <c r="I80" s="60">
        <f>Source!R77</f>
        <v>0.17</v>
      </c>
      <c r="J80" s="36">
        <f>IF(Source!BS78&lt;&gt; 0, Source!BS78, 1)</f>
        <v>54.99</v>
      </c>
      <c r="K80" s="60">
        <f>Source!R78</f>
        <v>9.35</v>
      </c>
    </row>
    <row r="81" spans="1:29" ht="14.25" x14ac:dyDescent="0.2">
      <c r="A81" s="35"/>
      <c r="B81" s="35"/>
      <c r="C81" s="35" t="s">
        <v>229</v>
      </c>
      <c r="D81" s="37"/>
      <c r="E81" s="36"/>
      <c r="F81" s="39">
        <f>Source!AL77</f>
        <v>58.15</v>
      </c>
      <c r="G81" s="38" t="str">
        <f>Source!DD77</f>
        <v>*1</v>
      </c>
      <c r="H81" s="36">
        <f>Source!AW78</f>
        <v>1</v>
      </c>
      <c r="I81" s="39">
        <f>Source!P77</f>
        <v>29.08</v>
      </c>
      <c r="J81" s="36">
        <f>IF(Source!BC78&lt;&gt; 0, Source!BC78, 1)</f>
        <v>3.7</v>
      </c>
      <c r="K81" s="39">
        <f>Source!P78</f>
        <v>107.6</v>
      </c>
    </row>
    <row r="82" spans="1:29" ht="14.25" x14ac:dyDescent="0.2">
      <c r="A82" s="35"/>
      <c r="B82" s="35"/>
      <c r="C82" s="35" t="s">
        <v>230</v>
      </c>
      <c r="D82" s="37" t="s">
        <v>231</v>
      </c>
      <c r="E82" s="36">
        <f>Source!BZ78</f>
        <v>97</v>
      </c>
      <c r="F82" s="39"/>
      <c r="G82" s="38"/>
      <c r="H82" s="36"/>
      <c r="I82" s="39">
        <f>SUM(Q76:Q81)</f>
        <v>31.01</v>
      </c>
      <c r="J82" s="36">
        <f>Source!AT78</f>
        <v>97</v>
      </c>
      <c r="K82" s="39">
        <f>SUM(R76:R81)</f>
        <v>1705.29</v>
      </c>
    </row>
    <row r="83" spans="1:29" ht="14.25" x14ac:dyDescent="0.2">
      <c r="A83" s="35"/>
      <c r="B83" s="35"/>
      <c r="C83" s="35" t="s">
        <v>232</v>
      </c>
      <c r="D83" s="37" t="s">
        <v>231</v>
      </c>
      <c r="E83" s="36">
        <f>Source!CA78</f>
        <v>51</v>
      </c>
      <c r="F83" s="39"/>
      <c r="G83" s="38"/>
      <c r="H83" s="36"/>
      <c r="I83" s="39">
        <f>SUM(S76:S82)</f>
        <v>16.3</v>
      </c>
      <c r="J83" s="36">
        <f>Source!AU78</f>
        <v>51</v>
      </c>
      <c r="K83" s="39">
        <f>SUM(T76:T82)</f>
        <v>896.6</v>
      </c>
    </row>
    <row r="84" spans="1:29" ht="14.25" x14ac:dyDescent="0.2">
      <c r="A84" s="40"/>
      <c r="B84" s="40"/>
      <c r="C84" s="40" t="s">
        <v>233</v>
      </c>
      <c r="D84" s="41" t="s">
        <v>234</v>
      </c>
      <c r="E84" s="42">
        <f>Source!AQ77</f>
        <v>4.49</v>
      </c>
      <c r="F84" s="43"/>
      <c r="G84" s="44" t="str">
        <f>Source!DI77</f>
        <v>*1,1</v>
      </c>
      <c r="H84" s="42">
        <f>Source!AV78</f>
        <v>1.0469999999999999</v>
      </c>
      <c r="I84" s="43">
        <f>Source!U77</f>
        <v>2.5855665000000005</v>
      </c>
      <c r="J84" s="42"/>
      <c r="K84" s="43"/>
    </row>
    <row r="85" spans="1:29" ht="15" x14ac:dyDescent="0.2">
      <c r="C85" s="45" t="s">
        <v>235</v>
      </c>
      <c r="H85" s="46">
        <f>I78+I79+I81+I82+I83+0-0-0</f>
        <v>109.7</v>
      </c>
      <c r="I85" s="46"/>
      <c r="J85" s="46">
        <f>K78+K79+K81+K82+K83+0-0-0</f>
        <v>4480.17</v>
      </c>
      <c r="K85" s="46"/>
    </row>
    <row r="86" spans="1:29" ht="15" hidden="1" x14ac:dyDescent="0.2">
      <c r="C86" s="45" t="s">
        <v>236</v>
      </c>
      <c r="H86" s="48">
        <f>0+0</f>
        <v>0</v>
      </c>
      <c r="I86" s="48"/>
      <c r="J86" s="48">
        <f>0+0</f>
        <v>0</v>
      </c>
      <c r="K86" s="48"/>
    </row>
    <row r="87" spans="1:29" ht="15" x14ac:dyDescent="0.2">
      <c r="C87" s="45" t="s">
        <v>237</v>
      </c>
      <c r="H87" s="48">
        <f>I78+I79+I81+I82+I83+0</f>
        <v>109.7</v>
      </c>
      <c r="I87" s="48"/>
      <c r="J87" s="48">
        <f>K78+K79+K81+K82+K83+0</f>
        <v>4480.17</v>
      </c>
      <c r="K87" s="48"/>
      <c r="O87" s="49">
        <f>I78+I79+I81+I82+I83+0</f>
        <v>109.7</v>
      </c>
      <c r="P87" s="49">
        <f>K78+K79+K81+K82+K83+0</f>
        <v>4480.17</v>
      </c>
    </row>
    <row r="89" spans="1:29" ht="99.75" x14ac:dyDescent="0.2">
      <c r="A89" s="35">
        <v>7</v>
      </c>
      <c r="B89" s="35" t="str">
        <f>Source!F79</f>
        <v>4.8-175-9</v>
      </c>
      <c r="C89" s="35" t="s">
        <v>124</v>
      </c>
      <c r="D89" s="37" t="str">
        <f>Source!H79</f>
        <v>100 м</v>
      </c>
      <c r="E89" s="36">
        <f>Source!I79</f>
        <v>0.5</v>
      </c>
      <c r="F89" s="39"/>
      <c r="G89" s="38"/>
      <c r="H89" s="36"/>
      <c r="I89" s="39"/>
      <c r="J89" s="36"/>
      <c r="K89" s="39"/>
      <c r="Q89">
        <f>Source!X79</f>
        <v>12.74</v>
      </c>
      <c r="R89">
        <f>Source!X80</f>
        <v>700.36</v>
      </c>
      <c r="S89">
        <f>Source!Y79</f>
        <v>6.7</v>
      </c>
      <c r="T89">
        <f>Source!Y80</f>
        <v>368.23</v>
      </c>
      <c r="U89">
        <f>ROUND((175/100)*ROUND(Source!R79, 2), 2)</f>
        <v>0.3</v>
      </c>
      <c r="V89">
        <f>ROUND((0/100)*ROUND(Source!R80, 2), 2)</f>
        <v>0</v>
      </c>
      <c r="AC89">
        <v>0</v>
      </c>
    </row>
    <row r="90" spans="1:29" x14ac:dyDescent="0.2">
      <c r="C90" s="59" t="str">
        <f>"Объем: "&amp;Source!I79&amp;"=50/"&amp;"100"</f>
        <v>Объем: 0,5=50/100</v>
      </c>
    </row>
    <row r="91" spans="1:29" ht="14.25" x14ac:dyDescent="0.2">
      <c r="A91" s="35"/>
      <c r="B91" s="35"/>
      <c r="C91" s="35" t="s">
        <v>228</v>
      </c>
      <c r="D91" s="37"/>
      <c r="E91" s="36"/>
      <c r="F91" s="39">
        <f>Source!AO79</f>
        <v>22.51</v>
      </c>
      <c r="G91" s="38" t="str">
        <f>Source!DG79</f>
        <v>*1,1</v>
      </c>
      <c r="H91" s="36">
        <f>Source!AV80</f>
        <v>1.0469999999999999</v>
      </c>
      <c r="I91" s="39">
        <f>Source!S79</f>
        <v>12.96</v>
      </c>
      <c r="J91" s="36">
        <f>IF(Source!BA80&lt;&gt; 0, Source!BA80, 1)</f>
        <v>54.99</v>
      </c>
      <c r="K91" s="39">
        <f>Source!S80</f>
        <v>712.67</v>
      </c>
    </row>
    <row r="92" spans="1:29" ht="14.25" x14ac:dyDescent="0.2">
      <c r="A92" s="35"/>
      <c r="B92" s="35"/>
      <c r="C92" s="35" t="s">
        <v>242</v>
      </c>
      <c r="D92" s="37"/>
      <c r="E92" s="36"/>
      <c r="F92" s="39">
        <f>Source!AM79</f>
        <v>2.62</v>
      </c>
      <c r="G92" s="38" t="str">
        <f>Source!DE79</f>
        <v>*1,1</v>
      </c>
      <c r="H92" s="36">
        <f>Source!AV80</f>
        <v>1.0469999999999999</v>
      </c>
      <c r="I92" s="39">
        <f>Source!Q79</f>
        <v>1.51</v>
      </c>
      <c r="J92" s="36">
        <f>IF(Source!BB80&lt;&gt; 0, Source!BB80, 1)</f>
        <v>14.57</v>
      </c>
      <c r="K92" s="39">
        <f>Source!Q80</f>
        <v>22</v>
      </c>
    </row>
    <row r="93" spans="1:29" ht="14.25" x14ac:dyDescent="0.2">
      <c r="A93" s="35"/>
      <c r="B93" s="35"/>
      <c r="C93" s="35" t="s">
        <v>243</v>
      </c>
      <c r="D93" s="37"/>
      <c r="E93" s="36"/>
      <c r="F93" s="39">
        <f>Source!AN79</f>
        <v>0.3</v>
      </c>
      <c r="G93" s="38" t="str">
        <f>Source!DF79</f>
        <v>*1,1</v>
      </c>
      <c r="H93" s="36">
        <f>Source!AV80</f>
        <v>1.0469999999999999</v>
      </c>
      <c r="I93" s="60">
        <f>Source!R79</f>
        <v>0.17</v>
      </c>
      <c r="J93" s="36">
        <f>IF(Source!BS80&lt;&gt; 0, Source!BS80, 1)</f>
        <v>54.99</v>
      </c>
      <c r="K93" s="60">
        <f>Source!R80</f>
        <v>9.35</v>
      </c>
    </row>
    <row r="94" spans="1:29" ht="14.25" x14ac:dyDescent="0.2">
      <c r="A94" s="35"/>
      <c r="B94" s="35"/>
      <c r="C94" s="35" t="s">
        <v>229</v>
      </c>
      <c r="D94" s="37"/>
      <c r="E94" s="36"/>
      <c r="F94" s="39">
        <f>Source!AL79</f>
        <v>55.47</v>
      </c>
      <c r="G94" s="38" t="str">
        <f>Source!DD79</f>
        <v>*1</v>
      </c>
      <c r="H94" s="36">
        <f>Source!AW80</f>
        <v>1</v>
      </c>
      <c r="I94" s="39">
        <f>Source!P79</f>
        <v>27.74</v>
      </c>
      <c r="J94" s="36">
        <f>IF(Source!BC80&lt;&gt; 0, Source!BC80, 1)</f>
        <v>3.09</v>
      </c>
      <c r="K94" s="39">
        <f>Source!P80</f>
        <v>85.72</v>
      </c>
    </row>
    <row r="95" spans="1:29" ht="14.25" x14ac:dyDescent="0.2">
      <c r="A95" s="35"/>
      <c r="B95" s="35"/>
      <c r="C95" s="35" t="s">
        <v>230</v>
      </c>
      <c r="D95" s="37" t="s">
        <v>231</v>
      </c>
      <c r="E95" s="36">
        <f>Source!BZ80</f>
        <v>97</v>
      </c>
      <c r="F95" s="39"/>
      <c r="G95" s="38"/>
      <c r="H95" s="36"/>
      <c r="I95" s="39">
        <f>SUM(Q89:Q94)</f>
        <v>12.74</v>
      </c>
      <c r="J95" s="36">
        <f>Source!AT80</f>
        <v>97</v>
      </c>
      <c r="K95" s="39">
        <f>SUM(R89:R94)</f>
        <v>700.36</v>
      </c>
    </row>
    <row r="96" spans="1:29" ht="14.25" x14ac:dyDescent="0.2">
      <c r="A96" s="35"/>
      <c r="B96" s="35"/>
      <c r="C96" s="35" t="s">
        <v>232</v>
      </c>
      <c r="D96" s="37" t="s">
        <v>231</v>
      </c>
      <c r="E96" s="36">
        <f>Source!CA80</f>
        <v>51</v>
      </c>
      <c r="F96" s="39"/>
      <c r="G96" s="38"/>
      <c r="H96" s="36"/>
      <c r="I96" s="39">
        <f>SUM(S89:S95)</f>
        <v>6.7</v>
      </c>
      <c r="J96" s="36">
        <f>Source!AU80</f>
        <v>51</v>
      </c>
      <c r="K96" s="39">
        <f>SUM(T89:T95)</f>
        <v>368.23</v>
      </c>
    </row>
    <row r="97" spans="1:29" ht="14.25" x14ac:dyDescent="0.2">
      <c r="A97" s="40"/>
      <c r="B97" s="40"/>
      <c r="C97" s="40" t="s">
        <v>233</v>
      </c>
      <c r="D97" s="41" t="s">
        <v>234</v>
      </c>
      <c r="E97" s="42">
        <f>Source!AQ79</f>
        <v>1.83</v>
      </c>
      <c r="F97" s="43"/>
      <c r="G97" s="44" t="str">
        <f>Source!DI79</f>
        <v>*1,1</v>
      </c>
      <c r="H97" s="42">
        <f>Source!AV80</f>
        <v>1.0469999999999999</v>
      </c>
      <c r="I97" s="43">
        <f>Source!U79</f>
        <v>1.0538055000000002</v>
      </c>
      <c r="J97" s="42"/>
      <c r="K97" s="43"/>
    </row>
    <row r="98" spans="1:29" ht="15" x14ac:dyDescent="0.2">
      <c r="C98" s="45" t="s">
        <v>235</v>
      </c>
      <c r="H98" s="46">
        <f>I91+I92+I94+I95+I96+0-0-0</f>
        <v>61.650000000000006</v>
      </c>
      <c r="I98" s="46"/>
      <c r="J98" s="46">
        <f>K91+K92+K94+K95+K96+0-0-0</f>
        <v>1888.98</v>
      </c>
      <c r="K98" s="46"/>
    </row>
    <row r="99" spans="1:29" ht="15" hidden="1" x14ac:dyDescent="0.2">
      <c r="C99" s="45" t="s">
        <v>236</v>
      </c>
      <c r="H99" s="48">
        <f>0+0</f>
        <v>0</v>
      </c>
      <c r="I99" s="48"/>
      <c r="J99" s="48">
        <f>0+0</f>
        <v>0</v>
      </c>
      <c r="K99" s="48"/>
    </row>
    <row r="100" spans="1:29" ht="15" x14ac:dyDescent="0.2">
      <c r="C100" s="45" t="s">
        <v>237</v>
      </c>
      <c r="H100" s="48">
        <f>I91+I92+I94+I95+I96+0</f>
        <v>61.650000000000006</v>
      </c>
      <c r="I100" s="48"/>
      <c r="J100" s="48">
        <f>K91+K92+K94+K95+K96+0</f>
        <v>1888.98</v>
      </c>
      <c r="K100" s="48"/>
      <c r="O100" s="49">
        <f>I91+I92+I94+I95+I96+0</f>
        <v>61.650000000000006</v>
      </c>
      <c r="P100" s="49">
        <f>K91+K92+K94+K95+K96+0</f>
        <v>1888.98</v>
      </c>
    </row>
    <row r="102" spans="1:29" ht="39.75" x14ac:dyDescent="0.2">
      <c r="A102" s="35">
        <v>8</v>
      </c>
      <c r="B102" s="35" t="str">
        <f>Source!F81</f>
        <v>КА-2</v>
      </c>
      <c r="C102" s="35" t="s">
        <v>245</v>
      </c>
      <c r="D102" s="37" t="str">
        <f>Source!H81</f>
        <v>км</v>
      </c>
      <c r="E102" s="36">
        <f>Source!I81</f>
        <v>0.10199999999999999</v>
      </c>
      <c r="F102" s="39">
        <f>Source!AL81</f>
        <v>3104.9100000000003</v>
      </c>
      <c r="G102" s="38" t="str">
        <f>Source!DD81</f>
        <v/>
      </c>
      <c r="H102" s="36">
        <f>Source!AW82</f>
        <v>1</v>
      </c>
      <c r="I102" s="39">
        <f>Source!P81</f>
        <v>316.7</v>
      </c>
      <c r="J102" s="36">
        <f>IF(Source!BC82&lt;&gt; 0, Source!BC82, 1)</f>
        <v>9.8800000000000008</v>
      </c>
      <c r="K102" s="39">
        <f>Source!P82</f>
        <v>3129</v>
      </c>
      <c r="Q102">
        <f>Source!X81</f>
        <v>0</v>
      </c>
      <c r="R102">
        <f>Source!X82</f>
        <v>0</v>
      </c>
      <c r="S102">
        <f>Source!Y81</f>
        <v>0</v>
      </c>
      <c r="T102">
        <f>Source!Y82</f>
        <v>0</v>
      </c>
      <c r="U102">
        <f>ROUND((175/100)*ROUND(Source!R81, 2), 2)</f>
        <v>0</v>
      </c>
      <c r="V102">
        <f>ROUND((0/100)*ROUND(Source!R82, 2), 2)</f>
        <v>0</v>
      </c>
      <c r="AC102">
        <v>3</v>
      </c>
    </row>
    <row r="103" spans="1:29" x14ac:dyDescent="0.2">
      <c r="A103" s="62"/>
      <c r="B103" s="62"/>
      <c r="C103" s="63" t="str">
        <f>"Объем: "&amp;Source!I81&amp;"=0,1*"&amp;"1,02"</f>
        <v>Объем: 0,102=0,1*1,02</v>
      </c>
      <c r="D103" s="62"/>
      <c r="E103" s="62"/>
      <c r="F103" s="62"/>
      <c r="G103" s="62"/>
      <c r="H103" s="62"/>
      <c r="I103" s="62"/>
      <c r="J103" s="62"/>
      <c r="K103" s="62"/>
    </row>
    <row r="104" spans="1:29" ht="15" x14ac:dyDescent="0.2">
      <c r="C104" s="45" t="s">
        <v>237</v>
      </c>
      <c r="H104" s="46">
        <f>I102+0</f>
        <v>316.7</v>
      </c>
      <c r="I104" s="46"/>
      <c r="J104" s="46">
        <f>K102+0</f>
        <v>3129</v>
      </c>
      <c r="K104" s="46"/>
      <c r="O104" s="49">
        <f>I102+0</f>
        <v>316.7</v>
      </c>
      <c r="P104" s="49">
        <f>K102+0</f>
        <v>3129</v>
      </c>
    </row>
    <row r="107" spans="1:29" ht="15" x14ac:dyDescent="0.25">
      <c r="A107" s="58" t="str">
        <f>CONCATENATE("Итого по разделу: ",IF(Source!G84&lt;&gt;"Новый раздел", Source!G84, ""))</f>
        <v>Итого по разделу: Кабельные изделия</v>
      </c>
      <c r="B107" s="58"/>
      <c r="C107" s="58"/>
      <c r="D107" s="58"/>
      <c r="E107" s="58"/>
      <c r="F107" s="58"/>
      <c r="G107" s="58"/>
      <c r="H107" s="48">
        <f>SUM(O61:O106)</f>
        <v>1083.56</v>
      </c>
      <c r="I107" s="47"/>
      <c r="J107" s="48">
        <f>SUM(P61:P106)</f>
        <v>26837.06</v>
      </c>
      <c r="K107" s="47"/>
    </row>
    <row r="108" spans="1:29" hidden="1" x14ac:dyDescent="0.2">
      <c r="A108" t="s">
        <v>240</v>
      </c>
      <c r="I108">
        <f>SUM(W61:W107)</f>
        <v>0</v>
      </c>
      <c r="J108">
        <f>SUM(X61:X107)</f>
        <v>0</v>
      </c>
    </row>
    <row r="109" spans="1:29" hidden="1" x14ac:dyDescent="0.2">
      <c r="A109" t="s">
        <v>241</v>
      </c>
      <c r="I109">
        <f>SUM(Y61:Y108)</f>
        <v>0</v>
      </c>
      <c r="J109">
        <f>SUM(Z61:Z108)</f>
        <v>0</v>
      </c>
    </row>
    <row r="111" spans="1:29" ht="15" x14ac:dyDescent="0.25">
      <c r="A111" s="58" t="str">
        <f>CONCATENATE("Итого по локальной смете: ",IF(Source!G114&lt;&gt;"Новая локальная смета", Source!G114, ""))</f>
        <v>Итого по локальной смете: Электрочасофикация</v>
      </c>
      <c r="B111" s="58"/>
      <c r="C111" s="58"/>
      <c r="D111" s="58"/>
      <c r="E111" s="58"/>
      <c r="F111" s="58"/>
      <c r="G111" s="58"/>
      <c r="H111" s="48">
        <f>SUM(O28:O110)</f>
        <v>13306.390000000003</v>
      </c>
      <c r="I111" s="47"/>
      <c r="J111" s="48">
        <f>SUM(P28:P110)</f>
        <v>128309.48000000001</v>
      </c>
      <c r="K111" s="47"/>
    </row>
    <row r="112" spans="1:29" hidden="1" x14ac:dyDescent="0.2">
      <c r="A112" t="s">
        <v>240</v>
      </c>
      <c r="I112">
        <f>SUM(W28:W111)</f>
        <v>0</v>
      </c>
      <c r="J112">
        <f>SUM(X28:X111)</f>
        <v>0</v>
      </c>
    </row>
    <row r="113" spans="1:11" hidden="1" x14ac:dyDescent="0.2">
      <c r="A113" t="s">
        <v>241</v>
      </c>
      <c r="I113">
        <f>SUM(Y28:Y112)</f>
        <v>0</v>
      </c>
      <c r="J113">
        <f>SUM(Z28:Z112)</f>
        <v>0</v>
      </c>
    </row>
    <row r="115" spans="1:11" ht="15" x14ac:dyDescent="0.25">
      <c r="A115" s="58" t="str">
        <f>CONCATENATE("Итого по смете: ",IF(Source!G144&lt;&gt;"Новый объект", Source!G144, ""))</f>
        <v>Итого по смете: 02-01-13 Электрочасофикация</v>
      </c>
      <c r="B115" s="58"/>
      <c r="C115" s="58"/>
      <c r="D115" s="58"/>
      <c r="E115" s="58"/>
      <c r="F115" s="58"/>
      <c r="G115" s="58"/>
      <c r="H115" s="48">
        <f>SUM(O1:O114)</f>
        <v>13306.390000000003</v>
      </c>
      <c r="I115" s="47"/>
      <c r="J115" s="48">
        <f>SUM(P1:P114)</f>
        <v>128309.48000000001</v>
      </c>
      <c r="K115" s="47"/>
    </row>
    <row r="116" spans="1:11" hidden="1" x14ac:dyDescent="0.2">
      <c r="A116" t="s">
        <v>240</v>
      </c>
      <c r="I116">
        <f>SUM(W1:W115)</f>
        <v>0</v>
      </c>
      <c r="J116">
        <f>SUM(X1:X115)</f>
        <v>0</v>
      </c>
    </row>
    <row r="117" spans="1:11" hidden="1" x14ac:dyDescent="0.2">
      <c r="A117" t="s">
        <v>241</v>
      </c>
      <c r="I117">
        <f>SUM(Y1:Y116)</f>
        <v>0</v>
      </c>
      <c r="J117">
        <f>SUM(Z1:Z116)</f>
        <v>0</v>
      </c>
    </row>
    <row r="120" spans="1:11" ht="14.25" x14ac:dyDescent="0.2">
      <c r="A120" s="64" t="s">
        <v>247</v>
      </c>
      <c r="B120" s="64"/>
      <c r="C120" s="65" t="str">
        <f>IF(Source!AC12&lt;&gt;"", Source!AC12," ")</f>
        <v xml:space="preserve"> </v>
      </c>
      <c r="D120" s="65"/>
      <c r="E120" s="65"/>
      <c r="F120" s="65"/>
      <c r="G120" s="65"/>
      <c r="H120" s="24" t="str">
        <f>IF(Source!AB12&lt;&gt;"", Source!AB12," ")</f>
        <v>Соколова И.Н.</v>
      </c>
      <c r="I120" s="24"/>
      <c r="J120" s="24"/>
      <c r="K120" s="24"/>
    </row>
    <row r="121" spans="1:11" ht="14.25" x14ac:dyDescent="0.2">
      <c r="A121" s="11"/>
      <c r="B121" s="11"/>
      <c r="C121" s="13" t="s">
        <v>248</v>
      </c>
      <c r="D121" s="13"/>
      <c r="E121" s="13"/>
      <c r="F121" s="13"/>
      <c r="G121" s="13"/>
      <c r="H121" s="11"/>
      <c r="I121" s="11"/>
      <c r="J121" s="11"/>
      <c r="K121" s="11"/>
    </row>
    <row r="122" spans="1:11" ht="14.25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 ht="14.25" x14ac:dyDescent="0.2">
      <c r="A123" s="64" t="s">
        <v>249</v>
      </c>
      <c r="B123" s="64"/>
      <c r="C123" s="65" t="str">
        <f>IF(Source!AE12&lt;&gt;"", Source!AE12," ")</f>
        <v xml:space="preserve"> </v>
      </c>
      <c r="D123" s="65"/>
      <c r="E123" s="65"/>
      <c r="F123" s="65"/>
      <c r="G123" s="65"/>
      <c r="H123" s="24" t="str">
        <f>IF(Source!AD12&lt;&gt;"", Source!AD12," ")</f>
        <v xml:space="preserve"> </v>
      </c>
      <c r="I123" s="24"/>
      <c r="J123" s="24"/>
      <c r="K123" s="24"/>
    </row>
    <row r="124" spans="1:11" ht="14.25" x14ac:dyDescent="0.2">
      <c r="A124" s="11"/>
      <c r="B124" s="11"/>
      <c r="C124" s="13" t="s">
        <v>248</v>
      </c>
      <c r="D124" s="13"/>
      <c r="E124" s="13"/>
      <c r="F124" s="13"/>
      <c r="G124" s="13"/>
      <c r="H124" s="11"/>
      <c r="I124" s="11"/>
      <c r="J124" s="11"/>
      <c r="K124" s="11"/>
    </row>
  </sheetData>
  <mergeCells count="73">
    <mergeCell ref="A120:B120"/>
    <mergeCell ref="H120:K120"/>
    <mergeCell ref="C121:G121"/>
    <mergeCell ref="A123:B123"/>
    <mergeCell ref="H123:K123"/>
    <mergeCell ref="C124:G124"/>
    <mergeCell ref="A107:G107"/>
    <mergeCell ref="J111:K111"/>
    <mergeCell ref="H111:I111"/>
    <mergeCell ref="A111:G111"/>
    <mergeCell ref="J115:K115"/>
    <mergeCell ref="H115:I115"/>
    <mergeCell ref="A115:G115"/>
    <mergeCell ref="H100:I100"/>
    <mergeCell ref="J100:K100"/>
    <mergeCell ref="H104:I104"/>
    <mergeCell ref="J104:K104"/>
    <mergeCell ref="J107:K107"/>
    <mergeCell ref="H107:I107"/>
    <mergeCell ref="H87:I87"/>
    <mergeCell ref="J87:K87"/>
    <mergeCell ref="H98:I98"/>
    <mergeCell ref="J98:K98"/>
    <mergeCell ref="H99:I99"/>
    <mergeCell ref="J99:K99"/>
    <mergeCell ref="H74:I74"/>
    <mergeCell ref="J74:K74"/>
    <mergeCell ref="H85:I85"/>
    <mergeCell ref="J85:K85"/>
    <mergeCell ref="H86:I86"/>
    <mergeCell ref="J86:K86"/>
    <mergeCell ref="A57:G57"/>
    <mergeCell ref="A61:K61"/>
    <mergeCell ref="H72:I72"/>
    <mergeCell ref="J72:K72"/>
    <mergeCell ref="H73:I73"/>
    <mergeCell ref="J73:K73"/>
    <mergeCell ref="H51:I51"/>
    <mergeCell ref="J51:K51"/>
    <mergeCell ref="H54:I54"/>
    <mergeCell ref="J54:K54"/>
    <mergeCell ref="J57:K57"/>
    <mergeCell ref="H57:I57"/>
    <mergeCell ref="H41:I41"/>
    <mergeCell ref="J41:K41"/>
    <mergeCell ref="H49:I49"/>
    <mergeCell ref="J49:K49"/>
    <mergeCell ref="H50:I50"/>
    <mergeCell ref="J50:K50"/>
    <mergeCell ref="H36:I36"/>
    <mergeCell ref="J36:K36"/>
    <mergeCell ref="H37:I37"/>
    <mergeCell ref="J37:K37"/>
    <mergeCell ref="H38:I38"/>
    <mergeCell ref="J38:K38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0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4" spans="1:8" ht="15.75" x14ac:dyDescent="0.2">
      <c r="B4" s="66" t="str">
        <f>CONCATENATE("Ведомость объемов работ ", IF(Source!AN15&lt;&gt;"", Source!AN15," "))</f>
        <v xml:space="preserve">Ведомость объемов работ  </v>
      </c>
      <c r="C4" s="66"/>
      <c r="D4" s="66"/>
      <c r="E4" s="66"/>
    </row>
    <row r="5" spans="1:8" ht="15" x14ac:dyDescent="0.2">
      <c r="B5" s="67" t="str">
        <f>CONCATENATE(Source!F12, " ", Source!G12)</f>
        <v xml:space="preserve"> 02-01-13 Электрочасофикация</v>
      </c>
      <c r="C5" s="67"/>
      <c r="D5" s="67"/>
      <c r="E5" s="67"/>
    </row>
    <row r="6" spans="1:8" hidden="1" x14ac:dyDescent="0.2"/>
    <row r="8" spans="1:8" ht="99.75" x14ac:dyDescent="0.2">
      <c r="A8" s="30" t="s">
        <v>213</v>
      </c>
      <c r="B8" s="30" t="s">
        <v>250</v>
      </c>
      <c r="C8" s="30" t="s">
        <v>215</v>
      </c>
      <c r="D8" s="30" t="s">
        <v>251</v>
      </c>
      <c r="E8" s="30" t="s">
        <v>252</v>
      </c>
      <c r="F8" s="30" t="s">
        <v>253</v>
      </c>
      <c r="G8" s="30" t="s">
        <v>254</v>
      </c>
      <c r="H8" s="30" t="s">
        <v>255</v>
      </c>
    </row>
    <row r="9" spans="1:8" ht="14.25" x14ac:dyDescent="0.2">
      <c r="A9" s="30">
        <v>1</v>
      </c>
      <c r="B9" s="30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</row>
    <row r="10" spans="1:8" ht="16.5" x14ac:dyDescent="0.25">
      <c r="A10" s="68" t="str">
        <f>CONCATENATE("Локальная смета: ", Source!G20)</f>
        <v>Локальная смета: Электрочасофикация</v>
      </c>
      <c r="B10" s="68"/>
      <c r="C10" s="68"/>
      <c r="D10" s="68"/>
      <c r="E10" s="68"/>
      <c r="F10" s="68"/>
      <c r="G10" s="68"/>
      <c r="H10" s="68"/>
    </row>
    <row r="11" spans="1:8" ht="16.5" x14ac:dyDescent="0.25">
      <c r="A11" s="68" t="str">
        <f>CONCATENATE("Раздел: ", Source!G24)</f>
        <v>Раздел: Оборудование</v>
      </c>
      <c r="B11" s="68"/>
      <c r="C11" s="68"/>
      <c r="D11" s="68"/>
      <c r="E11" s="68"/>
      <c r="F11" s="68"/>
      <c r="G11" s="68"/>
      <c r="H11" s="68"/>
    </row>
    <row r="12" spans="1:8" ht="28.5" x14ac:dyDescent="0.2">
      <c r="A12" s="30">
        <v>1</v>
      </c>
      <c r="B12" s="30" t="str">
        <f>Source!E28</f>
        <v>1</v>
      </c>
      <c r="C12" s="71" t="str">
        <f>Source!G28</f>
        <v>Электрочасы первичные, часы первичные электрические показывающие кварцевые типа ПКЧЗ-2-РИ-Р24-Р6-1</v>
      </c>
      <c r="D12" s="30" t="s">
        <v>21</v>
      </c>
      <c r="E12" s="72">
        <f>Source!I28</f>
        <v>1</v>
      </c>
      <c r="F12" s="30" t="str">
        <f>Source!U24</f>
        <v/>
      </c>
      <c r="G12" s="30">
        <f>Source!I28</f>
        <v>1</v>
      </c>
      <c r="H12" s="71"/>
    </row>
    <row r="13" spans="1:8" ht="14.25" x14ac:dyDescent="0.2">
      <c r="A13" s="30">
        <v>2</v>
      </c>
      <c r="B13" s="30" t="str">
        <f>Source!E30</f>
        <v>2</v>
      </c>
      <c r="C13" s="71" t="str">
        <f>Source!G30</f>
        <v>Часовая станция "Первичные часы" ПИК-2М-4002</v>
      </c>
      <c r="D13" s="30" t="s">
        <v>32</v>
      </c>
      <c r="E13" s="72">
        <f>Source!I30</f>
        <v>1</v>
      </c>
      <c r="F13" s="30" t="str">
        <f>Source!U24</f>
        <v/>
      </c>
      <c r="G13" s="30">
        <f>Source!I30</f>
        <v>1</v>
      </c>
      <c r="H13" s="71"/>
    </row>
    <row r="14" spans="1:8" ht="28.5" x14ac:dyDescent="0.2">
      <c r="A14" s="30">
        <v>3</v>
      </c>
      <c r="B14" s="30" t="str">
        <f>Source!E32</f>
        <v>3</v>
      </c>
      <c r="C14" s="71" t="str">
        <f>Source!G32</f>
        <v>Электрочасы вторичные для помещений, электрочасы односторонние на стене</v>
      </c>
      <c r="D14" s="30" t="s">
        <v>21</v>
      </c>
      <c r="E14" s="72">
        <f>Source!I32</f>
        <v>2</v>
      </c>
      <c r="F14" s="30" t="str">
        <f>Source!U24</f>
        <v/>
      </c>
      <c r="G14" s="30">
        <f>Source!I32</f>
        <v>2</v>
      </c>
      <c r="H14" s="71"/>
    </row>
    <row r="15" spans="1:8" ht="14.25" x14ac:dyDescent="0.2">
      <c r="A15" s="30">
        <v>4</v>
      </c>
      <c r="B15" s="30" t="str">
        <f>Source!E34</f>
        <v>4</v>
      </c>
      <c r="C15" s="71" t="str">
        <f>Source!G34</f>
        <v>Часы электрические вторичные стрелочные, типа ВЧ03/03</v>
      </c>
      <c r="D15" s="30" t="s">
        <v>45</v>
      </c>
      <c r="E15" s="72">
        <f>Source!I34</f>
        <v>2</v>
      </c>
      <c r="F15" s="30" t="str">
        <f>Source!U24</f>
        <v/>
      </c>
      <c r="G15" s="30">
        <f>Source!I34</f>
        <v>2</v>
      </c>
      <c r="H15" s="71"/>
    </row>
    <row r="16" spans="1:8" ht="16.5" x14ac:dyDescent="0.25">
      <c r="A16" s="68" t="str">
        <f>CONCATENATE("Раздел: ", Source!G67)</f>
        <v>Раздел: Кабельные изделия</v>
      </c>
      <c r="B16" s="68"/>
      <c r="C16" s="68"/>
      <c r="D16" s="68"/>
      <c r="E16" s="68"/>
      <c r="F16" s="68"/>
      <c r="G16" s="68"/>
      <c r="H16" s="68"/>
    </row>
    <row r="17" spans="1:8" ht="28.5" x14ac:dyDescent="0.2">
      <c r="A17" s="30">
        <v>5</v>
      </c>
      <c r="B17" s="30" t="str">
        <f>Source!E71</f>
        <v>5</v>
      </c>
      <c r="C17" s="71" t="str">
        <f>Source!G71</f>
        <v>Трубы гофрированные поливинилхлоридные наружным диаметром 16 мм открыто по стенам и потолкам с установкой соединительных коробок</v>
      </c>
      <c r="D17" s="30" t="s">
        <v>104</v>
      </c>
      <c r="E17" s="72">
        <f>Source!I71</f>
        <v>0.5</v>
      </c>
      <c r="F17" s="30" t="str">
        <f>Source!U67</f>
        <v/>
      </c>
      <c r="G17" s="30" t="str">
        <f>"=50/"&amp;"100"</f>
        <v>=50/100</v>
      </c>
      <c r="H17" s="71"/>
    </row>
    <row r="18" spans="1:8" ht="42.75" x14ac:dyDescent="0.2">
      <c r="A18" s="30">
        <v>6</v>
      </c>
      <c r="B18" s="30" t="str">
        <f>Source!E77</f>
        <v>6</v>
      </c>
      <c r="C18" s="71" t="str">
        <f>Source!G77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18" s="30" t="s">
        <v>104</v>
      </c>
      <c r="E18" s="72">
        <f>Source!I77</f>
        <v>0.5</v>
      </c>
      <c r="F18" s="30" t="str">
        <f>Source!U67</f>
        <v/>
      </c>
      <c r="G18" s="30" t="str">
        <f>"=50/"&amp;"100"</f>
        <v>=50/100</v>
      </c>
      <c r="H18" s="71"/>
    </row>
    <row r="19" spans="1:8" ht="57" x14ac:dyDescent="0.2">
      <c r="A19" s="30">
        <v>7</v>
      </c>
      <c r="B19" s="30" t="str">
        <f>Source!E79</f>
        <v>7</v>
      </c>
      <c r="C19" s="71" t="str">
        <f>Source!G79</f>
        <v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v>
      </c>
      <c r="D19" s="30" t="s">
        <v>104</v>
      </c>
      <c r="E19" s="72">
        <f>Source!I79</f>
        <v>0.5</v>
      </c>
      <c r="F19" s="30" t="str">
        <f>Source!U67</f>
        <v/>
      </c>
      <c r="G19" s="30" t="str">
        <f>"=50/"&amp;"100"</f>
        <v>=50/100</v>
      </c>
      <c r="H19" s="71"/>
    </row>
    <row r="20" spans="1:8" ht="14.25" x14ac:dyDescent="0.2">
      <c r="A20" s="29">
        <v>8</v>
      </c>
      <c r="B20" s="29" t="str">
        <f>Source!E81</f>
        <v>8</v>
      </c>
      <c r="C20" s="69" t="str">
        <f>Source!G81</f>
        <v>Кабель КПСВВнг(А)-LSLTx 1x2x1,0</v>
      </c>
      <c r="D20" s="29" t="s">
        <v>129</v>
      </c>
      <c r="E20" s="70">
        <f>Source!I81</f>
        <v>0.10199999999999999</v>
      </c>
      <c r="F20" s="29" t="str">
        <f>Source!U67</f>
        <v/>
      </c>
      <c r="G20" s="29" t="str">
        <f>"=0,1*"&amp;"1,02"</f>
        <v>=0,1*1,02</v>
      </c>
      <c r="H20" s="69"/>
    </row>
    <row r="23" spans="1:8" ht="15" x14ac:dyDescent="0.25">
      <c r="C23" s="73" t="s">
        <v>256</v>
      </c>
      <c r="D23" s="73" t="str">
        <f>IF(Source!X12&lt;&gt;"", Source!X12," ")</f>
        <v xml:space="preserve"> </v>
      </c>
      <c r="E23" s="74"/>
    </row>
    <row r="24" spans="1:8" ht="15" x14ac:dyDescent="0.25">
      <c r="C24" s="11"/>
      <c r="D24" s="74"/>
      <c r="E24" s="74"/>
    </row>
    <row r="25" spans="1:8" ht="15" x14ac:dyDescent="0.25">
      <c r="C25" s="75" t="s">
        <v>257</v>
      </c>
      <c r="D25" s="75" t="str">
        <f>IF(Source!AB12&lt;&gt;"", Source!AB12," ")</f>
        <v>Соколова И.Н.</v>
      </c>
      <c r="E25" s="74"/>
    </row>
  </sheetData>
  <mergeCells count="5">
    <mergeCell ref="B4:E4"/>
    <mergeCell ref="B5:E5"/>
    <mergeCell ref="A10:H10"/>
    <mergeCell ref="A11:H11"/>
    <mergeCell ref="A16:H16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91"/>
  <sheetViews>
    <sheetView workbookViewId="0">
      <selection activeCell="A187" sqref="A187:AX187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183</v>
      </c>
      <c r="C12" s="1">
        <v>0</v>
      </c>
      <c r="D12" s="1">
        <f>ROW(A144)</f>
        <v>144</v>
      </c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B144</f>
        <v>183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/>
      </c>
      <c r="G18" s="3" t="str">
        <f t="shared" si="0"/>
        <v>02-01-13 Электрочасофикация</v>
      </c>
      <c r="H18" s="3"/>
      <c r="I18" s="3"/>
      <c r="J18" s="3"/>
      <c r="K18" s="3"/>
      <c r="L18" s="3"/>
      <c r="M18" s="3"/>
      <c r="N18" s="3"/>
      <c r="O18" s="3">
        <f t="shared" ref="O18:AT18" si="1">O144</f>
        <v>12937.98</v>
      </c>
      <c r="P18" s="3">
        <f t="shared" si="1"/>
        <v>12662.37</v>
      </c>
      <c r="Q18" s="3">
        <f t="shared" si="1"/>
        <v>21.87</v>
      </c>
      <c r="R18" s="3">
        <f t="shared" si="1"/>
        <v>3.48</v>
      </c>
      <c r="S18" s="3">
        <f t="shared" si="1"/>
        <v>253.74</v>
      </c>
      <c r="T18" s="3">
        <f t="shared" si="1"/>
        <v>0</v>
      </c>
      <c r="U18" s="3">
        <f t="shared" si="1"/>
        <v>19.976236499999999</v>
      </c>
      <c r="V18" s="3">
        <f t="shared" si="1"/>
        <v>0</v>
      </c>
      <c r="W18" s="3">
        <f t="shared" si="1"/>
        <v>0</v>
      </c>
      <c r="X18" s="3">
        <f t="shared" si="1"/>
        <v>242.34</v>
      </c>
      <c r="Y18" s="3">
        <f t="shared" si="1"/>
        <v>126.07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11980.11</v>
      </c>
      <c r="AQ18" s="3">
        <f t="shared" si="1"/>
        <v>0</v>
      </c>
      <c r="AR18" s="3">
        <f t="shared" si="1"/>
        <v>13306.39</v>
      </c>
      <c r="AS18" s="3">
        <f t="shared" si="1"/>
        <v>0</v>
      </c>
      <c r="AT18" s="3">
        <f t="shared" si="1"/>
        <v>1326.28</v>
      </c>
      <c r="AU18" s="3">
        <f t="shared" ref="AU18:BZ18" si="2">AU144</f>
        <v>0</v>
      </c>
      <c r="AV18" s="3">
        <f t="shared" si="2"/>
        <v>12662.37</v>
      </c>
      <c r="AW18" s="3">
        <f t="shared" si="2"/>
        <v>682.26</v>
      </c>
      <c r="AX18" s="3">
        <f t="shared" si="2"/>
        <v>0</v>
      </c>
      <c r="AY18" s="3">
        <f t="shared" si="2"/>
        <v>682.26</v>
      </c>
      <c r="AZ18" s="3">
        <f t="shared" si="2"/>
        <v>11980.11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CA144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DG144</f>
        <v>108051.29</v>
      </c>
      <c r="DH18" s="4">
        <f t="shared" si="4"/>
        <v>93723.51</v>
      </c>
      <c r="DI18" s="4">
        <f t="shared" si="4"/>
        <v>374.63</v>
      </c>
      <c r="DJ18" s="4">
        <f t="shared" si="4"/>
        <v>191.37</v>
      </c>
      <c r="DK18" s="4">
        <f t="shared" si="4"/>
        <v>13953.15</v>
      </c>
      <c r="DL18" s="4">
        <f t="shared" si="4"/>
        <v>0</v>
      </c>
      <c r="DM18" s="4">
        <f t="shared" si="4"/>
        <v>19.976236499999999</v>
      </c>
      <c r="DN18" s="4">
        <f t="shared" si="4"/>
        <v>0</v>
      </c>
      <c r="DO18" s="4">
        <f t="shared" si="4"/>
        <v>0</v>
      </c>
      <c r="DP18" s="4">
        <f t="shared" si="4"/>
        <v>13326.03</v>
      </c>
      <c r="DQ18" s="4">
        <f t="shared" si="4"/>
        <v>6932.16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88172.94</v>
      </c>
      <c r="EI18" s="4">
        <f t="shared" si="4"/>
        <v>0</v>
      </c>
      <c r="EJ18" s="4">
        <f t="shared" si="4"/>
        <v>128309.48</v>
      </c>
      <c r="EK18" s="4">
        <f t="shared" si="4"/>
        <v>0</v>
      </c>
      <c r="EL18" s="4">
        <f t="shared" si="4"/>
        <v>40136.54</v>
      </c>
      <c r="EM18" s="4">
        <f t="shared" ref="EM18:FR18" si="5">EM144</f>
        <v>0</v>
      </c>
      <c r="EN18" s="4">
        <f t="shared" si="5"/>
        <v>93723.51</v>
      </c>
      <c r="EO18" s="4">
        <f t="shared" si="5"/>
        <v>5550.57</v>
      </c>
      <c r="EP18" s="4">
        <f t="shared" si="5"/>
        <v>0</v>
      </c>
      <c r="EQ18" s="4">
        <f t="shared" si="5"/>
        <v>5550.57</v>
      </c>
      <c r="ER18" s="4">
        <f t="shared" si="5"/>
        <v>88172.94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FS144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ROW(A114)</f>
        <v>114</v>
      </c>
      <c r="E20" s="1"/>
      <c r="F20" s="1" t="s">
        <v>15</v>
      </c>
      <c r="G20" s="1" t="s">
        <v>16</v>
      </c>
      <c r="H20" s="1" t="s">
        <v>3</v>
      </c>
      <c r="I20" s="1">
        <v>0</v>
      </c>
      <c r="J20" s="1" t="s">
        <v>6</v>
      </c>
      <c r="K20" s="1">
        <v>-1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B114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02-01-13</v>
      </c>
      <c r="G22" s="3" t="str">
        <f t="shared" si="7"/>
        <v>Электрочасофикация</v>
      </c>
      <c r="H22" s="3"/>
      <c r="I22" s="3"/>
      <c r="J22" s="3"/>
      <c r="K22" s="3"/>
      <c r="L22" s="3"/>
      <c r="M22" s="3"/>
      <c r="N22" s="3"/>
      <c r="O22" s="3">
        <f t="shared" ref="O22:AT22" si="8">O114</f>
        <v>12937.98</v>
      </c>
      <c r="P22" s="3">
        <f t="shared" si="8"/>
        <v>12662.37</v>
      </c>
      <c r="Q22" s="3">
        <f t="shared" si="8"/>
        <v>21.87</v>
      </c>
      <c r="R22" s="3">
        <f t="shared" si="8"/>
        <v>3.48</v>
      </c>
      <c r="S22" s="3">
        <f t="shared" si="8"/>
        <v>253.74</v>
      </c>
      <c r="T22" s="3">
        <f t="shared" si="8"/>
        <v>0</v>
      </c>
      <c r="U22" s="3">
        <f t="shared" si="8"/>
        <v>19.976236499999999</v>
      </c>
      <c r="V22" s="3">
        <f t="shared" si="8"/>
        <v>0</v>
      </c>
      <c r="W22" s="3">
        <f t="shared" si="8"/>
        <v>0</v>
      </c>
      <c r="X22" s="3">
        <f t="shared" si="8"/>
        <v>242.34</v>
      </c>
      <c r="Y22" s="3">
        <f t="shared" si="8"/>
        <v>126.07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11980.11</v>
      </c>
      <c r="AQ22" s="3">
        <f t="shared" si="8"/>
        <v>0</v>
      </c>
      <c r="AR22" s="3">
        <f t="shared" si="8"/>
        <v>13306.39</v>
      </c>
      <c r="AS22" s="3">
        <f t="shared" si="8"/>
        <v>0</v>
      </c>
      <c r="AT22" s="3">
        <f t="shared" si="8"/>
        <v>1326.28</v>
      </c>
      <c r="AU22" s="3">
        <f t="shared" ref="AU22:BZ22" si="9">AU114</f>
        <v>0</v>
      </c>
      <c r="AV22" s="3">
        <f t="shared" si="9"/>
        <v>12662.37</v>
      </c>
      <c r="AW22" s="3">
        <f t="shared" si="9"/>
        <v>682.26</v>
      </c>
      <c r="AX22" s="3">
        <f t="shared" si="9"/>
        <v>0</v>
      </c>
      <c r="AY22" s="3">
        <f t="shared" si="9"/>
        <v>682.26</v>
      </c>
      <c r="AZ22" s="3">
        <f t="shared" si="9"/>
        <v>11980.11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CA114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DG114</f>
        <v>108051.29</v>
      </c>
      <c r="DH22" s="4">
        <f t="shared" si="11"/>
        <v>93723.51</v>
      </c>
      <c r="DI22" s="4">
        <f t="shared" si="11"/>
        <v>374.63</v>
      </c>
      <c r="DJ22" s="4">
        <f t="shared" si="11"/>
        <v>191.37</v>
      </c>
      <c r="DK22" s="4">
        <f t="shared" si="11"/>
        <v>13953.15</v>
      </c>
      <c r="DL22" s="4">
        <f t="shared" si="11"/>
        <v>0</v>
      </c>
      <c r="DM22" s="4">
        <f t="shared" si="11"/>
        <v>19.976236499999999</v>
      </c>
      <c r="DN22" s="4">
        <f t="shared" si="11"/>
        <v>0</v>
      </c>
      <c r="DO22" s="4">
        <f t="shared" si="11"/>
        <v>0</v>
      </c>
      <c r="DP22" s="4">
        <f t="shared" si="11"/>
        <v>13326.03</v>
      </c>
      <c r="DQ22" s="4">
        <f t="shared" si="11"/>
        <v>6932.16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88172.94</v>
      </c>
      <c r="EI22" s="4">
        <f t="shared" si="11"/>
        <v>0</v>
      </c>
      <c r="EJ22" s="4">
        <f t="shared" si="11"/>
        <v>128309.48</v>
      </c>
      <c r="EK22" s="4">
        <f t="shared" si="11"/>
        <v>0</v>
      </c>
      <c r="EL22" s="4">
        <f t="shared" si="11"/>
        <v>40136.54</v>
      </c>
      <c r="EM22" s="4">
        <f t="shared" ref="EM22:FR22" si="12">EM114</f>
        <v>0</v>
      </c>
      <c r="EN22" s="4">
        <f t="shared" si="12"/>
        <v>93723.51</v>
      </c>
      <c r="EO22" s="4">
        <f t="shared" si="12"/>
        <v>5550.57</v>
      </c>
      <c r="EP22" s="4">
        <f t="shared" si="12"/>
        <v>0</v>
      </c>
      <c r="EQ22" s="4">
        <f t="shared" si="12"/>
        <v>5550.57</v>
      </c>
      <c r="ER22" s="4">
        <f t="shared" si="12"/>
        <v>88172.94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FS114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ROW(A37)</f>
        <v>37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B37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Оборудование</v>
      </c>
      <c r="H26" s="3"/>
      <c r="I26" s="3"/>
      <c r="J26" s="3"/>
      <c r="K26" s="3"/>
      <c r="L26" s="3"/>
      <c r="M26" s="3"/>
      <c r="N26" s="3"/>
      <c r="O26" s="3">
        <f t="shared" ref="O26:AT26" si="15">O37</f>
        <v>12083.56</v>
      </c>
      <c r="P26" s="3">
        <f t="shared" si="15"/>
        <v>11981.16</v>
      </c>
      <c r="Q26" s="3">
        <f t="shared" si="15"/>
        <v>0</v>
      </c>
      <c r="R26" s="3">
        <f t="shared" si="15"/>
        <v>0</v>
      </c>
      <c r="S26" s="3">
        <f t="shared" si="15"/>
        <v>102.4</v>
      </c>
      <c r="T26" s="3">
        <f t="shared" si="15"/>
        <v>0</v>
      </c>
      <c r="U26" s="3">
        <f t="shared" si="15"/>
        <v>8.0618999999999996</v>
      </c>
      <c r="V26" s="3">
        <f t="shared" si="15"/>
        <v>0</v>
      </c>
      <c r="W26" s="3">
        <f t="shared" si="15"/>
        <v>0</v>
      </c>
      <c r="X26" s="3">
        <f t="shared" si="15"/>
        <v>92.16</v>
      </c>
      <c r="Y26" s="3">
        <f t="shared" si="15"/>
        <v>47.11</v>
      </c>
      <c r="Z26" s="3">
        <f t="shared" si="15"/>
        <v>0</v>
      </c>
      <c r="AA26" s="3">
        <f t="shared" si="15"/>
        <v>0</v>
      </c>
      <c r="AB26" s="3">
        <f t="shared" si="15"/>
        <v>12083.56</v>
      </c>
      <c r="AC26" s="3">
        <f t="shared" si="15"/>
        <v>11981.16</v>
      </c>
      <c r="AD26" s="3">
        <f t="shared" si="15"/>
        <v>0</v>
      </c>
      <c r="AE26" s="3">
        <f t="shared" si="15"/>
        <v>0</v>
      </c>
      <c r="AF26" s="3">
        <f t="shared" si="15"/>
        <v>102.4</v>
      </c>
      <c r="AG26" s="3">
        <f t="shared" si="15"/>
        <v>0</v>
      </c>
      <c r="AH26" s="3">
        <f t="shared" si="15"/>
        <v>8.0618999999999996</v>
      </c>
      <c r="AI26" s="3">
        <f t="shared" si="15"/>
        <v>0</v>
      </c>
      <c r="AJ26" s="3">
        <f t="shared" si="15"/>
        <v>0</v>
      </c>
      <c r="AK26" s="3">
        <f t="shared" si="15"/>
        <v>92.16</v>
      </c>
      <c r="AL26" s="3">
        <f t="shared" si="15"/>
        <v>47.11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11980.11</v>
      </c>
      <c r="AQ26" s="3">
        <f t="shared" si="15"/>
        <v>0</v>
      </c>
      <c r="AR26" s="3">
        <f t="shared" si="15"/>
        <v>12222.83</v>
      </c>
      <c r="AS26" s="3">
        <f t="shared" si="15"/>
        <v>0</v>
      </c>
      <c r="AT26" s="3">
        <f t="shared" si="15"/>
        <v>242.72</v>
      </c>
      <c r="AU26" s="3">
        <f t="shared" ref="AU26:BZ26" si="16">AU37</f>
        <v>0</v>
      </c>
      <c r="AV26" s="3">
        <f t="shared" si="16"/>
        <v>11981.16</v>
      </c>
      <c r="AW26" s="3">
        <f t="shared" si="16"/>
        <v>1.05</v>
      </c>
      <c r="AX26" s="3">
        <f t="shared" si="16"/>
        <v>0</v>
      </c>
      <c r="AY26" s="3">
        <f t="shared" si="16"/>
        <v>1.05</v>
      </c>
      <c r="AZ26" s="3">
        <f t="shared" si="16"/>
        <v>11980.11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11980.11</v>
      </c>
      <c r="BZ26" s="3">
        <f t="shared" si="16"/>
        <v>0</v>
      </c>
      <c r="CA26" s="3">
        <f t="shared" ref="CA26:DF26" si="17">CA37</f>
        <v>12222.83</v>
      </c>
      <c r="CB26" s="3">
        <f t="shared" si="17"/>
        <v>0</v>
      </c>
      <c r="CC26" s="3">
        <f t="shared" si="17"/>
        <v>242.72</v>
      </c>
      <c r="CD26" s="3">
        <f t="shared" si="17"/>
        <v>0</v>
      </c>
      <c r="CE26" s="3">
        <f t="shared" si="17"/>
        <v>11981.16</v>
      </c>
      <c r="CF26" s="3">
        <f t="shared" si="17"/>
        <v>1.0499999999992724</v>
      </c>
      <c r="CG26" s="3">
        <f t="shared" si="17"/>
        <v>0</v>
      </c>
      <c r="CH26" s="3">
        <f t="shared" si="17"/>
        <v>1.0499999999992724</v>
      </c>
      <c r="CI26" s="3">
        <f t="shared" si="17"/>
        <v>11980.11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DG37</f>
        <v>93814.3</v>
      </c>
      <c r="DH26" s="4">
        <f t="shared" si="18"/>
        <v>88183.33</v>
      </c>
      <c r="DI26" s="4">
        <f t="shared" si="18"/>
        <v>0</v>
      </c>
      <c r="DJ26" s="4">
        <f t="shared" si="18"/>
        <v>0</v>
      </c>
      <c r="DK26" s="4">
        <f t="shared" si="18"/>
        <v>5630.97</v>
      </c>
      <c r="DL26" s="4">
        <f t="shared" si="18"/>
        <v>0</v>
      </c>
      <c r="DM26" s="4">
        <f t="shared" si="18"/>
        <v>8.0618999999999996</v>
      </c>
      <c r="DN26" s="4">
        <f t="shared" si="18"/>
        <v>0</v>
      </c>
      <c r="DO26" s="4">
        <f t="shared" si="18"/>
        <v>0</v>
      </c>
      <c r="DP26" s="4">
        <f t="shared" si="18"/>
        <v>5067.88</v>
      </c>
      <c r="DQ26" s="4">
        <f t="shared" si="18"/>
        <v>2590.2399999999998</v>
      </c>
      <c r="DR26" s="4">
        <f t="shared" si="18"/>
        <v>0</v>
      </c>
      <c r="DS26" s="4">
        <f t="shared" si="18"/>
        <v>0</v>
      </c>
      <c r="DT26" s="4">
        <f t="shared" si="18"/>
        <v>93814.3</v>
      </c>
      <c r="DU26" s="4">
        <f t="shared" si="18"/>
        <v>88183.33</v>
      </c>
      <c r="DV26" s="4">
        <f t="shared" si="18"/>
        <v>0</v>
      </c>
      <c r="DW26" s="4">
        <f t="shared" si="18"/>
        <v>0</v>
      </c>
      <c r="DX26" s="4">
        <f t="shared" si="18"/>
        <v>5630.97</v>
      </c>
      <c r="DY26" s="4">
        <f t="shared" si="18"/>
        <v>0</v>
      </c>
      <c r="DZ26" s="4">
        <f t="shared" si="18"/>
        <v>8.0618999999999996</v>
      </c>
      <c r="EA26" s="4">
        <f t="shared" si="18"/>
        <v>0</v>
      </c>
      <c r="EB26" s="4">
        <f t="shared" si="18"/>
        <v>0</v>
      </c>
      <c r="EC26" s="4">
        <f t="shared" si="18"/>
        <v>5067.88</v>
      </c>
      <c r="ED26" s="4">
        <f t="shared" si="18"/>
        <v>2590.2399999999998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88172.94</v>
      </c>
      <c r="EI26" s="4">
        <f t="shared" si="18"/>
        <v>0</v>
      </c>
      <c r="EJ26" s="4">
        <f t="shared" si="18"/>
        <v>101472.42</v>
      </c>
      <c r="EK26" s="4">
        <f t="shared" si="18"/>
        <v>0</v>
      </c>
      <c r="EL26" s="4">
        <f t="shared" si="18"/>
        <v>13299.48</v>
      </c>
      <c r="EM26" s="4">
        <f t="shared" ref="EM26:FR26" si="19">EM37</f>
        <v>0</v>
      </c>
      <c r="EN26" s="4">
        <f t="shared" si="19"/>
        <v>88183.33</v>
      </c>
      <c r="EO26" s="4">
        <f t="shared" si="19"/>
        <v>10.39</v>
      </c>
      <c r="EP26" s="4">
        <f t="shared" si="19"/>
        <v>0</v>
      </c>
      <c r="EQ26" s="4">
        <f t="shared" si="19"/>
        <v>10.39</v>
      </c>
      <c r="ER26" s="4">
        <f t="shared" si="19"/>
        <v>88172.94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88172.94</v>
      </c>
      <c r="FR26" s="4">
        <f t="shared" si="19"/>
        <v>0</v>
      </c>
      <c r="FS26" s="4">
        <f t="shared" ref="FS26:GX26" si="20">FS37</f>
        <v>101472.42</v>
      </c>
      <c r="FT26" s="4">
        <f t="shared" si="20"/>
        <v>0</v>
      </c>
      <c r="FU26" s="4">
        <f t="shared" si="20"/>
        <v>13299.48</v>
      </c>
      <c r="FV26" s="4">
        <f t="shared" si="20"/>
        <v>0</v>
      </c>
      <c r="FW26" s="4">
        <f t="shared" si="20"/>
        <v>88183.33</v>
      </c>
      <c r="FX26" s="4">
        <f t="shared" si="20"/>
        <v>10.389999999999418</v>
      </c>
      <c r="FY26" s="4">
        <f t="shared" si="20"/>
        <v>0</v>
      </c>
      <c r="FZ26" s="4">
        <f t="shared" si="20"/>
        <v>10.389999999999418</v>
      </c>
      <c r="GA26" s="4">
        <f t="shared" si="20"/>
        <v>88172.94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35" si="21">ROUND(CP28,2)</f>
        <v>48.07</v>
      </c>
      <c r="P28" s="2">
        <f>ROUND((ROUND((AC28*AW28*I28),2)*BC28),2)</f>
        <v>0.49</v>
      </c>
      <c r="Q28" s="2">
        <f>(ROUND((ROUND((((ET28*1.1))*AV28*I28),2)*BB28),2)+ROUND((ROUND(((AE28-((EU28*1.1)))*AV28*I28),2)*BS28),2))</f>
        <v>0</v>
      </c>
      <c r="R28" s="2">
        <f>(ROUND((ROUND((((EU28*1.1))*AV28*I28),2)*BS28),2)+ROUND((ROUND(((AE28-((EU28*1.1)))*AV28*I28),2)*BS28),2))</f>
        <v>0</v>
      </c>
      <c r="S28" s="2">
        <f t="shared" ref="S28:S35" si="22">ROUND((ROUND((AF28*AV28*I28),2)*BA28),2)</f>
        <v>47.58</v>
      </c>
      <c r="T28" s="2">
        <f t="shared" ref="T28:T35" si="23">ROUND(CU28*I28,2)</f>
        <v>0</v>
      </c>
      <c r="U28" s="2">
        <f t="shared" ref="U28:U35" si="24">CV28*I28</f>
        <v>3.4550999999999998</v>
      </c>
      <c r="V28" s="2">
        <f t="shared" ref="V28:V35" si="25">CW28*I28</f>
        <v>0</v>
      </c>
      <c r="W28" s="2">
        <f t="shared" ref="W28:W35" si="26">ROUND(CX28*I28,2)</f>
        <v>0</v>
      </c>
      <c r="X28" s="2">
        <f>(ROUND((((S28+ROUND((ROUND((((EU28*1.1))*AV28*I28),2)*BS28),2))*AT28)/100),2)+ROUND(((ROUND((ROUND(((AE28-((EU28*1.1)))*AV28*I28),2)*BS28),2)*AT28)/100),2))</f>
        <v>42.82</v>
      </c>
      <c r="Y28" s="2">
        <f>(ROUND((((S28+ROUND((ROUND((((EU28*1.1))*AV28*I28),2)*BS28),2))*AU28)/100),2)+ROUND(((ROUND((ROUND(((AE28-((EU28*1.1)))*AV28*I28),2)*BS28),2)*AU28)/100),2))</f>
        <v>21.89</v>
      </c>
      <c r="Z28" s="2"/>
      <c r="AA28" s="2">
        <v>60257736</v>
      </c>
      <c r="AB28" s="2">
        <f t="shared" ref="AB28:AB35" si="27">ROUND((AC28+AD28+AF28),6)</f>
        <v>45.930999999999997</v>
      </c>
      <c r="AC28" s="2">
        <f>ROUND(((ES28*1)),6)</f>
        <v>0.49</v>
      </c>
      <c r="AD28" s="2">
        <f>ROUND(((((ET28*1.1))-((EU28*1.1)))+AE28),6)</f>
        <v>0</v>
      </c>
      <c r="AE28" s="2">
        <f>ROUND(((EU28*1.1)),6)</f>
        <v>0</v>
      </c>
      <c r="AF28" s="2">
        <f>ROUND(((EV28*1.1)),6)</f>
        <v>45.441000000000003</v>
      </c>
      <c r="AG28" s="2">
        <f t="shared" ref="AG28:AG35" si="28">ROUND((AP28),6)</f>
        <v>0</v>
      </c>
      <c r="AH28" s="2">
        <f>((EW28*1.1))</f>
        <v>3.3000000000000003</v>
      </c>
      <c r="AI28" s="2">
        <f>((EX28*1.1))</f>
        <v>0</v>
      </c>
      <c r="AJ28" s="2">
        <f t="shared" ref="AJ28:AJ35" si="29">(AS28)</f>
        <v>0</v>
      </c>
      <c r="AK28" s="2">
        <v>41.8</v>
      </c>
      <c r="AL28" s="2">
        <v>0.49</v>
      </c>
      <c r="AM28" s="2">
        <v>0</v>
      </c>
      <c r="AN28" s="2">
        <v>0</v>
      </c>
      <c r="AO28" s="2">
        <v>41.31</v>
      </c>
      <c r="AP28" s="2">
        <v>0</v>
      </c>
      <c r="AQ28" s="2">
        <v>3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22</v>
      </c>
      <c r="BK28" s="2"/>
      <c r="BL28" s="2"/>
      <c r="BM28" s="2">
        <v>68</v>
      </c>
      <c r="BN28" s="2">
        <v>58973116</v>
      </c>
      <c r="BO28" s="2" t="s">
        <v>19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201</v>
      </c>
      <c r="CO28" s="2">
        <v>0</v>
      </c>
      <c r="CP28" s="2">
        <f t="shared" ref="CP28:CP35" si="30">(P28+Q28+S28)</f>
        <v>48.07</v>
      </c>
      <c r="CQ28" s="2">
        <f>ROUND((ROUND((AC28*AW28*1),2)*BC28),2)</f>
        <v>0.49</v>
      </c>
      <c r="CR28" s="2">
        <f>(ROUND((ROUND((((ET28*1.1))*AV28*1),2)*BB28),2)+ROUND((ROUND(((AE28-((EU28*1.1)))*AV28*1),2)*BS28),2))</f>
        <v>0</v>
      </c>
      <c r="CS28" s="2">
        <f>(ROUND((ROUND((((EU28*1.1))*AV28*1),2)*BS28),2)+ROUND((ROUND(((AE28-((EU28*1.1)))*AV28*1),2)*BS28),2))</f>
        <v>0</v>
      </c>
      <c r="CT28" s="2">
        <f t="shared" ref="CT28:CT35" si="31">ROUND((ROUND((AF28*AV28*1),2)*BA28),2)</f>
        <v>47.58</v>
      </c>
      <c r="CU28" s="2">
        <f t="shared" ref="CU28:CU35" si="32">AG28</f>
        <v>0</v>
      </c>
      <c r="CV28" s="2">
        <f t="shared" ref="CV28:CV35" si="33">(AH28*AV28)</f>
        <v>3.4550999999999998</v>
      </c>
      <c r="CW28" s="2">
        <f t="shared" ref="CW28:CX35" si="34">AI28</f>
        <v>0</v>
      </c>
      <c r="CX28" s="2">
        <f t="shared" si="34"/>
        <v>0</v>
      </c>
      <c r="CY28" s="2">
        <f>(ROUND((((S28+ROUND((ROUND((((EU28*1.1))*AV28*1),2)*BS28),2))*AT28)/100),2)+ROUND(((ROUND((ROUND(((AE28-((EU28*1.1)))*AV28*1),2)*BS28),2)*AT28)/100),2))</f>
        <v>42.82</v>
      </c>
      <c r="CZ28" s="2">
        <f>(ROUND((((S28+ROUND((ROUND((((EU28*1.1))*AV28*1),2)*BS28),2))*AU28)/100),2)+ROUND(((ROUND((ROUND(((AE28-((EU28*1.1)))*AV28*1),2)*BS28),2)*AU28)/100),2))</f>
        <v>21.89</v>
      </c>
      <c r="DA28" s="2"/>
      <c r="DB28" s="2">
        <v>1</v>
      </c>
      <c r="DC28" s="2" t="s">
        <v>3</v>
      </c>
      <c r="DD28" s="2" t="s">
        <v>23</v>
      </c>
      <c r="DE28" s="2" t="s">
        <v>24</v>
      </c>
      <c r="DF28" s="2" t="s">
        <v>24</v>
      </c>
      <c r="DG28" s="2" t="s">
        <v>24</v>
      </c>
      <c r="DH28" s="2" t="s">
        <v>3</v>
      </c>
      <c r="DI28" s="2" t="s">
        <v>24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60088532</v>
      </c>
      <c r="EF28" s="2">
        <v>40</v>
      </c>
      <c r="EG28" s="2" t="s">
        <v>25</v>
      </c>
      <c r="EH28" s="2">
        <v>0</v>
      </c>
      <c r="EI28" s="2" t="s">
        <v>3</v>
      </c>
      <c r="EJ28" s="2">
        <v>2</v>
      </c>
      <c r="EK28" s="2">
        <v>68</v>
      </c>
      <c r="EL28" s="2" t="s">
        <v>26</v>
      </c>
      <c r="EM28" s="2" t="s">
        <v>27</v>
      </c>
      <c r="EN28" s="2"/>
      <c r="EO28" s="2" t="s">
        <v>28</v>
      </c>
      <c r="EP28" s="2"/>
      <c r="EQ28" s="2">
        <v>0</v>
      </c>
      <c r="ER28" s="2">
        <v>41.8</v>
      </c>
      <c r="ES28" s="2">
        <v>0.49</v>
      </c>
      <c r="ET28" s="2">
        <v>0</v>
      </c>
      <c r="EU28" s="2">
        <v>0</v>
      </c>
      <c r="EV28" s="2">
        <v>41.31</v>
      </c>
      <c r="EW28" s="2">
        <v>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-1862400035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5" si="35">ROUND(IF(AND(BH28=3,BI28=3,FS28&lt;&gt;0),P28,0),2)</f>
        <v>0</v>
      </c>
      <c r="GM28" s="2">
        <f t="shared" ref="GM28:GM35" si="36">ROUND(O28+X28+Y28,2)+GX28</f>
        <v>112.78</v>
      </c>
      <c r="GN28" s="2">
        <f t="shared" ref="GN28:GN35" si="37">IF(OR(BI28=0,BI28=1),GM28-GX28,0)</f>
        <v>0</v>
      </c>
      <c r="GO28" s="2">
        <f t="shared" ref="GO28:GO35" si="38">IF(BI28=2,GM28-GX28,0)</f>
        <v>112.78</v>
      </c>
      <c r="GP28" s="2">
        <f t="shared" ref="GP28:GP35" si="39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5" si="40">ROUND((GT28),6)</f>
        <v>0</v>
      </c>
      <c r="GW28" s="2">
        <v>1</v>
      </c>
      <c r="GX28" s="2">
        <f t="shared" ref="GX28:GX35" si="41">ROUND(HC28*I28,2)</f>
        <v>0</v>
      </c>
      <c r="GY28" s="2"/>
      <c r="GZ28" s="2"/>
      <c r="HA28" s="2">
        <v>0</v>
      </c>
      <c r="HB28" s="2">
        <v>0</v>
      </c>
      <c r="HC28" s="2">
        <f t="shared" ref="HC28:HC35" si="42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ROW(SmtRes!A2)</f>
        <v>2</v>
      </c>
      <c r="D29">
        <f>ROW(EtalonRes!A2)</f>
        <v>2</v>
      </c>
      <c r="E29" t="s">
        <v>18</v>
      </c>
      <c r="F29" t="s">
        <v>19</v>
      </c>
      <c r="G29" t="s">
        <v>20</v>
      </c>
      <c r="H29" t="s">
        <v>21</v>
      </c>
      <c r="I29">
        <v>1</v>
      </c>
      <c r="J29">
        <v>0</v>
      </c>
      <c r="K29">
        <v>1</v>
      </c>
      <c r="O29">
        <f t="shared" si="21"/>
        <v>2621.27</v>
      </c>
      <c r="P29">
        <f>ROUND((ROUND((AC29*AW29*I29),2)*BC29),2)</f>
        <v>4.8499999999999996</v>
      </c>
      <c r="Q29">
        <f>(ROUND((ROUND((((ET29*1.1))*AV29*I29),2)*BB29),2)+ROUND((ROUND(((AE29-((EU29*1.1)))*AV29*I29),2)*BS29),2))</f>
        <v>0</v>
      </c>
      <c r="R29">
        <f>(ROUND((ROUND((((EU29*1.1))*AV29*I29),2)*BS29),2)+ROUND((ROUND(((AE29-((EU29*1.1)))*AV29*I29),2)*BS29),2))</f>
        <v>0</v>
      </c>
      <c r="S29">
        <f t="shared" si="22"/>
        <v>2616.42</v>
      </c>
      <c r="T29">
        <f t="shared" si="23"/>
        <v>0</v>
      </c>
      <c r="U29">
        <f t="shared" si="24"/>
        <v>3.4550999999999998</v>
      </c>
      <c r="V29">
        <f t="shared" si="25"/>
        <v>0</v>
      </c>
      <c r="W29">
        <f t="shared" si="26"/>
        <v>0</v>
      </c>
      <c r="X29">
        <f>(ROUND((((S29+ROUND((ROUND((((EU29*1.1))*AV29*I29),2)*BS29),2))*AT29)/100),2)+ROUND(((ROUND((ROUND(((AE29-((EU29*1.1)))*AV29*I29),2)*BS29),2)*AT29)/100),2))</f>
        <v>2354.7800000000002</v>
      </c>
      <c r="Y29">
        <f>(ROUND((((S29+ROUND((ROUND((((EU29*1.1))*AV29*I29),2)*BS29),2))*AU29)/100),2)+ROUND(((ROUND((ROUND(((AE29-((EU29*1.1)))*AV29*I29),2)*BS29),2)*AU29)/100),2))</f>
        <v>1203.55</v>
      </c>
      <c r="AA29">
        <v>60257733</v>
      </c>
      <c r="AB29">
        <f t="shared" si="27"/>
        <v>45.930999999999997</v>
      </c>
      <c r="AC29">
        <f>ROUND(((ES29*1)),6)</f>
        <v>0.49</v>
      </c>
      <c r="AD29">
        <f>ROUND(((((ET29*1.1))-((EU29*1.1)))+AE29),6)</f>
        <v>0</v>
      </c>
      <c r="AE29">
        <f>ROUND(((EU29*1.1)),6)</f>
        <v>0</v>
      </c>
      <c r="AF29">
        <f>ROUND(((EV29*1.1)),6)</f>
        <v>45.441000000000003</v>
      </c>
      <c r="AG29">
        <f t="shared" si="28"/>
        <v>0</v>
      </c>
      <c r="AH29">
        <f>((EW29*1.1))</f>
        <v>3.3000000000000003</v>
      </c>
      <c r="AI29">
        <f>((EX29*1.1))</f>
        <v>0</v>
      </c>
      <c r="AJ29">
        <f t="shared" si="29"/>
        <v>0</v>
      </c>
      <c r="AK29">
        <v>41.8</v>
      </c>
      <c r="AL29">
        <v>0.49</v>
      </c>
      <c r="AM29">
        <v>0</v>
      </c>
      <c r="AN29">
        <v>0</v>
      </c>
      <c r="AO29">
        <v>41.31</v>
      </c>
      <c r="AP29">
        <v>0</v>
      </c>
      <c r="AQ29">
        <v>3</v>
      </c>
      <c r="AR29">
        <v>0</v>
      </c>
      <c r="AS29">
        <v>0</v>
      </c>
      <c r="AT29">
        <v>90</v>
      </c>
      <c r="AU29">
        <v>46</v>
      </c>
      <c r="AV29">
        <v>1.0469999999999999</v>
      </c>
      <c r="AW29">
        <v>1</v>
      </c>
      <c r="AZ29">
        <v>1</v>
      </c>
      <c r="BA29">
        <v>54.99</v>
      </c>
      <c r="BB29">
        <v>1</v>
      </c>
      <c r="BC29">
        <v>9.9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22</v>
      </c>
      <c r="BM29">
        <v>68</v>
      </c>
      <c r="BN29">
        <v>58973116</v>
      </c>
      <c r="BO29" t="s">
        <v>19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90</v>
      </c>
      <c r="CA29">
        <v>46</v>
      </c>
      <c r="CB29" t="s">
        <v>3</v>
      </c>
      <c r="CE29">
        <v>1566</v>
      </c>
      <c r="CF29">
        <v>0</v>
      </c>
      <c r="CG29">
        <v>0</v>
      </c>
      <c r="CM29">
        <v>0</v>
      </c>
      <c r="CN29" t="s">
        <v>201</v>
      </c>
      <c r="CO29">
        <v>0</v>
      </c>
      <c r="CP29">
        <f t="shared" si="30"/>
        <v>2621.27</v>
      </c>
      <c r="CQ29">
        <f>ROUND((ROUND((AC29*AW29*1),2)*BC29),2)</f>
        <v>4.8499999999999996</v>
      </c>
      <c r="CR29">
        <f>(ROUND((ROUND((((ET29*1.1))*AV29*1),2)*BB29),2)+ROUND((ROUND(((AE29-((EU29*1.1)))*AV29*1),2)*BS29),2))</f>
        <v>0</v>
      </c>
      <c r="CS29">
        <f>(ROUND((ROUND((((EU29*1.1))*AV29*1),2)*BS29),2)+ROUND((ROUND(((AE29-((EU29*1.1)))*AV29*1),2)*BS29),2))</f>
        <v>0</v>
      </c>
      <c r="CT29">
        <f t="shared" si="31"/>
        <v>2616.42</v>
      </c>
      <c r="CU29">
        <f t="shared" si="32"/>
        <v>0</v>
      </c>
      <c r="CV29">
        <f t="shared" si="33"/>
        <v>3.4550999999999998</v>
      </c>
      <c r="CW29">
        <f t="shared" si="34"/>
        <v>0</v>
      </c>
      <c r="CX29">
        <f t="shared" si="34"/>
        <v>0</v>
      </c>
      <c r="CY29">
        <f>(ROUND((((S29+ROUND((ROUND((((EU29*1.1))*AV29*1),2)*BS29),2))*AT29)/100),2)+ROUND(((ROUND((ROUND(((AE29-((EU29*1.1)))*AV29*1),2)*BS29),2)*AT29)/100),2))</f>
        <v>2354.7800000000002</v>
      </c>
      <c r="CZ29">
        <f>(ROUND((((S29+ROUND((ROUND((((EU29*1.1))*AV29*1),2)*BS29),2))*AU29)/100),2)+ROUND(((ROUND((ROUND(((AE29-((EU29*1.1)))*AV29*1),2)*BS29),2)*AU29)/100),2))</f>
        <v>1203.55</v>
      </c>
      <c r="DB29">
        <v>2</v>
      </c>
      <c r="DC29" t="s">
        <v>3</v>
      </c>
      <c r="DD29" t="s">
        <v>23</v>
      </c>
      <c r="DE29" t="s">
        <v>24</v>
      </c>
      <c r="DF29" t="s">
        <v>24</v>
      </c>
      <c r="DG29" t="s">
        <v>24</v>
      </c>
      <c r="DH29" t="s">
        <v>3</v>
      </c>
      <c r="DI29" t="s">
        <v>24</v>
      </c>
      <c r="DJ29" t="s">
        <v>24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21</v>
      </c>
      <c r="DW29" t="s">
        <v>21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60088532</v>
      </c>
      <c r="EF29">
        <v>40</v>
      </c>
      <c r="EG29" t="s">
        <v>25</v>
      </c>
      <c r="EH29">
        <v>0</v>
      </c>
      <c r="EI29" t="s">
        <v>3</v>
      </c>
      <c r="EJ29">
        <v>2</v>
      </c>
      <c r="EK29">
        <v>68</v>
      </c>
      <c r="EL29" t="s">
        <v>26</v>
      </c>
      <c r="EM29" t="s">
        <v>27</v>
      </c>
      <c r="EO29" t="s">
        <v>28</v>
      </c>
      <c r="EQ29">
        <v>0</v>
      </c>
      <c r="ER29">
        <v>41.8</v>
      </c>
      <c r="ES29">
        <v>0.49</v>
      </c>
      <c r="ET29">
        <v>0</v>
      </c>
      <c r="EU29">
        <v>0</v>
      </c>
      <c r="EV29">
        <v>41.31</v>
      </c>
      <c r="EW29">
        <v>3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90</v>
      </c>
      <c r="FY29">
        <v>46</v>
      </c>
      <c r="GA29" t="s">
        <v>3</v>
      </c>
      <c r="GD29">
        <v>1</v>
      </c>
      <c r="GF29">
        <v>-1862400035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35"/>
        <v>0</v>
      </c>
      <c r="GM29">
        <f t="shared" si="36"/>
        <v>6179.6</v>
      </c>
      <c r="GN29">
        <f t="shared" si="37"/>
        <v>0</v>
      </c>
      <c r="GO29">
        <f t="shared" si="38"/>
        <v>6179.6</v>
      </c>
      <c r="GP29">
        <f t="shared" si="39"/>
        <v>0</v>
      </c>
      <c r="GR29">
        <v>0</v>
      </c>
      <c r="GS29">
        <v>3</v>
      </c>
      <c r="GT29">
        <v>0</v>
      </c>
      <c r="GU29" t="s">
        <v>3</v>
      </c>
      <c r="GV29">
        <f t="shared" si="40"/>
        <v>0</v>
      </c>
      <c r="GW29">
        <v>1</v>
      </c>
      <c r="GX29">
        <f t="shared" si="41"/>
        <v>0</v>
      </c>
      <c r="HA29">
        <v>0</v>
      </c>
      <c r="HB29">
        <v>0</v>
      </c>
      <c r="HC29">
        <f t="shared" si="42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29</v>
      </c>
      <c r="F30" s="2" t="s">
        <v>30</v>
      </c>
      <c r="G30" s="2" t="s">
        <v>31</v>
      </c>
      <c r="H30" s="2" t="s">
        <v>32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10518.85</v>
      </c>
      <c r="P30" s="2">
        <f>ROUND((ROUND((AC30*I30),2)*BC30),2)</f>
        <v>10518.85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2"/>
        <v>0</v>
      </c>
      <c r="T30" s="2">
        <f t="shared" si="23"/>
        <v>0</v>
      </c>
      <c r="U30" s="2">
        <f t="shared" si="24"/>
        <v>0</v>
      </c>
      <c r="V30" s="2">
        <f t="shared" si="25"/>
        <v>0</v>
      </c>
      <c r="W30" s="2">
        <f t="shared" si="26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60257736</v>
      </c>
      <c r="AB30" s="2">
        <f t="shared" si="27"/>
        <v>10518.85</v>
      </c>
      <c r="AC30" s="2">
        <f>ROUND((ES30),6)</f>
        <v>10518.85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28"/>
        <v>0</v>
      </c>
      <c r="AH30" s="2">
        <f>(EW30)</f>
        <v>0</v>
      </c>
      <c r="AI30" s="2">
        <f>(EX30)</f>
        <v>0</v>
      </c>
      <c r="AJ30" s="2">
        <f t="shared" si="29"/>
        <v>0</v>
      </c>
      <c r="AK30" s="2">
        <v>10518.849999999999</v>
      </c>
      <c r="AL30" s="2">
        <v>10518.849999999999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0"/>
        <v>10518.85</v>
      </c>
      <c r="CQ30" s="2">
        <f>ROUND((ROUND((AC30*1),2)*BC30),2)</f>
        <v>10518.85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1"/>
        <v>0</v>
      </c>
      <c r="CU30" s="2">
        <f t="shared" si="32"/>
        <v>0</v>
      </c>
      <c r="CV30" s="2">
        <f t="shared" si="33"/>
        <v>0</v>
      </c>
      <c r="CW30" s="2">
        <f t="shared" si="34"/>
        <v>0</v>
      </c>
      <c r="CX30" s="2">
        <f t="shared" si="34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60088638</v>
      </c>
      <c r="EF30" s="2">
        <v>130</v>
      </c>
      <c r="EG30" s="2" t="s">
        <v>33</v>
      </c>
      <c r="EH30" s="2">
        <v>0</v>
      </c>
      <c r="EI30" s="2" t="s">
        <v>3</v>
      </c>
      <c r="EJ30" s="2">
        <v>3</v>
      </c>
      <c r="EK30" s="2">
        <v>746</v>
      </c>
      <c r="EL30" s="2" t="s">
        <v>34</v>
      </c>
      <c r="EM30" s="2" t="s">
        <v>35</v>
      </c>
      <c r="EN30" s="2"/>
      <c r="EO30" s="2" t="s">
        <v>3</v>
      </c>
      <c r="EP30" s="2"/>
      <c r="EQ30" s="2">
        <v>0</v>
      </c>
      <c r="ER30" s="2">
        <v>0</v>
      </c>
      <c r="ES30" s="2">
        <v>10518.849999999999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10518.85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36</v>
      </c>
      <c r="GB30" s="2"/>
      <c r="GC30" s="2"/>
      <c r="GD30" s="2">
        <v>1</v>
      </c>
      <c r="GE30" s="2"/>
      <c r="GF30" s="2">
        <v>-2034863319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5"/>
        <v>0</v>
      </c>
      <c r="GM30" s="2">
        <f t="shared" si="36"/>
        <v>10518.85</v>
      </c>
      <c r="GN30" s="2">
        <f t="shared" si="37"/>
        <v>0</v>
      </c>
      <c r="GO30" s="2">
        <f t="shared" si="38"/>
        <v>0</v>
      </c>
      <c r="GP30" s="2">
        <f t="shared" si="39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0"/>
        <v>0</v>
      </c>
      <c r="GW30" s="2">
        <v>1</v>
      </c>
      <c r="GX30" s="2">
        <f t="shared" si="41"/>
        <v>0</v>
      </c>
      <c r="GY30" s="2"/>
      <c r="GZ30" s="2"/>
      <c r="HA30" s="2">
        <v>0</v>
      </c>
      <c r="HB30" s="2">
        <v>0</v>
      </c>
      <c r="HC30" s="2">
        <f t="shared" si="42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E31" t="s">
        <v>29</v>
      </c>
      <c r="F31" t="s">
        <v>30</v>
      </c>
      <c r="G31" t="s">
        <v>31</v>
      </c>
      <c r="H31" t="s">
        <v>32</v>
      </c>
      <c r="I31">
        <v>1</v>
      </c>
      <c r="J31">
        <v>0</v>
      </c>
      <c r="K31">
        <v>1</v>
      </c>
      <c r="O31">
        <f t="shared" si="21"/>
        <v>80574.39</v>
      </c>
      <c r="P31">
        <f>ROUND((ROUND((AC31*I31),2)*BC31),2)</f>
        <v>80574.39</v>
      </c>
      <c r="Q31">
        <f>(ROUND((ROUND(((ET31)*AV31*I31),2)*BB31),2)+ROUND((ROUND(((AE31-(EU31))*AV31*I31),2)*BS31),2))</f>
        <v>0</v>
      </c>
      <c r="R31">
        <f>(ROUND((ROUND(((EU31)*AV31*I31),2)*BS31),2)+ROUND((ROUND(((AE31-(EU31))*AV31*I31),2)*BS31),2))</f>
        <v>0</v>
      </c>
      <c r="S31">
        <f t="shared" si="22"/>
        <v>0</v>
      </c>
      <c r="T31">
        <f t="shared" si="23"/>
        <v>0</v>
      </c>
      <c r="U31">
        <f t="shared" si="24"/>
        <v>0</v>
      </c>
      <c r="V31">
        <f t="shared" si="25"/>
        <v>0</v>
      </c>
      <c r="W31">
        <f t="shared" si="26"/>
        <v>0</v>
      </c>
      <c r="X31">
        <f>(ROUND((((S31+ROUND((ROUND(((EU31)*AV31*I31),2)*BS31),2))*AT31)/100),2)+ROUND(((ROUND((ROUND(((AE31-(EU31))*AV31*I31),2)*BS31),2)*AT31)/100),2))</f>
        <v>0</v>
      </c>
      <c r="Y31">
        <f>(ROUND((((S31+ROUND((ROUND(((EU31)*AV31*I31),2)*BS31),2))*AU31)/100),2)+ROUND(((ROUND((ROUND(((AE31-(EU31))*AV31*I31),2)*BS31),2)*AU31)/100),2))</f>
        <v>0</v>
      </c>
      <c r="AA31">
        <v>60257733</v>
      </c>
      <c r="AB31">
        <f t="shared" si="27"/>
        <v>10518.85</v>
      </c>
      <c r="AC31">
        <f>ROUND((ES31),6)</f>
        <v>10518.85</v>
      </c>
      <c r="AD31">
        <f>ROUND((((ET31)-(EU31))+AE31),6)</f>
        <v>0</v>
      </c>
      <c r="AE31">
        <f>ROUND((EU31),6)</f>
        <v>0</v>
      </c>
      <c r="AF31">
        <f>ROUND((EV31),6)</f>
        <v>0</v>
      </c>
      <c r="AG31">
        <f t="shared" si="28"/>
        <v>0</v>
      </c>
      <c r="AH31">
        <f>(EW31)</f>
        <v>0</v>
      </c>
      <c r="AI31">
        <f>(EX31)</f>
        <v>0</v>
      </c>
      <c r="AJ31">
        <f t="shared" si="29"/>
        <v>0</v>
      </c>
      <c r="AK31">
        <v>10518.849999999999</v>
      </c>
      <c r="AL31">
        <v>10518.849999999999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0</v>
      </c>
      <c r="CA31">
        <v>0</v>
      </c>
      <c r="CB31" t="s">
        <v>3</v>
      </c>
      <c r="CE31">
        <v>1566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0"/>
        <v>80574.39</v>
      </c>
      <c r="CQ31">
        <f>ROUND((ROUND((AC31*1),2)*BC31),2)</f>
        <v>80574.39</v>
      </c>
      <c r="CR31">
        <f>(ROUND((ROUND(((ET31)*AV31*1),2)*BB31),2)+ROUND((ROUND(((AE31-(EU31))*AV31*1),2)*BS31),2))</f>
        <v>0</v>
      </c>
      <c r="CS31">
        <f>(ROUND((ROUND(((EU31)*AV31*1),2)*BS31),2)+ROUND((ROUND(((AE31-(EU31))*AV31*1),2)*BS31),2))</f>
        <v>0</v>
      </c>
      <c r="CT31">
        <f t="shared" si="31"/>
        <v>0</v>
      </c>
      <c r="CU31">
        <f t="shared" si="32"/>
        <v>0</v>
      </c>
      <c r="CV31">
        <f t="shared" si="33"/>
        <v>0</v>
      </c>
      <c r="CW31">
        <f t="shared" si="34"/>
        <v>0</v>
      </c>
      <c r="CX31">
        <f t="shared" si="34"/>
        <v>0</v>
      </c>
      <c r="CY31">
        <f>(ROUND((((S31+ROUND((ROUND(((EU31)*AV31*1),2)*BS31),2))*AT31)/100),2)+ROUND(((ROUND((ROUND(((AE31-(EU31))*AV31*1),2)*BS31),2)*AT31)/100),2))</f>
        <v>0</v>
      </c>
      <c r="CZ31">
        <f>(ROUND((((S31+ROUND((ROUND(((EU31)*AV31*1),2)*BS31),2))*AU31)/100),2)+ROUND(((ROUND((ROUND(((AE31-(EU31))*AV31*1),2)*BS31),2)*AU31)/100),2))</f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1013</v>
      </c>
      <c r="DV31" t="s">
        <v>32</v>
      </c>
      <c r="DW31" t="s">
        <v>32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60088638</v>
      </c>
      <c r="EF31">
        <v>130</v>
      </c>
      <c r="EG31" t="s">
        <v>33</v>
      </c>
      <c r="EH31">
        <v>0</v>
      </c>
      <c r="EI31" t="s">
        <v>3</v>
      </c>
      <c r="EJ31">
        <v>3</v>
      </c>
      <c r="EK31">
        <v>746</v>
      </c>
      <c r="EL31" t="s">
        <v>34</v>
      </c>
      <c r="EM31" t="s">
        <v>35</v>
      </c>
      <c r="EO31" t="s">
        <v>3</v>
      </c>
      <c r="EQ31">
        <v>0</v>
      </c>
      <c r="ER31">
        <v>0</v>
      </c>
      <c r="ES31">
        <v>10518.849999999999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5</v>
      </c>
      <c r="FC31">
        <v>1</v>
      </c>
      <c r="FD31">
        <v>18</v>
      </c>
      <c r="FF31">
        <v>92760</v>
      </c>
      <c r="FQ31">
        <v>0</v>
      </c>
      <c r="FR31">
        <f>P31</f>
        <v>80574.39</v>
      </c>
      <c r="FS31">
        <v>0</v>
      </c>
      <c r="FX31">
        <v>0</v>
      </c>
      <c r="FY31">
        <v>0</v>
      </c>
      <c r="GA31" t="s">
        <v>36</v>
      </c>
      <c r="GD31">
        <v>1</v>
      </c>
      <c r="GF31">
        <v>-2034863319</v>
      </c>
      <c r="GG31">
        <v>2</v>
      </c>
      <c r="GH31">
        <v>3</v>
      </c>
      <c r="GI31">
        <v>5</v>
      </c>
      <c r="GJ31">
        <v>0</v>
      </c>
      <c r="GK31">
        <v>0</v>
      </c>
      <c r="GL31">
        <f t="shared" si="35"/>
        <v>0</v>
      </c>
      <c r="GM31">
        <f t="shared" si="36"/>
        <v>80574.39</v>
      </c>
      <c r="GN31">
        <f t="shared" si="37"/>
        <v>0</v>
      </c>
      <c r="GO31">
        <f t="shared" si="38"/>
        <v>0</v>
      </c>
      <c r="GP31">
        <f t="shared" si="39"/>
        <v>0</v>
      </c>
      <c r="GR31">
        <v>1</v>
      </c>
      <c r="GS31">
        <v>1</v>
      </c>
      <c r="GT31">
        <v>0</v>
      </c>
      <c r="GU31" t="s">
        <v>3</v>
      </c>
      <c r="GV31">
        <f t="shared" si="40"/>
        <v>0</v>
      </c>
      <c r="GW31">
        <v>1</v>
      </c>
      <c r="GX31">
        <f t="shared" si="41"/>
        <v>0</v>
      </c>
      <c r="HA31">
        <v>0</v>
      </c>
      <c r="HB31">
        <v>0</v>
      </c>
      <c r="HC31">
        <f t="shared" si="42"/>
        <v>0</v>
      </c>
      <c r="HE31" t="s">
        <v>37</v>
      </c>
      <c r="HF31" t="s">
        <v>38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>
        <f>ROW(SmtRes!A3)</f>
        <v>3</v>
      </c>
      <c r="D32" s="2">
        <f>ROW(EtalonRes!A3)</f>
        <v>3</v>
      </c>
      <c r="E32" s="2" t="s">
        <v>37</v>
      </c>
      <c r="F32" s="2" t="s">
        <v>39</v>
      </c>
      <c r="G32" s="2" t="s">
        <v>40</v>
      </c>
      <c r="H32" s="2" t="s">
        <v>21</v>
      </c>
      <c r="I32" s="2">
        <v>2</v>
      </c>
      <c r="J32" s="2">
        <v>0</v>
      </c>
      <c r="K32" s="2">
        <v>2</v>
      </c>
      <c r="L32" s="2"/>
      <c r="M32" s="2"/>
      <c r="N32" s="2"/>
      <c r="O32" s="2">
        <f t="shared" si="21"/>
        <v>55.38</v>
      </c>
      <c r="P32" s="2">
        <f>ROUND((ROUND((AC32*AW32*I32),2)*BC32),2)</f>
        <v>0.56000000000000005</v>
      </c>
      <c r="Q32" s="2">
        <f>(ROUND((ROUND((((ET32*1.1))*AV32*I32),2)*BB32),2)+ROUND((ROUND(((AE32-((EU32*1.1)))*AV32*I32),2)*BS32),2))</f>
        <v>0</v>
      </c>
      <c r="R32" s="2">
        <f>(ROUND((ROUND((((EU32*1.1))*AV32*I32),2)*BS32),2)+ROUND((ROUND(((AE32-((EU32*1.1)))*AV32*I32),2)*BS32),2))</f>
        <v>0</v>
      </c>
      <c r="S32" s="2">
        <f t="shared" si="22"/>
        <v>54.82</v>
      </c>
      <c r="T32" s="2">
        <f t="shared" si="23"/>
        <v>0</v>
      </c>
      <c r="U32" s="2">
        <f t="shared" si="24"/>
        <v>4.6067999999999998</v>
      </c>
      <c r="V32" s="2">
        <f t="shared" si="25"/>
        <v>0</v>
      </c>
      <c r="W32" s="2">
        <f t="shared" si="26"/>
        <v>0</v>
      </c>
      <c r="X32" s="2">
        <f>(ROUND((((S32+ROUND((ROUND((((EU32*1.1))*AV32*I32),2)*BS32),2))*AT32)/100),2)+ROUND(((ROUND((ROUND(((AE32-((EU32*1.1)))*AV32*I32),2)*BS32),2)*AT32)/100),2))</f>
        <v>49.34</v>
      </c>
      <c r="Y32" s="2">
        <f>(ROUND((((S32+ROUND((ROUND((((EU32*1.1))*AV32*I32),2)*BS32),2))*AU32)/100),2)+ROUND(((ROUND((ROUND(((AE32-((EU32*1.1)))*AV32*I32),2)*BS32),2)*AU32)/100),2))</f>
        <v>25.22</v>
      </c>
      <c r="Z32" s="2"/>
      <c r="AA32" s="2">
        <v>60257736</v>
      </c>
      <c r="AB32" s="2">
        <f t="shared" si="27"/>
        <v>26.46</v>
      </c>
      <c r="AC32" s="2">
        <f>ROUND(((ES32*1)),6)</f>
        <v>0.28000000000000003</v>
      </c>
      <c r="AD32" s="2">
        <f>ROUND(((((ET32*1.1))-((EU32*1.1)))+AE32),6)</f>
        <v>0</v>
      </c>
      <c r="AE32" s="2">
        <f>ROUND(((EU32*1.1)),6)</f>
        <v>0</v>
      </c>
      <c r="AF32" s="2">
        <f>ROUND(((EV32*1.1)),6)</f>
        <v>26.18</v>
      </c>
      <c r="AG32" s="2">
        <f t="shared" si="28"/>
        <v>0</v>
      </c>
      <c r="AH32" s="2">
        <f>((EW32*1.1))</f>
        <v>2.2000000000000002</v>
      </c>
      <c r="AI32" s="2">
        <f>((EX32*1.1))</f>
        <v>0</v>
      </c>
      <c r="AJ32" s="2">
        <f t="shared" si="29"/>
        <v>0</v>
      </c>
      <c r="AK32" s="2">
        <v>24.08</v>
      </c>
      <c r="AL32" s="2">
        <v>0.28000000000000003</v>
      </c>
      <c r="AM32" s="2">
        <v>0</v>
      </c>
      <c r="AN32" s="2">
        <v>0</v>
      </c>
      <c r="AO32" s="2">
        <v>23.8</v>
      </c>
      <c r="AP32" s="2">
        <v>0</v>
      </c>
      <c r="AQ32" s="2">
        <v>2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41</v>
      </c>
      <c r="BK32" s="2"/>
      <c r="BL32" s="2"/>
      <c r="BM32" s="2">
        <v>68</v>
      </c>
      <c r="BN32" s="2">
        <v>58973116</v>
      </c>
      <c r="BO32" s="2" t="s">
        <v>39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201</v>
      </c>
      <c r="CO32" s="2">
        <v>0</v>
      </c>
      <c r="CP32" s="2">
        <f t="shared" si="30"/>
        <v>55.38</v>
      </c>
      <c r="CQ32" s="2">
        <f>ROUND((ROUND((AC32*AW32*1),2)*BC32),2)</f>
        <v>0.28000000000000003</v>
      </c>
      <c r="CR32" s="2">
        <f>(ROUND((ROUND((((ET32*1.1))*AV32*1),2)*BB32),2)+ROUND((ROUND(((AE32-((EU32*1.1)))*AV32*1),2)*BS32),2))</f>
        <v>0</v>
      </c>
      <c r="CS32" s="2">
        <f>(ROUND((ROUND((((EU32*1.1))*AV32*1),2)*BS32),2)+ROUND((ROUND(((AE32-((EU32*1.1)))*AV32*1),2)*BS32),2))</f>
        <v>0</v>
      </c>
      <c r="CT32" s="2">
        <f t="shared" si="31"/>
        <v>27.41</v>
      </c>
      <c r="CU32" s="2">
        <f t="shared" si="32"/>
        <v>0</v>
      </c>
      <c r="CV32" s="2">
        <f t="shared" si="33"/>
        <v>2.3033999999999999</v>
      </c>
      <c r="CW32" s="2">
        <f t="shared" si="34"/>
        <v>0</v>
      </c>
      <c r="CX32" s="2">
        <f t="shared" si="34"/>
        <v>0</v>
      </c>
      <c r="CY32" s="2">
        <f>(ROUND((((S32+ROUND((ROUND((((EU32*1.1))*AV32*1),2)*BS32),2))*AT32)/100),2)+ROUND(((ROUND((ROUND(((AE32-((EU32*1.1)))*AV32*1),2)*BS32),2)*AT32)/100),2))</f>
        <v>49.34</v>
      </c>
      <c r="CZ32" s="2">
        <f>(ROUND((((S32+ROUND((ROUND((((EU32*1.1))*AV32*1),2)*BS32),2))*AU32)/100),2)+ROUND(((ROUND((ROUND(((AE32-((EU32*1.1)))*AV32*1),2)*BS32),2)*AU32)/100),2))</f>
        <v>25.22</v>
      </c>
      <c r="DA32" s="2"/>
      <c r="DB32" s="2">
        <v>3</v>
      </c>
      <c r="DC32" s="2" t="s">
        <v>3</v>
      </c>
      <c r="DD32" s="2" t="s">
        <v>23</v>
      </c>
      <c r="DE32" s="2" t="s">
        <v>24</v>
      </c>
      <c r="DF32" s="2" t="s">
        <v>24</v>
      </c>
      <c r="DG32" s="2" t="s">
        <v>24</v>
      </c>
      <c r="DH32" s="2" t="s">
        <v>3</v>
      </c>
      <c r="DI32" s="2" t="s">
        <v>24</v>
      </c>
      <c r="DJ32" s="2" t="s">
        <v>24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21</v>
      </c>
      <c r="DW32" s="2" t="s">
        <v>21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60088532</v>
      </c>
      <c r="EF32" s="2">
        <v>40</v>
      </c>
      <c r="EG32" s="2" t="s">
        <v>25</v>
      </c>
      <c r="EH32" s="2">
        <v>0</v>
      </c>
      <c r="EI32" s="2" t="s">
        <v>3</v>
      </c>
      <c r="EJ32" s="2">
        <v>2</v>
      </c>
      <c r="EK32" s="2">
        <v>68</v>
      </c>
      <c r="EL32" s="2" t="s">
        <v>26</v>
      </c>
      <c r="EM32" s="2" t="s">
        <v>27</v>
      </c>
      <c r="EN32" s="2"/>
      <c r="EO32" s="2" t="s">
        <v>28</v>
      </c>
      <c r="EP32" s="2"/>
      <c r="EQ32" s="2">
        <v>0</v>
      </c>
      <c r="ER32" s="2">
        <v>24.08</v>
      </c>
      <c r="ES32" s="2">
        <v>0.28000000000000003</v>
      </c>
      <c r="ET32" s="2">
        <v>0</v>
      </c>
      <c r="EU32" s="2">
        <v>0</v>
      </c>
      <c r="EV32" s="2">
        <v>23.8</v>
      </c>
      <c r="EW32" s="2">
        <v>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1897857927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5"/>
        <v>0</v>
      </c>
      <c r="GM32" s="2">
        <f t="shared" si="36"/>
        <v>129.94</v>
      </c>
      <c r="GN32" s="2">
        <f t="shared" si="37"/>
        <v>0</v>
      </c>
      <c r="GO32" s="2">
        <f t="shared" si="38"/>
        <v>129.94</v>
      </c>
      <c r="GP32" s="2">
        <f t="shared" si="39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0"/>
        <v>0</v>
      </c>
      <c r="GW32" s="2">
        <v>1</v>
      </c>
      <c r="GX32" s="2">
        <f t="shared" si="41"/>
        <v>0</v>
      </c>
      <c r="GY32" s="2"/>
      <c r="GZ32" s="2"/>
      <c r="HA32" s="2">
        <v>0</v>
      </c>
      <c r="HB32" s="2">
        <v>0</v>
      </c>
      <c r="HC32" s="2">
        <f t="shared" si="42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ROW(SmtRes!A4)</f>
        <v>4</v>
      </c>
      <c r="D33">
        <f>ROW(EtalonRes!A4)</f>
        <v>4</v>
      </c>
      <c r="E33" t="s">
        <v>37</v>
      </c>
      <c r="F33" t="s">
        <v>39</v>
      </c>
      <c r="G33" t="s">
        <v>40</v>
      </c>
      <c r="H33" t="s">
        <v>21</v>
      </c>
      <c r="I33">
        <v>2</v>
      </c>
      <c r="J33">
        <v>0</v>
      </c>
      <c r="K33">
        <v>2</v>
      </c>
      <c r="O33">
        <f t="shared" si="21"/>
        <v>3020.09</v>
      </c>
      <c r="P33">
        <f>ROUND((ROUND((AC33*AW33*I33),2)*BC33),2)</f>
        <v>5.54</v>
      </c>
      <c r="Q33">
        <f>(ROUND((ROUND((((ET33*1.1))*AV33*I33),2)*BB33),2)+ROUND((ROUND(((AE33-((EU33*1.1)))*AV33*I33),2)*BS33),2))</f>
        <v>0</v>
      </c>
      <c r="R33">
        <f>(ROUND((ROUND((((EU33*1.1))*AV33*I33),2)*BS33),2)+ROUND((ROUND(((AE33-((EU33*1.1)))*AV33*I33),2)*BS33),2))</f>
        <v>0</v>
      </c>
      <c r="S33">
        <f t="shared" si="22"/>
        <v>3014.55</v>
      </c>
      <c r="T33">
        <f t="shared" si="23"/>
        <v>0</v>
      </c>
      <c r="U33">
        <f t="shared" si="24"/>
        <v>4.6067999999999998</v>
      </c>
      <c r="V33">
        <f t="shared" si="25"/>
        <v>0</v>
      </c>
      <c r="W33">
        <f t="shared" si="26"/>
        <v>0</v>
      </c>
      <c r="X33">
        <f>(ROUND((((S33+ROUND((ROUND((((EU33*1.1))*AV33*I33),2)*BS33),2))*AT33)/100),2)+ROUND(((ROUND((ROUND(((AE33-((EU33*1.1)))*AV33*I33),2)*BS33),2)*AT33)/100),2))</f>
        <v>2713.1</v>
      </c>
      <c r="Y33">
        <f>(ROUND((((S33+ROUND((ROUND((((EU33*1.1))*AV33*I33),2)*BS33),2))*AU33)/100),2)+ROUND(((ROUND((ROUND(((AE33-((EU33*1.1)))*AV33*I33),2)*BS33),2)*AU33)/100),2))</f>
        <v>1386.69</v>
      </c>
      <c r="AA33">
        <v>60257733</v>
      </c>
      <c r="AB33">
        <f t="shared" si="27"/>
        <v>26.46</v>
      </c>
      <c r="AC33">
        <f>ROUND(((ES33*1)),6)</f>
        <v>0.28000000000000003</v>
      </c>
      <c r="AD33">
        <f>ROUND(((((ET33*1.1))-((EU33*1.1)))+AE33),6)</f>
        <v>0</v>
      </c>
      <c r="AE33">
        <f>ROUND(((EU33*1.1)),6)</f>
        <v>0</v>
      </c>
      <c r="AF33">
        <f>ROUND(((EV33*1.1)),6)</f>
        <v>26.18</v>
      </c>
      <c r="AG33">
        <f t="shared" si="28"/>
        <v>0</v>
      </c>
      <c r="AH33">
        <f>((EW33*1.1))</f>
        <v>2.2000000000000002</v>
      </c>
      <c r="AI33">
        <f>((EX33*1.1))</f>
        <v>0</v>
      </c>
      <c r="AJ33">
        <f t="shared" si="29"/>
        <v>0</v>
      </c>
      <c r="AK33">
        <v>24.08</v>
      </c>
      <c r="AL33">
        <v>0.28000000000000003</v>
      </c>
      <c r="AM33">
        <v>0</v>
      </c>
      <c r="AN33">
        <v>0</v>
      </c>
      <c r="AO33">
        <v>23.8</v>
      </c>
      <c r="AP33">
        <v>0</v>
      </c>
      <c r="AQ33">
        <v>2</v>
      </c>
      <c r="AR33">
        <v>0</v>
      </c>
      <c r="AS33">
        <v>0</v>
      </c>
      <c r="AT33">
        <v>90</v>
      </c>
      <c r="AU33">
        <v>46</v>
      </c>
      <c r="AV33">
        <v>1.0469999999999999</v>
      </c>
      <c r="AW33">
        <v>1</v>
      </c>
      <c r="AZ33">
        <v>1</v>
      </c>
      <c r="BA33">
        <v>54.99</v>
      </c>
      <c r="BB33">
        <v>1</v>
      </c>
      <c r="BC33">
        <v>9.89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2</v>
      </c>
      <c r="BJ33" t="s">
        <v>41</v>
      </c>
      <c r="BM33">
        <v>68</v>
      </c>
      <c r="BN33">
        <v>58973116</v>
      </c>
      <c r="BO33" t="s">
        <v>39</v>
      </c>
      <c r="BP33">
        <v>1</v>
      </c>
      <c r="BQ33">
        <v>40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90</v>
      </c>
      <c r="CA33">
        <v>46</v>
      </c>
      <c r="CB33" t="s">
        <v>3</v>
      </c>
      <c r="CE33">
        <v>1566</v>
      </c>
      <c r="CF33">
        <v>0</v>
      </c>
      <c r="CG33">
        <v>0</v>
      </c>
      <c r="CM33">
        <v>0</v>
      </c>
      <c r="CN33" t="s">
        <v>201</v>
      </c>
      <c r="CO33">
        <v>0</v>
      </c>
      <c r="CP33">
        <f t="shared" si="30"/>
        <v>3020.09</v>
      </c>
      <c r="CQ33">
        <f>ROUND((ROUND((AC33*AW33*1),2)*BC33),2)</f>
        <v>2.77</v>
      </c>
      <c r="CR33">
        <f>(ROUND((ROUND((((ET33*1.1))*AV33*1),2)*BB33),2)+ROUND((ROUND(((AE33-((EU33*1.1)))*AV33*1),2)*BS33),2))</f>
        <v>0</v>
      </c>
      <c r="CS33">
        <f>(ROUND((ROUND((((EU33*1.1))*AV33*1),2)*BS33),2)+ROUND((ROUND(((AE33-((EU33*1.1)))*AV33*1),2)*BS33),2))</f>
        <v>0</v>
      </c>
      <c r="CT33">
        <f t="shared" si="31"/>
        <v>1507.28</v>
      </c>
      <c r="CU33">
        <f t="shared" si="32"/>
        <v>0</v>
      </c>
      <c r="CV33">
        <f t="shared" si="33"/>
        <v>2.3033999999999999</v>
      </c>
      <c r="CW33">
        <f t="shared" si="34"/>
        <v>0</v>
      </c>
      <c r="CX33">
        <f t="shared" si="34"/>
        <v>0</v>
      </c>
      <c r="CY33">
        <f>(ROUND((((S33+ROUND((ROUND((((EU33*1.1))*AV33*1),2)*BS33),2))*AT33)/100),2)+ROUND(((ROUND((ROUND(((AE33-((EU33*1.1)))*AV33*1),2)*BS33),2)*AT33)/100),2))</f>
        <v>2713.1</v>
      </c>
      <c r="CZ33">
        <f>(ROUND((((S33+ROUND((ROUND((((EU33*1.1))*AV33*1),2)*BS33),2))*AU33)/100),2)+ROUND(((ROUND((ROUND(((AE33-((EU33*1.1)))*AV33*1),2)*BS33),2)*AU33)/100),2))</f>
        <v>1386.69</v>
      </c>
      <c r="DB33">
        <v>4</v>
      </c>
      <c r="DC33" t="s">
        <v>3</v>
      </c>
      <c r="DD33" t="s">
        <v>23</v>
      </c>
      <c r="DE33" t="s">
        <v>24</v>
      </c>
      <c r="DF33" t="s">
        <v>24</v>
      </c>
      <c r="DG33" t="s">
        <v>24</v>
      </c>
      <c r="DH33" t="s">
        <v>3</v>
      </c>
      <c r="DI33" t="s">
        <v>24</v>
      </c>
      <c r="DJ33" t="s">
        <v>24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21</v>
      </c>
      <c r="DW33" t="s">
        <v>21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60088532</v>
      </c>
      <c r="EF33">
        <v>40</v>
      </c>
      <c r="EG33" t="s">
        <v>25</v>
      </c>
      <c r="EH33">
        <v>0</v>
      </c>
      <c r="EI33" t="s">
        <v>3</v>
      </c>
      <c r="EJ33">
        <v>2</v>
      </c>
      <c r="EK33">
        <v>68</v>
      </c>
      <c r="EL33" t="s">
        <v>26</v>
      </c>
      <c r="EM33" t="s">
        <v>27</v>
      </c>
      <c r="EO33" t="s">
        <v>28</v>
      </c>
      <c r="EQ33">
        <v>0</v>
      </c>
      <c r="ER33">
        <v>24.08</v>
      </c>
      <c r="ES33">
        <v>0.28000000000000003</v>
      </c>
      <c r="ET33">
        <v>0</v>
      </c>
      <c r="EU33">
        <v>0</v>
      </c>
      <c r="EV33">
        <v>23.8</v>
      </c>
      <c r="EW33">
        <v>2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90</v>
      </c>
      <c r="FY33">
        <v>46</v>
      </c>
      <c r="GA33" t="s">
        <v>3</v>
      </c>
      <c r="GD33">
        <v>1</v>
      </c>
      <c r="GF33">
        <v>1897857927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35"/>
        <v>0</v>
      </c>
      <c r="GM33">
        <f t="shared" si="36"/>
        <v>7119.88</v>
      </c>
      <c r="GN33">
        <f t="shared" si="37"/>
        <v>0</v>
      </c>
      <c r="GO33">
        <f t="shared" si="38"/>
        <v>7119.88</v>
      </c>
      <c r="GP33">
        <f t="shared" si="39"/>
        <v>0</v>
      </c>
      <c r="GR33">
        <v>0</v>
      </c>
      <c r="GS33">
        <v>3</v>
      </c>
      <c r="GT33">
        <v>0</v>
      </c>
      <c r="GU33" t="s">
        <v>3</v>
      </c>
      <c r="GV33">
        <f t="shared" si="40"/>
        <v>0</v>
      </c>
      <c r="GW33">
        <v>1</v>
      </c>
      <c r="GX33">
        <f t="shared" si="41"/>
        <v>0</v>
      </c>
      <c r="HA33">
        <v>0</v>
      </c>
      <c r="HB33">
        <v>0</v>
      </c>
      <c r="HC33">
        <f t="shared" si="42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42</v>
      </c>
      <c r="F34" s="2" t="s">
        <v>43</v>
      </c>
      <c r="G34" s="2" t="s">
        <v>44</v>
      </c>
      <c r="H34" s="2" t="s">
        <v>45</v>
      </c>
      <c r="I34" s="2">
        <v>2</v>
      </c>
      <c r="J34" s="2">
        <v>0</v>
      </c>
      <c r="K34" s="2">
        <v>2</v>
      </c>
      <c r="L34" s="2"/>
      <c r="M34" s="2"/>
      <c r="N34" s="2"/>
      <c r="O34" s="2">
        <f t="shared" si="21"/>
        <v>1461.26</v>
      </c>
      <c r="P34" s="2">
        <f>ROUND((ROUND((AC34*I34),2)*BC34),2)</f>
        <v>1461.26</v>
      </c>
      <c r="Q34" s="2">
        <f>(ROUND((ROUND(((ET34)*AV34*I34),2)*BB34),2)+ROUND((ROUND(((AE34-(EU34))*AV34*I34),2)*BS34),2))</f>
        <v>0</v>
      </c>
      <c r="R34" s="2">
        <f>(ROUND((ROUND(((EU34)*AV34*I34),2)*BS34),2)+ROUND((ROUND(((AE34-(EU34))*AV34*I34),2)*BS34),2))</f>
        <v>0</v>
      </c>
      <c r="S34" s="2">
        <f t="shared" si="22"/>
        <v>0</v>
      </c>
      <c r="T34" s="2">
        <f t="shared" si="23"/>
        <v>0</v>
      </c>
      <c r="U34" s="2">
        <f t="shared" si="24"/>
        <v>0</v>
      </c>
      <c r="V34" s="2">
        <f t="shared" si="25"/>
        <v>0</v>
      </c>
      <c r="W34" s="2">
        <f t="shared" si="26"/>
        <v>0</v>
      </c>
      <c r="X34" s="2">
        <f>(ROUND((((S34+ROUND((ROUND(((EU34)*AV34*I34),2)*BS34),2))*AT34)/100),2)+ROUND(((ROUND((ROUND(((AE34-(EU34))*AV34*I34),2)*BS34),2)*AT34)/100),2))</f>
        <v>0</v>
      </c>
      <c r="Y34" s="2">
        <f>(ROUND((((S34+ROUND((ROUND(((EU34)*AV34*I34),2)*BS34),2))*AU34)/100),2)+ROUND(((ROUND((ROUND(((AE34-(EU34))*AV34*I34),2)*BS34),2)*AU34)/100),2))</f>
        <v>0</v>
      </c>
      <c r="Z34" s="2"/>
      <c r="AA34" s="2">
        <v>60257736</v>
      </c>
      <c r="AB34" s="2">
        <f t="shared" si="27"/>
        <v>730.63</v>
      </c>
      <c r="AC34" s="2">
        <f>ROUND((ES34),6)</f>
        <v>730.63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28"/>
        <v>0</v>
      </c>
      <c r="AH34" s="2">
        <f>(EW34)</f>
        <v>0</v>
      </c>
      <c r="AI34" s="2">
        <f>(EX34)</f>
        <v>0</v>
      </c>
      <c r="AJ34" s="2">
        <f t="shared" si="29"/>
        <v>0</v>
      </c>
      <c r="AK34" s="2">
        <v>730.63</v>
      </c>
      <c r="AL34" s="2">
        <v>730.63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</v>
      </c>
      <c r="BK34" s="2"/>
      <c r="BL34" s="2"/>
      <c r="BM34" s="2">
        <v>746</v>
      </c>
      <c r="BN34" s="2">
        <v>58973116</v>
      </c>
      <c r="BO34" s="2" t="s">
        <v>3</v>
      </c>
      <c r="BP34" s="2">
        <v>0</v>
      </c>
      <c r="BQ34" s="2">
        <v>130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0"/>
        <v>1461.26</v>
      </c>
      <c r="CQ34" s="2">
        <f>ROUND((ROUND((AC34*1),2)*BC34),2)</f>
        <v>730.63</v>
      </c>
      <c r="CR34" s="2">
        <f>(ROUND((ROUND(((ET34)*AV34*1),2)*BB34),2)+ROUND((ROUND(((AE34-(EU34))*AV34*1),2)*BS34),2))</f>
        <v>0</v>
      </c>
      <c r="CS34" s="2">
        <f>(ROUND((ROUND(((EU34)*AV34*1),2)*BS34),2)+ROUND((ROUND(((AE34-(EU34))*AV34*1),2)*BS34),2))</f>
        <v>0</v>
      </c>
      <c r="CT34" s="2">
        <f t="shared" si="31"/>
        <v>0</v>
      </c>
      <c r="CU34" s="2">
        <f t="shared" si="32"/>
        <v>0</v>
      </c>
      <c r="CV34" s="2">
        <f t="shared" si="33"/>
        <v>0</v>
      </c>
      <c r="CW34" s="2">
        <f t="shared" si="34"/>
        <v>0</v>
      </c>
      <c r="CX34" s="2">
        <f t="shared" si="34"/>
        <v>0</v>
      </c>
      <c r="CY34" s="2">
        <f>(ROUND((((S34+ROUND((ROUND(((EU34)*AV34*1),2)*BS34),2))*AT34)/100),2)+ROUND(((ROUND((ROUND(((AE34-(EU34))*AV34*1),2)*BS34),2)*AT34)/100),2))</f>
        <v>0</v>
      </c>
      <c r="CZ34" s="2">
        <f>(ROUND((((S34+ROUND((ROUND(((EU34)*AV34*1),2)*BS34),2))*AU34)/100),2)+ROUND(((ROUND((ROUND(((AE34-(EU34))*AV34*1),2)*BS34),2)*AU34)/100),2))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45</v>
      </c>
      <c r="DW34" s="2" t="s">
        <v>45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60088638</v>
      </c>
      <c r="EF34" s="2">
        <v>130</v>
      </c>
      <c r="EG34" s="2" t="s">
        <v>33</v>
      </c>
      <c r="EH34" s="2">
        <v>0</v>
      </c>
      <c r="EI34" s="2" t="s">
        <v>3</v>
      </c>
      <c r="EJ34" s="2">
        <v>3</v>
      </c>
      <c r="EK34" s="2">
        <v>746</v>
      </c>
      <c r="EL34" s="2" t="s">
        <v>34</v>
      </c>
      <c r="EM34" s="2" t="s">
        <v>35</v>
      </c>
      <c r="EN34" s="2"/>
      <c r="EO34" s="2" t="s">
        <v>3</v>
      </c>
      <c r="EP34" s="2"/>
      <c r="EQ34" s="2">
        <v>0</v>
      </c>
      <c r="ER34" s="2">
        <v>730.63</v>
      </c>
      <c r="ES34" s="2">
        <v>730.63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>P34</f>
        <v>1461.26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3</v>
      </c>
      <c r="GB34" s="2"/>
      <c r="GC34" s="2"/>
      <c r="GD34" s="2">
        <v>1</v>
      </c>
      <c r="GE34" s="2"/>
      <c r="GF34" s="2">
        <v>-1868144852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35"/>
        <v>0</v>
      </c>
      <c r="GM34" s="2">
        <f t="shared" si="36"/>
        <v>1461.26</v>
      </c>
      <c r="GN34" s="2">
        <f t="shared" si="37"/>
        <v>0</v>
      </c>
      <c r="GO34" s="2">
        <f t="shared" si="38"/>
        <v>0</v>
      </c>
      <c r="GP34" s="2">
        <f t="shared" si="39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0"/>
        <v>0</v>
      </c>
      <c r="GW34" s="2">
        <v>1</v>
      </c>
      <c r="GX34" s="2">
        <f t="shared" si="41"/>
        <v>0</v>
      </c>
      <c r="GY34" s="2"/>
      <c r="GZ34" s="2"/>
      <c r="HA34" s="2">
        <v>0</v>
      </c>
      <c r="HB34" s="2">
        <v>0</v>
      </c>
      <c r="HC34" s="2">
        <f t="shared" si="42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E35" t="s">
        <v>42</v>
      </c>
      <c r="F35" t="s">
        <v>43</v>
      </c>
      <c r="G35" t="s">
        <v>44</v>
      </c>
      <c r="H35" t="s">
        <v>45</v>
      </c>
      <c r="I35">
        <v>2</v>
      </c>
      <c r="J35">
        <v>0</v>
      </c>
      <c r="K35">
        <v>2</v>
      </c>
      <c r="O35">
        <f t="shared" si="21"/>
        <v>7598.55</v>
      </c>
      <c r="P35">
        <f>ROUND((ROUND((AC35*I35),2)*BC35),2)</f>
        <v>7598.55</v>
      </c>
      <c r="Q35">
        <f>(ROUND((ROUND(((ET35)*AV35*I35),2)*BB35),2)+ROUND((ROUND(((AE35-(EU35))*AV35*I35),2)*BS35),2))</f>
        <v>0</v>
      </c>
      <c r="R35">
        <f>(ROUND((ROUND(((EU35)*AV35*I35),2)*BS35),2)+ROUND((ROUND(((AE35-(EU35))*AV35*I35),2)*BS35),2))</f>
        <v>0</v>
      </c>
      <c r="S35">
        <f t="shared" si="22"/>
        <v>0</v>
      </c>
      <c r="T35">
        <f t="shared" si="23"/>
        <v>0</v>
      </c>
      <c r="U35">
        <f t="shared" si="24"/>
        <v>0</v>
      </c>
      <c r="V35">
        <f t="shared" si="25"/>
        <v>0</v>
      </c>
      <c r="W35">
        <f t="shared" si="26"/>
        <v>0</v>
      </c>
      <c r="X35">
        <f>(ROUND((((S35+ROUND((ROUND(((EU35)*AV35*I35),2)*BS35),2))*AT35)/100),2)+ROUND(((ROUND((ROUND(((AE35-(EU35))*AV35*I35),2)*BS35),2)*AT35)/100),2))</f>
        <v>0</v>
      </c>
      <c r="Y35">
        <f>(ROUND((((S35+ROUND((ROUND(((EU35)*AV35*I35),2)*BS35),2))*AU35)/100),2)+ROUND(((ROUND((ROUND(((AE35-(EU35))*AV35*I35),2)*BS35),2)*AU35)/100),2))</f>
        <v>0</v>
      </c>
      <c r="AA35">
        <v>60257733</v>
      </c>
      <c r="AB35">
        <f t="shared" si="27"/>
        <v>730.63</v>
      </c>
      <c r="AC35">
        <f>ROUND((ES35),6)</f>
        <v>730.63</v>
      </c>
      <c r="AD35">
        <f>ROUND((((ET35)-(EU35))+AE35),6)</f>
        <v>0</v>
      </c>
      <c r="AE35">
        <f>ROUND((EU35),6)</f>
        <v>0</v>
      </c>
      <c r="AF35">
        <f>ROUND((EV35),6)</f>
        <v>0</v>
      </c>
      <c r="AG35">
        <f t="shared" si="28"/>
        <v>0</v>
      </c>
      <c r="AH35">
        <f>(EW35)</f>
        <v>0</v>
      </c>
      <c r="AI35">
        <f>(EX35)</f>
        <v>0</v>
      </c>
      <c r="AJ35">
        <f t="shared" si="29"/>
        <v>0</v>
      </c>
      <c r="AK35">
        <v>730.63</v>
      </c>
      <c r="AL35">
        <v>730.63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5.2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3</v>
      </c>
      <c r="BJ35" t="s">
        <v>3</v>
      </c>
      <c r="BM35">
        <v>746</v>
      </c>
      <c r="BN35">
        <v>58973116</v>
      </c>
      <c r="BO35" t="s">
        <v>3</v>
      </c>
      <c r="BP35">
        <v>0</v>
      </c>
      <c r="BQ35">
        <v>130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0</v>
      </c>
      <c r="CA35">
        <v>0</v>
      </c>
      <c r="CB35" t="s">
        <v>3</v>
      </c>
      <c r="CE35">
        <v>1566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0"/>
        <v>7598.55</v>
      </c>
      <c r="CQ35">
        <f>ROUND((ROUND((AC35*1),2)*BC35),2)</f>
        <v>3799.28</v>
      </c>
      <c r="CR35">
        <f>(ROUND((ROUND(((ET35)*AV35*1),2)*BB35),2)+ROUND((ROUND(((AE35-(EU35))*AV35*1),2)*BS35),2))</f>
        <v>0</v>
      </c>
      <c r="CS35">
        <f>(ROUND((ROUND(((EU35)*AV35*1),2)*BS35),2)+ROUND((ROUND(((AE35-(EU35))*AV35*1),2)*BS35),2))</f>
        <v>0</v>
      </c>
      <c r="CT35">
        <f t="shared" si="31"/>
        <v>0</v>
      </c>
      <c r="CU35">
        <f t="shared" si="32"/>
        <v>0</v>
      </c>
      <c r="CV35">
        <f t="shared" si="33"/>
        <v>0</v>
      </c>
      <c r="CW35">
        <f t="shared" si="34"/>
        <v>0</v>
      </c>
      <c r="CX35">
        <f t="shared" si="34"/>
        <v>0</v>
      </c>
      <c r="CY35">
        <f>(ROUND((((S35+ROUND((ROUND(((EU35)*AV35*1),2)*BS35),2))*AT35)/100),2)+ROUND(((ROUND((ROUND(((AE35-(EU35))*AV35*1),2)*BS35),2)*AT35)/100),2))</f>
        <v>0</v>
      </c>
      <c r="CZ35">
        <f>(ROUND((((S35+ROUND((ROUND(((EU35)*AV35*1),2)*BS35),2))*AU35)/100),2)+ROUND(((ROUND((ROUND(((AE35-(EU35))*AV35*1),2)*BS35),2)*AU35)/100),2))</f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45</v>
      </c>
      <c r="DW35" t="s">
        <v>45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60088638</v>
      </c>
      <c r="EF35">
        <v>130</v>
      </c>
      <c r="EG35" t="s">
        <v>33</v>
      </c>
      <c r="EH35">
        <v>0</v>
      </c>
      <c r="EI35" t="s">
        <v>3</v>
      </c>
      <c r="EJ35">
        <v>3</v>
      </c>
      <c r="EK35">
        <v>746</v>
      </c>
      <c r="EL35" t="s">
        <v>34</v>
      </c>
      <c r="EM35" t="s">
        <v>35</v>
      </c>
      <c r="EO35" t="s">
        <v>3</v>
      </c>
      <c r="EQ35">
        <v>0</v>
      </c>
      <c r="ER35">
        <v>730.63</v>
      </c>
      <c r="ES35">
        <v>730.63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FQ35">
        <v>0</v>
      </c>
      <c r="FR35">
        <f>P35</f>
        <v>7598.55</v>
      </c>
      <c r="FS35">
        <v>0</v>
      </c>
      <c r="FX35">
        <v>0</v>
      </c>
      <c r="FY35">
        <v>0</v>
      </c>
      <c r="GA35" t="s">
        <v>3</v>
      </c>
      <c r="GD35">
        <v>1</v>
      </c>
      <c r="GF35">
        <v>-1868144852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35"/>
        <v>0</v>
      </c>
      <c r="GM35">
        <f t="shared" si="36"/>
        <v>7598.55</v>
      </c>
      <c r="GN35">
        <f t="shared" si="37"/>
        <v>0</v>
      </c>
      <c r="GO35">
        <f t="shared" si="38"/>
        <v>0</v>
      </c>
      <c r="GP35">
        <f t="shared" si="39"/>
        <v>0</v>
      </c>
      <c r="GR35">
        <v>0</v>
      </c>
      <c r="GS35">
        <v>3</v>
      </c>
      <c r="GT35">
        <v>0</v>
      </c>
      <c r="GU35" t="s">
        <v>3</v>
      </c>
      <c r="GV35">
        <f t="shared" si="40"/>
        <v>0</v>
      </c>
      <c r="GW35">
        <v>1</v>
      </c>
      <c r="GX35">
        <f t="shared" si="41"/>
        <v>0</v>
      </c>
      <c r="HA35">
        <v>0</v>
      </c>
      <c r="HB35">
        <v>0</v>
      </c>
      <c r="HC35">
        <f t="shared" si="42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7" spans="1:255" x14ac:dyDescent="0.2">
      <c r="A37" s="3">
        <v>51</v>
      </c>
      <c r="B37" s="3">
        <f>B24</f>
        <v>1</v>
      </c>
      <c r="C37" s="3">
        <f>A24</f>
        <v>4</v>
      </c>
      <c r="D37" s="3">
        <f>ROW(A24)</f>
        <v>24</v>
      </c>
      <c r="E37" s="3"/>
      <c r="F37" s="3" t="str">
        <f>IF(F24&lt;&gt;"",F24,"")</f>
        <v/>
      </c>
      <c r="G37" s="3" t="str">
        <f>IF(G24&lt;&gt;"",G24,"")</f>
        <v>Оборудование</v>
      </c>
      <c r="H37" s="3">
        <v>0</v>
      </c>
      <c r="I37" s="3"/>
      <c r="J37" s="3"/>
      <c r="K37" s="3"/>
      <c r="L37" s="3"/>
      <c r="M37" s="3"/>
      <c r="N37" s="3"/>
      <c r="O37" s="3">
        <f t="shared" ref="O37:T37" si="43">ROUND(AB37,2)</f>
        <v>12083.56</v>
      </c>
      <c r="P37" s="3">
        <f t="shared" si="43"/>
        <v>11981.16</v>
      </c>
      <c r="Q37" s="3">
        <f t="shared" si="43"/>
        <v>0</v>
      </c>
      <c r="R37" s="3">
        <f t="shared" si="43"/>
        <v>0</v>
      </c>
      <c r="S37" s="3">
        <f t="shared" si="43"/>
        <v>102.4</v>
      </c>
      <c r="T37" s="3">
        <f t="shared" si="43"/>
        <v>0</v>
      </c>
      <c r="U37" s="3">
        <f>AH37</f>
        <v>8.0618999999999996</v>
      </c>
      <c r="V37" s="3">
        <f>AI37</f>
        <v>0</v>
      </c>
      <c r="W37" s="3">
        <f>ROUND(AJ37,2)</f>
        <v>0</v>
      </c>
      <c r="X37" s="3">
        <f>ROUND(AK37,2)</f>
        <v>92.16</v>
      </c>
      <c r="Y37" s="3">
        <f>ROUND(AL37,2)</f>
        <v>47.11</v>
      </c>
      <c r="Z37" s="3"/>
      <c r="AA37" s="3"/>
      <c r="AB37" s="3">
        <f>ROUND(SUMIF(AA28:AA35,"=60257736",O28:O35),2)</f>
        <v>12083.56</v>
      </c>
      <c r="AC37" s="3">
        <f>ROUND(SUMIF(AA28:AA35,"=60257736",P28:P35),2)</f>
        <v>11981.16</v>
      </c>
      <c r="AD37" s="3">
        <f>ROUND(SUMIF(AA28:AA35,"=60257736",Q28:Q35),2)</f>
        <v>0</v>
      </c>
      <c r="AE37" s="3">
        <f>ROUND(SUMIF(AA28:AA35,"=60257736",R28:R35),2)</f>
        <v>0</v>
      </c>
      <c r="AF37" s="3">
        <f>ROUND(SUMIF(AA28:AA35,"=60257736",S28:S35),2)</f>
        <v>102.4</v>
      </c>
      <c r="AG37" s="3">
        <f>ROUND(SUMIF(AA28:AA35,"=60257736",T28:T35),2)</f>
        <v>0</v>
      </c>
      <c r="AH37" s="3">
        <f>SUMIF(AA28:AA35,"=60257736",U28:U35)</f>
        <v>8.0618999999999996</v>
      </c>
      <c r="AI37" s="3">
        <f>SUMIF(AA28:AA35,"=60257736",V28:V35)</f>
        <v>0</v>
      </c>
      <c r="AJ37" s="3">
        <f>ROUND(SUMIF(AA28:AA35,"=60257736",W28:W35),2)</f>
        <v>0</v>
      </c>
      <c r="AK37" s="3">
        <f>ROUND(SUMIF(AA28:AA35,"=60257736",X28:X35),2)</f>
        <v>92.16</v>
      </c>
      <c r="AL37" s="3">
        <f>ROUND(SUMIF(AA28:AA35,"=60257736",Y28:Y35),2)</f>
        <v>47.11</v>
      </c>
      <c r="AM37" s="3"/>
      <c r="AN37" s="3"/>
      <c r="AO37" s="3">
        <f t="shared" ref="AO37:BD37" si="44">ROUND(BX37,2)</f>
        <v>0</v>
      </c>
      <c r="AP37" s="3">
        <f t="shared" si="44"/>
        <v>11980.11</v>
      </c>
      <c r="AQ37" s="3">
        <f t="shared" si="44"/>
        <v>0</v>
      </c>
      <c r="AR37" s="3">
        <f t="shared" si="44"/>
        <v>12222.83</v>
      </c>
      <c r="AS37" s="3">
        <f t="shared" si="44"/>
        <v>0</v>
      </c>
      <c r="AT37" s="3">
        <f t="shared" si="44"/>
        <v>242.72</v>
      </c>
      <c r="AU37" s="3">
        <f t="shared" si="44"/>
        <v>0</v>
      </c>
      <c r="AV37" s="3">
        <f t="shared" si="44"/>
        <v>11981.16</v>
      </c>
      <c r="AW37" s="3">
        <f t="shared" si="44"/>
        <v>1.05</v>
      </c>
      <c r="AX37" s="3">
        <f t="shared" si="44"/>
        <v>0</v>
      </c>
      <c r="AY37" s="3">
        <f t="shared" si="44"/>
        <v>1.05</v>
      </c>
      <c r="AZ37" s="3">
        <f t="shared" si="44"/>
        <v>11980.11</v>
      </c>
      <c r="BA37" s="3">
        <f t="shared" si="44"/>
        <v>0</v>
      </c>
      <c r="BB37" s="3">
        <f t="shared" si="44"/>
        <v>0</v>
      </c>
      <c r="BC37" s="3">
        <f t="shared" si="44"/>
        <v>0</v>
      </c>
      <c r="BD37" s="3">
        <f t="shared" si="44"/>
        <v>0</v>
      </c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>
        <f>ROUND(SUMIF(AA28:AA35,"=60257736",FQ28:FQ35),2)</f>
        <v>0</v>
      </c>
      <c r="BY37" s="3">
        <f>ROUND(SUMIF(AA28:AA35,"=60257736",FR28:FR35),2)</f>
        <v>11980.11</v>
      </c>
      <c r="BZ37" s="3">
        <f>ROUND(SUMIF(AA28:AA35,"=60257736",GL28:GL35),2)</f>
        <v>0</v>
      </c>
      <c r="CA37" s="3">
        <f>ROUND(SUMIF(AA28:AA35,"=60257736",GM28:GM35),2)</f>
        <v>12222.83</v>
      </c>
      <c r="CB37" s="3">
        <f>ROUND(SUMIF(AA28:AA35,"=60257736",GN28:GN35),2)</f>
        <v>0</v>
      </c>
      <c r="CC37" s="3">
        <f>ROUND(SUMIF(AA28:AA35,"=60257736",GO28:GO35),2)</f>
        <v>242.72</v>
      </c>
      <c r="CD37" s="3">
        <f>ROUND(SUMIF(AA28:AA35,"=60257736",GP28:GP35),2)</f>
        <v>0</v>
      </c>
      <c r="CE37" s="3">
        <f>AC37-BX37</f>
        <v>11981.16</v>
      </c>
      <c r="CF37" s="3">
        <f>AC37-BY37</f>
        <v>1.0499999999992724</v>
      </c>
      <c r="CG37" s="3">
        <f>BX37-BZ37</f>
        <v>0</v>
      </c>
      <c r="CH37" s="3">
        <f>AC37-BX37-BY37+BZ37</f>
        <v>1.0499999999992724</v>
      </c>
      <c r="CI37" s="3">
        <f>BY37-BZ37</f>
        <v>11980.11</v>
      </c>
      <c r="CJ37" s="3">
        <f>ROUND(SUMIF(AA28:AA35,"=60257736",GX28:GX35),2)</f>
        <v>0</v>
      </c>
      <c r="CK37" s="3">
        <f>ROUND(SUMIF(AA28:AA35,"=60257736",GY28:GY35),2)</f>
        <v>0</v>
      </c>
      <c r="CL37" s="3">
        <f>ROUND(SUMIF(AA28:AA35,"=60257736",GZ28:GZ35),2)</f>
        <v>0</v>
      </c>
      <c r="CM37" s="3">
        <f>ROUND(SUMIF(AA28:AA35,"=60257736",HD28:HD35),2)</f>
        <v>0</v>
      </c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4">
        <f t="shared" ref="DG37:DL37" si="45">ROUND(DT37,2)</f>
        <v>93814.3</v>
      </c>
      <c r="DH37" s="4">
        <f t="shared" si="45"/>
        <v>88183.33</v>
      </c>
      <c r="DI37" s="4">
        <f t="shared" si="45"/>
        <v>0</v>
      </c>
      <c r="DJ37" s="4">
        <f t="shared" si="45"/>
        <v>0</v>
      </c>
      <c r="DK37" s="4">
        <f t="shared" si="45"/>
        <v>5630.97</v>
      </c>
      <c r="DL37" s="4">
        <f t="shared" si="45"/>
        <v>0</v>
      </c>
      <c r="DM37" s="4">
        <f>DZ37</f>
        <v>8.0618999999999996</v>
      </c>
      <c r="DN37" s="4">
        <f>EA37</f>
        <v>0</v>
      </c>
      <c r="DO37" s="4">
        <f>ROUND(EB37,2)</f>
        <v>0</v>
      </c>
      <c r="DP37" s="4">
        <f>ROUND(EC37,2)</f>
        <v>5067.88</v>
      </c>
      <c r="DQ37" s="4">
        <f>ROUND(ED37,2)</f>
        <v>2590.2399999999998</v>
      </c>
      <c r="DR37" s="4"/>
      <c r="DS37" s="4"/>
      <c r="DT37" s="4">
        <f>ROUND(SUMIF(AA28:AA35,"=60257733",O28:O35),2)</f>
        <v>93814.3</v>
      </c>
      <c r="DU37" s="4">
        <f>ROUND(SUMIF(AA28:AA35,"=60257733",P28:P35),2)</f>
        <v>88183.33</v>
      </c>
      <c r="DV37" s="4">
        <f>ROUND(SUMIF(AA28:AA35,"=60257733",Q28:Q35),2)</f>
        <v>0</v>
      </c>
      <c r="DW37" s="4">
        <f>ROUND(SUMIF(AA28:AA35,"=60257733",R28:R35),2)</f>
        <v>0</v>
      </c>
      <c r="DX37" s="4">
        <f>ROUND(SUMIF(AA28:AA35,"=60257733",S28:S35),2)</f>
        <v>5630.97</v>
      </c>
      <c r="DY37" s="4">
        <f>ROUND(SUMIF(AA28:AA35,"=60257733",T28:T35),2)</f>
        <v>0</v>
      </c>
      <c r="DZ37" s="4">
        <f>SUMIF(AA28:AA35,"=60257733",U28:U35)</f>
        <v>8.0618999999999996</v>
      </c>
      <c r="EA37" s="4">
        <f>SUMIF(AA28:AA35,"=60257733",V28:V35)</f>
        <v>0</v>
      </c>
      <c r="EB37" s="4">
        <f>ROUND(SUMIF(AA28:AA35,"=60257733",W28:W35),2)</f>
        <v>0</v>
      </c>
      <c r="EC37" s="4">
        <f>ROUND(SUMIF(AA28:AA35,"=60257733",X28:X35),2)</f>
        <v>5067.88</v>
      </c>
      <c r="ED37" s="4">
        <f>ROUND(SUMIF(AA28:AA35,"=60257733",Y28:Y35),2)</f>
        <v>2590.2399999999998</v>
      </c>
      <c r="EE37" s="4"/>
      <c r="EF37" s="4"/>
      <c r="EG37" s="4">
        <f t="shared" ref="EG37:EV37" si="46">ROUND(FP37,2)</f>
        <v>0</v>
      </c>
      <c r="EH37" s="4">
        <f t="shared" si="46"/>
        <v>88172.94</v>
      </c>
      <c r="EI37" s="4">
        <f t="shared" si="46"/>
        <v>0</v>
      </c>
      <c r="EJ37" s="4">
        <f t="shared" si="46"/>
        <v>101472.42</v>
      </c>
      <c r="EK37" s="4">
        <f t="shared" si="46"/>
        <v>0</v>
      </c>
      <c r="EL37" s="4">
        <f t="shared" si="46"/>
        <v>13299.48</v>
      </c>
      <c r="EM37" s="4">
        <f t="shared" si="46"/>
        <v>0</v>
      </c>
      <c r="EN37" s="4">
        <f t="shared" si="46"/>
        <v>88183.33</v>
      </c>
      <c r="EO37" s="4">
        <f t="shared" si="46"/>
        <v>10.39</v>
      </c>
      <c r="EP37" s="4">
        <f t="shared" si="46"/>
        <v>0</v>
      </c>
      <c r="EQ37" s="4">
        <f t="shared" si="46"/>
        <v>10.39</v>
      </c>
      <c r="ER37" s="4">
        <f t="shared" si="46"/>
        <v>88172.94</v>
      </c>
      <c r="ES37" s="4">
        <f t="shared" si="46"/>
        <v>0</v>
      </c>
      <c r="ET37" s="4">
        <f t="shared" si="46"/>
        <v>0</v>
      </c>
      <c r="EU37" s="4">
        <f t="shared" si="46"/>
        <v>0</v>
      </c>
      <c r="EV37" s="4">
        <f t="shared" si="46"/>
        <v>0</v>
      </c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>
        <f>ROUND(SUMIF(AA28:AA35,"=60257733",FQ28:FQ35),2)</f>
        <v>0</v>
      </c>
      <c r="FQ37" s="4">
        <f>ROUND(SUMIF(AA28:AA35,"=60257733",FR28:FR35),2)</f>
        <v>88172.94</v>
      </c>
      <c r="FR37" s="4">
        <f>ROUND(SUMIF(AA28:AA35,"=60257733",GL28:GL35),2)</f>
        <v>0</v>
      </c>
      <c r="FS37" s="4">
        <f>ROUND(SUMIF(AA28:AA35,"=60257733",GM28:GM35),2)</f>
        <v>101472.42</v>
      </c>
      <c r="FT37" s="4">
        <f>ROUND(SUMIF(AA28:AA35,"=60257733",GN28:GN35),2)</f>
        <v>0</v>
      </c>
      <c r="FU37" s="4">
        <f>ROUND(SUMIF(AA28:AA35,"=60257733",GO28:GO35),2)</f>
        <v>13299.48</v>
      </c>
      <c r="FV37" s="4">
        <f>ROUND(SUMIF(AA28:AA35,"=60257733",GP28:GP35),2)</f>
        <v>0</v>
      </c>
      <c r="FW37" s="4">
        <f>DU37-FP37</f>
        <v>88183.33</v>
      </c>
      <c r="FX37" s="4">
        <f>DU37-FQ37</f>
        <v>10.389999999999418</v>
      </c>
      <c r="FY37" s="4">
        <f>FP37-FR37</f>
        <v>0</v>
      </c>
      <c r="FZ37" s="4">
        <f>DU37-FP37-FQ37+FR37</f>
        <v>10.389999999999418</v>
      </c>
      <c r="GA37" s="4">
        <f>FQ37-FR37</f>
        <v>88172.94</v>
      </c>
      <c r="GB37" s="4">
        <f>ROUND(SUMIF(AA28:AA35,"=60257733",GX28:GX35),2)</f>
        <v>0</v>
      </c>
      <c r="GC37" s="4">
        <f>ROUND(SUMIF(AA28:AA35,"=60257733",GY28:GY35),2)</f>
        <v>0</v>
      </c>
      <c r="GD37" s="4">
        <f>ROUND(SUMIF(AA28:AA35,"=60257733",GZ28:GZ35),2)</f>
        <v>0</v>
      </c>
      <c r="GE37" s="4">
        <f>ROUND(SUMIF(AA28:AA35,"=60257733",HD28:HD35),2)</f>
        <v>0</v>
      </c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>
        <v>0</v>
      </c>
    </row>
    <row r="39" spans="1:255" x14ac:dyDescent="0.2">
      <c r="A39" s="5">
        <v>50</v>
      </c>
      <c r="B39" s="5">
        <v>0</v>
      </c>
      <c r="C39" s="5">
        <v>0</v>
      </c>
      <c r="D39" s="5">
        <v>1</v>
      </c>
      <c r="E39" s="5">
        <v>201</v>
      </c>
      <c r="F39" s="5">
        <f>ROUND(Source!O37,O39)</f>
        <v>12083.56</v>
      </c>
      <c r="G39" s="5" t="s">
        <v>46</v>
      </c>
      <c r="H39" s="5" t="s">
        <v>47</v>
      </c>
      <c r="I39" s="5"/>
      <c r="J39" s="5"/>
      <c r="K39" s="5">
        <v>201</v>
      </c>
      <c r="L39" s="5">
        <v>1</v>
      </c>
      <c r="M39" s="5">
        <v>3</v>
      </c>
      <c r="N39" s="5" t="s">
        <v>3</v>
      </c>
      <c r="O39" s="5">
        <v>2</v>
      </c>
      <c r="P39" s="5">
        <f>ROUND(Source!DG37,O39)</f>
        <v>93814.3</v>
      </c>
      <c r="Q39" s="5"/>
      <c r="R39" s="5"/>
      <c r="S39" s="5"/>
      <c r="T39" s="5"/>
      <c r="U39" s="5"/>
      <c r="V39" s="5"/>
      <c r="W39" s="5">
        <v>12083.56</v>
      </c>
      <c r="X39" s="5">
        <v>1</v>
      </c>
      <c r="Y39" s="5">
        <v>12083.56</v>
      </c>
      <c r="Z39" s="5">
        <v>93814.3</v>
      </c>
      <c r="AA39" s="5">
        <v>1</v>
      </c>
      <c r="AB39" s="5">
        <v>93814.3</v>
      </c>
    </row>
    <row r="40" spans="1:255" x14ac:dyDescent="0.2">
      <c r="A40" s="5">
        <v>50</v>
      </c>
      <c r="B40" s="5">
        <v>0</v>
      </c>
      <c r="C40" s="5">
        <v>0</v>
      </c>
      <c r="D40" s="5">
        <v>1</v>
      </c>
      <c r="E40" s="5">
        <v>202</v>
      </c>
      <c r="F40" s="5">
        <f>ROUND(Source!P37,O40)</f>
        <v>11981.16</v>
      </c>
      <c r="G40" s="5" t="s">
        <v>48</v>
      </c>
      <c r="H40" s="5" t="s">
        <v>49</v>
      </c>
      <c r="I40" s="5"/>
      <c r="J40" s="5"/>
      <c r="K40" s="5">
        <v>202</v>
      </c>
      <c r="L40" s="5">
        <v>2</v>
      </c>
      <c r="M40" s="5">
        <v>3</v>
      </c>
      <c r="N40" s="5" t="s">
        <v>3</v>
      </c>
      <c r="O40" s="5">
        <v>2</v>
      </c>
      <c r="P40" s="5">
        <f>ROUND(Source!DH37,O40)</f>
        <v>88183.33</v>
      </c>
      <c r="Q40" s="5"/>
      <c r="R40" s="5"/>
      <c r="S40" s="5"/>
      <c r="T40" s="5"/>
      <c r="U40" s="5"/>
      <c r="V40" s="5"/>
      <c r="W40" s="5">
        <v>11981.16</v>
      </c>
      <c r="X40" s="5">
        <v>1</v>
      </c>
      <c r="Y40" s="5">
        <v>11981.16</v>
      </c>
      <c r="Z40" s="5">
        <v>88183.33</v>
      </c>
      <c r="AA40" s="5">
        <v>1</v>
      </c>
      <c r="AB40" s="5">
        <v>88183.33</v>
      </c>
    </row>
    <row r="41" spans="1:255" x14ac:dyDescent="0.2">
      <c r="A41" s="5">
        <v>50</v>
      </c>
      <c r="B41" s="5">
        <v>0</v>
      </c>
      <c r="C41" s="5">
        <v>0</v>
      </c>
      <c r="D41" s="5">
        <v>1</v>
      </c>
      <c r="E41" s="5">
        <v>222</v>
      </c>
      <c r="F41" s="5">
        <f>ROUND(Source!AO37,O41)</f>
        <v>0</v>
      </c>
      <c r="G41" s="5" t="s">
        <v>50</v>
      </c>
      <c r="H41" s="5" t="s">
        <v>51</v>
      </c>
      <c r="I41" s="5"/>
      <c r="J41" s="5"/>
      <c r="K41" s="5">
        <v>222</v>
      </c>
      <c r="L41" s="5">
        <v>3</v>
      </c>
      <c r="M41" s="5">
        <v>3</v>
      </c>
      <c r="N41" s="5" t="s">
        <v>3</v>
      </c>
      <c r="O41" s="5">
        <v>2</v>
      </c>
      <c r="P41" s="5">
        <f>ROUND(Source!EG37,O41)</f>
        <v>0</v>
      </c>
      <c r="Q41" s="5"/>
      <c r="R41" s="5"/>
      <c r="S41" s="5"/>
      <c r="T41" s="5"/>
      <c r="U41" s="5"/>
      <c r="V41" s="5"/>
      <c r="W41" s="5">
        <v>0</v>
      </c>
      <c r="X41" s="5">
        <v>1</v>
      </c>
      <c r="Y41" s="5">
        <v>0</v>
      </c>
      <c r="Z41" s="5">
        <v>0</v>
      </c>
      <c r="AA41" s="5">
        <v>1</v>
      </c>
      <c r="AB41" s="5">
        <v>0</v>
      </c>
    </row>
    <row r="42" spans="1:255" x14ac:dyDescent="0.2">
      <c r="A42" s="5">
        <v>50</v>
      </c>
      <c r="B42" s="5">
        <v>0</v>
      </c>
      <c r="C42" s="5">
        <v>0</v>
      </c>
      <c r="D42" s="5">
        <v>1</v>
      </c>
      <c r="E42" s="5">
        <v>225</v>
      </c>
      <c r="F42" s="5">
        <f>ROUND(Source!AV37,O42)</f>
        <v>11981.16</v>
      </c>
      <c r="G42" s="5" t="s">
        <v>52</v>
      </c>
      <c r="H42" s="5" t="s">
        <v>53</v>
      </c>
      <c r="I42" s="5"/>
      <c r="J42" s="5"/>
      <c r="K42" s="5">
        <v>225</v>
      </c>
      <c r="L42" s="5">
        <v>4</v>
      </c>
      <c r="M42" s="5">
        <v>3</v>
      </c>
      <c r="N42" s="5" t="s">
        <v>3</v>
      </c>
      <c r="O42" s="5">
        <v>2</v>
      </c>
      <c r="P42" s="5">
        <f>ROUND(Source!EN37,O42)</f>
        <v>88183.33</v>
      </c>
      <c r="Q42" s="5"/>
      <c r="R42" s="5"/>
      <c r="S42" s="5"/>
      <c r="T42" s="5"/>
      <c r="U42" s="5"/>
      <c r="V42" s="5"/>
      <c r="W42" s="5">
        <v>11981.16</v>
      </c>
      <c r="X42" s="5">
        <v>1</v>
      </c>
      <c r="Y42" s="5">
        <v>11981.16</v>
      </c>
      <c r="Z42" s="5">
        <v>88183.33</v>
      </c>
      <c r="AA42" s="5">
        <v>1</v>
      </c>
      <c r="AB42" s="5">
        <v>88183.33</v>
      </c>
    </row>
    <row r="43" spans="1:255" x14ac:dyDescent="0.2">
      <c r="A43" s="5">
        <v>50</v>
      </c>
      <c r="B43" s="5">
        <v>0</v>
      </c>
      <c r="C43" s="5">
        <v>0</v>
      </c>
      <c r="D43" s="5">
        <v>1</v>
      </c>
      <c r="E43" s="5">
        <v>226</v>
      </c>
      <c r="F43" s="5">
        <f>ROUND(Source!AW37,O43)</f>
        <v>1.05</v>
      </c>
      <c r="G43" s="5" t="s">
        <v>54</v>
      </c>
      <c r="H43" s="5" t="s">
        <v>55</v>
      </c>
      <c r="I43" s="5"/>
      <c r="J43" s="5"/>
      <c r="K43" s="5">
        <v>226</v>
      </c>
      <c r="L43" s="5">
        <v>5</v>
      </c>
      <c r="M43" s="5">
        <v>3</v>
      </c>
      <c r="N43" s="5" t="s">
        <v>3</v>
      </c>
      <c r="O43" s="5">
        <v>2</v>
      </c>
      <c r="P43" s="5">
        <f>ROUND(Source!EO37,O43)</f>
        <v>10.39</v>
      </c>
      <c r="Q43" s="5"/>
      <c r="R43" s="5"/>
      <c r="S43" s="5"/>
      <c r="T43" s="5"/>
      <c r="U43" s="5"/>
      <c r="V43" s="5"/>
      <c r="W43" s="5">
        <v>1.05</v>
      </c>
      <c r="X43" s="5">
        <v>1</v>
      </c>
      <c r="Y43" s="5">
        <v>1.05</v>
      </c>
      <c r="Z43" s="5">
        <v>10.39</v>
      </c>
      <c r="AA43" s="5">
        <v>1</v>
      </c>
      <c r="AB43" s="5">
        <v>10.39</v>
      </c>
    </row>
    <row r="44" spans="1:255" x14ac:dyDescent="0.2">
      <c r="A44" s="5">
        <v>50</v>
      </c>
      <c r="B44" s="5">
        <v>0</v>
      </c>
      <c r="C44" s="5">
        <v>0</v>
      </c>
      <c r="D44" s="5">
        <v>1</v>
      </c>
      <c r="E44" s="5">
        <v>227</v>
      </c>
      <c r="F44" s="5">
        <f>ROUND(Source!AX37,O44)</f>
        <v>0</v>
      </c>
      <c r="G44" s="5" t="s">
        <v>56</v>
      </c>
      <c r="H44" s="5" t="s">
        <v>57</v>
      </c>
      <c r="I44" s="5"/>
      <c r="J44" s="5"/>
      <c r="K44" s="5">
        <v>227</v>
      </c>
      <c r="L44" s="5">
        <v>6</v>
      </c>
      <c r="M44" s="5">
        <v>3</v>
      </c>
      <c r="N44" s="5" t="s">
        <v>3</v>
      </c>
      <c r="O44" s="5">
        <v>2</v>
      </c>
      <c r="P44" s="5">
        <f>ROUND(Source!EP37,O44)</f>
        <v>0</v>
      </c>
      <c r="Q44" s="5"/>
      <c r="R44" s="5"/>
      <c r="S44" s="5"/>
      <c r="T44" s="5"/>
      <c r="U44" s="5"/>
      <c r="V44" s="5"/>
      <c r="W44" s="5">
        <v>0</v>
      </c>
      <c r="X44" s="5">
        <v>1</v>
      </c>
      <c r="Y44" s="5">
        <v>0</v>
      </c>
      <c r="Z44" s="5">
        <v>0</v>
      </c>
      <c r="AA44" s="5">
        <v>1</v>
      </c>
      <c r="AB44" s="5">
        <v>0</v>
      </c>
    </row>
    <row r="45" spans="1:255" x14ac:dyDescent="0.2">
      <c r="A45" s="5">
        <v>50</v>
      </c>
      <c r="B45" s="5">
        <v>0</v>
      </c>
      <c r="C45" s="5">
        <v>0</v>
      </c>
      <c r="D45" s="5">
        <v>1</v>
      </c>
      <c r="E45" s="5">
        <v>228</v>
      </c>
      <c r="F45" s="5">
        <f>ROUND(Source!AY37,O45)</f>
        <v>1.05</v>
      </c>
      <c r="G45" s="5" t="s">
        <v>58</v>
      </c>
      <c r="H45" s="5" t="s">
        <v>59</v>
      </c>
      <c r="I45" s="5"/>
      <c r="J45" s="5"/>
      <c r="K45" s="5">
        <v>228</v>
      </c>
      <c r="L45" s="5">
        <v>7</v>
      </c>
      <c r="M45" s="5">
        <v>3</v>
      </c>
      <c r="N45" s="5" t="s">
        <v>3</v>
      </c>
      <c r="O45" s="5">
        <v>2</v>
      </c>
      <c r="P45" s="5">
        <f>ROUND(Source!EQ37,O45)</f>
        <v>10.39</v>
      </c>
      <c r="Q45" s="5"/>
      <c r="R45" s="5"/>
      <c r="S45" s="5"/>
      <c r="T45" s="5"/>
      <c r="U45" s="5"/>
      <c r="V45" s="5"/>
      <c r="W45" s="5">
        <v>1.05</v>
      </c>
      <c r="X45" s="5">
        <v>1</v>
      </c>
      <c r="Y45" s="5">
        <v>1.05</v>
      </c>
      <c r="Z45" s="5">
        <v>10.39</v>
      </c>
      <c r="AA45" s="5">
        <v>1</v>
      </c>
      <c r="AB45" s="5">
        <v>10.39</v>
      </c>
    </row>
    <row r="46" spans="1:255" x14ac:dyDescent="0.2">
      <c r="A46" s="5">
        <v>50</v>
      </c>
      <c r="B46" s="5">
        <v>0</v>
      </c>
      <c r="C46" s="5">
        <v>0</v>
      </c>
      <c r="D46" s="5">
        <v>1</v>
      </c>
      <c r="E46" s="5">
        <v>216</v>
      </c>
      <c r="F46" s="5">
        <f>ROUND(Source!AP37,O46)</f>
        <v>11980.11</v>
      </c>
      <c r="G46" s="5" t="s">
        <v>60</v>
      </c>
      <c r="H46" s="5" t="s">
        <v>61</v>
      </c>
      <c r="I46" s="5"/>
      <c r="J46" s="5"/>
      <c r="K46" s="5">
        <v>216</v>
      </c>
      <c r="L46" s="5">
        <v>8</v>
      </c>
      <c r="M46" s="5">
        <v>3</v>
      </c>
      <c r="N46" s="5" t="s">
        <v>3</v>
      </c>
      <c r="O46" s="5">
        <v>2</v>
      </c>
      <c r="P46" s="5">
        <f>ROUND(Source!EH37,O46)</f>
        <v>88172.94</v>
      </c>
      <c r="Q46" s="5"/>
      <c r="R46" s="5"/>
      <c r="S46" s="5"/>
      <c r="T46" s="5"/>
      <c r="U46" s="5"/>
      <c r="V46" s="5"/>
      <c r="W46" s="5">
        <v>11980.11</v>
      </c>
      <c r="X46" s="5">
        <v>1</v>
      </c>
      <c r="Y46" s="5">
        <v>11980.11</v>
      </c>
      <c r="Z46" s="5">
        <v>88172.94</v>
      </c>
      <c r="AA46" s="5">
        <v>1</v>
      </c>
      <c r="AB46" s="5">
        <v>88172.94</v>
      </c>
    </row>
    <row r="47" spans="1:255" x14ac:dyDescent="0.2">
      <c r="A47" s="5">
        <v>50</v>
      </c>
      <c r="B47" s="5">
        <v>0</v>
      </c>
      <c r="C47" s="5">
        <v>0</v>
      </c>
      <c r="D47" s="5">
        <v>1</v>
      </c>
      <c r="E47" s="5">
        <v>223</v>
      </c>
      <c r="F47" s="5">
        <f>ROUND(Source!AQ37,O47)</f>
        <v>0</v>
      </c>
      <c r="G47" s="5" t="s">
        <v>62</v>
      </c>
      <c r="H47" s="5" t="s">
        <v>63</v>
      </c>
      <c r="I47" s="5"/>
      <c r="J47" s="5"/>
      <c r="K47" s="5">
        <v>223</v>
      </c>
      <c r="L47" s="5">
        <v>9</v>
      </c>
      <c r="M47" s="5">
        <v>3</v>
      </c>
      <c r="N47" s="5" t="s">
        <v>3</v>
      </c>
      <c r="O47" s="5">
        <v>2</v>
      </c>
      <c r="P47" s="5">
        <f>ROUND(Source!EI37,O47)</f>
        <v>0</v>
      </c>
      <c r="Q47" s="5"/>
      <c r="R47" s="5"/>
      <c r="S47" s="5"/>
      <c r="T47" s="5"/>
      <c r="U47" s="5"/>
      <c r="V47" s="5"/>
      <c r="W47" s="5">
        <v>0</v>
      </c>
      <c r="X47" s="5">
        <v>1</v>
      </c>
      <c r="Y47" s="5">
        <v>0</v>
      </c>
      <c r="Z47" s="5">
        <v>0</v>
      </c>
      <c r="AA47" s="5">
        <v>1</v>
      </c>
      <c r="AB47" s="5">
        <v>0</v>
      </c>
    </row>
    <row r="48" spans="1:255" x14ac:dyDescent="0.2">
      <c r="A48" s="5">
        <v>50</v>
      </c>
      <c r="B48" s="5">
        <v>0</v>
      </c>
      <c r="C48" s="5">
        <v>0</v>
      </c>
      <c r="D48" s="5">
        <v>1</v>
      </c>
      <c r="E48" s="5">
        <v>229</v>
      </c>
      <c r="F48" s="5">
        <f>ROUND(Source!AZ37,O48)</f>
        <v>11980.11</v>
      </c>
      <c r="G48" s="5" t="s">
        <v>64</v>
      </c>
      <c r="H48" s="5" t="s">
        <v>65</v>
      </c>
      <c r="I48" s="5"/>
      <c r="J48" s="5"/>
      <c r="K48" s="5">
        <v>229</v>
      </c>
      <c r="L48" s="5">
        <v>10</v>
      </c>
      <c r="M48" s="5">
        <v>3</v>
      </c>
      <c r="N48" s="5" t="s">
        <v>3</v>
      </c>
      <c r="O48" s="5">
        <v>2</v>
      </c>
      <c r="P48" s="5">
        <f>ROUND(Source!ER37,O48)</f>
        <v>88172.94</v>
      </c>
      <c r="Q48" s="5"/>
      <c r="R48" s="5"/>
      <c r="S48" s="5"/>
      <c r="T48" s="5"/>
      <c r="U48" s="5"/>
      <c r="V48" s="5"/>
      <c r="W48" s="5">
        <v>11980.11</v>
      </c>
      <c r="X48" s="5">
        <v>1</v>
      </c>
      <c r="Y48" s="5">
        <v>11980.11</v>
      </c>
      <c r="Z48" s="5">
        <v>88172.94</v>
      </c>
      <c r="AA48" s="5">
        <v>1</v>
      </c>
      <c r="AB48" s="5">
        <v>88172.94</v>
      </c>
    </row>
    <row r="49" spans="1:28" x14ac:dyDescent="0.2">
      <c r="A49" s="5">
        <v>50</v>
      </c>
      <c r="B49" s="5">
        <v>0</v>
      </c>
      <c r="C49" s="5">
        <v>0</v>
      </c>
      <c r="D49" s="5">
        <v>1</v>
      </c>
      <c r="E49" s="5">
        <v>203</v>
      </c>
      <c r="F49" s="5">
        <f>ROUND(Source!Q37,O49)</f>
        <v>0</v>
      </c>
      <c r="G49" s="5" t="s">
        <v>66</v>
      </c>
      <c r="H49" s="5" t="s">
        <v>67</v>
      </c>
      <c r="I49" s="5"/>
      <c r="J49" s="5"/>
      <c r="K49" s="5">
        <v>203</v>
      </c>
      <c r="L49" s="5">
        <v>11</v>
      </c>
      <c r="M49" s="5">
        <v>3</v>
      </c>
      <c r="N49" s="5" t="s">
        <v>3</v>
      </c>
      <c r="O49" s="5">
        <v>2</v>
      </c>
      <c r="P49" s="5">
        <f>ROUND(Source!DI37,O49)</f>
        <v>0</v>
      </c>
      <c r="Q49" s="5"/>
      <c r="R49" s="5"/>
      <c r="S49" s="5"/>
      <c r="T49" s="5"/>
      <c r="U49" s="5"/>
      <c r="V49" s="5"/>
      <c r="W49" s="5">
        <v>0</v>
      </c>
      <c r="X49" s="5">
        <v>1</v>
      </c>
      <c r="Y49" s="5">
        <v>0</v>
      </c>
      <c r="Z49" s="5">
        <v>0</v>
      </c>
      <c r="AA49" s="5">
        <v>1</v>
      </c>
      <c r="AB49" s="5">
        <v>0</v>
      </c>
    </row>
    <row r="50" spans="1:28" x14ac:dyDescent="0.2">
      <c r="A50" s="5">
        <v>50</v>
      </c>
      <c r="B50" s="5">
        <v>0</v>
      </c>
      <c r="C50" s="5">
        <v>0</v>
      </c>
      <c r="D50" s="5">
        <v>1</v>
      </c>
      <c r="E50" s="5">
        <v>231</v>
      </c>
      <c r="F50" s="5">
        <f>ROUND(Source!BB37,O50)</f>
        <v>0</v>
      </c>
      <c r="G50" s="5" t="s">
        <v>68</v>
      </c>
      <c r="H50" s="5" t="s">
        <v>69</v>
      </c>
      <c r="I50" s="5"/>
      <c r="J50" s="5"/>
      <c r="K50" s="5">
        <v>231</v>
      </c>
      <c r="L50" s="5">
        <v>12</v>
      </c>
      <c r="M50" s="5">
        <v>3</v>
      </c>
      <c r="N50" s="5" t="s">
        <v>3</v>
      </c>
      <c r="O50" s="5">
        <v>2</v>
      </c>
      <c r="P50" s="5">
        <f>ROUND(Source!ET37,O50)</f>
        <v>0</v>
      </c>
      <c r="Q50" s="5"/>
      <c r="R50" s="5"/>
      <c r="S50" s="5"/>
      <c r="T50" s="5"/>
      <c r="U50" s="5"/>
      <c r="V50" s="5"/>
      <c r="W50" s="5">
        <v>0</v>
      </c>
      <c r="X50" s="5">
        <v>1</v>
      </c>
      <c r="Y50" s="5">
        <v>0</v>
      </c>
      <c r="Z50" s="5">
        <v>0</v>
      </c>
      <c r="AA50" s="5">
        <v>1</v>
      </c>
      <c r="AB50" s="5">
        <v>0</v>
      </c>
    </row>
    <row r="51" spans="1:28" x14ac:dyDescent="0.2">
      <c r="A51" s="5">
        <v>50</v>
      </c>
      <c r="B51" s="5">
        <v>0</v>
      </c>
      <c r="C51" s="5">
        <v>0</v>
      </c>
      <c r="D51" s="5">
        <v>1</v>
      </c>
      <c r="E51" s="5">
        <v>204</v>
      </c>
      <c r="F51" s="5">
        <f>ROUND(Source!R37,O51)</f>
        <v>0</v>
      </c>
      <c r="G51" s="5" t="s">
        <v>70</v>
      </c>
      <c r="H51" s="5" t="s">
        <v>71</v>
      </c>
      <c r="I51" s="5"/>
      <c r="J51" s="5"/>
      <c r="K51" s="5">
        <v>204</v>
      </c>
      <c r="L51" s="5">
        <v>13</v>
      </c>
      <c r="M51" s="5">
        <v>3</v>
      </c>
      <c r="N51" s="5" t="s">
        <v>3</v>
      </c>
      <c r="O51" s="5">
        <v>2</v>
      </c>
      <c r="P51" s="5">
        <f>ROUND(Source!DJ37,O51)</f>
        <v>0</v>
      </c>
      <c r="Q51" s="5"/>
      <c r="R51" s="5"/>
      <c r="S51" s="5"/>
      <c r="T51" s="5"/>
      <c r="U51" s="5"/>
      <c r="V51" s="5"/>
      <c r="W51" s="5">
        <v>0</v>
      </c>
      <c r="X51" s="5">
        <v>1</v>
      </c>
      <c r="Y51" s="5">
        <v>0</v>
      </c>
      <c r="Z51" s="5">
        <v>0</v>
      </c>
      <c r="AA51" s="5">
        <v>1</v>
      </c>
      <c r="AB51" s="5">
        <v>0</v>
      </c>
    </row>
    <row r="52" spans="1:28" x14ac:dyDescent="0.2">
      <c r="A52" s="5">
        <v>50</v>
      </c>
      <c r="B52" s="5">
        <v>0</v>
      </c>
      <c r="C52" s="5">
        <v>0</v>
      </c>
      <c r="D52" s="5">
        <v>1</v>
      </c>
      <c r="E52" s="5">
        <v>205</v>
      </c>
      <c r="F52" s="5">
        <f>ROUND(Source!S37,O52)</f>
        <v>102.4</v>
      </c>
      <c r="G52" s="5" t="s">
        <v>72</v>
      </c>
      <c r="H52" s="5" t="s">
        <v>73</v>
      </c>
      <c r="I52" s="5"/>
      <c r="J52" s="5"/>
      <c r="K52" s="5">
        <v>205</v>
      </c>
      <c r="L52" s="5">
        <v>14</v>
      </c>
      <c r="M52" s="5">
        <v>3</v>
      </c>
      <c r="N52" s="5" t="s">
        <v>3</v>
      </c>
      <c r="O52" s="5">
        <v>2</v>
      </c>
      <c r="P52" s="5">
        <f>ROUND(Source!DK37,O52)</f>
        <v>5630.97</v>
      </c>
      <c r="Q52" s="5"/>
      <c r="R52" s="5"/>
      <c r="S52" s="5"/>
      <c r="T52" s="5"/>
      <c r="U52" s="5"/>
      <c r="V52" s="5"/>
      <c r="W52" s="5">
        <v>102.4</v>
      </c>
      <c r="X52" s="5">
        <v>1</v>
      </c>
      <c r="Y52" s="5">
        <v>102.4</v>
      </c>
      <c r="Z52" s="5">
        <v>5630.97</v>
      </c>
      <c r="AA52" s="5">
        <v>1</v>
      </c>
      <c r="AB52" s="5">
        <v>5630.97</v>
      </c>
    </row>
    <row r="53" spans="1:28" x14ac:dyDescent="0.2">
      <c r="A53" s="5">
        <v>50</v>
      </c>
      <c r="B53" s="5">
        <v>0</v>
      </c>
      <c r="C53" s="5">
        <v>0</v>
      </c>
      <c r="D53" s="5">
        <v>1</v>
      </c>
      <c r="E53" s="5">
        <v>232</v>
      </c>
      <c r="F53" s="5">
        <f>ROUND(Source!BC37,O53)</f>
        <v>0</v>
      </c>
      <c r="G53" s="5" t="s">
        <v>74</v>
      </c>
      <c r="H53" s="5" t="s">
        <v>75</v>
      </c>
      <c r="I53" s="5"/>
      <c r="J53" s="5"/>
      <c r="K53" s="5">
        <v>232</v>
      </c>
      <c r="L53" s="5">
        <v>15</v>
      </c>
      <c r="M53" s="5">
        <v>3</v>
      </c>
      <c r="N53" s="5" t="s">
        <v>3</v>
      </c>
      <c r="O53" s="5">
        <v>2</v>
      </c>
      <c r="P53" s="5">
        <f>ROUND(Source!EU37,O53)</f>
        <v>0</v>
      </c>
      <c r="Q53" s="5"/>
      <c r="R53" s="5"/>
      <c r="S53" s="5"/>
      <c r="T53" s="5"/>
      <c r="U53" s="5"/>
      <c r="V53" s="5"/>
      <c r="W53" s="5">
        <v>0</v>
      </c>
      <c r="X53" s="5">
        <v>1</v>
      </c>
      <c r="Y53" s="5">
        <v>0</v>
      </c>
      <c r="Z53" s="5">
        <v>0</v>
      </c>
      <c r="AA53" s="5">
        <v>1</v>
      </c>
      <c r="AB53" s="5">
        <v>0</v>
      </c>
    </row>
    <row r="54" spans="1:28" x14ac:dyDescent="0.2">
      <c r="A54" s="5">
        <v>50</v>
      </c>
      <c r="B54" s="5">
        <v>0</v>
      </c>
      <c r="C54" s="5">
        <v>0</v>
      </c>
      <c r="D54" s="5">
        <v>1</v>
      </c>
      <c r="E54" s="5">
        <v>214</v>
      </c>
      <c r="F54" s="5">
        <f>ROUND(Source!AS37,O54)</f>
        <v>0</v>
      </c>
      <c r="G54" s="5" t="s">
        <v>76</v>
      </c>
      <c r="H54" s="5" t="s">
        <v>77</v>
      </c>
      <c r="I54" s="5"/>
      <c r="J54" s="5"/>
      <c r="K54" s="5">
        <v>214</v>
      </c>
      <c r="L54" s="5">
        <v>16</v>
      </c>
      <c r="M54" s="5">
        <v>3</v>
      </c>
      <c r="N54" s="5" t="s">
        <v>3</v>
      </c>
      <c r="O54" s="5">
        <v>2</v>
      </c>
      <c r="P54" s="5">
        <f>ROUND(Source!EK37,O54)</f>
        <v>0</v>
      </c>
      <c r="Q54" s="5"/>
      <c r="R54" s="5"/>
      <c r="S54" s="5"/>
      <c r="T54" s="5"/>
      <c r="U54" s="5"/>
      <c r="V54" s="5"/>
      <c r="W54" s="5">
        <v>0</v>
      </c>
      <c r="X54" s="5">
        <v>1</v>
      </c>
      <c r="Y54" s="5">
        <v>0</v>
      </c>
      <c r="Z54" s="5">
        <v>0</v>
      </c>
      <c r="AA54" s="5">
        <v>1</v>
      </c>
      <c r="AB54" s="5">
        <v>0</v>
      </c>
    </row>
    <row r="55" spans="1:28" x14ac:dyDescent="0.2">
      <c r="A55" s="5">
        <v>50</v>
      </c>
      <c r="B55" s="5">
        <v>0</v>
      </c>
      <c r="C55" s="5">
        <v>0</v>
      </c>
      <c r="D55" s="5">
        <v>1</v>
      </c>
      <c r="E55" s="5">
        <v>215</v>
      </c>
      <c r="F55" s="5">
        <f>ROUND(Source!AT37,O55)</f>
        <v>242.72</v>
      </c>
      <c r="G55" s="5" t="s">
        <v>78</v>
      </c>
      <c r="H55" s="5" t="s">
        <v>79</v>
      </c>
      <c r="I55" s="5"/>
      <c r="J55" s="5"/>
      <c r="K55" s="5">
        <v>215</v>
      </c>
      <c r="L55" s="5">
        <v>17</v>
      </c>
      <c r="M55" s="5">
        <v>3</v>
      </c>
      <c r="N55" s="5" t="s">
        <v>3</v>
      </c>
      <c r="O55" s="5">
        <v>2</v>
      </c>
      <c r="P55" s="5">
        <f>ROUND(Source!EL37,O55)</f>
        <v>13299.48</v>
      </c>
      <c r="Q55" s="5"/>
      <c r="R55" s="5"/>
      <c r="S55" s="5"/>
      <c r="T55" s="5"/>
      <c r="U55" s="5"/>
      <c r="V55" s="5"/>
      <c r="W55" s="5">
        <v>242.72</v>
      </c>
      <c r="X55" s="5">
        <v>1</v>
      </c>
      <c r="Y55" s="5">
        <v>242.72</v>
      </c>
      <c r="Z55" s="5">
        <v>13299.48</v>
      </c>
      <c r="AA55" s="5">
        <v>1</v>
      </c>
      <c r="AB55" s="5">
        <v>13299.48</v>
      </c>
    </row>
    <row r="56" spans="1:28" x14ac:dyDescent="0.2">
      <c r="A56" s="5">
        <v>50</v>
      </c>
      <c r="B56" s="5">
        <v>0</v>
      </c>
      <c r="C56" s="5">
        <v>0</v>
      </c>
      <c r="D56" s="5">
        <v>1</v>
      </c>
      <c r="E56" s="5">
        <v>217</v>
      </c>
      <c r="F56" s="5">
        <f>ROUND(Source!AU37,O56)</f>
        <v>0</v>
      </c>
      <c r="G56" s="5" t="s">
        <v>80</v>
      </c>
      <c r="H56" s="5" t="s">
        <v>81</v>
      </c>
      <c r="I56" s="5"/>
      <c r="J56" s="5"/>
      <c r="K56" s="5">
        <v>217</v>
      </c>
      <c r="L56" s="5">
        <v>18</v>
      </c>
      <c r="M56" s="5">
        <v>3</v>
      </c>
      <c r="N56" s="5" t="s">
        <v>3</v>
      </c>
      <c r="O56" s="5">
        <v>2</v>
      </c>
      <c r="P56" s="5">
        <f>ROUND(Source!EM37,O56)</f>
        <v>0</v>
      </c>
      <c r="Q56" s="5"/>
      <c r="R56" s="5"/>
      <c r="S56" s="5"/>
      <c r="T56" s="5"/>
      <c r="U56" s="5"/>
      <c r="V56" s="5"/>
      <c r="W56" s="5">
        <v>0</v>
      </c>
      <c r="X56" s="5">
        <v>1</v>
      </c>
      <c r="Y56" s="5">
        <v>0</v>
      </c>
      <c r="Z56" s="5">
        <v>0</v>
      </c>
      <c r="AA56" s="5">
        <v>1</v>
      </c>
      <c r="AB56" s="5">
        <v>0</v>
      </c>
    </row>
    <row r="57" spans="1:28" x14ac:dyDescent="0.2">
      <c r="A57" s="5">
        <v>50</v>
      </c>
      <c r="B57" s="5">
        <v>0</v>
      </c>
      <c r="C57" s="5">
        <v>0</v>
      </c>
      <c r="D57" s="5">
        <v>1</v>
      </c>
      <c r="E57" s="5">
        <v>230</v>
      </c>
      <c r="F57" s="5">
        <f>ROUND(Source!BA37,O57)</f>
        <v>0</v>
      </c>
      <c r="G57" s="5" t="s">
        <v>82</v>
      </c>
      <c r="H57" s="5" t="s">
        <v>83</v>
      </c>
      <c r="I57" s="5"/>
      <c r="J57" s="5"/>
      <c r="K57" s="5">
        <v>230</v>
      </c>
      <c r="L57" s="5">
        <v>19</v>
      </c>
      <c r="M57" s="5">
        <v>3</v>
      </c>
      <c r="N57" s="5" t="s">
        <v>3</v>
      </c>
      <c r="O57" s="5">
        <v>2</v>
      </c>
      <c r="P57" s="5">
        <f>ROUND(Source!ES37,O57)</f>
        <v>0</v>
      </c>
      <c r="Q57" s="5"/>
      <c r="R57" s="5"/>
      <c r="S57" s="5"/>
      <c r="T57" s="5"/>
      <c r="U57" s="5"/>
      <c r="V57" s="5"/>
      <c r="W57" s="5">
        <v>0</v>
      </c>
      <c r="X57" s="5">
        <v>1</v>
      </c>
      <c r="Y57" s="5">
        <v>0</v>
      </c>
      <c r="Z57" s="5">
        <v>0</v>
      </c>
      <c r="AA57" s="5">
        <v>1</v>
      </c>
      <c r="AB57" s="5">
        <v>0</v>
      </c>
    </row>
    <row r="58" spans="1:28" x14ac:dyDescent="0.2">
      <c r="A58" s="5">
        <v>50</v>
      </c>
      <c r="B58" s="5">
        <v>0</v>
      </c>
      <c r="C58" s="5">
        <v>0</v>
      </c>
      <c r="D58" s="5">
        <v>1</v>
      </c>
      <c r="E58" s="5">
        <v>206</v>
      </c>
      <c r="F58" s="5">
        <f>ROUND(Source!T37,O58)</f>
        <v>0</v>
      </c>
      <c r="G58" s="5" t="s">
        <v>84</v>
      </c>
      <c r="H58" s="5" t="s">
        <v>85</v>
      </c>
      <c r="I58" s="5"/>
      <c r="J58" s="5"/>
      <c r="K58" s="5">
        <v>206</v>
      </c>
      <c r="L58" s="5">
        <v>20</v>
      </c>
      <c r="M58" s="5">
        <v>3</v>
      </c>
      <c r="N58" s="5" t="s">
        <v>3</v>
      </c>
      <c r="O58" s="5">
        <v>2</v>
      </c>
      <c r="P58" s="5">
        <f>ROUND(Source!DL37,O58)</f>
        <v>0</v>
      </c>
      <c r="Q58" s="5"/>
      <c r="R58" s="5"/>
      <c r="S58" s="5"/>
      <c r="T58" s="5"/>
      <c r="U58" s="5"/>
      <c r="V58" s="5"/>
      <c r="W58" s="5">
        <v>0</v>
      </c>
      <c r="X58" s="5">
        <v>1</v>
      </c>
      <c r="Y58" s="5">
        <v>0</v>
      </c>
      <c r="Z58" s="5">
        <v>0</v>
      </c>
      <c r="AA58" s="5">
        <v>1</v>
      </c>
      <c r="AB58" s="5">
        <v>0</v>
      </c>
    </row>
    <row r="59" spans="1:28" x14ac:dyDescent="0.2">
      <c r="A59" s="5">
        <v>50</v>
      </c>
      <c r="B59" s="5">
        <v>0</v>
      </c>
      <c r="C59" s="5">
        <v>0</v>
      </c>
      <c r="D59" s="5">
        <v>1</v>
      </c>
      <c r="E59" s="5">
        <v>207</v>
      </c>
      <c r="F59" s="5">
        <f>Source!U37</f>
        <v>8.0618999999999996</v>
      </c>
      <c r="G59" s="5" t="s">
        <v>86</v>
      </c>
      <c r="H59" s="5" t="s">
        <v>87</v>
      </c>
      <c r="I59" s="5"/>
      <c r="J59" s="5"/>
      <c r="K59" s="5">
        <v>207</v>
      </c>
      <c r="L59" s="5">
        <v>21</v>
      </c>
      <c r="M59" s="5">
        <v>3</v>
      </c>
      <c r="N59" s="5" t="s">
        <v>3</v>
      </c>
      <c r="O59" s="5">
        <v>-1</v>
      </c>
      <c r="P59" s="5">
        <f>Source!DM37</f>
        <v>8.0618999999999996</v>
      </c>
      <c r="Q59" s="5"/>
      <c r="R59" s="5"/>
      <c r="S59" s="5"/>
      <c r="T59" s="5"/>
      <c r="U59" s="5"/>
      <c r="V59" s="5"/>
      <c r="W59" s="5">
        <v>8.0618999999999996</v>
      </c>
      <c r="X59" s="5">
        <v>1</v>
      </c>
      <c r="Y59" s="5">
        <v>8.0618999999999996</v>
      </c>
      <c r="Z59" s="5">
        <v>8.0618999999999996</v>
      </c>
      <c r="AA59" s="5">
        <v>1</v>
      </c>
      <c r="AB59" s="5">
        <v>8.0618999999999996</v>
      </c>
    </row>
    <row r="60" spans="1:28" x14ac:dyDescent="0.2">
      <c r="A60" s="5">
        <v>50</v>
      </c>
      <c r="B60" s="5">
        <v>0</v>
      </c>
      <c r="C60" s="5">
        <v>0</v>
      </c>
      <c r="D60" s="5">
        <v>1</v>
      </c>
      <c r="E60" s="5">
        <v>208</v>
      </c>
      <c r="F60" s="5">
        <f>Source!V37</f>
        <v>0</v>
      </c>
      <c r="G60" s="5" t="s">
        <v>88</v>
      </c>
      <c r="H60" s="5" t="s">
        <v>89</v>
      </c>
      <c r="I60" s="5"/>
      <c r="J60" s="5"/>
      <c r="K60" s="5">
        <v>208</v>
      </c>
      <c r="L60" s="5">
        <v>22</v>
      </c>
      <c r="M60" s="5">
        <v>3</v>
      </c>
      <c r="N60" s="5" t="s">
        <v>3</v>
      </c>
      <c r="O60" s="5">
        <v>-1</v>
      </c>
      <c r="P60" s="5">
        <f>Source!DN37</f>
        <v>0</v>
      </c>
      <c r="Q60" s="5"/>
      <c r="R60" s="5"/>
      <c r="S60" s="5"/>
      <c r="T60" s="5"/>
      <c r="U60" s="5"/>
      <c r="V60" s="5"/>
      <c r="W60" s="5">
        <v>0</v>
      </c>
      <c r="X60" s="5">
        <v>1</v>
      </c>
      <c r="Y60" s="5">
        <v>0</v>
      </c>
      <c r="Z60" s="5">
        <v>0</v>
      </c>
      <c r="AA60" s="5">
        <v>1</v>
      </c>
      <c r="AB60" s="5">
        <v>0</v>
      </c>
    </row>
    <row r="61" spans="1:28" x14ac:dyDescent="0.2">
      <c r="A61" s="5">
        <v>50</v>
      </c>
      <c r="B61" s="5">
        <v>0</v>
      </c>
      <c r="C61" s="5">
        <v>0</v>
      </c>
      <c r="D61" s="5">
        <v>1</v>
      </c>
      <c r="E61" s="5">
        <v>209</v>
      </c>
      <c r="F61" s="5">
        <f>ROUND(Source!W37,O61)</f>
        <v>0</v>
      </c>
      <c r="G61" s="5" t="s">
        <v>90</v>
      </c>
      <c r="H61" s="5" t="s">
        <v>91</v>
      </c>
      <c r="I61" s="5"/>
      <c r="J61" s="5"/>
      <c r="K61" s="5">
        <v>209</v>
      </c>
      <c r="L61" s="5">
        <v>23</v>
      </c>
      <c r="M61" s="5">
        <v>3</v>
      </c>
      <c r="N61" s="5" t="s">
        <v>3</v>
      </c>
      <c r="O61" s="5">
        <v>2</v>
      </c>
      <c r="P61" s="5">
        <f>ROUND(Source!DO37,O61)</f>
        <v>0</v>
      </c>
      <c r="Q61" s="5"/>
      <c r="R61" s="5"/>
      <c r="S61" s="5"/>
      <c r="T61" s="5"/>
      <c r="U61" s="5"/>
      <c r="V61" s="5"/>
      <c r="W61" s="5">
        <v>0</v>
      </c>
      <c r="X61" s="5">
        <v>1</v>
      </c>
      <c r="Y61" s="5">
        <v>0</v>
      </c>
      <c r="Z61" s="5">
        <v>0</v>
      </c>
      <c r="AA61" s="5">
        <v>1</v>
      </c>
      <c r="AB61" s="5">
        <v>0</v>
      </c>
    </row>
    <row r="62" spans="1:28" x14ac:dyDescent="0.2">
      <c r="A62" s="5">
        <v>50</v>
      </c>
      <c r="B62" s="5">
        <v>0</v>
      </c>
      <c r="C62" s="5">
        <v>0</v>
      </c>
      <c r="D62" s="5">
        <v>1</v>
      </c>
      <c r="E62" s="5">
        <v>233</v>
      </c>
      <c r="F62" s="5">
        <f>ROUND(Source!BD37,O62)</f>
        <v>0</v>
      </c>
      <c r="G62" s="5" t="s">
        <v>92</v>
      </c>
      <c r="H62" s="5" t="s">
        <v>93</v>
      </c>
      <c r="I62" s="5"/>
      <c r="J62" s="5"/>
      <c r="K62" s="5">
        <v>233</v>
      </c>
      <c r="L62" s="5">
        <v>24</v>
      </c>
      <c r="M62" s="5">
        <v>3</v>
      </c>
      <c r="N62" s="5" t="s">
        <v>3</v>
      </c>
      <c r="O62" s="5">
        <v>2</v>
      </c>
      <c r="P62" s="5">
        <f>ROUND(Source!EV37,O62)</f>
        <v>0</v>
      </c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0</v>
      </c>
    </row>
    <row r="63" spans="1:28" x14ac:dyDescent="0.2">
      <c r="A63" s="5">
        <v>50</v>
      </c>
      <c r="B63" s="5">
        <v>0</v>
      </c>
      <c r="C63" s="5">
        <v>0</v>
      </c>
      <c r="D63" s="5">
        <v>1</v>
      </c>
      <c r="E63" s="5">
        <v>210</v>
      </c>
      <c r="F63" s="5">
        <f>ROUND(Source!X37,O63)</f>
        <v>92.16</v>
      </c>
      <c r="G63" s="5" t="s">
        <v>94</v>
      </c>
      <c r="H63" s="5" t="s">
        <v>95</v>
      </c>
      <c r="I63" s="5"/>
      <c r="J63" s="5"/>
      <c r="K63" s="5">
        <v>210</v>
      </c>
      <c r="L63" s="5">
        <v>25</v>
      </c>
      <c r="M63" s="5">
        <v>3</v>
      </c>
      <c r="N63" s="5" t="s">
        <v>3</v>
      </c>
      <c r="O63" s="5">
        <v>2</v>
      </c>
      <c r="P63" s="5">
        <f>ROUND(Source!DP37,O63)</f>
        <v>5067.88</v>
      </c>
      <c r="Q63" s="5"/>
      <c r="R63" s="5"/>
      <c r="S63" s="5"/>
      <c r="T63" s="5"/>
      <c r="U63" s="5"/>
      <c r="V63" s="5"/>
      <c r="W63" s="5">
        <v>92.16</v>
      </c>
      <c r="X63" s="5">
        <v>1</v>
      </c>
      <c r="Y63" s="5">
        <v>92.16</v>
      </c>
      <c r="Z63" s="5">
        <v>5067.88</v>
      </c>
      <c r="AA63" s="5">
        <v>1</v>
      </c>
      <c r="AB63" s="5">
        <v>5067.88</v>
      </c>
    </row>
    <row r="64" spans="1:28" x14ac:dyDescent="0.2">
      <c r="A64" s="5">
        <v>50</v>
      </c>
      <c r="B64" s="5">
        <v>0</v>
      </c>
      <c r="C64" s="5">
        <v>0</v>
      </c>
      <c r="D64" s="5">
        <v>1</v>
      </c>
      <c r="E64" s="5">
        <v>211</v>
      </c>
      <c r="F64" s="5">
        <f>ROUND(Source!Y37,O64)</f>
        <v>47.11</v>
      </c>
      <c r="G64" s="5" t="s">
        <v>96</v>
      </c>
      <c r="H64" s="5" t="s">
        <v>97</v>
      </c>
      <c r="I64" s="5"/>
      <c r="J64" s="5"/>
      <c r="K64" s="5">
        <v>211</v>
      </c>
      <c r="L64" s="5">
        <v>26</v>
      </c>
      <c r="M64" s="5">
        <v>3</v>
      </c>
      <c r="N64" s="5" t="s">
        <v>3</v>
      </c>
      <c r="O64" s="5">
        <v>2</v>
      </c>
      <c r="P64" s="5">
        <f>ROUND(Source!DQ37,O64)</f>
        <v>2590.2399999999998</v>
      </c>
      <c r="Q64" s="5"/>
      <c r="R64" s="5"/>
      <c r="S64" s="5"/>
      <c r="T64" s="5"/>
      <c r="U64" s="5"/>
      <c r="V64" s="5"/>
      <c r="W64" s="5">
        <v>47.11</v>
      </c>
      <c r="X64" s="5">
        <v>1</v>
      </c>
      <c r="Y64" s="5">
        <v>47.11</v>
      </c>
      <c r="Z64" s="5">
        <v>2590.2399999999998</v>
      </c>
      <c r="AA64" s="5">
        <v>1</v>
      </c>
      <c r="AB64" s="5">
        <v>2590.2399999999998</v>
      </c>
    </row>
    <row r="65" spans="1:255" x14ac:dyDescent="0.2">
      <c r="A65" s="5">
        <v>50</v>
      </c>
      <c r="B65" s="5">
        <v>0</v>
      </c>
      <c r="C65" s="5">
        <v>0</v>
      </c>
      <c r="D65" s="5">
        <v>1</v>
      </c>
      <c r="E65" s="5">
        <v>224</v>
      </c>
      <c r="F65" s="5">
        <f>ROUND(Source!AR37,O65)</f>
        <v>12222.83</v>
      </c>
      <c r="G65" s="5" t="s">
        <v>98</v>
      </c>
      <c r="H65" s="5" t="s">
        <v>99</v>
      </c>
      <c r="I65" s="5"/>
      <c r="J65" s="5"/>
      <c r="K65" s="5">
        <v>224</v>
      </c>
      <c r="L65" s="5">
        <v>27</v>
      </c>
      <c r="M65" s="5">
        <v>3</v>
      </c>
      <c r="N65" s="5" t="s">
        <v>3</v>
      </c>
      <c r="O65" s="5">
        <v>2</v>
      </c>
      <c r="P65" s="5">
        <f>ROUND(Source!EJ37,O65)</f>
        <v>101472.42</v>
      </c>
      <c r="Q65" s="5"/>
      <c r="R65" s="5"/>
      <c r="S65" s="5"/>
      <c r="T65" s="5"/>
      <c r="U65" s="5"/>
      <c r="V65" s="5"/>
      <c r="W65" s="5">
        <v>12222.83</v>
      </c>
      <c r="X65" s="5">
        <v>1</v>
      </c>
      <c r="Y65" s="5">
        <v>12222.83</v>
      </c>
      <c r="Z65" s="5">
        <v>101472.42</v>
      </c>
      <c r="AA65" s="5">
        <v>1</v>
      </c>
      <c r="AB65" s="5">
        <v>101472.42</v>
      </c>
    </row>
    <row r="67" spans="1:255" x14ac:dyDescent="0.2">
      <c r="A67" s="1">
        <v>4</v>
      </c>
      <c r="B67" s="1">
        <v>1</v>
      </c>
      <c r="C67" s="1"/>
      <c r="D67" s="1">
        <f>ROW(A84)</f>
        <v>84</v>
      </c>
      <c r="E67" s="1"/>
      <c r="F67" s="1" t="s">
        <v>3</v>
      </c>
      <c r="G67" s="1" t="s">
        <v>100</v>
      </c>
      <c r="H67" s="1" t="s">
        <v>3</v>
      </c>
      <c r="I67" s="1">
        <v>0</v>
      </c>
      <c r="J67" s="1"/>
      <c r="K67" s="1">
        <v>-1</v>
      </c>
      <c r="L67" s="1"/>
      <c r="M67" s="1" t="s">
        <v>3</v>
      </c>
      <c r="N67" s="1"/>
      <c r="O67" s="1"/>
      <c r="P67" s="1"/>
      <c r="Q67" s="1"/>
      <c r="R67" s="1"/>
      <c r="S67" s="1">
        <v>0</v>
      </c>
      <c r="T67" s="1">
        <v>0</v>
      </c>
      <c r="U67" s="1" t="s">
        <v>3</v>
      </c>
      <c r="V67" s="1">
        <v>2</v>
      </c>
      <c r="W67" s="1"/>
      <c r="X67" s="1"/>
      <c r="Y67" s="1"/>
      <c r="Z67" s="1"/>
      <c r="AA67" s="1"/>
      <c r="AB67" s="1" t="s">
        <v>3</v>
      </c>
      <c r="AC67" s="1" t="s">
        <v>3</v>
      </c>
      <c r="AD67" s="1" t="s">
        <v>3</v>
      </c>
      <c r="AE67" s="1" t="s">
        <v>3</v>
      </c>
      <c r="AF67" s="1" t="s">
        <v>3</v>
      </c>
      <c r="AG67" s="1" t="s">
        <v>3</v>
      </c>
      <c r="AH67" s="1"/>
      <c r="AI67" s="1"/>
      <c r="AJ67" s="1"/>
      <c r="AK67" s="1"/>
      <c r="AL67" s="1"/>
      <c r="AM67" s="1"/>
      <c r="AN67" s="1"/>
      <c r="AO67" s="1"/>
      <c r="AP67" s="1" t="s">
        <v>3</v>
      </c>
      <c r="AQ67" s="1" t="s">
        <v>3</v>
      </c>
      <c r="AR67" s="1" t="s">
        <v>3</v>
      </c>
      <c r="AS67" s="1"/>
      <c r="AT67" s="1"/>
      <c r="AU67" s="1"/>
      <c r="AV67" s="1"/>
      <c r="AW67" s="1"/>
      <c r="AX67" s="1"/>
      <c r="AY67" s="1"/>
      <c r="AZ67" s="1" t="s">
        <v>3</v>
      </c>
      <c r="BA67" s="1"/>
      <c r="BB67" s="1" t="s">
        <v>3</v>
      </c>
      <c r="BC67" s="1" t="s">
        <v>3</v>
      </c>
      <c r="BD67" s="1" t="s">
        <v>3</v>
      </c>
      <c r="BE67" s="1" t="s">
        <v>3</v>
      </c>
      <c r="BF67" s="1" t="s">
        <v>3</v>
      </c>
      <c r="BG67" s="1" t="s">
        <v>3</v>
      </c>
      <c r="BH67" s="1" t="s">
        <v>3</v>
      </c>
      <c r="BI67" s="1" t="s">
        <v>3</v>
      </c>
      <c r="BJ67" s="1" t="s">
        <v>3</v>
      </c>
      <c r="BK67" s="1" t="s">
        <v>3</v>
      </c>
      <c r="BL67" s="1" t="s">
        <v>3</v>
      </c>
      <c r="BM67" s="1" t="s">
        <v>3</v>
      </c>
      <c r="BN67" s="1" t="s">
        <v>3</v>
      </c>
      <c r="BO67" s="1" t="s">
        <v>3</v>
      </c>
      <c r="BP67" s="1" t="s">
        <v>3</v>
      </c>
      <c r="BQ67" s="1"/>
      <c r="BR67" s="1"/>
      <c r="BS67" s="1"/>
      <c r="BT67" s="1"/>
      <c r="BU67" s="1"/>
      <c r="BV67" s="1"/>
      <c r="BW67" s="1"/>
      <c r="BX67" s="1">
        <v>0</v>
      </c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>
        <v>0</v>
      </c>
    </row>
    <row r="69" spans="1:255" x14ac:dyDescent="0.2">
      <c r="A69" s="3">
        <v>52</v>
      </c>
      <c r="B69" s="3">
        <f t="shared" ref="B69:G69" si="47">B84</f>
        <v>1</v>
      </c>
      <c r="C69" s="3">
        <f t="shared" si="47"/>
        <v>4</v>
      </c>
      <c r="D69" s="3">
        <f t="shared" si="47"/>
        <v>67</v>
      </c>
      <c r="E69" s="3">
        <f t="shared" si="47"/>
        <v>0</v>
      </c>
      <c r="F69" s="3" t="str">
        <f t="shared" si="47"/>
        <v/>
      </c>
      <c r="G69" s="3" t="str">
        <f t="shared" si="47"/>
        <v>Кабельные изделия</v>
      </c>
      <c r="H69" s="3"/>
      <c r="I69" s="3"/>
      <c r="J69" s="3"/>
      <c r="K69" s="3"/>
      <c r="L69" s="3"/>
      <c r="M69" s="3"/>
      <c r="N69" s="3"/>
      <c r="O69" s="3">
        <f t="shared" ref="O69:AT69" si="48">O84</f>
        <v>854.42</v>
      </c>
      <c r="P69" s="3">
        <f t="shared" si="48"/>
        <v>681.21</v>
      </c>
      <c r="Q69" s="3">
        <f t="shared" si="48"/>
        <v>21.87</v>
      </c>
      <c r="R69" s="3">
        <f t="shared" si="48"/>
        <v>3.48</v>
      </c>
      <c r="S69" s="3">
        <f t="shared" si="48"/>
        <v>151.34</v>
      </c>
      <c r="T69" s="3">
        <f t="shared" si="48"/>
        <v>0</v>
      </c>
      <c r="U69" s="3">
        <f t="shared" si="48"/>
        <v>11.914336500000001</v>
      </c>
      <c r="V69" s="3">
        <f t="shared" si="48"/>
        <v>0</v>
      </c>
      <c r="W69" s="3">
        <f t="shared" si="48"/>
        <v>0</v>
      </c>
      <c r="X69" s="3">
        <f t="shared" si="48"/>
        <v>150.18</v>
      </c>
      <c r="Y69" s="3">
        <f t="shared" si="48"/>
        <v>78.959999999999994</v>
      </c>
      <c r="Z69" s="3">
        <f t="shared" si="48"/>
        <v>0</v>
      </c>
      <c r="AA69" s="3">
        <f t="shared" si="48"/>
        <v>0</v>
      </c>
      <c r="AB69" s="3">
        <f t="shared" si="48"/>
        <v>854.42</v>
      </c>
      <c r="AC69" s="3">
        <f t="shared" si="48"/>
        <v>681.21</v>
      </c>
      <c r="AD69" s="3">
        <f t="shared" si="48"/>
        <v>21.87</v>
      </c>
      <c r="AE69" s="3">
        <f t="shared" si="48"/>
        <v>3.48</v>
      </c>
      <c r="AF69" s="3">
        <f t="shared" si="48"/>
        <v>151.34</v>
      </c>
      <c r="AG69" s="3">
        <f t="shared" si="48"/>
        <v>0</v>
      </c>
      <c r="AH69" s="3">
        <f t="shared" si="48"/>
        <v>11.914336500000001</v>
      </c>
      <c r="AI69" s="3">
        <f t="shared" si="48"/>
        <v>0</v>
      </c>
      <c r="AJ69" s="3">
        <f t="shared" si="48"/>
        <v>0</v>
      </c>
      <c r="AK69" s="3">
        <f t="shared" si="48"/>
        <v>150.18</v>
      </c>
      <c r="AL69" s="3">
        <f t="shared" si="48"/>
        <v>78.959999999999994</v>
      </c>
      <c r="AM69" s="3">
        <f t="shared" si="48"/>
        <v>0</v>
      </c>
      <c r="AN69" s="3">
        <f t="shared" si="48"/>
        <v>0</v>
      </c>
      <c r="AO69" s="3">
        <f t="shared" si="48"/>
        <v>0</v>
      </c>
      <c r="AP69" s="3">
        <f t="shared" si="48"/>
        <v>0</v>
      </c>
      <c r="AQ69" s="3">
        <f t="shared" si="48"/>
        <v>0</v>
      </c>
      <c r="AR69" s="3">
        <f t="shared" si="48"/>
        <v>1083.56</v>
      </c>
      <c r="AS69" s="3">
        <f t="shared" si="48"/>
        <v>0</v>
      </c>
      <c r="AT69" s="3">
        <f t="shared" si="48"/>
        <v>1083.56</v>
      </c>
      <c r="AU69" s="3">
        <f t="shared" ref="AU69:BZ69" si="49">AU84</f>
        <v>0</v>
      </c>
      <c r="AV69" s="3">
        <f t="shared" si="49"/>
        <v>681.21</v>
      </c>
      <c r="AW69" s="3">
        <f t="shared" si="49"/>
        <v>681.21</v>
      </c>
      <c r="AX69" s="3">
        <f t="shared" si="49"/>
        <v>0</v>
      </c>
      <c r="AY69" s="3">
        <f t="shared" si="49"/>
        <v>681.21</v>
      </c>
      <c r="AZ69" s="3">
        <f t="shared" si="49"/>
        <v>0</v>
      </c>
      <c r="BA69" s="3">
        <f t="shared" si="49"/>
        <v>0</v>
      </c>
      <c r="BB69" s="3">
        <f t="shared" si="49"/>
        <v>0</v>
      </c>
      <c r="BC69" s="3">
        <f t="shared" si="49"/>
        <v>0</v>
      </c>
      <c r="BD69" s="3">
        <f t="shared" si="49"/>
        <v>0</v>
      </c>
      <c r="BE69" s="3">
        <f t="shared" si="49"/>
        <v>0</v>
      </c>
      <c r="BF69" s="3">
        <f t="shared" si="49"/>
        <v>0</v>
      </c>
      <c r="BG69" s="3">
        <f t="shared" si="49"/>
        <v>0</v>
      </c>
      <c r="BH69" s="3">
        <f t="shared" si="49"/>
        <v>0</v>
      </c>
      <c r="BI69" s="3">
        <f t="shared" si="49"/>
        <v>0</v>
      </c>
      <c r="BJ69" s="3">
        <f t="shared" si="49"/>
        <v>0</v>
      </c>
      <c r="BK69" s="3">
        <f t="shared" si="49"/>
        <v>0</v>
      </c>
      <c r="BL69" s="3">
        <f t="shared" si="49"/>
        <v>0</v>
      </c>
      <c r="BM69" s="3">
        <f t="shared" si="49"/>
        <v>0</v>
      </c>
      <c r="BN69" s="3">
        <f t="shared" si="49"/>
        <v>0</v>
      </c>
      <c r="BO69" s="3">
        <f t="shared" si="49"/>
        <v>0</v>
      </c>
      <c r="BP69" s="3">
        <f t="shared" si="49"/>
        <v>0</v>
      </c>
      <c r="BQ69" s="3">
        <f t="shared" si="49"/>
        <v>0</v>
      </c>
      <c r="BR69" s="3">
        <f t="shared" si="49"/>
        <v>0</v>
      </c>
      <c r="BS69" s="3">
        <f t="shared" si="49"/>
        <v>0</v>
      </c>
      <c r="BT69" s="3">
        <f t="shared" si="49"/>
        <v>0</v>
      </c>
      <c r="BU69" s="3">
        <f t="shared" si="49"/>
        <v>0</v>
      </c>
      <c r="BV69" s="3">
        <f t="shared" si="49"/>
        <v>0</v>
      </c>
      <c r="BW69" s="3">
        <f t="shared" si="49"/>
        <v>0</v>
      </c>
      <c r="BX69" s="3">
        <f t="shared" si="49"/>
        <v>0</v>
      </c>
      <c r="BY69" s="3">
        <f t="shared" si="49"/>
        <v>0</v>
      </c>
      <c r="BZ69" s="3">
        <f t="shared" si="49"/>
        <v>0</v>
      </c>
      <c r="CA69" s="3">
        <f t="shared" ref="CA69:DF69" si="50">CA84</f>
        <v>1083.56</v>
      </c>
      <c r="CB69" s="3">
        <f t="shared" si="50"/>
        <v>0</v>
      </c>
      <c r="CC69" s="3">
        <f t="shared" si="50"/>
        <v>1083.56</v>
      </c>
      <c r="CD69" s="3">
        <f t="shared" si="50"/>
        <v>0</v>
      </c>
      <c r="CE69" s="3">
        <f t="shared" si="50"/>
        <v>681.21</v>
      </c>
      <c r="CF69" s="3">
        <f t="shared" si="50"/>
        <v>681.21</v>
      </c>
      <c r="CG69" s="3">
        <f t="shared" si="50"/>
        <v>0</v>
      </c>
      <c r="CH69" s="3">
        <f t="shared" si="50"/>
        <v>681.21</v>
      </c>
      <c r="CI69" s="3">
        <f t="shared" si="50"/>
        <v>0</v>
      </c>
      <c r="CJ69" s="3">
        <f t="shared" si="50"/>
        <v>0</v>
      </c>
      <c r="CK69" s="3">
        <f t="shared" si="50"/>
        <v>0</v>
      </c>
      <c r="CL69" s="3">
        <f t="shared" si="50"/>
        <v>0</v>
      </c>
      <c r="CM69" s="3">
        <f t="shared" si="50"/>
        <v>0</v>
      </c>
      <c r="CN69" s="3">
        <f t="shared" si="50"/>
        <v>0</v>
      </c>
      <c r="CO69" s="3">
        <f t="shared" si="50"/>
        <v>0</v>
      </c>
      <c r="CP69" s="3">
        <f t="shared" si="50"/>
        <v>0</v>
      </c>
      <c r="CQ69" s="3">
        <f t="shared" si="50"/>
        <v>0</v>
      </c>
      <c r="CR69" s="3">
        <f t="shared" si="50"/>
        <v>0</v>
      </c>
      <c r="CS69" s="3">
        <f t="shared" si="50"/>
        <v>0</v>
      </c>
      <c r="CT69" s="3">
        <f t="shared" si="50"/>
        <v>0</v>
      </c>
      <c r="CU69" s="3">
        <f t="shared" si="50"/>
        <v>0</v>
      </c>
      <c r="CV69" s="3">
        <f t="shared" si="50"/>
        <v>0</v>
      </c>
      <c r="CW69" s="3">
        <f t="shared" si="50"/>
        <v>0</v>
      </c>
      <c r="CX69" s="3">
        <f t="shared" si="50"/>
        <v>0</v>
      </c>
      <c r="CY69" s="3">
        <f t="shared" si="50"/>
        <v>0</v>
      </c>
      <c r="CZ69" s="3">
        <f t="shared" si="50"/>
        <v>0</v>
      </c>
      <c r="DA69" s="3">
        <f t="shared" si="50"/>
        <v>0</v>
      </c>
      <c r="DB69" s="3">
        <f t="shared" si="50"/>
        <v>0</v>
      </c>
      <c r="DC69" s="3">
        <f t="shared" si="50"/>
        <v>0</v>
      </c>
      <c r="DD69" s="3">
        <f t="shared" si="50"/>
        <v>0</v>
      </c>
      <c r="DE69" s="3">
        <f t="shared" si="50"/>
        <v>0</v>
      </c>
      <c r="DF69" s="3">
        <f t="shared" si="50"/>
        <v>0</v>
      </c>
      <c r="DG69" s="4">
        <f t="shared" ref="DG69:EL69" si="51">DG84</f>
        <v>14236.99</v>
      </c>
      <c r="DH69" s="4">
        <f t="shared" si="51"/>
        <v>5540.18</v>
      </c>
      <c r="DI69" s="4">
        <f t="shared" si="51"/>
        <v>374.63</v>
      </c>
      <c r="DJ69" s="4">
        <f t="shared" si="51"/>
        <v>191.37</v>
      </c>
      <c r="DK69" s="4">
        <f t="shared" si="51"/>
        <v>8322.18</v>
      </c>
      <c r="DL69" s="4">
        <f t="shared" si="51"/>
        <v>0</v>
      </c>
      <c r="DM69" s="4">
        <f t="shared" si="51"/>
        <v>11.914336500000001</v>
      </c>
      <c r="DN69" s="4">
        <f t="shared" si="51"/>
        <v>0</v>
      </c>
      <c r="DO69" s="4">
        <f t="shared" si="51"/>
        <v>0</v>
      </c>
      <c r="DP69" s="4">
        <f t="shared" si="51"/>
        <v>8258.15</v>
      </c>
      <c r="DQ69" s="4">
        <f t="shared" si="51"/>
        <v>4341.92</v>
      </c>
      <c r="DR69" s="4">
        <f t="shared" si="51"/>
        <v>0</v>
      </c>
      <c r="DS69" s="4">
        <f t="shared" si="51"/>
        <v>0</v>
      </c>
      <c r="DT69" s="4">
        <f t="shared" si="51"/>
        <v>14236.99</v>
      </c>
      <c r="DU69" s="4">
        <f t="shared" si="51"/>
        <v>5540.18</v>
      </c>
      <c r="DV69" s="4">
        <f t="shared" si="51"/>
        <v>374.63</v>
      </c>
      <c r="DW69" s="4">
        <f t="shared" si="51"/>
        <v>191.37</v>
      </c>
      <c r="DX69" s="4">
        <f t="shared" si="51"/>
        <v>8322.18</v>
      </c>
      <c r="DY69" s="4">
        <f t="shared" si="51"/>
        <v>0</v>
      </c>
      <c r="DZ69" s="4">
        <f t="shared" si="51"/>
        <v>11.914336500000001</v>
      </c>
      <c r="EA69" s="4">
        <f t="shared" si="51"/>
        <v>0</v>
      </c>
      <c r="EB69" s="4">
        <f t="shared" si="51"/>
        <v>0</v>
      </c>
      <c r="EC69" s="4">
        <f t="shared" si="51"/>
        <v>8258.15</v>
      </c>
      <c r="ED69" s="4">
        <f t="shared" si="51"/>
        <v>4341.92</v>
      </c>
      <c r="EE69" s="4">
        <f t="shared" si="51"/>
        <v>0</v>
      </c>
      <c r="EF69" s="4">
        <f t="shared" si="51"/>
        <v>0</v>
      </c>
      <c r="EG69" s="4">
        <f t="shared" si="51"/>
        <v>0</v>
      </c>
      <c r="EH69" s="4">
        <f t="shared" si="51"/>
        <v>0</v>
      </c>
      <c r="EI69" s="4">
        <f t="shared" si="51"/>
        <v>0</v>
      </c>
      <c r="EJ69" s="4">
        <f t="shared" si="51"/>
        <v>26837.06</v>
      </c>
      <c r="EK69" s="4">
        <f t="shared" si="51"/>
        <v>0</v>
      </c>
      <c r="EL69" s="4">
        <f t="shared" si="51"/>
        <v>26837.06</v>
      </c>
      <c r="EM69" s="4">
        <f t="shared" ref="EM69:FR69" si="52">EM84</f>
        <v>0</v>
      </c>
      <c r="EN69" s="4">
        <f t="shared" si="52"/>
        <v>5540.18</v>
      </c>
      <c r="EO69" s="4">
        <f t="shared" si="52"/>
        <v>5540.18</v>
      </c>
      <c r="EP69" s="4">
        <f t="shared" si="52"/>
        <v>0</v>
      </c>
      <c r="EQ69" s="4">
        <f t="shared" si="52"/>
        <v>5540.18</v>
      </c>
      <c r="ER69" s="4">
        <f t="shared" si="52"/>
        <v>0</v>
      </c>
      <c r="ES69" s="4">
        <f t="shared" si="52"/>
        <v>0</v>
      </c>
      <c r="ET69" s="4">
        <f t="shared" si="52"/>
        <v>0</v>
      </c>
      <c r="EU69" s="4">
        <f t="shared" si="52"/>
        <v>0</v>
      </c>
      <c r="EV69" s="4">
        <f t="shared" si="52"/>
        <v>0</v>
      </c>
      <c r="EW69" s="4">
        <f t="shared" si="52"/>
        <v>0</v>
      </c>
      <c r="EX69" s="4">
        <f t="shared" si="52"/>
        <v>0</v>
      </c>
      <c r="EY69" s="4">
        <f t="shared" si="52"/>
        <v>0</v>
      </c>
      <c r="EZ69" s="4">
        <f t="shared" si="52"/>
        <v>0</v>
      </c>
      <c r="FA69" s="4">
        <f t="shared" si="52"/>
        <v>0</v>
      </c>
      <c r="FB69" s="4">
        <f t="shared" si="52"/>
        <v>0</v>
      </c>
      <c r="FC69" s="4">
        <f t="shared" si="52"/>
        <v>0</v>
      </c>
      <c r="FD69" s="4">
        <f t="shared" si="52"/>
        <v>0</v>
      </c>
      <c r="FE69" s="4">
        <f t="shared" si="52"/>
        <v>0</v>
      </c>
      <c r="FF69" s="4">
        <f t="shared" si="52"/>
        <v>0</v>
      </c>
      <c r="FG69" s="4">
        <f t="shared" si="52"/>
        <v>0</v>
      </c>
      <c r="FH69" s="4">
        <f t="shared" si="52"/>
        <v>0</v>
      </c>
      <c r="FI69" s="4">
        <f t="shared" si="52"/>
        <v>0</v>
      </c>
      <c r="FJ69" s="4">
        <f t="shared" si="52"/>
        <v>0</v>
      </c>
      <c r="FK69" s="4">
        <f t="shared" si="52"/>
        <v>0</v>
      </c>
      <c r="FL69" s="4">
        <f t="shared" si="52"/>
        <v>0</v>
      </c>
      <c r="FM69" s="4">
        <f t="shared" si="52"/>
        <v>0</v>
      </c>
      <c r="FN69" s="4">
        <f t="shared" si="52"/>
        <v>0</v>
      </c>
      <c r="FO69" s="4">
        <f t="shared" si="52"/>
        <v>0</v>
      </c>
      <c r="FP69" s="4">
        <f t="shared" si="52"/>
        <v>0</v>
      </c>
      <c r="FQ69" s="4">
        <f t="shared" si="52"/>
        <v>0</v>
      </c>
      <c r="FR69" s="4">
        <f t="shared" si="52"/>
        <v>0</v>
      </c>
      <c r="FS69" s="4">
        <f t="shared" ref="FS69:GX69" si="53">FS84</f>
        <v>26837.06</v>
      </c>
      <c r="FT69" s="4">
        <f t="shared" si="53"/>
        <v>0</v>
      </c>
      <c r="FU69" s="4">
        <f t="shared" si="53"/>
        <v>26837.06</v>
      </c>
      <c r="FV69" s="4">
        <f t="shared" si="53"/>
        <v>0</v>
      </c>
      <c r="FW69" s="4">
        <f t="shared" si="53"/>
        <v>5540.18</v>
      </c>
      <c r="FX69" s="4">
        <f t="shared" si="53"/>
        <v>5540.18</v>
      </c>
      <c r="FY69" s="4">
        <f t="shared" si="53"/>
        <v>0</v>
      </c>
      <c r="FZ69" s="4">
        <f t="shared" si="53"/>
        <v>5540.18</v>
      </c>
      <c r="GA69" s="4">
        <f t="shared" si="53"/>
        <v>0</v>
      </c>
      <c r="GB69" s="4">
        <f t="shared" si="53"/>
        <v>0</v>
      </c>
      <c r="GC69" s="4">
        <f t="shared" si="53"/>
        <v>0</v>
      </c>
      <c r="GD69" s="4">
        <f t="shared" si="53"/>
        <v>0</v>
      </c>
      <c r="GE69" s="4">
        <f t="shared" si="53"/>
        <v>0</v>
      </c>
      <c r="GF69" s="4">
        <f t="shared" si="53"/>
        <v>0</v>
      </c>
      <c r="GG69" s="4">
        <f t="shared" si="53"/>
        <v>0</v>
      </c>
      <c r="GH69" s="4">
        <f t="shared" si="53"/>
        <v>0</v>
      </c>
      <c r="GI69" s="4">
        <f t="shared" si="53"/>
        <v>0</v>
      </c>
      <c r="GJ69" s="4">
        <f t="shared" si="53"/>
        <v>0</v>
      </c>
      <c r="GK69" s="4">
        <f t="shared" si="53"/>
        <v>0</v>
      </c>
      <c r="GL69" s="4">
        <f t="shared" si="53"/>
        <v>0</v>
      </c>
      <c r="GM69" s="4">
        <f t="shared" si="53"/>
        <v>0</v>
      </c>
      <c r="GN69" s="4">
        <f t="shared" si="53"/>
        <v>0</v>
      </c>
      <c r="GO69" s="4">
        <f t="shared" si="53"/>
        <v>0</v>
      </c>
      <c r="GP69" s="4">
        <f t="shared" si="53"/>
        <v>0</v>
      </c>
      <c r="GQ69" s="4">
        <f t="shared" si="53"/>
        <v>0</v>
      </c>
      <c r="GR69" s="4">
        <f t="shared" si="53"/>
        <v>0</v>
      </c>
      <c r="GS69" s="4">
        <f t="shared" si="53"/>
        <v>0</v>
      </c>
      <c r="GT69" s="4">
        <f t="shared" si="53"/>
        <v>0</v>
      </c>
      <c r="GU69" s="4">
        <f t="shared" si="53"/>
        <v>0</v>
      </c>
      <c r="GV69" s="4">
        <f t="shared" si="53"/>
        <v>0</v>
      </c>
      <c r="GW69" s="4">
        <f t="shared" si="53"/>
        <v>0</v>
      </c>
      <c r="GX69" s="4">
        <f t="shared" si="53"/>
        <v>0</v>
      </c>
    </row>
    <row r="71" spans="1:255" x14ac:dyDescent="0.2">
      <c r="A71" s="2">
        <v>17</v>
      </c>
      <c r="B71" s="2">
        <v>1</v>
      </c>
      <c r="C71" s="2">
        <f>ROW(SmtRes!A7)</f>
        <v>7</v>
      </c>
      <c r="D71" s="2">
        <f>ROW(EtalonRes!A8)</f>
        <v>8</v>
      </c>
      <c r="E71" s="2" t="s">
        <v>101</v>
      </c>
      <c r="F71" s="2" t="s">
        <v>102</v>
      </c>
      <c r="G71" s="2" t="s">
        <v>103</v>
      </c>
      <c r="H71" s="2" t="s">
        <v>104</v>
      </c>
      <c r="I71" s="2">
        <f>ROUND(50/100,9)</f>
        <v>0.5</v>
      </c>
      <c r="J71" s="2">
        <v>0</v>
      </c>
      <c r="K71" s="2">
        <f>ROUND(50/100,9)</f>
        <v>0.5</v>
      </c>
      <c r="L71" s="2"/>
      <c r="M71" s="2"/>
      <c r="N71" s="2"/>
      <c r="O71" s="2">
        <f t="shared" ref="O71:O82" si="54">ROUND(CP71,2)</f>
        <v>296.95</v>
      </c>
      <c r="P71" s="2">
        <f t="shared" ref="P71:P82" si="55">ROUND((ROUND((AC71*AW71*I71),2)*BC71),2)</f>
        <v>171.52</v>
      </c>
      <c r="Q71" s="2">
        <f>(ROUND((ROUND((((ET71*1.1))*AV71*I71),2)*BB71),2)+ROUND((ROUND(((AE71-((EU71*1.1)))*AV71*I71),2)*BS71),2))</f>
        <v>18.850000000000001</v>
      </c>
      <c r="R71" s="2">
        <f>(ROUND((ROUND((((EU71*1.1))*AV71*I71),2)*BS71),2)+ROUND((ROUND(((AE71-((EU71*1.1)))*AV71*I71),2)*BS71),2))</f>
        <v>3.14</v>
      </c>
      <c r="S71" s="2">
        <f t="shared" ref="S71:S82" si="56">ROUND((ROUND((AF71*AV71*I71),2)*BA71),2)</f>
        <v>106.58</v>
      </c>
      <c r="T71" s="2">
        <f t="shared" ref="T71:T82" si="57">ROUND(CU71*I71,2)</f>
        <v>0</v>
      </c>
      <c r="U71" s="2">
        <f t="shared" ref="U71:U82" si="58">CV71*I71</f>
        <v>8.2749644999999994</v>
      </c>
      <c r="V71" s="2">
        <f t="shared" ref="V71:V82" si="59">CW71*I71</f>
        <v>0</v>
      </c>
      <c r="W71" s="2">
        <f t="shared" ref="W71:W82" si="60">ROUND(CX71*I71,2)</f>
        <v>0</v>
      </c>
      <c r="X71" s="2">
        <f>(ROUND((((S71+ROUND((ROUND((((EU71*1.1))*AV71*I71),2)*BS71),2))*AT71)/100),2)+ROUND(((ROUND((ROUND(((AE71-((EU71*1.1)))*AV71*I71),2)*BS71),2)*AT71)/100),2))</f>
        <v>106.43</v>
      </c>
      <c r="Y71" s="2">
        <f>(ROUND((((S71+ROUND((ROUND((((EU71*1.1))*AV71*I71),2)*BS71),2))*AU71)/100),2)+ROUND(((ROUND((ROUND(((AE71-((EU71*1.1)))*AV71*I71),2)*BS71),2)*AU71)/100),2))</f>
        <v>55.96</v>
      </c>
      <c r="Z71" s="2"/>
      <c r="AA71" s="2">
        <v>60257736</v>
      </c>
      <c r="AB71" s="2">
        <f t="shared" ref="AB71:AB82" si="61">ROUND((AC71+AD71+AF71),6)</f>
        <v>582.64300000000003</v>
      </c>
      <c r="AC71" s="2">
        <f>ROUND(((ES71*1)),6)</f>
        <v>343.03</v>
      </c>
      <c r="AD71" s="2">
        <f>ROUND(((((ET71*1.1))-((EU71*1.1)))+AE71),6)</f>
        <v>36.014000000000003</v>
      </c>
      <c r="AE71" s="2">
        <f>ROUND(((EU71*1.1)),6)</f>
        <v>6.0060000000000002</v>
      </c>
      <c r="AF71" s="2">
        <f>ROUND(((EV71*1.1)),6)</f>
        <v>203.59899999999999</v>
      </c>
      <c r="AG71" s="2">
        <f t="shared" ref="AG71:AG82" si="62">ROUND((AP71),6)</f>
        <v>0</v>
      </c>
      <c r="AH71" s="2">
        <f>((EW71*1.1))</f>
        <v>15.807</v>
      </c>
      <c r="AI71" s="2">
        <f>((EX71*1.1))</f>
        <v>0</v>
      </c>
      <c r="AJ71" s="2">
        <f t="shared" ref="AJ71:AJ82" si="63">(AS71)</f>
        <v>0</v>
      </c>
      <c r="AK71" s="2">
        <v>560.86</v>
      </c>
      <c r="AL71" s="2">
        <v>343.03</v>
      </c>
      <c r="AM71" s="2">
        <v>32.74</v>
      </c>
      <c r="AN71" s="2">
        <v>5.46</v>
      </c>
      <c r="AO71" s="2">
        <v>185.09</v>
      </c>
      <c r="AP71" s="2">
        <v>0</v>
      </c>
      <c r="AQ71" s="2">
        <v>14.37</v>
      </c>
      <c r="AR71" s="2">
        <v>0</v>
      </c>
      <c r="AS71" s="2">
        <v>0</v>
      </c>
      <c r="AT71" s="2">
        <v>97</v>
      </c>
      <c r="AU71" s="2">
        <v>51</v>
      </c>
      <c r="AV71" s="2">
        <v>1.0469999999999999</v>
      </c>
      <c r="AW71" s="2">
        <v>1</v>
      </c>
      <c r="AX71" s="2"/>
      <c r="AY71" s="2"/>
      <c r="AZ71" s="2">
        <v>1</v>
      </c>
      <c r="BA71" s="2">
        <v>1</v>
      </c>
      <c r="BB71" s="2">
        <v>1</v>
      </c>
      <c r="BC71" s="2">
        <v>1</v>
      </c>
      <c r="BD71" s="2" t="s">
        <v>3</v>
      </c>
      <c r="BE71" s="2" t="s">
        <v>3</v>
      </c>
      <c r="BF71" s="2" t="s">
        <v>3</v>
      </c>
      <c r="BG71" s="2" t="s">
        <v>3</v>
      </c>
      <c r="BH71" s="2">
        <v>0</v>
      </c>
      <c r="BI71" s="2">
        <v>2</v>
      </c>
      <c r="BJ71" s="2" t="s">
        <v>105</v>
      </c>
      <c r="BK71" s="2"/>
      <c r="BL71" s="2"/>
      <c r="BM71" s="2">
        <v>67</v>
      </c>
      <c r="BN71" s="2">
        <v>58973116</v>
      </c>
      <c r="BO71" s="2" t="s">
        <v>102</v>
      </c>
      <c r="BP71" s="2">
        <v>1</v>
      </c>
      <c r="BQ71" s="2">
        <v>40</v>
      </c>
      <c r="BR71" s="2">
        <v>0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 t="s">
        <v>3</v>
      </c>
      <c r="BZ71" s="2">
        <v>97</v>
      </c>
      <c r="CA71" s="2">
        <v>51</v>
      </c>
      <c r="CB71" s="2" t="s">
        <v>3</v>
      </c>
      <c r="CC71" s="2"/>
      <c r="CD71" s="2"/>
      <c r="CE71" s="2">
        <v>1566</v>
      </c>
      <c r="CF71" s="2">
        <v>0</v>
      </c>
      <c r="CG71" s="2">
        <v>0</v>
      </c>
      <c r="CH71" s="2"/>
      <c r="CI71" s="2"/>
      <c r="CJ71" s="2"/>
      <c r="CK71" s="2"/>
      <c r="CL71" s="2"/>
      <c r="CM71" s="2">
        <v>0</v>
      </c>
      <c r="CN71" s="2" t="s">
        <v>201</v>
      </c>
      <c r="CO71" s="2">
        <v>0</v>
      </c>
      <c r="CP71" s="2">
        <f t="shared" ref="CP71:CP82" si="64">(P71+Q71+S71)</f>
        <v>296.95</v>
      </c>
      <c r="CQ71" s="2">
        <f t="shared" ref="CQ71:CQ82" si="65">ROUND((ROUND((AC71*AW71*1),2)*BC71),2)</f>
        <v>343.03</v>
      </c>
      <c r="CR71" s="2">
        <f>(ROUND((ROUND((((ET71*1.1))*AV71*1),2)*BB71),2)+ROUND((ROUND(((AE71-((EU71*1.1)))*AV71*1),2)*BS71),2))</f>
        <v>37.71</v>
      </c>
      <c r="CS71" s="2">
        <f>(ROUND((ROUND((((EU71*1.1))*AV71*1),2)*BS71),2)+ROUND((ROUND(((AE71-((EU71*1.1)))*AV71*1),2)*BS71),2))</f>
        <v>6.29</v>
      </c>
      <c r="CT71" s="2">
        <f t="shared" ref="CT71:CT82" si="66">ROUND((ROUND((AF71*AV71*1),2)*BA71),2)</f>
        <v>213.17</v>
      </c>
      <c r="CU71" s="2">
        <f t="shared" ref="CU71:CU82" si="67">AG71</f>
        <v>0</v>
      </c>
      <c r="CV71" s="2">
        <f t="shared" ref="CV71:CV82" si="68">(AH71*AV71)</f>
        <v>16.549928999999999</v>
      </c>
      <c r="CW71" s="2">
        <f t="shared" ref="CW71:CW82" si="69">AI71</f>
        <v>0</v>
      </c>
      <c r="CX71" s="2">
        <f t="shared" ref="CX71:CX82" si="70">AJ71</f>
        <v>0</v>
      </c>
      <c r="CY71" s="2">
        <f>(ROUND((((S71+ROUND((ROUND((((EU71*1.1))*AV71*1),2)*BS71),2))*AT71)/100),2)+ROUND(((ROUND((ROUND(((AE71-((EU71*1.1)))*AV71*1),2)*BS71),2)*AT71)/100),2))</f>
        <v>109.48</v>
      </c>
      <c r="CZ71" s="2">
        <f>(ROUND((((S71+ROUND((ROUND((((EU71*1.1))*AV71*1),2)*BS71),2))*AU71)/100),2)+ROUND(((ROUND((ROUND(((AE71-((EU71*1.1)))*AV71*1),2)*BS71),2)*AU71)/100),2))</f>
        <v>57.56</v>
      </c>
      <c r="DA71" s="2"/>
      <c r="DB71" s="2">
        <v>5</v>
      </c>
      <c r="DC71" s="2" t="s">
        <v>3</v>
      </c>
      <c r="DD71" s="2" t="s">
        <v>23</v>
      </c>
      <c r="DE71" s="2" t="s">
        <v>24</v>
      </c>
      <c r="DF71" s="2" t="s">
        <v>24</v>
      </c>
      <c r="DG71" s="2" t="s">
        <v>24</v>
      </c>
      <c r="DH71" s="2" t="s">
        <v>3</v>
      </c>
      <c r="DI71" s="2" t="s">
        <v>24</v>
      </c>
      <c r="DJ71" s="2" t="s">
        <v>24</v>
      </c>
      <c r="DK71" s="2" t="s">
        <v>3</v>
      </c>
      <c r="DL71" s="2" t="s">
        <v>3</v>
      </c>
      <c r="DM71" s="2" t="s">
        <v>3</v>
      </c>
      <c r="DN71" s="2">
        <v>0</v>
      </c>
      <c r="DO71" s="2">
        <v>0</v>
      </c>
      <c r="DP71" s="2">
        <v>1</v>
      </c>
      <c r="DQ71" s="2">
        <v>1</v>
      </c>
      <c r="DR71" s="2"/>
      <c r="DS71" s="2"/>
      <c r="DT71" s="2"/>
      <c r="DU71" s="2">
        <v>1003</v>
      </c>
      <c r="DV71" s="2" t="s">
        <v>104</v>
      </c>
      <c r="DW71" s="2" t="s">
        <v>104</v>
      </c>
      <c r="DX71" s="2">
        <v>100</v>
      </c>
      <c r="DY71" s="2"/>
      <c r="DZ71" s="2" t="s">
        <v>3</v>
      </c>
      <c r="EA71" s="2" t="s">
        <v>3</v>
      </c>
      <c r="EB71" s="2" t="s">
        <v>3</v>
      </c>
      <c r="EC71" s="2" t="s">
        <v>3</v>
      </c>
      <c r="ED71" s="2"/>
      <c r="EE71" s="2">
        <v>60088531</v>
      </c>
      <c r="EF71" s="2">
        <v>40</v>
      </c>
      <c r="EG71" s="2" t="s">
        <v>25</v>
      </c>
      <c r="EH71" s="2">
        <v>0</v>
      </c>
      <c r="EI71" s="2" t="s">
        <v>3</v>
      </c>
      <c r="EJ71" s="2">
        <v>2</v>
      </c>
      <c r="EK71" s="2">
        <v>67</v>
      </c>
      <c r="EL71" s="2" t="s">
        <v>106</v>
      </c>
      <c r="EM71" s="2" t="s">
        <v>107</v>
      </c>
      <c r="EN71" s="2"/>
      <c r="EO71" s="2" t="s">
        <v>28</v>
      </c>
      <c r="EP71" s="2"/>
      <c r="EQ71" s="2">
        <v>0</v>
      </c>
      <c r="ER71" s="2">
        <v>560.86</v>
      </c>
      <c r="ES71" s="2">
        <v>343.03</v>
      </c>
      <c r="ET71" s="2">
        <v>32.74</v>
      </c>
      <c r="EU71" s="2">
        <v>5.46</v>
      </c>
      <c r="EV71" s="2">
        <v>185.09</v>
      </c>
      <c r="EW71" s="2">
        <v>14.37</v>
      </c>
      <c r="EX71" s="2">
        <v>0</v>
      </c>
      <c r="EY71" s="2">
        <v>0</v>
      </c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>
        <v>0</v>
      </c>
      <c r="FR71" s="2">
        <v>0</v>
      </c>
      <c r="FS71" s="2">
        <v>0</v>
      </c>
      <c r="FT71" s="2"/>
      <c r="FU71" s="2"/>
      <c r="FV71" s="2"/>
      <c r="FW71" s="2"/>
      <c r="FX71" s="2">
        <v>97</v>
      </c>
      <c r="FY71" s="2">
        <v>51</v>
      </c>
      <c r="FZ71" s="2"/>
      <c r="GA71" s="2" t="s">
        <v>3</v>
      </c>
      <c r="GB71" s="2"/>
      <c r="GC71" s="2"/>
      <c r="GD71" s="2">
        <v>1</v>
      </c>
      <c r="GE71" s="2"/>
      <c r="GF71" s="2">
        <v>1777434348</v>
      </c>
      <c r="GG71" s="2">
        <v>2</v>
      </c>
      <c r="GH71" s="2">
        <v>1</v>
      </c>
      <c r="GI71" s="2">
        <v>2</v>
      </c>
      <c r="GJ71" s="2">
        <v>0</v>
      </c>
      <c r="GK71" s="2">
        <v>0</v>
      </c>
      <c r="GL71" s="2">
        <f t="shared" ref="GL71:GL82" si="71">ROUND(IF(AND(BH71=3,BI71=3,FS71&lt;&gt;0),P71,0),2)</f>
        <v>0</v>
      </c>
      <c r="GM71" s="2">
        <f t="shared" ref="GM71:GM82" si="72">ROUND(O71+X71+Y71,2)+GX71</f>
        <v>459.34</v>
      </c>
      <c r="GN71" s="2">
        <f t="shared" ref="GN71:GN82" si="73">IF(OR(BI71=0,BI71=1),GM71-GX71,0)</f>
        <v>0</v>
      </c>
      <c r="GO71" s="2">
        <f t="shared" ref="GO71:GO82" si="74">IF(BI71=2,GM71-GX71,0)</f>
        <v>459.34</v>
      </c>
      <c r="GP71" s="2">
        <f t="shared" ref="GP71:GP82" si="75">IF(BI71=4,GM71-GX71,0)</f>
        <v>0</v>
      </c>
      <c r="GQ71" s="2"/>
      <c r="GR71" s="2">
        <v>0</v>
      </c>
      <c r="GS71" s="2">
        <v>3</v>
      </c>
      <c r="GT71" s="2">
        <v>0</v>
      </c>
      <c r="GU71" s="2" t="s">
        <v>3</v>
      </c>
      <c r="GV71" s="2">
        <f t="shared" ref="GV71:GV82" si="76">ROUND((GT71),6)</f>
        <v>0</v>
      </c>
      <c r="GW71" s="2">
        <v>1</v>
      </c>
      <c r="GX71" s="2">
        <f t="shared" ref="GX71:GX82" si="77">ROUND(HC71*I71,2)</f>
        <v>0</v>
      </c>
      <c r="GY71" s="2"/>
      <c r="GZ71" s="2"/>
      <c r="HA71" s="2">
        <v>0</v>
      </c>
      <c r="HB71" s="2">
        <v>0</v>
      </c>
      <c r="HC71" s="2">
        <f t="shared" ref="HC71:HC82" si="78">GV71*GW71</f>
        <v>0</v>
      </c>
      <c r="HD71" s="2"/>
      <c r="HE71" s="2" t="s">
        <v>3</v>
      </c>
      <c r="HF71" s="2" t="s">
        <v>3</v>
      </c>
      <c r="HG71" s="2"/>
      <c r="HH71" s="2"/>
      <c r="HI71" s="2"/>
      <c r="HJ71" s="2"/>
      <c r="HK71" s="2"/>
      <c r="HL71" s="2"/>
      <c r="HM71" s="2" t="s">
        <v>3</v>
      </c>
      <c r="HN71" s="2" t="s">
        <v>3</v>
      </c>
      <c r="HO71" s="2" t="s">
        <v>3</v>
      </c>
      <c r="HP71" s="2" t="s">
        <v>3</v>
      </c>
      <c r="HQ71" s="2" t="s">
        <v>3</v>
      </c>
      <c r="HR71" s="2"/>
      <c r="HS71" s="2">
        <v>0</v>
      </c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/>
      <c r="IQ71" s="2"/>
      <c r="IR71" s="2"/>
      <c r="IS71" s="2"/>
      <c r="IT71" s="2"/>
      <c r="IU71" s="2"/>
    </row>
    <row r="72" spans="1:255" x14ac:dyDescent="0.2">
      <c r="A72">
        <v>17</v>
      </c>
      <c r="B72">
        <v>1</v>
      </c>
      <c r="C72">
        <f>ROW(SmtRes!A10)</f>
        <v>10</v>
      </c>
      <c r="D72">
        <f>ROW(EtalonRes!A12)</f>
        <v>12</v>
      </c>
      <c r="E72" t="s">
        <v>101</v>
      </c>
      <c r="F72" t="s">
        <v>102</v>
      </c>
      <c r="G72" t="s">
        <v>103</v>
      </c>
      <c r="H72" t="s">
        <v>104</v>
      </c>
      <c r="I72">
        <f>ROUND(50/100,9)</f>
        <v>0.5</v>
      </c>
      <c r="J72">
        <v>0</v>
      </c>
      <c r="K72">
        <f>ROUND(50/100,9)</f>
        <v>0.5</v>
      </c>
      <c r="O72">
        <f t="shared" si="54"/>
        <v>7887.79</v>
      </c>
      <c r="P72">
        <f t="shared" si="55"/>
        <v>1696.33</v>
      </c>
      <c r="Q72">
        <f>(ROUND((ROUND((((ET72*1.1))*AV72*I72),2)*BB72),2)+ROUND((ROUND(((AE72-((EU72*1.1)))*AV72*I72),2)*BS72),2))</f>
        <v>330.63</v>
      </c>
      <c r="R72">
        <f>(ROUND((ROUND((((EU72*1.1))*AV72*I72),2)*BS72),2)+ROUND((ROUND(((AE72-((EU72*1.1)))*AV72*I72),2)*BS72),2))</f>
        <v>172.67</v>
      </c>
      <c r="S72">
        <f t="shared" si="56"/>
        <v>5860.83</v>
      </c>
      <c r="T72">
        <f t="shared" si="57"/>
        <v>0</v>
      </c>
      <c r="U72">
        <f t="shared" si="58"/>
        <v>8.2749644999999994</v>
      </c>
      <c r="V72">
        <f t="shared" si="59"/>
        <v>0</v>
      </c>
      <c r="W72">
        <f t="shared" si="60"/>
        <v>0</v>
      </c>
      <c r="X72">
        <f>(ROUND((((S72+ROUND((ROUND((((EU72*1.1))*AV72*I72),2)*BS72),2))*AT72)/100),2)+ROUND(((ROUND((ROUND(((AE72-((EU72*1.1)))*AV72*I72),2)*BS72),2)*AT72)/100),2))</f>
        <v>5852.5</v>
      </c>
      <c r="Y72">
        <f>(ROUND((((S72+ROUND((ROUND((((EU72*1.1))*AV72*I72),2)*BS72),2))*AU72)/100),2)+ROUND(((ROUND((ROUND(((AE72-((EU72*1.1)))*AV72*I72),2)*BS72),2)*AU72)/100),2))</f>
        <v>3077.09</v>
      </c>
      <c r="AA72">
        <v>60257733</v>
      </c>
      <c r="AB72">
        <f t="shared" si="61"/>
        <v>582.64300000000003</v>
      </c>
      <c r="AC72">
        <f>ROUND(((ES72*1)),6)</f>
        <v>343.03</v>
      </c>
      <c r="AD72">
        <f>ROUND(((((ET72*1.1))-((EU72*1.1)))+AE72),6)</f>
        <v>36.014000000000003</v>
      </c>
      <c r="AE72">
        <f>ROUND(((EU72*1.1)),6)</f>
        <v>6.0060000000000002</v>
      </c>
      <c r="AF72">
        <f>ROUND(((EV72*1.1)),6)</f>
        <v>203.59899999999999</v>
      </c>
      <c r="AG72">
        <f t="shared" si="62"/>
        <v>0</v>
      </c>
      <c r="AH72">
        <f>((EW72*1.1))</f>
        <v>15.807</v>
      </c>
      <c r="AI72">
        <f>((EX72*1.1))</f>
        <v>0</v>
      </c>
      <c r="AJ72">
        <f t="shared" si="63"/>
        <v>0</v>
      </c>
      <c r="AK72">
        <v>560.86</v>
      </c>
      <c r="AL72">
        <v>343.03</v>
      </c>
      <c r="AM72">
        <v>32.74</v>
      </c>
      <c r="AN72">
        <v>5.46</v>
      </c>
      <c r="AO72">
        <v>185.09</v>
      </c>
      <c r="AP72">
        <v>0</v>
      </c>
      <c r="AQ72">
        <v>14.37</v>
      </c>
      <c r="AR72">
        <v>0</v>
      </c>
      <c r="AS72">
        <v>0</v>
      </c>
      <c r="AT72">
        <v>97</v>
      </c>
      <c r="AU72">
        <v>51</v>
      </c>
      <c r="AV72">
        <v>1.0469999999999999</v>
      </c>
      <c r="AW72">
        <v>1</v>
      </c>
      <c r="AZ72">
        <v>1</v>
      </c>
      <c r="BA72">
        <v>54.99</v>
      </c>
      <c r="BB72">
        <v>17.54</v>
      </c>
      <c r="BC72">
        <v>9.89</v>
      </c>
      <c r="BD72" t="s">
        <v>3</v>
      </c>
      <c r="BE72" t="s">
        <v>3</v>
      </c>
      <c r="BF72" t="s">
        <v>3</v>
      </c>
      <c r="BG72" t="s">
        <v>3</v>
      </c>
      <c r="BH72">
        <v>0</v>
      </c>
      <c r="BI72">
        <v>2</v>
      </c>
      <c r="BJ72" t="s">
        <v>105</v>
      </c>
      <c r="BM72">
        <v>67</v>
      </c>
      <c r="BN72">
        <v>58973116</v>
      </c>
      <c r="BO72" t="s">
        <v>102</v>
      </c>
      <c r="BP72">
        <v>1</v>
      </c>
      <c r="BQ72">
        <v>40</v>
      </c>
      <c r="BR72">
        <v>0</v>
      </c>
      <c r="BS72">
        <v>54.99</v>
      </c>
      <c r="BT72">
        <v>1</v>
      </c>
      <c r="BU72">
        <v>1</v>
      </c>
      <c r="BV72">
        <v>1</v>
      </c>
      <c r="BW72">
        <v>1</v>
      </c>
      <c r="BX72">
        <v>1</v>
      </c>
      <c r="BY72" t="s">
        <v>3</v>
      </c>
      <c r="BZ72">
        <v>97</v>
      </c>
      <c r="CA72">
        <v>51</v>
      </c>
      <c r="CB72" t="s">
        <v>3</v>
      </c>
      <c r="CE72">
        <v>1566</v>
      </c>
      <c r="CF72">
        <v>0</v>
      </c>
      <c r="CG72">
        <v>0</v>
      </c>
      <c r="CM72">
        <v>0</v>
      </c>
      <c r="CN72" t="s">
        <v>201</v>
      </c>
      <c r="CO72">
        <v>0</v>
      </c>
      <c r="CP72">
        <f t="shared" si="64"/>
        <v>7887.79</v>
      </c>
      <c r="CQ72">
        <f t="shared" si="65"/>
        <v>3392.57</v>
      </c>
      <c r="CR72">
        <f>(ROUND((ROUND((((ET72*1.1))*AV72*1),2)*BB72),2)+ROUND((ROUND(((AE72-((EU72*1.1)))*AV72*1),2)*BS72),2))</f>
        <v>661.43</v>
      </c>
      <c r="CS72">
        <f>(ROUND((ROUND((((EU72*1.1))*AV72*1),2)*BS72),2)+ROUND((ROUND(((AE72-((EU72*1.1)))*AV72*1),2)*BS72),2))</f>
        <v>345.89</v>
      </c>
      <c r="CT72">
        <f t="shared" si="66"/>
        <v>11722.22</v>
      </c>
      <c r="CU72">
        <f t="shared" si="67"/>
        <v>0</v>
      </c>
      <c r="CV72">
        <f t="shared" si="68"/>
        <v>16.549928999999999</v>
      </c>
      <c r="CW72">
        <f t="shared" si="69"/>
        <v>0</v>
      </c>
      <c r="CX72">
        <f t="shared" si="70"/>
        <v>0</v>
      </c>
      <c r="CY72">
        <f>(ROUND((((S72+ROUND((ROUND((((EU72*1.1))*AV72*1),2)*BS72),2))*AT72)/100),2)+ROUND(((ROUND((ROUND(((AE72-((EU72*1.1)))*AV72*1),2)*BS72),2)*AT72)/100),2))</f>
        <v>6020.52</v>
      </c>
      <c r="CZ72">
        <f>(ROUND((((S72+ROUND((ROUND((((EU72*1.1))*AV72*1),2)*BS72),2))*AU72)/100),2)+ROUND(((ROUND((ROUND(((AE72-((EU72*1.1)))*AV72*1),2)*BS72),2)*AU72)/100),2))</f>
        <v>3165.43</v>
      </c>
      <c r="DB72">
        <v>6</v>
      </c>
      <c r="DC72" t="s">
        <v>3</v>
      </c>
      <c r="DD72" t="s">
        <v>23</v>
      </c>
      <c r="DE72" t="s">
        <v>24</v>
      </c>
      <c r="DF72" t="s">
        <v>24</v>
      </c>
      <c r="DG72" t="s">
        <v>24</v>
      </c>
      <c r="DH72" t="s">
        <v>3</v>
      </c>
      <c r="DI72" t="s">
        <v>24</v>
      </c>
      <c r="DJ72" t="s">
        <v>24</v>
      </c>
      <c r="DK72" t="s">
        <v>3</v>
      </c>
      <c r="DL72" t="s">
        <v>3</v>
      </c>
      <c r="DM72" t="s">
        <v>3</v>
      </c>
      <c r="DN72">
        <v>0</v>
      </c>
      <c r="DO72">
        <v>0</v>
      </c>
      <c r="DP72">
        <v>1</v>
      </c>
      <c r="DQ72">
        <v>1</v>
      </c>
      <c r="DU72">
        <v>1003</v>
      </c>
      <c r="DV72" t="s">
        <v>104</v>
      </c>
      <c r="DW72" t="s">
        <v>104</v>
      </c>
      <c r="DX72">
        <v>100</v>
      </c>
      <c r="DZ72" t="s">
        <v>3</v>
      </c>
      <c r="EA72" t="s">
        <v>3</v>
      </c>
      <c r="EB72" t="s">
        <v>3</v>
      </c>
      <c r="EC72" t="s">
        <v>3</v>
      </c>
      <c r="EE72">
        <v>60088531</v>
      </c>
      <c r="EF72">
        <v>40</v>
      </c>
      <c r="EG72" t="s">
        <v>25</v>
      </c>
      <c r="EH72">
        <v>0</v>
      </c>
      <c r="EI72" t="s">
        <v>3</v>
      </c>
      <c r="EJ72">
        <v>2</v>
      </c>
      <c r="EK72">
        <v>67</v>
      </c>
      <c r="EL72" t="s">
        <v>106</v>
      </c>
      <c r="EM72" t="s">
        <v>107</v>
      </c>
      <c r="EO72" t="s">
        <v>28</v>
      </c>
      <c r="EQ72">
        <v>0</v>
      </c>
      <c r="ER72">
        <v>560.86</v>
      </c>
      <c r="ES72">
        <v>343.03</v>
      </c>
      <c r="ET72">
        <v>32.74</v>
      </c>
      <c r="EU72">
        <v>5.46</v>
      </c>
      <c r="EV72">
        <v>185.09</v>
      </c>
      <c r="EW72">
        <v>14.37</v>
      </c>
      <c r="EX72">
        <v>0</v>
      </c>
      <c r="EY72">
        <v>0</v>
      </c>
      <c r="FQ72">
        <v>0</v>
      </c>
      <c r="FR72">
        <v>0</v>
      </c>
      <c r="FS72">
        <v>0</v>
      </c>
      <c r="FX72">
        <v>97</v>
      </c>
      <c r="FY72">
        <v>51</v>
      </c>
      <c r="GA72" t="s">
        <v>3</v>
      </c>
      <c r="GD72">
        <v>1</v>
      </c>
      <c r="GF72">
        <v>1777434348</v>
      </c>
      <c r="GG72">
        <v>2</v>
      </c>
      <c r="GH72">
        <v>1</v>
      </c>
      <c r="GI72">
        <v>2</v>
      </c>
      <c r="GJ72">
        <v>0</v>
      </c>
      <c r="GK72">
        <v>0</v>
      </c>
      <c r="GL72">
        <f t="shared" si="71"/>
        <v>0</v>
      </c>
      <c r="GM72">
        <f t="shared" si="72"/>
        <v>16817.38</v>
      </c>
      <c r="GN72">
        <f t="shared" si="73"/>
        <v>0</v>
      </c>
      <c r="GO72">
        <f t="shared" si="74"/>
        <v>16817.38</v>
      </c>
      <c r="GP72">
        <f t="shared" si="75"/>
        <v>0</v>
      </c>
      <c r="GR72">
        <v>0</v>
      </c>
      <c r="GS72">
        <v>3</v>
      </c>
      <c r="GT72">
        <v>0</v>
      </c>
      <c r="GU72" t="s">
        <v>3</v>
      </c>
      <c r="GV72">
        <f t="shared" si="76"/>
        <v>0</v>
      </c>
      <c r="GW72">
        <v>1</v>
      </c>
      <c r="GX72">
        <f t="shared" si="77"/>
        <v>0</v>
      </c>
      <c r="HA72">
        <v>0</v>
      </c>
      <c r="HB72">
        <v>0</v>
      </c>
      <c r="HC72">
        <f t="shared" si="78"/>
        <v>0</v>
      </c>
      <c r="HE72" t="s">
        <v>3</v>
      </c>
      <c r="HF72" t="s">
        <v>3</v>
      </c>
      <c r="HM72" t="s">
        <v>3</v>
      </c>
      <c r="HN72" t="s">
        <v>3</v>
      </c>
      <c r="HO72" t="s">
        <v>3</v>
      </c>
      <c r="HP72" t="s">
        <v>3</v>
      </c>
      <c r="HQ72" t="s">
        <v>3</v>
      </c>
      <c r="HS72">
        <v>0</v>
      </c>
      <c r="IK72">
        <v>0</v>
      </c>
    </row>
    <row r="73" spans="1:255" x14ac:dyDescent="0.2">
      <c r="A73" s="2">
        <v>18</v>
      </c>
      <c r="B73" s="2">
        <v>1</v>
      </c>
      <c r="C73" s="2">
        <v>7</v>
      </c>
      <c r="D73" s="2"/>
      <c r="E73" s="2" t="s">
        <v>108</v>
      </c>
      <c r="F73" s="2" t="s">
        <v>109</v>
      </c>
      <c r="G73" s="2" t="s">
        <v>110</v>
      </c>
      <c r="H73" s="2" t="s">
        <v>111</v>
      </c>
      <c r="I73" s="2">
        <f>I71*J73</f>
        <v>51</v>
      </c>
      <c r="J73" s="2">
        <v>102</v>
      </c>
      <c r="K73" s="2">
        <v>102</v>
      </c>
      <c r="L73" s="2"/>
      <c r="M73" s="2"/>
      <c r="N73" s="2"/>
      <c r="O73" s="2">
        <f t="shared" si="54"/>
        <v>136.16999999999999</v>
      </c>
      <c r="P73" s="2">
        <f t="shared" si="55"/>
        <v>136.16999999999999</v>
      </c>
      <c r="Q73" s="2">
        <f>(ROUND((ROUND(((ET73)*AV73*I73),2)*BB73),2)+ROUND((ROUND(((AE73-(EU73))*AV73*I73),2)*BS73),2))</f>
        <v>0</v>
      </c>
      <c r="R73" s="2">
        <f>(ROUND((ROUND(((EU73)*AV73*I73),2)*BS73),2)+ROUND((ROUND(((AE73-(EU73))*AV73*I73),2)*BS73),2))</f>
        <v>0</v>
      </c>
      <c r="S73" s="2">
        <f t="shared" si="56"/>
        <v>0</v>
      </c>
      <c r="T73" s="2">
        <f t="shared" si="57"/>
        <v>0</v>
      </c>
      <c r="U73" s="2">
        <f t="shared" si="58"/>
        <v>0</v>
      </c>
      <c r="V73" s="2">
        <f t="shared" si="59"/>
        <v>0</v>
      </c>
      <c r="W73" s="2">
        <f t="shared" si="60"/>
        <v>0</v>
      </c>
      <c r="X73" s="2">
        <f>(ROUND((((S73+ROUND((ROUND(((EU73)*AV73*I73),2)*BS73),2))*AT73)/100),2)+ROUND(((ROUND((ROUND(((AE73-(EU73))*AV73*I73),2)*BS73),2)*AT73)/100),2))</f>
        <v>0</v>
      </c>
      <c r="Y73" s="2">
        <f>(ROUND((((S73+ROUND((ROUND(((EU73)*AV73*I73),2)*BS73),2))*AU73)/100),2)+ROUND(((ROUND((ROUND(((AE73-(EU73))*AV73*I73),2)*BS73),2)*AU73)/100),2))</f>
        <v>0</v>
      </c>
      <c r="Z73" s="2"/>
      <c r="AA73" s="2">
        <v>60257736</v>
      </c>
      <c r="AB73" s="2">
        <f t="shared" si="61"/>
        <v>2.67</v>
      </c>
      <c r="AC73" s="2">
        <f>ROUND((ES73),6)</f>
        <v>2.67</v>
      </c>
      <c r="AD73" s="2">
        <f>ROUND((((ET73)-(EU73))+AE73),6)</f>
        <v>0</v>
      </c>
      <c r="AE73" s="2">
        <f t="shared" ref="AE73:AF76" si="79">ROUND((EU73),6)</f>
        <v>0</v>
      </c>
      <c r="AF73" s="2">
        <f t="shared" si="79"/>
        <v>0</v>
      </c>
      <c r="AG73" s="2">
        <f t="shared" si="62"/>
        <v>0</v>
      </c>
      <c r="AH73" s="2">
        <f t="shared" ref="AH73:AI76" si="80">(EW73)</f>
        <v>0</v>
      </c>
      <c r="AI73" s="2">
        <f t="shared" si="80"/>
        <v>0</v>
      </c>
      <c r="AJ73" s="2">
        <f t="shared" si="63"/>
        <v>0</v>
      </c>
      <c r="AK73" s="2">
        <v>2.67</v>
      </c>
      <c r="AL73" s="2">
        <v>2.67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97</v>
      </c>
      <c r="AU73" s="2">
        <v>51</v>
      </c>
      <c r="AV73" s="2">
        <v>1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3</v>
      </c>
      <c r="BI73" s="2">
        <v>2</v>
      </c>
      <c r="BJ73" s="2" t="s">
        <v>112</v>
      </c>
      <c r="BK73" s="2"/>
      <c r="BL73" s="2"/>
      <c r="BM73" s="2">
        <v>67</v>
      </c>
      <c r="BN73" s="2">
        <v>58973116</v>
      </c>
      <c r="BO73" s="2" t="s">
        <v>3</v>
      </c>
      <c r="BP73" s="2">
        <v>0</v>
      </c>
      <c r="BQ73" s="2">
        <v>40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97</v>
      </c>
      <c r="CA73" s="2">
        <v>51</v>
      </c>
      <c r="CB73" s="2" t="s">
        <v>3</v>
      </c>
      <c r="CC73" s="2"/>
      <c r="CD73" s="2"/>
      <c r="CE73" s="2">
        <v>1566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201</v>
      </c>
      <c r="CO73" s="2">
        <v>0</v>
      </c>
      <c r="CP73" s="2">
        <f t="shared" si="64"/>
        <v>136.16999999999999</v>
      </c>
      <c r="CQ73" s="2">
        <f t="shared" si="65"/>
        <v>2.67</v>
      </c>
      <c r="CR73" s="2">
        <f>(ROUND((ROUND(((ET73)*AV73*1),2)*BB73),2)+ROUND((ROUND(((AE73-(EU73))*AV73*1),2)*BS73),2))</f>
        <v>0</v>
      </c>
      <c r="CS73" s="2">
        <f>(ROUND((ROUND(((EU73)*AV73*1),2)*BS73),2)+ROUND((ROUND(((AE73-(EU73))*AV73*1),2)*BS73),2))</f>
        <v>0</v>
      </c>
      <c r="CT73" s="2">
        <f t="shared" si="66"/>
        <v>0</v>
      </c>
      <c r="CU73" s="2">
        <f t="shared" si="67"/>
        <v>0</v>
      </c>
      <c r="CV73" s="2">
        <f t="shared" si="68"/>
        <v>0</v>
      </c>
      <c r="CW73" s="2">
        <f t="shared" si="69"/>
        <v>0</v>
      </c>
      <c r="CX73" s="2">
        <f t="shared" si="70"/>
        <v>0</v>
      </c>
      <c r="CY73" s="2">
        <f>(ROUND((((S73+ROUND((ROUND(((EU73)*AV73*1),2)*BS73),2))*AT73)/100),2)+ROUND(((ROUND((ROUND(((AE73-(EU73))*AV73*1),2)*BS73),2)*AT73)/100),2))</f>
        <v>0</v>
      </c>
      <c r="CZ73" s="2">
        <f>(ROUND((((S73+ROUND((ROUND(((EU73)*AV73*1),2)*BS73),2))*AU73)/100),2)+ROUND(((ROUND((ROUND(((AE73-(EU73))*AV73*1),2)*BS73),2)*AU73)/100),2))</f>
        <v>0</v>
      </c>
      <c r="DA73" s="2"/>
      <c r="DB73" s="2"/>
      <c r="DC73" s="2" t="s">
        <v>3</v>
      </c>
      <c r="DD73" s="2" t="s">
        <v>3</v>
      </c>
      <c r="DE73" s="2" t="s">
        <v>3</v>
      </c>
      <c r="DF73" s="2" t="s">
        <v>3</v>
      </c>
      <c r="DG73" s="2" t="s">
        <v>3</v>
      </c>
      <c r="DH73" s="2" t="s">
        <v>3</v>
      </c>
      <c r="DI73" s="2" t="s">
        <v>3</v>
      </c>
      <c r="DJ73" s="2" t="s">
        <v>3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1003</v>
      </c>
      <c r="DV73" s="2" t="s">
        <v>111</v>
      </c>
      <c r="DW73" s="2" t="s">
        <v>111</v>
      </c>
      <c r="DX73" s="2">
        <v>1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60088531</v>
      </c>
      <c r="EF73" s="2">
        <v>40</v>
      </c>
      <c r="EG73" s="2" t="s">
        <v>25</v>
      </c>
      <c r="EH73" s="2">
        <v>0</v>
      </c>
      <c r="EI73" s="2" t="s">
        <v>3</v>
      </c>
      <c r="EJ73" s="2">
        <v>2</v>
      </c>
      <c r="EK73" s="2">
        <v>67</v>
      </c>
      <c r="EL73" s="2" t="s">
        <v>106</v>
      </c>
      <c r="EM73" s="2" t="s">
        <v>107</v>
      </c>
      <c r="EN73" s="2"/>
      <c r="EO73" s="2" t="s">
        <v>28</v>
      </c>
      <c r="EP73" s="2"/>
      <c r="EQ73" s="2">
        <v>0</v>
      </c>
      <c r="ER73" s="2">
        <v>2.67</v>
      </c>
      <c r="ES73" s="2">
        <v>2.67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v>0</v>
      </c>
      <c r="FS73" s="2">
        <v>0</v>
      </c>
      <c r="FT73" s="2"/>
      <c r="FU73" s="2"/>
      <c r="FV73" s="2"/>
      <c r="FW73" s="2"/>
      <c r="FX73" s="2">
        <v>97</v>
      </c>
      <c r="FY73" s="2">
        <v>51</v>
      </c>
      <c r="FZ73" s="2"/>
      <c r="GA73" s="2" t="s">
        <v>3</v>
      </c>
      <c r="GB73" s="2"/>
      <c r="GC73" s="2"/>
      <c r="GD73" s="2">
        <v>1</v>
      </c>
      <c r="GE73" s="2"/>
      <c r="GF73" s="2">
        <v>1184991115</v>
      </c>
      <c r="GG73" s="2">
        <v>2</v>
      </c>
      <c r="GH73" s="2">
        <v>1</v>
      </c>
      <c r="GI73" s="2">
        <v>-2</v>
      </c>
      <c r="GJ73" s="2">
        <v>0</v>
      </c>
      <c r="GK73" s="2">
        <v>0</v>
      </c>
      <c r="GL73" s="2">
        <f t="shared" si="71"/>
        <v>0</v>
      </c>
      <c r="GM73" s="2">
        <f t="shared" si="72"/>
        <v>136.16999999999999</v>
      </c>
      <c r="GN73" s="2">
        <f t="shared" si="73"/>
        <v>0</v>
      </c>
      <c r="GO73" s="2">
        <f t="shared" si="74"/>
        <v>136.16999999999999</v>
      </c>
      <c r="GP73" s="2">
        <f t="shared" si="75"/>
        <v>0</v>
      </c>
      <c r="GQ73" s="2"/>
      <c r="GR73" s="2">
        <v>0</v>
      </c>
      <c r="GS73" s="2">
        <v>3</v>
      </c>
      <c r="GT73" s="2">
        <v>0</v>
      </c>
      <c r="GU73" s="2" t="s">
        <v>3</v>
      </c>
      <c r="GV73" s="2">
        <f t="shared" si="76"/>
        <v>0</v>
      </c>
      <c r="GW73" s="2">
        <v>1</v>
      </c>
      <c r="GX73" s="2">
        <f t="shared" si="77"/>
        <v>0</v>
      </c>
      <c r="GY73" s="2"/>
      <c r="GZ73" s="2"/>
      <c r="HA73" s="2">
        <v>0</v>
      </c>
      <c r="HB73" s="2">
        <v>0</v>
      </c>
      <c r="HC73" s="2">
        <f t="shared" si="78"/>
        <v>0</v>
      </c>
      <c r="HD73" s="2"/>
      <c r="HE73" s="2" t="s">
        <v>3</v>
      </c>
      <c r="HF73" s="2" t="s">
        <v>3</v>
      </c>
      <c r="HG73" s="2"/>
      <c r="HH73" s="2"/>
      <c r="HI73" s="2"/>
      <c r="HJ73" s="2"/>
      <c r="HK73" s="2"/>
      <c r="HL73" s="2"/>
      <c r="HM73" s="2" t="s">
        <v>23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">
      <c r="A74">
        <v>18</v>
      </c>
      <c r="B74">
        <v>1</v>
      </c>
      <c r="C74">
        <v>10</v>
      </c>
      <c r="E74" t="s">
        <v>108</v>
      </c>
      <c r="F74" t="s">
        <v>109</v>
      </c>
      <c r="G74" t="s">
        <v>110</v>
      </c>
      <c r="H74" t="s">
        <v>111</v>
      </c>
      <c r="I74">
        <f>I72*J74</f>
        <v>51</v>
      </c>
      <c r="J74">
        <v>102</v>
      </c>
      <c r="K74">
        <v>102</v>
      </c>
      <c r="O74">
        <f t="shared" si="54"/>
        <v>521.53</v>
      </c>
      <c r="P74">
        <f t="shared" si="55"/>
        <v>521.53</v>
      </c>
      <c r="Q74">
        <f>(ROUND((ROUND(((ET74)*AV74*I74),2)*BB74),2)+ROUND((ROUND(((AE74-(EU74))*AV74*I74),2)*BS74),2))</f>
        <v>0</v>
      </c>
      <c r="R74">
        <f>(ROUND((ROUND(((EU74)*AV74*I74),2)*BS74),2)+ROUND((ROUND(((AE74-(EU74))*AV74*I74),2)*BS74),2))</f>
        <v>0</v>
      </c>
      <c r="S74">
        <f t="shared" si="56"/>
        <v>0</v>
      </c>
      <c r="T74">
        <f t="shared" si="57"/>
        <v>0</v>
      </c>
      <c r="U74">
        <f t="shared" si="58"/>
        <v>0</v>
      </c>
      <c r="V74">
        <f t="shared" si="59"/>
        <v>0</v>
      </c>
      <c r="W74">
        <f t="shared" si="60"/>
        <v>0</v>
      </c>
      <c r="X74">
        <f>(ROUND((((S74+ROUND((ROUND(((EU74)*AV74*I74),2)*BS74),2))*AT74)/100),2)+ROUND(((ROUND((ROUND(((AE74-(EU74))*AV74*I74),2)*BS74),2)*AT74)/100),2))</f>
        <v>0</v>
      </c>
      <c r="Y74">
        <f>(ROUND((((S74+ROUND((ROUND(((EU74)*AV74*I74),2)*BS74),2))*AU74)/100),2)+ROUND(((ROUND((ROUND(((AE74-(EU74))*AV74*I74),2)*BS74),2)*AU74)/100),2))</f>
        <v>0</v>
      </c>
      <c r="AA74">
        <v>60257733</v>
      </c>
      <c r="AB74">
        <f t="shared" si="61"/>
        <v>2.67</v>
      </c>
      <c r="AC74">
        <f>ROUND((ES74),6)</f>
        <v>2.67</v>
      </c>
      <c r="AD74">
        <f>ROUND((((ET74)-(EU74))+AE74),6)</f>
        <v>0</v>
      </c>
      <c r="AE74">
        <f t="shared" si="79"/>
        <v>0</v>
      </c>
      <c r="AF74">
        <f t="shared" si="79"/>
        <v>0</v>
      </c>
      <c r="AG74">
        <f t="shared" si="62"/>
        <v>0</v>
      </c>
      <c r="AH74">
        <f t="shared" si="80"/>
        <v>0</v>
      </c>
      <c r="AI74">
        <f t="shared" si="80"/>
        <v>0</v>
      </c>
      <c r="AJ74">
        <f t="shared" si="63"/>
        <v>0</v>
      </c>
      <c r="AK74">
        <v>2.67</v>
      </c>
      <c r="AL74">
        <v>2.67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97</v>
      </c>
      <c r="AU74">
        <v>51</v>
      </c>
      <c r="AV74">
        <v>1</v>
      </c>
      <c r="AW74">
        <v>1</v>
      </c>
      <c r="AZ74">
        <v>1</v>
      </c>
      <c r="BA74">
        <v>1</v>
      </c>
      <c r="BB74">
        <v>1</v>
      </c>
      <c r="BC74">
        <v>3.83</v>
      </c>
      <c r="BD74" t="s">
        <v>3</v>
      </c>
      <c r="BE74" t="s">
        <v>3</v>
      </c>
      <c r="BF74" t="s">
        <v>3</v>
      </c>
      <c r="BG74" t="s">
        <v>3</v>
      </c>
      <c r="BH74">
        <v>3</v>
      </c>
      <c r="BI74">
        <v>2</v>
      </c>
      <c r="BJ74" t="s">
        <v>112</v>
      </c>
      <c r="BM74">
        <v>67</v>
      </c>
      <c r="BN74">
        <v>58973116</v>
      </c>
      <c r="BO74" t="s">
        <v>109</v>
      </c>
      <c r="BP74">
        <v>1</v>
      </c>
      <c r="BQ74">
        <v>40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 t="s">
        <v>3</v>
      </c>
      <c r="BZ74">
        <v>97</v>
      </c>
      <c r="CA74">
        <v>51</v>
      </c>
      <c r="CB74" t="s">
        <v>3</v>
      </c>
      <c r="CE74">
        <v>1566</v>
      </c>
      <c r="CF74">
        <v>0</v>
      </c>
      <c r="CG74">
        <v>0</v>
      </c>
      <c r="CM74">
        <v>0</v>
      </c>
      <c r="CN74" t="s">
        <v>201</v>
      </c>
      <c r="CO74">
        <v>0</v>
      </c>
      <c r="CP74">
        <f t="shared" si="64"/>
        <v>521.53</v>
      </c>
      <c r="CQ74">
        <f t="shared" si="65"/>
        <v>10.23</v>
      </c>
      <c r="CR74">
        <f>(ROUND((ROUND(((ET74)*AV74*1),2)*BB74),2)+ROUND((ROUND(((AE74-(EU74))*AV74*1),2)*BS74),2))</f>
        <v>0</v>
      </c>
      <c r="CS74">
        <f>(ROUND((ROUND(((EU74)*AV74*1),2)*BS74),2)+ROUND((ROUND(((AE74-(EU74))*AV74*1),2)*BS74),2))</f>
        <v>0</v>
      </c>
      <c r="CT74">
        <f t="shared" si="66"/>
        <v>0</v>
      </c>
      <c r="CU74">
        <f t="shared" si="67"/>
        <v>0</v>
      </c>
      <c r="CV74">
        <f t="shared" si="68"/>
        <v>0</v>
      </c>
      <c r="CW74">
        <f t="shared" si="69"/>
        <v>0</v>
      </c>
      <c r="CX74">
        <f t="shared" si="70"/>
        <v>0</v>
      </c>
      <c r="CY74">
        <f>(ROUND((((S74+ROUND((ROUND(((EU74)*AV74*1),2)*BS74),2))*AT74)/100),2)+ROUND(((ROUND((ROUND(((AE74-(EU74))*AV74*1),2)*BS74),2)*AT74)/100),2))</f>
        <v>0</v>
      </c>
      <c r="CZ74">
        <f>(ROUND((((S74+ROUND((ROUND(((EU74)*AV74*1),2)*BS74),2))*AU74)/100),2)+ROUND(((ROUND((ROUND(((AE74-(EU74))*AV74*1),2)*BS74),2)*AU74)/100),2))</f>
        <v>0</v>
      </c>
      <c r="DC74" t="s">
        <v>3</v>
      </c>
      <c r="DD74" t="s">
        <v>3</v>
      </c>
      <c r="DE74" t="s">
        <v>3</v>
      </c>
      <c r="DF74" t="s">
        <v>3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  <c r="DN74">
        <v>0</v>
      </c>
      <c r="DO74">
        <v>0</v>
      </c>
      <c r="DP74">
        <v>1</v>
      </c>
      <c r="DQ74">
        <v>1</v>
      </c>
      <c r="DU74">
        <v>1003</v>
      </c>
      <c r="DV74" t="s">
        <v>111</v>
      </c>
      <c r="DW74" t="s">
        <v>111</v>
      </c>
      <c r="DX74">
        <v>1</v>
      </c>
      <c r="DZ74" t="s">
        <v>3</v>
      </c>
      <c r="EA74" t="s">
        <v>3</v>
      </c>
      <c r="EB74" t="s">
        <v>3</v>
      </c>
      <c r="EC74" t="s">
        <v>3</v>
      </c>
      <c r="EE74">
        <v>60088531</v>
      </c>
      <c r="EF74">
        <v>40</v>
      </c>
      <c r="EG74" t="s">
        <v>25</v>
      </c>
      <c r="EH74">
        <v>0</v>
      </c>
      <c r="EI74" t="s">
        <v>3</v>
      </c>
      <c r="EJ74">
        <v>2</v>
      </c>
      <c r="EK74">
        <v>67</v>
      </c>
      <c r="EL74" t="s">
        <v>106</v>
      </c>
      <c r="EM74" t="s">
        <v>107</v>
      </c>
      <c r="EO74" t="s">
        <v>28</v>
      </c>
      <c r="EQ74">
        <v>0</v>
      </c>
      <c r="ER74">
        <v>2.67</v>
      </c>
      <c r="ES74">
        <v>2.67</v>
      </c>
      <c r="ET74">
        <v>0</v>
      </c>
      <c r="EU74">
        <v>0</v>
      </c>
      <c r="EV74">
        <v>0</v>
      </c>
      <c r="EW74">
        <v>0</v>
      </c>
      <c r="EX74">
        <v>0</v>
      </c>
      <c r="FQ74">
        <v>0</v>
      </c>
      <c r="FR74">
        <v>0</v>
      </c>
      <c r="FS74">
        <v>0</v>
      </c>
      <c r="FX74">
        <v>97</v>
      </c>
      <c r="FY74">
        <v>51</v>
      </c>
      <c r="GA74" t="s">
        <v>3</v>
      </c>
      <c r="GD74">
        <v>1</v>
      </c>
      <c r="GF74">
        <v>1184991115</v>
      </c>
      <c r="GG74">
        <v>2</v>
      </c>
      <c r="GH74">
        <v>1</v>
      </c>
      <c r="GI74">
        <v>2</v>
      </c>
      <c r="GJ74">
        <v>0</v>
      </c>
      <c r="GK74">
        <v>0</v>
      </c>
      <c r="GL74">
        <f t="shared" si="71"/>
        <v>0</v>
      </c>
      <c r="GM74">
        <f t="shared" si="72"/>
        <v>521.53</v>
      </c>
      <c r="GN74">
        <f t="shared" si="73"/>
        <v>0</v>
      </c>
      <c r="GO74">
        <f t="shared" si="74"/>
        <v>521.53</v>
      </c>
      <c r="GP74">
        <f t="shared" si="75"/>
        <v>0</v>
      </c>
      <c r="GR74">
        <v>0</v>
      </c>
      <c r="GS74">
        <v>3</v>
      </c>
      <c r="GT74">
        <v>0</v>
      </c>
      <c r="GU74" t="s">
        <v>3</v>
      </c>
      <c r="GV74">
        <f t="shared" si="76"/>
        <v>0</v>
      </c>
      <c r="GW74">
        <v>1</v>
      </c>
      <c r="GX74">
        <f t="shared" si="77"/>
        <v>0</v>
      </c>
      <c r="HA74">
        <v>0</v>
      </c>
      <c r="HB74">
        <v>0</v>
      </c>
      <c r="HC74">
        <f t="shared" si="78"/>
        <v>0</v>
      </c>
      <c r="HE74" t="s">
        <v>3</v>
      </c>
      <c r="HF74" t="s">
        <v>3</v>
      </c>
      <c r="HM74" t="s">
        <v>23</v>
      </c>
      <c r="HN74" t="s">
        <v>3</v>
      </c>
      <c r="HO74" t="s">
        <v>3</v>
      </c>
      <c r="HP74" t="s">
        <v>3</v>
      </c>
      <c r="HQ74" t="s">
        <v>3</v>
      </c>
      <c r="HS74">
        <v>0</v>
      </c>
      <c r="IK74">
        <v>0</v>
      </c>
    </row>
    <row r="75" spans="1:255" x14ac:dyDescent="0.2">
      <c r="A75" s="2">
        <v>18</v>
      </c>
      <c r="B75" s="2">
        <v>1</v>
      </c>
      <c r="C75" s="2">
        <v>6</v>
      </c>
      <c r="D75" s="2"/>
      <c r="E75" s="2" t="s">
        <v>113</v>
      </c>
      <c r="F75" s="2" t="s">
        <v>114</v>
      </c>
      <c r="G75" s="2" t="s">
        <v>115</v>
      </c>
      <c r="H75" s="2" t="s">
        <v>116</v>
      </c>
      <c r="I75" s="2">
        <f>I71*J75</f>
        <v>0</v>
      </c>
      <c r="J75" s="2">
        <v>0</v>
      </c>
      <c r="K75" s="2">
        <v>0</v>
      </c>
      <c r="L75" s="2"/>
      <c r="M75" s="2"/>
      <c r="N75" s="2"/>
      <c r="O75" s="2">
        <f t="shared" si="54"/>
        <v>0</v>
      </c>
      <c r="P75" s="2">
        <f t="shared" si="55"/>
        <v>0</v>
      </c>
      <c r="Q75" s="2">
        <f>(ROUND((ROUND(((ET75)*AV75*I75),2)*BB75),2)+ROUND((ROUND(((AE75-(EU75))*AV75*I75),2)*BS75),2))</f>
        <v>0</v>
      </c>
      <c r="R75" s="2">
        <f>(ROUND((ROUND(((EU75)*AV75*I75),2)*BS75),2)+ROUND((ROUND(((AE75-(EU75))*AV75*I75),2)*BS75),2))</f>
        <v>0</v>
      </c>
      <c r="S75" s="2">
        <f t="shared" si="56"/>
        <v>0</v>
      </c>
      <c r="T75" s="2">
        <f t="shared" si="57"/>
        <v>0</v>
      </c>
      <c r="U75" s="2">
        <f t="shared" si="58"/>
        <v>0</v>
      </c>
      <c r="V75" s="2">
        <f t="shared" si="59"/>
        <v>0</v>
      </c>
      <c r="W75" s="2">
        <f t="shared" si="60"/>
        <v>0</v>
      </c>
      <c r="X75" s="2">
        <f>(ROUND((((S75+ROUND((ROUND(((EU75)*AV75*I75),2)*BS75),2))*AT75)/100),2)+ROUND(((ROUND((ROUND(((AE75-(EU75))*AV75*I75),2)*BS75),2)*AT75)/100),2))</f>
        <v>0</v>
      </c>
      <c r="Y75" s="2">
        <f>(ROUND((((S75+ROUND((ROUND(((EU75)*AV75*I75),2)*BS75),2))*AU75)/100),2)+ROUND(((ROUND((ROUND(((AE75-(EU75))*AV75*I75),2)*BS75),2)*AU75)/100),2))</f>
        <v>0</v>
      </c>
      <c r="Z75" s="2"/>
      <c r="AA75" s="2">
        <v>60257736</v>
      </c>
      <c r="AB75" s="2">
        <f t="shared" si="61"/>
        <v>10315.31</v>
      </c>
      <c r="AC75" s="2">
        <f>ROUND((ES75),6)</f>
        <v>10315.31</v>
      </c>
      <c r="AD75" s="2">
        <f>ROUND((((ET75)-(EU75))+AE75),6)</f>
        <v>0</v>
      </c>
      <c r="AE75" s="2">
        <f t="shared" si="79"/>
        <v>0</v>
      </c>
      <c r="AF75" s="2">
        <f t="shared" si="79"/>
        <v>0</v>
      </c>
      <c r="AG75" s="2">
        <f t="shared" si="62"/>
        <v>0</v>
      </c>
      <c r="AH75" s="2">
        <f t="shared" si="80"/>
        <v>0</v>
      </c>
      <c r="AI75" s="2">
        <f t="shared" si="80"/>
        <v>0</v>
      </c>
      <c r="AJ75" s="2">
        <f t="shared" si="63"/>
        <v>0</v>
      </c>
      <c r="AK75" s="2">
        <v>10315.31</v>
      </c>
      <c r="AL75" s="2">
        <v>10315.31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97</v>
      </c>
      <c r="AU75" s="2">
        <v>51</v>
      </c>
      <c r="AV75" s="2">
        <v>1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3</v>
      </c>
      <c r="BI75" s="2">
        <v>2</v>
      </c>
      <c r="BJ75" s="2" t="s">
        <v>117</v>
      </c>
      <c r="BK75" s="2"/>
      <c r="BL75" s="2"/>
      <c r="BM75" s="2">
        <v>67</v>
      </c>
      <c r="BN75" s="2">
        <v>58973116</v>
      </c>
      <c r="BO75" s="2" t="s">
        <v>3</v>
      </c>
      <c r="BP75" s="2">
        <v>0</v>
      </c>
      <c r="BQ75" s="2">
        <v>40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97</v>
      </c>
      <c r="CA75" s="2">
        <v>51</v>
      </c>
      <c r="CB75" s="2" t="s">
        <v>3</v>
      </c>
      <c r="CC75" s="2"/>
      <c r="CD75" s="2"/>
      <c r="CE75" s="2">
        <v>1566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201</v>
      </c>
      <c r="CO75" s="2">
        <v>0</v>
      </c>
      <c r="CP75" s="2">
        <f t="shared" si="64"/>
        <v>0</v>
      </c>
      <c r="CQ75" s="2">
        <f t="shared" si="65"/>
        <v>10315.31</v>
      </c>
      <c r="CR75" s="2">
        <f>(ROUND((ROUND(((ET75)*AV75*1),2)*BB75),2)+ROUND((ROUND(((AE75-(EU75))*AV75*1),2)*BS75),2))</f>
        <v>0</v>
      </c>
      <c r="CS75" s="2">
        <f>(ROUND((ROUND(((EU75)*AV75*1),2)*BS75),2)+ROUND((ROUND(((AE75-(EU75))*AV75*1),2)*BS75),2))</f>
        <v>0</v>
      </c>
      <c r="CT75" s="2">
        <f t="shared" si="66"/>
        <v>0</v>
      </c>
      <c r="CU75" s="2">
        <f t="shared" si="67"/>
        <v>0</v>
      </c>
      <c r="CV75" s="2">
        <f t="shared" si="68"/>
        <v>0</v>
      </c>
      <c r="CW75" s="2">
        <f t="shared" si="69"/>
        <v>0</v>
      </c>
      <c r="CX75" s="2">
        <f t="shared" si="70"/>
        <v>0</v>
      </c>
      <c r="CY75" s="2">
        <f>(ROUND((((S75+ROUND((ROUND(((EU75)*AV75*1),2)*BS75),2))*AT75)/100),2)+ROUND(((ROUND((ROUND(((AE75-(EU75))*AV75*1),2)*BS75),2)*AT75)/100),2))</f>
        <v>0</v>
      </c>
      <c r="CZ75" s="2">
        <f>(ROUND((((S75+ROUND((ROUND(((EU75)*AV75*1),2)*BS75),2))*AU75)/100),2)+ROUND(((ROUND((ROUND(((AE75-(EU75))*AV75*1),2)*BS75),2)*AU75)/100),2))</f>
        <v>0</v>
      </c>
      <c r="DA75" s="2"/>
      <c r="DB75" s="2"/>
      <c r="DC75" s="2" t="s">
        <v>3</v>
      </c>
      <c r="DD75" s="2" t="s">
        <v>3</v>
      </c>
      <c r="DE75" s="2" t="s">
        <v>3</v>
      </c>
      <c r="DF75" s="2" t="s">
        <v>3</v>
      </c>
      <c r="DG75" s="2" t="s">
        <v>3</v>
      </c>
      <c r="DH75" s="2" t="s">
        <v>3</v>
      </c>
      <c r="DI75" s="2" t="s">
        <v>3</v>
      </c>
      <c r="DJ75" s="2" t="s">
        <v>3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1009</v>
      </c>
      <c r="DV75" s="2" t="s">
        <v>116</v>
      </c>
      <c r="DW75" s="2" t="s">
        <v>116</v>
      </c>
      <c r="DX75" s="2">
        <v>1000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60088531</v>
      </c>
      <c r="EF75" s="2">
        <v>40</v>
      </c>
      <c r="EG75" s="2" t="s">
        <v>25</v>
      </c>
      <c r="EH75" s="2">
        <v>0</v>
      </c>
      <c r="EI75" s="2" t="s">
        <v>3</v>
      </c>
      <c r="EJ75" s="2">
        <v>2</v>
      </c>
      <c r="EK75" s="2">
        <v>67</v>
      </c>
      <c r="EL75" s="2" t="s">
        <v>106</v>
      </c>
      <c r="EM75" s="2" t="s">
        <v>107</v>
      </c>
      <c r="EN75" s="2"/>
      <c r="EO75" s="2" t="s">
        <v>28</v>
      </c>
      <c r="EP75" s="2"/>
      <c r="EQ75" s="2">
        <v>0</v>
      </c>
      <c r="ER75" s="2">
        <v>10315.31</v>
      </c>
      <c r="ES75" s="2">
        <v>10315.31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97</v>
      </c>
      <c r="FY75" s="2">
        <v>51</v>
      </c>
      <c r="FZ75" s="2"/>
      <c r="GA75" s="2" t="s">
        <v>3</v>
      </c>
      <c r="GB75" s="2"/>
      <c r="GC75" s="2"/>
      <c r="GD75" s="2">
        <v>1</v>
      </c>
      <c r="GE75" s="2"/>
      <c r="GF75" s="2">
        <v>-152177588</v>
      </c>
      <c r="GG75" s="2">
        <v>2</v>
      </c>
      <c r="GH75" s="2">
        <v>1</v>
      </c>
      <c r="GI75" s="2">
        <v>-2</v>
      </c>
      <c r="GJ75" s="2">
        <v>0</v>
      </c>
      <c r="GK75" s="2">
        <v>0</v>
      </c>
      <c r="GL75" s="2">
        <f t="shared" si="71"/>
        <v>0</v>
      </c>
      <c r="GM75" s="2">
        <f t="shared" si="72"/>
        <v>0</v>
      </c>
      <c r="GN75" s="2">
        <f t="shared" si="73"/>
        <v>0</v>
      </c>
      <c r="GO75" s="2">
        <f t="shared" si="74"/>
        <v>0</v>
      </c>
      <c r="GP75" s="2">
        <f t="shared" si="75"/>
        <v>0</v>
      </c>
      <c r="GQ75" s="2"/>
      <c r="GR75" s="2">
        <v>0</v>
      </c>
      <c r="GS75" s="2">
        <v>3</v>
      </c>
      <c r="GT75" s="2">
        <v>0</v>
      </c>
      <c r="GU75" s="2" t="s">
        <v>3</v>
      </c>
      <c r="GV75" s="2">
        <f t="shared" si="76"/>
        <v>0</v>
      </c>
      <c r="GW75" s="2">
        <v>1</v>
      </c>
      <c r="GX75" s="2">
        <f t="shared" si="77"/>
        <v>0</v>
      </c>
      <c r="GY75" s="2"/>
      <c r="GZ75" s="2"/>
      <c r="HA75" s="2">
        <v>0</v>
      </c>
      <c r="HB75" s="2">
        <v>0</v>
      </c>
      <c r="HC75" s="2">
        <f t="shared" si="78"/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23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">
      <c r="A76">
        <v>18</v>
      </c>
      <c r="B76">
        <v>1</v>
      </c>
      <c r="C76">
        <v>9</v>
      </c>
      <c r="E76" t="s">
        <v>113</v>
      </c>
      <c r="F76" t="s">
        <v>114</v>
      </c>
      <c r="G76" t="s">
        <v>115</v>
      </c>
      <c r="H76" t="s">
        <v>116</v>
      </c>
      <c r="I76">
        <f>I72*J76</f>
        <v>0</v>
      </c>
      <c r="J76">
        <v>0</v>
      </c>
      <c r="K76">
        <v>0</v>
      </c>
      <c r="O76">
        <f t="shared" si="54"/>
        <v>0</v>
      </c>
      <c r="P76">
        <f t="shared" si="55"/>
        <v>0</v>
      </c>
      <c r="Q76">
        <f>(ROUND((ROUND(((ET76)*AV76*I76),2)*BB76),2)+ROUND((ROUND(((AE76-(EU76))*AV76*I76),2)*BS76),2))</f>
        <v>0</v>
      </c>
      <c r="R76">
        <f>(ROUND((ROUND(((EU76)*AV76*I76),2)*BS76),2)+ROUND((ROUND(((AE76-(EU76))*AV76*I76),2)*BS76),2))</f>
        <v>0</v>
      </c>
      <c r="S76">
        <f t="shared" si="56"/>
        <v>0</v>
      </c>
      <c r="T76">
        <f t="shared" si="57"/>
        <v>0</v>
      </c>
      <c r="U76">
        <f t="shared" si="58"/>
        <v>0</v>
      </c>
      <c r="V76">
        <f t="shared" si="59"/>
        <v>0</v>
      </c>
      <c r="W76">
        <f t="shared" si="60"/>
        <v>0</v>
      </c>
      <c r="X76">
        <f>(ROUND((((S76+ROUND((ROUND(((EU76)*AV76*I76),2)*BS76),2))*AT76)/100),2)+ROUND(((ROUND((ROUND(((AE76-(EU76))*AV76*I76),2)*BS76),2)*AT76)/100),2))</f>
        <v>0</v>
      </c>
      <c r="Y76">
        <f>(ROUND((((S76+ROUND((ROUND(((EU76)*AV76*I76),2)*BS76),2))*AU76)/100),2)+ROUND(((ROUND((ROUND(((AE76-(EU76))*AV76*I76),2)*BS76),2)*AU76)/100),2))</f>
        <v>0</v>
      </c>
      <c r="AA76">
        <v>60257733</v>
      </c>
      <c r="AB76">
        <f t="shared" si="61"/>
        <v>10315.31</v>
      </c>
      <c r="AC76">
        <f>ROUND((ES76),6)</f>
        <v>10315.31</v>
      </c>
      <c r="AD76">
        <f>ROUND((((ET76)-(EU76))+AE76),6)</f>
        <v>0</v>
      </c>
      <c r="AE76">
        <f t="shared" si="79"/>
        <v>0</v>
      </c>
      <c r="AF76">
        <f t="shared" si="79"/>
        <v>0</v>
      </c>
      <c r="AG76">
        <f t="shared" si="62"/>
        <v>0</v>
      </c>
      <c r="AH76">
        <f t="shared" si="80"/>
        <v>0</v>
      </c>
      <c r="AI76">
        <f t="shared" si="80"/>
        <v>0</v>
      </c>
      <c r="AJ76">
        <f t="shared" si="63"/>
        <v>0</v>
      </c>
      <c r="AK76">
        <v>10315.31</v>
      </c>
      <c r="AL76">
        <v>10315.31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97</v>
      </c>
      <c r="AU76">
        <v>51</v>
      </c>
      <c r="AV76">
        <v>1</v>
      </c>
      <c r="AW76">
        <v>1</v>
      </c>
      <c r="AZ76">
        <v>1</v>
      </c>
      <c r="BA76">
        <v>1</v>
      </c>
      <c r="BB76">
        <v>1</v>
      </c>
      <c r="BC76">
        <v>4.68</v>
      </c>
      <c r="BD76" t="s">
        <v>3</v>
      </c>
      <c r="BE76" t="s">
        <v>3</v>
      </c>
      <c r="BF76" t="s">
        <v>3</v>
      </c>
      <c r="BG76" t="s">
        <v>3</v>
      </c>
      <c r="BH76">
        <v>3</v>
      </c>
      <c r="BI76">
        <v>2</v>
      </c>
      <c r="BJ76" t="s">
        <v>117</v>
      </c>
      <c r="BM76">
        <v>67</v>
      </c>
      <c r="BN76">
        <v>58973116</v>
      </c>
      <c r="BO76" t="s">
        <v>114</v>
      </c>
      <c r="BP76">
        <v>1</v>
      </c>
      <c r="BQ76">
        <v>40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 t="s">
        <v>3</v>
      </c>
      <c r="BZ76">
        <v>97</v>
      </c>
      <c r="CA76">
        <v>51</v>
      </c>
      <c r="CB76" t="s">
        <v>3</v>
      </c>
      <c r="CE76">
        <v>1566</v>
      </c>
      <c r="CF76">
        <v>0</v>
      </c>
      <c r="CG76">
        <v>0</v>
      </c>
      <c r="CM76">
        <v>0</v>
      </c>
      <c r="CN76" t="s">
        <v>201</v>
      </c>
      <c r="CO76">
        <v>0</v>
      </c>
      <c r="CP76">
        <f t="shared" si="64"/>
        <v>0</v>
      </c>
      <c r="CQ76">
        <f t="shared" si="65"/>
        <v>48275.65</v>
      </c>
      <c r="CR76">
        <f>(ROUND((ROUND(((ET76)*AV76*1),2)*BB76),2)+ROUND((ROUND(((AE76-(EU76))*AV76*1),2)*BS76),2))</f>
        <v>0</v>
      </c>
      <c r="CS76">
        <f>(ROUND((ROUND(((EU76)*AV76*1),2)*BS76),2)+ROUND((ROUND(((AE76-(EU76))*AV76*1),2)*BS76),2))</f>
        <v>0</v>
      </c>
      <c r="CT76">
        <f t="shared" si="66"/>
        <v>0</v>
      </c>
      <c r="CU76">
        <f t="shared" si="67"/>
        <v>0</v>
      </c>
      <c r="CV76">
        <f t="shared" si="68"/>
        <v>0</v>
      </c>
      <c r="CW76">
        <f t="shared" si="69"/>
        <v>0</v>
      </c>
      <c r="CX76">
        <f t="shared" si="70"/>
        <v>0</v>
      </c>
      <c r="CY76">
        <f>(ROUND((((S76+ROUND((ROUND(((EU76)*AV76*1),2)*BS76),2))*AT76)/100),2)+ROUND(((ROUND((ROUND(((AE76-(EU76))*AV76*1),2)*BS76),2)*AT76)/100),2))</f>
        <v>0</v>
      </c>
      <c r="CZ76">
        <f>(ROUND((((S76+ROUND((ROUND(((EU76)*AV76*1),2)*BS76),2))*AU76)/100),2)+ROUND(((ROUND((ROUND(((AE76-(EU76))*AV76*1),2)*BS76),2)*AU76)/100),2))</f>
        <v>0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  <c r="DN76">
        <v>0</v>
      </c>
      <c r="DO76">
        <v>0</v>
      </c>
      <c r="DP76">
        <v>1</v>
      </c>
      <c r="DQ76">
        <v>1</v>
      </c>
      <c r="DU76">
        <v>1009</v>
      </c>
      <c r="DV76" t="s">
        <v>116</v>
      </c>
      <c r="DW76" t="s">
        <v>116</v>
      </c>
      <c r="DX76">
        <v>1000</v>
      </c>
      <c r="DZ76" t="s">
        <v>3</v>
      </c>
      <c r="EA76" t="s">
        <v>3</v>
      </c>
      <c r="EB76" t="s">
        <v>3</v>
      </c>
      <c r="EC76" t="s">
        <v>3</v>
      </c>
      <c r="EE76">
        <v>60088531</v>
      </c>
      <c r="EF76">
        <v>40</v>
      </c>
      <c r="EG76" t="s">
        <v>25</v>
      </c>
      <c r="EH76">
        <v>0</v>
      </c>
      <c r="EI76" t="s">
        <v>3</v>
      </c>
      <c r="EJ76">
        <v>2</v>
      </c>
      <c r="EK76">
        <v>67</v>
      </c>
      <c r="EL76" t="s">
        <v>106</v>
      </c>
      <c r="EM76" t="s">
        <v>107</v>
      </c>
      <c r="EO76" t="s">
        <v>28</v>
      </c>
      <c r="EQ76">
        <v>0</v>
      </c>
      <c r="ER76">
        <v>10315.31</v>
      </c>
      <c r="ES76">
        <v>10315.31</v>
      </c>
      <c r="ET76">
        <v>0</v>
      </c>
      <c r="EU76">
        <v>0</v>
      </c>
      <c r="EV76">
        <v>0</v>
      </c>
      <c r="EW76">
        <v>0</v>
      </c>
      <c r="EX76">
        <v>0</v>
      </c>
      <c r="FQ76">
        <v>0</v>
      </c>
      <c r="FR76">
        <v>0</v>
      </c>
      <c r="FS76">
        <v>0</v>
      </c>
      <c r="FX76">
        <v>97</v>
      </c>
      <c r="FY76">
        <v>51</v>
      </c>
      <c r="GA76" t="s">
        <v>3</v>
      </c>
      <c r="GD76">
        <v>1</v>
      </c>
      <c r="GF76">
        <v>-152177588</v>
      </c>
      <c r="GG76">
        <v>2</v>
      </c>
      <c r="GH76">
        <v>1</v>
      </c>
      <c r="GI76">
        <v>2</v>
      </c>
      <c r="GJ76">
        <v>0</v>
      </c>
      <c r="GK76">
        <v>0</v>
      </c>
      <c r="GL76">
        <f t="shared" si="71"/>
        <v>0</v>
      </c>
      <c r="GM76">
        <f t="shared" si="72"/>
        <v>0</v>
      </c>
      <c r="GN76">
        <f t="shared" si="73"/>
        <v>0</v>
      </c>
      <c r="GO76">
        <f t="shared" si="74"/>
        <v>0</v>
      </c>
      <c r="GP76">
        <f t="shared" si="75"/>
        <v>0</v>
      </c>
      <c r="GR76">
        <v>0</v>
      </c>
      <c r="GS76">
        <v>3</v>
      </c>
      <c r="GT76">
        <v>0</v>
      </c>
      <c r="GU76" t="s">
        <v>3</v>
      </c>
      <c r="GV76">
        <f t="shared" si="76"/>
        <v>0</v>
      </c>
      <c r="GW76">
        <v>1</v>
      </c>
      <c r="GX76">
        <f t="shared" si="77"/>
        <v>0</v>
      </c>
      <c r="HA76">
        <v>0</v>
      </c>
      <c r="HB76">
        <v>0</v>
      </c>
      <c r="HC76">
        <f t="shared" si="78"/>
        <v>0</v>
      </c>
      <c r="HE76" t="s">
        <v>3</v>
      </c>
      <c r="HF76" t="s">
        <v>3</v>
      </c>
      <c r="HM76" t="s">
        <v>23</v>
      </c>
      <c r="HN76" t="s">
        <v>3</v>
      </c>
      <c r="HO76" t="s">
        <v>3</v>
      </c>
      <c r="HP76" t="s">
        <v>3</v>
      </c>
      <c r="HQ76" t="s">
        <v>3</v>
      </c>
      <c r="HS76">
        <v>0</v>
      </c>
      <c r="IK76">
        <v>0</v>
      </c>
    </row>
    <row r="77" spans="1:255" x14ac:dyDescent="0.2">
      <c r="A77" s="2">
        <v>17</v>
      </c>
      <c r="B77" s="2">
        <v>1</v>
      </c>
      <c r="C77" s="2">
        <f>ROW(SmtRes!A19)</f>
        <v>19</v>
      </c>
      <c r="D77" s="2">
        <f>ROW(EtalonRes!A22)</f>
        <v>22</v>
      </c>
      <c r="E77" s="2" t="s">
        <v>118</v>
      </c>
      <c r="F77" s="2" t="s">
        <v>119</v>
      </c>
      <c r="G77" s="2" t="s">
        <v>120</v>
      </c>
      <c r="H77" s="2" t="s">
        <v>104</v>
      </c>
      <c r="I77" s="2">
        <f>ROUND(50/100,9)</f>
        <v>0.5</v>
      </c>
      <c r="J77" s="2">
        <v>0</v>
      </c>
      <c r="K77" s="2">
        <f>ROUND(50/100,9)</f>
        <v>0.5</v>
      </c>
      <c r="L77" s="2"/>
      <c r="M77" s="2"/>
      <c r="N77" s="2"/>
      <c r="O77" s="2">
        <f t="shared" si="54"/>
        <v>62.39</v>
      </c>
      <c r="P77" s="2">
        <f t="shared" si="55"/>
        <v>29.08</v>
      </c>
      <c r="Q77" s="2">
        <f>(ROUND((ROUND((((ET77*1.1))*AV77*I77),2)*BB77),2)+ROUND((ROUND(((AE77-((EU77*1.1)))*AV77*I77),2)*BS77),2))</f>
        <v>1.51</v>
      </c>
      <c r="R77" s="2">
        <f>(ROUND((ROUND((((EU77*1.1))*AV77*I77),2)*BS77),2)+ROUND((ROUND(((AE77-((EU77*1.1)))*AV77*I77),2)*BS77),2))</f>
        <v>0.17</v>
      </c>
      <c r="S77" s="2">
        <f t="shared" si="56"/>
        <v>31.8</v>
      </c>
      <c r="T77" s="2">
        <f t="shared" si="57"/>
        <v>0</v>
      </c>
      <c r="U77" s="2">
        <f t="shared" si="58"/>
        <v>2.5855665000000005</v>
      </c>
      <c r="V77" s="2">
        <f t="shared" si="59"/>
        <v>0</v>
      </c>
      <c r="W77" s="2">
        <f t="shared" si="60"/>
        <v>0</v>
      </c>
      <c r="X77" s="2">
        <f>(ROUND((((S77+ROUND((ROUND((((EU77*1.1))*AV77*I77),2)*BS77),2))*AT77)/100),2)+ROUND(((ROUND((ROUND(((AE77-((EU77*1.1)))*AV77*I77),2)*BS77),2)*AT77)/100),2))</f>
        <v>31.01</v>
      </c>
      <c r="Y77" s="2">
        <f>(ROUND((((S77+ROUND((ROUND((((EU77*1.1))*AV77*I77),2)*BS77),2))*AU77)/100),2)+ROUND(((ROUND((ROUND(((AE77-((EU77*1.1)))*AV77*I77),2)*BS77),2)*AU77)/100),2))</f>
        <v>16.3</v>
      </c>
      <c r="Z77" s="2"/>
      <c r="AA77" s="2">
        <v>60257736</v>
      </c>
      <c r="AB77" s="2">
        <f t="shared" si="61"/>
        <v>121.785</v>
      </c>
      <c r="AC77" s="2">
        <f>ROUND(((ES77*1)),6)</f>
        <v>58.15</v>
      </c>
      <c r="AD77" s="2">
        <f>ROUND(((((ET77*1.1))-((EU77*1.1)))+AE77),6)</f>
        <v>2.8820000000000001</v>
      </c>
      <c r="AE77" s="2">
        <f t="shared" ref="AE77:AF80" si="81">ROUND(((EU77*1.1)),6)</f>
        <v>0.33</v>
      </c>
      <c r="AF77" s="2">
        <f t="shared" si="81"/>
        <v>60.753</v>
      </c>
      <c r="AG77" s="2">
        <f t="shared" si="62"/>
        <v>0</v>
      </c>
      <c r="AH77" s="2">
        <f t="shared" ref="AH77:AI80" si="82">((EW77*1.1))</f>
        <v>4.9390000000000009</v>
      </c>
      <c r="AI77" s="2">
        <f t="shared" si="82"/>
        <v>0</v>
      </c>
      <c r="AJ77" s="2">
        <f t="shared" si="63"/>
        <v>0</v>
      </c>
      <c r="AK77" s="2">
        <v>116</v>
      </c>
      <c r="AL77" s="2">
        <v>58.15</v>
      </c>
      <c r="AM77" s="2">
        <v>2.62</v>
      </c>
      <c r="AN77" s="2">
        <v>0.3</v>
      </c>
      <c r="AO77" s="2">
        <v>55.23</v>
      </c>
      <c r="AP77" s="2">
        <v>0</v>
      </c>
      <c r="AQ77" s="2">
        <v>4.49</v>
      </c>
      <c r="AR77" s="2">
        <v>0</v>
      </c>
      <c r="AS77" s="2">
        <v>0</v>
      </c>
      <c r="AT77" s="2">
        <v>97</v>
      </c>
      <c r="AU77" s="2">
        <v>51</v>
      </c>
      <c r="AV77" s="2">
        <v>1.0469999999999999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0</v>
      </c>
      <c r="BI77" s="2">
        <v>2</v>
      </c>
      <c r="BJ77" s="2" t="s">
        <v>121</v>
      </c>
      <c r="BK77" s="2"/>
      <c r="BL77" s="2"/>
      <c r="BM77" s="2">
        <v>67</v>
      </c>
      <c r="BN77" s="2">
        <v>58973116</v>
      </c>
      <c r="BO77" s="2" t="s">
        <v>119</v>
      </c>
      <c r="BP77" s="2">
        <v>1</v>
      </c>
      <c r="BQ77" s="2">
        <v>40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97</v>
      </c>
      <c r="CA77" s="2">
        <v>51</v>
      </c>
      <c r="CB77" s="2" t="s">
        <v>3</v>
      </c>
      <c r="CC77" s="2"/>
      <c r="CD77" s="2"/>
      <c r="CE77" s="2">
        <v>1566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201</v>
      </c>
      <c r="CO77" s="2">
        <v>0</v>
      </c>
      <c r="CP77" s="2">
        <f t="shared" si="64"/>
        <v>62.39</v>
      </c>
      <c r="CQ77" s="2">
        <f t="shared" si="65"/>
        <v>58.15</v>
      </c>
      <c r="CR77" s="2">
        <f>(ROUND((ROUND((((ET77*1.1))*AV77*1),2)*BB77),2)+ROUND((ROUND(((AE77-((EU77*1.1)))*AV77*1),2)*BS77),2))</f>
        <v>3.02</v>
      </c>
      <c r="CS77" s="2">
        <f>(ROUND((ROUND((((EU77*1.1))*AV77*1),2)*BS77),2)+ROUND((ROUND(((AE77-((EU77*1.1)))*AV77*1),2)*BS77),2))</f>
        <v>0.35</v>
      </c>
      <c r="CT77" s="2">
        <f t="shared" si="66"/>
        <v>63.61</v>
      </c>
      <c r="CU77" s="2">
        <f t="shared" si="67"/>
        <v>0</v>
      </c>
      <c r="CV77" s="2">
        <f t="shared" si="68"/>
        <v>5.1711330000000011</v>
      </c>
      <c r="CW77" s="2">
        <f t="shared" si="69"/>
        <v>0</v>
      </c>
      <c r="CX77" s="2">
        <f t="shared" si="70"/>
        <v>0</v>
      </c>
      <c r="CY77" s="2">
        <f>(ROUND((((S77+ROUND((ROUND((((EU77*1.1))*AV77*1),2)*BS77),2))*AT77)/100),2)+ROUND(((ROUND((ROUND(((AE77-((EU77*1.1)))*AV77*1),2)*BS77),2)*AT77)/100),2))</f>
        <v>31.19</v>
      </c>
      <c r="CZ77" s="2">
        <f>(ROUND((((S77+ROUND((ROUND((((EU77*1.1))*AV77*1),2)*BS77),2))*AU77)/100),2)+ROUND(((ROUND((ROUND(((AE77-((EU77*1.1)))*AV77*1),2)*BS77),2)*AU77)/100),2))</f>
        <v>16.399999999999999</v>
      </c>
      <c r="DA77" s="2"/>
      <c r="DB77" s="2">
        <v>7</v>
      </c>
      <c r="DC77" s="2" t="s">
        <v>3</v>
      </c>
      <c r="DD77" s="2" t="s">
        <v>23</v>
      </c>
      <c r="DE77" s="2" t="s">
        <v>24</v>
      </c>
      <c r="DF77" s="2" t="s">
        <v>24</v>
      </c>
      <c r="DG77" s="2" t="s">
        <v>24</v>
      </c>
      <c r="DH77" s="2" t="s">
        <v>3</v>
      </c>
      <c r="DI77" s="2" t="s">
        <v>24</v>
      </c>
      <c r="DJ77" s="2" t="s">
        <v>24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1003</v>
      </c>
      <c r="DV77" s="2" t="s">
        <v>104</v>
      </c>
      <c r="DW77" s="2" t="s">
        <v>104</v>
      </c>
      <c r="DX77" s="2">
        <v>100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60088531</v>
      </c>
      <c r="EF77" s="2">
        <v>40</v>
      </c>
      <c r="EG77" s="2" t="s">
        <v>25</v>
      </c>
      <c r="EH77" s="2">
        <v>0</v>
      </c>
      <c r="EI77" s="2" t="s">
        <v>3</v>
      </c>
      <c r="EJ77" s="2">
        <v>2</v>
      </c>
      <c r="EK77" s="2">
        <v>67</v>
      </c>
      <c r="EL77" s="2" t="s">
        <v>106</v>
      </c>
      <c r="EM77" s="2" t="s">
        <v>107</v>
      </c>
      <c r="EN77" s="2"/>
      <c r="EO77" s="2" t="s">
        <v>28</v>
      </c>
      <c r="EP77" s="2"/>
      <c r="EQ77" s="2">
        <v>0</v>
      </c>
      <c r="ER77" s="2">
        <v>116</v>
      </c>
      <c r="ES77" s="2">
        <v>58.15</v>
      </c>
      <c r="ET77" s="2">
        <v>2.62</v>
      </c>
      <c r="EU77" s="2">
        <v>0.3</v>
      </c>
      <c r="EV77" s="2">
        <v>55.23</v>
      </c>
      <c r="EW77" s="2">
        <v>4.49</v>
      </c>
      <c r="EX77" s="2">
        <v>0</v>
      </c>
      <c r="EY77" s="2">
        <v>0</v>
      </c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97</v>
      </c>
      <c r="FY77" s="2">
        <v>51</v>
      </c>
      <c r="FZ77" s="2"/>
      <c r="GA77" s="2" t="s">
        <v>3</v>
      </c>
      <c r="GB77" s="2"/>
      <c r="GC77" s="2"/>
      <c r="GD77" s="2">
        <v>1</v>
      </c>
      <c r="GE77" s="2"/>
      <c r="GF77" s="2">
        <v>770559996</v>
      </c>
      <c r="GG77" s="2">
        <v>2</v>
      </c>
      <c r="GH77" s="2">
        <v>1</v>
      </c>
      <c r="GI77" s="2">
        <v>2</v>
      </c>
      <c r="GJ77" s="2">
        <v>0</v>
      </c>
      <c r="GK77" s="2">
        <v>0</v>
      </c>
      <c r="GL77" s="2">
        <f t="shared" si="71"/>
        <v>0</v>
      </c>
      <c r="GM77" s="2">
        <f t="shared" si="72"/>
        <v>109.7</v>
      </c>
      <c r="GN77" s="2">
        <f t="shared" si="73"/>
        <v>0</v>
      </c>
      <c r="GO77" s="2">
        <f t="shared" si="74"/>
        <v>109.7</v>
      </c>
      <c r="GP77" s="2">
        <f t="shared" si="75"/>
        <v>0</v>
      </c>
      <c r="GQ77" s="2"/>
      <c r="GR77" s="2">
        <v>0</v>
      </c>
      <c r="GS77" s="2">
        <v>3</v>
      </c>
      <c r="GT77" s="2">
        <v>0</v>
      </c>
      <c r="GU77" s="2" t="s">
        <v>3</v>
      </c>
      <c r="GV77" s="2">
        <f t="shared" si="76"/>
        <v>0</v>
      </c>
      <c r="GW77" s="2">
        <v>1</v>
      </c>
      <c r="GX77" s="2">
        <f t="shared" si="77"/>
        <v>0</v>
      </c>
      <c r="GY77" s="2"/>
      <c r="GZ77" s="2"/>
      <c r="HA77" s="2">
        <v>0</v>
      </c>
      <c r="HB77" s="2">
        <v>0</v>
      </c>
      <c r="HC77" s="2">
        <f t="shared" si="78"/>
        <v>0</v>
      </c>
      <c r="HD77" s="2"/>
      <c r="HE77" s="2" t="s">
        <v>3</v>
      </c>
      <c r="HF77" s="2" t="s">
        <v>3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">
      <c r="A78">
        <v>17</v>
      </c>
      <c r="B78">
        <v>1</v>
      </c>
      <c r="C78">
        <f>ROW(SmtRes!A28)</f>
        <v>28</v>
      </c>
      <c r="D78">
        <f>ROW(EtalonRes!A32)</f>
        <v>32</v>
      </c>
      <c r="E78" t="s">
        <v>118</v>
      </c>
      <c r="F78" t="s">
        <v>119</v>
      </c>
      <c r="G78" t="s">
        <v>120</v>
      </c>
      <c r="H78" t="s">
        <v>104</v>
      </c>
      <c r="I78">
        <f>ROUND(50/100,9)</f>
        <v>0.5</v>
      </c>
      <c r="J78">
        <v>0</v>
      </c>
      <c r="K78">
        <f>ROUND(50/100,9)</f>
        <v>0.5</v>
      </c>
      <c r="O78">
        <f t="shared" si="54"/>
        <v>1878.28</v>
      </c>
      <c r="P78">
        <f t="shared" si="55"/>
        <v>107.6</v>
      </c>
      <c r="Q78">
        <f>(ROUND((ROUND((((ET78*1.1))*AV78*I78),2)*BB78),2)+ROUND((ROUND(((AE78-((EU78*1.1)))*AV78*I78),2)*BS78),2))</f>
        <v>22</v>
      </c>
      <c r="R78">
        <f>(ROUND((ROUND((((EU78*1.1))*AV78*I78),2)*BS78),2)+ROUND((ROUND(((AE78-((EU78*1.1)))*AV78*I78),2)*BS78),2))</f>
        <v>9.35</v>
      </c>
      <c r="S78">
        <f t="shared" si="56"/>
        <v>1748.68</v>
      </c>
      <c r="T78">
        <f t="shared" si="57"/>
        <v>0</v>
      </c>
      <c r="U78">
        <f t="shared" si="58"/>
        <v>2.5855665000000005</v>
      </c>
      <c r="V78">
        <f t="shared" si="59"/>
        <v>0</v>
      </c>
      <c r="W78">
        <f t="shared" si="60"/>
        <v>0</v>
      </c>
      <c r="X78">
        <f>(ROUND((((S78+ROUND((ROUND((((EU78*1.1))*AV78*I78),2)*BS78),2))*AT78)/100),2)+ROUND(((ROUND((ROUND(((AE78-((EU78*1.1)))*AV78*I78),2)*BS78),2)*AT78)/100),2))</f>
        <v>1705.29</v>
      </c>
      <c r="Y78">
        <f>(ROUND((((S78+ROUND((ROUND((((EU78*1.1))*AV78*I78),2)*BS78),2))*AU78)/100),2)+ROUND(((ROUND((ROUND(((AE78-((EU78*1.1)))*AV78*I78),2)*BS78),2)*AU78)/100),2))</f>
        <v>896.6</v>
      </c>
      <c r="AA78">
        <v>60257733</v>
      </c>
      <c r="AB78">
        <f t="shared" si="61"/>
        <v>121.785</v>
      </c>
      <c r="AC78">
        <f>ROUND(((ES78*1)),6)</f>
        <v>58.15</v>
      </c>
      <c r="AD78">
        <f>ROUND(((((ET78*1.1))-((EU78*1.1)))+AE78),6)</f>
        <v>2.8820000000000001</v>
      </c>
      <c r="AE78">
        <f t="shared" si="81"/>
        <v>0.33</v>
      </c>
      <c r="AF78">
        <f t="shared" si="81"/>
        <v>60.753</v>
      </c>
      <c r="AG78">
        <f t="shared" si="62"/>
        <v>0</v>
      </c>
      <c r="AH78">
        <f t="shared" si="82"/>
        <v>4.9390000000000009</v>
      </c>
      <c r="AI78">
        <f t="shared" si="82"/>
        <v>0</v>
      </c>
      <c r="AJ78">
        <f t="shared" si="63"/>
        <v>0</v>
      </c>
      <c r="AK78">
        <v>116</v>
      </c>
      <c r="AL78">
        <v>58.15</v>
      </c>
      <c r="AM78">
        <v>2.62</v>
      </c>
      <c r="AN78">
        <v>0.3</v>
      </c>
      <c r="AO78">
        <v>55.23</v>
      </c>
      <c r="AP78">
        <v>0</v>
      </c>
      <c r="AQ78">
        <v>4.49</v>
      </c>
      <c r="AR78">
        <v>0</v>
      </c>
      <c r="AS78">
        <v>0</v>
      </c>
      <c r="AT78">
        <v>97</v>
      </c>
      <c r="AU78">
        <v>51</v>
      </c>
      <c r="AV78">
        <v>1.0469999999999999</v>
      </c>
      <c r="AW78">
        <v>1</v>
      </c>
      <c r="AZ78">
        <v>1</v>
      </c>
      <c r="BA78">
        <v>54.99</v>
      </c>
      <c r="BB78">
        <v>14.57</v>
      </c>
      <c r="BC78">
        <v>3.7</v>
      </c>
      <c r="BD78" t="s">
        <v>3</v>
      </c>
      <c r="BE78" t="s">
        <v>3</v>
      </c>
      <c r="BF78" t="s">
        <v>3</v>
      </c>
      <c r="BG78" t="s">
        <v>3</v>
      </c>
      <c r="BH78">
        <v>0</v>
      </c>
      <c r="BI78">
        <v>2</v>
      </c>
      <c r="BJ78" t="s">
        <v>121</v>
      </c>
      <c r="BM78">
        <v>67</v>
      </c>
      <c r="BN78">
        <v>58973116</v>
      </c>
      <c r="BO78" t="s">
        <v>119</v>
      </c>
      <c r="BP78">
        <v>1</v>
      </c>
      <c r="BQ78">
        <v>40</v>
      </c>
      <c r="BR78">
        <v>0</v>
      </c>
      <c r="BS78">
        <v>54.99</v>
      </c>
      <c r="BT78">
        <v>1</v>
      </c>
      <c r="BU78">
        <v>1</v>
      </c>
      <c r="BV78">
        <v>1</v>
      </c>
      <c r="BW78">
        <v>1</v>
      </c>
      <c r="BX78">
        <v>1</v>
      </c>
      <c r="BY78" t="s">
        <v>3</v>
      </c>
      <c r="BZ78">
        <v>97</v>
      </c>
      <c r="CA78">
        <v>51</v>
      </c>
      <c r="CB78" t="s">
        <v>3</v>
      </c>
      <c r="CE78">
        <v>1566</v>
      </c>
      <c r="CF78">
        <v>0</v>
      </c>
      <c r="CG78">
        <v>0</v>
      </c>
      <c r="CM78">
        <v>0</v>
      </c>
      <c r="CN78" t="s">
        <v>201</v>
      </c>
      <c r="CO78">
        <v>0</v>
      </c>
      <c r="CP78">
        <f t="shared" si="64"/>
        <v>1878.28</v>
      </c>
      <c r="CQ78">
        <f t="shared" si="65"/>
        <v>215.16</v>
      </c>
      <c r="CR78">
        <f>(ROUND((ROUND((((ET78*1.1))*AV78*1),2)*BB78),2)+ROUND((ROUND(((AE78-((EU78*1.1)))*AV78*1),2)*BS78),2))</f>
        <v>44</v>
      </c>
      <c r="CS78">
        <f>(ROUND((ROUND((((EU78*1.1))*AV78*1),2)*BS78),2)+ROUND((ROUND(((AE78-((EU78*1.1)))*AV78*1),2)*BS78),2))</f>
        <v>19.25</v>
      </c>
      <c r="CT78">
        <f t="shared" si="66"/>
        <v>3497.91</v>
      </c>
      <c r="CU78">
        <f t="shared" si="67"/>
        <v>0</v>
      </c>
      <c r="CV78">
        <f t="shared" si="68"/>
        <v>5.1711330000000011</v>
      </c>
      <c r="CW78">
        <f t="shared" si="69"/>
        <v>0</v>
      </c>
      <c r="CX78">
        <f t="shared" si="70"/>
        <v>0</v>
      </c>
      <c r="CY78">
        <f>(ROUND((((S78+ROUND((ROUND((((EU78*1.1))*AV78*1),2)*BS78),2))*AT78)/100),2)+ROUND(((ROUND((ROUND(((AE78-((EU78*1.1)))*AV78*1),2)*BS78),2)*AT78)/100),2))</f>
        <v>1714.89</v>
      </c>
      <c r="CZ78">
        <f>(ROUND((((S78+ROUND((ROUND((((EU78*1.1))*AV78*1),2)*BS78),2))*AU78)/100),2)+ROUND(((ROUND((ROUND(((AE78-((EU78*1.1)))*AV78*1),2)*BS78),2)*AU78)/100),2))</f>
        <v>901.64</v>
      </c>
      <c r="DB78">
        <v>8</v>
      </c>
      <c r="DC78" t="s">
        <v>3</v>
      </c>
      <c r="DD78" t="s">
        <v>23</v>
      </c>
      <c r="DE78" t="s">
        <v>24</v>
      </c>
      <c r="DF78" t="s">
        <v>24</v>
      </c>
      <c r="DG78" t="s">
        <v>24</v>
      </c>
      <c r="DH78" t="s">
        <v>3</v>
      </c>
      <c r="DI78" t="s">
        <v>24</v>
      </c>
      <c r="DJ78" t="s">
        <v>24</v>
      </c>
      <c r="DK78" t="s">
        <v>3</v>
      </c>
      <c r="DL78" t="s">
        <v>3</v>
      </c>
      <c r="DM78" t="s">
        <v>3</v>
      </c>
      <c r="DN78">
        <v>0</v>
      </c>
      <c r="DO78">
        <v>0</v>
      </c>
      <c r="DP78">
        <v>1</v>
      </c>
      <c r="DQ78">
        <v>1</v>
      </c>
      <c r="DU78">
        <v>1003</v>
      </c>
      <c r="DV78" t="s">
        <v>104</v>
      </c>
      <c r="DW78" t="s">
        <v>104</v>
      </c>
      <c r="DX78">
        <v>100</v>
      </c>
      <c r="DZ78" t="s">
        <v>3</v>
      </c>
      <c r="EA78" t="s">
        <v>3</v>
      </c>
      <c r="EB78" t="s">
        <v>3</v>
      </c>
      <c r="EC78" t="s">
        <v>3</v>
      </c>
      <c r="EE78">
        <v>60088531</v>
      </c>
      <c r="EF78">
        <v>40</v>
      </c>
      <c r="EG78" t="s">
        <v>25</v>
      </c>
      <c r="EH78">
        <v>0</v>
      </c>
      <c r="EI78" t="s">
        <v>3</v>
      </c>
      <c r="EJ78">
        <v>2</v>
      </c>
      <c r="EK78">
        <v>67</v>
      </c>
      <c r="EL78" t="s">
        <v>106</v>
      </c>
      <c r="EM78" t="s">
        <v>107</v>
      </c>
      <c r="EO78" t="s">
        <v>28</v>
      </c>
      <c r="EQ78">
        <v>0</v>
      </c>
      <c r="ER78">
        <v>116</v>
      </c>
      <c r="ES78">
        <v>58.15</v>
      </c>
      <c r="ET78">
        <v>2.62</v>
      </c>
      <c r="EU78">
        <v>0.3</v>
      </c>
      <c r="EV78">
        <v>55.23</v>
      </c>
      <c r="EW78">
        <v>4.49</v>
      </c>
      <c r="EX78">
        <v>0</v>
      </c>
      <c r="EY78">
        <v>0</v>
      </c>
      <c r="FQ78">
        <v>0</v>
      </c>
      <c r="FR78">
        <v>0</v>
      </c>
      <c r="FS78">
        <v>0</v>
      </c>
      <c r="FX78">
        <v>97</v>
      </c>
      <c r="FY78">
        <v>51</v>
      </c>
      <c r="GA78" t="s">
        <v>3</v>
      </c>
      <c r="GD78">
        <v>1</v>
      </c>
      <c r="GF78">
        <v>770559996</v>
      </c>
      <c r="GG78">
        <v>2</v>
      </c>
      <c r="GH78">
        <v>1</v>
      </c>
      <c r="GI78">
        <v>2</v>
      </c>
      <c r="GJ78">
        <v>0</v>
      </c>
      <c r="GK78">
        <v>0</v>
      </c>
      <c r="GL78">
        <f t="shared" si="71"/>
        <v>0</v>
      </c>
      <c r="GM78">
        <f t="shared" si="72"/>
        <v>4480.17</v>
      </c>
      <c r="GN78">
        <f t="shared" si="73"/>
        <v>0</v>
      </c>
      <c r="GO78">
        <f t="shared" si="74"/>
        <v>4480.17</v>
      </c>
      <c r="GP78">
        <f t="shared" si="75"/>
        <v>0</v>
      </c>
      <c r="GR78">
        <v>0</v>
      </c>
      <c r="GS78">
        <v>3</v>
      </c>
      <c r="GT78">
        <v>0</v>
      </c>
      <c r="GU78" t="s">
        <v>3</v>
      </c>
      <c r="GV78">
        <f t="shared" si="76"/>
        <v>0</v>
      </c>
      <c r="GW78">
        <v>1</v>
      </c>
      <c r="GX78">
        <f t="shared" si="77"/>
        <v>0</v>
      </c>
      <c r="HA78">
        <v>0</v>
      </c>
      <c r="HB78">
        <v>0</v>
      </c>
      <c r="HC78">
        <f t="shared" si="78"/>
        <v>0</v>
      </c>
      <c r="HE78" t="s">
        <v>3</v>
      </c>
      <c r="HF78" t="s">
        <v>3</v>
      </c>
      <c r="HM78" t="s">
        <v>3</v>
      </c>
      <c r="HN78" t="s">
        <v>3</v>
      </c>
      <c r="HO78" t="s">
        <v>3</v>
      </c>
      <c r="HP78" t="s">
        <v>3</v>
      </c>
      <c r="HQ78" t="s">
        <v>3</v>
      </c>
      <c r="HS78">
        <v>0</v>
      </c>
      <c r="IK78">
        <v>0</v>
      </c>
    </row>
    <row r="79" spans="1:255" x14ac:dyDescent="0.2">
      <c r="A79" s="2">
        <v>17</v>
      </c>
      <c r="B79" s="2">
        <v>1</v>
      </c>
      <c r="C79" s="2">
        <f>ROW(SmtRes!A36)</f>
        <v>36</v>
      </c>
      <c r="D79" s="2">
        <f>ROW(EtalonRes!A41)</f>
        <v>41</v>
      </c>
      <c r="E79" s="2" t="s">
        <v>122</v>
      </c>
      <c r="F79" s="2" t="s">
        <v>123</v>
      </c>
      <c r="G79" s="2" t="s">
        <v>124</v>
      </c>
      <c r="H79" s="2" t="s">
        <v>104</v>
      </c>
      <c r="I79" s="2">
        <f>ROUND(50/100,9)</f>
        <v>0.5</v>
      </c>
      <c r="J79" s="2">
        <v>0</v>
      </c>
      <c r="K79" s="2">
        <f>ROUND(50/100,9)</f>
        <v>0.5</v>
      </c>
      <c r="L79" s="2"/>
      <c r="M79" s="2"/>
      <c r="N79" s="2"/>
      <c r="O79" s="2">
        <f t="shared" si="54"/>
        <v>42.21</v>
      </c>
      <c r="P79" s="2">
        <f t="shared" si="55"/>
        <v>27.74</v>
      </c>
      <c r="Q79" s="2">
        <f>(ROUND((ROUND((((ET79*1.1))*AV79*I79),2)*BB79),2)+ROUND((ROUND(((AE79-((EU79*1.1)))*AV79*I79),2)*BS79),2))</f>
        <v>1.51</v>
      </c>
      <c r="R79" s="2">
        <f>(ROUND((ROUND((((EU79*1.1))*AV79*I79),2)*BS79),2)+ROUND((ROUND(((AE79-((EU79*1.1)))*AV79*I79),2)*BS79),2))</f>
        <v>0.17</v>
      </c>
      <c r="S79" s="2">
        <f t="shared" si="56"/>
        <v>12.96</v>
      </c>
      <c r="T79" s="2">
        <f t="shared" si="57"/>
        <v>0</v>
      </c>
      <c r="U79" s="2">
        <f t="shared" si="58"/>
        <v>1.0538055000000002</v>
      </c>
      <c r="V79" s="2">
        <f t="shared" si="59"/>
        <v>0</v>
      </c>
      <c r="W79" s="2">
        <f t="shared" si="60"/>
        <v>0</v>
      </c>
      <c r="X79" s="2">
        <f>(ROUND((((S79+ROUND((ROUND((((EU79*1.1))*AV79*I79),2)*BS79),2))*AT79)/100),2)+ROUND(((ROUND((ROUND(((AE79-((EU79*1.1)))*AV79*I79),2)*BS79),2)*AT79)/100),2))</f>
        <v>12.74</v>
      </c>
      <c r="Y79" s="2">
        <f>(ROUND((((S79+ROUND((ROUND((((EU79*1.1))*AV79*I79),2)*BS79),2))*AU79)/100),2)+ROUND(((ROUND((ROUND(((AE79-((EU79*1.1)))*AV79*I79),2)*BS79),2)*AU79)/100),2))</f>
        <v>6.7</v>
      </c>
      <c r="Z79" s="2"/>
      <c r="AA79" s="2">
        <v>60257736</v>
      </c>
      <c r="AB79" s="2">
        <f t="shared" si="61"/>
        <v>83.113</v>
      </c>
      <c r="AC79" s="2">
        <f>ROUND(((ES79*1)),6)</f>
        <v>55.47</v>
      </c>
      <c r="AD79" s="2">
        <f>ROUND(((((ET79*1.1))-((EU79*1.1)))+AE79),6)</f>
        <v>2.8820000000000001</v>
      </c>
      <c r="AE79" s="2">
        <f t="shared" si="81"/>
        <v>0.33</v>
      </c>
      <c r="AF79" s="2">
        <f t="shared" si="81"/>
        <v>24.760999999999999</v>
      </c>
      <c r="AG79" s="2">
        <f t="shared" si="62"/>
        <v>0</v>
      </c>
      <c r="AH79" s="2">
        <f t="shared" si="82"/>
        <v>2.0130000000000003</v>
      </c>
      <c r="AI79" s="2">
        <f t="shared" si="82"/>
        <v>0</v>
      </c>
      <c r="AJ79" s="2">
        <f t="shared" si="63"/>
        <v>0</v>
      </c>
      <c r="AK79" s="2">
        <v>80.599999999999994</v>
      </c>
      <c r="AL79" s="2">
        <v>55.47</v>
      </c>
      <c r="AM79" s="2">
        <v>2.62</v>
      </c>
      <c r="AN79" s="2">
        <v>0.3</v>
      </c>
      <c r="AO79" s="2">
        <v>22.51</v>
      </c>
      <c r="AP79" s="2">
        <v>0</v>
      </c>
      <c r="AQ79" s="2">
        <v>1.83</v>
      </c>
      <c r="AR79" s="2">
        <v>0</v>
      </c>
      <c r="AS79" s="2">
        <v>0</v>
      </c>
      <c r="AT79" s="2">
        <v>97</v>
      </c>
      <c r="AU79" s="2">
        <v>51</v>
      </c>
      <c r="AV79" s="2">
        <v>1.0469999999999999</v>
      </c>
      <c r="AW79" s="2">
        <v>1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0</v>
      </c>
      <c r="BI79" s="2">
        <v>2</v>
      </c>
      <c r="BJ79" s="2" t="s">
        <v>125</v>
      </c>
      <c r="BK79" s="2"/>
      <c r="BL79" s="2"/>
      <c r="BM79" s="2">
        <v>67</v>
      </c>
      <c r="BN79" s="2">
        <v>58973116</v>
      </c>
      <c r="BO79" s="2" t="s">
        <v>123</v>
      </c>
      <c r="BP79" s="2">
        <v>1</v>
      </c>
      <c r="BQ79" s="2">
        <v>40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97</v>
      </c>
      <c r="CA79" s="2">
        <v>51</v>
      </c>
      <c r="CB79" s="2" t="s">
        <v>3</v>
      </c>
      <c r="CC79" s="2"/>
      <c r="CD79" s="2"/>
      <c r="CE79" s="2">
        <v>1566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2" t="s">
        <v>201</v>
      </c>
      <c r="CO79" s="2">
        <v>0</v>
      </c>
      <c r="CP79" s="2">
        <f t="shared" si="64"/>
        <v>42.21</v>
      </c>
      <c r="CQ79" s="2">
        <f t="shared" si="65"/>
        <v>55.47</v>
      </c>
      <c r="CR79" s="2">
        <f>(ROUND((ROUND((((ET79*1.1))*AV79*1),2)*BB79),2)+ROUND((ROUND(((AE79-((EU79*1.1)))*AV79*1),2)*BS79),2))</f>
        <v>3.02</v>
      </c>
      <c r="CS79" s="2">
        <f>(ROUND((ROUND((((EU79*1.1))*AV79*1),2)*BS79),2)+ROUND((ROUND(((AE79-((EU79*1.1)))*AV79*1),2)*BS79),2))</f>
        <v>0.35</v>
      </c>
      <c r="CT79" s="2">
        <f t="shared" si="66"/>
        <v>25.92</v>
      </c>
      <c r="CU79" s="2">
        <f t="shared" si="67"/>
        <v>0</v>
      </c>
      <c r="CV79" s="2">
        <f t="shared" si="68"/>
        <v>2.1076110000000003</v>
      </c>
      <c r="CW79" s="2">
        <f t="shared" si="69"/>
        <v>0</v>
      </c>
      <c r="CX79" s="2">
        <f t="shared" si="70"/>
        <v>0</v>
      </c>
      <c r="CY79" s="2">
        <f>(ROUND((((S79+ROUND((ROUND((((EU79*1.1))*AV79*1),2)*BS79),2))*AT79)/100),2)+ROUND(((ROUND((ROUND(((AE79-((EU79*1.1)))*AV79*1),2)*BS79),2)*AT79)/100),2))</f>
        <v>12.91</v>
      </c>
      <c r="CZ79" s="2">
        <f>(ROUND((((S79+ROUND((ROUND((((EU79*1.1))*AV79*1),2)*BS79),2))*AU79)/100),2)+ROUND(((ROUND((ROUND(((AE79-((EU79*1.1)))*AV79*1),2)*BS79),2)*AU79)/100),2))</f>
        <v>6.79</v>
      </c>
      <c r="DA79" s="2"/>
      <c r="DB79" s="2">
        <v>9</v>
      </c>
      <c r="DC79" s="2" t="s">
        <v>3</v>
      </c>
      <c r="DD79" s="2" t="s">
        <v>23</v>
      </c>
      <c r="DE79" s="2" t="s">
        <v>24</v>
      </c>
      <c r="DF79" s="2" t="s">
        <v>24</v>
      </c>
      <c r="DG79" s="2" t="s">
        <v>24</v>
      </c>
      <c r="DH79" s="2" t="s">
        <v>3</v>
      </c>
      <c r="DI79" s="2" t="s">
        <v>24</v>
      </c>
      <c r="DJ79" s="2" t="s">
        <v>24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1003</v>
      </c>
      <c r="DV79" s="2" t="s">
        <v>104</v>
      </c>
      <c r="DW79" s="2" t="s">
        <v>104</v>
      </c>
      <c r="DX79" s="2">
        <v>100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60088531</v>
      </c>
      <c r="EF79" s="2">
        <v>40</v>
      </c>
      <c r="EG79" s="2" t="s">
        <v>25</v>
      </c>
      <c r="EH79" s="2">
        <v>0</v>
      </c>
      <c r="EI79" s="2" t="s">
        <v>3</v>
      </c>
      <c r="EJ79" s="2">
        <v>2</v>
      </c>
      <c r="EK79" s="2">
        <v>67</v>
      </c>
      <c r="EL79" s="2" t="s">
        <v>106</v>
      </c>
      <c r="EM79" s="2" t="s">
        <v>107</v>
      </c>
      <c r="EN79" s="2"/>
      <c r="EO79" s="2" t="s">
        <v>28</v>
      </c>
      <c r="EP79" s="2"/>
      <c r="EQ79" s="2">
        <v>0</v>
      </c>
      <c r="ER79" s="2">
        <v>80.599999999999994</v>
      </c>
      <c r="ES79" s="2">
        <v>55.47</v>
      </c>
      <c r="ET79" s="2">
        <v>2.62</v>
      </c>
      <c r="EU79" s="2">
        <v>0.3</v>
      </c>
      <c r="EV79" s="2">
        <v>22.51</v>
      </c>
      <c r="EW79" s="2">
        <v>1.83</v>
      </c>
      <c r="EX79" s="2">
        <v>0</v>
      </c>
      <c r="EY79" s="2">
        <v>0</v>
      </c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v>0</v>
      </c>
      <c r="FS79" s="2">
        <v>0</v>
      </c>
      <c r="FT79" s="2"/>
      <c r="FU79" s="2"/>
      <c r="FV79" s="2"/>
      <c r="FW79" s="2"/>
      <c r="FX79" s="2">
        <v>97</v>
      </c>
      <c r="FY79" s="2">
        <v>51</v>
      </c>
      <c r="FZ79" s="2"/>
      <c r="GA79" s="2" t="s">
        <v>3</v>
      </c>
      <c r="GB79" s="2"/>
      <c r="GC79" s="2"/>
      <c r="GD79" s="2">
        <v>1</v>
      </c>
      <c r="GE79" s="2"/>
      <c r="GF79" s="2">
        <v>1118340632</v>
      </c>
      <c r="GG79" s="2">
        <v>2</v>
      </c>
      <c r="GH79" s="2">
        <v>1</v>
      </c>
      <c r="GI79" s="2">
        <v>2</v>
      </c>
      <c r="GJ79" s="2">
        <v>0</v>
      </c>
      <c r="GK79" s="2">
        <v>0</v>
      </c>
      <c r="GL79" s="2">
        <f t="shared" si="71"/>
        <v>0</v>
      </c>
      <c r="GM79" s="2">
        <f t="shared" si="72"/>
        <v>61.65</v>
      </c>
      <c r="GN79" s="2">
        <f t="shared" si="73"/>
        <v>0</v>
      </c>
      <c r="GO79" s="2">
        <f t="shared" si="74"/>
        <v>61.65</v>
      </c>
      <c r="GP79" s="2">
        <f t="shared" si="75"/>
        <v>0</v>
      </c>
      <c r="GQ79" s="2"/>
      <c r="GR79" s="2">
        <v>0</v>
      </c>
      <c r="GS79" s="2">
        <v>3</v>
      </c>
      <c r="GT79" s="2">
        <v>0</v>
      </c>
      <c r="GU79" s="2" t="s">
        <v>3</v>
      </c>
      <c r="GV79" s="2">
        <f t="shared" si="76"/>
        <v>0</v>
      </c>
      <c r="GW79" s="2">
        <v>1</v>
      </c>
      <c r="GX79" s="2">
        <f t="shared" si="77"/>
        <v>0</v>
      </c>
      <c r="GY79" s="2"/>
      <c r="GZ79" s="2"/>
      <c r="HA79" s="2">
        <v>0</v>
      </c>
      <c r="HB79" s="2">
        <v>0</v>
      </c>
      <c r="HC79" s="2">
        <f t="shared" si="78"/>
        <v>0</v>
      </c>
      <c r="HD79" s="2"/>
      <c r="HE79" s="2" t="s">
        <v>3</v>
      </c>
      <c r="HF79" s="2" t="s">
        <v>3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x14ac:dyDescent="0.2">
      <c r="A80">
        <v>17</v>
      </c>
      <c r="B80">
        <v>1</v>
      </c>
      <c r="C80">
        <f>ROW(SmtRes!A44)</f>
        <v>44</v>
      </c>
      <c r="D80">
        <f>ROW(EtalonRes!A50)</f>
        <v>50</v>
      </c>
      <c r="E80" t="s">
        <v>122</v>
      </c>
      <c r="F80" t="s">
        <v>123</v>
      </c>
      <c r="G80" t="s">
        <v>124</v>
      </c>
      <c r="H80" t="s">
        <v>104</v>
      </c>
      <c r="I80">
        <f>ROUND(50/100,9)</f>
        <v>0.5</v>
      </c>
      <c r="J80">
        <v>0</v>
      </c>
      <c r="K80">
        <f>ROUND(50/100,9)</f>
        <v>0.5</v>
      </c>
      <c r="O80">
        <f t="shared" si="54"/>
        <v>820.39</v>
      </c>
      <c r="P80">
        <f t="shared" si="55"/>
        <v>85.72</v>
      </c>
      <c r="Q80">
        <f>(ROUND((ROUND((((ET80*1.1))*AV80*I80),2)*BB80),2)+ROUND((ROUND(((AE80-((EU80*1.1)))*AV80*I80),2)*BS80),2))</f>
        <v>22</v>
      </c>
      <c r="R80">
        <f>(ROUND((ROUND((((EU80*1.1))*AV80*I80),2)*BS80),2)+ROUND((ROUND(((AE80-((EU80*1.1)))*AV80*I80),2)*BS80),2))</f>
        <v>9.35</v>
      </c>
      <c r="S80">
        <f t="shared" si="56"/>
        <v>712.67</v>
      </c>
      <c r="T80">
        <f t="shared" si="57"/>
        <v>0</v>
      </c>
      <c r="U80">
        <f t="shared" si="58"/>
        <v>1.0538055000000002</v>
      </c>
      <c r="V80">
        <f t="shared" si="59"/>
        <v>0</v>
      </c>
      <c r="W80">
        <f t="shared" si="60"/>
        <v>0</v>
      </c>
      <c r="X80">
        <f>(ROUND((((S80+ROUND((ROUND((((EU80*1.1))*AV80*I80),2)*BS80),2))*AT80)/100),2)+ROUND(((ROUND((ROUND(((AE80-((EU80*1.1)))*AV80*I80),2)*BS80),2)*AT80)/100),2))</f>
        <v>700.36</v>
      </c>
      <c r="Y80">
        <f>(ROUND((((S80+ROUND((ROUND((((EU80*1.1))*AV80*I80),2)*BS80),2))*AU80)/100),2)+ROUND(((ROUND((ROUND(((AE80-((EU80*1.1)))*AV80*I80),2)*BS80),2)*AU80)/100),2))</f>
        <v>368.23</v>
      </c>
      <c r="AA80">
        <v>60257733</v>
      </c>
      <c r="AB80">
        <f t="shared" si="61"/>
        <v>83.113</v>
      </c>
      <c r="AC80">
        <f>ROUND(((ES80*1)),6)</f>
        <v>55.47</v>
      </c>
      <c r="AD80">
        <f>ROUND(((((ET80*1.1))-((EU80*1.1)))+AE80),6)</f>
        <v>2.8820000000000001</v>
      </c>
      <c r="AE80">
        <f t="shared" si="81"/>
        <v>0.33</v>
      </c>
      <c r="AF80">
        <f t="shared" si="81"/>
        <v>24.760999999999999</v>
      </c>
      <c r="AG80">
        <f t="shared" si="62"/>
        <v>0</v>
      </c>
      <c r="AH80">
        <f t="shared" si="82"/>
        <v>2.0130000000000003</v>
      </c>
      <c r="AI80">
        <f t="shared" si="82"/>
        <v>0</v>
      </c>
      <c r="AJ80">
        <f t="shared" si="63"/>
        <v>0</v>
      </c>
      <c r="AK80">
        <v>80.599999999999994</v>
      </c>
      <c r="AL80">
        <v>55.47</v>
      </c>
      <c r="AM80">
        <v>2.62</v>
      </c>
      <c r="AN80">
        <v>0.3</v>
      </c>
      <c r="AO80">
        <v>22.51</v>
      </c>
      <c r="AP80">
        <v>0</v>
      </c>
      <c r="AQ80">
        <v>1.83</v>
      </c>
      <c r="AR80">
        <v>0</v>
      </c>
      <c r="AS80">
        <v>0</v>
      </c>
      <c r="AT80">
        <v>97</v>
      </c>
      <c r="AU80">
        <v>51</v>
      </c>
      <c r="AV80">
        <v>1.0469999999999999</v>
      </c>
      <c r="AW80">
        <v>1</v>
      </c>
      <c r="AZ80">
        <v>1</v>
      </c>
      <c r="BA80">
        <v>54.99</v>
      </c>
      <c r="BB80">
        <v>14.57</v>
      </c>
      <c r="BC80">
        <v>3.09</v>
      </c>
      <c r="BD80" t="s">
        <v>3</v>
      </c>
      <c r="BE80" t="s">
        <v>3</v>
      </c>
      <c r="BF80" t="s">
        <v>3</v>
      </c>
      <c r="BG80" t="s">
        <v>3</v>
      </c>
      <c r="BH80">
        <v>0</v>
      </c>
      <c r="BI80">
        <v>2</v>
      </c>
      <c r="BJ80" t="s">
        <v>125</v>
      </c>
      <c r="BM80">
        <v>67</v>
      </c>
      <c r="BN80">
        <v>58973116</v>
      </c>
      <c r="BO80" t="s">
        <v>123</v>
      </c>
      <c r="BP80">
        <v>1</v>
      </c>
      <c r="BQ80">
        <v>40</v>
      </c>
      <c r="BR80">
        <v>0</v>
      </c>
      <c r="BS80">
        <v>54.99</v>
      </c>
      <c r="BT80">
        <v>1</v>
      </c>
      <c r="BU80">
        <v>1</v>
      </c>
      <c r="BV80">
        <v>1</v>
      </c>
      <c r="BW80">
        <v>1</v>
      </c>
      <c r="BX80">
        <v>1</v>
      </c>
      <c r="BY80" t="s">
        <v>3</v>
      </c>
      <c r="BZ80">
        <v>97</v>
      </c>
      <c r="CA80">
        <v>51</v>
      </c>
      <c r="CB80" t="s">
        <v>3</v>
      </c>
      <c r="CE80">
        <v>1566</v>
      </c>
      <c r="CF80">
        <v>0</v>
      </c>
      <c r="CG80">
        <v>0</v>
      </c>
      <c r="CM80">
        <v>0</v>
      </c>
      <c r="CN80" t="s">
        <v>201</v>
      </c>
      <c r="CO80">
        <v>0</v>
      </c>
      <c r="CP80">
        <f t="shared" si="64"/>
        <v>820.39</v>
      </c>
      <c r="CQ80">
        <f t="shared" si="65"/>
        <v>171.4</v>
      </c>
      <c r="CR80">
        <f>(ROUND((ROUND((((ET80*1.1))*AV80*1),2)*BB80),2)+ROUND((ROUND(((AE80-((EU80*1.1)))*AV80*1),2)*BS80),2))</f>
        <v>44</v>
      </c>
      <c r="CS80">
        <f>(ROUND((ROUND((((EU80*1.1))*AV80*1),2)*BS80),2)+ROUND((ROUND(((AE80-((EU80*1.1)))*AV80*1),2)*BS80),2))</f>
        <v>19.25</v>
      </c>
      <c r="CT80">
        <f t="shared" si="66"/>
        <v>1425.34</v>
      </c>
      <c r="CU80">
        <f t="shared" si="67"/>
        <v>0</v>
      </c>
      <c r="CV80">
        <f t="shared" si="68"/>
        <v>2.1076110000000003</v>
      </c>
      <c r="CW80">
        <f t="shared" si="69"/>
        <v>0</v>
      </c>
      <c r="CX80">
        <f t="shared" si="70"/>
        <v>0</v>
      </c>
      <c r="CY80">
        <f>(ROUND((((S80+ROUND((ROUND((((EU80*1.1))*AV80*1),2)*BS80),2))*AT80)/100),2)+ROUND(((ROUND((ROUND(((AE80-((EU80*1.1)))*AV80*1),2)*BS80),2)*AT80)/100),2))</f>
        <v>709.96</v>
      </c>
      <c r="CZ80">
        <f>(ROUND((((S80+ROUND((ROUND((((EU80*1.1))*AV80*1),2)*BS80),2))*AU80)/100),2)+ROUND(((ROUND((ROUND(((AE80-((EU80*1.1)))*AV80*1),2)*BS80),2)*AU80)/100),2))</f>
        <v>373.28</v>
      </c>
      <c r="DB80">
        <v>10</v>
      </c>
      <c r="DC80" t="s">
        <v>3</v>
      </c>
      <c r="DD80" t="s">
        <v>23</v>
      </c>
      <c r="DE80" t="s">
        <v>24</v>
      </c>
      <c r="DF80" t="s">
        <v>24</v>
      </c>
      <c r="DG80" t="s">
        <v>24</v>
      </c>
      <c r="DH80" t="s">
        <v>3</v>
      </c>
      <c r="DI80" t="s">
        <v>24</v>
      </c>
      <c r="DJ80" t="s">
        <v>24</v>
      </c>
      <c r="DK80" t="s">
        <v>3</v>
      </c>
      <c r="DL80" t="s">
        <v>3</v>
      </c>
      <c r="DM80" t="s">
        <v>3</v>
      </c>
      <c r="DN80">
        <v>0</v>
      </c>
      <c r="DO80">
        <v>0</v>
      </c>
      <c r="DP80">
        <v>1</v>
      </c>
      <c r="DQ80">
        <v>1</v>
      </c>
      <c r="DU80">
        <v>1003</v>
      </c>
      <c r="DV80" t="s">
        <v>104</v>
      </c>
      <c r="DW80" t="s">
        <v>104</v>
      </c>
      <c r="DX80">
        <v>100</v>
      </c>
      <c r="DZ80" t="s">
        <v>3</v>
      </c>
      <c r="EA80" t="s">
        <v>3</v>
      </c>
      <c r="EB80" t="s">
        <v>3</v>
      </c>
      <c r="EC80" t="s">
        <v>3</v>
      </c>
      <c r="EE80">
        <v>60088531</v>
      </c>
      <c r="EF80">
        <v>40</v>
      </c>
      <c r="EG80" t="s">
        <v>25</v>
      </c>
      <c r="EH80">
        <v>0</v>
      </c>
      <c r="EI80" t="s">
        <v>3</v>
      </c>
      <c r="EJ80">
        <v>2</v>
      </c>
      <c r="EK80">
        <v>67</v>
      </c>
      <c r="EL80" t="s">
        <v>106</v>
      </c>
      <c r="EM80" t="s">
        <v>107</v>
      </c>
      <c r="EO80" t="s">
        <v>28</v>
      </c>
      <c r="EQ80">
        <v>0</v>
      </c>
      <c r="ER80">
        <v>80.599999999999994</v>
      </c>
      <c r="ES80">
        <v>55.47</v>
      </c>
      <c r="ET80">
        <v>2.62</v>
      </c>
      <c r="EU80">
        <v>0.3</v>
      </c>
      <c r="EV80">
        <v>22.51</v>
      </c>
      <c r="EW80">
        <v>1.83</v>
      </c>
      <c r="EX80">
        <v>0</v>
      </c>
      <c r="EY80">
        <v>0</v>
      </c>
      <c r="FQ80">
        <v>0</v>
      </c>
      <c r="FR80">
        <v>0</v>
      </c>
      <c r="FS80">
        <v>0</v>
      </c>
      <c r="FX80">
        <v>97</v>
      </c>
      <c r="FY80">
        <v>51</v>
      </c>
      <c r="GA80" t="s">
        <v>3</v>
      </c>
      <c r="GD80">
        <v>1</v>
      </c>
      <c r="GF80">
        <v>1118340632</v>
      </c>
      <c r="GG80">
        <v>2</v>
      </c>
      <c r="GH80">
        <v>1</v>
      </c>
      <c r="GI80">
        <v>2</v>
      </c>
      <c r="GJ80">
        <v>0</v>
      </c>
      <c r="GK80">
        <v>0</v>
      </c>
      <c r="GL80">
        <f t="shared" si="71"/>
        <v>0</v>
      </c>
      <c r="GM80">
        <f t="shared" si="72"/>
        <v>1888.98</v>
      </c>
      <c r="GN80">
        <f t="shared" si="73"/>
        <v>0</v>
      </c>
      <c r="GO80">
        <f t="shared" si="74"/>
        <v>1888.98</v>
      </c>
      <c r="GP80">
        <f t="shared" si="75"/>
        <v>0</v>
      </c>
      <c r="GR80">
        <v>0</v>
      </c>
      <c r="GS80">
        <v>3</v>
      </c>
      <c r="GT80">
        <v>0</v>
      </c>
      <c r="GU80" t="s">
        <v>3</v>
      </c>
      <c r="GV80">
        <f t="shared" si="76"/>
        <v>0</v>
      </c>
      <c r="GW80">
        <v>1</v>
      </c>
      <c r="GX80">
        <f t="shared" si="77"/>
        <v>0</v>
      </c>
      <c r="HA80">
        <v>0</v>
      </c>
      <c r="HB80">
        <v>0</v>
      </c>
      <c r="HC80">
        <f t="shared" si="78"/>
        <v>0</v>
      </c>
      <c r="HE80" t="s">
        <v>3</v>
      </c>
      <c r="HF80" t="s">
        <v>3</v>
      </c>
      <c r="HM80" t="s">
        <v>3</v>
      </c>
      <c r="HN80" t="s">
        <v>3</v>
      </c>
      <c r="HO80" t="s">
        <v>3</v>
      </c>
      <c r="HP80" t="s">
        <v>3</v>
      </c>
      <c r="HQ80" t="s">
        <v>3</v>
      </c>
      <c r="HS80">
        <v>0</v>
      </c>
      <c r="IK80">
        <v>0</v>
      </c>
    </row>
    <row r="81" spans="1:255" x14ac:dyDescent="0.2">
      <c r="A81" s="2">
        <v>17</v>
      </c>
      <c r="B81" s="2">
        <v>1</v>
      </c>
      <c r="C81" s="2"/>
      <c r="D81" s="2"/>
      <c r="E81" s="2" t="s">
        <v>126</v>
      </c>
      <c r="F81" s="2" t="s">
        <v>127</v>
      </c>
      <c r="G81" s="2" t="s">
        <v>128</v>
      </c>
      <c r="H81" s="2" t="s">
        <v>129</v>
      </c>
      <c r="I81" s="2">
        <f>ROUND(0.1*1.02,9)</f>
        <v>0.10199999999999999</v>
      </c>
      <c r="J81" s="2">
        <v>0</v>
      </c>
      <c r="K81" s="2">
        <f>ROUND(0.1*1.02,9)</f>
        <v>0.10199999999999999</v>
      </c>
      <c r="L81" s="2"/>
      <c r="M81" s="2"/>
      <c r="N81" s="2"/>
      <c r="O81" s="2">
        <f t="shared" si="54"/>
        <v>316.7</v>
      </c>
      <c r="P81" s="2">
        <f t="shared" si="55"/>
        <v>316.7</v>
      </c>
      <c r="Q81" s="2">
        <f>(ROUND((ROUND(((ET81)*AV81*I81),2)*BB81),2)+ROUND((ROUND(((AE81-(EU81))*AV81*I81),2)*BS81),2))</f>
        <v>0</v>
      </c>
      <c r="R81" s="2">
        <f>(ROUND((ROUND(((EU81)*AV81*I81),2)*BS81),2)+ROUND((ROUND(((AE81-(EU81))*AV81*I81),2)*BS81),2))</f>
        <v>0</v>
      </c>
      <c r="S81" s="2">
        <f t="shared" si="56"/>
        <v>0</v>
      </c>
      <c r="T81" s="2">
        <f t="shared" si="57"/>
        <v>0</v>
      </c>
      <c r="U81" s="2">
        <f t="shared" si="58"/>
        <v>0</v>
      </c>
      <c r="V81" s="2">
        <f t="shared" si="59"/>
        <v>0</v>
      </c>
      <c r="W81" s="2">
        <f t="shared" si="60"/>
        <v>0</v>
      </c>
      <c r="X81" s="2">
        <f>(ROUND((((S81+ROUND((ROUND(((EU81)*AV81*I81),2)*BS81),2))*AT81)/100),2)+ROUND(((ROUND((ROUND(((AE81-(EU81))*AV81*I81),2)*BS81),2)*AT81)/100),2))</f>
        <v>0</v>
      </c>
      <c r="Y81" s="2">
        <f>(ROUND((((S81+ROUND((ROUND(((EU81)*AV81*I81),2)*BS81),2))*AU81)/100),2)+ROUND(((ROUND((ROUND(((AE81-(EU81))*AV81*I81),2)*BS81),2)*AU81)/100),2))</f>
        <v>0</v>
      </c>
      <c r="Z81" s="2"/>
      <c r="AA81" s="2">
        <v>60257736</v>
      </c>
      <c r="AB81" s="2">
        <f t="shared" si="61"/>
        <v>3104.91</v>
      </c>
      <c r="AC81" s="2">
        <f>ROUND((ES81),6)</f>
        <v>3104.91</v>
      </c>
      <c r="AD81" s="2">
        <f>ROUND((((ET81)-(EU81))+AE81),6)</f>
        <v>0</v>
      </c>
      <c r="AE81" s="2">
        <f>ROUND((EU81),6)</f>
        <v>0</v>
      </c>
      <c r="AF81" s="2">
        <f>ROUND((EV81),6)</f>
        <v>0</v>
      </c>
      <c r="AG81" s="2">
        <f t="shared" si="62"/>
        <v>0</v>
      </c>
      <c r="AH81" s="2">
        <f>(EW81)</f>
        <v>0</v>
      </c>
      <c r="AI81" s="2">
        <f>(EX81)</f>
        <v>0</v>
      </c>
      <c r="AJ81" s="2">
        <f t="shared" si="63"/>
        <v>0</v>
      </c>
      <c r="AK81" s="2">
        <v>3104.9100000000003</v>
      </c>
      <c r="AL81" s="2">
        <v>3104.9100000000003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1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3</v>
      </c>
      <c r="BI81" s="2">
        <v>2</v>
      </c>
      <c r="BJ81" s="2" t="s">
        <v>3</v>
      </c>
      <c r="BK81" s="2"/>
      <c r="BL81" s="2"/>
      <c r="BM81" s="2">
        <v>400002</v>
      </c>
      <c r="BN81" s="2">
        <v>0</v>
      </c>
      <c r="BO81" s="2" t="s">
        <v>3</v>
      </c>
      <c r="BP81" s="2">
        <v>0</v>
      </c>
      <c r="BQ81" s="2">
        <v>202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0</v>
      </c>
      <c r="CA81" s="2">
        <v>0</v>
      </c>
      <c r="CB81" s="2" t="s">
        <v>3</v>
      </c>
      <c r="CC81" s="2"/>
      <c r="CD81" s="2"/>
      <c r="CE81" s="2">
        <v>1566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2" t="s">
        <v>3</v>
      </c>
      <c r="CO81" s="2">
        <v>0</v>
      </c>
      <c r="CP81" s="2">
        <f t="shared" si="64"/>
        <v>316.7</v>
      </c>
      <c r="CQ81" s="2">
        <f t="shared" si="65"/>
        <v>3104.91</v>
      </c>
      <c r="CR81" s="2">
        <f>(ROUND((ROUND(((ET81)*AV81*1),2)*BB81),2)+ROUND((ROUND(((AE81-(EU81))*AV81*1),2)*BS81),2))</f>
        <v>0</v>
      </c>
      <c r="CS81" s="2">
        <f>(ROUND((ROUND(((EU81)*AV81*1),2)*BS81),2)+ROUND((ROUND(((AE81-(EU81))*AV81*1),2)*BS81),2))</f>
        <v>0</v>
      </c>
      <c r="CT81" s="2">
        <f t="shared" si="66"/>
        <v>0</v>
      </c>
      <c r="CU81" s="2">
        <f t="shared" si="67"/>
        <v>0</v>
      </c>
      <c r="CV81" s="2">
        <f t="shared" si="68"/>
        <v>0</v>
      </c>
      <c r="CW81" s="2">
        <f t="shared" si="69"/>
        <v>0</v>
      </c>
      <c r="CX81" s="2">
        <f t="shared" si="70"/>
        <v>0</v>
      </c>
      <c r="CY81" s="2">
        <f>(ROUND((((S81+ROUND((ROUND(((EU81)*AV81*1),2)*BS81),2))*AT81)/100),2)+ROUND(((ROUND((ROUND(((AE81-(EU81))*AV81*1),2)*BS81),2)*AT81)/100),2))</f>
        <v>0</v>
      </c>
      <c r="CZ81" s="2">
        <f>(ROUND((((S81+ROUND((ROUND(((EU81)*AV81*1),2)*BS81),2))*AU81)/100),2)+ROUND(((ROUND((ROUND(((AE81-(EU81))*AV81*1),2)*BS81),2)*AU81)/100),2))</f>
        <v>0</v>
      </c>
      <c r="DA81" s="2"/>
      <c r="DB81" s="2"/>
      <c r="DC81" s="2" t="s">
        <v>3</v>
      </c>
      <c r="DD81" s="2" t="s">
        <v>3</v>
      </c>
      <c r="DE81" s="2" t="s">
        <v>3</v>
      </c>
      <c r="DF81" s="2" t="s">
        <v>3</v>
      </c>
      <c r="DG81" s="2" t="s">
        <v>3</v>
      </c>
      <c r="DH81" s="2" t="s">
        <v>3</v>
      </c>
      <c r="DI81" s="2" t="s">
        <v>3</v>
      </c>
      <c r="DJ81" s="2" t="s">
        <v>3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1003</v>
      </c>
      <c r="DV81" s="2" t="s">
        <v>129</v>
      </c>
      <c r="DW81" s="2" t="s">
        <v>129</v>
      </c>
      <c r="DX81" s="2">
        <v>1000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60088644</v>
      </c>
      <c r="EF81" s="2">
        <v>202</v>
      </c>
      <c r="EG81" s="2" t="s">
        <v>130</v>
      </c>
      <c r="EH81" s="2">
        <v>0</v>
      </c>
      <c r="EI81" s="2" t="s">
        <v>3</v>
      </c>
      <c r="EJ81" s="2">
        <v>1</v>
      </c>
      <c r="EK81" s="2">
        <v>400002</v>
      </c>
      <c r="EL81" s="2" t="s">
        <v>131</v>
      </c>
      <c r="EM81" s="2" t="s">
        <v>130</v>
      </c>
      <c r="EN81" s="2"/>
      <c r="EO81" s="2" t="s">
        <v>3</v>
      </c>
      <c r="EP81" s="2"/>
      <c r="EQ81" s="2">
        <v>0</v>
      </c>
      <c r="ER81" s="2">
        <v>0</v>
      </c>
      <c r="ES81" s="2">
        <v>3104.9100000000003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v>0</v>
      </c>
      <c r="FS81" s="2">
        <v>0</v>
      </c>
      <c r="FT81" s="2"/>
      <c r="FU81" s="2"/>
      <c r="FV81" s="2"/>
      <c r="FW81" s="2"/>
      <c r="FX81" s="2">
        <v>0</v>
      </c>
      <c r="FY81" s="2">
        <v>0</v>
      </c>
      <c r="FZ81" s="2"/>
      <c r="GA81" s="2" t="s">
        <v>132</v>
      </c>
      <c r="GB81" s="2"/>
      <c r="GC81" s="2"/>
      <c r="GD81" s="2">
        <v>1</v>
      </c>
      <c r="GE81" s="2"/>
      <c r="GF81" s="2">
        <v>411873728</v>
      </c>
      <c r="GG81" s="2">
        <v>2</v>
      </c>
      <c r="GH81" s="2">
        <v>4</v>
      </c>
      <c r="GI81" s="2">
        <v>-2</v>
      </c>
      <c r="GJ81" s="2">
        <v>0</v>
      </c>
      <c r="GK81" s="2">
        <v>0</v>
      </c>
      <c r="GL81" s="2">
        <f t="shared" si="71"/>
        <v>0</v>
      </c>
      <c r="GM81" s="2">
        <f t="shared" si="72"/>
        <v>316.7</v>
      </c>
      <c r="GN81" s="2">
        <f t="shared" si="73"/>
        <v>0</v>
      </c>
      <c r="GO81" s="2">
        <f t="shared" si="74"/>
        <v>316.7</v>
      </c>
      <c r="GP81" s="2">
        <f t="shared" si="75"/>
        <v>0</v>
      </c>
      <c r="GQ81" s="2"/>
      <c r="GR81" s="2">
        <v>0</v>
      </c>
      <c r="GS81" s="2">
        <v>2</v>
      </c>
      <c r="GT81" s="2">
        <v>0</v>
      </c>
      <c r="GU81" s="2" t="s">
        <v>3</v>
      </c>
      <c r="GV81" s="2">
        <f t="shared" si="76"/>
        <v>0</v>
      </c>
      <c r="GW81" s="2">
        <v>1</v>
      </c>
      <c r="GX81" s="2">
        <f t="shared" si="77"/>
        <v>0</v>
      </c>
      <c r="GY81" s="2"/>
      <c r="GZ81" s="2"/>
      <c r="HA81" s="2">
        <v>0</v>
      </c>
      <c r="HB81" s="2">
        <v>0</v>
      </c>
      <c r="HC81" s="2">
        <f t="shared" si="78"/>
        <v>0</v>
      </c>
      <c r="HD81" s="2"/>
      <c r="HE81" s="2" t="s">
        <v>133</v>
      </c>
      <c r="HF81" s="2" t="s">
        <v>29</v>
      </c>
      <c r="HG81" s="2"/>
      <c r="HH81" s="2"/>
      <c r="HI81" s="2"/>
      <c r="HJ81" s="2"/>
      <c r="HK81" s="2"/>
      <c r="HL81" s="2"/>
      <c r="HM81" s="2" t="s">
        <v>3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x14ac:dyDescent="0.2">
      <c r="A82">
        <v>17</v>
      </c>
      <c r="B82">
        <v>1</v>
      </c>
      <c r="E82" t="s">
        <v>126</v>
      </c>
      <c r="F82" t="s">
        <v>127</v>
      </c>
      <c r="G82" t="s">
        <v>128</v>
      </c>
      <c r="H82" t="s">
        <v>129</v>
      </c>
      <c r="I82">
        <f>ROUND(0.1*1.02,9)</f>
        <v>0.10199999999999999</v>
      </c>
      <c r="J82">
        <v>0</v>
      </c>
      <c r="K82">
        <f>ROUND(0.1*1.02,9)</f>
        <v>0.10199999999999999</v>
      </c>
      <c r="O82">
        <f t="shared" si="54"/>
        <v>3129</v>
      </c>
      <c r="P82">
        <f t="shared" si="55"/>
        <v>3129</v>
      </c>
      <c r="Q82">
        <f>(ROUND((ROUND(((ET82)*AV82*I82),2)*BB82),2)+ROUND((ROUND(((AE82-(EU82))*AV82*I82),2)*BS82),2))</f>
        <v>0</v>
      </c>
      <c r="R82">
        <f>(ROUND((ROUND(((EU82)*AV82*I82),2)*BS82),2)+ROUND((ROUND(((AE82-(EU82))*AV82*I82),2)*BS82),2))</f>
        <v>0</v>
      </c>
      <c r="S82">
        <f t="shared" si="56"/>
        <v>0</v>
      </c>
      <c r="T82">
        <f t="shared" si="57"/>
        <v>0</v>
      </c>
      <c r="U82">
        <f t="shared" si="58"/>
        <v>0</v>
      </c>
      <c r="V82">
        <f t="shared" si="59"/>
        <v>0</v>
      </c>
      <c r="W82">
        <f t="shared" si="60"/>
        <v>0</v>
      </c>
      <c r="X82">
        <f>(ROUND((((S82+ROUND((ROUND(((EU82)*AV82*I82),2)*BS82),2))*AT82)/100),2)+ROUND(((ROUND((ROUND(((AE82-(EU82))*AV82*I82),2)*BS82),2)*AT82)/100),2))</f>
        <v>0</v>
      </c>
      <c r="Y82">
        <f>(ROUND((((S82+ROUND((ROUND(((EU82)*AV82*I82),2)*BS82),2))*AU82)/100),2)+ROUND(((ROUND((ROUND(((AE82-(EU82))*AV82*I82),2)*BS82),2)*AU82)/100),2))</f>
        <v>0</v>
      </c>
      <c r="AA82">
        <v>60257733</v>
      </c>
      <c r="AB82">
        <f t="shared" si="61"/>
        <v>3104.91</v>
      </c>
      <c r="AC82">
        <f>ROUND((ES82),6)</f>
        <v>3104.91</v>
      </c>
      <c r="AD82">
        <f>ROUND((((ET82)-(EU82))+AE82),6)</f>
        <v>0</v>
      </c>
      <c r="AE82">
        <f>ROUND((EU82),6)</f>
        <v>0</v>
      </c>
      <c r="AF82">
        <f>ROUND((EV82),6)</f>
        <v>0</v>
      </c>
      <c r="AG82">
        <f t="shared" si="62"/>
        <v>0</v>
      </c>
      <c r="AH82">
        <f>(EW82)</f>
        <v>0</v>
      </c>
      <c r="AI82">
        <f>(EX82)</f>
        <v>0</v>
      </c>
      <c r="AJ82">
        <f t="shared" si="63"/>
        <v>0</v>
      </c>
      <c r="AK82">
        <v>3104.9100000000003</v>
      </c>
      <c r="AL82">
        <v>3104.9100000000003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Z82">
        <v>1</v>
      </c>
      <c r="BA82">
        <v>1</v>
      </c>
      <c r="BB82">
        <v>1</v>
      </c>
      <c r="BC82">
        <v>9.8800000000000008</v>
      </c>
      <c r="BD82" t="s">
        <v>3</v>
      </c>
      <c r="BE82" t="s">
        <v>3</v>
      </c>
      <c r="BF82" t="s">
        <v>3</v>
      </c>
      <c r="BG82" t="s">
        <v>3</v>
      </c>
      <c r="BH82">
        <v>3</v>
      </c>
      <c r="BI82">
        <v>2</v>
      </c>
      <c r="BJ82" t="s">
        <v>3</v>
      </c>
      <c r="BM82">
        <v>400002</v>
      </c>
      <c r="BN82">
        <v>0</v>
      </c>
      <c r="BO82" t="s">
        <v>3</v>
      </c>
      <c r="BP82">
        <v>0</v>
      </c>
      <c r="BQ82">
        <v>202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 t="s">
        <v>3</v>
      </c>
      <c r="BZ82">
        <v>0</v>
      </c>
      <c r="CA82">
        <v>0</v>
      </c>
      <c r="CB82" t="s">
        <v>3</v>
      </c>
      <c r="CE82">
        <v>1566</v>
      </c>
      <c r="CF82">
        <v>0</v>
      </c>
      <c r="CG82">
        <v>0</v>
      </c>
      <c r="CM82">
        <v>0</v>
      </c>
      <c r="CN82" t="s">
        <v>3</v>
      </c>
      <c r="CO82">
        <v>0</v>
      </c>
      <c r="CP82">
        <f t="shared" si="64"/>
        <v>3129</v>
      </c>
      <c r="CQ82">
        <f t="shared" si="65"/>
        <v>30676.51</v>
      </c>
      <c r="CR82">
        <f>(ROUND((ROUND(((ET82)*AV82*1),2)*BB82),2)+ROUND((ROUND(((AE82-(EU82))*AV82*1),2)*BS82),2))</f>
        <v>0</v>
      </c>
      <c r="CS82">
        <f>(ROUND((ROUND(((EU82)*AV82*1),2)*BS82),2)+ROUND((ROUND(((AE82-(EU82))*AV82*1),2)*BS82),2))</f>
        <v>0</v>
      </c>
      <c r="CT82">
        <f t="shared" si="66"/>
        <v>0</v>
      </c>
      <c r="CU82">
        <f t="shared" si="67"/>
        <v>0</v>
      </c>
      <c r="CV82">
        <f t="shared" si="68"/>
        <v>0</v>
      </c>
      <c r="CW82">
        <f t="shared" si="69"/>
        <v>0</v>
      </c>
      <c r="CX82">
        <f t="shared" si="70"/>
        <v>0</v>
      </c>
      <c r="CY82">
        <f>(ROUND((((S82+ROUND((ROUND(((EU82)*AV82*1),2)*BS82),2))*AT82)/100),2)+ROUND(((ROUND((ROUND(((AE82-(EU82))*AV82*1),2)*BS82),2)*AT82)/100),2))</f>
        <v>0</v>
      </c>
      <c r="CZ82">
        <f>(ROUND((((S82+ROUND((ROUND(((EU82)*AV82*1),2)*BS82),2))*AU82)/100),2)+ROUND(((ROUND((ROUND(((AE82-(EU82))*AV82*1),2)*BS82),2)*AU82)/100),2))</f>
        <v>0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>
        <v>0</v>
      </c>
      <c r="DO82">
        <v>0</v>
      </c>
      <c r="DP82">
        <v>1</v>
      </c>
      <c r="DQ82">
        <v>1</v>
      </c>
      <c r="DU82">
        <v>1003</v>
      </c>
      <c r="DV82" t="s">
        <v>129</v>
      </c>
      <c r="DW82" t="s">
        <v>129</v>
      </c>
      <c r="DX82">
        <v>1000</v>
      </c>
      <c r="DZ82" t="s">
        <v>3</v>
      </c>
      <c r="EA82" t="s">
        <v>3</v>
      </c>
      <c r="EB82" t="s">
        <v>3</v>
      </c>
      <c r="EC82" t="s">
        <v>3</v>
      </c>
      <c r="EE82">
        <v>60088644</v>
      </c>
      <c r="EF82">
        <v>202</v>
      </c>
      <c r="EG82" t="s">
        <v>130</v>
      </c>
      <c r="EH82">
        <v>0</v>
      </c>
      <c r="EI82" t="s">
        <v>3</v>
      </c>
      <c r="EJ82">
        <v>1</v>
      </c>
      <c r="EK82">
        <v>400002</v>
      </c>
      <c r="EL82" t="s">
        <v>131</v>
      </c>
      <c r="EM82" t="s">
        <v>130</v>
      </c>
      <c r="EO82" t="s">
        <v>3</v>
      </c>
      <c r="EQ82">
        <v>0</v>
      </c>
      <c r="ER82">
        <v>0</v>
      </c>
      <c r="ES82">
        <v>3104.9100000000003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5</v>
      </c>
      <c r="FC82">
        <v>1</v>
      </c>
      <c r="FD82">
        <v>18</v>
      </c>
      <c r="FF82">
        <v>36090</v>
      </c>
      <c r="FQ82">
        <v>0</v>
      </c>
      <c r="FR82">
        <v>0</v>
      </c>
      <c r="FS82">
        <v>0</v>
      </c>
      <c r="FX82">
        <v>0</v>
      </c>
      <c r="FY82">
        <v>0</v>
      </c>
      <c r="GA82" t="s">
        <v>132</v>
      </c>
      <c r="GD82">
        <v>1</v>
      </c>
      <c r="GF82">
        <v>411873728</v>
      </c>
      <c r="GG82">
        <v>2</v>
      </c>
      <c r="GH82">
        <v>3</v>
      </c>
      <c r="GI82">
        <v>5</v>
      </c>
      <c r="GJ82">
        <v>0</v>
      </c>
      <c r="GK82">
        <v>0</v>
      </c>
      <c r="GL82">
        <f t="shared" si="71"/>
        <v>0</v>
      </c>
      <c r="GM82">
        <f t="shared" si="72"/>
        <v>3129</v>
      </c>
      <c r="GN82">
        <f t="shared" si="73"/>
        <v>0</v>
      </c>
      <c r="GO82">
        <f t="shared" si="74"/>
        <v>3129</v>
      </c>
      <c r="GP82">
        <f t="shared" si="75"/>
        <v>0</v>
      </c>
      <c r="GR82">
        <v>1</v>
      </c>
      <c r="GS82">
        <v>1</v>
      </c>
      <c r="GT82">
        <v>0</v>
      </c>
      <c r="GU82" t="s">
        <v>3</v>
      </c>
      <c r="GV82">
        <f t="shared" si="76"/>
        <v>0</v>
      </c>
      <c r="GW82">
        <v>1</v>
      </c>
      <c r="GX82">
        <f t="shared" si="77"/>
        <v>0</v>
      </c>
      <c r="HA82">
        <v>0</v>
      </c>
      <c r="HB82">
        <v>0</v>
      </c>
      <c r="HC82">
        <f t="shared" si="78"/>
        <v>0</v>
      </c>
      <c r="HE82" t="s">
        <v>133</v>
      </c>
      <c r="HF82" t="s">
        <v>29</v>
      </c>
      <c r="HM82" t="s">
        <v>3</v>
      </c>
      <c r="HN82" t="s">
        <v>3</v>
      </c>
      <c r="HO82" t="s">
        <v>3</v>
      </c>
      <c r="HP82" t="s">
        <v>3</v>
      </c>
      <c r="HQ82" t="s">
        <v>3</v>
      </c>
      <c r="HS82">
        <v>0</v>
      </c>
      <c r="IK82">
        <v>0</v>
      </c>
    </row>
    <row r="84" spans="1:255" x14ac:dyDescent="0.2">
      <c r="A84" s="3">
        <v>51</v>
      </c>
      <c r="B84" s="3">
        <f>B67</f>
        <v>1</v>
      </c>
      <c r="C84" s="3">
        <f>A67</f>
        <v>4</v>
      </c>
      <c r="D84" s="3">
        <f>ROW(A67)</f>
        <v>67</v>
      </c>
      <c r="E84" s="3"/>
      <c r="F84" s="3" t="str">
        <f>IF(F67&lt;&gt;"",F67,"")</f>
        <v/>
      </c>
      <c r="G84" s="3" t="str">
        <f>IF(G67&lt;&gt;"",G67,"")</f>
        <v>Кабельные изделия</v>
      </c>
      <c r="H84" s="3">
        <v>0</v>
      </c>
      <c r="I84" s="3"/>
      <c r="J84" s="3"/>
      <c r="K84" s="3"/>
      <c r="L84" s="3"/>
      <c r="M84" s="3"/>
      <c r="N84" s="3"/>
      <c r="O84" s="3">
        <f t="shared" ref="O84:T84" si="83">ROUND(AB84,2)</f>
        <v>854.42</v>
      </c>
      <c r="P84" s="3">
        <f t="shared" si="83"/>
        <v>681.21</v>
      </c>
      <c r="Q84" s="3">
        <f t="shared" si="83"/>
        <v>21.87</v>
      </c>
      <c r="R84" s="3">
        <f t="shared" si="83"/>
        <v>3.48</v>
      </c>
      <c r="S84" s="3">
        <f t="shared" si="83"/>
        <v>151.34</v>
      </c>
      <c r="T84" s="3">
        <f t="shared" si="83"/>
        <v>0</v>
      </c>
      <c r="U84" s="3">
        <f>AH84</f>
        <v>11.914336500000001</v>
      </c>
      <c r="V84" s="3">
        <f>AI84</f>
        <v>0</v>
      </c>
      <c r="W84" s="3">
        <f>ROUND(AJ84,2)</f>
        <v>0</v>
      </c>
      <c r="X84" s="3">
        <f>ROUND(AK84,2)</f>
        <v>150.18</v>
      </c>
      <c r="Y84" s="3">
        <f>ROUND(AL84,2)</f>
        <v>78.959999999999994</v>
      </c>
      <c r="Z84" s="3"/>
      <c r="AA84" s="3"/>
      <c r="AB84" s="3">
        <f>ROUND(SUMIF(AA71:AA82,"=60257736",O71:O82),2)</f>
        <v>854.42</v>
      </c>
      <c r="AC84" s="3">
        <f>ROUND(SUMIF(AA71:AA82,"=60257736",P71:P82),2)</f>
        <v>681.21</v>
      </c>
      <c r="AD84" s="3">
        <f>ROUND(SUMIF(AA71:AA82,"=60257736",Q71:Q82),2)</f>
        <v>21.87</v>
      </c>
      <c r="AE84" s="3">
        <f>ROUND(SUMIF(AA71:AA82,"=60257736",R71:R82),2)</f>
        <v>3.48</v>
      </c>
      <c r="AF84" s="3">
        <f>ROUND(SUMIF(AA71:AA82,"=60257736",S71:S82),2)</f>
        <v>151.34</v>
      </c>
      <c r="AG84" s="3">
        <f>ROUND(SUMIF(AA71:AA82,"=60257736",T71:T82),2)</f>
        <v>0</v>
      </c>
      <c r="AH84" s="3">
        <f>SUMIF(AA71:AA82,"=60257736",U71:U82)</f>
        <v>11.914336500000001</v>
      </c>
      <c r="AI84" s="3">
        <f>SUMIF(AA71:AA82,"=60257736",V71:V82)</f>
        <v>0</v>
      </c>
      <c r="AJ84" s="3">
        <f>ROUND(SUMIF(AA71:AA82,"=60257736",W71:W82),2)</f>
        <v>0</v>
      </c>
      <c r="AK84" s="3">
        <f>ROUND(SUMIF(AA71:AA82,"=60257736",X71:X82),2)</f>
        <v>150.18</v>
      </c>
      <c r="AL84" s="3">
        <f>ROUND(SUMIF(AA71:AA82,"=60257736",Y71:Y82),2)</f>
        <v>78.959999999999994</v>
      </c>
      <c r="AM84" s="3"/>
      <c r="AN84" s="3"/>
      <c r="AO84" s="3">
        <f t="shared" ref="AO84:BD84" si="84">ROUND(BX84,2)</f>
        <v>0</v>
      </c>
      <c r="AP84" s="3">
        <f t="shared" si="84"/>
        <v>0</v>
      </c>
      <c r="AQ84" s="3">
        <f t="shared" si="84"/>
        <v>0</v>
      </c>
      <c r="AR84" s="3">
        <f t="shared" si="84"/>
        <v>1083.56</v>
      </c>
      <c r="AS84" s="3">
        <f t="shared" si="84"/>
        <v>0</v>
      </c>
      <c r="AT84" s="3">
        <f t="shared" si="84"/>
        <v>1083.56</v>
      </c>
      <c r="AU84" s="3">
        <f t="shared" si="84"/>
        <v>0</v>
      </c>
      <c r="AV84" s="3">
        <f t="shared" si="84"/>
        <v>681.21</v>
      </c>
      <c r="AW84" s="3">
        <f t="shared" si="84"/>
        <v>681.21</v>
      </c>
      <c r="AX84" s="3">
        <f t="shared" si="84"/>
        <v>0</v>
      </c>
      <c r="AY84" s="3">
        <f t="shared" si="84"/>
        <v>681.21</v>
      </c>
      <c r="AZ84" s="3">
        <f t="shared" si="84"/>
        <v>0</v>
      </c>
      <c r="BA84" s="3">
        <f t="shared" si="84"/>
        <v>0</v>
      </c>
      <c r="BB84" s="3">
        <f t="shared" si="84"/>
        <v>0</v>
      </c>
      <c r="BC84" s="3">
        <f t="shared" si="84"/>
        <v>0</v>
      </c>
      <c r="BD84" s="3">
        <f t="shared" si="84"/>
        <v>0</v>
      </c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>
        <f>ROUND(SUMIF(AA71:AA82,"=60257736",FQ71:FQ82),2)</f>
        <v>0</v>
      </c>
      <c r="BY84" s="3">
        <f>ROUND(SUMIF(AA71:AA82,"=60257736",FR71:FR82),2)</f>
        <v>0</v>
      </c>
      <c r="BZ84" s="3">
        <f>ROUND(SUMIF(AA71:AA82,"=60257736",GL71:GL82),2)</f>
        <v>0</v>
      </c>
      <c r="CA84" s="3">
        <f>ROUND(SUMIF(AA71:AA82,"=60257736",GM71:GM82),2)</f>
        <v>1083.56</v>
      </c>
      <c r="CB84" s="3">
        <f>ROUND(SUMIF(AA71:AA82,"=60257736",GN71:GN82),2)</f>
        <v>0</v>
      </c>
      <c r="CC84" s="3">
        <f>ROUND(SUMIF(AA71:AA82,"=60257736",GO71:GO82),2)</f>
        <v>1083.56</v>
      </c>
      <c r="CD84" s="3">
        <f>ROUND(SUMIF(AA71:AA82,"=60257736",GP71:GP82),2)</f>
        <v>0</v>
      </c>
      <c r="CE84" s="3">
        <f>AC84-BX84</f>
        <v>681.21</v>
      </c>
      <c r="CF84" s="3">
        <f>AC84-BY84</f>
        <v>681.21</v>
      </c>
      <c r="CG84" s="3">
        <f>BX84-BZ84</f>
        <v>0</v>
      </c>
      <c r="CH84" s="3">
        <f>AC84-BX84-BY84+BZ84</f>
        <v>681.21</v>
      </c>
      <c r="CI84" s="3">
        <f>BY84-BZ84</f>
        <v>0</v>
      </c>
      <c r="CJ84" s="3">
        <f>ROUND(SUMIF(AA71:AA82,"=60257736",GX71:GX82),2)</f>
        <v>0</v>
      </c>
      <c r="CK84" s="3">
        <f>ROUND(SUMIF(AA71:AA82,"=60257736",GY71:GY82),2)</f>
        <v>0</v>
      </c>
      <c r="CL84" s="3">
        <f>ROUND(SUMIF(AA71:AA82,"=60257736",GZ71:GZ82),2)</f>
        <v>0</v>
      </c>
      <c r="CM84" s="3">
        <f>ROUND(SUMIF(AA71:AA82,"=60257736",HD71:HD82),2)</f>
        <v>0</v>
      </c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4">
        <f t="shared" ref="DG84:DL84" si="85">ROUND(DT84,2)</f>
        <v>14236.99</v>
      </c>
      <c r="DH84" s="4">
        <f t="shared" si="85"/>
        <v>5540.18</v>
      </c>
      <c r="DI84" s="4">
        <f t="shared" si="85"/>
        <v>374.63</v>
      </c>
      <c r="DJ84" s="4">
        <f t="shared" si="85"/>
        <v>191.37</v>
      </c>
      <c r="DK84" s="4">
        <f t="shared" si="85"/>
        <v>8322.18</v>
      </c>
      <c r="DL84" s="4">
        <f t="shared" si="85"/>
        <v>0</v>
      </c>
      <c r="DM84" s="4">
        <f>DZ84</f>
        <v>11.914336500000001</v>
      </c>
      <c r="DN84" s="4">
        <f>EA84</f>
        <v>0</v>
      </c>
      <c r="DO84" s="4">
        <f>ROUND(EB84,2)</f>
        <v>0</v>
      </c>
      <c r="DP84" s="4">
        <f>ROUND(EC84,2)</f>
        <v>8258.15</v>
      </c>
      <c r="DQ84" s="4">
        <f>ROUND(ED84,2)</f>
        <v>4341.92</v>
      </c>
      <c r="DR84" s="4"/>
      <c r="DS84" s="4"/>
      <c r="DT84" s="4">
        <f>ROUND(SUMIF(AA71:AA82,"=60257733",O71:O82),2)</f>
        <v>14236.99</v>
      </c>
      <c r="DU84" s="4">
        <f>ROUND(SUMIF(AA71:AA82,"=60257733",P71:P82),2)</f>
        <v>5540.18</v>
      </c>
      <c r="DV84" s="4">
        <f>ROUND(SUMIF(AA71:AA82,"=60257733",Q71:Q82),2)</f>
        <v>374.63</v>
      </c>
      <c r="DW84" s="4">
        <f>ROUND(SUMIF(AA71:AA82,"=60257733",R71:R82),2)</f>
        <v>191.37</v>
      </c>
      <c r="DX84" s="4">
        <f>ROUND(SUMIF(AA71:AA82,"=60257733",S71:S82),2)</f>
        <v>8322.18</v>
      </c>
      <c r="DY84" s="4">
        <f>ROUND(SUMIF(AA71:AA82,"=60257733",T71:T82),2)</f>
        <v>0</v>
      </c>
      <c r="DZ84" s="4">
        <f>SUMIF(AA71:AA82,"=60257733",U71:U82)</f>
        <v>11.914336500000001</v>
      </c>
      <c r="EA84" s="4">
        <f>SUMIF(AA71:AA82,"=60257733",V71:V82)</f>
        <v>0</v>
      </c>
      <c r="EB84" s="4">
        <f>ROUND(SUMIF(AA71:AA82,"=60257733",W71:W82),2)</f>
        <v>0</v>
      </c>
      <c r="EC84" s="4">
        <f>ROUND(SUMIF(AA71:AA82,"=60257733",X71:X82),2)</f>
        <v>8258.15</v>
      </c>
      <c r="ED84" s="4">
        <f>ROUND(SUMIF(AA71:AA82,"=60257733",Y71:Y82),2)</f>
        <v>4341.92</v>
      </c>
      <c r="EE84" s="4"/>
      <c r="EF84" s="4"/>
      <c r="EG84" s="4">
        <f t="shared" ref="EG84:EV84" si="86">ROUND(FP84,2)</f>
        <v>0</v>
      </c>
      <c r="EH84" s="4">
        <f t="shared" si="86"/>
        <v>0</v>
      </c>
      <c r="EI84" s="4">
        <f t="shared" si="86"/>
        <v>0</v>
      </c>
      <c r="EJ84" s="4">
        <f t="shared" si="86"/>
        <v>26837.06</v>
      </c>
      <c r="EK84" s="4">
        <f t="shared" si="86"/>
        <v>0</v>
      </c>
      <c r="EL84" s="4">
        <f t="shared" si="86"/>
        <v>26837.06</v>
      </c>
      <c r="EM84" s="4">
        <f t="shared" si="86"/>
        <v>0</v>
      </c>
      <c r="EN84" s="4">
        <f t="shared" si="86"/>
        <v>5540.18</v>
      </c>
      <c r="EO84" s="4">
        <f t="shared" si="86"/>
        <v>5540.18</v>
      </c>
      <c r="EP84" s="4">
        <f t="shared" si="86"/>
        <v>0</v>
      </c>
      <c r="EQ84" s="4">
        <f t="shared" si="86"/>
        <v>5540.18</v>
      </c>
      <c r="ER84" s="4">
        <f t="shared" si="86"/>
        <v>0</v>
      </c>
      <c r="ES84" s="4">
        <f t="shared" si="86"/>
        <v>0</v>
      </c>
      <c r="ET84" s="4">
        <f t="shared" si="86"/>
        <v>0</v>
      </c>
      <c r="EU84" s="4">
        <f t="shared" si="86"/>
        <v>0</v>
      </c>
      <c r="EV84" s="4">
        <f t="shared" si="86"/>
        <v>0</v>
      </c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>
        <f>ROUND(SUMIF(AA71:AA82,"=60257733",FQ71:FQ82),2)</f>
        <v>0</v>
      </c>
      <c r="FQ84" s="4">
        <f>ROUND(SUMIF(AA71:AA82,"=60257733",FR71:FR82),2)</f>
        <v>0</v>
      </c>
      <c r="FR84" s="4">
        <f>ROUND(SUMIF(AA71:AA82,"=60257733",GL71:GL82),2)</f>
        <v>0</v>
      </c>
      <c r="FS84" s="4">
        <f>ROUND(SUMIF(AA71:AA82,"=60257733",GM71:GM82),2)</f>
        <v>26837.06</v>
      </c>
      <c r="FT84" s="4">
        <f>ROUND(SUMIF(AA71:AA82,"=60257733",GN71:GN82),2)</f>
        <v>0</v>
      </c>
      <c r="FU84" s="4">
        <f>ROUND(SUMIF(AA71:AA82,"=60257733",GO71:GO82),2)</f>
        <v>26837.06</v>
      </c>
      <c r="FV84" s="4">
        <f>ROUND(SUMIF(AA71:AA82,"=60257733",GP71:GP82),2)</f>
        <v>0</v>
      </c>
      <c r="FW84" s="4">
        <f>DU84-FP84</f>
        <v>5540.18</v>
      </c>
      <c r="FX84" s="4">
        <f>DU84-FQ84</f>
        <v>5540.18</v>
      </c>
      <c r="FY84" s="4">
        <f>FP84-FR84</f>
        <v>0</v>
      </c>
      <c r="FZ84" s="4">
        <f>DU84-FP84-FQ84+FR84</f>
        <v>5540.18</v>
      </c>
      <c r="GA84" s="4">
        <f>FQ84-FR84</f>
        <v>0</v>
      </c>
      <c r="GB84" s="4">
        <f>ROUND(SUMIF(AA71:AA82,"=60257733",GX71:GX82),2)</f>
        <v>0</v>
      </c>
      <c r="GC84" s="4">
        <f>ROUND(SUMIF(AA71:AA82,"=60257733",GY71:GY82),2)</f>
        <v>0</v>
      </c>
      <c r="GD84" s="4">
        <f>ROUND(SUMIF(AA71:AA82,"=60257733",GZ71:GZ82),2)</f>
        <v>0</v>
      </c>
      <c r="GE84" s="4">
        <f>ROUND(SUMIF(AA71:AA82,"=60257733",HD71:HD82),2)</f>
        <v>0</v>
      </c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>
        <v>0</v>
      </c>
    </row>
    <row r="86" spans="1:255" x14ac:dyDescent="0.2">
      <c r="A86" s="5">
        <v>50</v>
      </c>
      <c r="B86" s="5">
        <v>0</v>
      </c>
      <c r="C86" s="5">
        <v>0</v>
      </c>
      <c r="D86" s="5">
        <v>1</v>
      </c>
      <c r="E86" s="5">
        <v>201</v>
      </c>
      <c r="F86" s="5">
        <f>ROUND(Source!O84,O86)</f>
        <v>854.42</v>
      </c>
      <c r="G86" s="5" t="s">
        <v>46</v>
      </c>
      <c r="H86" s="5" t="s">
        <v>47</v>
      </c>
      <c r="I86" s="5"/>
      <c r="J86" s="5"/>
      <c r="K86" s="5">
        <v>201</v>
      </c>
      <c r="L86" s="5">
        <v>1</v>
      </c>
      <c r="M86" s="5">
        <v>3</v>
      </c>
      <c r="N86" s="5" t="s">
        <v>3</v>
      </c>
      <c r="O86" s="5">
        <v>2</v>
      </c>
      <c r="P86" s="5">
        <f>ROUND(Source!DG84,O86)</f>
        <v>14236.99</v>
      </c>
      <c r="Q86" s="5"/>
      <c r="R86" s="5"/>
      <c r="S86" s="5"/>
      <c r="T86" s="5"/>
      <c r="U86" s="5"/>
      <c r="V86" s="5"/>
      <c r="W86" s="5">
        <v>854.42</v>
      </c>
      <c r="X86" s="5">
        <v>1</v>
      </c>
      <c r="Y86" s="5">
        <v>854.42</v>
      </c>
      <c r="Z86" s="5">
        <v>14236.99</v>
      </c>
      <c r="AA86" s="5">
        <v>1</v>
      </c>
      <c r="AB86" s="5">
        <v>14236.99</v>
      </c>
    </row>
    <row r="87" spans="1:255" x14ac:dyDescent="0.2">
      <c r="A87" s="5">
        <v>50</v>
      </c>
      <c r="B87" s="5">
        <v>0</v>
      </c>
      <c r="C87" s="5">
        <v>0</v>
      </c>
      <c r="D87" s="5">
        <v>1</v>
      </c>
      <c r="E87" s="5">
        <v>202</v>
      </c>
      <c r="F87" s="5">
        <f>ROUND(Source!P84,O87)</f>
        <v>681.21</v>
      </c>
      <c r="G87" s="5" t="s">
        <v>48</v>
      </c>
      <c r="H87" s="5" t="s">
        <v>49</v>
      </c>
      <c r="I87" s="5"/>
      <c r="J87" s="5"/>
      <c r="K87" s="5">
        <v>202</v>
      </c>
      <c r="L87" s="5">
        <v>2</v>
      </c>
      <c r="M87" s="5">
        <v>3</v>
      </c>
      <c r="N87" s="5" t="s">
        <v>3</v>
      </c>
      <c r="O87" s="5">
        <v>2</v>
      </c>
      <c r="P87" s="5">
        <f>ROUND(Source!DH84,O87)</f>
        <v>5540.18</v>
      </c>
      <c r="Q87" s="5"/>
      <c r="R87" s="5"/>
      <c r="S87" s="5"/>
      <c r="T87" s="5"/>
      <c r="U87" s="5"/>
      <c r="V87" s="5"/>
      <c r="W87" s="5">
        <v>681.21</v>
      </c>
      <c r="X87" s="5">
        <v>1</v>
      </c>
      <c r="Y87" s="5">
        <v>681.21</v>
      </c>
      <c r="Z87" s="5">
        <v>5540.18</v>
      </c>
      <c r="AA87" s="5">
        <v>1</v>
      </c>
      <c r="AB87" s="5">
        <v>5540.18</v>
      </c>
    </row>
    <row r="88" spans="1:255" x14ac:dyDescent="0.2">
      <c r="A88" s="5">
        <v>50</v>
      </c>
      <c r="B88" s="5">
        <v>0</v>
      </c>
      <c r="C88" s="5">
        <v>0</v>
      </c>
      <c r="D88" s="5">
        <v>1</v>
      </c>
      <c r="E88" s="5">
        <v>222</v>
      </c>
      <c r="F88" s="5">
        <f>ROUND(Source!AO84,O88)</f>
        <v>0</v>
      </c>
      <c r="G88" s="5" t="s">
        <v>50</v>
      </c>
      <c r="H88" s="5" t="s">
        <v>51</v>
      </c>
      <c r="I88" s="5"/>
      <c r="J88" s="5"/>
      <c r="K88" s="5">
        <v>222</v>
      </c>
      <c r="L88" s="5">
        <v>3</v>
      </c>
      <c r="M88" s="5">
        <v>3</v>
      </c>
      <c r="N88" s="5" t="s">
        <v>3</v>
      </c>
      <c r="O88" s="5">
        <v>2</v>
      </c>
      <c r="P88" s="5">
        <f>ROUND(Source!EG84,O88)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55" x14ac:dyDescent="0.2">
      <c r="A89" s="5">
        <v>50</v>
      </c>
      <c r="B89" s="5">
        <v>0</v>
      </c>
      <c r="C89" s="5">
        <v>0</v>
      </c>
      <c r="D89" s="5">
        <v>1</v>
      </c>
      <c r="E89" s="5">
        <v>225</v>
      </c>
      <c r="F89" s="5">
        <f>ROUND(Source!AV84,O89)</f>
        <v>681.21</v>
      </c>
      <c r="G89" s="5" t="s">
        <v>52</v>
      </c>
      <c r="H89" s="5" t="s">
        <v>53</v>
      </c>
      <c r="I89" s="5"/>
      <c r="J89" s="5"/>
      <c r="K89" s="5">
        <v>225</v>
      </c>
      <c r="L89" s="5">
        <v>4</v>
      </c>
      <c r="M89" s="5">
        <v>3</v>
      </c>
      <c r="N89" s="5" t="s">
        <v>3</v>
      </c>
      <c r="O89" s="5">
        <v>2</v>
      </c>
      <c r="P89" s="5">
        <f>ROUND(Source!EN84,O89)</f>
        <v>5540.18</v>
      </c>
      <c r="Q89" s="5"/>
      <c r="R89" s="5"/>
      <c r="S89" s="5"/>
      <c r="T89" s="5"/>
      <c r="U89" s="5"/>
      <c r="V89" s="5"/>
      <c r="W89" s="5">
        <v>681.21</v>
      </c>
      <c r="X89" s="5">
        <v>1</v>
      </c>
      <c r="Y89" s="5">
        <v>681.21</v>
      </c>
      <c r="Z89" s="5">
        <v>5540.18</v>
      </c>
      <c r="AA89" s="5">
        <v>1</v>
      </c>
      <c r="AB89" s="5">
        <v>5540.18</v>
      </c>
    </row>
    <row r="90" spans="1:255" x14ac:dyDescent="0.2">
      <c r="A90" s="5">
        <v>50</v>
      </c>
      <c r="B90" s="5">
        <v>0</v>
      </c>
      <c r="C90" s="5">
        <v>0</v>
      </c>
      <c r="D90" s="5">
        <v>1</v>
      </c>
      <c r="E90" s="5">
        <v>226</v>
      </c>
      <c r="F90" s="5">
        <f>ROUND(Source!AW84,O90)</f>
        <v>681.21</v>
      </c>
      <c r="G90" s="5" t="s">
        <v>54</v>
      </c>
      <c r="H90" s="5" t="s">
        <v>55</v>
      </c>
      <c r="I90" s="5"/>
      <c r="J90" s="5"/>
      <c r="K90" s="5">
        <v>226</v>
      </c>
      <c r="L90" s="5">
        <v>5</v>
      </c>
      <c r="M90" s="5">
        <v>3</v>
      </c>
      <c r="N90" s="5" t="s">
        <v>3</v>
      </c>
      <c r="O90" s="5">
        <v>2</v>
      </c>
      <c r="P90" s="5">
        <f>ROUND(Source!EO84,O90)</f>
        <v>5540.18</v>
      </c>
      <c r="Q90" s="5"/>
      <c r="R90" s="5"/>
      <c r="S90" s="5"/>
      <c r="T90" s="5"/>
      <c r="U90" s="5"/>
      <c r="V90" s="5"/>
      <c r="W90" s="5">
        <v>681.21</v>
      </c>
      <c r="X90" s="5">
        <v>1</v>
      </c>
      <c r="Y90" s="5">
        <v>681.21</v>
      </c>
      <c r="Z90" s="5">
        <v>5540.18</v>
      </c>
      <c r="AA90" s="5">
        <v>1</v>
      </c>
      <c r="AB90" s="5">
        <v>5540.18</v>
      </c>
    </row>
    <row r="91" spans="1:255" x14ac:dyDescent="0.2">
      <c r="A91" s="5">
        <v>50</v>
      </c>
      <c r="B91" s="5">
        <v>0</v>
      </c>
      <c r="C91" s="5">
        <v>0</v>
      </c>
      <c r="D91" s="5">
        <v>1</v>
      </c>
      <c r="E91" s="5">
        <v>227</v>
      </c>
      <c r="F91" s="5">
        <f>ROUND(Source!AX84,O91)</f>
        <v>0</v>
      </c>
      <c r="G91" s="5" t="s">
        <v>56</v>
      </c>
      <c r="H91" s="5" t="s">
        <v>57</v>
      </c>
      <c r="I91" s="5"/>
      <c r="J91" s="5"/>
      <c r="K91" s="5">
        <v>227</v>
      </c>
      <c r="L91" s="5">
        <v>6</v>
      </c>
      <c r="M91" s="5">
        <v>3</v>
      </c>
      <c r="N91" s="5" t="s">
        <v>3</v>
      </c>
      <c r="O91" s="5">
        <v>2</v>
      </c>
      <c r="P91" s="5">
        <f>ROUND(Source!EP84,O91)</f>
        <v>0</v>
      </c>
      <c r="Q91" s="5"/>
      <c r="R91" s="5"/>
      <c r="S91" s="5"/>
      <c r="T91" s="5"/>
      <c r="U91" s="5"/>
      <c r="V91" s="5"/>
      <c r="W91" s="5">
        <v>0</v>
      </c>
      <c r="X91" s="5">
        <v>1</v>
      </c>
      <c r="Y91" s="5">
        <v>0</v>
      </c>
      <c r="Z91" s="5">
        <v>0</v>
      </c>
      <c r="AA91" s="5">
        <v>1</v>
      </c>
      <c r="AB91" s="5">
        <v>0</v>
      </c>
    </row>
    <row r="92" spans="1:255" x14ac:dyDescent="0.2">
      <c r="A92" s="5">
        <v>50</v>
      </c>
      <c r="B92" s="5">
        <v>0</v>
      </c>
      <c r="C92" s="5">
        <v>0</v>
      </c>
      <c r="D92" s="5">
        <v>1</v>
      </c>
      <c r="E92" s="5">
        <v>228</v>
      </c>
      <c r="F92" s="5">
        <f>ROUND(Source!AY84,O92)</f>
        <v>681.21</v>
      </c>
      <c r="G92" s="5" t="s">
        <v>58</v>
      </c>
      <c r="H92" s="5" t="s">
        <v>59</v>
      </c>
      <c r="I92" s="5"/>
      <c r="J92" s="5"/>
      <c r="K92" s="5">
        <v>228</v>
      </c>
      <c r="L92" s="5">
        <v>7</v>
      </c>
      <c r="M92" s="5">
        <v>3</v>
      </c>
      <c r="N92" s="5" t="s">
        <v>3</v>
      </c>
      <c r="O92" s="5">
        <v>2</v>
      </c>
      <c r="P92" s="5">
        <f>ROUND(Source!EQ84,O92)</f>
        <v>5540.18</v>
      </c>
      <c r="Q92" s="5"/>
      <c r="R92" s="5"/>
      <c r="S92" s="5"/>
      <c r="T92" s="5"/>
      <c r="U92" s="5"/>
      <c r="V92" s="5"/>
      <c r="W92" s="5">
        <v>681.21</v>
      </c>
      <c r="X92" s="5">
        <v>1</v>
      </c>
      <c r="Y92" s="5">
        <v>681.21</v>
      </c>
      <c r="Z92" s="5">
        <v>5540.18</v>
      </c>
      <c r="AA92" s="5">
        <v>1</v>
      </c>
      <c r="AB92" s="5">
        <v>5540.18</v>
      </c>
    </row>
    <row r="93" spans="1:255" x14ac:dyDescent="0.2">
      <c r="A93" s="5">
        <v>50</v>
      </c>
      <c r="B93" s="5">
        <v>0</v>
      </c>
      <c r="C93" s="5">
        <v>0</v>
      </c>
      <c r="D93" s="5">
        <v>1</v>
      </c>
      <c r="E93" s="5">
        <v>216</v>
      </c>
      <c r="F93" s="5">
        <f>ROUND(Source!AP84,O93)</f>
        <v>0</v>
      </c>
      <c r="G93" s="5" t="s">
        <v>60</v>
      </c>
      <c r="H93" s="5" t="s">
        <v>61</v>
      </c>
      <c r="I93" s="5"/>
      <c r="J93" s="5"/>
      <c r="K93" s="5">
        <v>216</v>
      </c>
      <c r="L93" s="5">
        <v>8</v>
      </c>
      <c r="M93" s="5">
        <v>3</v>
      </c>
      <c r="N93" s="5" t="s">
        <v>3</v>
      </c>
      <c r="O93" s="5">
        <v>2</v>
      </c>
      <c r="P93" s="5">
        <f>ROUND(Source!EH84,O93)</f>
        <v>0</v>
      </c>
      <c r="Q93" s="5"/>
      <c r="R93" s="5"/>
      <c r="S93" s="5"/>
      <c r="T93" s="5"/>
      <c r="U93" s="5"/>
      <c r="V93" s="5"/>
      <c r="W93" s="5">
        <v>0</v>
      </c>
      <c r="X93" s="5">
        <v>1</v>
      </c>
      <c r="Y93" s="5">
        <v>0</v>
      </c>
      <c r="Z93" s="5">
        <v>0</v>
      </c>
      <c r="AA93" s="5">
        <v>1</v>
      </c>
      <c r="AB93" s="5">
        <v>0</v>
      </c>
    </row>
    <row r="94" spans="1:255" x14ac:dyDescent="0.2">
      <c r="A94" s="5">
        <v>50</v>
      </c>
      <c r="B94" s="5">
        <v>0</v>
      </c>
      <c r="C94" s="5">
        <v>0</v>
      </c>
      <c r="D94" s="5">
        <v>1</v>
      </c>
      <c r="E94" s="5">
        <v>223</v>
      </c>
      <c r="F94" s="5">
        <f>ROUND(Source!AQ84,O94)</f>
        <v>0</v>
      </c>
      <c r="G94" s="5" t="s">
        <v>62</v>
      </c>
      <c r="H94" s="5" t="s">
        <v>63</v>
      </c>
      <c r="I94" s="5"/>
      <c r="J94" s="5"/>
      <c r="K94" s="5">
        <v>223</v>
      </c>
      <c r="L94" s="5">
        <v>9</v>
      </c>
      <c r="M94" s="5">
        <v>3</v>
      </c>
      <c r="N94" s="5" t="s">
        <v>3</v>
      </c>
      <c r="O94" s="5">
        <v>2</v>
      </c>
      <c r="P94" s="5">
        <f>ROUND(Source!EI84,O94)</f>
        <v>0</v>
      </c>
      <c r="Q94" s="5"/>
      <c r="R94" s="5"/>
      <c r="S94" s="5"/>
      <c r="T94" s="5"/>
      <c r="U94" s="5"/>
      <c r="V94" s="5"/>
      <c r="W94" s="5">
        <v>0</v>
      </c>
      <c r="X94" s="5">
        <v>1</v>
      </c>
      <c r="Y94" s="5">
        <v>0</v>
      </c>
      <c r="Z94" s="5">
        <v>0</v>
      </c>
      <c r="AA94" s="5">
        <v>1</v>
      </c>
      <c r="AB94" s="5">
        <v>0</v>
      </c>
    </row>
    <row r="95" spans="1:255" x14ac:dyDescent="0.2">
      <c r="A95" s="5">
        <v>50</v>
      </c>
      <c r="B95" s="5">
        <v>0</v>
      </c>
      <c r="C95" s="5">
        <v>0</v>
      </c>
      <c r="D95" s="5">
        <v>1</v>
      </c>
      <c r="E95" s="5">
        <v>229</v>
      </c>
      <c r="F95" s="5">
        <f>ROUND(Source!AZ84,O95)</f>
        <v>0</v>
      </c>
      <c r="G95" s="5" t="s">
        <v>64</v>
      </c>
      <c r="H95" s="5" t="s">
        <v>65</v>
      </c>
      <c r="I95" s="5"/>
      <c r="J95" s="5"/>
      <c r="K95" s="5">
        <v>229</v>
      </c>
      <c r="L95" s="5">
        <v>10</v>
      </c>
      <c r="M95" s="5">
        <v>3</v>
      </c>
      <c r="N95" s="5" t="s">
        <v>3</v>
      </c>
      <c r="O95" s="5">
        <v>2</v>
      </c>
      <c r="P95" s="5">
        <f>ROUND(Source!ER84,O95)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6" spans="1:255" x14ac:dyDescent="0.2">
      <c r="A96" s="5">
        <v>50</v>
      </c>
      <c r="B96" s="5">
        <v>0</v>
      </c>
      <c r="C96" s="5">
        <v>0</v>
      </c>
      <c r="D96" s="5">
        <v>1</v>
      </c>
      <c r="E96" s="5">
        <v>203</v>
      </c>
      <c r="F96" s="5">
        <f>ROUND(Source!Q84,O96)</f>
        <v>21.87</v>
      </c>
      <c r="G96" s="5" t="s">
        <v>66</v>
      </c>
      <c r="H96" s="5" t="s">
        <v>67</v>
      </c>
      <c r="I96" s="5"/>
      <c r="J96" s="5"/>
      <c r="K96" s="5">
        <v>203</v>
      </c>
      <c r="L96" s="5">
        <v>11</v>
      </c>
      <c r="M96" s="5">
        <v>3</v>
      </c>
      <c r="N96" s="5" t="s">
        <v>3</v>
      </c>
      <c r="O96" s="5">
        <v>2</v>
      </c>
      <c r="P96" s="5">
        <f>ROUND(Source!DI84,O96)</f>
        <v>374.63</v>
      </c>
      <c r="Q96" s="5"/>
      <c r="R96" s="5"/>
      <c r="S96" s="5"/>
      <c r="T96" s="5"/>
      <c r="U96" s="5"/>
      <c r="V96" s="5"/>
      <c r="W96" s="5">
        <v>21.87</v>
      </c>
      <c r="X96" s="5">
        <v>1</v>
      </c>
      <c r="Y96" s="5">
        <v>21.87</v>
      </c>
      <c r="Z96" s="5">
        <v>374.63</v>
      </c>
      <c r="AA96" s="5">
        <v>1</v>
      </c>
      <c r="AB96" s="5">
        <v>374.63</v>
      </c>
    </row>
    <row r="97" spans="1:28" x14ac:dyDescent="0.2">
      <c r="A97" s="5">
        <v>50</v>
      </c>
      <c r="B97" s="5">
        <v>0</v>
      </c>
      <c r="C97" s="5">
        <v>0</v>
      </c>
      <c r="D97" s="5">
        <v>1</v>
      </c>
      <c r="E97" s="5">
        <v>231</v>
      </c>
      <c r="F97" s="5">
        <f>ROUND(Source!BB84,O97)</f>
        <v>0</v>
      </c>
      <c r="G97" s="5" t="s">
        <v>68</v>
      </c>
      <c r="H97" s="5" t="s">
        <v>69</v>
      </c>
      <c r="I97" s="5"/>
      <c r="J97" s="5"/>
      <c r="K97" s="5">
        <v>231</v>
      </c>
      <c r="L97" s="5">
        <v>12</v>
      </c>
      <c r="M97" s="5">
        <v>3</v>
      </c>
      <c r="N97" s="5" t="s">
        <v>3</v>
      </c>
      <c r="O97" s="5">
        <v>2</v>
      </c>
      <c r="P97" s="5">
        <f>ROUND(Source!ET84,O97)</f>
        <v>0</v>
      </c>
      <c r="Q97" s="5"/>
      <c r="R97" s="5"/>
      <c r="S97" s="5"/>
      <c r="T97" s="5"/>
      <c r="U97" s="5"/>
      <c r="V97" s="5"/>
      <c r="W97" s="5">
        <v>0</v>
      </c>
      <c r="X97" s="5">
        <v>1</v>
      </c>
      <c r="Y97" s="5">
        <v>0</v>
      </c>
      <c r="Z97" s="5">
        <v>0</v>
      </c>
      <c r="AA97" s="5">
        <v>1</v>
      </c>
      <c r="AB97" s="5">
        <v>0</v>
      </c>
    </row>
    <row r="98" spans="1:28" x14ac:dyDescent="0.2">
      <c r="A98" s="5">
        <v>50</v>
      </c>
      <c r="B98" s="5">
        <v>0</v>
      </c>
      <c r="C98" s="5">
        <v>0</v>
      </c>
      <c r="D98" s="5">
        <v>1</v>
      </c>
      <c r="E98" s="5">
        <v>204</v>
      </c>
      <c r="F98" s="5">
        <f>ROUND(Source!R84,O98)</f>
        <v>3.48</v>
      </c>
      <c r="G98" s="5" t="s">
        <v>70</v>
      </c>
      <c r="H98" s="5" t="s">
        <v>71</v>
      </c>
      <c r="I98" s="5"/>
      <c r="J98" s="5"/>
      <c r="K98" s="5">
        <v>204</v>
      </c>
      <c r="L98" s="5">
        <v>13</v>
      </c>
      <c r="M98" s="5">
        <v>3</v>
      </c>
      <c r="N98" s="5" t="s">
        <v>3</v>
      </c>
      <c r="O98" s="5">
        <v>2</v>
      </c>
      <c r="P98" s="5">
        <f>ROUND(Source!DJ84,O98)</f>
        <v>191.37</v>
      </c>
      <c r="Q98" s="5"/>
      <c r="R98" s="5"/>
      <c r="S98" s="5"/>
      <c r="T98" s="5"/>
      <c r="U98" s="5"/>
      <c r="V98" s="5"/>
      <c r="W98" s="5">
        <v>3.48</v>
      </c>
      <c r="X98" s="5">
        <v>1</v>
      </c>
      <c r="Y98" s="5">
        <v>3.48</v>
      </c>
      <c r="Z98" s="5">
        <v>191.37</v>
      </c>
      <c r="AA98" s="5">
        <v>1</v>
      </c>
      <c r="AB98" s="5">
        <v>191.37</v>
      </c>
    </row>
    <row r="99" spans="1:28" x14ac:dyDescent="0.2">
      <c r="A99" s="5">
        <v>50</v>
      </c>
      <c r="B99" s="5">
        <v>0</v>
      </c>
      <c r="C99" s="5">
        <v>0</v>
      </c>
      <c r="D99" s="5">
        <v>1</v>
      </c>
      <c r="E99" s="5">
        <v>205</v>
      </c>
      <c r="F99" s="5">
        <f>ROUND(Source!S84,O99)</f>
        <v>151.34</v>
      </c>
      <c r="G99" s="5" t="s">
        <v>72</v>
      </c>
      <c r="H99" s="5" t="s">
        <v>73</v>
      </c>
      <c r="I99" s="5"/>
      <c r="J99" s="5"/>
      <c r="K99" s="5">
        <v>205</v>
      </c>
      <c r="L99" s="5">
        <v>14</v>
      </c>
      <c r="M99" s="5">
        <v>3</v>
      </c>
      <c r="N99" s="5" t="s">
        <v>3</v>
      </c>
      <c r="O99" s="5">
        <v>2</v>
      </c>
      <c r="P99" s="5">
        <f>ROUND(Source!DK84,O99)</f>
        <v>8322.18</v>
      </c>
      <c r="Q99" s="5"/>
      <c r="R99" s="5"/>
      <c r="S99" s="5"/>
      <c r="T99" s="5"/>
      <c r="U99" s="5"/>
      <c r="V99" s="5"/>
      <c r="W99" s="5">
        <v>151.34</v>
      </c>
      <c r="X99" s="5">
        <v>1</v>
      </c>
      <c r="Y99" s="5">
        <v>151.34</v>
      </c>
      <c r="Z99" s="5">
        <v>8322.18</v>
      </c>
      <c r="AA99" s="5">
        <v>1</v>
      </c>
      <c r="AB99" s="5">
        <v>8322.18</v>
      </c>
    </row>
    <row r="100" spans="1:28" x14ac:dyDescent="0.2">
      <c r="A100" s="5">
        <v>50</v>
      </c>
      <c r="B100" s="5">
        <v>0</v>
      </c>
      <c r="C100" s="5">
        <v>0</v>
      </c>
      <c r="D100" s="5">
        <v>1</v>
      </c>
      <c r="E100" s="5">
        <v>232</v>
      </c>
      <c r="F100" s="5">
        <f>ROUND(Source!BC84,O100)</f>
        <v>0</v>
      </c>
      <c r="G100" s="5" t="s">
        <v>74</v>
      </c>
      <c r="H100" s="5" t="s">
        <v>75</v>
      </c>
      <c r="I100" s="5"/>
      <c r="J100" s="5"/>
      <c r="K100" s="5">
        <v>232</v>
      </c>
      <c r="L100" s="5">
        <v>15</v>
      </c>
      <c r="M100" s="5">
        <v>3</v>
      </c>
      <c r="N100" s="5" t="s">
        <v>3</v>
      </c>
      <c r="O100" s="5">
        <v>2</v>
      </c>
      <c r="P100" s="5">
        <f>ROUND(Source!EU84,O100)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8" x14ac:dyDescent="0.2">
      <c r="A101" s="5">
        <v>50</v>
      </c>
      <c r="B101" s="5">
        <v>0</v>
      </c>
      <c r="C101" s="5">
        <v>0</v>
      </c>
      <c r="D101" s="5">
        <v>1</v>
      </c>
      <c r="E101" s="5">
        <v>214</v>
      </c>
      <c r="F101" s="5">
        <f>ROUND(Source!AS84,O101)</f>
        <v>0</v>
      </c>
      <c r="G101" s="5" t="s">
        <v>76</v>
      </c>
      <c r="H101" s="5" t="s">
        <v>77</v>
      </c>
      <c r="I101" s="5"/>
      <c r="J101" s="5"/>
      <c r="K101" s="5">
        <v>214</v>
      </c>
      <c r="L101" s="5">
        <v>16</v>
      </c>
      <c r="M101" s="5">
        <v>3</v>
      </c>
      <c r="N101" s="5" t="s">
        <v>3</v>
      </c>
      <c r="O101" s="5">
        <v>2</v>
      </c>
      <c r="P101" s="5">
        <f>ROUND(Source!EK84,O101)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8" x14ac:dyDescent="0.2">
      <c r="A102" s="5">
        <v>50</v>
      </c>
      <c r="B102" s="5">
        <v>0</v>
      </c>
      <c r="C102" s="5">
        <v>0</v>
      </c>
      <c r="D102" s="5">
        <v>1</v>
      </c>
      <c r="E102" s="5">
        <v>215</v>
      </c>
      <c r="F102" s="5">
        <f>ROUND(Source!AT84,O102)</f>
        <v>1083.56</v>
      </c>
      <c r="G102" s="5" t="s">
        <v>78</v>
      </c>
      <c r="H102" s="5" t="s">
        <v>79</v>
      </c>
      <c r="I102" s="5"/>
      <c r="J102" s="5"/>
      <c r="K102" s="5">
        <v>215</v>
      </c>
      <c r="L102" s="5">
        <v>17</v>
      </c>
      <c r="M102" s="5">
        <v>3</v>
      </c>
      <c r="N102" s="5" t="s">
        <v>3</v>
      </c>
      <c r="O102" s="5">
        <v>2</v>
      </c>
      <c r="P102" s="5">
        <f>ROUND(Source!EL84,O102)</f>
        <v>26837.06</v>
      </c>
      <c r="Q102" s="5"/>
      <c r="R102" s="5"/>
      <c r="S102" s="5"/>
      <c r="T102" s="5"/>
      <c r="U102" s="5"/>
      <c r="V102" s="5"/>
      <c r="W102" s="5">
        <v>1083.56</v>
      </c>
      <c r="X102" s="5">
        <v>1</v>
      </c>
      <c r="Y102" s="5">
        <v>1083.56</v>
      </c>
      <c r="Z102" s="5">
        <v>26837.06</v>
      </c>
      <c r="AA102" s="5">
        <v>1</v>
      </c>
      <c r="AB102" s="5">
        <v>26837.06</v>
      </c>
    </row>
    <row r="103" spans="1:28" x14ac:dyDescent="0.2">
      <c r="A103" s="5">
        <v>50</v>
      </c>
      <c r="B103" s="5">
        <v>0</v>
      </c>
      <c r="C103" s="5">
        <v>0</v>
      </c>
      <c r="D103" s="5">
        <v>1</v>
      </c>
      <c r="E103" s="5">
        <v>217</v>
      </c>
      <c r="F103" s="5">
        <f>ROUND(Source!AU84,O103)</f>
        <v>0</v>
      </c>
      <c r="G103" s="5" t="s">
        <v>80</v>
      </c>
      <c r="H103" s="5" t="s">
        <v>81</v>
      </c>
      <c r="I103" s="5"/>
      <c r="J103" s="5"/>
      <c r="K103" s="5">
        <v>217</v>
      </c>
      <c r="L103" s="5">
        <v>18</v>
      </c>
      <c r="M103" s="5">
        <v>3</v>
      </c>
      <c r="N103" s="5" t="s">
        <v>3</v>
      </c>
      <c r="O103" s="5">
        <v>2</v>
      </c>
      <c r="P103" s="5">
        <f>ROUND(Source!EM84,O103)</f>
        <v>0</v>
      </c>
      <c r="Q103" s="5"/>
      <c r="R103" s="5"/>
      <c r="S103" s="5"/>
      <c r="T103" s="5"/>
      <c r="U103" s="5"/>
      <c r="V103" s="5"/>
      <c r="W103" s="5">
        <v>0</v>
      </c>
      <c r="X103" s="5">
        <v>1</v>
      </c>
      <c r="Y103" s="5">
        <v>0</v>
      </c>
      <c r="Z103" s="5">
        <v>0</v>
      </c>
      <c r="AA103" s="5">
        <v>1</v>
      </c>
      <c r="AB103" s="5">
        <v>0</v>
      </c>
    </row>
    <row r="104" spans="1:28" x14ac:dyDescent="0.2">
      <c r="A104" s="5">
        <v>50</v>
      </c>
      <c r="B104" s="5">
        <v>0</v>
      </c>
      <c r="C104" s="5">
        <v>0</v>
      </c>
      <c r="D104" s="5">
        <v>1</v>
      </c>
      <c r="E104" s="5">
        <v>230</v>
      </c>
      <c r="F104" s="5">
        <f>ROUND(Source!BA84,O104)</f>
        <v>0</v>
      </c>
      <c r="G104" s="5" t="s">
        <v>82</v>
      </c>
      <c r="H104" s="5" t="s">
        <v>83</v>
      </c>
      <c r="I104" s="5"/>
      <c r="J104" s="5"/>
      <c r="K104" s="5">
        <v>230</v>
      </c>
      <c r="L104" s="5">
        <v>19</v>
      </c>
      <c r="M104" s="5">
        <v>3</v>
      </c>
      <c r="N104" s="5" t="s">
        <v>3</v>
      </c>
      <c r="O104" s="5">
        <v>2</v>
      </c>
      <c r="P104" s="5">
        <f>ROUND(Source!ES84,O104)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8" x14ac:dyDescent="0.2">
      <c r="A105" s="5">
        <v>50</v>
      </c>
      <c r="B105" s="5">
        <v>0</v>
      </c>
      <c r="C105" s="5">
        <v>0</v>
      </c>
      <c r="D105" s="5">
        <v>1</v>
      </c>
      <c r="E105" s="5">
        <v>206</v>
      </c>
      <c r="F105" s="5">
        <f>ROUND(Source!T84,O105)</f>
        <v>0</v>
      </c>
      <c r="G105" s="5" t="s">
        <v>84</v>
      </c>
      <c r="H105" s="5" t="s">
        <v>85</v>
      </c>
      <c r="I105" s="5"/>
      <c r="J105" s="5"/>
      <c r="K105" s="5">
        <v>206</v>
      </c>
      <c r="L105" s="5">
        <v>20</v>
      </c>
      <c r="M105" s="5">
        <v>3</v>
      </c>
      <c r="N105" s="5" t="s">
        <v>3</v>
      </c>
      <c r="O105" s="5">
        <v>2</v>
      </c>
      <c r="P105" s="5">
        <f>ROUND(Source!DL84,O105)</f>
        <v>0</v>
      </c>
      <c r="Q105" s="5"/>
      <c r="R105" s="5"/>
      <c r="S105" s="5"/>
      <c r="T105" s="5"/>
      <c r="U105" s="5"/>
      <c r="V105" s="5"/>
      <c r="W105" s="5">
        <v>0</v>
      </c>
      <c r="X105" s="5">
        <v>1</v>
      </c>
      <c r="Y105" s="5">
        <v>0</v>
      </c>
      <c r="Z105" s="5">
        <v>0</v>
      </c>
      <c r="AA105" s="5">
        <v>1</v>
      </c>
      <c r="AB105" s="5">
        <v>0</v>
      </c>
    </row>
    <row r="106" spans="1:28" x14ac:dyDescent="0.2">
      <c r="A106" s="5">
        <v>50</v>
      </c>
      <c r="B106" s="5">
        <v>0</v>
      </c>
      <c r="C106" s="5">
        <v>0</v>
      </c>
      <c r="D106" s="5">
        <v>1</v>
      </c>
      <c r="E106" s="5">
        <v>207</v>
      </c>
      <c r="F106" s="5">
        <f>Source!U84</f>
        <v>11.914336500000001</v>
      </c>
      <c r="G106" s="5" t="s">
        <v>86</v>
      </c>
      <c r="H106" s="5" t="s">
        <v>87</v>
      </c>
      <c r="I106" s="5"/>
      <c r="J106" s="5"/>
      <c r="K106" s="5">
        <v>207</v>
      </c>
      <c r="L106" s="5">
        <v>21</v>
      </c>
      <c r="M106" s="5">
        <v>3</v>
      </c>
      <c r="N106" s="5" t="s">
        <v>3</v>
      </c>
      <c r="O106" s="5">
        <v>-1</v>
      </c>
      <c r="P106" s="5">
        <f>Source!DM84</f>
        <v>11.914336500000001</v>
      </c>
      <c r="Q106" s="5"/>
      <c r="R106" s="5"/>
      <c r="S106" s="5"/>
      <c r="T106" s="5"/>
      <c r="U106" s="5"/>
      <c r="V106" s="5"/>
      <c r="W106" s="5">
        <v>11.914336499999999</v>
      </c>
      <c r="X106" s="5">
        <v>1</v>
      </c>
      <c r="Y106" s="5">
        <v>11.914336499999999</v>
      </c>
      <c r="Z106" s="5">
        <v>11.914336499999999</v>
      </c>
      <c r="AA106" s="5">
        <v>1</v>
      </c>
      <c r="AB106" s="5">
        <v>11.914336499999999</v>
      </c>
    </row>
    <row r="107" spans="1:28" x14ac:dyDescent="0.2">
      <c r="A107" s="5">
        <v>50</v>
      </c>
      <c r="B107" s="5">
        <v>0</v>
      </c>
      <c r="C107" s="5">
        <v>0</v>
      </c>
      <c r="D107" s="5">
        <v>1</v>
      </c>
      <c r="E107" s="5">
        <v>208</v>
      </c>
      <c r="F107" s="5">
        <f>Source!V84</f>
        <v>0</v>
      </c>
      <c r="G107" s="5" t="s">
        <v>88</v>
      </c>
      <c r="H107" s="5" t="s">
        <v>89</v>
      </c>
      <c r="I107" s="5"/>
      <c r="J107" s="5"/>
      <c r="K107" s="5">
        <v>208</v>
      </c>
      <c r="L107" s="5">
        <v>22</v>
      </c>
      <c r="M107" s="5">
        <v>3</v>
      </c>
      <c r="N107" s="5" t="s">
        <v>3</v>
      </c>
      <c r="O107" s="5">
        <v>-1</v>
      </c>
      <c r="P107" s="5">
        <f>Source!DN84</f>
        <v>0</v>
      </c>
      <c r="Q107" s="5"/>
      <c r="R107" s="5"/>
      <c r="S107" s="5"/>
      <c r="T107" s="5"/>
      <c r="U107" s="5"/>
      <c r="V107" s="5"/>
      <c r="W107" s="5">
        <v>0</v>
      </c>
      <c r="X107" s="5">
        <v>1</v>
      </c>
      <c r="Y107" s="5">
        <v>0</v>
      </c>
      <c r="Z107" s="5">
        <v>0</v>
      </c>
      <c r="AA107" s="5">
        <v>1</v>
      </c>
      <c r="AB107" s="5">
        <v>0</v>
      </c>
    </row>
    <row r="108" spans="1:28" x14ac:dyDescent="0.2">
      <c r="A108" s="5">
        <v>50</v>
      </c>
      <c r="B108" s="5">
        <v>0</v>
      </c>
      <c r="C108" s="5">
        <v>0</v>
      </c>
      <c r="D108" s="5">
        <v>1</v>
      </c>
      <c r="E108" s="5">
        <v>209</v>
      </c>
      <c r="F108" s="5">
        <f>ROUND(Source!W84,O108)</f>
        <v>0</v>
      </c>
      <c r="G108" s="5" t="s">
        <v>90</v>
      </c>
      <c r="H108" s="5" t="s">
        <v>91</v>
      </c>
      <c r="I108" s="5"/>
      <c r="J108" s="5"/>
      <c r="K108" s="5">
        <v>209</v>
      </c>
      <c r="L108" s="5">
        <v>23</v>
      </c>
      <c r="M108" s="5">
        <v>3</v>
      </c>
      <c r="N108" s="5" t="s">
        <v>3</v>
      </c>
      <c r="O108" s="5">
        <v>2</v>
      </c>
      <c r="P108" s="5">
        <f>ROUND(Source!DO84,O108)</f>
        <v>0</v>
      </c>
      <c r="Q108" s="5"/>
      <c r="R108" s="5"/>
      <c r="S108" s="5"/>
      <c r="T108" s="5"/>
      <c r="U108" s="5"/>
      <c r="V108" s="5"/>
      <c r="W108" s="5">
        <v>0</v>
      </c>
      <c r="X108" s="5">
        <v>1</v>
      </c>
      <c r="Y108" s="5">
        <v>0</v>
      </c>
      <c r="Z108" s="5">
        <v>0</v>
      </c>
      <c r="AA108" s="5">
        <v>1</v>
      </c>
      <c r="AB108" s="5">
        <v>0</v>
      </c>
    </row>
    <row r="109" spans="1:28" x14ac:dyDescent="0.2">
      <c r="A109" s="5">
        <v>50</v>
      </c>
      <c r="B109" s="5">
        <v>0</v>
      </c>
      <c r="C109" s="5">
        <v>0</v>
      </c>
      <c r="D109" s="5">
        <v>1</v>
      </c>
      <c r="E109" s="5">
        <v>233</v>
      </c>
      <c r="F109" s="5">
        <f>ROUND(Source!BD84,O109)</f>
        <v>0</v>
      </c>
      <c r="G109" s="5" t="s">
        <v>92</v>
      </c>
      <c r="H109" s="5" t="s">
        <v>93</v>
      </c>
      <c r="I109" s="5"/>
      <c r="J109" s="5"/>
      <c r="K109" s="5">
        <v>233</v>
      </c>
      <c r="L109" s="5">
        <v>24</v>
      </c>
      <c r="M109" s="5">
        <v>3</v>
      </c>
      <c r="N109" s="5" t="s">
        <v>3</v>
      </c>
      <c r="O109" s="5">
        <v>2</v>
      </c>
      <c r="P109" s="5">
        <f>ROUND(Source!EV84,O109)</f>
        <v>0</v>
      </c>
      <c r="Q109" s="5"/>
      <c r="R109" s="5"/>
      <c r="S109" s="5"/>
      <c r="T109" s="5"/>
      <c r="U109" s="5"/>
      <c r="V109" s="5"/>
      <c r="W109" s="5">
        <v>0</v>
      </c>
      <c r="X109" s="5">
        <v>1</v>
      </c>
      <c r="Y109" s="5">
        <v>0</v>
      </c>
      <c r="Z109" s="5">
        <v>0</v>
      </c>
      <c r="AA109" s="5">
        <v>1</v>
      </c>
      <c r="AB109" s="5">
        <v>0</v>
      </c>
    </row>
    <row r="110" spans="1:28" x14ac:dyDescent="0.2">
      <c r="A110" s="5">
        <v>50</v>
      </c>
      <c r="B110" s="5">
        <v>0</v>
      </c>
      <c r="C110" s="5">
        <v>0</v>
      </c>
      <c r="D110" s="5">
        <v>1</v>
      </c>
      <c r="E110" s="5">
        <v>210</v>
      </c>
      <c r="F110" s="5">
        <f>ROUND(Source!X84,O110)</f>
        <v>150.18</v>
      </c>
      <c r="G110" s="5" t="s">
        <v>94</v>
      </c>
      <c r="H110" s="5" t="s">
        <v>95</v>
      </c>
      <c r="I110" s="5"/>
      <c r="J110" s="5"/>
      <c r="K110" s="5">
        <v>210</v>
      </c>
      <c r="L110" s="5">
        <v>25</v>
      </c>
      <c r="M110" s="5">
        <v>3</v>
      </c>
      <c r="N110" s="5" t="s">
        <v>3</v>
      </c>
      <c r="O110" s="5">
        <v>2</v>
      </c>
      <c r="P110" s="5">
        <f>ROUND(Source!DP84,O110)</f>
        <v>8258.15</v>
      </c>
      <c r="Q110" s="5"/>
      <c r="R110" s="5"/>
      <c r="S110" s="5"/>
      <c r="T110" s="5"/>
      <c r="U110" s="5"/>
      <c r="V110" s="5"/>
      <c r="W110" s="5">
        <v>150.18</v>
      </c>
      <c r="X110" s="5">
        <v>1</v>
      </c>
      <c r="Y110" s="5">
        <v>150.18</v>
      </c>
      <c r="Z110" s="5">
        <v>8258.15</v>
      </c>
      <c r="AA110" s="5">
        <v>1</v>
      </c>
      <c r="AB110" s="5">
        <v>8258.15</v>
      </c>
    </row>
    <row r="111" spans="1:28" x14ac:dyDescent="0.2">
      <c r="A111" s="5">
        <v>50</v>
      </c>
      <c r="B111" s="5">
        <v>0</v>
      </c>
      <c r="C111" s="5">
        <v>0</v>
      </c>
      <c r="D111" s="5">
        <v>1</v>
      </c>
      <c r="E111" s="5">
        <v>211</v>
      </c>
      <c r="F111" s="5">
        <f>ROUND(Source!Y84,O111)</f>
        <v>78.959999999999994</v>
      </c>
      <c r="G111" s="5" t="s">
        <v>96</v>
      </c>
      <c r="H111" s="5" t="s">
        <v>97</v>
      </c>
      <c r="I111" s="5"/>
      <c r="J111" s="5"/>
      <c r="K111" s="5">
        <v>211</v>
      </c>
      <c r="L111" s="5">
        <v>26</v>
      </c>
      <c r="M111" s="5">
        <v>3</v>
      </c>
      <c r="N111" s="5" t="s">
        <v>3</v>
      </c>
      <c r="O111" s="5">
        <v>2</v>
      </c>
      <c r="P111" s="5">
        <f>ROUND(Source!DQ84,O111)</f>
        <v>4341.92</v>
      </c>
      <c r="Q111" s="5"/>
      <c r="R111" s="5"/>
      <c r="S111" s="5"/>
      <c r="T111" s="5"/>
      <c r="U111" s="5"/>
      <c r="V111" s="5"/>
      <c r="W111" s="5">
        <v>78.959999999999994</v>
      </c>
      <c r="X111" s="5">
        <v>1</v>
      </c>
      <c r="Y111" s="5">
        <v>78.959999999999994</v>
      </c>
      <c r="Z111" s="5">
        <v>4341.92</v>
      </c>
      <c r="AA111" s="5">
        <v>1</v>
      </c>
      <c r="AB111" s="5">
        <v>4341.92</v>
      </c>
    </row>
    <row r="112" spans="1:28" x14ac:dyDescent="0.2">
      <c r="A112" s="5">
        <v>50</v>
      </c>
      <c r="B112" s="5">
        <v>0</v>
      </c>
      <c r="C112" s="5">
        <v>0</v>
      </c>
      <c r="D112" s="5">
        <v>1</v>
      </c>
      <c r="E112" s="5">
        <v>224</v>
      </c>
      <c r="F112" s="5">
        <f>ROUND(Source!AR84,O112)</f>
        <v>1083.56</v>
      </c>
      <c r="G112" s="5" t="s">
        <v>98</v>
      </c>
      <c r="H112" s="5" t="s">
        <v>99</v>
      </c>
      <c r="I112" s="5"/>
      <c r="J112" s="5"/>
      <c r="K112" s="5">
        <v>224</v>
      </c>
      <c r="L112" s="5">
        <v>27</v>
      </c>
      <c r="M112" s="5">
        <v>3</v>
      </c>
      <c r="N112" s="5" t="s">
        <v>3</v>
      </c>
      <c r="O112" s="5">
        <v>2</v>
      </c>
      <c r="P112" s="5">
        <f>ROUND(Source!EJ84,O112)</f>
        <v>26837.06</v>
      </c>
      <c r="Q112" s="5"/>
      <c r="R112" s="5"/>
      <c r="S112" s="5"/>
      <c r="T112" s="5"/>
      <c r="U112" s="5"/>
      <c r="V112" s="5"/>
      <c r="W112" s="5">
        <v>1083.56</v>
      </c>
      <c r="X112" s="5">
        <v>1</v>
      </c>
      <c r="Y112" s="5">
        <v>1083.56</v>
      </c>
      <c r="Z112" s="5">
        <v>26837.06</v>
      </c>
      <c r="AA112" s="5">
        <v>1</v>
      </c>
      <c r="AB112" s="5">
        <v>26837.06</v>
      </c>
    </row>
    <row r="114" spans="1:206" x14ac:dyDescent="0.2">
      <c r="A114" s="3">
        <v>51</v>
      </c>
      <c r="B114" s="3">
        <f>B20</f>
        <v>1</v>
      </c>
      <c r="C114" s="3">
        <f>A20</f>
        <v>3</v>
      </c>
      <c r="D114" s="3">
        <f>ROW(A20)</f>
        <v>20</v>
      </c>
      <c r="E114" s="3"/>
      <c r="F114" s="3" t="str">
        <f>IF(F20&lt;&gt;"",F20,"")</f>
        <v>02-01-13</v>
      </c>
      <c r="G114" s="3" t="str">
        <f>IF(G20&lt;&gt;"",G20,"")</f>
        <v>Электрочасофикация</v>
      </c>
      <c r="H114" s="3">
        <v>0</v>
      </c>
      <c r="I114" s="3"/>
      <c r="J114" s="3"/>
      <c r="K114" s="3"/>
      <c r="L114" s="3"/>
      <c r="M114" s="3"/>
      <c r="N114" s="3"/>
      <c r="O114" s="3">
        <f t="shared" ref="O114:T114" si="87">ROUND(O37+O84+AB114,2)</f>
        <v>12937.98</v>
      </c>
      <c r="P114" s="3">
        <f t="shared" si="87"/>
        <v>12662.37</v>
      </c>
      <c r="Q114" s="3">
        <f t="shared" si="87"/>
        <v>21.87</v>
      </c>
      <c r="R114" s="3">
        <f t="shared" si="87"/>
        <v>3.48</v>
      </c>
      <c r="S114" s="3">
        <f t="shared" si="87"/>
        <v>253.74</v>
      </c>
      <c r="T114" s="3">
        <f t="shared" si="87"/>
        <v>0</v>
      </c>
      <c r="U114" s="3">
        <f>U37+U84+AH114</f>
        <v>19.976236499999999</v>
      </c>
      <c r="V114" s="3">
        <f>V37+V84+AI114</f>
        <v>0</v>
      </c>
      <c r="W114" s="3">
        <f>ROUND(W37+W84+AJ114,2)</f>
        <v>0</v>
      </c>
      <c r="X114" s="3">
        <f>ROUND(X37+X84+AK114,2)</f>
        <v>242.34</v>
      </c>
      <c r="Y114" s="3">
        <f>ROUND(Y37+Y84+AL114,2)</f>
        <v>126.07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f t="shared" ref="AO114:BD114" si="88">ROUND(AO37+AO84+BX114,2)</f>
        <v>0</v>
      </c>
      <c r="AP114" s="3">
        <f t="shared" si="88"/>
        <v>11980.11</v>
      </c>
      <c r="AQ114" s="3">
        <f t="shared" si="88"/>
        <v>0</v>
      </c>
      <c r="AR114" s="3">
        <f t="shared" si="88"/>
        <v>13306.39</v>
      </c>
      <c r="AS114" s="3">
        <f t="shared" si="88"/>
        <v>0</v>
      </c>
      <c r="AT114" s="3">
        <f t="shared" si="88"/>
        <v>1326.28</v>
      </c>
      <c r="AU114" s="3">
        <f t="shared" si="88"/>
        <v>0</v>
      </c>
      <c r="AV114" s="3">
        <f t="shared" si="88"/>
        <v>12662.37</v>
      </c>
      <c r="AW114" s="3">
        <f t="shared" si="88"/>
        <v>682.26</v>
      </c>
      <c r="AX114" s="3">
        <f t="shared" si="88"/>
        <v>0</v>
      </c>
      <c r="AY114" s="3">
        <f t="shared" si="88"/>
        <v>682.26</v>
      </c>
      <c r="AZ114" s="3">
        <f t="shared" si="88"/>
        <v>11980.11</v>
      </c>
      <c r="BA114" s="3">
        <f t="shared" si="88"/>
        <v>0</v>
      </c>
      <c r="BB114" s="3">
        <f t="shared" si="88"/>
        <v>0</v>
      </c>
      <c r="BC114" s="3">
        <f t="shared" si="88"/>
        <v>0</v>
      </c>
      <c r="BD114" s="3">
        <f t="shared" si="88"/>
        <v>0</v>
      </c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4">
        <f t="shared" ref="DG114:DL114" si="89">ROUND(DG37+DG84+DT114,2)</f>
        <v>108051.29</v>
      </c>
      <c r="DH114" s="4">
        <f t="shared" si="89"/>
        <v>93723.51</v>
      </c>
      <c r="DI114" s="4">
        <f t="shared" si="89"/>
        <v>374.63</v>
      </c>
      <c r="DJ114" s="4">
        <f t="shared" si="89"/>
        <v>191.37</v>
      </c>
      <c r="DK114" s="4">
        <f t="shared" si="89"/>
        <v>13953.15</v>
      </c>
      <c r="DL114" s="4">
        <f t="shared" si="89"/>
        <v>0</v>
      </c>
      <c r="DM114" s="4">
        <f>DM37+DM84+DZ114</f>
        <v>19.976236499999999</v>
      </c>
      <c r="DN114" s="4">
        <f>DN37+DN84+EA114</f>
        <v>0</v>
      </c>
      <c r="DO114" s="4">
        <f>ROUND(DO37+DO84+EB114,2)</f>
        <v>0</v>
      </c>
      <c r="DP114" s="4">
        <f>ROUND(DP37+DP84+EC114,2)</f>
        <v>13326.03</v>
      </c>
      <c r="DQ114" s="4">
        <f>ROUND(DQ37+DQ84+ED114,2)</f>
        <v>6932.16</v>
      </c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>
        <f t="shared" ref="EG114:EV114" si="90">ROUND(EG37+EG84+FP114,2)</f>
        <v>0</v>
      </c>
      <c r="EH114" s="4">
        <f t="shared" si="90"/>
        <v>88172.94</v>
      </c>
      <c r="EI114" s="4">
        <f t="shared" si="90"/>
        <v>0</v>
      </c>
      <c r="EJ114" s="4">
        <f t="shared" si="90"/>
        <v>128309.48</v>
      </c>
      <c r="EK114" s="4">
        <f t="shared" si="90"/>
        <v>0</v>
      </c>
      <c r="EL114" s="4">
        <f t="shared" si="90"/>
        <v>40136.54</v>
      </c>
      <c r="EM114" s="4">
        <f t="shared" si="90"/>
        <v>0</v>
      </c>
      <c r="EN114" s="4">
        <f t="shared" si="90"/>
        <v>93723.51</v>
      </c>
      <c r="EO114" s="4">
        <f t="shared" si="90"/>
        <v>5550.57</v>
      </c>
      <c r="EP114" s="4">
        <f t="shared" si="90"/>
        <v>0</v>
      </c>
      <c r="EQ114" s="4">
        <f t="shared" si="90"/>
        <v>5550.57</v>
      </c>
      <c r="ER114" s="4">
        <f t="shared" si="90"/>
        <v>88172.94</v>
      </c>
      <c r="ES114" s="4">
        <f t="shared" si="90"/>
        <v>0</v>
      </c>
      <c r="ET114" s="4">
        <f t="shared" si="90"/>
        <v>0</v>
      </c>
      <c r="EU114" s="4">
        <f t="shared" si="90"/>
        <v>0</v>
      </c>
      <c r="EV114" s="4">
        <f t="shared" si="90"/>
        <v>0</v>
      </c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>
        <v>0</v>
      </c>
    </row>
    <row r="116" spans="1:206" x14ac:dyDescent="0.2">
      <c r="A116" s="5">
        <v>50</v>
      </c>
      <c r="B116" s="5">
        <v>0</v>
      </c>
      <c r="C116" s="5">
        <v>0</v>
      </c>
      <c r="D116" s="5">
        <v>1</v>
      </c>
      <c r="E116" s="5">
        <v>201</v>
      </c>
      <c r="F116" s="5">
        <f>ROUND(Source!O114,O116)</f>
        <v>12937.98</v>
      </c>
      <c r="G116" s="5" t="s">
        <v>46</v>
      </c>
      <c r="H116" s="5" t="s">
        <v>47</v>
      </c>
      <c r="I116" s="5"/>
      <c r="J116" s="5"/>
      <c r="K116" s="5">
        <v>201</v>
      </c>
      <c r="L116" s="5">
        <v>1</v>
      </c>
      <c r="M116" s="5">
        <v>3</v>
      </c>
      <c r="N116" s="5" t="s">
        <v>3</v>
      </c>
      <c r="O116" s="5">
        <v>2</v>
      </c>
      <c r="P116" s="5">
        <f>ROUND(Source!DG114,O116)</f>
        <v>108051.29</v>
      </c>
      <c r="Q116" s="5"/>
      <c r="R116" s="5"/>
      <c r="S116" s="5"/>
      <c r="T116" s="5"/>
      <c r="U116" s="5"/>
      <c r="V116" s="5"/>
      <c r="W116" s="5">
        <v>12937.98</v>
      </c>
      <c r="X116" s="5">
        <v>1</v>
      </c>
      <c r="Y116" s="5">
        <v>12937.98</v>
      </c>
      <c r="Z116" s="5">
        <v>108051.29</v>
      </c>
      <c r="AA116" s="5">
        <v>1</v>
      </c>
      <c r="AB116" s="5">
        <v>108051.29</v>
      </c>
    </row>
    <row r="117" spans="1:206" x14ac:dyDescent="0.2">
      <c r="A117" s="5">
        <v>50</v>
      </c>
      <c r="B117" s="5">
        <v>0</v>
      </c>
      <c r="C117" s="5">
        <v>0</v>
      </c>
      <c r="D117" s="5">
        <v>1</v>
      </c>
      <c r="E117" s="5">
        <v>202</v>
      </c>
      <c r="F117" s="5">
        <f>ROUND(Source!P114,O117)</f>
        <v>12662.37</v>
      </c>
      <c r="G117" s="5" t="s">
        <v>48</v>
      </c>
      <c r="H117" s="5" t="s">
        <v>49</v>
      </c>
      <c r="I117" s="5"/>
      <c r="J117" s="5"/>
      <c r="K117" s="5">
        <v>202</v>
      </c>
      <c r="L117" s="5">
        <v>2</v>
      </c>
      <c r="M117" s="5">
        <v>3</v>
      </c>
      <c r="N117" s="5" t="s">
        <v>3</v>
      </c>
      <c r="O117" s="5">
        <v>2</v>
      </c>
      <c r="P117" s="5">
        <f>ROUND(Source!DH114,O117)</f>
        <v>93723.51</v>
      </c>
      <c r="Q117" s="5"/>
      <c r="R117" s="5"/>
      <c r="S117" s="5"/>
      <c r="T117" s="5"/>
      <c r="U117" s="5"/>
      <c r="V117" s="5"/>
      <c r="W117" s="5">
        <v>12662.37</v>
      </c>
      <c r="X117" s="5">
        <v>1</v>
      </c>
      <c r="Y117" s="5">
        <v>12662.37</v>
      </c>
      <c r="Z117" s="5">
        <v>93723.51</v>
      </c>
      <c r="AA117" s="5">
        <v>1</v>
      </c>
      <c r="AB117" s="5">
        <v>93723.51</v>
      </c>
    </row>
    <row r="118" spans="1:206" x14ac:dyDescent="0.2">
      <c r="A118" s="5">
        <v>50</v>
      </c>
      <c r="B118" s="5">
        <v>0</v>
      </c>
      <c r="C118" s="5">
        <v>0</v>
      </c>
      <c r="D118" s="5">
        <v>1</v>
      </c>
      <c r="E118" s="5">
        <v>222</v>
      </c>
      <c r="F118" s="5">
        <f>ROUND(Source!AO114,O118)</f>
        <v>0</v>
      </c>
      <c r="G118" s="5" t="s">
        <v>50</v>
      </c>
      <c r="H118" s="5" t="s">
        <v>51</v>
      </c>
      <c r="I118" s="5"/>
      <c r="J118" s="5"/>
      <c r="K118" s="5">
        <v>222</v>
      </c>
      <c r="L118" s="5">
        <v>3</v>
      </c>
      <c r="M118" s="5">
        <v>3</v>
      </c>
      <c r="N118" s="5" t="s">
        <v>3</v>
      </c>
      <c r="O118" s="5">
        <v>2</v>
      </c>
      <c r="P118" s="5">
        <f>ROUND(Source!EG114,O118)</f>
        <v>0</v>
      </c>
      <c r="Q118" s="5"/>
      <c r="R118" s="5"/>
      <c r="S118" s="5"/>
      <c r="T118" s="5"/>
      <c r="U118" s="5"/>
      <c r="V118" s="5"/>
      <c r="W118" s="5">
        <v>0</v>
      </c>
      <c r="X118" s="5">
        <v>1</v>
      </c>
      <c r="Y118" s="5">
        <v>0</v>
      </c>
      <c r="Z118" s="5">
        <v>0</v>
      </c>
      <c r="AA118" s="5">
        <v>1</v>
      </c>
      <c r="AB118" s="5">
        <v>0</v>
      </c>
    </row>
    <row r="119" spans="1:206" x14ac:dyDescent="0.2">
      <c r="A119" s="5">
        <v>50</v>
      </c>
      <c r="B119" s="5">
        <v>0</v>
      </c>
      <c r="C119" s="5">
        <v>0</v>
      </c>
      <c r="D119" s="5">
        <v>1</v>
      </c>
      <c r="E119" s="5">
        <v>225</v>
      </c>
      <c r="F119" s="5">
        <f>ROUND(Source!AV114,O119)</f>
        <v>12662.37</v>
      </c>
      <c r="G119" s="5" t="s">
        <v>52</v>
      </c>
      <c r="H119" s="5" t="s">
        <v>53</v>
      </c>
      <c r="I119" s="5"/>
      <c r="J119" s="5"/>
      <c r="K119" s="5">
        <v>225</v>
      </c>
      <c r="L119" s="5">
        <v>4</v>
      </c>
      <c r="M119" s="5">
        <v>3</v>
      </c>
      <c r="N119" s="5" t="s">
        <v>3</v>
      </c>
      <c r="O119" s="5">
        <v>2</v>
      </c>
      <c r="P119" s="5">
        <f>ROUND(Source!EN114,O119)</f>
        <v>93723.51</v>
      </c>
      <c r="Q119" s="5"/>
      <c r="R119" s="5"/>
      <c r="S119" s="5"/>
      <c r="T119" s="5"/>
      <c r="U119" s="5"/>
      <c r="V119" s="5"/>
      <c r="W119" s="5">
        <v>12662.37</v>
      </c>
      <c r="X119" s="5">
        <v>1</v>
      </c>
      <c r="Y119" s="5">
        <v>12662.37</v>
      </c>
      <c r="Z119" s="5">
        <v>93723.51</v>
      </c>
      <c r="AA119" s="5">
        <v>1</v>
      </c>
      <c r="AB119" s="5">
        <v>93723.51</v>
      </c>
    </row>
    <row r="120" spans="1:206" x14ac:dyDescent="0.2">
      <c r="A120" s="5">
        <v>50</v>
      </c>
      <c r="B120" s="5">
        <v>0</v>
      </c>
      <c r="C120" s="5">
        <v>0</v>
      </c>
      <c r="D120" s="5">
        <v>1</v>
      </c>
      <c r="E120" s="5">
        <v>226</v>
      </c>
      <c r="F120" s="5">
        <f>ROUND(Source!AW114,O120)</f>
        <v>682.26</v>
      </c>
      <c r="G120" s="5" t="s">
        <v>54</v>
      </c>
      <c r="H120" s="5" t="s">
        <v>55</v>
      </c>
      <c r="I120" s="5"/>
      <c r="J120" s="5"/>
      <c r="K120" s="5">
        <v>226</v>
      </c>
      <c r="L120" s="5">
        <v>5</v>
      </c>
      <c r="M120" s="5">
        <v>3</v>
      </c>
      <c r="N120" s="5" t="s">
        <v>3</v>
      </c>
      <c r="O120" s="5">
        <v>2</v>
      </c>
      <c r="P120" s="5">
        <f>ROUND(Source!EO114,O120)</f>
        <v>5550.57</v>
      </c>
      <c r="Q120" s="5"/>
      <c r="R120" s="5"/>
      <c r="S120" s="5"/>
      <c r="T120" s="5"/>
      <c r="U120" s="5"/>
      <c r="V120" s="5"/>
      <c r="W120" s="5">
        <v>682.26</v>
      </c>
      <c r="X120" s="5">
        <v>1</v>
      </c>
      <c r="Y120" s="5">
        <v>682.26</v>
      </c>
      <c r="Z120" s="5">
        <v>5550.57</v>
      </c>
      <c r="AA120" s="5">
        <v>1</v>
      </c>
      <c r="AB120" s="5">
        <v>5550.57</v>
      </c>
    </row>
    <row r="121" spans="1:206" x14ac:dyDescent="0.2">
      <c r="A121" s="5">
        <v>50</v>
      </c>
      <c r="B121" s="5">
        <v>0</v>
      </c>
      <c r="C121" s="5">
        <v>0</v>
      </c>
      <c r="D121" s="5">
        <v>1</v>
      </c>
      <c r="E121" s="5">
        <v>227</v>
      </c>
      <c r="F121" s="5">
        <f>ROUND(Source!AX114,O121)</f>
        <v>0</v>
      </c>
      <c r="G121" s="5" t="s">
        <v>56</v>
      </c>
      <c r="H121" s="5" t="s">
        <v>57</v>
      </c>
      <c r="I121" s="5"/>
      <c r="J121" s="5"/>
      <c r="K121" s="5">
        <v>227</v>
      </c>
      <c r="L121" s="5">
        <v>6</v>
      </c>
      <c r="M121" s="5">
        <v>3</v>
      </c>
      <c r="N121" s="5" t="s">
        <v>3</v>
      </c>
      <c r="O121" s="5">
        <v>2</v>
      </c>
      <c r="P121" s="5">
        <f>ROUND(Source!EP114,O121)</f>
        <v>0</v>
      </c>
      <c r="Q121" s="5"/>
      <c r="R121" s="5"/>
      <c r="S121" s="5"/>
      <c r="T121" s="5"/>
      <c r="U121" s="5"/>
      <c r="V121" s="5"/>
      <c r="W121" s="5">
        <v>0</v>
      </c>
      <c r="X121" s="5">
        <v>1</v>
      </c>
      <c r="Y121" s="5">
        <v>0</v>
      </c>
      <c r="Z121" s="5">
        <v>0</v>
      </c>
      <c r="AA121" s="5">
        <v>1</v>
      </c>
      <c r="AB121" s="5">
        <v>0</v>
      </c>
    </row>
    <row r="122" spans="1:206" x14ac:dyDescent="0.2">
      <c r="A122" s="5">
        <v>50</v>
      </c>
      <c r="B122" s="5">
        <v>0</v>
      </c>
      <c r="C122" s="5">
        <v>0</v>
      </c>
      <c r="D122" s="5">
        <v>1</v>
      </c>
      <c r="E122" s="5">
        <v>228</v>
      </c>
      <c r="F122" s="5">
        <f>ROUND(Source!AY114,O122)</f>
        <v>682.26</v>
      </c>
      <c r="G122" s="5" t="s">
        <v>58</v>
      </c>
      <c r="H122" s="5" t="s">
        <v>59</v>
      </c>
      <c r="I122" s="5"/>
      <c r="J122" s="5"/>
      <c r="K122" s="5">
        <v>228</v>
      </c>
      <c r="L122" s="5">
        <v>7</v>
      </c>
      <c r="M122" s="5">
        <v>3</v>
      </c>
      <c r="N122" s="5" t="s">
        <v>3</v>
      </c>
      <c r="O122" s="5">
        <v>2</v>
      </c>
      <c r="P122" s="5">
        <f>ROUND(Source!EQ114,O122)</f>
        <v>5550.57</v>
      </c>
      <c r="Q122" s="5"/>
      <c r="R122" s="5"/>
      <c r="S122" s="5"/>
      <c r="T122" s="5"/>
      <c r="U122" s="5"/>
      <c r="V122" s="5"/>
      <c r="W122" s="5">
        <v>682.26</v>
      </c>
      <c r="X122" s="5">
        <v>1</v>
      </c>
      <c r="Y122" s="5">
        <v>682.26</v>
      </c>
      <c r="Z122" s="5">
        <v>5550.57</v>
      </c>
      <c r="AA122" s="5">
        <v>1</v>
      </c>
      <c r="AB122" s="5">
        <v>5550.57</v>
      </c>
    </row>
    <row r="123" spans="1:206" x14ac:dyDescent="0.2">
      <c r="A123" s="5">
        <v>50</v>
      </c>
      <c r="B123" s="5">
        <v>0</v>
      </c>
      <c r="C123" s="5">
        <v>0</v>
      </c>
      <c r="D123" s="5">
        <v>1</v>
      </c>
      <c r="E123" s="5">
        <v>216</v>
      </c>
      <c r="F123" s="5">
        <f>ROUND(Source!AP114,O123)</f>
        <v>11980.11</v>
      </c>
      <c r="G123" s="5" t="s">
        <v>60</v>
      </c>
      <c r="H123" s="5" t="s">
        <v>61</v>
      </c>
      <c r="I123" s="5"/>
      <c r="J123" s="5"/>
      <c r="K123" s="5">
        <v>216</v>
      </c>
      <c r="L123" s="5">
        <v>8</v>
      </c>
      <c r="M123" s="5">
        <v>3</v>
      </c>
      <c r="N123" s="5" t="s">
        <v>3</v>
      </c>
      <c r="O123" s="5">
        <v>2</v>
      </c>
      <c r="P123" s="5">
        <f>ROUND(Source!EH114,O123)</f>
        <v>88172.94</v>
      </c>
      <c r="Q123" s="5"/>
      <c r="R123" s="5"/>
      <c r="S123" s="5"/>
      <c r="T123" s="5"/>
      <c r="U123" s="5"/>
      <c r="V123" s="5"/>
      <c r="W123" s="5">
        <v>11980.11</v>
      </c>
      <c r="X123" s="5">
        <v>1</v>
      </c>
      <c r="Y123" s="5">
        <v>11980.11</v>
      </c>
      <c r="Z123" s="5">
        <v>88172.94</v>
      </c>
      <c r="AA123" s="5">
        <v>1</v>
      </c>
      <c r="AB123" s="5">
        <v>88172.94</v>
      </c>
    </row>
    <row r="124" spans="1:206" x14ac:dyDescent="0.2">
      <c r="A124" s="5">
        <v>50</v>
      </c>
      <c r="B124" s="5">
        <v>0</v>
      </c>
      <c r="C124" s="5">
        <v>0</v>
      </c>
      <c r="D124" s="5">
        <v>1</v>
      </c>
      <c r="E124" s="5">
        <v>223</v>
      </c>
      <c r="F124" s="5">
        <f>ROUND(Source!AQ114,O124)</f>
        <v>0</v>
      </c>
      <c r="G124" s="5" t="s">
        <v>62</v>
      </c>
      <c r="H124" s="5" t="s">
        <v>63</v>
      </c>
      <c r="I124" s="5"/>
      <c r="J124" s="5"/>
      <c r="K124" s="5">
        <v>223</v>
      </c>
      <c r="L124" s="5">
        <v>9</v>
      </c>
      <c r="M124" s="5">
        <v>3</v>
      </c>
      <c r="N124" s="5" t="s">
        <v>3</v>
      </c>
      <c r="O124" s="5">
        <v>2</v>
      </c>
      <c r="P124" s="5">
        <f>ROUND(Source!EI114,O124)</f>
        <v>0</v>
      </c>
      <c r="Q124" s="5"/>
      <c r="R124" s="5"/>
      <c r="S124" s="5"/>
      <c r="T124" s="5"/>
      <c r="U124" s="5"/>
      <c r="V124" s="5"/>
      <c r="W124" s="5">
        <v>0</v>
      </c>
      <c r="X124" s="5">
        <v>1</v>
      </c>
      <c r="Y124" s="5">
        <v>0</v>
      </c>
      <c r="Z124" s="5">
        <v>0</v>
      </c>
      <c r="AA124" s="5">
        <v>1</v>
      </c>
      <c r="AB124" s="5">
        <v>0</v>
      </c>
    </row>
    <row r="125" spans="1:206" x14ac:dyDescent="0.2">
      <c r="A125" s="5">
        <v>50</v>
      </c>
      <c r="B125" s="5">
        <v>0</v>
      </c>
      <c r="C125" s="5">
        <v>0</v>
      </c>
      <c r="D125" s="5">
        <v>1</v>
      </c>
      <c r="E125" s="5">
        <v>229</v>
      </c>
      <c r="F125" s="5">
        <f>ROUND(Source!AZ114,O125)</f>
        <v>11980.11</v>
      </c>
      <c r="G125" s="5" t="s">
        <v>64</v>
      </c>
      <c r="H125" s="5" t="s">
        <v>65</v>
      </c>
      <c r="I125" s="5"/>
      <c r="J125" s="5"/>
      <c r="K125" s="5">
        <v>229</v>
      </c>
      <c r="L125" s="5">
        <v>10</v>
      </c>
      <c r="M125" s="5">
        <v>3</v>
      </c>
      <c r="N125" s="5" t="s">
        <v>3</v>
      </c>
      <c r="O125" s="5">
        <v>2</v>
      </c>
      <c r="P125" s="5">
        <f>ROUND(Source!ER114,O125)</f>
        <v>88172.94</v>
      </c>
      <c r="Q125" s="5"/>
      <c r="R125" s="5"/>
      <c r="S125" s="5"/>
      <c r="T125" s="5"/>
      <c r="U125" s="5"/>
      <c r="V125" s="5"/>
      <c r="W125" s="5">
        <v>11980.11</v>
      </c>
      <c r="X125" s="5">
        <v>1</v>
      </c>
      <c r="Y125" s="5">
        <v>11980.11</v>
      </c>
      <c r="Z125" s="5">
        <v>88172.94</v>
      </c>
      <c r="AA125" s="5">
        <v>1</v>
      </c>
      <c r="AB125" s="5">
        <v>88172.94</v>
      </c>
    </row>
    <row r="126" spans="1:206" x14ac:dyDescent="0.2">
      <c r="A126" s="5">
        <v>50</v>
      </c>
      <c r="B126" s="5">
        <v>0</v>
      </c>
      <c r="C126" s="5">
        <v>0</v>
      </c>
      <c r="D126" s="5">
        <v>1</v>
      </c>
      <c r="E126" s="5">
        <v>203</v>
      </c>
      <c r="F126" s="5">
        <f>ROUND(Source!Q114,O126)</f>
        <v>21.87</v>
      </c>
      <c r="G126" s="5" t="s">
        <v>66</v>
      </c>
      <c r="H126" s="5" t="s">
        <v>67</v>
      </c>
      <c r="I126" s="5"/>
      <c r="J126" s="5"/>
      <c r="K126" s="5">
        <v>203</v>
      </c>
      <c r="L126" s="5">
        <v>11</v>
      </c>
      <c r="M126" s="5">
        <v>3</v>
      </c>
      <c r="N126" s="5" t="s">
        <v>3</v>
      </c>
      <c r="O126" s="5">
        <v>2</v>
      </c>
      <c r="P126" s="5">
        <f>ROUND(Source!DI114,O126)</f>
        <v>374.63</v>
      </c>
      <c r="Q126" s="5"/>
      <c r="R126" s="5"/>
      <c r="S126" s="5"/>
      <c r="T126" s="5"/>
      <c r="U126" s="5"/>
      <c r="V126" s="5"/>
      <c r="W126" s="5">
        <v>21.87</v>
      </c>
      <c r="X126" s="5">
        <v>1</v>
      </c>
      <c r="Y126" s="5">
        <v>21.87</v>
      </c>
      <c r="Z126" s="5">
        <v>374.63</v>
      </c>
      <c r="AA126" s="5">
        <v>1</v>
      </c>
      <c r="AB126" s="5">
        <v>374.63</v>
      </c>
    </row>
    <row r="127" spans="1:206" x14ac:dyDescent="0.2">
      <c r="A127" s="5">
        <v>50</v>
      </c>
      <c r="B127" s="5">
        <v>0</v>
      </c>
      <c r="C127" s="5">
        <v>0</v>
      </c>
      <c r="D127" s="5">
        <v>1</v>
      </c>
      <c r="E127" s="5">
        <v>231</v>
      </c>
      <c r="F127" s="5">
        <f>ROUND(Source!BB114,O127)</f>
        <v>0</v>
      </c>
      <c r="G127" s="5" t="s">
        <v>68</v>
      </c>
      <c r="H127" s="5" t="s">
        <v>69</v>
      </c>
      <c r="I127" s="5"/>
      <c r="J127" s="5"/>
      <c r="K127" s="5">
        <v>231</v>
      </c>
      <c r="L127" s="5">
        <v>12</v>
      </c>
      <c r="M127" s="5">
        <v>3</v>
      </c>
      <c r="N127" s="5" t="s">
        <v>3</v>
      </c>
      <c r="O127" s="5">
        <v>2</v>
      </c>
      <c r="P127" s="5">
        <f>ROUND(Source!ET114,O127)</f>
        <v>0</v>
      </c>
      <c r="Q127" s="5"/>
      <c r="R127" s="5"/>
      <c r="S127" s="5"/>
      <c r="T127" s="5"/>
      <c r="U127" s="5"/>
      <c r="V127" s="5"/>
      <c r="W127" s="5">
        <v>0</v>
      </c>
      <c r="X127" s="5">
        <v>1</v>
      </c>
      <c r="Y127" s="5">
        <v>0</v>
      </c>
      <c r="Z127" s="5">
        <v>0</v>
      </c>
      <c r="AA127" s="5">
        <v>1</v>
      </c>
      <c r="AB127" s="5">
        <v>0</v>
      </c>
    </row>
    <row r="128" spans="1:206" x14ac:dyDescent="0.2">
      <c r="A128" s="5">
        <v>50</v>
      </c>
      <c r="B128" s="5">
        <v>0</v>
      </c>
      <c r="C128" s="5">
        <v>0</v>
      </c>
      <c r="D128" s="5">
        <v>1</v>
      </c>
      <c r="E128" s="5">
        <v>204</v>
      </c>
      <c r="F128" s="5">
        <f>ROUND(Source!R114,O128)</f>
        <v>3.48</v>
      </c>
      <c r="G128" s="5" t="s">
        <v>70</v>
      </c>
      <c r="H128" s="5" t="s">
        <v>71</v>
      </c>
      <c r="I128" s="5"/>
      <c r="J128" s="5"/>
      <c r="K128" s="5">
        <v>204</v>
      </c>
      <c r="L128" s="5">
        <v>13</v>
      </c>
      <c r="M128" s="5">
        <v>3</v>
      </c>
      <c r="N128" s="5" t="s">
        <v>3</v>
      </c>
      <c r="O128" s="5">
        <v>2</v>
      </c>
      <c r="P128" s="5">
        <f>ROUND(Source!DJ114,O128)</f>
        <v>191.37</v>
      </c>
      <c r="Q128" s="5"/>
      <c r="R128" s="5"/>
      <c r="S128" s="5"/>
      <c r="T128" s="5"/>
      <c r="U128" s="5"/>
      <c r="V128" s="5"/>
      <c r="W128" s="5">
        <v>3.48</v>
      </c>
      <c r="X128" s="5">
        <v>1</v>
      </c>
      <c r="Y128" s="5">
        <v>3.48</v>
      </c>
      <c r="Z128" s="5">
        <v>191.37</v>
      </c>
      <c r="AA128" s="5">
        <v>1</v>
      </c>
      <c r="AB128" s="5">
        <v>191.37</v>
      </c>
    </row>
    <row r="129" spans="1:206" x14ac:dyDescent="0.2">
      <c r="A129" s="5">
        <v>50</v>
      </c>
      <c r="B129" s="5">
        <v>0</v>
      </c>
      <c r="C129" s="5">
        <v>0</v>
      </c>
      <c r="D129" s="5">
        <v>1</v>
      </c>
      <c r="E129" s="5">
        <v>205</v>
      </c>
      <c r="F129" s="5">
        <f>ROUND(Source!S114,O129)</f>
        <v>253.74</v>
      </c>
      <c r="G129" s="5" t="s">
        <v>72</v>
      </c>
      <c r="H129" s="5" t="s">
        <v>73</v>
      </c>
      <c r="I129" s="5"/>
      <c r="J129" s="5"/>
      <c r="K129" s="5">
        <v>205</v>
      </c>
      <c r="L129" s="5">
        <v>14</v>
      </c>
      <c r="M129" s="5">
        <v>3</v>
      </c>
      <c r="N129" s="5" t="s">
        <v>3</v>
      </c>
      <c r="O129" s="5">
        <v>2</v>
      </c>
      <c r="P129" s="5">
        <f>ROUND(Source!DK114,O129)</f>
        <v>13953.15</v>
      </c>
      <c r="Q129" s="5"/>
      <c r="R129" s="5"/>
      <c r="S129" s="5"/>
      <c r="T129" s="5"/>
      <c r="U129" s="5"/>
      <c r="V129" s="5"/>
      <c r="W129" s="5">
        <v>253.74</v>
      </c>
      <c r="X129" s="5">
        <v>1</v>
      </c>
      <c r="Y129" s="5">
        <v>253.74</v>
      </c>
      <c r="Z129" s="5">
        <v>13953.15</v>
      </c>
      <c r="AA129" s="5">
        <v>1</v>
      </c>
      <c r="AB129" s="5">
        <v>13953.15</v>
      </c>
    </row>
    <row r="130" spans="1:206" x14ac:dyDescent="0.2">
      <c r="A130" s="5">
        <v>50</v>
      </c>
      <c r="B130" s="5">
        <v>0</v>
      </c>
      <c r="C130" s="5">
        <v>0</v>
      </c>
      <c r="D130" s="5">
        <v>1</v>
      </c>
      <c r="E130" s="5">
        <v>232</v>
      </c>
      <c r="F130" s="5">
        <f>ROUND(Source!BC114,O130)</f>
        <v>0</v>
      </c>
      <c r="G130" s="5" t="s">
        <v>74</v>
      </c>
      <c r="H130" s="5" t="s">
        <v>75</v>
      </c>
      <c r="I130" s="5"/>
      <c r="J130" s="5"/>
      <c r="K130" s="5">
        <v>232</v>
      </c>
      <c r="L130" s="5">
        <v>15</v>
      </c>
      <c r="M130" s="5">
        <v>3</v>
      </c>
      <c r="N130" s="5" t="s">
        <v>3</v>
      </c>
      <c r="O130" s="5">
        <v>2</v>
      </c>
      <c r="P130" s="5">
        <f>ROUND(Source!EU114,O130)</f>
        <v>0</v>
      </c>
      <c r="Q130" s="5"/>
      <c r="R130" s="5"/>
      <c r="S130" s="5"/>
      <c r="T130" s="5"/>
      <c r="U130" s="5"/>
      <c r="V130" s="5"/>
      <c r="W130" s="5">
        <v>0</v>
      </c>
      <c r="X130" s="5">
        <v>1</v>
      </c>
      <c r="Y130" s="5">
        <v>0</v>
      </c>
      <c r="Z130" s="5">
        <v>0</v>
      </c>
      <c r="AA130" s="5">
        <v>1</v>
      </c>
      <c r="AB130" s="5">
        <v>0</v>
      </c>
    </row>
    <row r="131" spans="1:206" x14ac:dyDescent="0.2">
      <c r="A131" s="5">
        <v>50</v>
      </c>
      <c r="B131" s="5">
        <v>0</v>
      </c>
      <c r="C131" s="5">
        <v>0</v>
      </c>
      <c r="D131" s="5">
        <v>1</v>
      </c>
      <c r="E131" s="5">
        <v>214</v>
      </c>
      <c r="F131" s="5">
        <f>ROUND(Source!AS114,O131)</f>
        <v>0</v>
      </c>
      <c r="G131" s="5" t="s">
        <v>76</v>
      </c>
      <c r="H131" s="5" t="s">
        <v>77</v>
      </c>
      <c r="I131" s="5"/>
      <c r="J131" s="5"/>
      <c r="K131" s="5">
        <v>214</v>
      </c>
      <c r="L131" s="5">
        <v>16</v>
      </c>
      <c r="M131" s="5">
        <v>3</v>
      </c>
      <c r="N131" s="5" t="s">
        <v>3</v>
      </c>
      <c r="O131" s="5">
        <v>2</v>
      </c>
      <c r="P131" s="5">
        <f>ROUND(Source!EK114,O131)</f>
        <v>0</v>
      </c>
      <c r="Q131" s="5"/>
      <c r="R131" s="5"/>
      <c r="S131" s="5"/>
      <c r="T131" s="5"/>
      <c r="U131" s="5"/>
      <c r="V131" s="5"/>
      <c r="W131" s="5">
        <v>0</v>
      </c>
      <c r="X131" s="5">
        <v>1</v>
      </c>
      <c r="Y131" s="5">
        <v>0</v>
      </c>
      <c r="Z131" s="5">
        <v>0</v>
      </c>
      <c r="AA131" s="5">
        <v>1</v>
      </c>
      <c r="AB131" s="5">
        <v>0</v>
      </c>
    </row>
    <row r="132" spans="1:206" x14ac:dyDescent="0.2">
      <c r="A132" s="5">
        <v>50</v>
      </c>
      <c r="B132" s="5">
        <v>0</v>
      </c>
      <c r="C132" s="5">
        <v>0</v>
      </c>
      <c r="D132" s="5">
        <v>1</v>
      </c>
      <c r="E132" s="5">
        <v>215</v>
      </c>
      <c r="F132" s="5">
        <f>ROUND(Source!AT114,O132)</f>
        <v>1326.28</v>
      </c>
      <c r="G132" s="5" t="s">
        <v>78</v>
      </c>
      <c r="H132" s="5" t="s">
        <v>79</v>
      </c>
      <c r="I132" s="5"/>
      <c r="J132" s="5"/>
      <c r="K132" s="5">
        <v>215</v>
      </c>
      <c r="L132" s="5">
        <v>17</v>
      </c>
      <c r="M132" s="5">
        <v>3</v>
      </c>
      <c r="N132" s="5" t="s">
        <v>3</v>
      </c>
      <c r="O132" s="5">
        <v>2</v>
      </c>
      <c r="P132" s="5">
        <f>ROUND(Source!EL114,O132)</f>
        <v>40136.54</v>
      </c>
      <c r="Q132" s="5"/>
      <c r="R132" s="5"/>
      <c r="S132" s="5"/>
      <c r="T132" s="5"/>
      <c r="U132" s="5"/>
      <c r="V132" s="5"/>
      <c r="W132" s="5">
        <v>1326.28</v>
      </c>
      <c r="X132" s="5">
        <v>1</v>
      </c>
      <c r="Y132" s="5">
        <v>1326.28</v>
      </c>
      <c r="Z132" s="5">
        <v>40136.54</v>
      </c>
      <c r="AA132" s="5">
        <v>1</v>
      </c>
      <c r="AB132" s="5">
        <v>40136.54</v>
      </c>
    </row>
    <row r="133" spans="1:206" x14ac:dyDescent="0.2">
      <c r="A133" s="5">
        <v>50</v>
      </c>
      <c r="B133" s="5">
        <v>0</v>
      </c>
      <c r="C133" s="5">
        <v>0</v>
      </c>
      <c r="D133" s="5">
        <v>1</v>
      </c>
      <c r="E133" s="5">
        <v>217</v>
      </c>
      <c r="F133" s="5">
        <f>ROUND(Source!AU114,O133)</f>
        <v>0</v>
      </c>
      <c r="G133" s="5" t="s">
        <v>80</v>
      </c>
      <c r="H133" s="5" t="s">
        <v>81</v>
      </c>
      <c r="I133" s="5"/>
      <c r="J133" s="5"/>
      <c r="K133" s="5">
        <v>217</v>
      </c>
      <c r="L133" s="5">
        <v>18</v>
      </c>
      <c r="M133" s="5">
        <v>3</v>
      </c>
      <c r="N133" s="5" t="s">
        <v>3</v>
      </c>
      <c r="O133" s="5">
        <v>2</v>
      </c>
      <c r="P133" s="5">
        <f>ROUND(Source!EM114,O133)</f>
        <v>0</v>
      </c>
      <c r="Q133" s="5"/>
      <c r="R133" s="5"/>
      <c r="S133" s="5"/>
      <c r="T133" s="5"/>
      <c r="U133" s="5"/>
      <c r="V133" s="5"/>
      <c r="W133" s="5">
        <v>0</v>
      </c>
      <c r="X133" s="5">
        <v>1</v>
      </c>
      <c r="Y133" s="5">
        <v>0</v>
      </c>
      <c r="Z133" s="5">
        <v>0</v>
      </c>
      <c r="AA133" s="5">
        <v>1</v>
      </c>
      <c r="AB133" s="5">
        <v>0</v>
      </c>
    </row>
    <row r="134" spans="1:206" x14ac:dyDescent="0.2">
      <c r="A134" s="5">
        <v>50</v>
      </c>
      <c r="B134" s="5">
        <v>0</v>
      </c>
      <c r="C134" s="5">
        <v>0</v>
      </c>
      <c r="D134" s="5">
        <v>1</v>
      </c>
      <c r="E134" s="5">
        <v>230</v>
      </c>
      <c r="F134" s="5">
        <f>ROUND(Source!BA114,O134)</f>
        <v>0</v>
      </c>
      <c r="G134" s="5" t="s">
        <v>82</v>
      </c>
      <c r="H134" s="5" t="s">
        <v>83</v>
      </c>
      <c r="I134" s="5"/>
      <c r="J134" s="5"/>
      <c r="K134" s="5">
        <v>230</v>
      </c>
      <c r="L134" s="5">
        <v>19</v>
      </c>
      <c r="M134" s="5">
        <v>3</v>
      </c>
      <c r="N134" s="5" t="s">
        <v>3</v>
      </c>
      <c r="O134" s="5">
        <v>2</v>
      </c>
      <c r="P134" s="5">
        <f>ROUND(Source!ES114,O134)</f>
        <v>0</v>
      </c>
      <c r="Q134" s="5"/>
      <c r="R134" s="5"/>
      <c r="S134" s="5"/>
      <c r="T134" s="5"/>
      <c r="U134" s="5"/>
      <c r="V134" s="5"/>
      <c r="W134" s="5">
        <v>0</v>
      </c>
      <c r="X134" s="5">
        <v>1</v>
      </c>
      <c r="Y134" s="5">
        <v>0</v>
      </c>
      <c r="Z134" s="5">
        <v>0</v>
      </c>
      <c r="AA134" s="5">
        <v>1</v>
      </c>
      <c r="AB134" s="5">
        <v>0</v>
      </c>
    </row>
    <row r="135" spans="1:206" x14ac:dyDescent="0.2">
      <c r="A135" s="5">
        <v>50</v>
      </c>
      <c r="B135" s="5">
        <v>0</v>
      </c>
      <c r="C135" s="5">
        <v>0</v>
      </c>
      <c r="D135" s="5">
        <v>1</v>
      </c>
      <c r="E135" s="5">
        <v>206</v>
      </c>
      <c r="F135" s="5">
        <f>ROUND(Source!T114,O135)</f>
        <v>0</v>
      </c>
      <c r="G135" s="5" t="s">
        <v>84</v>
      </c>
      <c r="H135" s="5" t="s">
        <v>85</v>
      </c>
      <c r="I135" s="5"/>
      <c r="J135" s="5"/>
      <c r="K135" s="5">
        <v>206</v>
      </c>
      <c r="L135" s="5">
        <v>20</v>
      </c>
      <c r="M135" s="5">
        <v>3</v>
      </c>
      <c r="N135" s="5" t="s">
        <v>3</v>
      </c>
      <c r="O135" s="5">
        <v>2</v>
      </c>
      <c r="P135" s="5">
        <f>ROUND(Source!DL114,O135)</f>
        <v>0</v>
      </c>
      <c r="Q135" s="5"/>
      <c r="R135" s="5"/>
      <c r="S135" s="5"/>
      <c r="T135" s="5"/>
      <c r="U135" s="5"/>
      <c r="V135" s="5"/>
      <c r="W135" s="5">
        <v>0</v>
      </c>
      <c r="X135" s="5">
        <v>1</v>
      </c>
      <c r="Y135" s="5">
        <v>0</v>
      </c>
      <c r="Z135" s="5">
        <v>0</v>
      </c>
      <c r="AA135" s="5">
        <v>1</v>
      </c>
      <c r="AB135" s="5">
        <v>0</v>
      </c>
    </row>
    <row r="136" spans="1:206" x14ac:dyDescent="0.2">
      <c r="A136" s="5">
        <v>50</v>
      </c>
      <c r="B136" s="5">
        <v>0</v>
      </c>
      <c r="C136" s="5">
        <v>0</v>
      </c>
      <c r="D136" s="5">
        <v>1</v>
      </c>
      <c r="E136" s="5">
        <v>207</v>
      </c>
      <c r="F136" s="5">
        <f>Source!U114</f>
        <v>19.976236499999999</v>
      </c>
      <c r="G136" s="5" t="s">
        <v>86</v>
      </c>
      <c r="H136" s="5" t="s">
        <v>87</v>
      </c>
      <c r="I136" s="5"/>
      <c r="J136" s="5"/>
      <c r="K136" s="5">
        <v>207</v>
      </c>
      <c r="L136" s="5">
        <v>21</v>
      </c>
      <c r="M136" s="5">
        <v>3</v>
      </c>
      <c r="N136" s="5" t="s">
        <v>3</v>
      </c>
      <c r="O136" s="5">
        <v>-1</v>
      </c>
      <c r="P136" s="5">
        <f>Source!DM114</f>
        <v>19.976236499999999</v>
      </c>
      <c r="Q136" s="5"/>
      <c r="R136" s="5"/>
      <c r="S136" s="5"/>
      <c r="T136" s="5"/>
      <c r="U136" s="5"/>
      <c r="V136" s="5"/>
      <c r="W136" s="5">
        <v>19.976236499999995</v>
      </c>
      <c r="X136" s="5">
        <v>1</v>
      </c>
      <c r="Y136" s="5">
        <v>19.976236499999995</v>
      </c>
      <c r="Z136" s="5">
        <v>19.976236499999995</v>
      </c>
      <c r="AA136" s="5">
        <v>1</v>
      </c>
      <c r="AB136" s="5">
        <v>19.976236499999995</v>
      </c>
    </row>
    <row r="137" spans="1:206" x14ac:dyDescent="0.2">
      <c r="A137" s="5">
        <v>50</v>
      </c>
      <c r="B137" s="5">
        <v>0</v>
      </c>
      <c r="C137" s="5">
        <v>0</v>
      </c>
      <c r="D137" s="5">
        <v>1</v>
      </c>
      <c r="E137" s="5">
        <v>208</v>
      </c>
      <c r="F137" s="5">
        <f>Source!V114</f>
        <v>0</v>
      </c>
      <c r="G137" s="5" t="s">
        <v>88</v>
      </c>
      <c r="H137" s="5" t="s">
        <v>89</v>
      </c>
      <c r="I137" s="5"/>
      <c r="J137" s="5"/>
      <c r="K137" s="5">
        <v>208</v>
      </c>
      <c r="L137" s="5">
        <v>22</v>
      </c>
      <c r="M137" s="5">
        <v>3</v>
      </c>
      <c r="N137" s="5" t="s">
        <v>3</v>
      </c>
      <c r="O137" s="5">
        <v>-1</v>
      </c>
      <c r="P137" s="5">
        <f>Source!DN114</f>
        <v>0</v>
      </c>
      <c r="Q137" s="5"/>
      <c r="R137" s="5"/>
      <c r="S137" s="5"/>
      <c r="T137" s="5"/>
      <c r="U137" s="5"/>
      <c r="V137" s="5"/>
      <c r="W137" s="5">
        <v>0</v>
      </c>
      <c r="X137" s="5">
        <v>1</v>
      </c>
      <c r="Y137" s="5">
        <v>0</v>
      </c>
      <c r="Z137" s="5">
        <v>0</v>
      </c>
      <c r="AA137" s="5">
        <v>1</v>
      </c>
      <c r="AB137" s="5">
        <v>0</v>
      </c>
    </row>
    <row r="138" spans="1:206" x14ac:dyDescent="0.2">
      <c r="A138" s="5">
        <v>50</v>
      </c>
      <c r="B138" s="5">
        <v>0</v>
      </c>
      <c r="C138" s="5">
        <v>0</v>
      </c>
      <c r="D138" s="5">
        <v>1</v>
      </c>
      <c r="E138" s="5">
        <v>209</v>
      </c>
      <c r="F138" s="5">
        <f>ROUND(Source!W114,O138)</f>
        <v>0</v>
      </c>
      <c r="G138" s="5" t="s">
        <v>90</v>
      </c>
      <c r="H138" s="5" t="s">
        <v>91</v>
      </c>
      <c r="I138" s="5"/>
      <c r="J138" s="5"/>
      <c r="K138" s="5">
        <v>209</v>
      </c>
      <c r="L138" s="5">
        <v>23</v>
      </c>
      <c r="M138" s="5">
        <v>3</v>
      </c>
      <c r="N138" s="5" t="s">
        <v>3</v>
      </c>
      <c r="O138" s="5">
        <v>2</v>
      </c>
      <c r="P138" s="5">
        <f>ROUND(Source!DO114,O138)</f>
        <v>0</v>
      </c>
      <c r="Q138" s="5"/>
      <c r="R138" s="5"/>
      <c r="S138" s="5"/>
      <c r="T138" s="5"/>
      <c r="U138" s="5"/>
      <c r="V138" s="5"/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</row>
    <row r="139" spans="1:206" x14ac:dyDescent="0.2">
      <c r="A139" s="5">
        <v>50</v>
      </c>
      <c r="B139" s="5">
        <v>0</v>
      </c>
      <c r="C139" s="5">
        <v>0</v>
      </c>
      <c r="D139" s="5">
        <v>1</v>
      </c>
      <c r="E139" s="5">
        <v>233</v>
      </c>
      <c r="F139" s="5">
        <f>ROUND(Source!BD114,O139)</f>
        <v>0</v>
      </c>
      <c r="G139" s="5" t="s">
        <v>92</v>
      </c>
      <c r="H139" s="5" t="s">
        <v>93</v>
      </c>
      <c r="I139" s="5"/>
      <c r="J139" s="5"/>
      <c r="K139" s="5">
        <v>233</v>
      </c>
      <c r="L139" s="5">
        <v>24</v>
      </c>
      <c r="M139" s="5">
        <v>3</v>
      </c>
      <c r="N139" s="5" t="s">
        <v>3</v>
      </c>
      <c r="O139" s="5">
        <v>2</v>
      </c>
      <c r="P139" s="5">
        <f>ROUND(Source!EV114,O139)</f>
        <v>0</v>
      </c>
      <c r="Q139" s="5"/>
      <c r="R139" s="5"/>
      <c r="S139" s="5"/>
      <c r="T139" s="5"/>
      <c r="U139" s="5"/>
      <c r="V139" s="5"/>
      <c r="W139" s="5">
        <v>0</v>
      </c>
      <c r="X139" s="5">
        <v>1</v>
      </c>
      <c r="Y139" s="5">
        <v>0</v>
      </c>
      <c r="Z139" s="5">
        <v>0</v>
      </c>
      <c r="AA139" s="5">
        <v>1</v>
      </c>
      <c r="AB139" s="5">
        <v>0</v>
      </c>
    </row>
    <row r="140" spans="1:206" x14ac:dyDescent="0.2">
      <c r="A140" s="5">
        <v>50</v>
      </c>
      <c r="B140" s="5">
        <v>0</v>
      </c>
      <c r="C140" s="5">
        <v>0</v>
      </c>
      <c r="D140" s="5">
        <v>1</v>
      </c>
      <c r="E140" s="5">
        <v>210</v>
      </c>
      <c r="F140" s="5">
        <f>ROUND(Source!X114,O140)</f>
        <v>242.34</v>
      </c>
      <c r="G140" s="5" t="s">
        <v>94</v>
      </c>
      <c r="H140" s="5" t="s">
        <v>95</v>
      </c>
      <c r="I140" s="5"/>
      <c r="J140" s="5"/>
      <c r="K140" s="5">
        <v>210</v>
      </c>
      <c r="L140" s="5">
        <v>25</v>
      </c>
      <c r="M140" s="5">
        <v>3</v>
      </c>
      <c r="N140" s="5" t="s">
        <v>3</v>
      </c>
      <c r="O140" s="5">
        <v>2</v>
      </c>
      <c r="P140" s="5">
        <f>ROUND(Source!DP114,O140)</f>
        <v>13326.03</v>
      </c>
      <c r="Q140" s="5"/>
      <c r="R140" s="5"/>
      <c r="S140" s="5"/>
      <c r="T140" s="5"/>
      <c r="U140" s="5"/>
      <c r="V140" s="5"/>
      <c r="W140" s="5">
        <v>242.34</v>
      </c>
      <c r="X140" s="5">
        <v>1</v>
      </c>
      <c r="Y140" s="5">
        <v>242.34</v>
      </c>
      <c r="Z140" s="5">
        <v>13326.03</v>
      </c>
      <c r="AA140" s="5">
        <v>1</v>
      </c>
      <c r="AB140" s="5">
        <v>13326.03</v>
      </c>
    </row>
    <row r="141" spans="1:206" x14ac:dyDescent="0.2">
      <c r="A141" s="5">
        <v>50</v>
      </c>
      <c r="B141" s="5">
        <v>0</v>
      </c>
      <c r="C141" s="5">
        <v>0</v>
      </c>
      <c r="D141" s="5">
        <v>1</v>
      </c>
      <c r="E141" s="5">
        <v>211</v>
      </c>
      <c r="F141" s="5">
        <f>ROUND(Source!Y114,O141)</f>
        <v>126.07</v>
      </c>
      <c r="G141" s="5" t="s">
        <v>96</v>
      </c>
      <c r="H141" s="5" t="s">
        <v>97</v>
      </c>
      <c r="I141" s="5"/>
      <c r="J141" s="5"/>
      <c r="K141" s="5">
        <v>211</v>
      </c>
      <c r="L141" s="5">
        <v>26</v>
      </c>
      <c r="M141" s="5">
        <v>3</v>
      </c>
      <c r="N141" s="5" t="s">
        <v>3</v>
      </c>
      <c r="O141" s="5">
        <v>2</v>
      </c>
      <c r="P141" s="5">
        <f>ROUND(Source!DQ114,O141)</f>
        <v>6932.16</v>
      </c>
      <c r="Q141" s="5"/>
      <c r="R141" s="5"/>
      <c r="S141" s="5"/>
      <c r="T141" s="5"/>
      <c r="U141" s="5"/>
      <c r="V141" s="5"/>
      <c r="W141" s="5">
        <v>126.07</v>
      </c>
      <c r="X141" s="5">
        <v>1</v>
      </c>
      <c r="Y141" s="5">
        <v>126.07</v>
      </c>
      <c r="Z141" s="5">
        <v>6932.16</v>
      </c>
      <c r="AA141" s="5">
        <v>1</v>
      </c>
      <c r="AB141" s="5">
        <v>6932.16</v>
      </c>
    </row>
    <row r="142" spans="1:206" x14ac:dyDescent="0.2">
      <c r="A142" s="5">
        <v>50</v>
      </c>
      <c r="B142" s="5">
        <v>0</v>
      </c>
      <c r="C142" s="5">
        <v>0</v>
      </c>
      <c r="D142" s="5">
        <v>1</v>
      </c>
      <c r="E142" s="5">
        <v>224</v>
      </c>
      <c r="F142" s="5">
        <f>ROUND(Source!AR114,O142)</f>
        <v>13306.39</v>
      </c>
      <c r="G142" s="5" t="s">
        <v>98</v>
      </c>
      <c r="H142" s="5" t="s">
        <v>99</v>
      </c>
      <c r="I142" s="5"/>
      <c r="J142" s="5"/>
      <c r="K142" s="5">
        <v>224</v>
      </c>
      <c r="L142" s="5">
        <v>27</v>
      </c>
      <c r="M142" s="5">
        <v>3</v>
      </c>
      <c r="N142" s="5" t="s">
        <v>3</v>
      </c>
      <c r="O142" s="5">
        <v>2</v>
      </c>
      <c r="P142" s="5">
        <f>ROUND(Source!EJ114,O142)</f>
        <v>128309.48</v>
      </c>
      <c r="Q142" s="5"/>
      <c r="R142" s="5"/>
      <c r="S142" s="5"/>
      <c r="T142" s="5"/>
      <c r="U142" s="5"/>
      <c r="V142" s="5"/>
      <c r="W142" s="5">
        <v>13306.39</v>
      </c>
      <c r="X142" s="5">
        <v>1</v>
      </c>
      <c r="Y142" s="5">
        <v>13306.39</v>
      </c>
      <c r="Z142" s="5">
        <v>128309.48</v>
      </c>
      <c r="AA142" s="5">
        <v>1</v>
      </c>
      <c r="AB142" s="5">
        <v>128309.48</v>
      </c>
    </row>
    <row r="144" spans="1:206" x14ac:dyDescent="0.2">
      <c r="A144" s="3">
        <v>51</v>
      </c>
      <c r="B144" s="3">
        <f>B12</f>
        <v>183</v>
      </c>
      <c r="C144" s="3">
        <f>A12</f>
        <v>1</v>
      </c>
      <c r="D144" s="3">
        <f>ROW(A12)</f>
        <v>12</v>
      </c>
      <c r="E144" s="3"/>
      <c r="F144" s="3" t="str">
        <f>IF(F12&lt;&gt;"",F12,"")</f>
        <v/>
      </c>
      <c r="G144" s="3" t="str">
        <f>IF(G12&lt;&gt;"",G12,"")</f>
        <v>02-01-13 Электрочасофикация</v>
      </c>
      <c r="H144" s="3">
        <v>0</v>
      </c>
      <c r="I144" s="3"/>
      <c r="J144" s="3"/>
      <c r="K144" s="3"/>
      <c r="L144" s="3"/>
      <c r="M144" s="3"/>
      <c r="N144" s="3"/>
      <c r="O144" s="3">
        <f t="shared" ref="O144:T144" si="91">ROUND(O114,2)</f>
        <v>12937.98</v>
      </c>
      <c r="P144" s="3">
        <f t="shared" si="91"/>
        <v>12662.37</v>
      </c>
      <c r="Q144" s="3">
        <f t="shared" si="91"/>
        <v>21.87</v>
      </c>
      <c r="R144" s="3">
        <f t="shared" si="91"/>
        <v>3.48</v>
      </c>
      <c r="S144" s="3">
        <f t="shared" si="91"/>
        <v>253.74</v>
      </c>
      <c r="T144" s="3">
        <f t="shared" si="91"/>
        <v>0</v>
      </c>
      <c r="U144" s="3">
        <f>U114</f>
        <v>19.976236499999999</v>
      </c>
      <c r="V144" s="3">
        <f>V114</f>
        <v>0</v>
      </c>
      <c r="W144" s="3">
        <f>ROUND(W114,2)</f>
        <v>0</v>
      </c>
      <c r="X144" s="3">
        <f>ROUND(X114,2)</f>
        <v>242.34</v>
      </c>
      <c r="Y144" s="3">
        <f>ROUND(Y114,2)</f>
        <v>126.07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>
        <f t="shared" ref="AO144:BD144" si="92">ROUND(AO114,2)</f>
        <v>0</v>
      </c>
      <c r="AP144" s="3">
        <f t="shared" si="92"/>
        <v>11980.11</v>
      </c>
      <c r="AQ144" s="3">
        <f t="shared" si="92"/>
        <v>0</v>
      </c>
      <c r="AR144" s="3">
        <f t="shared" si="92"/>
        <v>13306.39</v>
      </c>
      <c r="AS144" s="3">
        <f t="shared" si="92"/>
        <v>0</v>
      </c>
      <c r="AT144" s="3">
        <f t="shared" si="92"/>
        <v>1326.28</v>
      </c>
      <c r="AU144" s="3">
        <f t="shared" si="92"/>
        <v>0</v>
      </c>
      <c r="AV144" s="3">
        <f t="shared" si="92"/>
        <v>12662.37</v>
      </c>
      <c r="AW144" s="3">
        <f t="shared" si="92"/>
        <v>682.26</v>
      </c>
      <c r="AX144" s="3">
        <f t="shared" si="92"/>
        <v>0</v>
      </c>
      <c r="AY144" s="3">
        <f t="shared" si="92"/>
        <v>682.26</v>
      </c>
      <c r="AZ144" s="3">
        <f t="shared" si="92"/>
        <v>11980.11</v>
      </c>
      <c r="BA144" s="3">
        <f t="shared" si="92"/>
        <v>0</v>
      </c>
      <c r="BB144" s="3">
        <f t="shared" si="92"/>
        <v>0</v>
      </c>
      <c r="BC144" s="3">
        <f t="shared" si="92"/>
        <v>0</v>
      </c>
      <c r="BD144" s="3">
        <f t="shared" si="92"/>
        <v>0</v>
      </c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4">
        <f t="shared" ref="DG144:DL144" si="93">ROUND(DG114,2)</f>
        <v>108051.29</v>
      </c>
      <c r="DH144" s="4">
        <f t="shared" si="93"/>
        <v>93723.51</v>
      </c>
      <c r="DI144" s="4">
        <f t="shared" si="93"/>
        <v>374.63</v>
      </c>
      <c r="DJ144" s="4">
        <f t="shared" si="93"/>
        <v>191.37</v>
      </c>
      <c r="DK144" s="4">
        <f t="shared" si="93"/>
        <v>13953.15</v>
      </c>
      <c r="DL144" s="4">
        <f t="shared" si="93"/>
        <v>0</v>
      </c>
      <c r="DM144" s="4">
        <f>DM114</f>
        <v>19.976236499999999</v>
      </c>
      <c r="DN144" s="4">
        <f>DN114</f>
        <v>0</v>
      </c>
      <c r="DO144" s="4">
        <f>ROUND(DO114,2)</f>
        <v>0</v>
      </c>
      <c r="DP144" s="4">
        <f>ROUND(DP114,2)</f>
        <v>13326.03</v>
      </c>
      <c r="DQ144" s="4">
        <f>ROUND(DQ114,2)</f>
        <v>6932.16</v>
      </c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>
        <f t="shared" ref="EG144:EV144" si="94">ROUND(EG114,2)</f>
        <v>0</v>
      </c>
      <c r="EH144" s="4">
        <f t="shared" si="94"/>
        <v>88172.94</v>
      </c>
      <c r="EI144" s="4">
        <f t="shared" si="94"/>
        <v>0</v>
      </c>
      <c r="EJ144" s="4">
        <f t="shared" si="94"/>
        <v>128309.48</v>
      </c>
      <c r="EK144" s="4">
        <f t="shared" si="94"/>
        <v>0</v>
      </c>
      <c r="EL144" s="4">
        <f t="shared" si="94"/>
        <v>40136.54</v>
      </c>
      <c r="EM144" s="4">
        <f t="shared" si="94"/>
        <v>0</v>
      </c>
      <c r="EN144" s="4">
        <f t="shared" si="94"/>
        <v>93723.51</v>
      </c>
      <c r="EO144" s="4">
        <f t="shared" si="94"/>
        <v>5550.57</v>
      </c>
      <c r="EP144" s="4">
        <f t="shared" si="94"/>
        <v>0</v>
      </c>
      <c r="EQ144" s="4">
        <f t="shared" si="94"/>
        <v>5550.57</v>
      </c>
      <c r="ER144" s="4">
        <f t="shared" si="94"/>
        <v>88172.94</v>
      </c>
      <c r="ES144" s="4">
        <f t="shared" si="94"/>
        <v>0</v>
      </c>
      <c r="ET144" s="4">
        <f t="shared" si="94"/>
        <v>0</v>
      </c>
      <c r="EU144" s="4">
        <f t="shared" si="94"/>
        <v>0</v>
      </c>
      <c r="EV144" s="4">
        <f t="shared" si="94"/>
        <v>0</v>
      </c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>
        <v>0</v>
      </c>
    </row>
    <row r="146" spans="1:28" x14ac:dyDescent="0.2">
      <c r="A146" s="5">
        <v>50</v>
      </c>
      <c r="B146" s="5">
        <v>0</v>
      </c>
      <c r="C146" s="5">
        <v>0</v>
      </c>
      <c r="D146" s="5">
        <v>1</v>
      </c>
      <c r="E146" s="5">
        <v>201</v>
      </c>
      <c r="F146" s="5">
        <f>ROUND(Source!O144,O146)</f>
        <v>12937.98</v>
      </c>
      <c r="G146" s="5" t="s">
        <v>46</v>
      </c>
      <c r="H146" s="5" t="s">
        <v>47</v>
      </c>
      <c r="I146" s="5"/>
      <c r="J146" s="5"/>
      <c r="K146" s="5">
        <v>201</v>
      </c>
      <c r="L146" s="5">
        <v>1</v>
      </c>
      <c r="M146" s="5">
        <v>3</v>
      </c>
      <c r="N146" s="5" t="s">
        <v>3</v>
      </c>
      <c r="O146" s="5">
        <v>2</v>
      </c>
      <c r="P146" s="5">
        <f>ROUND(Source!DG144,O146)</f>
        <v>108051.29</v>
      </c>
      <c r="Q146" s="5"/>
      <c r="R146" s="5"/>
      <c r="S146" s="5"/>
      <c r="T146" s="5"/>
      <c r="U146" s="5"/>
      <c r="V146" s="5"/>
      <c r="W146" s="5">
        <v>12937.98</v>
      </c>
      <c r="X146" s="5">
        <v>1</v>
      </c>
      <c r="Y146" s="5">
        <v>12937.98</v>
      </c>
      <c r="Z146" s="5">
        <v>108051.29</v>
      </c>
      <c r="AA146" s="5">
        <v>1</v>
      </c>
      <c r="AB146" s="5">
        <v>108051.29</v>
      </c>
    </row>
    <row r="147" spans="1:28" x14ac:dyDescent="0.2">
      <c r="A147" s="5">
        <v>50</v>
      </c>
      <c r="B147" s="5">
        <v>0</v>
      </c>
      <c r="C147" s="5">
        <v>0</v>
      </c>
      <c r="D147" s="5">
        <v>1</v>
      </c>
      <c r="E147" s="5">
        <v>202</v>
      </c>
      <c r="F147" s="5">
        <f>ROUND(Source!P144,O147)</f>
        <v>12662.37</v>
      </c>
      <c r="G147" s="5" t="s">
        <v>48</v>
      </c>
      <c r="H147" s="5" t="s">
        <v>49</v>
      </c>
      <c r="I147" s="5"/>
      <c r="J147" s="5"/>
      <c r="K147" s="5">
        <v>202</v>
      </c>
      <c r="L147" s="5">
        <v>2</v>
      </c>
      <c r="M147" s="5">
        <v>3</v>
      </c>
      <c r="N147" s="5" t="s">
        <v>3</v>
      </c>
      <c r="O147" s="5">
        <v>2</v>
      </c>
      <c r="P147" s="5">
        <f>ROUND(Source!DH144,O147)</f>
        <v>93723.51</v>
      </c>
      <c r="Q147" s="5"/>
      <c r="R147" s="5"/>
      <c r="S147" s="5"/>
      <c r="T147" s="5"/>
      <c r="U147" s="5"/>
      <c r="V147" s="5"/>
      <c r="W147" s="5">
        <v>12662.37</v>
      </c>
      <c r="X147" s="5">
        <v>1</v>
      </c>
      <c r="Y147" s="5">
        <v>12662.37</v>
      </c>
      <c r="Z147" s="5">
        <v>93723.51</v>
      </c>
      <c r="AA147" s="5">
        <v>1</v>
      </c>
      <c r="AB147" s="5">
        <v>93723.51</v>
      </c>
    </row>
    <row r="148" spans="1:28" x14ac:dyDescent="0.2">
      <c r="A148" s="5">
        <v>50</v>
      </c>
      <c r="B148" s="5">
        <v>0</v>
      </c>
      <c r="C148" s="5">
        <v>0</v>
      </c>
      <c r="D148" s="5">
        <v>1</v>
      </c>
      <c r="E148" s="5">
        <v>222</v>
      </c>
      <c r="F148" s="5">
        <f>ROUND(Source!AO144,O148)</f>
        <v>0</v>
      </c>
      <c r="G148" s="5" t="s">
        <v>50</v>
      </c>
      <c r="H148" s="5" t="s">
        <v>51</v>
      </c>
      <c r="I148" s="5"/>
      <c r="J148" s="5"/>
      <c r="K148" s="5">
        <v>222</v>
      </c>
      <c r="L148" s="5">
        <v>3</v>
      </c>
      <c r="M148" s="5">
        <v>3</v>
      </c>
      <c r="N148" s="5" t="s">
        <v>3</v>
      </c>
      <c r="O148" s="5">
        <v>2</v>
      </c>
      <c r="P148" s="5">
        <f>ROUND(Source!EG144,O148)</f>
        <v>0</v>
      </c>
      <c r="Q148" s="5"/>
      <c r="R148" s="5"/>
      <c r="S148" s="5"/>
      <c r="T148" s="5"/>
      <c r="U148" s="5"/>
      <c r="V148" s="5"/>
      <c r="W148" s="5">
        <v>0</v>
      </c>
      <c r="X148" s="5">
        <v>1</v>
      </c>
      <c r="Y148" s="5">
        <v>0</v>
      </c>
      <c r="Z148" s="5">
        <v>0</v>
      </c>
      <c r="AA148" s="5">
        <v>1</v>
      </c>
      <c r="AB148" s="5">
        <v>0</v>
      </c>
    </row>
    <row r="149" spans="1:28" x14ac:dyDescent="0.2">
      <c r="A149" s="5">
        <v>50</v>
      </c>
      <c r="B149" s="5">
        <v>0</v>
      </c>
      <c r="C149" s="5">
        <v>0</v>
      </c>
      <c r="D149" s="5">
        <v>1</v>
      </c>
      <c r="E149" s="5">
        <v>225</v>
      </c>
      <c r="F149" s="5">
        <f>ROUND(Source!AV144,O149)</f>
        <v>12662.37</v>
      </c>
      <c r="G149" s="5" t="s">
        <v>52</v>
      </c>
      <c r="H149" s="5" t="s">
        <v>53</v>
      </c>
      <c r="I149" s="5"/>
      <c r="J149" s="5"/>
      <c r="K149" s="5">
        <v>225</v>
      </c>
      <c r="L149" s="5">
        <v>4</v>
      </c>
      <c r="M149" s="5">
        <v>3</v>
      </c>
      <c r="N149" s="5" t="s">
        <v>3</v>
      </c>
      <c r="O149" s="5">
        <v>2</v>
      </c>
      <c r="P149" s="5">
        <f>ROUND(Source!EN144,O149)</f>
        <v>93723.51</v>
      </c>
      <c r="Q149" s="5"/>
      <c r="R149" s="5"/>
      <c r="S149" s="5"/>
      <c r="T149" s="5"/>
      <c r="U149" s="5"/>
      <c r="V149" s="5"/>
      <c r="W149" s="5">
        <v>12662.37</v>
      </c>
      <c r="X149" s="5">
        <v>1</v>
      </c>
      <c r="Y149" s="5">
        <v>12662.37</v>
      </c>
      <c r="Z149" s="5">
        <v>93723.51</v>
      </c>
      <c r="AA149" s="5">
        <v>1</v>
      </c>
      <c r="AB149" s="5">
        <v>93723.51</v>
      </c>
    </row>
    <row r="150" spans="1:28" x14ac:dyDescent="0.2">
      <c r="A150" s="5">
        <v>50</v>
      </c>
      <c r="B150" s="5">
        <v>0</v>
      </c>
      <c r="C150" s="5">
        <v>0</v>
      </c>
      <c r="D150" s="5">
        <v>1</v>
      </c>
      <c r="E150" s="5">
        <v>226</v>
      </c>
      <c r="F150" s="5">
        <f>ROUND(Source!AW144,O150)</f>
        <v>682.26</v>
      </c>
      <c r="G150" s="5" t="s">
        <v>54</v>
      </c>
      <c r="H150" s="5" t="s">
        <v>55</v>
      </c>
      <c r="I150" s="5"/>
      <c r="J150" s="5"/>
      <c r="K150" s="5">
        <v>226</v>
      </c>
      <c r="L150" s="5">
        <v>5</v>
      </c>
      <c r="M150" s="5">
        <v>3</v>
      </c>
      <c r="N150" s="5" t="s">
        <v>3</v>
      </c>
      <c r="O150" s="5">
        <v>2</v>
      </c>
      <c r="P150" s="5">
        <f>ROUND(Source!EO144,O150)</f>
        <v>5550.57</v>
      </c>
      <c r="Q150" s="5"/>
      <c r="R150" s="5"/>
      <c r="S150" s="5"/>
      <c r="T150" s="5"/>
      <c r="U150" s="5"/>
      <c r="V150" s="5"/>
      <c r="W150" s="5">
        <v>682.26</v>
      </c>
      <c r="X150" s="5">
        <v>1</v>
      </c>
      <c r="Y150" s="5">
        <v>682.26</v>
      </c>
      <c r="Z150" s="5">
        <v>5550.57</v>
      </c>
      <c r="AA150" s="5">
        <v>1</v>
      </c>
      <c r="AB150" s="5">
        <v>5550.57</v>
      </c>
    </row>
    <row r="151" spans="1:28" x14ac:dyDescent="0.2">
      <c r="A151" s="5">
        <v>50</v>
      </c>
      <c r="B151" s="5">
        <v>0</v>
      </c>
      <c r="C151" s="5">
        <v>0</v>
      </c>
      <c r="D151" s="5">
        <v>1</v>
      </c>
      <c r="E151" s="5">
        <v>227</v>
      </c>
      <c r="F151" s="5">
        <f>ROUND(Source!AX144,O151)</f>
        <v>0</v>
      </c>
      <c r="G151" s="5" t="s">
        <v>56</v>
      </c>
      <c r="H151" s="5" t="s">
        <v>57</v>
      </c>
      <c r="I151" s="5"/>
      <c r="J151" s="5"/>
      <c r="K151" s="5">
        <v>227</v>
      </c>
      <c r="L151" s="5">
        <v>6</v>
      </c>
      <c r="M151" s="5">
        <v>3</v>
      </c>
      <c r="N151" s="5" t="s">
        <v>3</v>
      </c>
      <c r="O151" s="5">
        <v>2</v>
      </c>
      <c r="P151" s="5">
        <f>ROUND(Source!EP144,O151)</f>
        <v>0</v>
      </c>
      <c r="Q151" s="5"/>
      <c r="R151" s="5"/>
      <c r="S151" s="5"/>
      <c r="T151" s="5"/>
      <c r="U151" s="5"/>
      <c r="V151" s="5"/>
      <c r="W151" s="5">
        <v>0</v>
      </c>
      <c r="X151" s="5">
        <v>1</v>
      </c>
      <c r="Y151" s="5">
        <v>0</v>
      </c>
      <c r="Z151" s="5">
        <v>0</v>
      </c>
      <c r="AA151" s="5">
        <v>1</v>
      </c>
      <c r="AB151" s="5">
        <v>0</v>
      </c>
    </row>
    <row r="152" spans="1:28" x14ac:dyDescent="0.2">
      <c r="A152" s="5">
        <v>50</v>
      </c>
      <c r="B152" s="5">
        <v>0</v>
      </c>
      <c r="C152" s="5">
        <v>0</v>
      </c>
      <c r="D152" s="5">
        <v>1</v>
      </c>
      <c r="E152" s="5">
        <v>228</v>
      </c>
      <c r="F152" s="5">
        <f>ROUND(Source!AY144,O152)</f>
        <v>682.26</v>
      </c>
      <c r="G152" s="5" t="s">
        <v>58</v>
      </c>
      <c r="H152" s="5" t="s">
        <v>59</v>
      </c>
      <c r="I152" s="5"/>
      <c r="J152" s="5"/>
      <c r="K152" s="5">
        <v>228</v>
      </c>
      <c r="L152" s="5">
        <v>7</v>
      </c>
      <c r="M152" s="5">
        <v>3</v>
      </c>
      <c r="N152" s="5" t="s">
        <v>3</v>
      </c>
      <c r="O152" s="5">
        <v>2</v>
      </c>
      <c r="P152" s="5">
        <f>ROUND(Source!EQ144,O152)</f>
        <v>5550.57</v>
      </c>
      <c r="Q152" s="5"/>
      <c r="R152" s="5"/>
      <c r="S152" s="5"/>
      <c r="T152" s="5"/>
      <c r="U152" s="5"/>
      <c r="V152" s="5"/>
      <c r="W152" s="5">
        <v>682.26</v>
      </c>
      <c r="X152" s="5">
        <v>1</v>
      </c>
      <c r="Y152" s="5">
        <v>682.26</v>
      </c>
      <c r="Z152" s="5">
        <v>5550.57</v>
      </c>
      <c r="AA152" s="5">
        <v>1</v>
      </c>
      <c r="AB152" s="5">
        <v>5550.57</v>
      </c>
    </row>
    <row r="153" spans="1:28" x14ac:dyDescent="0.2">
      <c r="A153" s="5">
        <v>50</v>
      </c>
      <c r="B153" s="5">
        <v>0</v>
      </c>
      <c r="C153" s="5">
        <v>0</v>
      </c>
      <c r="D153" s="5">
        <v>1</v>
      </c>
      <c r="E153" s="5">
        <v>216</v>
      </c>
      <c r="F153" s="5">
        <f>ROUND(Source!AP144,O153)</f>
        <v>11980.11</v>
      </c>
      <c r="G153" s="5" t="s">
        <v>60</v>
      </c>
      <c r="H153" s="5" t="s">
        <v>61</v>
      </c>
      <c r="I153" s="5"/>
      <c r="J153" s="5"/>
      <c r="K153" s="5">
        <v>216</v>
      </c>
      <c r="L153" s="5">
        <v>8</v>
      </c>
      <c r="M153" s="5">
        <v>3</v>
      </c>
      <c r="N153" s="5" t="s">
        <v>3</v>
      </c>
      <c r="O153" s="5">
        <v>2</v>
      </c>
      <c r="P153" s="5">
        <f>ROUND(Source!EH144,O153)</f>
        <v>88172.94</v>
      </c>
      <c r="Q153" s="5"/>
      <c r="R153" s="5"/>
      <c r="S153" s="5"/>
      <c r="T153" s="5"/>
      <c r="U153" s="5"/>
      <c r="V153" s="5"/>
      <c r="W153" s="5">
        <v>11980.11</v>
      </c>
      <c r="X153" s="5">
        <v>1</v>
      </c>
      <c r="Y153" s="5">
        <v>11980.11</v>
      </c>
      <c r="Z153" s="5">
        <v>88172.94</v>
      </c>
      <c r="AA153" s="5">
        <v>1</v>
      </c>
      <c r="AB153" s="5">
        <v>88172.94</v>
      </c>
    </row>
    <row r="154" spans="1:28" x14ac:dyDescent="0.2">
      <c r="A154" s="5">
        <v>50</v>
      </c>
      <c r="B154" s="5">
        <v>0</v>
      </c>
      <c r="C154" s="5">
        <v>0</v>
      </c>
      <c r="D154" s="5">
        <v>1</v>
      </c>
      <c r="E154" s="5">
        <v>223</v>
      </c>
      <c r="F154" s="5">
        <f>ROUND(Source!AQ144,O154)</f>
        <v>0</v>
      </c>
      <c r="G154" s="5" t="s">
        <v>62</v>
      </c>
      <c r="H154" s="5" t="s">
        <v>63</v>
      </c>
      <c r="I154" s="5"/>
      <c r="J154" s="5"/>
      <c r="K154" s="5">
        <v>223</v>
      </c>
      <c r="L154" s="5">
        <v>9</v>
      </c>
      <c r="M154" s="5">
        <v>3</v>
      </c>
      <c r="N154" s="5" t="s">
        <v>3</v>
      </c>
      <c r="O154" s="5">
        <v>2</v>
      </c>
      <c r="P154" s="5">
        <f>ROUND(Source!EI144,O154)</f>
        <v>0</v>
      </c>
      <c r="Q154" s="5"/>
      <c r="R154" s="5"/>
      <c r="S154" s="5"/>
      <c r="T154" s="5"/>
      <c r="U154" s="5"/>
      <c r="V154" s="5"/>
      <c r="W154" s="5">
        <v>0</v>
      </c>
      <c r="X154" s="5">
        <v>1</v>
      </c>
      <c r="Y154" s="5">
        <v>0</v>
      </c>
      <c r="Z154" s="5">
        <v>0</v>
      </c>
      <c r="AA154" s="5">
        <v>1</v>
      </c>
      <c r="AB154" s="5">
        <v>0</v>
      </c>
    </row>
    <row r="155" spans="1:28" x14ac:dyDescent="0.2">
      <c r="A155" s="5">
        <v>50</v>
      </c>
      <c r="B155" s="5">
        <v>0</v>
      </c>
      <c r="C155" s="5">
        <v>0</v>
      </c>
      <c r="D155" s="5">
        <v>1</v>
      </c>
      <c r="E155" s="5">
        <v>229</v>
      </c>
      <c r="F155" s="5">
        <f>ROUND(Source!AZ144,O155)</f>
        <v>11980.11</v>
      </c>
      <c r="G155" s="5" t="s">
        <v>64</v>
      </c>
      <c r="H155" s="5" t="s">
        <v>65</v>
      </c>
      <c r="I155" s="5"/>
      <c r="J155" s="5"/>
      <c r="K155" s="5">
        <v>229</v>
      </c>
      <c r="L155" s="5">
        <v>10</v>
      </c>
      <c r="M155" s="5">
        <v>3</v>
      </c>
      <c r="N155" s="5" t="s">
        <v>3</v>
      </c>
      <c r="O155" s="5">
        <v>2</v>
      </c>
      <c r="P155" s="5">
        <f>ROUND(Source!ER144,O155)</f>
        <v>88172.94</v>
      </c>
      <c r="Q155" s="5"/>
      <c r="R155" s="5"/>
      <c r="S155" s="5"/>
      <c r="T155" s="5"/>
      <c r="U155" s="5"/>
      <c r="V155" s="5"/>
      <c r="W155" s="5">
        <v>11980.11</v>
      </c>
      <c r="X155" s="5">
        <v>1</v>
      </c>
      <c r="Y155" s="5">
        <v>11980.11</v>
      </c>
      <c r="Z155" s="5">
        <v>88172.94</v>
      </c>
      <c r="AA155" s="5">
        <v>1</v>
      </c>
      <c r="AB155" s="5">
        <v>88172.94</v>
      </c>
    </row>
    <row r="156" spans="1:28" x14ac:dyDescent="0.2">
      <c r="A156" s="5">
        <v>50</v>
      </c>
      <c r="B156" s="5">
        <v>0</v>
      </c>
      <c r="C156" s="5">
        <v>0</v>
      </c>
      <c r="D156" s="5">
        <v>1</v>
      </c>
      <c r="E156" s="5">
        <v>203</v>
      </c>
      <c r="F156" s="5">
        <f>ROUND(Source!Q144,O156)</f>
        <v>21.87</v>
      </c>
      <c r="G156" s="5" t="s">
        <v>66</v>
      </c>
      <c r="H156" s="5" t="s">
        <v>67</v>
      </c>
      <c r="I156" s="5"/>
      <c r="J156" s="5"/>
      <c r="K156" s="5">
        <v>203</v>
      </c>
      <c r="L156" s="5">
        <v>11</v>
      </c>
      <c r="M156" s="5">
        <v>3</v>
      </c>
      <c r="N156" s="5" t="s">
        <v>3</v>
      </c>
      <c r="O156" s="5">
        <v>2</v>
      </c>
      <c r="P156" s="5">
        <f>ROUND(Source!DI144,O156)</f>
        <v>374.63</v>
      </c>
      <c r="Q156" s="5"/>
      <c r="R156" s="5"/>
      <c r="S156" s="5"/>
      <c r="T156" s="5"/>
      <c r="U156" s="5"/>
      <c r="V156" s="5"/>
      <c r="W156" s="5">
        <v>21.87</v>
      </c>
      <c r="X156" s="5">
        <v>1</v>
      </c>
      <c r="Y156" s="5">
        <v>21.87</v>
      </c>
      <c r="Z156" s="5">
        <v>374.63</v>
      </c>
      <c r="AA156" s="5">
        <v>1</v>
      </c>
      <c r="AB156" s="5">
        <v>374.63</v>
      </c>
    </row>
    <row r="157" spans="1:28" x14ac:dyDescent="0.2">
      <c r="A157" s="5">
        <v>50</v>
      </c>
      <c r="B157" s="5">
        <v>0</v>
      </c>
      <c r="C157" s="5">
        <v>0</v>
      </c>
      <c r="D157" s="5">
        <v>1</v>
      </c>
      <c r="E157" s="5">
        <v>231</v>
      </c>
      <c r="F157" s="5">
        <f>ROUND(Source!BB144,O157)</f>
        <v>0</v>
      </c>
      <c r="G157" s="5" t="s">
        <v>68</v>
      </c>
      <c r="H157" s="5" t="s">
        <v>69</v>
      </c>
      <c r="I157" s="5"/>
      <c r="J157" s="5"/>
      <c r="K157" s="5">
        <v>231</v>
      </c>
      <c r="L157" s="5">
        <v>12</v>
      </c>
      <c r="M157" s="5">
        <v>3</v>
      </c>
      <c r="N157" s="5" t="s">
        <v>3</v>
      </c>
      <c r="O157" s="5">
        <v>2</v>
      </c>
      <c r="P157" s="5">
        <f>ROUND(Source!ET144,O157)</f>
        <v>0</v>
      </c>
      <c r="Q157" s="5"/>
      <c r="R157" s="5"/>
      <c r="S157" s="5"/>
      <c r="T157" s="5"/>
      <c r="U157" s="5"/>
      <c r="V157" s="5"/>
      <c r="W157" s="5">
        <v>0</v>
      </c>
      <c r="X157" s="5">
        <v>1</v>
      </c>
      <c r="Y157" s="5">
        <v>0</v>
      </c>
      <c r="Z157" s="5">
        <v>0</v>
      </c>
      <c r="AA157" s="5">
        <v>1</v>
      </c>
      <c r="AB157" s="5">
        <v>0</v>
      </c>
    </row>
    <row r="158" spans="1:28" x14ac:dyDescent="0.2">
      <c r="A158" s="5">
        <v>50</v>
      </c>
      <c r="B158" s="5">
        <v>0</v>
      </c>
      <c r="C158" s="5">
        <v>0</v>
      </c>
      <c r="D158" s="5">
        <v>1</v>
      </c>
      <c r="E158" s="5">
        <v>204</v>
      </c>
      <c r="F158" s="5">
        <f>ROUND(Source!R144,O158)</f>
        <v>3.48</v>
      </c>
      <c r="G158" s="5" t="s">
        <v>70</v>
      </c>
      <c r="H158" s="5" t="s">
        <v>71</v>
      </c>
      <c r="I158" s="5"/>
      <c r="J158" s="5"/>
      <c r="K158" s="5">
        <v>204</v>
      </c>
      <c r="L158" s="5">
        <v>13</v>
      </c>
      <c r="M158" s="5">
        <v>3</v>
      </c>
      <c r="N158" s="5" t="s">
        <v>3</v>
      </c>
      <c r="O158" s="5">
        <v>2</v>
      </c>
      <c r="P158" s="5">
        <f>ROUND(Source!DJ144,O158)</f>
        <v>191.37</v>
      </c>
      <c r="Q158" s="5"/>
      <c r="R158" s="5"/>
      <c r="S158" s="5"/>
      <c r="T158" s="5"/>
      <c r="U158" s="5"/>
      <c r="V158" s="5"/>
      <c r="W158" s="5">
        <v>3.48</v>
      </c>
      <c r="X158" s="5">
        <v>1</v>
      </c>
      <c r="Y158" s="5">
        <v>3.48</v>
      </c>
      <c r="Z158" s="5">
        <v>191.37</v>
      </c>
      <c r="AA158" s="5">
        <v>1</v>
      </c>
      <c r="AB158" s="5">
        <v>191.37</v>
      </c>
    </row>
    <row r="159" spans="1:28" x14ac:dyDescent="0.2">
      <c r="A159" s="5">
        <v>50</v>
      </c>
      <c r="B159" s="5">
        <v>0</v>
      </c>
      <c r="C159" s="5">
        <v>0</v>
      </c>
      <c r="D159" s="5">
        <v>1</v>
      </c>
      <c r="E159" s="5">
        <v>205</v>
      </c>
      <c r="F159" s="5">
        <f>ROUND(Source!S144,O159)</f>
        <v>253.74</v>
      </c>
      <c r="G159" s="5" t="s">
        <v>72</v>
      </c>
      <c r="H159" s="5" t="s">
        <v>73</v>
      </c>
      <c r="I159" s="5"/>
      <c r="J159" s="5"/>
      <c r="K159" s="5">
        <v>205</v>
      </c>
      <c r="L159" s="5">
        <v>14</v>
      </c>
      <c r="M159" s="5">
        <v>3</v>
      </c>
      <c r="N159" s="5" t="s">
        <v>3</v>
      </c>
      <c r="O159" s="5">
        <v>2</v>
      </c>
      <c r="P159" s="5">
        <f>ROUND(Source!DK144,O159)</f>
        <v>13953.15</v>
      </c>
      <c r="Q159" s="5"/>
      <c r="R159" s="5"/>
      <c r="S159" s="5"/>
      <c r="T159" s="5"/>
      <c r="U159" s="5"/>
      <c r="V159" s="5"/>
      <c r="W159" s="5">
        <v>253.74</v>
      </c>
      <c r="X159" s="5">
        <v>1</v>
      </c>
      <c r="Y159" s="5">
        <v>253.74</v>
      </c>
      <c r="Z159" s="5">
        <v>13953.15</v>
      </c>
      <c r="AA159" s="5">
        <v>1</v>
      </c>
      <c r="AB159" s="5">
        <v>13953.15</v>
      </c>
    </row>
    <row r="160" spans="1:28" x14ac:dyDescent="0.2">
      <c r="A160" s="5">
        <v>50</v>
      </c>
      <c r="B160" s="5">
        <v>0</v>
      </c>
      <c r="C160" s="5">
        <v>0</v>
      </c>
      <c r="D160" s="5">
        <v>1</v>
      </c>
      <c r="E160" s="5">
        <v>232</v>
      </c>
      <c r="F160" s="5">
        <f>ROUND(Source!BC144,O160)</f>
        <v>0</v>
      </c>
      <c r="G160" s="5" t="s">
        <v>74</v>
      </c>
      <c r="H160" s="5" t="s">
        <v>75</v>
      </c>
      <c r="I160" s="5"/>
      <c r="J160" s="5"/>
      <c r="K160" s="5">
        <v>232</v>
      </c>
      <c r="L160" s="5">
        <v>15</v>
      </c>
      <c r="M160" s="5">
        <v>3</v>
      </c>
      <c r="N160" s="5" t="s">
        <v>3</v>
      </c>
      <c r="O160" s="5">
        <v>2</v>
      </c>
      <c r="P160" s="5">
        <f>ROUND(Source!EU144,O160)</f>
        <v>0</v>
      </c>
      <c r="Q160" s="5"/>
      <c r="R160" s="5"/>
      <c r="S160" s="5"/>
      <c r="T160" s="5"/>
      <c r="U160" s="5"/>
      <c r="V160" s="5"/>
      <c r="W160" s="5">
        <v>0</v>
      </c>
      <c r="X160" s="5">
        <v>1</v>
      </c>
      <c r="Y160" s="5">
        <v>0</v>
      </c>
      <c r="Z160" s="5">
        <v>0</v>
      </c>
      <c r="AA160" s="5">
        <v>1</v>
      </c>
      <c r="AB160" s="5">
        <v>0</v>
      </c>
    </row>
    <row r="161" spans="1:28" x14ac:dyDescent="0.2">
      <c r="A161" s="5">
        <v>50</v>
      </c>
      <c r="B161" s="5">
        <v>0</v>
      </c>
      <c r="C161" s="5">
        <v>0</v>
      </c>
      <c r="D161" s="5">
        <v>1</v>
      </c>
      <c r="E161" s="5">
        <v>214</v>
      </c>
      <c r="F161" s="5">
        <f>ROUND(Source!AS144,O161)</f>
        <v>0</v>
      </c>
      <c r="G161" s="5" t="s">
        <v>76</v>
      </c>
      <c r="H161" s="5" t="s">
        <v>77</v>
      </c>
      <c r="I161" s="5"/>
      <c r="J161" s="5"/>
      <c r="K161" s="5">
        <v>214</v>
      </c>
      <c r="L161" s="5">
        <v>16</v>
      </c>
      <c r="M161" s="5">
        <v>3</v>
      </c>
      <c r="N161" s="5" t="s">
        <v>3</v>
      </c>
      <c r="O161" s="5">
        <v>2</v>
      </c>
      <c r="P161" s="5">
        <f>ROUND(Source!EK144,O161)</f>
        <v>0</v>
      </c>
      <c r="Q161" s="5"/>
      <c r="R161" s="5"/>
      <c r="S161" s="5"/>
      <c r="T161" s="5"/>
      <c r="U161" s="5"/>
      <c r="V161" s="5"/>
      <c r="W161" s="5">
        <v>0</v>
      </c>
      <c r="X161" s="5">
        <v>1</v>
      </c>
      <c r="Y161" s="5">
        <v>0</v>
      </c>
      <c r="Z161" s="5">
        <v>0</v>
      </c>
      <c r="AA161" s="5">
        <v>1</v>
      </c>
      <c r="AB161" s="5">
        <v>0</v>
      </c>
    </row>
    <row r="162" spans="1:28" x14ac:dyDescent="0.2">
      <c r="A162" s="5">
        <v>50</v>
      </c>
      <c r="B162" s="5">
        <v>0</v>
      </c>
      <c r="C162" s="5">
        <v>0</v>
      </c>
      <c r="D162" s="5">
        <v>1</v>
      </c>
      <c r="E162" s="5">
        <v>215</v>
      </c>
      <c r="F162" s="5">
        <f>ROUND(Source!AT144,O162)</f>
        <v>1326.28</v>
      </c>
      <c r="G162" s="5" t="s">
        <v>78</v>
      </c>
      <c r="H162" s="5" t="s">
        <v>79</v>
      </c>
      <c r="I162" s="5"/>
      <c r="J162" s="5"/>
      <c r="K162" s="5">
        <v>215</v>
      </c>
      <c r="L162" s="5">
        <v>17</v>
      </c>
      <c r="M162" s="5">
        <v>3</v>
      </c>
      <c r="N162" s="5" t="s">
        <v>3</v>
      </c>
      <c r="O162" s="5">
        <v>2</v>
      </c>
      <c r="P162" s="5">
        <f>ROUND(Source!EL144,O162)</f>
        <v>40136.54</v>
      </c>
      <c r="Q162" s="5"/>
      <c r="R162" s="5"/>
      <c r="S162" s="5"/>
      <c r="T162" s="5"/>
      <c r="U162" s="5"/>
      <c r="V162" s="5"/>
      <c r="W162" s="5">
        <v>1326.28</v>
      </c>
      <c r="X162" s="5">
        <v>1</v>
      </c>
      <c r="Y162" s="5">
        <v>1326.28</v>
      </c>
      <c r="Z162" s="5">
        <v>40136.54</v>
      </c>
      <c r="AA162" s="5">
        <v>1</v>
      </c>
      <c r="AB162" s="5">
        <v>40136.54</v>
      </c>
    </row>
    <row r="163" spans="1:28" x14ac:dyDescent="0.2">
      <c r="A163" s="5">
        <v>50</v>
      </c>
      <c r="B163" s="5">
        <v>0</v>
      </c>
      <c r="C163" s="5">
        <v>0</v>
      </c>
      <c r="D163" s="5">
        <v>1</v>
      </c>
      <c r="E163" s="5">
        <v>217</v>
      </c>
      <c r="F163" s="5">
        <f>ROUND(Source!AU144,O163)</f>
        <v>0</v>
      </c>
      <c r="G163" s="5" t="s">
        <v>80</v>
      </c>
      <c r="H163" s="5" t="s">
        <v>81</v>
      </c>
      <c r="I163" s="5"/>
      <c r="J163" s="5"/>
      <c r="K163" s="5">
        <v>217</v>
      </c>
      <c r="L163" s="5">
        <v>18</v>
      </c>
      <c r="M163" s="5">
        <v>3</v>
      </c>
      <c r="N163" s="5" t="s">
        <v>3</v>
      </c>
      <c r="O163" s="5">
        <v>2</v>
      </c>
      <c r="P163" s="5">
        <f>ROUND(Source!EM144,O163)</f>
        <v>0</v>
      </c>
      <c r="Q163" s="5"/>
      <c r="R163" s="5"/>
      <c r="S163" s="5"/>
      <c r="T163" s="5"/>
      <c r="U163" s="5"/>
      <c r="V163" s="5"/>
      <c r="W163" s="5">
        <v>0</v>
      </c>
      <c r="X163" s="5">
        <v>1</v>
      </c>
      <c r="Y163" s="5">
        <v>0</v>
      </c>
      <c r="Z163" s="5">
        <v>0</v>
      </c>
      <c r="AA163" s="5">
        <v>1</v>
      </c>
      <c r="AB163" s="5">
        <v>0</v>
      </c>
    </row>
    <row r="164" spans="1:28" x14ac:dyDescent="0.2">
      <c r="A164" s="5">
        <v>50</v>
      </c>
      <c r="B164" s="5">
        <v>0</v>
      </c>
      <c r="C164" s="5">
        <v>0</v>
      </c>
      <c r="D164" s="5">
        <v>1</v>
      </c>
      <c r="E164" s="5">
        <v>230</v>
      </c>
      <c r="F164" s="5">
        <f>ROUND(Source!BA144,O164)</f>
        <v>0</v>
      </c>
      <c r="G164" s="5" t="s">
        <v>82</v>
      </c>
      <c r="H164" s="5" t="s">
        <v>83</v>
      </c>
      <c r="I164" s="5"/>
      <c r="J164" s="5"/>
      <c r="K164" s="5">
        <v>230</v>
      </c>
      <c r="L164" s="5">
        <v>19</v>
      </c>
      <c r="M164" s="5">
        <v>3</v>
      </c>
      <c r="N164" s="5" t="s">
        <v>3</v>
      </c>
      <c r="O164" s="5">
        <v>2</v>
      </c>
      <c r="P164" s="5">
        <f>ROUND(Source!ES144,O164)</f>
        <v>0</v>
      </c>
      <c r="Q164" s="5"/>
      <c r="R164" s="5"/>
      <c r="S164" s="5"/>
      <c r="T164" s="5"/>
      <c r="U164" s="5"/>
      <c r="V164" s="5"/>
      <c r="W164" s="5">
        <v>0</v>
      </c>
      <c r="X164" s="5">
        <v>1</v>
      </c>
      <c r="Y164" s="5">
        <v>0</v>
      </c>
      <c r="Z164" s="5">
        <v>0</v>
      </c>
      <c r="AA164" s="5">
        <v>1</v>
      </c>
      <c r="AB164" s="5">
        <v>0</v>
      </c>
    </row>
    <row r="165" spans="1:28" x14ac:dyDescent="0.2">
      <c r="A165" s="5">
        <v>50</v>
      </c>
      <c r="B165" s="5">
        <v>0</v>
      </c>
      <c r="C165" s="5">
        <v>0</v>
      </c>
      <c r="D165" s="5">
        <v>1</v>
      </c>
      <c r="E165" s="5">
        <v>206</v>
      </c>
      <c r="F165" s="5">
        <f>ROUND(Source!T144,O165)</f>
        <v>0</v>
      </c>
      <c r="G165" s="5" t="s">
        <v>84</v>
      </c>
      <c r="H165" s="5" t="s">
        <v>85</v>
      </c>
      <c r="I165" s="5"/>
      <c r="J165" s="5"/>
      <c r="K165" s="5">
        <v>206</v>
      </c>
      <c r="L165" s="5">
        <v>20</v>
      </c>
      <c r="M165" s="5">
        <v>3</v>
      </c>
      <c r="N165" s="5" t="s">
        <v>3</v>
      </c>
      <c r="O165" s="5">
        <v>2</v>
      </c>
      <c r="P165" s="5">
        <f>ROUND(Source!DL144,O165)</f>
        <v>0</v>
      </c>
      <c r="Q165" s="5"/>
      <c r="R165" s="5"/>
      <c r="S165" s="5"/>
      <c r="T165" s="5"/>
      <c r="U165" s="5"/>
      <c r="V165" s="5"/>
      <c r="W165" s="5">
        <v>0</v>
      </c>
      <c r="X165" s="5">
        <v>1</v>
      </c>
      <c r="Y165" s="5">
        <v>0</v>
      </c>
      <c r="Z165" s="5">
        <v>0</v>
      </c>
      <c r="AA165" s="5">
        <v>1</v>
      </c>
      <c r="AB165" s="5">
        <v>0</v>
      </c>
    </row>
    <row r="166" spans="1:28" x14ac:dyDescent="0.2">
      <c r="A166" s="5">
        <v>50</v>
      </c>
      <c r="B166" s="5">
        <v>0</v>
      </c>
      <c r="C166" s="5">
        <v>0</v>
      </c>
      <c r="D166" s="5">
        <v>1</v>
      </c>
      <c r="E166" s="5">
        <v>207</v>
      </c>
      <c r="F166" s="5">
        <f>Source!U144</f>
        <v>19.976236499999999</v>
      </c>
      <c r="G166" s="5" t="s">
        <v>86</v>
      </c>
      <c r="H166" s="5" t="s">
        <v>87</v>
      </c>
      <c r="I166" s="5"/>
      <c r="J166" s="5"/>
      <c r="K166" s="5">
        <v>207</v>
      </c>
      <c r="L166" s="5">
        <v>21</v>
      </c>
      <c r="M166" s="5">
        <v>3</v>
      </c>
      <c r="N166" s="5" t="s">
        <v>3</v>
      </c>
      <c r="O166" s="5">
        <v>-1</v>
      </c>
      <c r="P166" s="5">
        <f>Source!DM144</f>
        <v>19.976236499999999</v>
      </c>
      <c r="Q166" s="5"/>
      <c r="R166" s="5"/>
      <c r="S166" s="5"/>
      <c r="T166" s="5"/>
      <c r="U166" s="5"/>
      <c r="V166" s="5"/>
      <c r="W166" s="5">
        <v>19.976236499999995</v>
      </c>
      <c r="X166" s="5">
        <v>1</v>
      </c>
      <c r="Y166" s="5">
        <v>19.976236499999995</v>
      </c>
      <c r="Z166" s="5">
        <v>19.976236499999995</v>
      </c>
      <c r="AA166" s="5">
        <v>1</v>
      </c>
      <c r="AB166" s="5">
        <v>19.976236499999995</v>
      </c>
    </row>
    <row r="167" spans="1:28" x14ac:dyDescent="0.2">
      <c r="A167" s="5">
        <v>50</v>
      </c>
      <c r="B167" s="5">
        <v>0</v>
      </c>
      <c r="C167" s="5">
        <v>0</v>
      </c>
      <c r="D167" s="5">
        <v>1</v>
      </c>
      <c r="E167" s="5">
        <v>208</v>
      </c>
      <c r="F167" s="5">
        <f>Source!V144</f>
        <v>0</v>
      </c>
      <c r="G167" s="5" t="s">
        <v>88</v>
      </c>
      <c r="H167" s="5" t="s">
        <v>89</v>
      </c>
      <c r="I167" s="5"/>
      <c r="J167" s="5"/>
      <c r="K167" s="5">
        <v>208</v>
      </c>
      <c r="L167" s="5">
        <v>22</v>
      </c>
      <c r="M167" s="5">
        <v>3</v>
      </c>
      <c r="N167" s="5" t="s">
        <v>3</v>
      </c>
      <c r="O167" s="5">
        <v>-1</v>
      </c>
      <c r="P167" s="5">
        <f>Source!DN144</f>
        <v>0</v>
      </c>
      <c r="Q167" s="5"/>
      <c r="R167" s="5"/>
      <c r="S167" s="5"/>
      <c r="T167" s="5"/>
      <c r="U167" s="5"/>
      <c r="V167" s="5"/>
      <c r="W167" s="5">
        <v>0</v>
      </c>
      <c r="X167" s="5">
        <v>1</v>
      </c>
      <c r="Y167" s="5">
        <v>0</v>
      </c>
      <c r="Z167" s="5">
        <v>0</v>
      </c>
      <c r="AA167" s="5">
        <v>1</v>
      </c>
      <c r="AB167" s="5">
        <v>0</v>
      </c>
    </row>
    <row r="168" spans="1:28" x14ac:dyDescent="0.2">
      <c r="A168" s="5">
        <v>50</v>
      </c>
      <c r="B168" s="5">
        <v>0</v>
      </c>
      <c r="C168" s="5">
        <v>0</v>
      </c>
      <c r="D168" s="5">
        <v>1</v>
      </c>
      <c r="E168" s="5">
        <v>209</v>
      </c>
      <c r="F168" s="5">
        <f>ROUND(Source!W144,O168)</f>
        <v>0</v>
      </c>
      <c r="G168" s="5" t="s">
        <v>90</v>
      </c>
      <c r="H168" s="5" t="s">
        <v>91</v>
      </c>
      <c r="I168" s="5"/>
      <c r="J168" s="5"/>
      <c r="K168" s="5">
        <v>209</v>
      </c>
      <c r="L168" s="5">
        <v>23</v>
      </c>
      <c r="M168" s="5">
        <v>3</v>
      </c>
      <c r="N168" s="5" t="s">
        <v>3</v>
      </c>
      <c r="O168" s="5">
        <v>2</v>
      </c>
      <c r="P168" s="5">
        <f>ROUND(Source!DO144,O168)</f>
        <v>0</v>
      </c>
      <c r="Q168" s="5"/>
      <c r="R168" s="5"/>
      <c r="S168" s="5"/>
      <c r="T168" s="5"/>
      <c r="U168" s="5"/>
      <c r="V168" s="5"/>
      <c r="W168" s="5">
        <v>0</v>
      </c>
      <c r="X168" s="5">
        <v>1</v>
      </c>
      <c r="Y168" s="5">
        <v>0</v>
      </c>
      <c r="Z168" s="5">
        <v>0</v>
      </c>
      <c r="AA168" s="5">
        <v>1</v>
      </c>
      <c r="AB168" s="5">
        <v>0</v>
      </c>
    </row>
    <row r="169" spans="1:28" x14ac:dyDescent="0.2">
      <c r="A169" s="5">
        <v>50</v>
      </c>
      <c r="B169" s="5">
        <v>0</v>
      </c>
      <c r="C169" s="5">
        <v>0</v>
      </c>
      <c r="D169" s="5">
        <v>1</v>
      </c>
      <c r="E169" s="5">
        <v>233</v>
      </c>
      <c r="F169" s="5">
        <f>ROUND(Source!BD144,O169)</f>
        <v>0</v>
      </c>
      <c r="G169" s="5" t="s">
        <v>92</v>
      </c>
      <c r="H169" s="5" t="s">
        <v>93</v>
      </c>
      <c r="I169" s="5"/>
      <c r="J169" s="5"/>
      <c r="K169" s="5">
        <v>233</v>
      </c>
      <c r="L169" s="5">
        <v>24</v>
      </c>
      <c r="M169" s="5">
        <v>3</v>
      </c>
      <c r="N169" s="5" t="s">
        <v>3</v>
      </c>
      <c r="O169" s="5">
        <v>2</v>
      </c>
      <c r="P169" s="5">
        <f>ROUND(Source!EV144,O169)</f>
        <v>0</v>
      </c>
      <c r="Q169" s="5"/>
      <c r="R169" s="5"/>
      <c r="S169" s="5"/>
      <c r="T169" s="5"/>
      <c r="U169" s="5"/>
      <c r="V169" s="5"/>
      <c r="W169" s="5">
        <v>0</v>
      </c>
      <c r="X169" s="5">
        <v>1</v>
      </c>
      <c r="Y169" s="5">
        <v>0</v>
      </c>
      <c r="Z169" s="5">
        <v>0</v>
      </c>
      <c r="AA169" s="5">
        <v>1</v>
      </c>
      <c r="AB169" s="5">
        <v>0</v>
      </c>
    </row>
    <row r="170" spans="1:28" x14ac:dyDescent="0.2">
      <c r="A170" s="5">
        <v>50</v>
      </c>
      <c r="B170" s="5">
        <v>0</v>
      </c>
      <c r="C170" s="5">
        <v>0</v>
      </c>
      <c r="D170" s="5">
        <v>1</v>
      </c>
      <c r="E170" s="5">
        <v>210</v>
      </c>
      <c r="F170" s="5">
        <f>ROUND(Source!X144,O170)</f>
        <v>242.34</v>
      </c>
      <c r="G170" s="5" t="s">
        <v>94</v>
      </c>
      <c r="H170" s="5" t="s">
        <v>95</v>
      </c>
      <c r="I170" s="5"/>
      <c r="J170" s="5"/>
      <c r="K170" s="5">
        <v>210</v>
      </c>
      <c r="L170" s="5">
        <v>25</v>
      </c>
      <c r="M170" s="5">
        <v>3</v>
      </c>
      <c r="N170" s="5" t="s">
        <v>3</v>
      </c>
      <c r="O170" s="5">
        <v>2</v>
      </c>
      <c r="P170" s="5">
        <f>ROUND(Source!DP144,O170)</f>
        <v>13326.03</v>
      </c>
      <c r="Q170" s="5"/>
      <c r="R170" s="5"/>
      <c r="S170" s="5"/>
      <c r="T170" s="5"/>
      <c r="U170" s="5"/>
      <c r="V170" s="5"/>
      <c r="W170" s="5">
        <v>242.34</v>
      </c>
      <c r="X170" s="5">
        <v>1</v>
      </c>
      <c r="Y170" s="5">
        <v>242.34</v>
      </c>
      <c r="Z170" s="5">
        <v>13326.03</v>
      </c>
      <c r="AA170" s="5">
        <v>1</v>
      </c>
      <c r="AB170" s="5">
        <v>13326.03</v>
      </c>
    </row>
    <row r="171" spans="1:28" x14ac:dyDescent="0.2">
      <c r="A171" s="5">
        <v>50</v>
      </c>
      <c r="B171" s="5">
        <v>0</v>
      </c>
      <c r="C171" s="5">
        <v>0</v>
      </c>
      <c r="D171" s="5">
        <v>1</v>
      </c>
      <c r="E171" s="5">
        <v>211</v>
      </c>
      <c r="F171" s="5">
        <f>ROUND(Source!Y144,O171)</f>
        <v>126.07</v>
      </c>
      <c r="G171" s="5" t="s">
        <v>96</v>
      </c>
      <c r="H171" s="5" t="s">
        <v>97</v>
      </c>
      <c r="I171" s="5"/>
      <c r="J171" s="5"/>
      <c r="K171" s="5">
        <v>211</v>
      </c>
      <c r="L171" s="5">
        <v>26</v>
      </c>
      <c r="M171" s="5">
        <v>3</v>
      </c>
      <c r="N171" s="5" t="s">
        <v>3</v>
      </c>
      <c r="O171" s="5">
        <v>2</v>
      </c>
      <c r="P171" s="5">
        <f>ROUND(Source!DQ144,O171)</f>
        <v>6932.16</v>
      </c>
      <c r="Q171" s="5"/>
      <c r="R171" s="5"/>
      <c r="S171" s="5"/>
      <c r="T171" s="5"/>
      <c r="U171" s="5"/>
      <c r="V171" s="5"/>
      <c r="W171" s="5">
        <v>126.07</v>
      </c>
      <c r="X171" s="5">
        <v>1</v>
      </c>
      <c r="Y171" s="5">
        <v>126.07</v>
      </c>
      <c r="Z171" s="5">
        <v>6932.16</v>
      </c>
      <c r="AA171" s="5">
        <v>1</v>
      </c>
      <c r="AB171" s="5">
        <v>6932.16</v>
      </c>
    </row>
    <row r="172" spans="1:28" x14ac:dyDescent="0.2">
      <c r="A172" s="5">
        <v>50</v>
      </c>
      <c r="B172" s="5">
        <v>0</v>
      </c>
      <c r="C172" s="5">
        <v>0</v>
      </c>
      <c r="D172" s="5">
        <v>1</v>
      </c>
      <c r="E172" s="5">
        <v>224</v>
      </c>
      <c r="F172" s="5">
        <f>ROUND(Source!AR144,O172)</f>
        <v>13306.39</v>
      </c>
      <c r="G172" s="5" t="s">
        <v>98</v>
      </c>
      <c r="H172" s="5" t="s">
        <v>99</v>
      </c>
      <c r="I172" s="5"/>
      <c r="J172" s="5"/>
      <c r="K172" s="5">
        <v>224</v>
      </c>
      <c r="L172" s="5">
        <v>27</v>
      </c>
      <c r="M172" s="5">
        <v>3</v>
      </c>
      <c r="N172" s="5" t="s">
        <v>3</v>
      </c>
      <c r="O172" s="5">
        <v>2</v>
      </c>
      <c r="P172" s="5">
        <f>ROUND(Source!EJ144,O172)</f>
        <v>128309.48</v>
      </c>
      <c r="Q172" s="5"/>
      <c r="R172" s="5"/>
      <c r="S172" s="5"/>
      <c r="T172" s="5"/>
      <c r="U172" s="5"/>
      <c r="V172" s="5"/>
      <c r="W172" s="5">
        <v>13306.39</v>
      </c>
      <c r="X172" s="5">
        <v>1</v>
      </c>
      <c r="Y172" s="5">
        <v>13306.39</v>
      </c>
      <c r="Z172" s="5">
        <v>128309.48</v>
      </c>
      <c r="AA172" s="5">
        <v>1</v>
      </c>
      <c r="AB172" s="5">
        <v>128309.48</v>
      </c>
    </row>
    <row r="175" spans="1:28" x14ac:dyDescent="0.2">
      <c r="A175">
        <v>70</v>
      </c>
      <c r="B175">
        <v>1</v>
      </c>
      <c r="D175">
        <v>1</v>
      </c>
      <c r="E175" t="s">
        <v>134</v>
      </c>
      <c r="F175" t="s">
        <v>135</v>
      </c>
      <c r="G175">
        <v>0</v>
      </c>
      <c r="H175">
        <v>0</v>
      </c>
      <c r="I175" t="s">
        <v>3</v>
      </c>
      <c r="J175">
        <v>1</v>
      </c>
      <c r="K175">
        <v>0</v>
      </c>
      <c r="L175" t="s">
        <v>3</v>
      </c>
      <c r="M175" t="s">
        <v>3</v>
      </c>
      <c r="N175">
        <v>0</v>
      </c>
      <c r="O175">
        <v>0</v>
      </c>
      <c r="P175" t="s">
        <v>3</v>
      </c>
    </row>
    <row r="176" spans="1:28" x14ac:dyDescent="0.2">
      <c r="A176">
        <v>70</v>
      </c>
      <c r="B176">
        <v>1</v>
      </c>
      <c r="D176">
        <v>2</v>
      </c>
      <c r="E176" t="s">
        <v>136</v>
      </c>
      <c r="F176" t="s">
        <v>137</v>
      </c>
      <c r="G176">
        <v>1</v>
      </c>
      <c r="H176">
        <v>0</v>
      </c>
      <c r="I176" t="s">
        <v>3</v>
      </c>
      <c r="J176">
        <v>1</v>
      </c>
      <c r="K176">
        <v>0</v>
      </c>
      <c r="L176" t="s">
        <v>3</v>
      </c>
      <c r="M176" t="s">
        <v>3</v>
      </c>
      <c r="N176">
        <v>0</v>
      </c>
      <c r="O176">
        <v>1</v>
      </c>
      <c r="P176" t="s">
        <v>3</v>
      </c>
    </row>
    <row r="177" spans="1:50" x14ac:dyDescent="0.2">
      <c r="A177">
        <v>70</v>
      </c>
      <c r="B177">
        <v>1</v>
      </c>
      <c r="D177">
        <v>3</v>
      </c>
      <c r="E177" t="s">
        <v>138</v>
      </c>
      <c r="F177" t="s">
        <v>139</v>
      </c>
      <c r="G177">
        <v>1</v>
      </c>
      <c r="H177">
        <v>0</v>
      </c>
      <c r="I177" t="s">
        <v>3</v>
      </c>
      <c r="J177">
        <v>0</v>
      </c>
      <c r="K177">
        <v>0</v>
      </c>
      <c r="L177" t="s">
        <v>3</v>
      </c>
      <c r="M177" t="s">
        <v>3</v>
      </c>
      <c r="N177">
        <v>0</v>
      </c>
      <c r="O177">
        <v>1</v>
      </c>
      <c r="P177" t="s">
        <v>3</v>
      </c>
    </row>
    <row r="178" spans="1:50" x14ac:dyDescent="0.2">
      <c r="A178">
        <v>70</v>
      </c>
      <c r="B178">
        <v>1</v>
      </c>
      <c r="D178">
        <v>4</v>
      </c>
      <c r="E178" t="s">
        <v>140</v>
      </c>
      <c r="F178" t="s">
        <v>141</v>
      </c>
      <c r="G178">
        <v>1</v>
      </c>
      <c r="H178">
        <v>0</v>
      </c>
      <c r="I178" t="s">
        <v>3</v>
      </c>
      <c r="J178">
        <v>0</v>
      </c>
      <c r="K178">
        <v>0</v>
      </c>
      <c r="L178" t="s">
        <v>3</v>
      </c>
      <c r="M178" t="s">
        <v>3</v>
      </c>
      <c r="N178">
        <v>0</v>
      </c>
      <c r="O178">
        <v>1</v>
      </c>
      <c r="P178" t="s">
        <v>3</v>
      </c>
    </row>
    <row r="179" spans="1:50" x14ac:dyDescent="0.2">
      <c r="A179">
        <v>70</v>
      </c>
      <c r="B179">
        <v>1</v>
      </c>
      <c r="D179">
        <v>5</v>
      </c>
      <c r="E179" t="s">
        <v>142</v>
      </c>
      <c r="F179" t="s">
        <v>143</v>
      </c>
      <c r="G179">
        <v>0</v>
      </c>
      <c r="H179">
        <v>0</v>
      </c>
      <c r="I179" t="s">
        <v>3</v>
      </c>
      <c r="J179">
        <v>0</v>
      </c>
      <c r="K179">
        <v>0</v>
      </c>
      <c r="L179" t="s">
        <v>3</v>
      </c>
      <c r="M179" t="s">
        <v>3</v>
      </c>
      <c r="N179">
        <v>0</v>
      </c>
      <c r="O179">
        <v>0</v>
      </c>
      <c r="P179" t="s">
        <v>3</v>
      </c>
    </row>
    <row r="181" spans="1:50" x14ac:dyDescent="0.2">
      <c r="A181">
        <v>-1</v>
      </c>
    </row>
    <row r="183" spans="1:50" x14ac:dyDescent="0.2">
      <c r="A183" s="4">
        <v>75</v>
      </c>
      <c r="B183" s="4" t="s">
        <v>144</v>
      </c>
      <c r="C183" s="4">
        <v>2025</v>
      </c>
      <c r="D183" s="4">
        <v>3</v>
      </c>
      <c r="E183" s="4">
        <v>0</v>
      </c>
      <c r="F183" s="4"/>
      <c r="G183" s="4">
        <v>0</v>
      </c>
      <c r="H183" s="4">
        <v>1</v>
      </c>
      <c r="I183" s="4">
        <v>1</v>
      </c>
      <c r="J183" s="4">
        <v>3</v>
      </c>
      <c r="K183" s="4">
        <v>0</v>
      </c>
      <c r="L183" s="4">
        <v>0</v>
      </c>
      <c r="M183" s="4">
        <v>1</v>
      </c>
      <c r="N183" s="4">
        <v>60257733</v>
      </c>
      <c r="O183" s="4">
        <v>1</v>
      </c>
    </row>
    <row r="184" spans="1:50" x14ac:dyDescent="0.2">
      <c r="A184" s="6">
        <v>1</v>
      </c>
      <c r="B184" s="6" t="s">
        <v>145</v>
      </c>
      <c r="C184" s="6" t="s">
        <v>146</v>
      </c>
      <c r="D184" s="6">
        <v>2025</v>
      </c>
      <c r="E184" s="6">
        <v>9</v>
      </c>
      <c r="F184" s="6">
        <v>1</v>
      </c>
      <c r="G184" s="6">
        <v>1</v>
      </c>
      <c r="H184" s="6">
        <v>0</v>
      </c>
      <c r="I184" s="6">
        <v>2</v>
      </c>
      <c r="J184" s="6">
        <v>1</v>
      </c>
      <c r="K184" s="6">
        <v>9.8800000000000008</v>
      </c>
      <c r="L184" s="6">
        <v>7.66</v>
      </c>
      <c r="M184" s="6">
        <v>1</v>
      </c>
      <c r="N184" s="6">
        <v>1</v>
      </c>
      <c r="O184" s="6">
        <v>9.8800000000000008</v>
      </c>
      <c r="P184" s="6">
        <v>7.66</v>
      </c>
      <c r="Q184" s="6">
        <v>1</v>
      </c>
      <c r="R184" s="6" t="s">
        <v>3</v>
      </c>
      <c r="S184" s="6" t="s">
        <v>3</v>
      </c>
      <c r="T184" s="6" t="s">
        <v>3</v>
      </c>
      <c r="U184" s="6" t="s">
        <v>3</v>
      </c>
      <c r="V184" s="6" t="s">
        <v>3</v>
      </c>
      <c r="W184" s="6" t="s">
        <v>3</v>
      </c>
      <c r="X184" s="6" t="s">
        <v>3</v>
      </c>
      <c r="Y184" s="6" t="s">
        <v>3</v>
      </c>
      <c r="Z184" s="6" t="s">
        <v>3</v>
      </c>
      <c r="AA184" s="6" t="s">
        <v>147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>
        <v>60257734</v>
      </c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x14ac:dyDescent="0.2">
      <c r="A185" s="6">
        <v>1</v>
      </c>
      <c r="B185" s="6" t="s">
        <v>145</v>
      </c>
      <c r="C185" s="6" t="s">
        <v>148</v>
      </c>
      <c r="D185" s="6">
        <v>2025</v>
      </c>
      <c r="E185" s="6">
        <v>7</v>
      </c>
      <c r="F185" s="6">
        <v>1</v>
      </c>
      <c r="G185" s="6">
        <v>1</v>
      </c>
      <c r="H185" s="6">
        <v>0</v>
      </c>
      <c r="I185" s="6">
        <v>2</v>
      </c>
      <c r="J185" s="6">
        <v>1</v>
      </c>
      <c r="K185" s="6">
        <v>1</v>
      </c>
      <c r="L185" s="6">
        <v>1</v>
      </c>
      <c r="M185" s="6">
        <v>1</v>
      </c>
      <c r="N185" s="6">
        <v>1</v>
      </c>
      <c r="O185" s="6">
        <v>1</v>
      </c>
      <c r="P185" s="6">
        <v>1</v>
      </c>
      <c r="Q185" s="6">
        <v>1</v>
      </c>
      <c r="R185" s="6" t="s">
        <v>3</v>
      </c>
      <c r="S185" s="6" t="s">
        <v>3</v>
      </c>
      <c r="T185" s="6" t="s">
        <v>3</v>
      </c>
      <c r="U185" s="6" t="s">
        <v>3</v>
      </c>
      <c r="V185" s="6" t="s">
        <v>3</v>
      </c>
      <c r="W185" s="6" t="s">
        <v>3</v>
      </c>
      <c r="X185" s="6" t="s">
        <v>3</v>
      </c>
      <c r="Y185" s="6" t="s">
        <v>3</v>
      </c>
      <c r="Z185" s="6" t="s">
        <v>3</v>
      </c>
      <c r="AA185" s="6" t="s">
        <v>149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>
        <v>60257735</v>
      </c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x14ac:dyDescent="0.2">
      <c r="A186" s="4">
        <v>75</v>
      </c>
      <c r="B186" s="4" t="s">
        <v>150</v>
      </c>
      <c r="C186" s="4">
        <v>2000</v>
      </c>
      <c r="D186" s="4">
        <v>0</v>
      </c>
      <c r="E186" s="4">
        <v>1</v>
      </c>
      <c r="F186" s="4">
        <v>0</v>
      </c>
      <c r="G186" s="4">
        <v>0</v>
      </c>
      <c r="H186" s="4">
        <v>1</v>
      </c>
      <c r="I186" s="4">
        <v>1</v>
      </c>
      <c r="J186" s="4">
        <v>3</v>
      </c>
      <c r="K186" s="4">
        <v>0</v>
      </c>
      <c r="L186" s="4">
        <v>0</v>
      </c>
      <c r="M186" s="4">
        <v>0</v>
      </c>
      <c r="N186" s="4">
        <v>60257736</v>
      </c>
      <c r="O186" s="4">
        <v>2</v>
      </c>
    </row>
    <row r="187" spans="1:50" x14ac:dyDescent="0.2">
      <c r="A187" s="6">
        <v>1</v>
      </c>
      <c r="B187" s="6" t="s">
        <v>145</v>
      </c>
      <c r="C187" s="6" t="s">
        <v>146</v>
      </c>
      <c r="D187" s="6">
        <v>2000</v>
      </c>
      <c r="E187" s="6">
        <v>1</v>
      </c>
      <c r="F187" s="6">
        <v>1</v>
      </c>
      <c r="G187" s="6">
        <v>1</v>
      </c>
      <c r="H187" s="6">
        <v>0</v>
      </c>
      <c r="I187" s="6">
        <v>2</v>
      </c>
      <c r="J187" s="6">
        <v>1</v>
      </c>
      <c r="K187" s="6">
        <v>1</v>
      </c>
      <c r="L187" s="6">
        <v>1</v>
      </c>
      <c r="M187" s="6">
        <v>1</v>
      </c>
      <c r="N187" s="6">
        <v>1</v>
      </c>
      <c r="O187" s="6">
        <v>1</v>
      </c>
      <c r="P187" s="6">
        <v>1</v>
      </c>
      <c r="Q187" s="6">
        <v>1</v>
      </c>
      <c r="R187" s="6" t="s">
        <v>3</v>
      </c>
      <c r="S187" s="6" t="s">
        <v>3</v>
      </c>
      <c r="T187" s="6" t="s">
        <v>3</v>
      </c>
      <c r="U187" s="6" t="s">
        <v>3</v>
      </c>
      <c r="V187" s="6" t="s">
        <v>3</v>
      </c>
      <c r="W187" s="6" t="s">
        <v>3</v>
      </c>
      <c r="X187" s="6" t="s">
        <v>3</v>
      </c>
      <c r="Y187" s="6" t="s">
        <v>3</v>
      </c>
      <c r="Z187" s="6" t="s">
        <v>3</v>
      </c>
      <c r="AA187" s="6" t="s">
        <v>133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>
        <v>60257737</v>
      </c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91" spans="1:50" x14ac:dyDescent="0.2">
      <c r="A191">
        <v>65</v>
      </c>
      <c r="C191">
        <v>1</v>
      </c>
      <c r="D191">
        <v>0</v>
      </c>
      <c r="E191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151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60257733</v>
      </c>
      <c r="E14" s="1">
        <v>60257736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ROUND((Source!P131)/1000,2)</f>
        <v>0</v>
      </c>
      <c r="F16" s="8">
        <f>ROUND((Source!P132)/1000,2)</f>
        <v>40.14</v>
      </c>
      <c r="G16" s="8">
        <f>ROUND((Source!P123)/1000,2)</f>
        <v>88.17</v>
      </c>
      <c r="H16" s="8">
        <f>ROUND((Source!P133)/1000+(Source!P134)/1000,2)</f>
        <v>0</v>
      </c>
      <c r="I16" s="8">
        <f>E16+F16+G16+H16</f>
        <v>128.31</v>
      </c>
      <c r="J16" s="8">
        <f>ROUND((Source!P129+Source!P128)/1000,2)</f>
        <v>14.14</v>
      </c>
      <c r="K16" s="8">
        <v>201.77</v>
      </c>
      <c r="L16" s="8">
        <v>0</v>
      </c>
      <c r="M16" s="8">
        <v>0</v>
      </c>
      <c r="N16" s="8">
        <f>I16+L16+M16</f>
        <v>128.31</v>
      </c>
      <c r="T16" s="9">
        <f>ROUND((Source!F131)/1000,2)</f>
        <v>0</v>
      </c>
      <c r="U16" s="9">
        <f>ROUND((Source!F132)/1000,2)</f>
        <v>1.33</v>
      </c>
      <c r="V16" s="9">
        <f>ROUND((Source!F123)/1000,2)</f>
        <v>11.98</v>
      </c>
      <c r="W16" s="9">
        <f>ROUND((Source!F133)/1000+(Source!F134)/1000,2)</f>
        <v>0</v>
      </c>
      <c r="X16" s="9">
        <f>T16+U16+V16+W16</f>
        <v>13.31</v>
      </c>
      <c r="Y16" s="9">
        <f>ROUND((Source!F129+Source!F128)/1000,2)</f>
        <v>0.26</v>
      </c>
      <c r="Z16" s="9">
        <v>25.6</v>
      </c>
      <c r="AA16" s="9">
        <v>0</v>
      </c>
      <c r="AB16" s="9">
        <v>0</v>
      </c>
      <c r="AC16" s="9">
        <f>X16+AA16+AB16</f>
        <v>13.31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108051.29</v>
      </c>
      <c r="AU16" s="8">
        <v>93723.51</v>
      </c>
      <c r="AV16" s="8">
        <v>0</v>
      </c>
      <c r="AW16" s="8">
        <v>88172.94</v>
      </c>
      <c r="AX16" s="8">
        <v>0</v>
      </c>
      <c r="AY16" s="8">
        <v>374.63</v>
      </c>
      <c r="AZ16" s="8">
        <v>191.37</v>
      </c>
      <c r="BA16" s="8">
        <v>13953.15</v>
      </c>
      <c r="BB16" s="8">
        <v>0</v>
      </c>
      <c r="BC16" s="8">
        <v>40136.54</v>
      </c>
      <c r="BD16" s="8">
        <v>0</v>
      </c>
      <c r="BE16" s="8">
        <v>0</v>
      </c>
      <c r="BF16" s="8">
        <v>19.976236499999995</v>
      </c>
      <c r="BG16" s="8">
        <v>0</v>
      </c>
      <c r="BH16" s="8">
        <v>0</v>
      </c>
      <c r="BI16" s="8">
        <v>13326.03</v>
      </c>
      <c r="BJ16" s="8">
        <v>6932.16</v>
      </c>
      <c r="BK16" s="8">
        <v>128309.48</v>
      </c>
      <c r="BR16" s="9">
        <v>12937.98</v>
      </c>
      <c r="BS16" s="9">
        <v>12662.37</v>
      </c>
      <c r="BT16" s="9">
        <v>0</v>
      </c>
      <c r="BU16" s="9">
        <v>11980.11</v>
      </c>
      <c r="BV16" s="9">
        <v>0</v>
      </c>
      <c r="BW16" s="9">
        <v>21.87</v>
      </c>
      <c r="BX16" s="9">
        <v>3.48</v>
      </c>
      <c r="BY16" s="9">
        <v>253.74</v>
      </c>
      <c r="BZ16" s="9">
        <v>0</v>
      </c>
      <c r="CA16" s="9">
        <v>1326.28</v>
      </c>
      <c r="CB16" s="9">
        <v>0</v>
      </c>
      <c r="CC16" s="9">
        <v>0</v>
      </c>
      <c r="CD16" s="9">
        <v>19.976236499999995</v>
      </c>
      <c r="CE16" s="9">
        <v>0</v>
      </c>
      <c r="CF16" s="9">
        <v>0</v>
      </c>
      <c r="CG16" s="9">
        <v>242.34</v>
      </c>
      <c r="CH16" s="9">
        <v>126.07</v>
      </c>
      <c r="CI16" s="9">
        <v>13306.39</v>
      </c>
    </row>
    <row r="18" spans="1:29" x14ac:dyDescent="0.2">
      <c r="A18">
        <v>51</v>
      </c>
      <c r="E18">
        <v>0</v>
      </c>
      <c r="F18">
        <v>40.14</v>
      </c>
      <c r="G18">
        <v>88.17</v>
      </c>
      <c r="H18">
        <v>0</v>
      </c>
      <c r="I18">
        <v>128.31</v>
      </c>
      <c r="J18">
        <v>14.14</v>
      </c>
      <c r="K18">
        <v>201.77</v>
      </c>
      <c r="L18">
        <v>0</v>
      </c>
      <c r="M18">
        <v>0</v>
      </c>
      <c r="N18">
        <v>128.31</v>
      </c>
      <c r="T18">
        <v>0</v>
      </c>
      <c r="U18">
        <v>1.33</v>
      </c>
      <c r="V18">
        <v>11.98</v>
      </c>
      <c r="W18">
        <v>0</v>
      </c>
      <c r="X18">
        <v>13.31</v>
      </c>
      <c r="Y18">
        <v>0.26</v>
      </c>
      <c r="Z18">
        <v>25.6</v>
      </c>
      <c r="AA18">
        <v>0</v>
      </c>
      <c r="AB18">
        <v>0</v>
      </c>
      <c r="AC18">
        <v>13.31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108051.29</v>
      </c>
      <c r="G20" s="5" t="s">
        <v>46</v>
      </c>
      <c r="H20" s="5" t="s">
        <v>47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12937.98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93723.51</v>
      </c>
      <c r="G21" s="5" t="s">
        <v>48</v>
      </c>
      <c r="H21" s="5" t="s">
        <v>49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12662.37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50</v>
      </c>
      <c r="H22" s="5" t="s">
        <v>51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93723.51</v>
      </c>
      <c r="G23" s="5" t="s">
        <v>52</v>
      </c>
      <c r="H23" s="5" t="s">
        <v>53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12662.37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5550.57</v>
      </c>
      <c r="G24" s="5" t="s">
        <v>54</v>
      </c>
      <c r="H24" s="5" t="s">
        <v>55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682.26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56</v>
      </c>
      <c r="H25" s="5" t="s">
        <v>57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5550.57</v>
      </c>
      <c r="G26" s="5" t="s">
        <v>58</v>
      </c>
      <c r="H26" s="5" t="s">
        <v>59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682.26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88172.94</v>
      </c>
      <c r="G27" s="5" t="s">
        <v>60</v>
      </c>
      <c r="H27" s="5" t="s">
        <v>61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11980.11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62</v>
      </c>
      <c r="H28" s="5" t="s">
        <v>63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88172.94</v>
      </c>
      <c r="G29" s="5" t="s">
        <v>64</v>
      </c>
      <c r="H29" s="5" t="s">
        <v>65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11980.11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374.63</v>
      </c>
      <c r="G30" s="5" t="s">
        <v>66</v>
      </c>
      <c r="H30" s="5" t="s">
        <v>67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21.87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68</v>
      </c>
      <c r="H31" s="5" t="s">
        <v>69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191.37</v>
      </c>
      <c r="G32" s="5" t="s">
        <v>70</v>
      </c>
      <c r="H32" s="5" t="s">
        <v>71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3.48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13953.15</v>
      </c>
      <c r="G33" s="5" t="s">
        <v>72</v>
      </c>
      <c r="H33" s="5" t="s">
        <v>73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253.74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74</v>
      </c>
      <c r="H34" s="5" t="s">
        <v>75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76</v>
      </c>
      <c r="H35" s="5" t="s">
        <v>77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40136.54</v>
      </c>
      <c r="G36" s="5" t="s">
        <v>78</v>
      </c>
      <c r="H36" s="5" t="s">
        <v>79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1326.28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80</v>
      </c>
      <c r="H37" s="5" t="s">
        <v>81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82</v>
      </c>
      <c r="H38" s="5" t="s">
        <v>83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84</v>
      </c>
      <c r="H39" s="5" t="s">
        <v>85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19.976236499999995</v>
      </c>
      <c r="G40" s="5" t="s">
        <v>86</v>
      </c>
      <c r="H40" s="5" t="s">
        <v>87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19.976236499999995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88</v>
      </c>
      <c r="H41" s="5" t="s">
        <v>89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90</v>
      </c>
      <c r="H42" s="5" t="s">
        <v>91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92</v>
      </c>
      <c r="H43" s="5" t="s">
        <v>93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13326.03</v>
      </c>
      <c r="G44" s="5" t="s">
        <v>94</v>
      </c>
      <c r="H44" s="5" t="s">
        <v>95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242.34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6932.16</v>
      </c>
      <c r="G45" s="5" t="s">
        <v>96</v>
      </c>
      <c r="H45" s="5" t="s">
        <v>97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126.07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128309.48</v>
      </c>
      <c r="G46" s="5" t="s">
        <v>98</v>
      </c>
      <c r="H46" s="5" t="s">
        <v>99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13306.39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144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60257733</v>
      </c>
      <c r="O51" s="4">
        <v>1</v>
      </c>
    </row>
    <row r="52" spans="1:50" x14ac:dyDescent="0.2">
      <c r="A52" s="6">
        <v>1</v>
      </c>
      <c r="B52" s="6" t="s">
        <v>145</v>
      </c>
      <c r="C52" s="6" t="s">
        <v>146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147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60257734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145</v>
      </c>
      <c r="C53" s="6" t="s">
        <v>148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149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60257735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150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60257736</v>
      </c>
      <c r="O54" s="4">
        <v>2</v>
      </c>
    </row>
    <row r="55" spans="1:50" x14ac:dyDescent="0.2">
      <c r="A55" s="6">
        <v>1</v>
      </c>
      <c r="B55" s="6" t="s">
        <v>145</v>
      </c>
      <c r="C55" s="6" t="s">
        <v>146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133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60257737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60257736</v>
      </c>
      <c r="C1">
        <v>60257850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152</v>
      </c>
      <c r="J1" t="s">
        <v>3</v>
      </c>
      <c r="K1" t="s">
        <v>153</v>
      </c>
      <c r="L1">
        <v>1191</v>
      </c>
      <c r="N1">
        <v>1013</v>
      </c>
      <c r="O1" t="s">
        <v>154</v>
      </c>
      <c r="P1" t="s">
        <v>154</v>
      </c>
      <c r="Q1">
        <v>1</v>
      </c>
      <c r="W1">
        <v>0</v>
      </c>
      <c r="X1">
        <v>476480486</v>
      </c>
      <c r="Y1">
        <f>(AT1*1.1)</f>
        <v>3.3000000000000003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</v>
      </c>
      <c r="AU1" t="s">
        <v>24</v>
      </c>
      <c r="AV1">
        <v>1</v>
      </c>
      <c r="AW1">
        <v>2</v>
      </c>
      <c r="AX1">
        <v>60257963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3.3</v>
      </c>
      <c r="CW1">
        <v>0</v>
      </c>
      <c r="CX1">
        <f>ROUND(Y1*Source!I28,9)</f>
        <v>3.3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8" si="0">ROUND(ROUND(AE1,2)*CX1,2)</f>
        <v>0</v>
      </c>
      <c r="DG1">
        <f t="shared" ref="DG1:DG20" si="1">ROUND(ROUND(AF1,2)*CX1,2)</f>
        <v>0</v>
      </c>
      <c r="DH1">
        <f t="shared" ref="DH1:DH20" si="2">ROUND(ROUND(AG1,2)*CX1,2)</f>
        <v>0</v>
      </c>
      <c r="DI1">
        <f t="shared" ref="DI1:DI4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60257733</v>
      </c>
      <c r="C2">
        <v>60257850</v>
      </c>
      <c r="D2">
        <v>58999254</v>
      </c>
      <c r="E2">
        <v>1080</v>
      </c>
      <c r="F2">
        <v>1</v>
      </c>
      <c r="G2">
        <v>1080</v>
      </c>
      <c r="H2">
        <v>1</v>
      </c>
      <c r="I2" t="s">
        <v>152</v>
      </c>
      <c r="J2" t="s">
        <v>3</v>
      </c>
      <c r="K2" t="s">
        <v>153</v>
      </c>
      <c r="L2">
        <v>1191</v>
      </c>
      <c r="N2">
        <v>1013</v>
      </c>
      <c r="O2" t="s">
        <v>154</v>
      </c>
      <c r="P2" t="s">
        <v>154</v>
      </c>
      <c r="Q2">
        <v>1</v>
      </c>
      <c r="W2">
        <v>0</v>
      </c>
      <c r="X2">
        <v>476480486</v>
      </c>
      <c r="Y2">
        <f>(AT2*1.1)</f>
        <v>3.3000000000000003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5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3</v>
      </c>
      <c r="AU2" t="s">
        <v>24</v>
      </c>
      <c r="AV2">
        <v>1</v>
      </c>
      <c r="AW2">
        <v>2</v>
      </c>
      <c r="AX2">
        <v>60257963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3.3</v>
      </c>
      <c r="CW2">
        <v>0</v>
      </c>
      <c r="CX2">
        <f>ROUND(Y2*Source!I29,9)</f>
        <v>3.3</v>
      </c>
      <c r="CY2">
        <f>AD2</f>
        <v>0</v>
      </c>
      <c r="CZ2">
        <f>AH2</f>
        <v>0</v>
      </c>
      <c r="DA2">
        <f>AL2</f>
        <v>1</v>
      </c>
      <c r="DB2">
        <f>ROUND((ROUND(AT2*CZ2,2)*1.1),6)</f>
        <v>0</v>
      </c>
      <c r="DC2">
        <f>ROUND((ROUND(AT2*AG2,2)*1.1),6)</f>
        <v>0</v>
      </c>
      <c r="DD2" t="s">
        <v>3</v>
      </c>
      <c r="DE2" t="s">
        <v>3</v>
      </c>
      <c r="DF2">
        <f t="shared" si="0"/>
        <v>0</v>
      </c>
      <c r="DG2">
        <f t="shared" si="1"/>
        <v>0</v>
      </c>
      <c r="DH2">
        <f t="shared" si="2"/>
        <v>0</v>
      </c>
      <c r="DI2">
        <f t="shared" si="3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ROW(Source!A32)</f>
        <v>32</v>
      </c>
      <c r="B3">
        <v>60257736</v>
      </c>
      <c r="C3">
        <v>60257854</v>
      </c>
      <c r="D3">
        <v>58999254</v>
      </c>
      <c r="E3">
        <v>1080</v>
      </c>
      <c r="F3">
        <v>1</v>
      </c>
      <c r="G3">
        <v>1080</v>
      </c>
      <c r="H3">
        <v>1</v>
      </c>
      <c r="I3" t="s">
        <v>152</v>
      </c>
      <c r="J3" t="s">
        <v>3</v>
      </c>
      <c r="K3" t="s">
        <v>153</v>
      </c>
      <c r="L3">
        <v>1191</v>
      </c>
      <c r="N3">
        <v>1013</v>
      </c>
      <c r="O3" t="s">
        <v>154</v>
      </c>
      <c r="P3" t="s">
        <v>154</v>
      </c>
      <c r="Q3">
        <v>1</v>
      </c>
      <c r="W3">
        <v>0</v>
      </c>
      <c r="X3">
        <v>476480486</v>
      </c>
      <c r="Y3">
        <f>(AT3*1.1)</f>
        <v>2.2000000000000002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</v>
      </c>
      <c r="AU3" t="s">
        <v>24</v>
      </c>
      <c r="AV3">
        <v>1</v>
      </c>
      <c r="AW3">
        <v>2</v>
      </c>
      <c r="AX3">
        <v>60257964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ROUND(AT3*Source!I32*AH3*AL3,2)</f>
        <v>0</v>
      </c>
      <c r="CV3">
        <f>ROUND(Y3*Source!I32,9)</f>
        <v>4.4000000000000004</v>
      </c>
      <c r="CW3">
        <v>0</v>
      </c>
      <c r="CX3">
        <f>ROUND(Y3*Source!I32,9)</f>
        <v>4.4000000000000004</v>
      </c>
      <c r="CY3">
        <f>AD3</f>
        <v>0</v>
      </c>
      <c r="CZ3">
        <f>AH3</f>
        <v>0</v>
      </c>
      <c r="DA3">
        <f>AL3</f>
        <v>1</v>
      </c>
      <c r="DB3">
        <f>ROUND((ROUND(AT3*CZ3,2)*1.1),6)</f>
        <v>0</v>
      </c>
      <c r="DC3">
        <f>ROUND((ROUND(AT3*AG3,2)*1.1),6)</f>
        <v>0</v>
      </c>
      <c r="DD3" t="s">
        <v>3</v>
      </c>
      <c r="DE3" t="s">
        <v>3</v>
      </c>
      <c r="DF3">
        <f t="shared" si="0"/>
        <v>0</v>
      </c>
      <c r="DG3">
        <f t="shared" si="1"/>
        <v>0</v>
      </c>
      <c r="DH3">
        <f t="shared" si="2"/>
        <v>0</v>
      </c>
      <c r="DI3">
        <f t="shared" si="3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ROW(Source!A33)</f>
        <v>33</v>
      </c>
      <c r="B4">
        <v>60257733</v>
      </c>
      <c r="C4">
        <v>60257854</v>
      </c>
      <c r="D4">
        <v>58999254</v>
      </c>
      <c r="E4">
        <v>1080</v>
      </c>
      <c r="F4">
        <v>1</v>
      </c>
      <c r="G4">
        <v>1080</v>
      </c>
      <c r="H4">
        <v>1</v>
      </c>
      <c r="I4" t="s">
        <v>152</v>
      </c>
      <c r="J4" t="s">
        <v>3</v>
      </c>
      <c r="K4" t="s">
        <v>153</v>
      </c>
      <c r="L4">
        <v>1191</v>
      </c>
      <c r="N4">
        <v>1013</v>
      </c>
      <c r="O4" t="s">
        <v>154</v>
      </c>
      <c r="P4" t="s">
        <v>154</v>
      </c>
      <c r="Q4">
        <v>1</v>
      </c>
      <c r="W4">
        <v>0</v>
      </c>
      <c r="X4">
        <v>476480486</v>
      </c>
      <c r="Y4">
        <f>(AT4*1.1)</f>
        <v>2.2000000000000002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</v>
      </c>
      <c r="AU4" t="s">
        <v>24</v>
      </c>
      <c r="AV4">
        <v>1</v>
      </c>
      <c r="AW4">
        <v>2</v>
      </c>
      <c r="AX4">
        <v>60257964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ROUND(AT4*Source!I33*AH4*AL4,2)</f>
        <v>0</v>
      </c>
      <c r="CV4">
        <f>ROUND(Y4*Source!I33,9)</f>
        <v>4.4000000000000004</v>
      </c>
      <c r="CW4">
        <v>0</v>
      </c>
      <c r="CX4">
        <f>ROUND(Y4*Source!I33,9)</f>
        <v>4.4000000000000004</v>
      </c>
      <c r="CY4">
        <f>AD4</f>
        <v>0</v>
      </c>
      <c r="CZ4">
        <f>AH4</f>
        <v>0</v>
      </c>
      <c r="DA4">
        <f>AL4</f>
        <v>1</v>
      </c>
      <c r="DB4">
        <f>ROUND((ROUND(AT4*CZ4,2)*1.1),6)</f>
        <v>0</v>
      </c>
      <c r="DC4">
        <f>ROUND((ROUND(AT4*AG4,2)*1.1),6)</f>
        <v>0</v>
      </c>
      <c r="DD4" t="s">
        <v>3</v>
      </c>
      <c r="DE4" t="s">
        <v>3</v>
      </c>
      <c r="DF4">
        <f t="shared" si="0"/>
        <v>0</v>
      </c>
      <c r="DG4">
        <f t="shared" si="1"/>
        <v>0</v>
      </c>
      <c r="DH4">
        <f t="shared" si="2"/>
        <v>0</v>
      </c>
      <c r="DI4">
        <f t="shared" si="3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ROW(Source!A71)</f>
        <v>71</v>
      </c>
      <c r="B5">
        <v>60257736</v>
      </c>
      <c r="C5">
        <v>60257914</v>
      </c>
      <c r="D5">
        <v>58999254</v>
      </c>
      <c r="E5">
        <v>1080</v>
      </c>
      <c r="F5">
        <v>1</v>
      </c>
      <c r="G5">
        <v>1080</v>
      </c>
      <c r="H5">
        <v>1</v>
      </c>
      <c r="I5" t="s">
        <v>152</v>
      </c>
      <c r="J5" t="s">
        <v>3</v>
      </c>
      <c r="K5" t="s">
        <v>153</v>
      </c>
      <c r="L5">
        <v>1191</v>
      </c>
      <c r="N5">
        <v>1013</v>
      </c>
      <c r="O5" t="s">
        <v>154</v>
      </c>
      <c r="P5" t="s">
        <v>154</v>
      </c>
      <c r="Q5">
        <v>1</v>
      </c>
      <c r="W5">
        <v>0</v>
      </c>
      <c r="X5">
        <v>476480486</v>
      </c>
      <c r="Y5">
        <f>(AT5*1.1)</f>
        <v>15.807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14.37</v>
      </c>
      <c r="AU5" t="s">
        <v>24</v>
      </c>
      <c r="AV5">
        <v>1</v>
      </c>
      <c r="AW5">
        <v>2</v>
      </c>
      <c r="AX5">
        <v>60257965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ROUND(AT5*Source!I71*AH5*AL5,2)</f>
        <v>0</v>
      </c>
      <c r="CV5">
        <f>ROUND(Y5*Source!I71,9)</f>
        <v>7.9035000000000002</v>
      </c>
      <c r="CW5">
        <v>0</v>
      </c>
      <c r="CX5">
        <f>ROUND(Y5*Source!I71,9)</f>
        <v>7.9035000000000002</v>
      </c>
      <c r="CY5">
        <f>AD5</f>
        <v>0</v>
      </c>
      <c r="CZ5">
        <f>AH5</f>
        <v>0</v>
      </c>
      <c r="DA5">
        <f>AL5</f>
        <v>1</v>
      </c>
      <c r="DB5">
        <f>ROUND((ROUND(AT5*CZ5,2)*1.1),6)</f>
        <v>0</v>
      </c>
      <c r="DC5">
        <f>ROUND((ROUND(AT5*AG5,2)*1.1),6)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ROW(Source!A71)</f>
        <v>71</v>
      </c>
      <c r="B6">
        <v>60257736</v>
      </c>
      <c r="C6">
        <v>60257914</v>
      </c>
      <c r="D6">
        <v>59038829</v>
      </c>
      <c r="E6">
        <v>1</v>
      </c>
      <c r="F6">
        <v>1</v>
      </c>
      <c r="G6">
        <v>1080</v>
      </c>
      <c r="H6">
        <v>3</v>
      </c>
      <c r="I6" t="s">
        <v>114</v>
      </c>
      <c r="J6" t="s">
        <v>117</v>
      </c>
      <c r="K6" t="s">
        <v>115</v>
      </c>
      <c r="L6">
        <v>1348</v>
      </c>
      <c r="N6">
        <v>1009</v>
      </c>
      <c r="O6" t="s">
        <v>116</v>
      </c>
      <c r="P6" t="s">
        <v>116</v>
      </c>
      <c r="Q6">
        <v>1000</v>
      </c>
      <c r="W6">
        <v>0</v>
      </c>
      <c r="X6">
        <v>-152177588</v>
      </c>
      <c r="Y6">
        <f>(AT6*1)</f>
        <v>0</v>
      </c>
      <c r="AA6">
        <v>10315.31</v>
      </c>
      <c r="AB6">
        <v>0</v>
      </c>
      <c r="AC6">
        <v>0</v>
      </c>
      <c r="AD6">
        <v>0</v>
      </c>
      <c r="AE6">
        <v>10315.31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 t="s">
        <v>3</v>
      </c>
      <c r="AT6">
        <v>0</v>
      </c>
      <c r="AU6" t="s">
        <v>23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ROUND(Y6*Source!I71,9)</f>
        <v>0</v>
      </c>
      <c r="CY6">
        <f>AA6</f>
        <v>10315.31</v>
      </c>
      <c r="CZ6">
        <f>AE6</f>
        <v>10315.31</v>
      </c>
      <c r="DA6">
        <f>AI6</f>
        <v>1</v>
      </c>
      <c r="DB6">
        <f>ROUND((ROUND(AT6*CZ6,2)*1),6)</f>
        <v>0</v>
      </c>
      <c r="DC6">
        <f>ROUND((ROUND(AT6*AG6,2)*1),6)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ROW(Source!A71)</f>
        <v>71</v>
      </c>
      <c r="B7">
        <v>60257736</v>
      </c>
      <c r="C7">
        <v>60257914</v>
      </c>
      <c r="D7">
        <v>59052975</v>
      </c>
      <c r="E7">
        <v>1</v>
      </c>
      <c r="F7">
        <v>1</v>
      </c>
      <c r="G7">
        <v>1080</v>
      </c>
      <c r="H7">
        <v>3</v>
      </c>
      <c r="I7" t="s">
        <v>109</v>
      </c>
      <c r="J7" t="s">
        <v>112</v>
      </c>
      <c r="K7" t="s">
        <v>110</v>
      </c>
      <c r="L7">
        <v>1301</v>
      </c>
      <c r="N7">
        <v>1003</v>
      </c>
      <c r="O7" t="s">
        <v>111</v>
      </c>
      <c r="P7" t="s">
        <v>111</v>
      </c>
      <c r="Q7">
        <v>1</v>
      </c>
      <c r="W7">
        <v>0</v>
      </c>
      <c r="X7">
        <v>1184991115</v>
      </c>
      <c r="Y7">
        <f>(AT7*1)</f>
        <v>102</v>
      </c>
      <c r="AA7">
        <v>2.67</v>
      </c>
      <c r="AB7">
        <v>0</v>
      </c>
      <c r="AC7">
        <v>0</v>
      </c>
      <c r="AD7">
        <v>0</v>
      </c>
      <c r="AE7">
        <v>2.67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 t="s">
        <v>3</v>
      </c>
      <c r="AT7">
        <v>102</v>
      </c>
      <c r="AU7" t="s">
        <v>23</v>
      </c>
      <c r="AV7">
        <v>0</v>
      </c>
      <c r="AW7">
        <v>1</v>
      </c>
      <c r="AX7">
        <v>-1</v>
      </c>
      <c r="AY7">
        <v>0</v>
      </c>
      <c r="AZ7">
        <v>0</v>
      </c>
      <c r="BA7" t="s">
        <v>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ROUND(Y7*Source!I71,9)</f>
        <v>51</v>
      </c>
      <c r="CY7">
        <f>AA7</f>
        <v>2.67</v>
      </c>
      <c r="CZ7">
        <f>AE7</f>
        <v>2.67</v>
      </c>
      <c r="DA7">
        <f>AI7</f>
        <v>1</v>
      </c>
      <c r="DB7">
        <f>ROUND((ROUND(AT7*CZ7,2)*1),6)</f>
        <v>272.33999999999997</v>
      </c>
      <c r="DC7">
        <f>ROUND((ROUND(AT7*AG7,2)*1),6)</f>
        <v>0</v>
      </c>
      <c r="DD7" t="s">
        <v>3</v>
      </c>
      <c r="DE7" t="s">
        <v>3</v>
      </c>
      <c r="DF7">
        <f t="shared" si="0"/>
        <v>136.16999999999999</v>
      </c>
      <c r="DG7">
        <f t="shared" si="1"/>
        <v>0</v>
      </c>
      <c r="DH7">
        <f t="shared" si="2"/>
        <v>0</v>
      </c>
      <c r="DI7">
        <f t="shared" si="3"/>
        <v>0</v>
      </c>
      <c r="DJ7">
        <f>DF7</f>
        <v>136.16999999999999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ROW(Source!A72)</f>
        <v>72</v>
      </c>
      <c r="B8">
        <v>60257733</v>
      </c>
      <c r="C8">
        <v>60257914</v>
      </c>
      <c r="D8">
        <v>58999254</v>
      </c>
      <c r="E8">
        <v>1080</v>
      </c>
      <c r="F8">
        <v>1</v>
      </c>
      <c r="G8">
        <v>1080</v>
      </c>
      <c r="H8">
        <v>1</v>
      </c>
      <c r="I8" t="s">
        <v>152</v>
      </c>
      <c r="J8" t="s">
        <v>3</v>
      </c>
      <c r="K8" t="s">
        <v>153</v>
      </c>
      <c r="L8">
        <v>1191</v>
      </c>
      <c r="N8">
        <v>1013</v>
      </c>
      <c r="O8" t="s">
        <v>154</v>
      </c>
      <c r="P8" t="s">
        <v>154</v>
      </c>
      <c r="Q8">
        <v>1</v>
      </c>
      <c r="W8">
        <v>0</v>
      </c>
      <c r="X8">
        <v>476480486</v>
      </c>
      <c r="Y8">
        <f>(AT8*1.1)</f>
        <v>15.807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5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14.37</v>
      </c>
      <c r="AU8" t="s">
        <v>24</v>
      </c>
      <c r="AV8">
        <v>1</v>
      </c>
      <c r="AW8">
        <v>2</v>
      </c>
      <c r="AX8">
        <v>60257965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U8">
        <f>ROUND(AT8*Source!I72*AH8*AL8,2)</f>
        <v>0</v>
      </c>
      <c r="CV8">
        <f>ROUND(Y8*Source!I72,9)</f>
        <v>7.9035000000000002</v>
      </c>
      <c r="CW8">
        <v>0</v>
      </c>
      <c r="CX8">
        <f>ROUND(Y8*Source!I72,9)</f>
        <v>7.9035000000000002</v>
      </c>
      <c r="CY8">
        <f>AD8</f>
        <v>0</v>
      </c>
      <c r="CZ8">
        <f>AH8</f>
        <v>0</v>
      </c>
      <c r="DA8">
        <f>AL8</f>
        <v>1</v>
      </c>
      <c r="DB8">
        <f>ROUND((ROUND(AT8*CZ8,2)*1.1),6)</f>
        <v>0</v>
      </c>
      <c r="DC8">
        <f>ROUND((ROUND(AT8*AG8,2)*1.1),6)</f>
        <v>0</v>
      </c>
      <c r="DD8" t="s">
        <v>3</v>
      </c>
      <c r="DE8" t="s">
        <v>3</v>
      </c>
      <c r="DF8">
        <f t="shared" si="0"/>
        <v>0</v>
      </c>
      <c r="DG8">
        <f t="shared" si="1"/>
        <v>0</v>
      </c>
      <c r="DH8">
        <f t="shared" si="2"/>
        <v>0</v>
      </c>
      <c r="DI8">
        <f t="shared" si="3"/>
        <v>0</v>
      </c>
      <c r="DJ8">
        <f>DI8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ROW(Source!A72)</f>
        <v>72</v>
      </c>
      <c r="B9">
        <v>60257733</v>
      </c>
      <c r="C9">
        <v>60257914</v>
      </c>
      <c r="D9">
        <v>59038829</v>
      </c>
      <c r="E9">
        <v>1</v>
      </c>
      <c r="F9">
        <v>1</v>
      </c>
      <c r="G9">
        <v>1080</v>
      </c>
      <c r="H9">
        <v>3</v>
      </c>
      <c r="I9" t="s">
        <v>114</v>
      </c>
      <c r="J9" t="s">
        <v>117</v>
      </c>
      <c r="K9" t="s">
        <v>115</v>
      </c>
      <c r="L9">
        <v>1348</v>
      </c>
      <c r="N9">
        <v>1009</v>
      </c>
      <c r="O9" t="s">
        <v>116</v>
      </c>
      <c r="P9" t="s">
        <v>116</v>
      </c>
      <c r="Q9">
        <v>1000</v>
      </c>
      <c r="W9">
        <v>0</v>
      </c>
      <c r="X9">
        <v>-152177588</v>
      </c>
      <c r="Y9">
        <f>(AT9*1)</f>
        <v>0</v>
      </c>
      <c r="AA9">
        <v>48275.65</v>
      </c>
      <c r="AB9">
        <v>0</v>
      </c>
      <c r="AC9">
        <v>0</v>
      </c>
      <c r="AD9">
        <v>0</v>
      </c>
      <c r="AE9">
        <v>10315.31</v>
      </c>
      <c r="AF9">
        <v>0</v>
      </c>
      <c r="AG9">
        <v>0</v>
      </c>
      <c r="AH9">
        <v>0</v>
      </c>
      <c r="AI9">
        <v>4.68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 t="s">
        <v>3</v>
      </c>
      <c r="AT9">
        <v>0</v>
      </c>
      <c r="AU9" t="s">
        <v>23</v>
      </c>
      <c r="AV9">
        <v>0</v>
      </c>
      <c r="AW9">
        <v>1</v>
      </c>
      <c r="AX9">
        <v>-1</v>
      </c>
      <c r="AY9">
        <v>0</v>
      </c>
      <c r="AZ9">
        <v>0</v>
      </c>
      <c r="BA9" t="s">
        <v>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ROUND(Y9*Source!I72,9)</f>
        <v>0</v>
      </c>
      <c r="CY9">
        <f>AA9</f>
        <v>48275.65</v>
      </c>
      <c r="CZ9">
        <f>AE9</f>
        <v>10315.31</v>
      </c>
      <c r="DA9">
        <f>AI9</f>
        <v>4.68</v>
      </c>
      <c r="DB9">
        <f>ROUND((ROUND(AT9*CZ9,2)*1),6)</f>
        <v>0</v>
      </c>
      <c r="DC9">
        <f>ROUND((ROUND(AT9*AG9,2)*1),6)</f>
        <v>0</v>
      </c>
      <c r="DD9" t="s">
        <v>3</v>
      </c>
      <c r="DE9" t="s">
        <v>3</v>
      </c>
      <c r="DF9">
        <f>ROUND(ROUND(AE9*AI9,2)*CX9,2)</f>
        <v>0</v>
      </c>
      <c r="DG9">
        <f t="shared" si="1"/>
        <v>0</v>
      </c>
      <c r="DH9">
        <f t="shared" si="2"/>
        <v>0</v>
      </c>
      <c r="DI9">
        <f t="shared" si="3"/>
        <v>0</v>
      </c>
      <c r="DJ9">
        <f>DF9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ROW(Source!A72)</f>
        <v>72</v>
      </c>
      <c r="B10">
        <v>60257733</v>
      </c>
      <c r="C10">
        <v>60257914</v>
      </c>
      <c r="D10">
        <v>59052975</v>
      </c>
      <c r="E10">
        <v>1</v>
      </c>
      <c r="F10">
        <v>1</v>
      </c>
      <c r="G10">
        <v>1080</v>
      </c>
      <c r="H10">
        <v>3</v>
      </c>
      <c r="I10" t="s">
        <v>109</v>
      </c>
      <c r="J10" t="s">
        <v>112</v>
      </c>
      <c r="K10" t="s">
        <v>110</v>
      </c>
      <c r="L10">
        <v>1301</v>
      </c>
      <c r="N10">
        <v>1003</v>
      </c>
      <c r="O10" t="s">
        <v>111</v>
      </c>
      <c r="P10" t="s">
        <v>111</v>
      </c>
      <c r="Q10">
        <v>1</v>
      </c>
      <c r="W10">
        <v>0</v>
      </c>
      <c r="X10">
        <v>1184991115</v>
      </c>
      <c r="Y10">
        <f>(AT10*1)</f>
        <v>102</v>
      </c>
      <c r="AA10">
        <v>10.23</v>
      </c>
      <c r="AB10">
        <v>0</v>
      </c>
      <c r="AC10">
        <v>0</v>
      </c>
      <c r="AD10">
        <v>0</v>
      </c>
      <c r="AE10">
        <v>2.67</v>
      </c>
      <c r="AF10">
        <v>0</v>
      </c>
      <c r="AG10">
        <v>0</v>
      </c>
      <c r="AH10">
        <v>0</v>
      </c>
      <c r="AI10">
        <v>3.83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 t="s">
        <v>3</v>
      </c>
      <c r="AT10">
        <v>102</v>
      </c>
      <c r="AU10" t="s">
        <v>23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ROUND(Y10*Source!I72,9)</f>
        <v>51</v>
      </c>
      <c r="CY10">
        <f>AA10</f>
        <v>10.23</v>
      </c>
      <c r="CZ10">
        <f>AE10</f>
        <v>2.67</v>
      </c>
      <c r="DA10">
        <f>AI10</f>
        <v>3.83</v>
      </c>
      <c r="DB10">
        <f>ROUND((ROUND(AT10*CZ10,2)*1),6)</f>
        <v>272.33999999999997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521.73</v>
      </c>
      <c r="DG10">
        <f t="shared" si="1"/>
        <v>0</v>
      </c>
      <c r="DH10">
        <f t="shared" si="2"/>
        <v>0</v>
      </c>
      <c r="DI10">
        <f t="shared" si="3"/>
        <v>0</v>
      </c>
      <c r="DJ10">
        <f>DF10</f>
        <v>521.73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ROW(Source!A77)</f>
        <v>77</v>
      </c>
      <c r="B11">
        <v>60257736</v>
      </c>
      <c r="C11">
        <v>60257924</v>
      </c>
      <c r="D11">
        <v>58999254</v>
      </c>
      <c r="E11">
        <v>1080</v>
      </c>
      <c r="F11">
        <v>1</v>
      </c>
      <c r="G11">
        <v>1080</v>
      </c>
      <c r="H11">
        <v>1</v>
      </c>
      <c r="I11" t="s">
        <v>152</v>
      </c>
      <c r="J11" t="s">
        <v>3</v>
      </c>
      <c r="K11" t="s">
        <v>153</v>
      </c>
      <c r="L11">
        <v>1191</v>
      </c>
      <c r="N11">
        <v>1013</v>
      </c>
      <c r="O11" t="s">
        <v>154</v>
      </c>
      <c r="P11" t="s">
        <v>154</v>
      </c>
      <c r="Q11">
        <v>1</v>
      </c>
      <c r="W11">
        <v>0</v>
      </c>
      <c r="X11">
        <v>476480486</v>
      </c>
      <c r="Y11">
        <f>(AT11*1.1)</f>
        <v>4.9390000000000009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4.49</v>
      </c>
      <c r="AU11" t="s">
        <v>24</v>
      </c>
      <c r="AV11">
        <v>1</v>
      </c>
      <c r="AW11">
        <v>2</v>
      </c>
      <c r="AX11">
        <v>60257969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ROUND(AT11*Source!I77*AH11*AL11,2)</f>
        <v>0</v>
      </c>
      <c r="CV11">
        <f>ROUND(Y11*Source!I77,9)</f>
        <v>2.4695</v>
      </c>
      <c r="CW11">
        <v>0</v>
      </c>
      <c r="CX11">
        <f>ROUND(Y11*Source!I77,9)</f>
        <v>2.4695</v>
      </c>
      <c r="CY11">
        <f>AD11</f>
        <v>0</v>
      </c>
      <c r="CZ11">
        <f>AH11</f>
        <v>0</v>
      </c>
      <c r="DA11">
        <f>AL11</f>
        <v>1</v>
      </c>
      <c r="DB11">
        <f>ROUND((ROUND(AT11*CZ11,2)*1.1),6)</f>
        <v>0</v>
      </c>
      <c r="DC11">
        <f>ROUND((ROUND(AT11*AG11,2)*1.1),6)</f>
        <v>0</v>
      </c>
      <c r="DD11" t="s">
        <v>3</v>
      </c>
      <c r="DE11" t="s">
        <v>3</v>
      </c>
      <c r="DF11">
        <f t="shared" ref="DF11:DF22" si="4">ROUND(ROUND(AE11,2)*CX11,2)</f>
        <v>0</v>
      </c>
      <c r="DG11">
        <f t="shared" si="1"/>
        <v>0</v>
      </c>
      <c r="DH11">
        <f t="shared" si="2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ROW(Source!A77)</f>
        <v>77</v>
      </c>
      <c r="B12">
        <v>60257736</v>
      </c>
      <c r="C12">
        <v>60257924</v>
      </c>
      <c r="D12">
        <v>59070669</v>
      </c>
      <c r="E12">
        <v>1</v>
      </c>
      <c r="F12">
        <v>1</v>
      </c>
      <c r="G12">
        <v>1080</v>
      </c>
      <c r="H12">
        <v>2</v>
      </c>
      <c r="I12" t="s">
        <v>155</v>
      </c>
      <c r="J12" t="s">
        <v>156</v>
      </c>
      <c r="K12" t="s">
        <v>157</v>
      </c>
      <c r="L12">
        <v>1368</v>
      </c>
      <c r="N12">
        <v>1011</v>
      </c>
      <c r="O12" t="s">
        <v>158</v>
      </c>
      <c r="P12" t="s">
        <v>158</v>
      </c>
      <c r="Q12">
        <v>1</v>
      </c>
      <c r="W12">
        <v>0</v>
      </c>
      <c r="X12">
        <v>-1985943078</v>
      </c>
      <c r="Y12">
        <f>(AT12*1.1)</f>
        <v>1.1000000000000001E-2</v>
      </c>
      <c r="AA12">
        <v>0</v>
      </c>
      <c r="AB12">
        <v>87.01</v>
      </c>
      <c r="AC12">
        <v>13.21</v>
      </c>
      <c r="AD12">
        <v>0</v>
      </c>
      <c r="AE12">
        <v>0</v>
      </c>
      <c r="AF12">
        <v>83.1</v>
      </c>
      <c r="AG12">
        <v>12.62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0.01</v>
      </c>
      <c r="AU12" t="s">
        <v>24</v>
      </c>
      <c r="AV12">
        <v>0</v>
      </c>
      <c r="AW12">
        <v>2</v>
      </c>
      <c r="AX12">
        <v>60257970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ROUND(Y12*Source!I77*DO12,9)</f>
        <v>6.9409999999999999E-2</v>
      </c>
      <c r="CX12">
        <f>ROUND(Y12*Source!I77,9)</f>
        <v>5.4999999999999997E-3</v>
      </c>
      <c r="CY12">
        <f>AB12</f>
        <v>87.01</v>
      </c>
      <c r="CZ12">
        <f>AF12</f>
        <v>83.1</v>
      </c>
      <c r="DA12">
        <f>AJ12</f>
        <v>1</v>
      </c>
      <c r="DB12">
        <f>ROUND((ROUND(AT12*CZ12,2)*1.1),6)</f>
        <v>0.91300000000000003</v>
      </c>
      <c r="DC12">
        <f>ROUND((ROUND(AT12*AG12,2)*1.1),6)</f>
        <v>0.14299999999999999</v>
      </c>
      <c r="DD12" t="s">
        <v>3</v>
      </c>
      <c r="DE12" t="s">
        <v>3</v>
      </c>
      <c r="DF12">
        <f t="shared" si="4"/>
        <v>0</v>
      </c>
      <c r="DG12">
        <f t="shared" si="1"/>
        <v>0.46</v>
      </c>
      <c r="DH12">
        <f t="shared" si="2"/>
        <v>7.0000000000000007E-2</v>
      </c>
      <c r="DI12">
        <f t="shared" si="3"/>
        <v>0</v>
      </c>
      <c r="DJ12">
        <f>DG12</f>
        <v>0.46</v>
      </c>
      <c r="DK12">
        <v>0</v>
      </c>
      <c r="DL12" t="s">
        <v>159</v>
      </c>
      <c r="DM12">
        <v>0</v>
      </c>
      <c r="DN12" t="s">
        <v>154</v>
      </c>
      <c r="DO12">
        <v>12.62</v>
      </c>
    </row>
    <row r="13" spans="1:119" x14ac:dyDescent="0.2">
      <c r="A13">
        <f>ROW(Source!A77)</f>
        <v>77</v>
      </c>
      <c r="B13">
        <v>60257736</v>
      </c>
      <c r="C13">
        <v>60257924</v>
      </c>
      <c r="D13">
        <v>59069905</v>
      </c>
      <c r="E13">
        <v>1</v>
      </c>
      <c r="F13">
        <v>1</v>
      </c>
      <c r="G13">
        <v>1080</v>
      </c>
      <c r="H13">
        <v>2</v>
      </c>
      <c r="I13" t="s">
        <v>160</v>
      </c>
      <c r="J13" t="s">
        <v>161</v>
      </c>
      <c r="K13" t="s">
        <v>162</v>
      </c>
      <c r="L13">
        <v>1368</v>
      </c>
      <c r="N13">
        <v>1011</v>
      </c>
      <c r="O13" t="s">
        <v>158</v>
      </c>
      <c r="P13" t="s">
        <v>158</v>
      </c>
      <c r="Q13">
        <v>1</v>
      </c>
      <c r="W13">
        <v>0</v>
      </c>
      <c r="X13">
        <v>1087580389</v>
      </c>
      <c r="Y13">
        <f>(AT13*1.1)</f>
        <v>1.1000000000000001E-2</v>
      </c>
      <c r="AA13">
        <v>0</v>
      </c>
      <c r="AB13">
        <v>187.59</v>
      </c>
      <c r="AC13">
        <v>17.73</v>
      </c>
      <c r="AD13">
        <v>0</v>
      </c>
      <c r="AE13">
        <v>0</v>
      </c>
      <c r="AF13">
        <v>179.17</v>
      </c>
      <c r="AG13">
        <v>16.93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0.01</v>
      </c>
      <c r="AU13" t="s">
        <v>24</v>
      </c>
      <c r="AV13">
        <v>0</v>
      </c>
      <c r="AW13">
        <v>2</v>
      </c>
      <c r="AX13">
        <v>60257971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ROUND(Y13*Source!I77*DO13,9)</f>
        <v>9.3115000000000003E-2</v>
      </c>
      <c r="CX13">
        <f>ROUND(Y13*Source!I77,9)</f>
        <v>5.4999999999999997E-3</v>
      </c>
      <c r="CY13">
        <f>AB13</f>
        <v>187.59</v>
      </c>
      <c r="CZ13">
        <f>AF13</f>
        <v>179.17</v>
      </c>
      <c r="DA13">
        <f>AJ13</f>
        <v>1</v>
      </c>
      <c r="DB13">
        <f>ROUND((ROUND(AT13*CZ13,2)*1.1),6)</f>
        <v>1.9690000000000001</v>
      </c>
      <c r="DC13">
        <f>ROUND((ROUND(AT13*AG13,2)*1.1),6)</f>
        <v>0.187</v>
      </c>
      <c r="DD13" t="s">
        <v>3</v>
      </c>
      <c r="DE13" t="s">
        <v>3</v>
      </c>
      <c r="DF13">
        <f t="shared" si="4"/>
        <v>0</v>
      </c>
      <c r="DG13">
        <f t="shared" si="1"/>
        <v>0.99</v>
      </c>
      <c r="DH13">
        <f t="shared" si="2"/>
        <v>0.09</v>
      </c>
      <c r="DI13">
        <f t="shared" si="3"/>
        <v>0</v>
      </c>
      <c r="DJ13">
        <f>DG13</f>
        <v>0.99</v>
      </c>
      <c r="DK13">
        <v>0</v>
      </c>
      <c r="DL13" t="s">
        <v>159</v>
      </c>
      <c r="DM13">
        <v>0</v>
      </c>
      <c r="DN13" t="s">
        <v>154</v>
      </c>
      <c r="DO13">
        <v>16.93</v>
      </c>
    </row>
    <row r="14" spans="1:119" x14ac:dyDescent="0.2">
      <c r="A14">
        <f>ROW(Source!A77)</f>
        <v>77</v>
      </c>
      <c r="B14">
        <v>60257736</v>
      </c>
      <c r="C14">
        <v>60257924</v>
      </c>
      <c r="D14">
        <v>59039702</v>
      </c>
      <c r="E14">
        <v>1</v>
      </c>
      <c r="F14">
        <v>1</v>
      </c>
      <c r="G14">
        <v>1080</v>
      </c>
      <c r="H14">
        <v>3</v>
      </c>
      <c r="I14" t="s">
        <v>163</v>
      </c>
      <c r="J14" t="s">
        <v>164</v>
      </c>
      <c r="K14" t="s">
        <v>165</v>
      </c>
      <c r="L14">
        <v>1346</v>
      </c>
      <c r="N14">
        <v>1009</v>
      </c>
      <c r="O14" t="s">
        <v>166</v>
      </c>
      <c r="P14" t="s">
        <v>166</v>
      </c>
      <c r="Q14">
        <v>1</v>
      </c>
      <c r="W14">
        <v>0</v>
      </c>
      <c r="X14">
        <v>1770006655</v>
      </c>
      <c r="Y14">
        <f t="shared" ref="Y14:Y19" si="5">(AT14*1)</f>
        <v>0.43</v>
      </c>
      <c r="AA14">
        <v>1.38</v>
      </c>
      <c r="AB14">
        <v>0</v>
      </c>
      <c r="AC14">
        <v>0</v>
      </c>
      <c r="AD14">
        <v>0</v>
      </c>
      <c r="AE14">
        <v>1.38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0.43</v>
      </c>
      <c r="AU14" t="s">
        <v>23</v>
      </c>
      <c r="AV14">
        <v>0</v>
      </c>
      <c r="AW14">
        <v>2</v>
      </c>
      <c r="AX14">
        <v>60257972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ROUND(Y14*Source!I77,9)</f>
        <v>0.215</v>
      </c>
      <c r="CY14">
        <f t="shared" ref="CY14:CY19" si="6">AA14</f>
        <v>1.38</v>
      </c>
      <c r="CZ14">
        <f t="shared" ref="CZ14:CZ19" si="7">AE14</f>
        <v>1.38</v>
      </c>
      <c r="DA14">
        <f t="shared" ref="DA14:DA19" si="8">AI14</f>
        <v>1</v>
      </c>
      <c r="DB14">
        <f t="shared" ref="DB14:DB19" si="9">ROUND((ROUND(AT14*CZ14,2)*1),6)</f>
        <v>0.59</v>
      </c>
      <c r="DC14">
        <f t="shared" ref="DC14:DC19" si="10">ROUND((ROUND(AT14*AG14,2)*1),6)</f>
        <v>0</v>
      </c>
      <c r="DD14" t="s">
        <v>3</v>
      </c>
      <c r="DE14" t="s">
        <v>3</v>
      </c>
      <c r="DF14">
        <f t="shared" si="4"/>
        <v>0.3</v>
      </c>
      <c r="DG14">
        <f t="shared" si="1"/>
        <v>0</v>
      </c>
      <c r="DH14">
        <f t="shared" si="2"/>
        <v>0</v>
      </c>
      <c r="DI14">
        <f t="shared" si="3"/>
        <v>0</v>
      </c>
      <c r="DJ14">
        <f t="shared" ref="DJ14:DJ19" si="11">DF14</f>
        <v>0.3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ROW(Source!A77)</f>
        <v>77</v>
      </c>
      <c r="B15">
        <v>60257736</v>
      </c>
      <c r="C15">
        <v>60257924</v>
      </c>
      <c r="D15">
        <v>59040093</v>
      </c>
      <c r="E15">
        <v>1</v>
      </c>
      <c r="F15">
        <v>1</v>
      </c>
      <c r="G15">
        <v>1080</v>
      </c>
      <c r="H15">
        <v>3</v>
      </c>
      <c r="I15" t="s">
        <v>167</v>
      </c>
      <c r="J15" t="s">
        <v>168</v>
      </c>
      <c r="K15" t="s">
        <v>169</v>
      </c>
      <c r="L15">
        <v>1346</v>
      </c>
      <c r="N15">
        <v>1009</v>
      </c>
      <c r="O15" t="s">
        <v>166</v>
      </c>
      <c r="P15" t="s">
        <v>166</v>
      </c>
      <c r="Q15">
        <v>1</v>
      </c>
      <c r="W15">
        <v>0</v>
      </c>
      <c r="X15">
        <v>-878159893</v>
      </c>
      <c r="Y15">
        <f t="shared" si="5"/>
        <v>0.16</v>
      </c>
      <c r="AA15">
        <v>159.06</v>
      </c>
      <c r="AB15">
        <v>0</v>
      </c>
      <c r="AC15">
        <v>0</v>
      </c>
      <c r="AD15">
        <v>0</v>
      </c>
      <c r="AE15">
        <v>159.06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0.16</v>
      </c>
      <c r="AU15" t="s">
        <v>23</v>
      </c>
      <c r="AV15">
        <v>0</v>
      </c>
      <c r="AW15">
        <v>2</v>
      </c>
      <c r="AX15">
        <v>60257973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ROUND(Y15*Source!I77,9)</f>
        <v>0.08</v>
      </c>
      <c r="CY15">
        <f t="shared" si="6"/>
        <v>159.06</v>
      </c>
      <c r="CZ15">
        <f t="shared" si="7"/>
        <v>159.06</v>
      </c>
      <c r="DA15">
        <f t="shared" si="8"/>
        <v>1</v>
      </c>
      <c r="DB15">
        <f t="shared" si="9"/>
        <v>25.45</v>
      </c>
      <c r="DC15">
        <f t="shared" si="10"/>
        <v>0</v>
      </c>
      <c r="DD15" t="s">
        <v>3</v>
      </c>
      <c r="DE15" t="s">
        <v>3</v>
      </c>
      <c r="DF15">
        <f t="shared" si="4"/>
        <v>12.72</v>
      </c>
      <c r="DG15">
        <f t="shared" si="1"/>
        <v>0</v>
      </c>
      <c r="DH15">
        <f t="shared" si="2"/>
        <v>0</v>
      </c>
      <c r="DI15">
        <f t="shared" si="3"/>
        <v>0</v>
      </c>
      <c r="DJ15">
        <f t="shared" si="11"/>
        <v>12.72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ROW(Source!A77)</f>
        <v>77</v>
      </c>
      <c r="B16">
        <v>60257736</v>
      </c>
      <c r="C16">
        <v>60257924</v>
      </c>
      <c r="D16">
        <v>59063036</v>
      </c>
      <c r="E16">
        <v>1</v>
      </c>
      <c r="F16">
        <v>1</v>
      </c>
      <c r="G16">
        <v>1080</v>
      </c>
      <c r="H16">
        <v>3</v>
      </c>
      <c r="I16" t="s">
        <v>170</v>
      </c>
      <c r="J16" t="s">
        <v>171</v>
      </c>
      <c r="K16" t="s">
        <v>172</v>
      </c>
      <c r="L16">
        <v>1355</v>
      </c>
      <c r="N16">
        <v>1010</v>
      </c>
      <c r="O16" t="s">
        <v>173</v>
      </c>
      <c r="P16" t="s">
        <v>173</v>
      </c>
      <c r="Q16">
        <v>100</v>
      </c>
      <c r="W16">
        <v>0</v>
      </c>
      <c r="X16">
        <v>-456781043</v>
      </c>
      <c r="Y16">
        <f t="shared" si="5"/>
        <v>0.05</v>
      </c>
      <c r="AA16">
        <v>68.819999999999993</v>
      </c>
      <c r="AB16">
        <v>0</v>
      </c>
      <c r="AC16">
        <v>0</v>
      </c>
      <c r="AD16">
        <v>0</v>
      </c>
      <c r="AE16">
        <v>68.819999999999993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0.05</v>
      </c>
      <c r="AU16" t="s">
        <v>23</v>
      </c>
      <c r="AV16">
        <v>0</v>
      </c>
      <c r="AW16">
        <v>2</v>
      </c>
      <c r="AX16">
        <v>60257974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ROUND(Y16*Source!I77,9)</f>
        <v>2.5000000000000001E-2</v>
      </c>
      <c r="CY16">
        <f t="shared" si="6"/>
        <v>68.819999999999993</v>
      </c>
      <c r="CZ16">
        <f t="shared" si="7"/>
        <v>68.819999999999993</v>
      </c>
      <c r="DA16">
        <f t="shared" si="8"/>
        <v>1</v>
      </c>
      <c r="DB16">
        <f t="shared" si="9"/>
        <v>3.44</v>
      </c>
      <c r="DC16">
        <f t="shared" si="10"/>
        <v>0</v>
      </c>
      <c r="DD16" t="s">
        <v>3</v>
      </c>
      <c r="DE16" t="s">
        <v>3</v>
      </c>
      <c r="DF16">
        <f t="shared" si="4"/>
        <v>1.72</v>
      </c>
      <c r="DG16">
        <f t="shared" si="1"/>
        <v>0</v>
      </c>
      <c r="DH16">
        <f t="shared" si="2"/>
        <v>0</v>
      </c>
      <c r="DI16">
        <f t="shared" si="3"/>
        <v>0</v>
      </c>
      <c r="DJ16">
        <f t="shared" si="11"/>
        <v>1.72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ROW(Source!A77)</f>
        <v>77</v>
      </c>
      <c r="B17">
        <v>60257736</v>
      </c>
      <c r="C17">
        <v>60257924</v>
      </c>
      <c r="D17">
        <v>59063047</v>
      </c>
      <c r="E17">
        <v>1</v>
      </c>
      <c r="F17">
        <v>1</v>
      </c>
      <c r="G17">
        <v>1080</v>
      </c>
      <c r="H17">
        <v>3</v>
      </c>
      <c r="I17" t="s">
        <v>174</v>
      </c>
      <c r="J17" t="s">
        <v>175</v>
      </c>
      <c r="K17" t="s">
        <v>176</v>
      </c>
      <c r="L17">
        <v>1356</v>
      </c>
      <c r="N17">
        <v>1010</v>
      </c>
      <c r="O17" t="s">
        <v>177</v>
      </c>
      <c r="P17" t="s">
        <v>177</v>
      </c>
      <c r="Q17">
        <v>1000</v>
      </c>
      <c r="W17">
        <v>0</v>
      </c>
      <c r="X17">
        <v>1726193810</v>
      </c>
      <c r="Y17">
        <f t="shared" si="5"/>
        <v>1.2200000000000001E-2</v>
      </c>
      <c r="AA17">
        <v>183.4</v>
      </c>
      <c r="AB17">
        <v>0</v>
      </c>
      <c r="AC17">
        <v>0</v>
      </c>
      <c r="AD17">
        <v>0</v>
      </c>
      <c r="AE17">
        <v>183.4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1.2200000000000001E-2</v>
      </c>
      <c r="AU17" t="s">
        <v>23</v>
      </c>
      <c r="AV17">
        <v>0</v>
      </c>
      <c r="AW17">
        <v>2</v>
      </c>
      <c r="AX17">
        <v>60257975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ROUND(Y17*Source!I77,9)</f>
        <v>6.1000000000000004E-3</v>
      </c>
      <c r="CY17">
        <f t="shared" si="6"/>
        <v>183.4</v>
      </c>
      <c r="CZ17">
        <f t="shared" si="7"/>
        <v>183.4</v>
      </c>
      <c r="DA17">
        <f t="shared" si="8"/>
        <v>1</v>
      </c>
      <c r="DB17">
        <f t="shared" si="9"/>
        <v>2.2400000000000002</v>
      </c>
      <c r="DC17">
        <f t="shared" si="10"/>
        <v>0</v>
      </c>
      <c r="DD17" t="s">
        <v>3</v>
      </c>
      <c r="DE17" t="s">
        <v>3</v>
      </c>
      <c r="DF17">
        <f t="shared" si="4"/>
        <v>1.1200000000000001</v>
      </c>
      <c r="DG17">
        <f t="shared" si="1"/>
        <v>0</v>
      </c>
      <c r="DH17">
        <f t="shared" si="2"/>
        <v>0</v>
      </c>
      <c r="DI17">
        <f t="shared" si="3"/>
        <v>0</v>
      </c>
      <c r="DJ17">
        <f t="shared" si="11"/>
        <v>1.1200000000000001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ROW(Source!A77)</f>
        <v>77</v>
      </c>
      <c r="B18">
        <v>60257736</v>
      </c>
      <c r="C18">
        <v>60257924</v>
      </c>
      <c r="D18">
        <v>59062373</v>
      </c>
      <c r="E18">
        <v>1</v>
      </c>
      <c r="F18">
        <v>1</v>
      </c>
      <c r="G18">
        <v>1080</v>
      </c>
      <c r="H18">
        <v>3</v>
      </c>
      <c r="I18" t="s">
        <v>178</v>
      </c>
      <c r="J18" t="s">
        <v>179</v>
      </c>
      <c r="K18" t="s">
        <v>180</v>
      </c>
      <c r="L18">
        <v>1354</v>
      </c>
      <c r="N18">
        <v>1010</v>
      </c>
      <c r="O18" t="s">
        <v>45</v>
      </c>
      <c r="P18" t="s">
        <v>45</v>
      </c>
      <c r="Q18">
        <v>1</v>
      </c>
      <c r="W18">
        <v>0</v>
      </c>
      <c r="X18">
        <v>145081611</v>
      </c>
      <c r="Y18">
        <f t="shared" si="5"/>
        <v>3.1</v>
      </c>
      <c r="AA18">
        <v>6.94</v>
      </c>
      <c r="AB18">
        <v>0</v>
      </c>
      <c r="AC18">
        <v>0</v>
      </c>
      <c r="AD18">
        <v>0</v>
      </c>
      <c r="AE18">
        <v>6.94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3.1</v>
      </c>
      <c r="AU18" t="s">
        <v>23</v>
      </c>
      <c r="AV18">
        <v>0</v>
      </c>
      <c r="AW18">
        <v>2</v>
      </c>
      <c r="AX18">
        <v>60257976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ROUND(Y18*Source!I77,9)</f>
        <v>1.55</v>
      </c>
      <c r="CY18">
        <f t="shared" si="6"/>
        <v>6.94</v>
      </c>
      <c r="CZ18">
        <f t="shared" si="7"/>
        <v>6.94</v>
      </c>
      <c r="DA18">
        <f t="shared" si="8"/>
        <v>1</v>
      </c>
      <c r="DB18">
        <f t="shared" si="9"/>
        <v>21.51</v>
      </c>
      <c r="DC18">
        <f t="shared" si="10"/>
        <v>0</v>
      </c>
      <c r="DD18" t="s">
        <v>3</v>
      </c>
      <c r="DE18" t="s">
        <v>3</v>
      </c>
      <c r="DF18">
        <f t="shared" si="4"/>
        <v>10.76</v>
      </c>
      <c r="DG18">
        <f t="shared" si="1"/>
        <v>0</v>
      </c>
      <c r="DH18">
        <f t="shared" si="2"/>
        <v>0</v>
      </c>
      <c r="DI18">
        <f t="shared" si="3"/>
        <v>0</v>
      </c>
      <c r="DJ18">
        <f t="shared" si="11"/>
        <v>10.76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ROW(Source!A77)</f>
        <v>77</v>
      </c>
      <c r="B19">
        <v>60257736</v>
      </c>
      <c r="C19">
        <v>60257924</v>
      </c>
      <c r="D19">
        <v>59062380</v>
      </c>
      <c r="E19">
        <v>1</v>
      </c>
      <c r="F19">
        <v>1</v>
      </c>
      <c r="G19">
        <v>1080</v>
      </c>
      <c r="H19">
        <v>3</v>
      </c>
      <c r="I19" t="s">
        <v>181</v>
      </c>
      <c r="J19" t="s">
        <v>182</v>
      </c>
      <c r="K19" t="s">
        <v>183</v>
      </c>
      <c r="L19">
        <v>1356</v>
      </c>
      <c r="N19">
        <v>1010</v>
      </c>
      <c r="O19" t="s">
        <v>177</v>
      </c>
      <c r="P19" t="s">
        <v>177</v>
      </c>
      <c r="Q19">
        <v>1000</v>
      </c>
      <c r="W19">
        <v>0</v>
      </c>
      <c r="X19">
        <v>-1715273674</v>
      </c>
      <c r="Y19">
        <f t="shared" si="5"/>
        <v>8.0000000000000002E-3</v>
      </c>
      <c r="AA19">
        <v>614.09</v>
      </c>
      <c r="AB19">
        <v>0</v>
      </c>
      <c r="AC19">
        <v>0</v>
      </c>
      <c r="AD19">
        <v>0</v>
      </c>
      <c r="AE19">
        <v>614.09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8.0000000000000002E-3</v>
      </c>
      <c r="AU19" t="s">
        <v>23</v>
      </c>
      <c r="AV19">
        <v>0</v>
      </c>
      <c r="AW19">
        <v>2</v>
      </c>
      <c r="AX19">
        <v>60257977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ROUND(Y19*Source!I77,9)</f>
        <v>4.0000000000000001E-3</v>
      </c>
      <c r="CY19">
        <f t="shared" si="6"/>
        <v>614.09</v>
      </c>
      <c r="CZ19">
        <f t="shared" si="7"/>
        <v>614.09</v>
      </c>
      <c r="DA19">
        <f t="shared" si="8"/>
        <v>1</v>
      </c>
      <c r="DB19">
        <f t="shared" si="9"/>
        <v>4.91</v>
      </c>
      <c r="DC19">
        <f t="shared" si="10"/>
        <v>0</v>
      </c>
      <c r="DD19" t="s">
        <v>3</v>
      </c>
      <c r="DE19" t="s">
        <v>3</v>
      </c>
      <c r="DF19">
        <f t="shared" si="4"/>
        <v>2.46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si="11"/>
        <v>2.46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ROW(Source!A78)</f>
        <v>78</v>
      </c>
      <c r="B20">
        <v>60257733</v>
      </c>
      <c r="C20">
        <v>60257924</v>
      </c>
      <c r="D20">
        <v>58999254</v>
      </c>
      <c r="E20">
        <v>1080</v>
      </c>
      <c r="F20">
        <v>1</v>
      </c>
      <c r="G20">
        <v>1080</v>
      </c>
      <c r="H20">
        <v>1</v>
      </c>
      <c r="I20" t="s">
        <v>152</v>
      </c>
      <c r="J20" t="s">
        <v>3</v>
      </c>
      <c r="K20" t="s">
        <v>153</v>
      </c>
      <c r="L20">
        <v>1191</v>
      </c>
      <c r="N20">
        <v>1013</v>
      </c>
      <c r="O20" t="s">
        <v>154</v>
      </c>
      <c r="P20" t="s">
        <v>154</v>
      </c>
      <c r="Q20">
        <v>1</v>
      </c>
      <c r="W20">
        <v>0</v>
      </c>
      <c r="X20">
        <v>476480486</v>
      </c>
      <c r="Y20">
        <f>(AT20*1.1)</f>
        <v>4.9390000000000009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4.49</v>
      </c>
      <c r="AU20" t="s">
        <v>24</v>
      </c>
      <c r="AV20">
        <v>1</v>
      </c>
      <c r="AW20">
        <v>2</v>
      </c>
      <c r="AX20">
        <v>60257969</v>
      </c>
      <c r="AY20">
        <v>1</v>
      </c>
      <c r="AZ20">
        <v>0</v>
      </c>
      <c r="BA20">
        <v>23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U20">
        <f>ROUND(AT20*Source!I78*AH20*AL20,2)</f>
        <v>0</v>
      </c>
      <c r="CV20">
        <f>ROUND(Y20*Source!I78,9)</f>
        <v>2.4695</v>
      </c>
      <c r="CW20">
        <v>0</v>
      </c>
      <c r="CX20">
        <f>ROUND(Y20*Source!I78,9)</f>
        <v>2.4695</v>
      </c>
      <c r="CY20">
        <f>AD20</f>
        <v>0</v>
      </c>
      <c r="CZ20">
        <f>AH20</f>
        <v>0</v>
      </c>
      <c r="DA20">
        <f>AL20</f>
        <v>1</v>
      </c>
      <c r="DB20">
        <f>ROUND((ROUND(AT20*CZ20,2)*1.1),6)</f>
        <v>0</v>
      </c>
      <c r="DC20">
        <f>ROUND((ROUND(AT20*AG20,2)*1.1),6)</f>
        <v>0</v>
      </c>
      <c r="DD20" t="s">
        <v>3</v>
      </c>
      <c r="DE20" t="s">
        <v>3</v>
      </c>
      <c r="DF20">
        <f t="shared" si="4"/>
        <v>0</v>
      </c>
      <c r="DG20">
        <f t="shared" si="1"/>
        <v>0</v>
      </c>
      <c r="DH20">
        <f t="shared" si="2"/>
        <v>0</v>
      </c>
      <c r="DI20">
        <f t="shared" si="3"/>
        <v>0</v>
      </c>
      <c r="DJ20">
        <f>DI20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ROW(Source!A78)</f>
        <v>78</v>
      </c>
      <c r="B21">
        <v>60257733</v>
      </c>
      <c r="C21">
        <v>60257924</v>
      </c>
      <c r="D21">
        <v>59070669</v>
      </c>
      <c r="E21">
        <v>1</v>
      </c>
      <c r="F21">
        <v>1</v>
      </c>
      <c r="G21">
        <v>1080</v>
      </c>
      <c r="H21">
        <v>2</v>
      </c>
      <c r="I21" t="s">
        <v>155</v>
      </c>
      <c r="J21" t="s">
        <v>156</v>
      </c>
      <c r="K21" t="s">
        <v>157</v>
      </c>
      <c r="L21">
        <v>1368</v>
      </c>
      <c r="N21">
        <v>1011</v>
      </c>
      <c r="O21" t="s">
        <v>158</v>
      </c>
      <c r="P21" t="s">
        <v>158</v>
      </c>
      <c r="Q21">
        <v>1</v>
      </c>
      <c r="W21">
        <v>0</v>
      </c>
      <c r="X21">
        <v>-1985943078</v>
      </c>
      <c r="Y21">
        <f>(AT21*1.1)</f>
        <v>1.1000000000000001E-2</v>
      </c>
      <c r="AA21">
        <v>0</v>
      </c>
      <c r="AB21">
        <v>1418.19</v>
      </c>
      <c r="AC21">
        <v>726.59</v>
      </c>
      <c r="AD21">
        <v>0</v>
      </c>
      <c r="AE21">
        <v>0</v>
      </c>
      <c r="AF21">
        <v>83.1</v>
      </c>
      <c r="AG21">
        <v>12.62</v>
      </c>
      <c r="AH21">
        <v>0</v>
      </c>
      <c r="AI21">
        <v>1</v>
      </c>
      <c r="AJ21">
        <v>16.3</v>
      </c>
      <c r="AK21">
        <v>54.99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0.01</v>
      </c>
      <c r="AU21" t="s">
        <v>24</v>
      </c>
      <c r="AV21">
        <v>0</v>
      </c>
      <c r="AW21">
        <v>2</v>
      </c>
      <c r="AX21">
        <v>60257970</v>
      </c>
      <c r="AY21">
        <v>1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f>ROUND(Y21*Source!I78*DO21,9)</f>
        <v>6.9409999999999999E-2</v>
      </c>
      <c r="CX21">
        <f>ROUND(Y21*Source!I78,9)</f>
        <v>5.4999999999999997E-3</v>
      </c>
      <c r="CY21">
        <f>AB21</f>
        <v>1418.19</v>
      </c>
      <c r="CZ21">
        <f>AF21</f>
        <v>83.1</v>
      </c>
      <c r="DA21">
        <f>AJ21</f>
        <v>16.3</v>
      </c>
      <c r="DB21">
        <f>ROUND((ROUND(AT21*CZ21,2)*1.1),6)</f>
        <v>0.91300000000000003</v>
      </c>
      <c r="DC21">
        <f>ROUND((ROUND(AT21*AG21,2)*1.1),6)</f>
        <v>0.14299999999999999</v>
      </c>
      <c r="DD21" t="s">
        <v>3</v>
      </c>
      <c r="DE21" t="s">
        <v>3</v>
      </c>
      <c r="DF21">
        <f t="shared" si="4"/>
        <v>0</v>
      </c>
      <c r="DG21">
        <f>ROUND(ROUND(AF21*AJ21,2)*CX21,2)</f>
        <v>7.45</v>
      </c>
      <c r="DH21">
        <f>ROUND(ROUND(AG21*AK21,2)*CX21,2)</f>
        <v>3.82</v>
      </c>
      <c r="DI21">
        <f t="shared" si="3"/>
        <v>0</v>
      </c>
      <c r="DJ21">
        <f>DG21</f>
        <v>7.45</v>
      </c>
      <c r="DK21">
        <v>0</v>
      </c>
      <c r="DL21" t="s">
        <v>159</v>
      </c>
      <c r="DM21">
        <v>0</v>
      </c>
      <c r="DN21" t="s">
        <v>154</v>
      </c>
      <c r="DO21">
        <v>12.62</v>
      </c>
    </row>
    <row r="22" spans="1:119" x14ac:dyDescent="0.2">
      <c r="A22">
        <f>ROW(Source!A78)</f>
        <v>78</v>
      </c>
      <c r="B22">
        <v>60257733</v>
      </c>
      <c r="C22">
        <v>60257924</v>
      </c>
      <c r="D22">
        <v>59069905</v>
      </c>
      <c r="E22">
        <v>1</v>
      </c>
      <c r="F22">
        <v>1</v>
      </c>
      <c r="G22">
        <v>1080</v>
      </c>
      <c r="H22">
        <v>2</v>
      </c>
      <c r="I22" t="s">
        <v>160</v>
      </c>
      <c r="J22" t="s">
        <v>161</v>
      </c>
      <c r="K22" t="s">
        <v>162</v>
      </c>
      <c r="L22">
        <v>1368</v>
      </c>
      <c r="N22">
        <v>1011</v>
      </c>
      <c r="O22" t="s">
        <v>158</v>
      </c>
      <c r="P22" t="s">
        <v>158</v>
      </c>
      <c r="Q22">
        <v>1</v>
      </c>
      <c r="W22">
        <v>0</v>
      </c>
      <c r="X22">
        <v>1087580389</v>
      </c>
      <c r="Y22">
        <f>(AT22*1.1)</f>
        <v>1.1000000000000001E-2</v>
      </c>
      <c r="AA22">
        <v>0</v>
      </c>
      <c r="AB22">
        <v>2579.38</v>
      </c>
      <c r="AC22">
        <v>974.74</v>
      </c>
      <c r="AD22">
        <v>0</v>
      </c>
      <c r="AE22">
        <v>0</v>
      </c>
      <c r="AF22">
        <v>179.17</v>
      </c>
      <c r="AG22">
        <v>16.93</v>
      </c>
      <c r="AH22">
        <v>0</v>
      </c>
      <c r="AI22">
        <v>1</v>
      </c>
      <c r="AJ22">
        <v>13.75</v>
      </c>
      <c r="AK22">
        <v>54.99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0.01</v>
      </c>
      <c r="AU22" t="s">
        <v>24</v>
      </c>
      <c r="AV22">
        <v>0</v>
      </c>
      <c r="AW22">
        <v>2</v>
      </c>
      <c r="AX22">
        <v>60257971</v>
      </c>
      <c r="AY22">
        <v>1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ROUND(Y22*Source!I78*DO22,9)</f>
        <v>9.3115000000000003E-2</v>
      </c>
      <c r="CX22">
        <f>ROUND(Y22*Source!I78,9)</f>
        <v>5.4999999999999997E-3</v>
      </c>
      <c r="CY22">
        <f>AB22</f>
        <v>2579.38</v>
      </c>
      <c r="CZ22">
        <f>AF22</f>
        <v>179.17</v>
      </c>
      <c r="DA22">
        <f>AJ22</f>
        <v>13.75</v>
      </c>
      <c r="DB22">
        <f>ROUND((ROUND(AT22*CZ22,2)*1.1),6)</f>
        <v>1.9690000000000001</v>
      </c>
      <c r="DC22">
        <f>ROUND((ROUND(AT22*AG22,2)*1.1),6)</f>
        <v>0.187</v>
      </c>
      <c r="DD22" t="s">
        <v>3</v>
      </c>
      <c r="DE22" t="s">
        <v>3</v>
      </c>
      <c r="DF22">
        <f t="shared" si="4"/>
        <v>0</v>
      </c>
      <c r="DG22">
        <f>ROUND(ROUND(AF22*AJ22,2)*CX22,2)</f>
        <v>13.55</v>
      </c>
      <c r="DH22">
        <f>ROUND(ROUND(AG22*AK22,2)*CX22,2)</f>
        <v>5.12</v>
      </c>
      <c r="DI22">
        <f t="shared" si="3"/>
        <v>0</v>
      </c>
      <c r="DJ22">
        <f>DG22</f>
        <v>13.55</v>
      </c>
      <c r="DK22">
        <v>0</v>
      </c>
      <c r="DL22" t="s">
        <v>159</v>
      </c>
      <c r="DM22">
        <v>0</v>
      </c>
      <c r="DN22" t="s">
        <v>154</v>
      </c>
      <c r="DO22">
        <v>16.93</v>
      </c>
    </row>
    <row r="23" spans="1:119" x14ac:dyDescent="0.2">
      <c r="A23">
        <f>ROW(Source!A78)</f>
        <v>78</v>
      </c>
      <c r="B23">
        <v>60257733</v>
      </c>
      <c r="C23">
        <v>60257924</v>
      </c>
      <c r="D23">
        <v>59039702</v>
      </c>
      <c r="E23">
        <v>1</v>
      </c>
      <c r="F23">
        <v>1</v>
      </c>
      <c r="G23">
        <v>1080</v>
      </c>
      <c r="H23">
        <v>3</v>
      </c>
      <c r="I23" t="s">
        <v>163</v>
      </c>
      <c r="J23" t="s">
        <v>164</v>
      </c>
      <c r="K23" t="s">
        <v>165</v>
      </c>
      <c r="L23">
        <v>1346</v>
      </c>
      <c r="N23">
        <v>1009</v>
      </c>
      <c r="O23" t="s">
        <v>166</v>
      </c>
      <c r="P23" t="s">
        <v>166</v>
      </c>
      <c r="Q23">
        <v>1</v>
      </c>
      <c r="W23">
        <v>0</v>
      </c>
      <c r="X23">
        <v>1770006655</v>
      </c>
      <c r="Y23">
        <f t="shared" ref="Y23:Y28" si="12">(AT23*1)</f>
        <v>0.43</v>
      </c>
      <c r="AA23">
        <v>29.73</v>
      </c>
      <c r="AB23">
        <v>0</v>
      </c>
      <c r="AC23">
        <v>0</v>
      </c>
      <c r="AD23">
        <v>0</v>
      </c>
      <c r="AE23">
        <v>1.38</v>
      </c>
      <c r="AF23">
        <v>0</v>
      </c>
      <c r="AG23">
        <v>0</v>
      </c>
      <c r="AH23">
        <v>0</v>
      </c>
      <c r="AI23">
        <v>21.54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0.43</v>
      </c>
      <c r="AU23" t="s">
        <v>23</v>
      </c>
      <c r="AV23">
        <v>0</v>
      </c>
      <c r="AW23">
        <v>2</v>
      </c>
      <c r="AX23">
        <v>60257972</v>
      </c>
      <c r="AY23">
        <v>1</v>
      </c>
      <c r="AZ23">
        <v>0</v>
      </c>
      <c r="BA23">
        <v>26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ROUND(Y23*Source!I78,9)</f>
        <v>0.215</v>
      </c>
      <c r="CY23">
        <f t="shared" ref="CY23:CY28" si="13">AA23</f>
        <v>29.73</v>
      </c>
      <c r="CZ23">
        <f t="shared" ref="CZ23:CZ28" si="14">AE23</f>
        <v>1.38</v>
      </c>
      <c r="DA23">
        <f t="shared" ref="DA23:DA28" si="15">AI23</f>
        <v>21.54</v>
      </c>
      <c r="DB23">
        <f t="shared" ref="DB23:DB28" si="16">ROUND((ROUND(AT23*CZ23,2)*1),6)</f>
        <v>0.59</v>
      </c>
      <c r="DC23">
        <f t="shared" ref="DC23:DC28" si="17">ROUND((ROUND(AT23*AG23,2)*1),6)</f>
        <v>0</v>
      </c>
      <c r="DD23" t="s">
        <v>3</v>
      </c>
      <c r="DE23" t="s">
        <v>3</v>
      </c>
      <c r="DF23">
        <f t="shared" ref="DF23:DF28" si="18">ROUND(ROUND(AE23*AI23,2)*CX23,2)</f>
        <v>6.39</v>
      </c>
      <c r="DG23">
        <f t="shared" ref="DG23:DG37" si="19">ROUND(ROUND(AF23,2)*CX23,2)</f>
        <v>0</v>
      </c>
      <c r="DH23">
        <f t="shared" ref="DH23:DH37" si="20">ROUND(ROUND(AG23,2)*CX23,2)</f>
        <v>0</v>
      </c>
      <c r="DI23">
        <f t="shared" si="3"/>
        <v>0</v>
      </c>
      <c r="DJ23">
        <f t="shared" ref="DJ23:DJ28" si="21">DF23</f>
        <v>6.39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ROW(Source!A78)</f>
        <v>78</v>
      </c>
      <c r="B24">
        <v>60257733</v>
      </c>
      <c r="C24">
        <v>60257924</v>
      </c>
      <c r="D24">
        <v>59040093</v>
      </c>
      <c r="E24">
        <v>1</v>
      </c>
      <c r="F24">
        <v>1</v>
      </c>
      <c r="G24">
        <v>1080</v>
      </c>
      <c r="H24">
        <v>3</v>
      </c>
      <c r="I24" t="s">
        <v>167</v>
      </c>
      <c r="J24" t="s">
        <v>168</v>
      </c>
      <c r="K24" t="s">
        <v>169</v>
      </c>
      <c r="L24">
        <v>1346</v>
      </c>
      <c r="N24">
        <v>1009</v>
      </c>
      <c r="O24" t="s">
        <v>166</v>
      </c>
      <c r="P24" t="s">
        <v>166</v>
      </c>
      <c r="Q24">
        <v>1</v>
      </c>
      <c r="W24">
        <v>0</v>
      </c>
      <c r="X24">
        <v>-878159893</v>
      </c>
      <c r="Y24">
        <f t="shared" si="12"/>
        <v>0.16</v>
      </c>
      <c r="AA24">
        <v>286.31</v>
      </c>
      <c r="AB24">
        <v>0</v>
      </c>
      <c r="AC24">
        <v>0</v>
      </c>
      <c r="AD24">
        <v>0</v>
      </c>
      <c r="AE24">
        <v>159.06</v>
      </c>
      <c r="AF24">
        <v>0</v>
      </c>
      <c r="AG24">
        <v>0</v>
      </c>
      <c r="AH24">
        <v>0</v>
      </c>
      <c r="AI24">
        <v>1.8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0.16</v>
      </c>
      <c r="AU24" t="s">
        <v>23</v>
      </c>
      <c r="AV24">
        <v>0</v>
      </c>
      <c r="AW24">
        <v>2</v>
      </c>
      <c r="AX24">
        <v>60257973</v>
      </c>
      <c r="AY24">
        <v>1</v>
      </c>
      <c r="AZ24">
        <v>0</v>
      </c>
      <c r="BA24">
        <v>27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ROUND(Y24*Source!I78,9)</f>
        <v>0.08</v>
      </c>
      <c r="CY24">
        <f t="shared" si="13"/>
        <v>286.31</v>
      </c>
      <c r="CZ24">
        <f t="shared" si="14"/>
        <v>159.06</v>
      </c>
      <c r="DA24">
        <f t="shared" si="15"/>
        <v>1.8</v>
      </c>
      <c r="DB24">
        <f t="shared" si="16"/>
        <v>25.45</v>
      </c>
      <c r="DC24">
        <f t="shared" si="17"/>
        <v>0</v>
      </c>
      <c r="DD24" t="s">
        <v>3</v>
      </c>
      <c r="DE24" t="s">
        <v>3</v>
      </c>
      <c r="DF24">
        <f t="shared" si="18"/>
        <v>22.9</v>
      </c>
      <c r="DG24">
        <f t="shared" si="19"/>
        <v>0</v>
      </c>
      <c r="DH24">
        <f t="shared" si="20"/>
        <v>0</v>
      </c>
      <c r="DI24">
        <f t="shared" si="3"/>
        <v>0</v>
      </c>
      <c r="DJ24">
        <f t="shared" si="21"/>
        <v>22.9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ROW(Source!A78)</f>
        <v>78</v>
      </c>
      <c r="B25">
        <v>60257733</v>
      </c>
      <c r="C25">
        <v>60257924</v>
      </c>
      <c r="D25">
        <v>59063036</v>
      </c>
      <c r="E25">
        <v>1</v>
      </c>
      <c r="F25">
        <v>1</v>
      </c>
      <c r="G25">
        <v>1080</v>
      </c>
      <c r="H25">
        <v>3</v>
      </c>
      <c r="I25" t="s">
        <v>170</v>
      </c>
      <c r="J25" t="s">
        <v>171</v>
      </c>
      <c r="K25" t="s">
        <v>172</v>
      </c>
      <c r="L25">
        <v>1355</v>
      </c>
      <c r="N25">
        <v>1010</v>
      </c>
      <c r="O25" t="s">
        <v>173</v>
      </c>
      <c r="P25" t="s">
        <v>173</v>
      </c>
      <c r="Q25">
        <v>100</v>
      </c>
      <c r="W25">
        <v>0</v>
      </c>
      <c r="X25">
        <v>-456781043</v>
      </c>
      <c r="Y25">
        <f t="shared" si="12"/>
        <v>0.05</v>
      </c>
      <c r="AA25">
        <v>1102.5</v>
      </c>
      <c r="AB25">
        <v>0</v>
      </c>
      <c r="AC25">
        <v>0</v>
      </c>
      <c r="AD25">
        <v>0</v>
      </c>
      <c r="AE25">
        <v>68.819999999999993</v>
      </c>
      <c r="AF25">
        <v>0</v>
      </c>
      <c r="AG25">
        <v>0</v>
      </c>
      <c r="AH25">
        <v>0</v>
      </c>
      <c r="AI25">
        <v>16.02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0.05</v>
      </c>
      <c r="AU25" t="s">
        <v>23</v>
      </c>
      <c r="AV25">
        <v>0</v>
      </c>
      <c r="AW25">
        <v>2</v>
      </c>
      <c r="AX25">
        <v>60257974</v>
      </c>
      <c r="AY25">
        <v>1</v>
      </c>
      <c r="AZ25">
        <v>0</v>
      </c>
      <c r="BA25">
        <v>28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ROUND(Y25*Source!I78,9)</f>
        <v>2.5000000000000001E-2</v>
      </c>
      <c r="CY25">
        <f t="shared" si="13"/>
        <v>1102.5</v>
      </c>
      <c r="CZ25">
        <f t="shared" si="14"/>
        <v>68.819999999999993</v>
      </c>
      <c r="DA25">
        <f t="shared" si="15"/>
        <v>16.02</v>
      </c>
      <c r="DB25">
        <f t="shared" si="16"/>
        <v>3.44</v>
      </c>
      <c r="DC25">
        <f t="shared" si="17"/>
        <v>0</v>
      </c>
      <c r="DD25" t="s">
        <v>3</v>
      </c>
      <c r="DE25" t="s">
        <v>3</v>
      </c>
      <c r="DF25">
        <f t="shared" si="18"/>
        <v>27.56</v>
      </c>
      <c r="DG25">
        <f t="shared" si="19"/>
        <v>0</v>
      </c>
      <c r="DH25">
        <f t="shared" si="20"/>
        <v>0</v>
      </c>
      <c r="DI25">
        <f t="shared" si="3"/>
        <v>0</v>
      </c>
      <c r="DJ25">
        <f t="shared" si="21"/>
        <v>27.56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ROW(Source!A78)</f>
        <v>78</v>
      </c>
      <c r="B26">
        <v>60257733</v>
      </c>
      <c r="C26">
        <v>60257924</v>
      </c>
      <c r="D26">
        <v>59063047</v>
      </c>
      <c r="E26">
        <v>1</v>
      </c>
      <c r="F26">
        <v>1</v>
      </c>
      <c r="G26">
        <v>1080</v>
      </c>
      <c r="H26">
        <v>3</v>
      </c>
      <c r="I26" t="s">
        <v>174</v>
      </c>
      <c r="J26" t="s">
        <v>175</v>
      </c>
      <c r="K26" t="s">
        <v>176</v>
      </c>
      <c r="L26">
        <v>1356</v>
      </c>
      <c r="N26">
        <v>1010</v>
      </c>
      <c r="O26" t="s">
        <v>177</v>
      </c>
      <c r="P26" t="s">
        <v>177</v>
      </c>
      <c r="Q26">
        <v>1000</v>
      </c>
      <c r="W26">
        <v>0</v>
      </c>
      <c r="X26">
        <v>1726193810</v>
      </c>
      <c r="Y26">
        <f t="shared" si="12"/>
        <v>1.2200000000000001E-2</v>
      </c>
      <c r="AA26">
        <v>1318.65</v>
      </c>
      <c r="AB26">
        <v>0</v>
      </c>
      <c r="AC26">
        <v>0</v>
      </c>
      <c r="AD26">
        <v>0</v>
      </c>
      <c r="AE26">
        <v>183.4</v>
      </c>
      <c r="AF26">
        <v>0</v>
      </c>
      <c r="AG26">
        <v>0</v>
      </c>
      <c r="AH26">
        <v>0</v>
      </c>
      <c r="AI26">
        <v>7.19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1.2200000000000001E-2</v>
      </c>
      <c r="AU26" t="s">
        <v>23</v>
      </c>
      <c r="AV26">
        <v>0</v>
      </c>
      <c r="AW26">
        <v>2</v>
      </c>
      <c r="AX26">
        <v>60257975</v>
      </c>
      <c r="AY26">
        <v>1</v>
      </c>
      <c r="AZ26">
        <v>0</v>
      </c>
      <c r="BA26">
        <v>29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ROUND(Y26*Source!I78,9)</f>
        <v>6.1000000000000004E-3</v>
      </c>
      <c r="CY26">
        <f t="shared" si="13"/>
        <v>1318.65</v>
      </c>
      <c r="CZ26">
        <f t="shared" si="14"/>
        <v>183.4</v>
      </c>
      <c r="DA26">
        <f t="shared" si="15"/>
        <v>7.19</v>
      </c>
      <c r="DB26">
        <f t="shared" si="16"/>
        <v>2.2400000000000002</v>
      </c>
      <c r="DC26">
        <f t="shared" si="17"/>
        <v>0</v>
      </c>
      <c r="DD26" t="s">
        <v>3</v>
      </c>
      <c r="DE26" t="s">
        <v>3</v>
      </c>
      <c r="DF26">
        <f t="shared" si="18"/>
        <v>8.0399999999999991</v>
      </c>
      <c r="DG26">
        <f t="shared" si="19"/>
        <v>0</v>
      </c>
      <c r="DH26">
        <f t="shared" si="20"/>
        <v>0</v>
      </c>
      <c r="DI26">
        <f t="shared" si="3"/>
        <v>0</v>
      </c>
      <c r="DJ26">
        <f t="shared" si="21"/>
        <v>8.0399999999999991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ROW(Source!A78)</f>
        <v>78</v>
      </c>
      <c r="B27">
        <v>60257733</v>
      </c>
      <c r="C27">
        <v>60257924</v>
      </c>
      <c r="D27">
        <v>59062373</v>
      </c>
      <c r="E27">
        <v>1</v>
      </c>
      <c r="F27">
        <v>1</v>
      </c>
      <c r="G27">
        <v>1080</v>
      </c>
      <c r="H27">
        <v>3</v>
      </c>
      <c r="I27" t="s">
        <v>178</v>
      </c>
      <c r="J27" t="s">
        <v>179</v>
      </c>
      <c r="K27" t="s">
        <v>180</v>
      </c>
      <c r="L27">
        <v>1354</v>
      </c>
      <c r="N27">
        <v>1010</v>
      </c>
      <c r="O27" t="s">
        <v>45</v>
      </c>
      <c r="P27" t="s">
        <v>45</v>
      </c>
      <c r="Q27">
        <v>1</v>
      </c>
      <c r="W27">
        <v>0</v>
      </c>
      <c r="X27">
        <v>145081611</v>
      </c>
      <c r="Y27">
        <f t="shared" si="12"/>
        <v>3.1</v>
      </c>
      <c r="AA27">
        <v>25.47</v>
      </c>
      <c r="AB27">
        <v>0</v>
      </c>
      <c r="AC27">
        <v>0</v>
      </c>
      <c r="AD27">
        <v>0</v>
      </c>
      <c r="AE27">
        <v>6.94</v>
      </c>
      <c r="AF27">
        <v>0</v>
      </c>
      <c r="AG27">
        <v>0</v>
      </c>
      <c r="AH27">
        <v>0</v>
      </c>
      <c r="AI27">
        <v>3.67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3.1</v>
      </c>
      <c r="AU27" t="s">
        <v>23</v>
      </c>
      <c r="AV27">
        <v>0</v>
      </c>
      <c r="AW27">
        <v>2</v>
      </c>
      <c r="AX27">
        <v>60257976</v>
      </c>
      <c r="AY27">
        <v>1</v>
      </c>
      <c r="AZ27">
        <v>0</v>
      </c>
      <c r="BA27">
        <v>30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ROUND(Y27*Source!I78,9)</f>
        <v>1.55</v>
      </c>
      <c r="CY27">
        <f t="shared" si="13"/>
        <v>25.47</v>
      </c>
      <c r="CZ27">
        <f t="shared" si="14"/>
        <v>6.94</v>
      </c>
      <c r="DA27">
        <f t="shared" si="15"/>
        <v>3.67</v>
      </c>
      <c r="DB27">
        <f t="shared" si="16"/>
        <v>21.51</v>
      </c>
      <c r="DC27">
        <f t="shared" si="17"/>
        <v>0</v>
      </c>
      <c r="DD27" t="s">
        <v>3</v>
      </c>
      <c r="DE27" t="s">
        <v>3</v>
      </c>
      <c r="DF27">
        <f t="shared" si="18"/>
        <v>39.479999999999997</v>
      </c>
      <c r="DG27">
        <f t="shared" si="19"/>
        <v>0</v>
      </c>
      <c r="DH27">
        <f t="shared" si="20"/>
        <v>0</v>
      </c>
      <c r="DI27">
        <f t="shared" si="3"/>
        <v>0</v>
      </c>
      <c r="DJ27">
        <f t="shared" si="21"/>
        <v>39.479999999999997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ROW(Source!A78)</f>
        <v>78</v>
      </c>
      <c r="B28">
        <v>60257733</v>
      </c>
      <c r="C28">
        <v>60257924</v>
      </c>
      <c r="D28">
        <v>59062380</v>
      </c>
      <c r="E28">
        <v>1</v>
      </c>
      <c r="F28">
        <v>1</v>
      </c>
      <c r="G28">
        <v>1080</v>
      </c>
      <c r="H28">
        <v>3</v>
      </c>
      <c r="I28" t="s">
        <v>181</v>
      </c>
      <c r="J28" t="s">
        <v>182</v>
      </c>
      <c r="K28" t="s">
        <v>183</v>
      </c>
      <c r="L28">
        <v>1356</v>
      </c>
      <c r="N28">
        <v>1010</v>
      </c>
      <c r="O28" t="s">
        <v>177</v>
      </c>
      <c r="P28" t="s">
        <v>177</v>
      </c>
      <c r="Q28">
        <v>1000</v>
      </c>
      <c r="W28">
        <v>0</v>
      </c>
      <c r="X28">
        <v>-1715273674</v>
      </c>
      <c r="Y28">
        <f t="shared" si="12"/>
        <v>8.0000000000000002E-3</v>
      </c>
      <c r="AA28">
        <v>786.04</v>
      </c>
      <c r="AB28">
        <v>0</v>
      </c>
      <c r="AC28">
        <v>0</v>
      </c>
      <c r="AD28">
        <v>0</v>
      </c>
      <c r="AE28">
        <v>614.09</v>
      </c>
      <c r="AF28">
        <v>0</v>
      </c>
      <c r="AG28">
        <v>0</v>
      </c>
      <c r="AH28">
        <v>0</v>
      </c>
      <c r="AI28">
        <v>1.28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8.0000000000000002E-3</v>
      </c>
      <c r="AU28" t="s">
        <v>23</v>
      </c>
      <c r="AV28">
        <v>0</v>
      </c>
      <c r="AW28">
        <v>2</v>
      </c>
      <c r="AX28">
        <v>60257977</v>
      </c>
      <c r="AY28">
        <v>1</v>
      </c>
      <c r="AZ28">
        <v>0</v>
      </c>
      <c r="BA28">
        <v>31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ROUND(Y28*Source!I78,9)</f>
        <v>4.0000000000000001E-3</v>
      </c>
      <c r="CY28">
        <f t="shared" si="13"/>
        <v>786.04</v>
      </c>
      <c r="CZ28">
        <f t="shared" si="14"/>
        <v>614.09</v>
      </c>
      <c r="DA28">
        <f t="shared" si="15"/>
        <v>1.28</v>
      </c>
      <c r="DB28">
        <f t="shared" si="16"/>
        <v>4.91</v>
      </c>
      <c r="DC28">
        <f t="shared" si="17"/>
        <v>0</v>
      </c>
      <c r="DD28" t="s">
        <v>3</v>
      </c>
      <c r="DE28" t="s">
        <v>3</v>
      </c>
      <c r="DF28">
        <f t="shared" si="18"/>
        <v>3.14</v>
      </c>
      <c r="DG28">
        <f t="shared" si="19"/>
        <v>0</v>
      </c>
      <c r="DH28">
        <f t="shared" si="20"/>
        <v>0</v>
      </c>
      <c r="DI28">
        <f t="shared" si="3"/>
        <v>0</v>
      </c>
      <c r="DJ28">
        <f t="shared" si="21"/>
        <v>3.14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ROW(Source!A79)</f>
        <v>79</v>
      </c>
      <c r="B29">
        <v>60257736</v>
      </c>
      <c r="C29">
        <v>60257944</v>
      </c>
      <c r="D29">
        <v>58999254</v>
      </c>
      <c r="E29">
        <v>1080</v>
      </c>
      <c r="F29">
        <v>1</v>
      </c>
      <c r="G29">
        <v>1080</v>
      </c>
      <c r="H29">
        <v>1</v>
      </c>
      <c r="I29" t="s">
        <v>152</v>
      </c>
      <c r="J29" t="s">
        <v>3</v>
      </c>
      <c r="K29" t="s">
        <v>153</v>
      </c>
      <c r="L29">
        <v>1191</v>
      </c>
      <c r="N29">
        <v>1013</v>
      </c>
      <c r="O29" t="s">
        <v>154</v>
      </c>
      <c r="P29" t="s">
        <v>154</v>
      </c>
      <c r="Q29">
        <v>1</v>
      </c>
      <c r="W29">
        <v>0</v>
      </c>
      <c r="X29">
        <v>476480486</v>
      </c>
      <c r="Y29">
        <f>(AT29*1.1)</f>
        <v>2.0130000000000003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1.83</v>
      </c>
      <c r="AU29" t="s">
        <v>24</v>
      </c>
      <c r="AV29">
        <v>1</v>
      </c>
      <c r="AW29">
        <v>2</v>
      </c>
      <c r="AX29">
        <v>60257979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ROUND(AT29*Source!I79*AH29*AL29,2)</f>
        <v>0</v>
      </c>
      <c r="CV29">
        <f>ROUND(Y29*Source!I79,9)</f>
        <v>1.0065</v>
      </c>
      <c r="CW29">
        <v>0</v>
      </c>
      <c r="CX29">
        <f>ROUND(Y29*Source!I79,9)</f>
        <v>1.0065</v>
      </c>
      <c r="CY29">
        <f>AD29</f>
        <v>0</v>
      </c>
      <c r="CZ29">
        <f>AH29</f>
        <v>0</v>
      </c>
      <c r="DA29">
        <f>AL29</f>
        <v>1</v>
      </c>
      <c r="DB29">
        <f>ROUND((ROUND(AT29*CZ29,2)*1.1),6)</f>
        <v>0</v>
      </c>
      <c r="DC29">
        <f>ROUND((ROUND(AT29*AG29,2)*1.1),6)</f>
        <v>0</v>
      </c>
      <c r="DD29" t="s">
        <v>3</v>
      </c>
      <c r="DE29" t="s">
        <v>3</v>
      </c>
      <c r="DF29">
        <f t="shared" ref="DF29:DF39" si="22">ROUND(ROUND(AE29,2)*CX29,2)</f>
        <v>0</v>
      </c>
      <c r="DG29">
        <f t="shared" si="19"/>
        <v>0</v>
      </c>
      <c r="DH29">
        <f t="shared" si="20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ROW(Source!A79)</f>
        <v>79</v>
      </c>
      <c r="B30">
        <v>60257736</v>
      </c>
      <c r="C30">
        <v>60257944</v>
      </c>
      <c r="D30">
        <v>59070669</v>
      </c>
      <c r="E30">
        <v>1</v>
      </c>
      <c r="F30">
        <v>1</v>
      </c>
      <c r="G30">
        <v>1080</v>
      </c>
      <c r="H30">
        <v>2</v>
      </c>
      <c r="I30" t="s">
        <v>155</v>
      </c>
      <c r="J30" t="s">
        <v>156</v>
      </c>
      <c r="K30" t="s">
        <v>157</v>
      </c>
      <c r="L30">
        <v>1368</v>
      </c>
      <c r="N30">
        <v>1011</v>
      </c>
      <c r="O30" t="s">
        <v>158</v>
      </c>
      <c r="P30" t="s">
        <v>158</v>
      </c>
      <c r="Q30">
        <v>1</v>
      </c>
      <c r="W30">
        <v>0</v>
      </c>
      <c r="X30">
        <v>-1985943078</v>
      </c>
      <c r="Y30">
        <f>(AT30*1.1)</f>
        <v>1.1000000000000001E-2</v>
      </c>
      <c r="AA30">
        <v>0</v>
      </c>
      <c r="AB30">
        <v>87.01</v>
      </c>
      <c r="AC30">
        <v>13.21</v>
      </c>
      <c r="AD30">
        <v>0</v>
      </c>
      <c r="AE30">
        <v>0</v>
      </c>
      <c r="AF30">
        <v>83.1</v>
      </c>
      <c r="AG30">
        <v>12.62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0.01</v>
      </c>
      <c r="AU30" t="s">
        <v>24</v>
      </c>
      <c r="AV30">
        <v>0</v>
      </c>
      <c r="AW30">
        <v>2</v>
      </c>
      <c r="AX30">
        <v>60257980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ROUND(Y30*Source!I79*DO30,9)</f>
        <v>6.9409999999999999E-2</v>
      </c>
      <c r="CX30">
        <f>ROUND(Y30*Source!I79,9)</f>
        <v>5.4999999999999997E-3</v>
      </c>
      <c r="CY30">
        <f>AB30</f>
        <v>87.01</v>
      </c>
      <c r="CZ30">
        <f>AF30</f>
        <v>83.1</v>
      </c>
      <c r="DA30">
        <f>AJ30</f>
        <v>1</v>
      </c>
      <c r="DB30">
        <f>ROUND((ROUND(AT30*CZ30,2)*1.1),6)</f>
        <v>0.91300000000000003</v>
      </c>
      <c r="DC30">
        <f>ROUND((ROUND(AT30*AG30,2)*1.1),6)</f>
        <v>0.14299999999999999</v>
      </c>
      <c r="DD30" t="s">
        <v>3</v>
      </c>
      <c r="DE30" t="s">
        <v>3</v>
      </c>
      <c r="DF30">
        <f t="shared" si="22"/>
        <v>0</v>
      </c>
      <c r="DG30">
        <f t="shared" si="19"/>
        <v>0.46</v>
      </c>
      <c r="DH30">
        <f t="shared" si="20"/>
        <v>7.0000000000000007E-2</v>
      </c>
      <c r="DI30">
        <f t="shared" si="3"/>
        <v>0</v>
      </c>
      <c r="DJ30">
        <f>DG30</f>
        <v>0.46</v>
      </c>
      <c r="DK30">
        <v>0</v>
      </c>
      <c r="DL30" t="s">
        <v>159</v>
      </c>
      <c r="DM30">
        <v>0</v>
      </c>
      <c r="DN30" t="s">
        <v>154</v>
      </c>
      <c r="DO30">
        <v>12.62</v>
      </c>
    </row>
    <row r="31" spans="1:119" x14ac:dyDescent="0.2">
      <c r="A31">
        <f>ROW(Source!A79)</f>
        <v>79</v>
      </c>
      <c r="B31">
        <v>60257736</v>
      </c>
      <c r="C31">
        <v>60257944</v>
      </c>
      <c r="D31">
        <v>59069905</v>
      </c>
      <c r="E31">
        <v>1</v>
      </c>
      <c r="F31">
        <v>1</v>
      </c>
      <c r="G31">
        <v>1080</v>
      </c>
      <c r="H31">
        <v>2</v>
      </c>
      <c r="I31" t="s">
        <v>160</v>
      </c>
      <c r="J31" t="s">
        <v>161</v>
      </c>
      <c r="K31" t="s">
        <v>162</v>
      </c>
      <c r="L31">
        <v>1368</v>
      </c>
      <c r="N31">
        <v>1011</v>
      </c>
      <c r="O31" t="s">
        <v>158</v>
      </c>
      <c r="P31" t="s">
        <v>158</v>
      </c>
      <c r="Q31">
        <v>1</v>
      </c>
      <c r="W31">
        <v>0</v>
      </c>
      <c r="X31">
        <v>1087580389</v>
      </c>
      <c r="Y31">
        <f>(AT31*1.1)</f>
        <v>1.1000000000000001E-2</v>
      </c>
      <c r="AA31">
        <v>0</v>
      </c>
      <c r="AB31">
        <v>187.59</v>
      </c>
      <c r="AC31">
        <v>17.73</v>
      </c>
      <c r="AD31">
        <v>0</v>
      </c>
      <c r="AE31">
        <v>0</v>
      </c>
      <c r="AF31">
        <v>179.17</v>
      </c>
      <c r="AG31">
        <v>16.93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0.01</v>
      </c>
      <c r="AU31" t="s">
        <v>24</v>
      </c>
      <c r="AV31">
        <v>0</v>
      </c>
      <c r="AW31">
        <v>2</v>
      </c>
      <c r="AX31">
        <v>60257981</v>
      </c>
      <c r="AY31">
        <v>1</v>
      </c>
      <c r="AZ31">
        <v>0</v>
      </c>
      <c r="BA31">
        <v>35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ROUND(Y31*Source!I79*DO31,9)</f>
        <v>9.3115000000000003E-2</v>
      </c>
      <c r="CX31">
        <f>ROUND(Y31*Source!I79,9)</f>
        <v>5.4999999999999997E-3</v>
      </c>
      <c r="CY31">
        <f>AB31</f>
        <v>187.59</v>
      </c>
      <c r="CZ31">
        <f>AF31</f>
        <v>179.17</v>
      </c>
      <c r="DA31">
        <f>AJ31</f>
        <v>1</v>
      </c>
      <c r="DB31">
        <f>ROUND((ROUND(AT31*CZ31,2)*1.1),6)</f>
        <v>1.9690000000000001</v>
      </c>
      <c r="DC31">
        <f>ROUND((ROUND(AT31*AG31,2)*1.1),6)</f>
        <v>0.187</v>
      </c>
      <c r="DD31" t="s">
        <v>3</v>
      </c>
      <c r="DE31" t="s">
        <v>3</v>
      </c>
      <c r="DF31">
        <f t="shared" si="22"/>
        <v>0</v>
      </c>
      <c r="DG31">
        <f t="shared" si="19"/>
        <v>0.99</v>
      </c>
      <c r="DH31">
        <f t="shared" si="20"/>
        <v>0.09</v>
      </c>
      <c r="DI31">
        <f t="shared" si="3"/>
        <v>0</v>
      </c>
      <c r="DJ31">
        <f>DG31</f>
        <v>0.99</v>
      </c>
      <c r="DK31">
        <v>0</v>
      </c>
      <c r="DL31" t="s">
        <v>159</v>
      </c>
      <c r="DM31">
        <v>0</v>
      </c>
      <c r="DN31" t="s">
        <v>154</v>
      </c>
      <c r="DO31">
        <v>16.93</v>
      </c>
    </row>
    <row r="32" spans="1:119" x14ac:dyDescent="0.2">
      <c r="A32">
        <f>ROW(Source!A79)</f>
        <v>79</v>
      </c>
      <c r="B32">
        <v>60257736</v>
      </c>
      <c r="C32">
        <v>60257944</v>
      </c>
      <c r="D32">
        <v>59039702</v>
      </c>
      <c r="E32">
        <v>1</v>
      </c>
      <c r="F32">
        <v>1</v>
      </c>
      <c r="G32">
        <v>1080</v>
      </c>
      <c r="H32">
        <v>3</v>
      </c>
      <c r="I32" t="s">
        <v>163</v>
      </c>
      <c r="J32" t="s">
        <v>164</v>
      </c>
      <c r="K32" t="s">
        <v>165</v>
      </c>
      <c r="L32">
        <v>1346</v>
      </c>
      <c r="N32">
        <v>1009</v>
      </c>
      <c r="O32" t="s">
        <v>166</v>
      </c>
      <c r="P32" t="s">
        <v>166</v>
      </c>
      <c r="Q32">
        <v>1</v>
      </c>
      <c r="W32">
        <v>0</v>
      </c>
      <c r="X32">
        <v>1770006655</v>
      </c>
      <c r="Y32">
        <f>(AT32*1)</f>
        <v>0.6</v>
      </c>
      <c r="AA32">
        <v>1.38</v>
      </c>
      <c r="AB32">
        <v>0</v>
      </c>
      <c r="AC32">
        <v>0</v>
      </c>
      <c r="AD32">
        <v>0</v>
      </c>
      <c r="AE32">
        <v>1.38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0.6</v>
      </c>
      <c r="AU32" t="s">
        <v>23</v>
      </c>
      <c r="AV32">
        <v>0</v>
      </c>
      <c r="AW32">
        <v>2</v>
      </c>
      <c r="AX32">
        <v>60257982</v>
      </c>
      <c r="AY32">
        <v>1</v>
      </c>
      <c r="AZ32">
        <v>0</v>
      </c>
      <c r="BA32">
        <v>36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ROUND(Y32*Source!I79,9)</f>
        <v>0.3</v>
      </c>
      <c r="CY32">
        <f>AA32</f>
        <v>1.38</v>
      </c>
      <c r="CZ32">
        <f>AE32</f>
        <v>1.38</v>
      </c>
      <c r="DA32">
        <f>AI32</f>
        <v>1</v>
      </c>
      <c r="DB32">
        <f>ROUND((ROUND(AT32*CZ32,2)*1),6)</f>
        <v>0.83</v>
      </c>
      <c r="DC32">
        <f>ROUND((ROUND(AT32*AG32,2)*1),6)</f>
        <v>0</v>
      </c>
      <c r="DD32" t="s">
        <v>3</v>
      </c>
      <c r="DE32" t="s">
        <v>3</v>
      </c>
      <c r="DF32">
        <f t="shared" si="22"/>
        <v>0.41</v>
      </c>
      <c r="DG32">
        <f t="shared" si="19"/>
        <v>0</v>
      </c>
      <c r="DH32">
        <f t="shared" si="20"/>
        <v>0</v>
      </c>
      <c r="DI32">
        <f t="shared" si="3"/>
        <v>0</v>
      </c>
      <c r="DJ32">
        <f>DF32</f>
        <v>0.41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ROW(Source!A79)</f>
        <v>79</v>
      </c>
      <c r="B33">
        <v>60257736</v>
      </c>
      <c r="C33">
        <v>60257944</v>
      </c>
      <c r="D33">
        <v>59040093</v>
      </c>
      <c r="E33">
        <v>1</v>
      </c>
      <c r="F33">
        <v>1</v>
      </c>
      <c r="G33">
        <v>1080</v>
      </c>
      <c r="H33">
        <v>3</v>
      </c>
      <c r="I33" t="s">
        <v>167</v>
      </c>
      <c r="J33" t="s">
        <v>168</v>
      </c>
      <c r="K33" t="s">
        <v>169</v>
      </c>
      <c r="L33">
        <v>1346</v>
      </c>
      <c r="N33">
        <v>1009</v>
      </c>
      <c r="O33" t="s">
        <v>166</v>
      </c>
      <c r="P33" t="s">
        <v>166</v>
      </c>
      <c r="Q33">
        <v>1</v>
      </c>
      <c r="W33">
        <v>0</v>
      </c>
      <c r="X33">
        <v>-878159893</v>
      </c>
      <c r="Y33">
        <f>(AT33*1)</f>
        <v>0.16</v>
      </c>
      <c r="AA33">
        <v>159.06</v>
      </c>
      <c r="AB33">
        <v>0</v>
      </c>
      <c r="AC33">
        <v>0</v>
      </c>
      <c r="AD33">
        <v>0</v>
      </c>
      <c r="AE33">
        <v>159.06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0.16</v>
      </c>
      <c r="AU33" t="s">
        <v>23</v>
      </c>
      <c r="AV33">
        <v>0</v>
      </c>
      <c r="AW33">
        <v>2</v>
      </c>
      <c r="AX33">
        <v>60257983</v>
      </c>
      <c r="AY33">
        <v>1</v>
      </c>
      <c r="AZ33">
        <v>0</v>
      </c>
      <c r="BA33">
        <v>37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ROUND(Y33*Source!I79,9)</f>
        <v>0.08</v>
      </c>
      <c r="CY33">
        <f>AA33</f>
        <v>159.06</v>
      </c>
      <c r="CZ33">
        <f>AE33</f>
        <v>159.06</v>
      </c>
      <c r="DA33">
        <f>AI33</f>
        <v>1</v>
      </c>
      <c r="DB33">
        <f>ROUND((ROUND(AT33*CZ33,2)*1),6)</f>
        <v>25.45</v>
      </c>
      <c r="DC33">
        <f>ROUND((ROUND(AT33*AG33,2)*1),6)</f>
        <v>0</v>
      </c>
      <c r="DD33" t="s">
        <v>3</v>
      </c>
      <c r="DE33" t="s">
        <v>3</v>
      </c>
      <c r="DF33">
        <f t="shared" si="22"/>
        <v>12.72</v>
      </c>
      <c r="DG33">
        <f t="shared" si="19"/>
        <v>0</v>
      </c>
      <c r="DH33">
        <f t="shared" si="20"/>
        <v>0</v>
      </c>
      <c r="DI33">
        <f t="shared" si="3"/>
        <v>0</v>
      </c>
      <c r="DJ33">
        <f>DF33</f>
        <v>12.72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ROW(Source!A79)</f>
        <v>79</v>
      </c>
      <c r="B34">
        <v>60257736</v>
      </c>
      <c r="C34">
        <v>60257944</v>
      </c>
      <c r="D34">
        <v>59063048</v>
      </c>
      <c r="E34">
        <v>1</v>
      </c>
      <c r="F34">
        <v>1</v>
      </c>
      <c r="G34">
        <v>1080</v>
      </c>
      <c r="H34">
        <v>3</v>
      </c>
      <c r="I34" t="s">
        <v>184</v>
      </c>
      <c r="J34" t="s">
        <v>185</v>
      </c>
      <c r="K34" t="s">
        <v>186</v>
      </c>
      <c r="L34">
        <v>1356</v>
      </c>
      <c r="N34">
        <v>1010</v>
      </c>
      <c r="O34" t="s">
        <v>177</v>
      </c>
      <c r="P34" t="s">
        <v>177</v>
      </c>
      <c r="Q34">
        <v>1000</v>
      </c>
      <c r="W34">
        <v>0</v>
      </c>
      <c r="X34">
        <v>-422648154</v>
      </c>
      <c r="Y34">
        <f>(AT34*1)</f>
        <v>1.2200000000000001E-2</v>
      </c>
      <c r="AA34">
        <v>226.86</v>
      </c>
      <c r="AB34">
        <v>0</v>
      </c>
      <c r="AC34">
        <v>0</v>
      </c>
      <c r="AD34">
        <v>0</v>
      </c>
      <c r="AE34">
        <v>226.86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1.2200000000000001E-2</v>
      </c>
      <c r="AU34" t="s">
        <v>23</v>
      </c>
      <c r="AV34">
        <v>0</v>
      </c>
      <c r="AW34">
        <v>2</v>
      </c>
      <c r="AX34">
        <v>60257984</v>
      </c>
      <c r="AY34">
        <v>1</v>
      </c>
      <c r="AZ34">
        <v>0</v>
      </c>
      <c r="BA34">
        <v>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ROUND(Y34*Source!I79,9)</f>
        <v>6.1000000000000004E-3</v>
      </c>
      <c r="CY34">
        <f>AA34</f>
        <v>226.86</v>
      </c>
      <c r="CZ34">
        <f>AE34</f>
        <v>226.86</v>
      </c>
      <c r="DA34">
        <f>AI34</f>
        <v>1</v>
      </c>
      <c r="DB34">
        <f>ROUND((ROUND(AT34*CZ34,2)*1),6)</f>
        <v>2.77</v>
      </c>
      <c r="DC34">
        <f>ROUND((ROUND(AT34*AG34,2)*1),6)</f>
        <v>0</v>
      </c>
      <c r="DD34" t="s">
        <v>3</v>
      </c>
      <c r="DE34" t="s">
        <v>3</v>
      </c>
      <c r="DF34">
        <f t="shared" si="22"/>
        <v>1.38</v>
      </c>
      <c r="DG34">
        <f t="shared" si="19"/>
        <v>0</v>
      </c>
      <c r="DH34">
        <f t="shared" si="20"/>
        <v>0</v>
      </c>
      <c r="DI34">
        <f t="shared" si="3"/>
        <v>0</v>
      </c>
      <c r="DJ34">
        <f>DF34</f>
        <v>1.38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ROW(Source!A79)</f>
        <v>79</v>
      </c>
      <c r="B35">
        <v>60257736</v>
      </c>
      <c r="C35">
        <v>60257944</v>
      </c>
      <c r="D35">
        <v>59062373</v>
      </c>
      <c r="E35">
        <v>1</v>
      </c>
      <c r="F35">
        <v>1</v>
      </c>
      <c r="G35">
        <v>1080</v>
      </c>
      <c r="H35">
        <v>3</v>
      </c>
      <c r="I35" t="s">
        <v>178</v>
      </c>
      <c r="J35" t="s">
        <v>179</v>
      </c>
      <c r="K35" t="s">
        <v>180</v>
      </c>
      <c r="L35">
        <v>1354</v>
      </c>
      <c r="N35">
        <v>1010</v>
      </c>
      <c r="O35" t="s">
        <v>45</v>
      </c>
      <c r="P35" t="s">
        <v>45</v>
      </c>
      <c r="Q35">
        <v>1</v>
      </c>
      <c r="W35">
        <v>0</v>
      </c>
      <c r="X35">
        <v>145081611</v>
      </c>
      <c r="Y35">
        <f>(AT35*1)</f>
        <v>3.1</v>
      </c>
      <c r="AA35">
        <v>6.94</v>
      </c>
      <c r="AB35">
        <v>0</v>
      </c>
      <c r="AC35">
        <v>0</v>
      </c>
      <c r="AD35">
        <v>0</v>
      </c>
      <c r="AE35">
        <v>6.94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3.1</v>
      </c>
      <c r="AU35" t="s">
        <v>23</v>
      </c>
      <c r="AV35">
        <v>0</v>
      </c>
      <c r="AW35">
        <v>2</v>
      </c>
      <c r="AX35">
        <v>60257985</v>
      </c>
      <c r="AY35">
        <v>1</v>
      </c>
      <c r="AZ35">
        <v>0</v>
      </c>
      <c r="BA35">
        <v>39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ROUND(Y35*Source!I79,9)</f>
        <v>1.55</v>
      </c>
      <c r="CY35">
        <f>AA35</f>
        <v>6.94</v>
      </c>
      <c r="CZ35">
        <f>AE35</f>
        <v>6.94</v>
      </c>
      <c r="DA35">
        <f>AI35</f>
        <v>1</v>
      </c>
      <c r="DB35">
        <f>ROUND((ROUND(AT35*CZ35,2)*1),6)</f>
        <v>21.51</v>
      </c>
      <c r="DC35">
        <f>ROUND((ROUND(AT35*AG35,2)*1),6)</f>
        <v>0</v>
      </c>
      <c r="DD35" t="s">
        <v>3</v>
      </c>
      <c r="DE35" t="s">
        <v>3</v>
      </c>
      <c r="DF35">
        <f t="shared" si="22"/>
        <v>10.76</v>
      </c>
      <c r="DG35">
        <f t="shared" si="19"/>
        <v>0</v>
      </c>
      <c r="DH35">
        <f t="shared" si="20"/>
        <v>0</v>
      </c>
      <c r="DI35">
        <f t="shared" si="3"/>
        <v>0</v>
      </c>
      <c r="DJ35">
        <f>DF35</f>
        <v>10.76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ROW(Source!A79)</f>
        <v>79</v>
      </c>
      <c r="B36">
        <v>60257736</v>
      </c>
      <c r="C36">
        <v>60257944</v>
      </c>
      <c r="D36">
        <v>59062381</v>
      </c>
      <c r="E36">
        <v>1</v>
      </c>
      <c r="F36">
        <v>1</v>
      </c>
      <c r="G36">
        <v>1080</v>
      </c>
      <c r="H36">
        <v>3</v>
      </c>
      <c r="I36" t="s">
        <v>187</v>
      </c>
      <c r="J36" t="s">
        <v>188</v>
      </c>
      <c r="K36" t="s">
        <v>189</v>
      </c>
      <c r="L36">
        <v>1356</v>
      </c>
      <c r="N36">
        <v>1010</v>
      </c>
      <c r="O36" t="s">
        <v>177</v>
      </c>
      <c r="P36" t="s">
        <v>177</v>
      </c>
      <c r="Q36">
        <v>1000</v>
      </c>
      <c r="W36">
        <v>0</v>
      </c>
      <c r="X36">
        <v>807379832</v>
      </c>
      <c r="Y36">
        <f>(AT36*1)</f>
        <v>8.0000000000000002E-3</v>
      </c>
      <c r="AA36">
        <v>614.09</v>
      </c>
      <c r="AB36">
        <v>0</v>
      </c>
      <c r="AC36">
        <v>0</v>
      </c>
      <c r="AD36">
        <v>0</v>
      </c>
      <c r="AE36">
        <v>614.09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8.0000000000000002E-3</v>
      </c>
      <c r="AU36" t="s">
        <v>23</v>
      </c>
      <c r="AV36">
        <v>0</v>
      </c>
      <c r="AW36">
        <v>2</v>
      </c>
      <c r="AX36">
        <v>60257986</v>
      </c>
      <c r="AY36">
        <v>1</v>
      </c>
      <c r="AZ36">
        <v>0</v>
      </c>
      <c r="BA36">
        <v>40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ROUND(Y36*Source!I79,9)</f>
        <v>4.0000000000000001E-3</v>
      </c>
      <c r="CY36">
        <f>AA36</f>
        <v>614.09</v>
      </c>
      <c r="CZ36">
        <f>AE36</f>
        <v>614.09</v>
      </c>
      <c r="DA36">
        <f>AI36</f>
        <v>1</v>
      </c>
      <c r="DB36">
        <f>ROUND((ROUND(AT36*CZ36,2)*1),6)</f>
        <v>4.91</v>
      </c>
      <c r="DC36">
        <f>ROUND((ROUND(AT36*AG36,2)*1),6)</f>
        <v>0</v>
      </c>
      <c r="DD36" t="s">
        <v>3</v>
      </c>
      <c r="DE36" t="s">
        <v>3</v>
      </c>
      <c r="DF36">
        <f t="shared" si="22"/>
        <v>2.46</v>
      </c>
      <c r="DG36">
        <f t="shared" si="19"/>
        <v>0</v>
      </c>
      <c r="DH36">
        <f t="shared" si="20"/>
        <v>0</v>
      </c>
      <c r="DI36">
        <f t="shared" si="3"/>
        <v>0</v>
      </c>
      <c r="DJ36">
        <f>DF36</f>
        <v>2.46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ROW(Source!A80)</f>
        <v>80</v>
      </c>
      <c r="B37">
        <v>60257733</v>
      </c>
      <c r="C37">
        <v>60257944</v>
      </c>
      <c r="D37">
        <v>58999254</v>
      </c>
      <c r="E37">
        <v>1080</v>
      </c>
      <c r="F37">
        <v>1</v>
      </c>
      <c r="G37">
        <v>1080</v>
      </c>
      <c r="H37">
        <v>1</v>
      </c>
      <c r="I37" t="s">
        <v>152</v>
      </c>
      <c r="J37" t="s">
        <v>3</v>
      </c>
      <c r="K37" t="s">
        <v>153</v>
      </c>
      <c r="L37">
        <v>1191</v>
      </c>
      <c r="N37">
        <v>1013</v>
      </c>
      <c r="O37" t="s">
        <v>154</v>
      </c>
      <c r="P37" t="s">
        <v>154</v>
      </c>
      <c r="Q37">
        <v>1</v>
      </c>
      <c r="W37">
        <v>0</v>
      </c>
      <c r="X37">
        <v>476480486</v>
      </c>
      <c r="Y37">
        <f>(AT37*1.1)</f>
        <v>2.0130000000000003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5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1.83</v>
      </c>
      <c r="AU37" t="s">
        <v>24</v>
      </c>
      <c r="AV37">
        <v>1</v>
      </c>
      <c r="AW37">
        <v>2</v>
      </c>
      <c r="AX37">
        <v>60257979</v>
      </c>
      <c r="AY37">
        <v>1</v>
      </c>
      <c r="AZ37">
        <v>0</v>
      </c>
      <c r="BA37">
        <v>42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ROUND(AT37*Source!I80*AH37*AL37,2)</f>
        <v>0</v>
      </c>
      <c r="CV37">
        <f>ROUND(Y37*Source!I80,9)</f>
        <v>1.0065</v>
      </c>
      <c r="CW37">
        <v>0</v>
      </c>
      <c r="CX37">
        <f>ROUND(Y37*Source!I80,9)</f>
        <v>1.0065</v>
      </c>
      <c r="CY37">
        <f>AD37</f>
        <v>0</v>
      </c>
      <c r="CZ37">
        <f>AH37</f>
        <v>0</v>
      </c>
      <c r="DA37">
        <f>AL37</f>
        <v>1</v>
      </c>
      <c r="DB37">
        <f>ROUND((ROUND(AT37*CZ37,2)*1.1),6)</f>
        <v>0</v>
      </c>
      <c r="DC37">
        <f>ROUND((ROUND(AT37*AG37,2)*1.1),6)</f>
        <v>0</v>
      </c>
      <c r="DD37" t="s">
        <v>3</v>
      </c>
      <c r="DE37" t="s">
        <v>3</v>
      </c>
      <c r="DF37">
        <f t="shared" si="22"/>
        <v>0</v>
      </c>
      <c r="DG37">
        <f t="shared" si="19"/>
        <v>0</v>
      </c>
      <c r="DH37">
        <f t="shared" si="20"/>
        <v>0</v>
      </c>
      <c r="DI37">
        <f t="shared" si="3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ROW(Source!A80)</f>
        <v>80</v>
      </c>
      <c r="B38">
        <v>60257733</v>
      </c>
      <c r="C38">
        <v>60257944</v>
      </c>
      <c r="D38">
        <v>59070669</v>
      </c>
      <c r="E38">
        <v>1</v>
      </c>
      <c r="F38">
        <v>1</v>
      </c>
      <c r="G38">
        <v>1080</v>
      </c>
      <c r="H38">
        <v>2</v>
      </c>
      <c r="I38" t="s">
        <v>155</v>
      </c>
      <c r="J38" t="s">
        <v>156</v>
      </c>
      <c r="K38" t="s">
        <v>157</v>
      </c>
      <c r="L38">
        <v>1368</v>
      </c>
      <c r="N38">
        <v>1011</v>
      </c>
      <c r="O38" t="s">
        <v>158</v>
      </c>
      <c r="P38" t="s">
        <v>158</v>
      </c>
      <c r="Q38">
        <v>1</v>
      </c>
      <c r="W38">
        <v>0</v>
      </c>
      <c r="X38">
        <v>-1985943078</v>
      </c>
      <c r="Y38">
        <f>(AT38*1.1)</f>
        <v>1.1000000000000001E-2</v>
      </c>
      <c r="AA38">
        <v>0</v>
      </c>
      <c r="AB38">
        <v>1418.19</v>
      </c>
      <c r="AC38">
        <v>726.59</v>
      </c>
      <c r="AD38">
        <v>0</v>
      </c>
      <c r="AE38">
        <v>0</v>
      </c>
      <c r="AF38">
        <v>83.1</v>
      </c>
      <c r="AG38">
        <v>12.62</v>
      </c>
      <c r="AH38">
        <v>0</v>
      </c>
      <c r="AI38">
        <v>1</v>
      </c>
      <c r="AJ38">
        <v>16.3</v>
      </c>
      <c r="AK38">
        <v>54.99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0.01</v>
      </c>
      <c r="AU38" t="s">
        <v>24</v>
      </c>
      <c r="AV38">
        <v>0</v>
      </c>
      <c r="AW38">
        <v>2</v>
      </c>
      <c r="AX38">
        <v>60257980</v>
      </c>
      <c r="AY38">
        <v>1</v>
      </c>
      <c r="AZ38">
        <v>0</v>
      </c>
      <c r="BA38">
        <v>43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ROUND(Y38*Source!I80*DO38,9)</f>
        <v>6.9409999999999999E-2</v>
      </c>
      <c r="CX38">
        <f>ROUND(Y38*Source!I80,9)</f>
        <v>5.4999999999999997E-3</v>
      </c>
      <c r="CY38">
        <f>AB38</f>
        <v>1418.19</v>
      </c>
      <c r="CZ38">
        <f>AF38</f>
        <v>83.1</v>
      </c>
      <c r="DA38">
        <f>AJ38</f>
        <v>16.3</v>
      </c>
      <c r="DB38">
        <f>ROUND((ROUND(AT38*CZ38,2)*1.1),6)</f>
        <v>0.91300000000000003</v>
      </c>
      <c r="DC38">
        <f>ROUND((ROUND(AT38*AG38,2)*1.1),6)</f>
        <v>0.14299999999999999</v>
      </c>
      <c r="DD38" t="s">
        <v>3</v>
      </c>
      <c r="DE38" t="s">
        <v>3</v>
      </c>
      <c r="DF38">
        <f t="shared" si="22"/>
        <v>0</v>
      </c>
      <c r="DG38">
        <f>ROUND(ROUND(AF38*AJ38,2)*CX38,2)</f>
        <v>7.45</v>
      </c>
      <c r="DH38">
        <f>ROUND(ROUND(AG38*AK38,2)*CX38,2)</f>
        <v>3.82</v>
      </c>
      <c r="DI38">
        <f t="shared" si="3"/>
        <v>0</v>
      </c>
      <c r="DJ38">
        <f>DG38</f>
        <v>7.45</v>
      </c>
      <c r="DK38">
        <v>0</v>
      </c>
      <c r="DL38" t="s">
        <v>159</v>
      </c>
      <c r="DM38">
        <v>0</v>
      </c>
      <c r="DN38" t="s">
        <v>154</v>
      </c>
      <c r="DO38">
        <v>12.62</v>
      </c>
    </row>
    <row r="39" spans="1:119" x14ac:dyDescent="0.2">
      <c r="A39">
        <f>ROW(Source!A80)</f>
        <v>80</v>
      </c>
      <c r="B39">
        <v>60257733</v>
      </c>
      <c r="C39">
        <v>60257944</v>
      </c>
      <c r="D39">
        <v>59069905</v>
      </c>
      <c r="E39">
        <v>1</v>
      </c>
      <c r="F39">
        <v>1</v>
      </c>
      <c r="G39">
        <v>1080</v>
      </c>
      <c r="H39">
        <v>2</v>
      </c>
      <c r="I39" t="s">
        <v>160</v>
      </c>
      <c r="J39" t="s">
        <v>161</v>
      </c>
      <c r="K39" t="s">
        <v>162</v>
      </c>
      <c r="L39">
        <v>1368</v>
      </c>
      <c r="N39">
        <v>1011</v>
      </c>
      <c r="O39" t="s">
        <v>158</v>
      </c>
      <c r="P39" t="s">
        <v>158</v>
      </c>
      <c r="Q39">
        <v>1</v>
      </c>
      <c r="W39">
        <v>0</v>
      </c>
      <c r="X39">
        <v>1087580389</v>
      </c>
      <c r="Y39">
        <f>(AT39*1.1)</f>
        <v>1.1000000000000001E-2</v>
      </c>
      <c r="AA39">
        <v>0</v>
      </c>
      <c r="AB39">
        <v>2579.38</v>
      </c>
      <c r="AC39">
        <v>974.74</v>
      </c>
      <c r="AD39">
        <v>0</v>
      </c>
      <c r="AE39">
        <v>0</v>
      </c>
      <c r="AF39">
        <v>179.17</v>
      </c>
      <c r="AG39">
        <v>16.93</v>
      </c>
      <c r="AH39">
        <v>0</v>
      </c>
      <c r="AI39">
        <v>1</v>
      </c>
      <c r="AJ39">
        <v>13.75</v>
      </c>
      <c r="AK39">
        <v>54.99</v>
      </c>
      <c r="AL39">
        <v>1</v>
      </c>
      <c r="AM39">
        <v>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0.01</v>
      </c>
      <c r="AU39" t="s">
        <v>24</v>
      </c>
      <c r="AV39">
        <v>0</v>
      </c>
      <c r="AW39">
        <v>2</v>
      </c>
      <c r="AX39">
        <v>60257981</v>
      </c>
      <c r="AY39">
        <v>1</v>
      </c>
      <c r="AZ39">
        <v>0</v>
      </c>
      <c r="BA39">
        <v>44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f>ROUND(Y39*Source!I80*DO39,9)</f>
        <v>9.3115000000000003E-2</v>
      </c>
      <c r="CX39">
        <f>ROUND(Y39*Source!I80,9)</f>
        <v>5.4999999999999997E-3</v>
      </c>
      <c r="CY39">
        <f>AB39</f>
        <v>2579.38</v>
      </c>
      <c r="CZ39">
        <f>AF39</f>
        <v>179.17</v>
      </c>
      <c r="DA39">
        <f>AJ39</f>
        <v>13.75</v>
      </c>
      <c r="DB39">
        <f>ROUND((ROUND(AT39*CZ39,2)*1.1),6)</f>
        <v>1.9690000000000001</v>
      </c>
      <c r="DC39">
        <f>ROUND((ROUND(AT39*AG39,2)*1.1),6)</f>
        <v>0.187</v>
      </c>
      <c r="DD39" t="s">
        <v>3</v>
      </c>
      <c r="DE39" t="s">
        <v>3</v>
      </c>
      <c r="DF39">
        <f t="shared" si="22"/>
        <v>0</v>
      </c>
      <c r="DG39">
        <f>ROUND(ROUND(AF39*AJ39,2)*CX39,2)</f>
        <v>13.55</v>
      </c>
      <c r="DH39">
        <f>ROUND(ROUND(AG39*AK39,2)*CX39,2)</f>
        <v>5.12</v>
      </c>
      <c r="DI39">
        <f t="shared" si="3"/>
        <v>0</v>
      </c>
      <c r="DJ39">
        <f>DG39</f>
        <v>13.55</v>
      </c>
      <c r="DK39">
        <v>0</v>
      </c>
      <c r="DL39" t="s">
        <v>159</v>
      </c>
      <c r="DM39">
        <v>0</v>
      </c>
      <c r="DN39" t="s">
        <v>154</v>
      </c>
      <c r="DO39">
        <v>16.93</v>
      </c>
    </row>
    <row r="40" spans="1:119" x14ac:dyDescent="0.2">
      <c r="A40">
        <f>ROW(Source!A80)</f>
        <v>80</v>
      </c>
      <c r="B40">
        <v>60257733</v>
      </c>
      <c r="C40">
        <v>60257944</v>
      </c>
      <c r="D40">
        <v>59039702</v>
      </c>
      <c r="E40">
        <v>1</v>
      </c>
      <c r="F40">
        <v>1</v>
      </c>
      <c r="G40">
        <v>1080</v>
      </c>
      <c r="H40">
        <v>3</v>
      </c>
      <c r="I40" t="s">
        <v>163</v>
      </c>
      <c r="J40" t="s">
        <v>164</v>
      </c>
      <c r="K40" t="s">
        <v>165</v>
      </c>
      <c r="L40">
        <v>1346</v>
      </c>
      <c r="N40">
        <v>1009</v>
      </c>
      <c r="O40" t="s">
        <v>166</v>
      </c>
      <c r="P40" t="s">
        <v>166</v>
      </c>
      <c r="Q40">
        <v>1</v>
      </c>
      <c r="W40">
        <v>0</v>
      </c>
      <c r="X40">
        <v>1770006655</v>
      </c>
      <c r="Y40">
        <f>(AT40*1)</f>
        <v>0.6</v>
      </c>
      <c r="AA40">
        <v>29.73</v>
      </c>
      <c r="AB40">
        <v>0</v>
      </c>
      <c r="AC40">
        <v>0</v>
      </c>
      <c r="AD40">
        <v>0</v>
      </c>
      <c r="AE40">
        <v>1.38</v>
      </c>
      <c r="AF40">
        <v>0</v>
      </c>
      <c r="AG40">
        <v>0</v>
      </c>
      <c r="AH40">
        <v>0</v>
      </c>
      <c r="AI40">
        <v>21.54</v>
      </c>
      <c r="AJ40">
        <v>1</v>
      </c>
      <c r="AK40">
        <v>1</v>
      </c>
      <c r="AL40">
        <v>1</v>
      </c>
      <c r="AM40">
        <v>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0.6</v>
      </c>
      <c r="AU40" t="s">
        <v>23</v>
      </c>
      <c r="AV40">
        <v>0</v>
      </c>
      <c r="AW40">
        <v>2</v>
      </c>
      <c r="AX40">
        <v>60257982</v>
      </c>
      <c r="AY40">
        <v>1</v>
      </c>
      <c r="AZ40">
        <v>0</v>
      </c>
      <c r="BA40">
        <v>45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ROUND(Y40*Source!I80,9)</f>
        <v>0.3</v>
      </c>
      <c r="CY40">
        <f>AA40</f>
        <v>29.73</v>
      </c>
      <c r="CZ40">
        <f>AE40</f>
        <v>1.38</v>
      </c>
      <c r="DA40">
        <f>AI40</f>
        <v>21.54</v>
      </c>
      <c r="DB40">
        <f>ROUND((ROUND(AT40*CZ40,2)*1),6)</f>
        <v>0.83</v>
      </c>
      <c r="DC40">
        <f>ROUND((ROUND(AT40*AG40,2)*1),6)</f>
        <v>0</v>
      </c>
      <c r="DD40" t="s">
        <v>3</v>
      </c>
      <c r="DE40" t="s">
        <v>3</v>
      </c>
      <c r="DF40">
        <f>ROUND(ROUND(AE40*AI40,2)*CX40,2)</f>
        <v>8.92</v>
      </c>
      <c r="DG40">
        <f>ROUND(ROUND(AF40,2)*CX40,2)</f>
        <v>0</v>
      </c>
      <c r="DH40">
        <f>ROUND(ROUND(AG40,2)*CX40,2)</f>
        <v>0</v>
      </c>
      <c r="DI40">
        <f t="shared" si="3"/>
        <v>0</v>
      </c>
      <c r="DJ40">
        <f>DF40</f>
        <v>8.92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ROW(Source!A80)</f>
        <v>80</v>
      </c>
      <c r="B41">
        <v>60257733</v>
      </c>
      <c r="C41">
        <v>60257944</v>
      </c>
      <c r="D41">
        <v>59040093</v>
      </c>
      <c r="E41">
        <v>1</v>
      </c>
      <c r="F41">
        <v>1</v>
      </c>
      <c r="G41">
        <v>1080</v>
      </c>
      <c r="H41">
        <v>3</v>
      </c>
      <c r="I41" t="s">
        <v>167</v>
      </c>
      <c r="J41" t="s">
        <v>168</v>
      </c>
      <c r="K41" t="s">
        <v>169</v>
      </c>
      <c r="L41">
        <v>1346</v>
      </c>
      <c r="N41">
        <v>1009</v>
      </c>
      <c r="O41" t="s">
        <v>166</v>
      </c>
      <c r="P41" t="s">
        <v>166</v>
      </c>
      <c r="Q41">
        <v>1</v>
      </c>
      <c r="W41">
        <v>0</v>
      </c>
      <c r="X41">
        <v>-878159893</v>
      </c>
      <c r="Y41">
        <f>(AT41*1)</f>
        <v>0.16</v>
      </c>
      <c r="AA41">
        <v>286.31</v>
      </c>
      <c r="AB41">
        <v>0</v>
      </c>
      <c r="AC41">
        <v>0</v>
      </c>
      <c r="AD41">
        <v>0</v>
      </c>
      <c r="AE41">
        <v>159.06</v>
      </c>
      <c r="AF41">
        <v>0</v>
      </c>
      <c r="AG41">
        <v>0</v>
      </c>
      <c r="AH41">
        <v>0</v>
      </c>
      <c r="AI41">
        <v>1.8</v>
      </c>
      <c r="AJ41">
        <v>1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0.16</v>
      </c>
      <c r="AU41" t="s">
        <v>23</v>
      </c>
      <c r="AV41">
        <v>0</v>
      </c>
      <c r="AW41">
        <v>2</v>
      </c>
      <c r="AX41">
        <v>60257983</v>
      </c>
      <c r="AY41">
        <v>1</v>
      </c>
      <c r="AZ41">
        <v>0</v>
      </c>
      <c r="BA41">
        <v>46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ROUND(Y41*Source!I80,9)</f>
        <v>0.08</v>
      </c>
      <c r="CY41">
        <f>AA41</f>
        <v>286.31</v>
      </c>
      <c r="CZ41">
        <f>AE41</f>
        <v>159.06</v>
      </c>
      <c r="DA41">
        <f>AI41</f>
        <v>1.8</v>
      </c>
      <c r="DB41">
        <f>ROUND((ROUND(AT41*CZ41,2)*1),6)</f>
        <v>25.45</v>
      </c>
      <c r="DC41">
        <f>ROUND((ROUND(AT41*AG41,2)*1),6)</f>
        <v>0</v>
      </c>
      <c r="DD41" t="s">
        <v>3</v>
      </c>
      <c r="DE41" t="s">
        <v>3</v>
      </c>
      <c r="DF41">
        <f>ROUND(ROUND(AE41*AI41,2)*CX41,2)</f>
        <v>22.9</v>
      </c>
      <c r="DG41">
        <f>ROUND(ROUND(AF41,2)*CX41,2)</f>
        <v>0</v>
      </c>
      <c r="DH41">
        <f>ROUND(ROUND(AG41,2)*CX41,2)</f>
        <v>0</v>
      </c>
      <c r="DI41">
        <f t="shared" si="3"/>
        <v>0</v>
      </c>
      <c r="DJ41">
        <f>DF41</f>
        <v>22.9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ROW(Source!A80)</f>
        <v>80</v>
      </c>
      <c r="B42">
        <v>60257733</v>
      </c>
      <c r="C42">
        <v>60257944</v>
      </c>
      <c r="D42">
        <v>59063048</v>
      </c>
      <c r="E42">
        <v>1</v>
      </c>
      <c r="F42">
        <v>1</v>
      </c>
      <c r="G42">
        <v>1080</v>
      </c>
      <c r="H42">
        <v>3</v>
      </c>
      <c r="I42" t="s">
        <v>184</v>
      </c>
      <c r="J42" t="s">
        <v>185</v>
      </c>
      <c r="K42" t="s">
        <v>186</v>
      </c>
      <c r="L42">
        <v>1356</v>
      </c>
      <c r="N42">
        <v>1010</v>
      </c>
      <c r="O42" t="s">
        <v>177</v>
      </c>
      <c r="P42" t="s">
        <v>177</v>
      </c>
      <c r="Q42">
        <v>1000</v>
      </c>
      <c r="W42">
        <v>0</v>
      </c>
      <c r="X42">
        <v>-422648154</v>
      </c>
      <c r="Y42">
        <f>(AT42*1)</f>
        <v>1.2200000000000001E-2</v>
      </c>
      <c r="AA42">
        <v>1599.36</v>
      </c>
      <c r="AB42">
        <v>0</v>
      </c>
      <c r="AC42">
        <v>0</v>
      </c>
      <c r="AD42">
        <v>0</v>
      </c>
      <c r="AE42">
        <v>226.86</v>
      </c>
      <c r="AF42">
        <v>0</v>
      </c>
      <c r="AG42">
        <v>0</v>
      </c>
      <c r="AH42">
        <v>0</v>
      </c>
      <c r="AI42">
        <v>7.05</v>
      </c>
      <c r="AJ42">
        <v>1</v>
      </c>
      <c r="AK42">
        <v>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1.2200000000000001E-2</v>
      </c>
      <c r="AU42" t="s">
        <v>23</v>
      </c>
      <c r="AV42">
        <v>0</v>
      </c>
      <c r="AW42">
        <v>2</v>
      </c>
      <c r="AX42">
        <v>60257984</v>
      </c>
      <c r="AY42">
        <v>1</v>
      </c>
      <c r="AZ42">
        <v>0</v>
      </c>
      <c r="BA42">
        <v>47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ROUND(Y42*Source!I80,9)</f>
        <v>6.1000000000000004E-3</v>
      </c>
      <c r="CY42">
        <f>AA42</f>
        <v>1599.36</v>
      </c>
      <c r="CZ42">
        <f>AE42</f>
        <v>226.86</v>
      </c>
      <c r="DA42">
        <f>AI42</f>
        <v>7.05</v>
      </c>
      <c r="DB42">
        <f>ROUND((ROUND(AT42*CZ42,2)*1),6)</f>
        <v>2.77</v>
      </c>
      <c r="DC42">
        <f>ROUND((ROUND(AT42*AG42,2)*1),6)</f>
        <v>0</v>
      </c>
      <c r="DD42" t="s">
        <v>3</v>
      </c>
      <c r="DE42" t="s">
        <v>3</v>
      </c>
      <c r="DF42">
        <f>ROUND(ROUND(AE42*AI42,2)*CX42,2)</f>
        <v>9.76</v>
      </c>
      <c r="DG42">
        <f>ROUND(ROUND(AF42,2)*CX42,2)</f>
        <v>0</v>
      </c>
      <c r="DH42">
        <f>ROUND(ROUND(AG42,2)*CX42,2)</f>
        <v>0</v>
      </c>
      <c r="DI42">
        <f t="shared" si="3"/>
        <v>0</v>
      </c>
      <c r="DJ42">
        <f>DF42</f>
        <v>9.76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ROW(Source!A80)</f>
        <v>80</v>
      </c>
      <c r="B43">
        <v>60257733</v>
      </c>
      <c r="C43">
        <v>60257944</v>
      </c>
      <c r="D43">
        <v>59062373</v>
      </c>
      <c r="E43">
        <v>1</v>
      </c>
      <c r="F43">
        <v>1</v>
      </c>
      <c r="G43">
        <v>1080</v>
      </c>
      <c r="H43">
        <v>3</v>
      </c>
      <c r="I43" t="s">
        <v>178</v>
      </c>
      <c r="J43" t="s">
        <v>179</v>
      </c>
      <c r="K43" t="s">
        <v>180</v>
      </c>
      <c r="L43">
        <v>1354</v>
      </c>
      <c r="N43">
        <v>1010</v>
      </c>
      <c r="O43" t="s">
        <v>45</v>
      </c>
      <c r="P43" t="s">
        <v>45</v>
      </c>
      <c r="Q43">
        <v>1</v>
      </c>
      <c r="W43">
        <v>0</v>
      </c>
      <c r="X43">
        <v>145081611</v>
      </c>
      <c r="Y43">
        <f>(AT43*1)</f>
        <v>3.1</v>
      </c>
      <c r="AA43">
        <v>25.47</v>
      </c>
      <c r="AB43">
        <v>0</v>
      </c>
      <c r="AC43">
        <v>0</v>
      </c>
      <c r="AD43">
        <v>0</v>
      </c>
      <c r="AE43">
        <v>6.94</v>
      </c>
      <c r="AF43">
        <v>0</v>
      </c>
      <c r="AG43">
        <v>0</v>
      </c>
      <c r="AH43">
        <v>0</v>
      </c>
      <c r="AI43">
        <v>3.67</v>
      </c>
      <c r="AJ43">
        <v>1</v>
      </c>
      <c r="AK43">
        <v>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3.1</v>
      </c>
      <c r="AU43" t="s">
        <v>23</v>
      </c>
      <c r="AV43">
        <v>0</v>
      </c>
      <c r="AW43">
        <v>2</v>
      </c>
      <c r="AX43">
        <v>60257985</v>
      </c>
      <c r="AY43">
        <v>1</v>
      </c>
      <c r="AZ43">
        <v>0</v>
      </c>
      <c r="BA43">
        <v>48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ROUND(Y43*Source!I80,9)</f>
        <v>1.55</v>
      </c>
      <c r="CY43">
        <f>AA43</f>
        <v>25.47</v>
      </c>
      <c r="CZ43">
        <f>AE43</f>
        <v>6.94</v>
      </c>
      <c r="DA43">
        <f>AI43</f>
        <v>3.67</v>
      </c>
      <c r="DB43">
        <f>ROUND((ROUND(AT43*CZ43,2)*1),6)</f>
        <v>21.51</v>
      </c>
      <c r="DC43">
        <f>ROUND((ROUND(AT43*AG43,2)*1),6)</f>
        <v>0</v>
      </c>
      <c r="DD43" t="s">
        <v>3</v>
      </c>
      <c r="DE43" t="s">
        <v>3</v>
      </c>
      <c r="DF43">
        <f>ROUND(ROUND(AE43*AI43,2)*CX43,2)</f>
        <v>39.479999999999997</v>
      </c>
      <c r="DG43">
        <f>ROUND(ROUND(AF43,2)*CX43,2)</f>
        <v>0</v>
      </c>
      <c r="DH43">
        <f>ROUND(ROUND(AG43,2)*CX43,2)</f>
        <v>0</v>
      </c>
      <c r="DI43">
        <f t="shared" si="3"/>
        <v>0</v>
      </c>
      <c r="DJ43">
        <f>DF43</f>
        <v>39.479999999999997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ROW(Source!A80)</f>
        <v>80</v>
      </c>
      <c r="B44">
        <v>60257733</v>
      </c>
      <c r="C44">
        <v>60257944</v>
      </c>
      <c r="D44">
        <v>59062381</v>
      </c>
      <c r="E44">
        <v>1</v>
      </c>
      <c r="F44">
        <v>1</v>
      </c>
      <c r="G44">
        <v>1080</v>
      </c>
      <c r="H44">
        <v>3</v>
      </c>
      <c r="I44" t="s">
        <v>187</v>
      </c>
      <c r="J44" t="s">
        <v>188</v>
      </c>
      <c r="K44" t="s">
        <v>189</v>
      </c>
      <c r="L44">
        <v>1356</v>
      </c>
      <c r="N44">
        <v>1010</v>
      </c>
      <c r="O44" t="s">
        <v>177</v>
      </c>
      <c r="P44" t="s">
        <v>177</v>
      </c>
      <c r="Q44">
        <v>1000</v>
      </c>
      <c r="W44">
        <v>0</v>
      </c>
      <c r="X44">
        <v>807379832</v>
      </c>
      <c r="Y44">
        <f>(AT44*1)</f>
        <v>8.0000000000000002E-3</v>
      </c>
      <c r="AA44">
        <v>1197.48</v>
      </c>
      <c r="AB44">
        <v>0</v>
      </c>
      <c r="AC44">
        <v>0</v>
      </c>
      <c r="AD44">
        <v>0</v>
      </c>
      <c r="AE44">
        <v>614.09</v>
      </c>
      <c r="AF44">
        <v>0</v>
      </c>
      <c r="AG44">
        <v>0</v>
      </c>
      <c r="AH44">
        <v>0</v>
      </c>
      <c r="AI44">
        <v>1.95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8.0000000000000002E-3</v>
      </c>
      <c r="AU44" t="s">
        <v>23</v>
      </c>
      <c r="AV44">
        <v>0</v>
      </c>
      <c r="AW44">
        <v>2</v>
      </c>
      <c r="AX44">
        <v>60257986</v>
      </c>
      <c r="AY44">
        <v>1</v>
      </c>
      <c r="AZ44">
        <v>0</v>
      </c>
      <c r="BA44">
        <v>49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ROUND(Y44*Source!I80,9)</f>
        <v>4.0000000000000001E-3</v>
      </c>
      <c r="CY44">
        <f>AA44</f>
        <v>1197.48</v>
      </c>
      <c r="CZ44">
        <f>AE44</f>
        <v>614.09</v>
      </c>
      <c r="DA44">
        <f>AI44</f>
        <v>1.95</v>
      </c>
      <c r="DB44">
        <f>ROUND((ROUND(AT44*CZ44,2)*1),6)</f>
        <v>4.91</v>
      </c>
      <c r="DC44">
        <f>ROUND((ROUND(AT44*AG44,2)*1),6)</f>
        <v>0</v>
      </c>
      <c r="DD44" t="s">
        <v>3</v>
      </c>
      <c r="DE44" t="s">
        <v>3</v>
      </c>
      <c r="DF44">
        <f>ROUND(ROUND(AE44*AI44,2)*CX44,2)</f>
        <v>4.79</v>
      </c>
      <c r="DG44">
        <f>ROUND(ROUND(AF44,2)*CX44,2)</f>
        <v>0</v>
      </c>
      <c r="DH44">
        <f>ROUND(ROUND(AG44,2)*CX44,2)</f>
        <v>0</v>
      </c>
      <c r="DI44">
        <f t="shared" si="3"/>
        <v>0</v>
      </c>
      <c r="DJ44">
        <f>DF44</f>
        <v>4.79</v>
      </c>
      <c r="DK44">
        <v>0</v>
      </c>
      <c r="DL44" t="s">
        <v>3</v>
      </c>
      <c r="DM44">
        <v>0</v>
      </c>
      <c r="DN44" t="s">
        <v>3</v>
      </c>
      <c r="DO4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60257963</v>
      </c>
      <c r="C1">
        <v>60257850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152</v>
      </c>
      <c r="J1" t="s">
        <v>3</v>
      </c>
      <c r="K1" t="s">
        <v>153</v>
      </c>
      <c r="L1">
        <v>1191</v>
      </c>
      <c r="N1">
        <v>1013</v>
      </c>
      <c r="O1" t="s">
        <v>154</v>
      </c>
      <c r="P1" t="s">
        <v>154</v>
      </c>
      <c r="Q1">
        <v>1</v>
      </c>
      <c r="X1">
        <v>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3.3000000000000003</v>
      </c>
      <c r="AH1">
        <v>2</v>
      </c>
      <c r="AI1">
        <v>60257851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60257963</v>
      </c>
      <c r="C2">
        <v>60257850</v>
      </c>
      <c r="D2">
        <v>58999254</v>
      </c>
      <c r="E2">
        <v>1080</v>
      </c>
      <c r="F2">
        <v>1</v>
      </c>
      <c r="G2">
        <v>1080</v>
      </c>
      <c r="H2">
        <v>1</v>
      </c>
      <c r="I2" t="s">
        <v>152</v>
      </c>
      <c r="J2" t="s">
        <v>3</v>
      </c>
      <c r="K2" t="s">
        <v>153</v>
      </c>
      <c r="L2">
        <v>1191</v>
      </c>
      <c r="N2">
        <v>1013</v>
      </c>
      <c r="O2" t="s">
        <v>154</v>
      </c>
      <c r="P2" t="s">
        <v>154</v>
      </c>
      <c r="Q2">
        <v>1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24</v>
      </c>
      <c r="AG2">
        <v>3.3000000000000003</v>
      </c>
      <c r="AH2">
        <v>2</v>
      </c>
      <c r="AI2">
        <v>60257851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ROW(Source!A32)</f>
        <v>32</v>
      </c>
      <c r="B3">
        <v>60257964</v>
      </c>
      <c r="C3">
        <v>60257854</v>
      </c>
      <c r="D3">
        <v>58999254</v>
      </c>
      <c r="E3">
        <v>1080</v>
      </c>
      <c r="F3">
        <v>1</v>
      </c>
      <c r="G3">
        <v>1080</v>
      </c>
      <c r="H3">
        <v>1</v>
      </c>
      <c r="I3" t="s">
        <v>152</v>
      </c>
      <c r="J3" t="s">
        <v>3</v>
      </c>
      <c r="K3" t="s">
        <v>153</v>
      </c>
      <c r="L3">
        <v>1191</v>
      </c>
      <c r="N3">
        <v>1013</v>
      </c>
      <c r="O3" t="s">
        <v>154</v>
      </c>
      <c r="P3" t="s">
        <v>154</v>
      </c>
      <c r="Q3">
        <v>1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24</v>
      </c>
      <c r="AG3">
        <v>2.2000000000000002</v>
      </c>
      <c r="AH3">
        <v>2</v>
      </c>
      <c r="AI3">
        <v>60257855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ROW(Source!A33)</f>
        <v>33</v>
      </c>
      <c r="B4">
        <v>60257964</v>
      </c>
      <c r="C4">
        <v>60257854</v>
      </c>
      <c r="D4">
        <v>58999254</v>
      </c>
      <c r="E4">
        <v>1080</v>
      </c>
      <c r="F4">
        <v>1</v>
      </c>
      <c r="G4">
        <v>1080</v>
      </c>
      <c r="H4">
        <v>1</v>
      </c>
      <c r="I4" t="s">
        <v>152</v>
      </c>
      <c r="J4" t="s">
        <v>3</v>
      </c>
      <c r="K4" t="s">
        <v>153</v>
      </c>
      <c r="L4">
        <v>1191</v>
      </c>
      <c r="N4">
        <v>1013</v>
      </c>
      <c r="O4" t="s">
        <v>154</v>
      </c>
      <c r="P4" t="s">
        <v>154</v>
      </c>
      <c r="Q4">
        <v>1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24</v>
      </c>
      <c r="AG4">
        <v>2.2000000000000002</v>
      </c>
      <c r="AH4">
        <v>2</v>
      </c>
      <c r="AI4">
        <v>60257855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ROW(Source!A71)</f>
        <v>71</v>
      </c>
      <c r="B5">
        <v>60257965</v>
      </c>
      <c r="C5">
        <v>60257914</v>
      </c>
      <c r="D5">
        <v>58999254</v>
      </c>
      <c r="E5">
        <v>1080</v>
      </c>
      <c r="F5">
        <v>1</v>
      </c>
      <c r="G5">
        <v>1080</v>
      </c>
      <c r="H5">
        <v>1</v>
      </c>
      <c r="I5" t="s">
        <v>152</v>
      </c>
      <c r="J5" t="s">
        <v>3</v>
      </c>
      <c r="K5" t="s">
        <v>153</v>
      </c>
      <c r="L5">
        <v>1191</v>
      </c>
      <c r="N5">
        <v>1013</v>
      </c>
      <c r="O5" t="s">
        <v>154</v>
      </c>
      <c r="P5" t="s">
        <v>154</v>
      </c>
      <c r="Q5">
        <v>1</v>
      </c>
      <c r="X5">
        <v>14.37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24</v>
      </c>
      <c r="AG5">
        <v>15.807</v>
      </c>
      <c r="AH5">
        <v>2</v>
      </c>
      <c r="AI5">
        <v>60257915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ROW(Source!A71)</f>
        <v>71</v>
      </c>
      <c r="B6">
        <v>60257966</v>
      </c>
      <c r="C6">
        <v>60257914</v>
      </c>
      <c r="D6">
        <v>59008656</v>
      </c>
      <c r="E6">
        <v>1080</v>
      </c>
      <c r="F6">
        <v>1</v>
      </c>
      <c r="G6">
        <v>1080</v>
      </c>
      <c r="H6">
        <v>3</v>
      </c>
      <c r="I6" t="s">
        <v>190</v>
      </c>
      <c r="J6" t="s">
        <v>3</v>
      </c>
      <c r="K6" t="s">
        <v>191</v>
      </c>
      <c r="L6">
        <v>1301</v>
      </c>
      <c r="N6">
        <v>1003</v>
      </c>
      <c r="O6" t="s">
        <v>111</v>
      </c>
      <c r="P6" t="s">
        <v>111</v>
      </c>
      <c r="Q6">
        <v>1</v>
      </c>
      <c r="X6">
        <v>102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23</v>
      </c>
      <c r="AG6">
        <v>102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ROW(Source!A71)</f>
        <v>71</v>
      </c>
      <c r="B7">
        <v>60257967</v>
      </c>
      <c r="C7">
        <v>60257914</v>
      </c>
      <c r="D7">
        <v>59011823</v>
      </c>
      <c r="E7">
        <v>1080</v>
      </c>
      <c r="F7">
        <v>1</v>
      </c>
      <c r="G7">
        <v>1080</v>
      </c>
      <c r="H7">
        <v>3</v>
      </c>
      <c r="I7" t="s">
        <v>192</v>
      </c>
      <c r="J7" t="s">
        <v>3</v>
      </c>
      <c r="K7" t="s">
        <v>193</v>
      </c>
      <c r="L7">
        <v>1354</v>
      </c>
      <c r="N7">
        <v>1010</v>
      </c>
      <c r="O7" t="s">
        <v>45</v>
      </c>
      <c r="P7" t="s">
        <v>45</v>
      </c>
      <c r="Q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23</v>
      </c>
      <c r="AG7">
        <v>0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ROW(Source!A71)</f>
        <v>71</v>
      </c>
      <c r="B8">
        <v>60257968</v>
      </c>
      <c r="C8">
        <v>60257914</v>
      </c>
      <c r="D8">
        <v>59012395</v>
      </c>
      <c r="E8">
        <v>1080</v>
      </c>
      <c r="F8">
        <v>1</v>
      </c>
      <c r="G8">
        <v>1080</v>
      </c>
      <c r="H8">
        <v>3</v>
      </c>
      <c r="I8" t="s">
        <v>194</v>
      </c>
      <c r="J8" t="s">
        <v>3</v>
      </c>
      <c r="K8" t="s">
        <v>195</v>
      </c>
      <c r="L8">
        <v>1354</v>
      </c>
      <c r="N8">
        <v>1010</v>
      </c>
      <c r="O8" t="s">
        <v>45</v>
      </c>
      <c r="P8" t="s">
        <v>45</v>
      </c>
      <c r="Q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23</v>
      </c>
      <c r="AG8">
        <v>0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ROW(Source!A72)</f>
        <v>72</v>
      </c>
      <c r="B9">
        <v>60257965</v>
      </c>
      <c r="C9">
        <v>60257914</v>
      </c>
      <c r="D9">
        <v>58999254</v>
      </c>
      <c r="E9">
        <v>1080</v>
      </c>
      <c r="F9">
        <v>1</v>
      </c>
      <c r="G9">
        <v>1080</v>
      </c>
      <c r="H9">
        <v>1</v>
      </c>
      <c r="I9" t="s">
        <v>152</v>
      </c>
      <c r="J9" t="s">
        <v>3</v>
      </c>
      <c r="K9" t="s">
        <v>153</v>
      </c>
      <c r="L9">
        <v>1191</v>
      </c>
      <c r="N9">
        <v>1013</v>
      </c>
      <c r="O9" t="s">
        <v>154</v>
      </c>
      <c r="P9" t="s">
        <v>154</v>
      </c>
      <c r="Q9">
        <v>1</v>
      </c>
      <c r="X9">
        <v>14.37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24</v>
      </c>
      <c r="AG9">
        <v>15.807</v>
      </c>
      <c r="AH9">
        <v>2</v>
      </c>
      <c r="AI9">
        <v>60257915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ROW(Source!A72)</f>
        <v>72</v>
      </c>
      <c r="B10">
        <v>60257966</v>
      </c>
      <c r="C10">
        <v>60257914</v>
      </c>
      <c r="D10">
        <v>59008656</v>
      </c>
      <c r="E10">
        <v>1080</v>
      </c>
      <c r="F10">
        <v>1</v>
      </c>
      <c r="G10">
        <v>1080</v>
      </c>
      <c r="H10">
        <v>3</v>
      </c>
      <c r="I10" t="s">
        <v>190</v>
      </c>
      <c r="J10" t="s">
        <v>3</v>
      </c>
      <c r="K10" t="s">
        <v>191</v>
      </c>
      <c r="L10">
        <v>1301</v>
      </c>
      <c r="N10">
        <v>1003</v>
      </c>
      <c r="O10" t="s">
        <v>111</v>
      </c>
      <c r="P10" t="s">
        <v>111</v>
      </c>
      <c r="Q10">
        <v>1</v>
      </c>
      <c r="X10">
        <v>102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23</v>
      </c>
      <c r="AG10">
        <v>102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ROW(Source!A72)</f>
        <v>72</v>
      </c>
      <c r="B11">
        <v>60257967</v>
      </c>
      <c r="C11">
        <v>60257914</v>
      </c>
      <c r="D11">
        <v>59011823</v>
      </c>
      <c r="E11">
        <v>1080</v>
      </c>
      <c r="F11">
        <v>1</v>
      </c>
      <c r="G11">
        <v>1080</v>
      </c>
      <c r="H11">
        <v>3</v>
      </c>
      <c r="I11" t="s">
        <v>192</v>
      </c>
      <c r="J11" t="s">
        <v>3</v>
      </c>
      <c r="K11" t="s">
        <v>193</v>
      </c>
      <c r="L11">
        <v>1354</v>
      </c>
      <c r="N11">
        <v>1010</v>
      </c>
      <c r="O11" t="s">
        <v>45</v>
      </c>
      <c r="P11" t="s">
        <v>45</v>
      </c>
      <c r="Q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23</v>
      </c>
      <c r="AG11">
        <v>0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ROW(Source!A72)</f>
        <v>72</v>
      </c>
      <c r="B12">
        <v>60257968</v>
      </c>
      <c r="C12">
        <v>60257914</v>
      </c>
      <c r="D12">
        <v>59012395</v>
      </c>
      <c r="E12">
        <v>1080</v>
      </c>
      <c r="F12">
        <v>1</v>
      </c>
      <c r="G12">
        <v>1080</v>
      </c>
      <c r="H12">
        <v>3</v>
      </c>
      <c r="I12" t="s">
        <v>194</v>
      </c>
      <c r="J12" t="s">
        <v>3</v>
      </c>
      <c r="K12" t="s">
        <v>195</v>
      </c>
      <c r="L12">
        <v>1354</v>
      </c>
      <c r="N12">
        <v>1010</v>
      </c>
      <c r="O12" t="s">
        <v>45</v>
      </c>
      <c r="P12" t="s">
        <v>45</v>
      </c>
      <c r="Q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23</v>
      </c>
      <c r="AG12">
        <v>0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ROW(Source!A77)</f>
        <v>77</v>
      </c>
      <c r="B13">
        <v>60257969</v>
      </c>
      <c r="C13">
        <v>60257924</v>
      </c>
      <c r="D13">
        <v>58999254</v>
      </c>
      <c r="E13">
        <v>1080</v>
      </c>
      <c r="F13">
        <v>1</v>
      </c>
      <c r="G13">
        <v>1080</v>
      </c>
      <c r="H13">
        <v>1</v>
      </c>
      <c r="I13" t="s">
        <v>152</v>
      </c>
      <c r="J13" t="s">
        <v>3</v>
      </c>
      <c r="K13" t="s">
        <v>153</v>
      </c>
      <c r="L13">
        <v>1191</v>
      </c>
      <c r="N13">
        <v>1013</v>
      </c>
      <c r="O13" t="s">
        <v>154</v>
      </c>
      <c r="P13" t="s">
        <v>154</v>
      </c>
      <c r="Q13">
        <v>1</v>
      </c>
      <c r="X13">
        <v>4.49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24</v>
      </c>
      <c r="AG13">
        <v>4.9390000000000009</v>
      </c>
      <c r="AH13">
        <v>2</v>
      </c>
      <c r="AI13">
        <v>60257925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ROW(Source!A77)</f>
        <v>77</v>
      </c>
      <c r="B14">
        <v>60257970</v>
      </c>
      <c r="C14">
        <v>60257924</v>
      </c>
      <c r="D14">
        <v>59070669</v>
      </c>
      <c r="E14">
        <v>1</v>
      </c>
      <c r="F14">
        <v>1</v>
      </c>
      <c r="G14">
        <v>1080</v>
      </c>
      <c r="H14">
        <v>2</v>
      </c>
      <c r="I14" t="s">
        <v>155</v>
      </c>
      <c r="J14" t="s">
        <v>156</v>
      </c>
      <c r="K14" t="s">
        <v>157</v>
      </c>
      <c r="L14">
        <v>1368</v>
      </c>
      <c r="N14">
        <v>1011</v>
      </c>
      <c r="O14" t="s">
        <v>158</v>
      </c>
      <c r="P14" t="s">
        <v>158</v>
      </c>
      <c r="Q14">
        <v>1</v>
      </c>
      <c r="X14">
        <v>0.01</v>
      </c>
      <c r="Y14">
        <v>0</v>
      </c>
      <c r="Z14">
        <v>83.1</v>
      </c>
      <c r="AA14">
        <v>12.62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1.1000000000000001E-2</v>
      </c>
      <c r="AH14">
        <v>2</v>
      </c>
      <c r="AI14">
        <v>60257926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ROW(Source!A77)</f>
        <v>77</v>
      </c>
      <c r="B15">
        <v>60257971</v>
      </c>
      <c r="C15">
        <v>60257924</v>
      </c>
      <c r="D15">
        <v>59069905</v>
      </c>
      <c r="E15">
        <v>1</v>
      </c>
      <c r="F15">
        <v>1</v>
      </c>
      <c r="G15">
        <v>1080</v>
      </c>
      <c r="H15">
        <v>2</v>
      </c>
      <c r="I15" t="s">
        <v>160</v>
      </c>
      <c r="J15" t="s">
        <v>161</v>
      </c>
      <c r="K15" t="s">
        <v>162</v>
      </c>
      <c r="L15">
        <v>1368</v>
      </c>
      <c r="N15">
        <v>1011</v>
      </c>
      <c r="O15" t="s">
        <v>158</v>
      </c>
      <c r="P15" t="s">
        <v>158</v>
      </c>
      <c r="Q15">
        <v>1</v>
      </c>
      <c r="X15">
        <v>0.01</v>
      </c>
      <c r="Y15">
        <v>0</v>
      </c>
      <c r="Z15">
        <v>179.17</v>
      </c>
      <c r="AA15">
        <v>16.93</v>
      </c>
      <c r="AB15">
        <v>0</v>
      </c>
      <c r="AC15">
        <v>0</v>
      </c>
      <c r="AD15">
        <v>1</v>
      </c>
      <c r="AE15">
        <v>0</v>
      </c>
      <c r="AF15" t="s">
        <v>24</v>
      </c>
      <c r="AG15">
        <v>1.1000000000000001E-2</v>
      </c>
      <c r="AH15">
        <v>2</v>
      </c>
      <c r="AI15">
        <v>60257927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ROW(Source!A77)</f>
        <v>77</v>
      </c>
      <c r="B16">
        <v>60257972</v>
      </c>
      <c r="C16">
        <v>60257924</v>
      </c>
      <c r="D16">
        <v>59039702</v>
      </c>
      <c r="E16">
        <v>1</v>
      </c>
      <c r="F16">
        <v>1</v>
      </c>
      <c r="G16">
        <v>1080</v>
      </c>
      <c r="H16">
        <v>3</v>
      </c>
      <c r="I16" t="s">
        <v>163</v>
      </c>
      <c r="J16" t="s">
        <v>164</v>
      </c>
      <c r="K16" t="s">
        <v>165</v>
      </c>
      <c r="L16">
        <v>1346</v>
      </c>
      <c r="N16">
        <v>1009</v>
      </c>
      <c r="O16" t="s">
        <v>166</v>
      </c>
      <c r="P16" t="s">
        <v>166</v>
      </c>
      <c r="Q16">
        <v>1</v>
      </c>
      <c r="X16">
        <v>0.43</v>
      </c>
      <c r="Y16">
        <v>1.38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23</v>
      </c>
      <c r="AG16">
        <v>0.43</v>
      </c>
      <c r="AH16">
        <v>2</v>
      </c>
      <c r="AI16">
        <v>60257928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ROW(Source!A77)</f>
        <v>77</v>
      </c>
      <c r="B17">
        <v>60257973</v>
      </c>
      <c r="C17">
        <v>60257924</v>
      </c>
      <c r="D17">
        <v>59040093</v>
      </c>
      <c r="E17">
        <v>1</v>
      </c>
      <c r="F17">
        <v>1</v>
      </c>
      <c r="G17">
        <v>1080</v>
      </c>
      <c r="H17">
        <v>3</v>
      </c>
      <c r="I17" t="s">
        <v>167</v>
      </c>
      <c r="J17" t="s">
        <v>168</v>
      </c>
      <c r="K17" t="s">
        <v>169</v>
      </c>
      <c r="L17">
        <v>1346</v>
      </c>
      <c r="N17">
        <v>1009</v>
      </c>
      <c r="O17" t="s">
        <v>166</v>
      </c>
      <c r="P17" t="s">
        <v>166</v>
      </c>
      <c r="Q17">
        <v>1</v>
      </c>
      <c r="X17">
        <v>0.16</v>
      </c>
      <c r="Y17">
        <v>159.06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23</v>
      </c>
      <c r="AG17">
        <v>0.16</v>
      </c>
      <c r="AH17">
        <v>2</v>
      </c>
      <c r="AI17">
        <v>60257929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ROW(Source!A77)</f>
        <v>77</v>
      </c>
      <c r="B18">
        <v>60257974</v>
      </c>
      <c r="C18">
        <v>60257924</v>
      </c>
      <c r="D18">
        <v>59063036</v>
      </c>
      <c r="E18">
        <v>1</v>
      </c>
      <c r="F18">
        <v>1</v>
      </c>
      <c r="G18">
        <v>1080</v>
      </c>
      <c r="H18">
        <v>3</v>
      </c>
      <c r="I18" t="s">
        <v>170</v>
      </c>
      <c r="J18" t="s">
        <v>171</v>
      </c>
      <c r="K18" t="s">
        <v>172</v>
      </c>
      <c r="L18">
        <v>1355</v>
      </c>
      <c r="N18">
        <v>1010</v>
      </c>
      <c r="O18" t="s">
        <v>173</v>
      </c>
      <c r="P18" t="s">
        <v>173</v>
      </c>
      <c r="Q18">
        <v>100</v>
      </c>
      <c r="X18">
        <v>0.05</v>
      </c>
      <c r="Y18">
        <v>68.819999999999993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23</v>
      </c>
      <c r="AG18">
        <v>0.05</v>
      </c>
      <c r="AH18">
        <v>2</v>
      </c>
      <c r="AI18">
        <v>60257930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ROW(Source!A77)</f>
        <v>77</v>
      </c>
      <c r="B19">
        <v>60257975</v>
      </c>
      <c r="C19">
        <v>60257924</v>
      </c>
      <c r="D19">
        <v>59063047</v>
      </c>
      <c r="E19">
        <v>1</v>
      </c>
      <c r="F19">
        <v>1</v>
      </c>
      <c r="G19">
        <v>1080</v>
      </c>
      <c r="H19">
        <v>3</v>
      </c>
      <c r="I19" t="s">
        <v>174</v>
      </c>
      <c r="J19" t="s">
        <v>175</v>
      </c>
      <c r="K19" t="s">
        <v>176</v>
      </c>
      <c r="L19">
        <v>1356</v>
      </c>
      <c r="N19">
        <v>1010</v>
      </c>
      <c r="O19" t="s">
        <v>177</v>
      </c>
      <c r="P19" t="s">
        <v>177</v>
      </c>
      <c r="Q19">
        <v>1000</v>
      </c>
      <c r="X19">
        <v>1.2200000000000001E-2</v>
      </c>
      <c r="Y19">
        <v>183.4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23</v>
      </c>
      <c r="AG19">
        <v>1.2200000000000001E-2</v>
      </c>
      <c r="AH19">
        <v>2</v>
      </c>
      <c r="AI19">
        <v>60257931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ROW(Source!A77)</f>
        <v>77</v>
      </c>
      <c r="B20">
        <v>60257976</v>
      </c>
      <c r="C20">
        <v>60257924</v>
      </c>
      <c r="D20">
        <v>59062373</v>
      </c>
      <c r="E20">
        <v>1</v>
      </c>
      <c r="F20">
        <v>1</v>
      </c>
      <c r="G20">
        <v>1080</v>
      </c>
      <c r="H20">
        <v>3</v>
      </c>
      <c r="I20" t="s">
        <v>178</v>
      </c>
      <c r="J20" t="s">
        <v>179</v>
      </c>
      <c r="K20" t="s">
        <v>180</v>
      </c>
      <c r="L20">
        <v>1354</v>
      </c>
      <c r="N20">
        <v>1010</v>
      </c>
      <c r="O20" t="s">
        <v>45</v>
      </c>
      <c r="P20" t="s">
        <v>45</v>
      </c>
      <c r="Q20">
        <v>1</v>
      </c>
      <c r="X20">
        <v>3.1</v>
      </c>
      <c r="Y20">
        <v>6.94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23</v>
      </c>
      <c r="AG20">
        <v>3.1</v>
      </c>
      <c r="AH20">
        <v>2</v>
      </c>
      <c r="AI20">
        <v>60257932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ROW(Source!A77)</f>
        <v>77</v>
      </c>
      <c r="B21">
        <v>60257977</v>
      </c>
      <c r="C21">
        <v>60257924</v>
      </c>
      <c r="D21">
        <v>59062380</v>
      </c>
      <c r="E21">
        <v>1</v>
      </c>
      <c r="F21">
        <v>1</v>
      </c>
      <c r="G21">
        <v>1080</v>
      </c>
      <c r="H21">
        <v>3</v>
      </c>
      <c r="I21" t="s">
        <v>181</v>
      </c>
      <c r="J21" t="s">
        <v>182</v>
      </c>
      <c r="K21" t="s">
        <v>183</v>
      </c>
      <c r="L21">
        <v>1356</v>
      </c>
      <c r="N21">
        <v>1010</v>
      </c>
      <c r="O21" t="s">
        <v>177</v>
      </c>
      <c r="P21" t="s">
        <v>177</v>
      </c>
      <c r="Q21">
        <v>1000</v>
      </c>
      <c r="X21">
        <v>8.0000000000000002E-3</v>
      </c>
      <c r="Y21">
        <v>614.09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23</v>
      </c>
      <c r="AG21">
        <v>8.0000000000000002E-3</v>
      </c>
      <c r="AH21">
        <v>2</v>
      </c>
      <c r="AI21">
        <v>60257933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ROW(Source!A77)</f>
        <v>77</v>
      </c>
      <c r="B22">
        <v>60257978</v>
      </c>
      <c r="C22">
        <v>60257924</v>
      </c>
      <c r="D22">
        <v>59014724</v>
      </c>
      <c r="E22">
        <v>1080</v>
      </c>
      <c r="F22">
        <v>1</v>
      </c>
      <c r="G22">
        <v>1080</v>
      </c>
      <c r="H22">
        <v>3</v>
      </c>
      <c r="I22" t="s">
        <v>196</v>
      </c>
      <c r="J22" t="s">
        <v>3</v>
      </c>
      <c r="K22" t="s">
        <v>197</v>
      </c>
      <c r="L22">
        <v>1303</v>
      </c>
      <c r="N22">
        <v>1003</v>
      </c>
      <c r="O22" t="s">
        <v>129</v>
      </c>
      <c r="P22" t="s">
        <v>129</v>
      </c>
      <c r="Q22">
        <v>1000</v>
      </c>
      <c r="X22">
        <v>0.10299999999999999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23</v>
      </c>
      <c r="AG22">
        <v>0.10299999999999999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ROW(Source!A78)</f>
        <v>78</v>
      </c>
      <c r="B23">
        <v>60257969</v>
      </c>
      <c r="C23">
        <v>60257924</v>
      </c>
      <c r="D23">
        <v>58999254</v>
      </c>
      <c r="E23">
        <v>1080</v>
      </c>
      <c r="F23">
        <v>1</v>
      </c>
      <c r="G23">
        <v>1080</v>
      </c>
      <c r="H23">
        <v>1</v>
      </c>
      <c r="I23" t="s">
        <v>152</v>
      </c>
      <c r="J23" t="s">
        <v>3</v>
      </c>
      <c r="K23" t="s">
        <v>153</v>
      </c>
      <c r="L23">
        <v>1191</v>
      </c>
      <c r="N23">
        <v>1013</v>
      </c>
      <c r="O23" t="s">
        <v>154</v>
      </c>
      <c r="P23" t="s">
        <v>154</v>
      </c>
      <c r="Q23">
        <v>1</v>
      </c>
      <c r="X23">
        <v>4.49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24</v>
      </c>
      <c r="AG23">
        <v>4.9390000000000009</v>
      </c>
      <c r="AH23">
        <v>2</v>
      </c>
      <c r="AI23">
        <v>60257925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ROW(Source!A78)</f>
        <v>78</v>
      </c>
      <c r="B24">
        <v>60257970</v>
      </c>
      <c r="C24">
        <v>60257924</v>
      </c>
      <c r="D24">
        <v>59070669</v>
      </c>
      <c r="E24">
        <v>1</v>
      </c>
      <c r="F24">
        <v>1</v>
      </c>
      <c r="G24">
        <v>1080</v>
      </c>
      <c r="H24">
        <v>2</v>
      </c>
      <c r="I24" t="s">
        <v>155</v>
      </c>
      <c r="J24" t="s">
        <v>156</v>
      </c>
      <c r="K24" t="s">
        <v>157</v>
      </c>
      <c r="L24">
        <v>1368</v>
      </c>
      <c r="N24">
        <v>1011</v>
      </c>
      <c r="O24" t="s">
        <v>158</v>
      </c>
      <c r="P24" t="s">
        <v>158</v>
      </c>
      <c r="Q24">
        <v>1</v>
      </c>
      <c r="X24">
        <v>0.01</v>
      </c>
      <c r="Y24">
        <v>0</v>
      </c>
      <c r="Z24">
        <v>83.1</v>
      </c>
      <c r="AA24">
        <v>12.62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1.1000000000000001E-2</v>
      </c>
      <c r="AH24">
        <v>2</v>
      </c>
      <c r="AI24">
        <v>60257926</v>
      </c>
      <c r="AJ24">
        <v>21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ROW(Source!A78)</f>
        <v>78</v>
      </c>
      <c r="B25">
        <v>60257971</v>
      </c>
      <c r="C25">
        <v>60257924</v>
      </c>
      <c r="D25">
        <v>59069905</v>
      </c>
      <c r="E25">
        <v>1</v>
      </c>
      <c r="F25">
        <v>1</v>
      </c>
      <c r="G25">
        <v>1080</v>
      </c>
      <c r="H25">
        <v>2</v>
      </c>
      <c r="I25" t="s">
        <v>160</v>
      </c>
      <c r="J25" t="s">
        <v>161</v>
      </c>
      <c r="K25" t="s">
        <v>162</v>
      </c>
      <c r="L25">
        <v>1368</v>
      </c>
      <c r="N25">
        <v>1011</v>
      </c>
      <c r="O25" t="s">
        <v>158</v>
      </c>
      <c r="P25" t="s">
        <v>158</v>
      </c>
      <c r="Q25">
        <v>1</v>
      </c>
      <c r="X25">
        <v>0.01</v>
      </c>
      <c r="Y25">
        <v>0</v>
      </c>
      <c r="Z25">
        <v>179.17</v>
      </c>
      <c r="AA25">
        <v>16.93</v>
      </c>
      <c r="AB25">
        <v>0</v>
      </c>
      <c r="AC25">
        <v>0</v>
      </c>
      <c r="AD25">
        <v>1</v>
      </c>
      <c r="AE25">
        <v>0</v>
      </c>
      <c r="AF25" t="s">
        <v>24</v>
      </c>
      <c r="AG25">
        <v>1.1000000000000001E-2</v>
      </c>
      <c r="AH25">
        <v>2</v>
      </c>
      <c r="AI25">
        <v>60257927</v>
      </c>
      <c r="AJ25">
        <v>22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ROW(Source!A78)</f>
        <v>78</v>
      </c>
      <c r="B26">
        <v>60257972</v>
      </c>
      <c r="C26">
        <v>60257924</v>
      </c>
      <c r="D26">
        <v>59039702</v>
      </c>
      <c r="E26">
        <v>1</v>
      </c>
      <c r="F26">
        <v>1</v>
      </c>
      <c r="G26">
        <v>1080</v>
      </c>
      <c r="H26">
        <v>3</v>
      </c>
      <c r="I26" t="s">
        <v>163</v>
      </c>
      <c r="J26" t="s">
        <v>164</v>
      </c>
      <c r="K26" t="s">
        <v>165</v>
      </c>
      <c r="L26">
        <v>1346</v>
      </c>
      <c r="N26">
        <v>1009</v>
      </c>
      <c r="O26" t="s">
        <v>166</v>
      </c>
      <c r="P26" t="s">
        <v>166</v>
      </c>
      <c r="Q26">
        <v>1</v>
      </c>
      <c r="X26">
        <v>0.43</v>
      </c>
      <c r="Y26">
        <v>1.38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23</v>
      </c>
      <c r="AG26">
        <v>0.43</v>
      </c>
      <c r="AH26">
        <v>2</v>
      </c>
      <c r="AI26">
        <v>60257928</v>
      </c>
      <c r="AJ26">
        <v>23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ROW(Source!A78)</f>
        <v>78</v>
      </c>
      <c r="B27">
        <v>60257973</v>
      </c>
      <c r="C27">
        <v>60257924</v>
      </c>
      <c r="D27">
        <v>59040093</v>
      </c>
      <c r="E27">
        <v>1</v>
      </c>
      <c r="F27">
        <v>1</v>
      </c>
      <c r="G27">
        <v>1080</v>
      </c>
      <c r="H27">
        <v>3</v>
      </c>
      <c r="I27" t="s">
        <v>167</v>
      </c>
      <c r="J27" t="s">
        <v>168</v>
      </c>
      <c r="K27" t="s">
        <v>169</v>
      </c>
      <c r="L27">
        <v>1346</v>
      </c>
      <c r="N27">
        <v>1009</v>
      </c>
      <c r="O27" t="s">
        <v>166</v>
      </c>
      <c r="P27" t="s">
        <v>166</v>
      </c>
      <c r="Q27">
        <v>1</v>
      </c>
      <c r="X27">
        <v>0.16</v>
      </c>
      <c r="Y27">
        <v>159.06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23</v>
      </c>
      <c r="AG27">
        <v>0.16</v>
      </c>
      <c r="AH27">
        <v>2</v>
      </c>
      <c r="AI27">
        <v>60257929</v>
      </c>
      <c r="AJ27">
        <v>24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ROW(Source!A78)</f>
        <v>78</v>
      </c>
      <c r="B28">
        <v>60257974</v>
      </c>
      <c r="C28">
        <v>60257924</v>
      </c>
      <c r="D28">
        <v>59063036</v>
      </c>
      <c r="E28">
        <v>1</v>
      </c>
      <c r="F28">
        <v>1</v>
      </c>
      <c r="G28">
        <v>1080</v>
      </c>
      <c r="H28">
        <v>3</v>
      </c>
      <c r="I28" t="s">
        <v>170</v>
      </c>
      <c r="J28" t="s">
        <v>171</v>
      </c>
      <c r="K28" t="s">
        <v>172</v>
      </c>
      <c r="L28">
        <v>1355</v>
      </c>
      <c r="N28">
        <v>1010</v>
      </c>
      <c r="O28" t="s">
        <v>173</v>
      </c>
      <c r="P28" t="s">
        <v>173</v>
      </c>
      <c r="Q28">
        <v>100</v>
      </c>
      <c r="X28">
        <v>0.05</v>
      </c>
      <c r="Y28">
        <v>68.819999999999993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23</v>
      </c>
      <c r="AG28">
        <v>0.05</v>
      </c>
      <c r="AH28">
        <v>2</v>
      </c>
      <c r="AI28">
        <v>60257930</v>
      </c>
      <c r="AJ28">
        <v>25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ROW(Source!A78)</f>
        <v>78</v>
      </c>
      <c r="B29">
        <v>60257975</v>
      </c>
      <c r="C29">
        <v>60257924</v>
      </c>
      <c r="D29">
        <v>59063047</v>
      </c>
      <c r="E29">
        <v>1</v>
      </c>
      <c r="F29">
        <v>1</v>
      </c>
      <c r="G29">
        <v>1080</v>
      </c>
      <c r="H29">
        <v>3</v>
      </c>
      <c r="I29" t="s">
        <v>174</v>
      </c>
      <c r="J29" t="s">
        <v>175</v>
      </c>
      <c r="K29" t="s">
        <v>176</v>
      </c>
      <c r="L29">
        <v>1356</v>
      </c>
      <c r="N29">
        <v>1010</v>
      </c>
      <c r="O29" t="s">
        <v>177</v>
      </c>
      <c r="P29" t="s">
        <v>177</v>
      </c>
      <c r="Q29">
        <v>1000</v>
      </c>
      <c r="X29">
        <v>1.2200000000000001E-2</v>
      </c>
      <c r="Y29">
        <v>183.4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23</v>
      </c>
      <c r="AG29">
        <v>1.2200000000000001E-2</v>
      </c>
      <c r="AH29">
        <v>2</v>
      </c>
      <c r="AI29">
        <v>60257931</v>
      </c>
      <c r="AJ29">
        <v>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ROW(Source!A78)</f>
        <v>78</v>
      </c>
      <c r="B30">
        <v>60257976</v>
      </c>
      <c r="C30">
        <v>60257924</v>
      </c>
      <c r="D30">
        <v>59062373</v>
      </c>
      <c r="E30">
        <v>1</v>
      </c>
      <c r="F30">
        <v>1</v>
      </c>
      <c r="G30">
        <v>1080</v>
      </c>
      <c r="H30">
        <v>3</v>
      </c>
      <c r="I30" t="s">
        <v>178</v>
      </c>
      <c r="J30" t="s">
        <v>179</v>
      </c>
      <c r="K30" t="s">
        <v>180</v>
      </c>
      <c r="L30">
        <v>1354</v>
      </c>
      <c r="N30">
        <v>1010</v>
      </c>
      <c r="O30" t="s">
        <v>45</v>
      </c>
      <c r="P30" t="s">
        <v>45</v>
      </c>
      <c r="Q30">
        <v>1</v>
      </c>
      <c r="X30">
        <v>3.1</v>
      </c>
      <c r="Y30">
        <v>6.94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23</v>
      </c>
      <c r="AG30">
        <v>3.1</v>
      </c>
      <c r="AH30">
        <v>2</v>
      </c>
      <c r="AI30">
        <v>60257932</v>
      </c>
      <c r="AJ30">
        <v>27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ROW(Source!A78)</f>
        <v>78</v>
      </c>
      <c r="B31">
        <v>60257977</v>
      </c>
      <c r="C31">
        <v>60257924</v>
      </c>
      <c r="D31">
        <v>59062380</v>
      </c>
      <c r="E31">
        <v>1</v>
      </c>
      <c r="F31">
        <v>1</v>
      </c>
      <c r="G31">
        <v>1080</v>
      </c>
      <c r="H31">
        <v>3</v>
      </c>
      <c r="I31" t="s">
        <v>181</v>
      </c>
      <c r="J31" t="s">
        <v>182</v>
      </c>
      <c r="K31" t="s">
        <v>183</v>
      </c>
      <c r="L31">
        <v>1356</v>
      </c>
      <c r="N31">
        <v>1010</v>
      </c>
      <c r="O31" t="s">
        <v>177</v>
      </c>
      <c r="P31" t="s">
        <v>177</v>
      </c>
      <c r="Q31">
        <v>1000</v>
      </c>
      <c r="X31">
        <v>8.0000000000000002E-3</v>
      </c>
      <c r="Y31">
        <v>614.09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23</v>
      </c>
      <c r="AG31">
        <v>8.0000000000000002E-3</v>
      </c>
      <c r="AH31">
        <v>2</v>
      </c>
      <c r="AI31">
        <v>60257933</v>
      </c>
      <c r="AJ31">
        <v>28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ROW(Source!A78)</f>
        <v>78</v>
      </c>
      <c r="B32">
        <v>60257978</v>
      </c>
      <c r="C32">
        <v>60257924</v>
      </c>
      <c r="D32">
        <v>59014724</v>
      </c>
      <c r="E32">
        <v>1080</v>
      </c>
      <c r="F32">
        <v>1</v>
      </c>
      <c r="G32">
        <v>1080</v>
      </c>
      <c r="H32">
        <v>3</v>
      </c>
      <c r="I32" t="s">
        <v>196</v>
      </c>
      <c r="J32" t="s">
        <v>3</v>
      </c>
      <c r="K32" t="s">
        <v>197</v>
      </c>
      <c r="L32">
        <v>1303</v>
      </c>
      <c r="N32">
        <v>1003</v>
      </c>
      <c r="O32" t="s">
        <v>129</v>
      </c>
      <c r="P32" t="s">
        <v>129</v>
      </c>
      <c r="Q32">
        <v>1000</v>
      </c>
      <c r="X32">
        <v>0.10299999999999999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23</v>
      </c>
      <c r="AG32">
        <v>0.10299999999999999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ROW(Source!A79)</f>
        <v>79</v>
      </c>
      <c r="B33">
        <v>60257979</v>
      </c>
      <c r="C33">
        <v>60257944</v>
      </c>
      <c r="D33">
        <v>58999254</v>
      </c>
      <c r="E33">
        <v>1080</v>
      </c>
      <c r="F33">
        <v>1</v>
      </c>
      <c r="G33">
        <v>1080</v>
      </c>
      <c r="H33">
        <v>1</v>
      </c>
      <c r="I33" t="s">
        <v>152</v>
      </c>
      <c r="J33" t="s">
        <v>3</v>
      </c>
      <c r="K33" t="s">
        <v>153</v>
      </c>
      <c r="L33">
        <v>1191</v>
      </c>
      <c r="N33">
        <v>1013</v>
      </c>
      <c r="O33" t="s">
        <v>154</v>
      </c>
      <c r="P33" t="s">
        <v>154</v>
      </c>
      <c r="Q33">
        <v>1</v>
      </c>
      <c r="X33">
        <v>1.83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24</v>
      </c>
      <c r="AG33">
        <v>2.0130000000000003</v>
      </c>
      <c r="AH33">
        <v>2</v>
      </c>
      <c r="AI33">
        <v>60257945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ROW(Source!A79)</f>
        <v>79</v>
      </c>
      <c r="B34">
        <v>60257980</v>
      </c>
      <c r="C34">
        <v>60257944</v>
      </c>
      <c r="D34">
        <v>59070669</v>
      </c>
      <c r="E34">
        <v>1</v>
      </c>
      <c r="F34">
        <v>1</v>
      </c>
      <c r="G34">
        <v>1080</v>
      </c>
      <c r="H34">
        <v>2</v>
      </c>
      <c r="I34" t="s">
        <v>155</v>
      </c>
      <c r="J34" t="s">
        <v>156</v>
      </c>
      <c r="K34" t="s">
        <v>157</v>
      </c>
      <c r="L34">
        <v>1368</v>
      </c>
      <c r="N34">
        <v>1011</v>
      </c>
      <c r="O34" t="s">
        <v>158</v>
      </c>
      <c r="P34" t="s">
        <v>158</v>
      </c>
      <c r="Q34">
        <v>1</v>
      </c>
      <c r="X34">
        <v>0.01</v>
      </c>
      <c r="Y34">
        <v>0</v>
      </c>
      <c r="Z34">
        <v>83.1</v>
      </c>
      <c r="AA34">
        <v>12.62</v>
      </c>
      <c r="AB34">
        <v>0</v>
      </c>
      <c r="AC34">
        <v>0</v>
      </c>
      <c r="AD34">
        <v>1</v>
      </c>
      <c r="AE34">
        <v>0</v>
      </c>
      <c r="AF34" t="s">
        <v>24</v>
      </c>
      <c r="AG34">
        <v>1.1000000000000001E-2</v>
      </c>
      <c r="AH34">
        <v>2</v>
      </c>
      <c r="AI34">
        <v>60257946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ROW(Source!A79)</f>
        <v>79</v>
      </c>
      <c r="B35">
        <v>60257981</v>
      </c>
      <c r="C35">
        <v>60257944</v>
      </c>
      <c r="D35">
        <v>59069905</v>
      </c>
      <c r="E35">
        <v>1</v>
      </c>
      <c r="F35">
        <v>1</v>
      </c>
      <c r="G35">
        <v>1080</v>
      </c>
      <c r="H35">
        <v>2</v>
      </c>
      <c r="I35" t="s">
        <v>160</v>
      </c>
      <c r="J35" t="s">
        <v>161</v>
      </c>
      <c r="K35" t="s">
        <v>162</v>
      </c>
      <c r="L35">
        <v>1368</v>
      </c>
      <c r="N35">
        <v>1011</v>
      </c>
      <c r="O35" t="s">
        <v>158</v>
      </c>
      <c r="P35" t="s">
        <v>158</v>
      </c>
      <c r="Q35">
        <v>1</v>
      </c>
      <c r="X35">
        <v>0.01</v>
      </c>
      <c r="Y35">
        <v>0</v>
      </c>
      <c r="Z35">
        <v>179.17</v>
      </c>
      <c r="AA35">
        <v>16.93</v>
      </c>
      <c r="AB35">
        <v>0</v>
      </c>
      <c r="AC35">
        <v>0</v>
      </c>
      <c r="AD35">
        <v>1</v>
      </c>
      <c r="AE35">
        <v>0</v>
      </c>
      <c r="AF35" t="s">
        <v>24</v>
      </c>
      <c r="AG35">
        <v>1.1000000000000001E-2</v>
      </c>
      <c r="AH35">
        <v>2</v>
      </c>
      <c r="AI35">
        <v>60257947</v>
      </c>
      <c r="AJ35">
        <v>31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ROW(Source!A79)</f>
        <v>79</v>
      </c>
      <c r="B36">
        <v>60257982</v>
      </c>
      <c r="C36">
        <v>60257944</v>
      </c>
      <c r="D36">
        <v>59039702</v>
      </c>
      <c r="E36">
        <v>1</v>
      </c>
      <c r="F36">
        <v>1</v>
      </c>
      <c r="G36">
        <v>1080</v>
      </c>
      <c r="H36">
        <v>3</v>
      </c>
      <c r="I36" t="s">
        <v>163</v>
      </c>
      <c r="J36" t="s">
        <v>164</v>
      </c>
      <c r="K36" t="s">
        <v>165</v>
      </c>
      <c r="L36">
        <v>1346</v>
      </c>
      <c r="N36">
        <v>1009</v>
      </c>
      <c r="O36" t="s">
        <v>166</v>
      </c>
      <c r="P36" t="s">
        <v>166</v>
      </c>
      <c r="Q36">
        <v>1</v>
      </c>
      <c r="X36">
        <v>0.6</v>
      </c>
      <c r="Y36">
        <v>1.38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23</v>
      </c>
      <c r="AG36">
        <v>0.6</v>
      </c>
      <c r="AH36">
        <v>2</v>
      </c>
      <c r="AI36">
        <v>60257948</v>
      </c>
      <c r="AJ36">
        <v>32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ROW(Source!A79)</f>
        <v>79</v>
      </c>
      <c r="B37">
        <v>60257983</v>
      </c>
      <c r="C37">
        <v>60257944</v>
      </c>
      <c r="D37">
        <v>59040093</v>
      </c>
      <c r="E37">
        <v>1</v>
      </c>
      <c r="F37">
        <v>1</v>
      </c>
      <c r="G37">
        <v>1080</v>
      </c>
      <c r="H37">
        <v>3</v>
      </c>
      <c r="I37" t="s">
        <v>167</v>
      </c>
      <c r="J37" t="s">
        <v>168</v>
      </c>
      <c r="K37" t="s">
        <v>169</v>
      </c>
      <c r="L37">
        <v>1346</v>
      </c>
      <c r="N37">
        <v>1009</v>
      </c>
      <c r="O37" t="s">
        <v>166</v>
      </c>
      <c r="P37" t="s">
        <v>166</v>
      </c>
      <c r="Q37">
        <v>1</v>
      </c>
      <c r="X37">
        <v>0.16</v>
      </c>
      <c r="Y37">
        <v>159.06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23</v>
      </c>
      <c r="AG37">
        <v>0.16</v>
      </c>
      <c r="AH37">
        <v>2</v>
      </c>
      <c r="AI37">
        <v>60257949</v>
      </c>
      <c r="AJ37">
        <v>33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ROW(Source!A79)</f>
        <v>79</v>
      </c>
      <c r="B38">
        <v>60257984</v>
      </c>
      <c r="C38">
        <v>60257944</v>
      </c>
      <c r="D38">
        <v>59063048</v>
      </c>
      <c r="E38">
        <v>1</v>
      </c>
      <c r="F38">
        <v>1</v>
      </c>
      <c r="G38">
        <v>1080</v>
      </c>
      <c r="H38">
        <v>3</v>
      </c>
      <c r="I38" t="s">
        <v>184</v>
      </c>
      <c r="J38" t="s">
        <v>185</v>
      </c>
      <c r="K38" t="s">
        <v>186</v>
      </c>
      <c r="L38">
        <v>1356</v>
      </c>
      <c r="N38">
        <v>1010</v>
      </c>
      <c r="O38" t="s">
        <v>177</v>
      </c>
      <c r="P38" t="s">
        <v>177</v>
      </c>
      <c r="Q38">
        <v>1000</v>
      </c>
      <c r="X38">
        <v>1.2200000000000001E-2</v>
      </c>
      <c r="Y38">
        <v>226.86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23</v>
      </c>
      <c r="AG38">
        <v>1.2200000000000001E-2</v>
      </c>
      <c r="AH38">
        <v>2</v>
      </c>
      <c r="AI38">
        <v>60257950</v>
      </c>
      <c r="AJ38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ROW(Source!A79)</f>
        <v>79</v>
      </c>
      <c r="B39">
        <v>60257985</v>
      </c>
      <c r="C39">
        <v>60257944</v>
      </c>
      <c r="D39">
        <v>59062373</v>
      </c>
      <c r="E39">
        <v>1</v>
      </c>
      <c r="F39">
        <v>1</v>
      </c>
      <c r="G39">
        <v>1080</v>
      </c>
      <c r="H39">
        <v>3</v>
      </c>
      <c r="I39" t="s">
        <v>178</v>
      </c>
      <c r="J39" t="s">
        <v>179</v>
      </c>
      <c r="K39" t="s">
        <v>180</v>
      </c>
      <c r="L39">
        <v>1354</v>
      </c>
      <c r="N39">
        <v>1010</v>
      </c>
      <c r="O39" t="s">
        <v>45</v>
      </c>
      <c r="P39" t="s">
        <v>45</v>
      </c>
      <c r="Q39">
        <v>1</v>
      </c>
      <c r="X39">
        <v>3.1</v>
      </c>
      <c r="Y39">
        <v>6.94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23</v>
      </c>
      <c r="AG39">
        <v>3.1</v>
      </c>
      <c r="AH39">
        <v>2</v>
      </c>
      <c r="AI39">
        <v>60257951</v>
      </c>
      <c r="AJ39">
        <v>35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ROW(Source!A79)</f>
        <v>79</v>
      </c>
      <c r="B40">
        <v>60257986</v>
      </c>
      <c r="C40">
        <v>60257944</v>
      </c>
      <c r="D40">
        <v>59062381</v>
      </c>
      <c r="E40">
        <v>1</v>
      </c>
      <c r="F40">
        <v>1</v>
      </c>
      <c r="G40">
        <v>1080</v>
      </c>
      <c r="H40">
        <v>3</v>
      </c>
      <c r="I40" t="s">
        <v>187</v>
      </c>
      <c r="J40" t="s">
        <v>188</v>
      </c>
      <c r="K40" t="s">
        <v>189</v>
      </c>
      <c r="L40">
        <v>1356</v>
      </c>
      <c r="N40">
        <v>1010</v>
      </c>
      <c r="O40" t="s">
        <v>177</v>
      </c>
      <c r="P40" t="s">
        <v>177</v>
      </c>
      <c r="Q40">
        <v>1000</v>
      </c>
      <c r="X40">
        <v>8.0000000000000002E-3</v>
      </c>
      <c r="Y40">
        <v>614.09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23</v>
      </c>
      <c r="AG40">
        <v>8.0000000000000002E-3</v>
      </c>
      <c r="AH40">
        <v>2</v>
      </c>
      <c r="AI40">
        <v>60257952</v>
      </c>
      <c r="AJ40">
        <v>36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ROW(Source!A79)</f>
        <v>79</v>
      </c>
      <c r="B41">
        <v>60257987</v>
      </c>
      <c r="C41">
        <v>60257944</v>
      </c>
      <c r="D41">
        <v>59014724</v>
      </c>
      <c r="E41">
        <v>1080</v>
      </c>
      <c r="F41">
        <v>1</v>
      </c>
      <c r="G41">
        <v>1080</v>
      </c>
      <c r="H41">
        <v>3</v>
      </c>
      <c r="I41" t="s">
        <v>196</v>
      </c>
      <c r="J41" t="s">
        <v>3</v>
      </c>
      <c r="K41" t="s">
        <v>197</v>
      </c>
      <c r="L41">
        <v>1303</v>
      </c>
      <c r="N41">
        <v>1003</v>
      </c>
      <c r="O41" t="s">
        <v>129</v>
      </c>
      <c r="P41" t="s">
        <v>129</v>
      </c>
      <c r="Q41">
        <v>1000</v>
      </c>
      <c r="X41">
        <v>0.10299999999999999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23</v>
      </c>
      <c r="AG41">
        <v>0.10299999999999999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ROW(Source!A80)</f>
        <v>80</v>
      </c>
      <c r="B42">
        <v>60257979</v>
      </c>
      <c r="C42">
        <v>60257944</v>
      </c>
      <c r="D42">
        <v>58999254</v>
      </c>
      <c r="E42">
        <v>1080</v>
      </c>
      <c r="F42">
        <v>1</v>
      </c>
      <c r="G42">
        <v>1080</v>
      </c>
      <c r="H42">
        <v>1</v>
      </c>
      <c r="I42" t="s">
        <v>152</v>
      </c>
      <c r="J42" t="s">
        <v>3</v>
      </c>
      <c r="K42" t="s">
        <v>153</v>
      </c>
      <c r="L42">
        <v>1191</v>
      </c>
      <c r="N42">
        <v>1013</v>
      </c>
      <c r="O42" t="s">
        <v>154</v>
      </c>
      <c r="P42" t="s">
        <v>154</v>
      </c>
      <c r="Q42">
        <v>1</v>
      </c>
      <c r="X42">
        <v>1.83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24</v>
      </c>
      <c r="AG42">
        <v>2.0130000000000003</v>
      </c>
      <c r="AH42">
        <v>2</v>
      </c>
      <c r="AI42">
        <v>60257945</v>
      </c>
      <c r="AJ42">
        <v>37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ROW(Source!A80)</f>
        <v>80</v>
      </c>
      <c r="B43">
        <v>60257980</v>
      </c>
      <c r="C43">
        <v>60257944</v>
      </c>
      <c r="D43">
        <v>59070669</v>
      </c>
      <c r="E43">
        <v>1</v>
      </c>
      <c r="F43">
        <v>1</v>
      </c>
      <c r="G43">
        <v>1080</v>
      </c>
      <c r="H43">
        <v>2</v>
      </c>
      <c r="I43" t="s">
        <v>155</v>
      </c>
      <c r="J43" t="s">
        <v>156</v>
      </c>
      <c r="K43" t="s">
        <v>157</v>
      </c>
      <c r="L43">
        <v>1368</v>
      </c>
      <c r="N43">
        <v>1011</v>
      </c>
      <c r="O43" t="s">
        <v>158</v>
      </c>
      <c r="P43" t="s">
        <v>158</v>
      </c>
      <c r="Q43">
        <v>1</v>
      </c>
      <c r="X43">
        <v>0.01</v>
      </c>
      <c r="Y43">
        <v>0</v>
      </c>
      <c r="Z43">
        <v>83.1</v>
      </c>
      <c r="AA43">
        <v>12.62</v>
      </c>
      <c r="AB43">
        <v>0</v>
      </c>
      <c r="AC43">
        <v>0</v>
      </c>
      <c r="AD43">
        <v>1</v>
      </c>
      <c r="AE43">
        <v>0</v>
      </c>
      <c r="AF43" t="s">
        <v>24</v>
      </c>
      <c r="AG43">
        <v>1.1000000000000001E-2</v>
      </c>
      <c r="AH43">
        <v>2</v>
      </c>
      <c r="AI43">
        <v>60257946</v>
      </c>
      <c r="AJ43">
        <v>38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ROW(Source!A80)</f>
        <v>80</v>
      </c>
      <c r="B44">
        <v>60257981</v>
      </c>
      <c r="C44">
        <v>60257944</v>
      </c>
      <c r="D44">
        <v>59069905</v>
      </c>
      <c r="E44">
        <v>1</v>
      </c>
      <c r="F44">
        <v>1</v>
      </c>
      <c r="G44">
        <v>1080</v>
      </c>
      <c r="H44">
        <v>2</v>
      </c>
      <c r="I44" t="s">
        <v>160</v>
      </c>
      <c r="J44" t="s">
        <v>161</v>
      </c>
      <c r="K44" t="s">
        <v>162</v>
      </c>
      <c r="L44">
        <v>1368</v>
      </c>
      <c r="N44">
        <v>1011</v>
      </c>
      <c r="O44" t="s">
        <v>158</v>
      </c>
      <c r="P44" t="s">
        <v>158</v>
      </c>
      <c r="Q44">
        <v>1</v>
      </c>
      <c r="X44">
        <v>0.01</v>
      </c>
      <c r="Y44">
        <v>0</v>
      </c>
      <c r="Z44">
        <v>179.17</v>
      </c>
      <c r="AA44">
        <v>16.93</v>
      </c>
      <c r="AB44">
        <v>0</v>
      </c>
      <c r="AC44">
        <v>0</v>
      </c>
      <c r="AD44">
        <v>1</v>
      </c>
      <c r="AE44">
        <v>0</v>
      </c>
      <c r="AF44" t="s">
        <v>24</v>
      </c>
      <c r="AG44">
        <v>1.1000000000000001E-2</v>
      </c>
      <c r="AH44">
        <v>2</v>
      </c>
      <c r="AI44">
        <v>60257947</v>
      </c>
      <c r="AJ44">
        <v>39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ROW(Source!A80)</f>
        <v>80</v>
      </c>
      <c r="B45">
        <v>60257982</v>
      </c>
      <c r="C45">
        <v>60257944</v>
      </c>
      <c r="D45">
        <v>59039702</v>
      </c>
      <c r="E45">
        <v>1</v>
      </c>
      <c r="F45">
        <v>1</v>
      </c>
      <c r="G45">
        <v>1080</v>
      </c>
      <c r="H45">
        <v>3</v>
      </c>
      <c r="I45" t="s">
        <v>163</v>
      </c>
      <c r="J45" t="s">
        <v>164</v>
      </c>
      <c r="K45" t="s">
        <v>165</v>
      </c>
      <c r="L45">
        <v>1346</v>
      </c>
      <c r="N45">
        <v>1009</v>
      </c>
      <c r="O45" t="s">
        <v>166</v>
      </c>
      <c r="P45" t="s">
        <v>166</v>
      </c>
      <c r="Q45">
        <v>1</v>
      </c>
      <c r="X45">
        <v>0.6</v>
      </c>
      <c r="Y45">
        <v>1.38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23</v>
      </c>
      <c r="AG45">
        <v>0.6</v>
      </c>
      <c r="AH45">
        <v>2</v>
      </c>
      <c r="AI45">
        <v>60257948</v>
      </c>
      <c r="AJ45">
        <v>40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ROW(Source!A80)</f>
        <v>80</v>
      </c>
      <c r="B46">
        <v>60257983</v>
      </c>
      <c r="C46">
        <v>60257944</v>
      </c>
      <c r="D46">
        <v>59040093</v>
      </c>
      <c r="E46">
        <v>1</v>
      </c>
      <c r="F46">
        <v>1</v>
      </c>
      <c r="G46">
        <v>1080</v>
      </c>
      <c r="H46">
        <v>3</v>
      </c>
      <c r="I46" t="s">
        <v>167</v>
      </c>
      <c r="J46" t="s">
        <v>168</v>
      </c>
      <c r="K46" t="s">
        <v>169</v>
      </c>
      <c r="L46">
        <v>1346</v>
      </c>
      <c r="N46">
        <v>1009</v>
      </c>
      <c r="O46" t="s">
        <v>166</v>
      </c>
      <c r="P46" t="s">
        <v>166</v>
      </c>
      <c r="Q46">
        <v>1</v>
      </c>
      <c r="X46">
        <v>0.16</v>
      </c>
      <c r="Y46">
        <v>159.06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23</v>
      </c>
      <c r="AG46">
        <v>0.16</v>
      </c>
      <c r="AH46">
        <v>2</v>
      </c>
      <c r="AI46">
        <v>60257949</v>
      </c>
      <c r="AJ46">
        <v>41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ROW(Source!A80)</f>
        <v>80</v>
      </c>
      <c r="B47">
        <v>60257984</v>
      </c>
      <c r="C47">
        <v>60257944</v>
      </c>
      <c r="D47">
        <v>59063048</v>
      </c>
      <c r="E47">
        <v>1</v>
      </c>
      <c r="F47">
        <v>1</v>
      </c>
      <c r="G47">
        <v>1080</v>
      </c>
      <c r="H47">
        <v>3</v>
      </c>
      <c r="I47" t="s">
        <v>184</v>
      </c>
      <c r="J47" t="s">
        <v>185</v>
      </c>
      <c r="K47" t="s">
        <v>186</v>
      </c>
      <c r="L47">
        <v>1356</v>
      </c>
      <c r="N47">
        <v>1010</v>
      </c>
      <c r="O47" t="s">
        <v>177</v>
      </c>
      <c r="P47" t="s">
        <v>177</v>
      </c>
      <c r="Q47">
        <v>1000</v>
      </c>
      <c r="X47">
        <v>1.2200000000000001E-2</v>
      </c>
      <c r="Y47">
        <v>226.86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23</v>
      </c>
      <c r="AG47">
        <v>1.2200000000000001E-2</v>
      </c>
      <c r="AH47">
        <v>2</v>
      </c>
      <c r="AI47">
        <v>60257950</v>
      </c>
      <c r="AJ47">
        <v>42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ROW(Source!A80)</f>
        <v>80</v>
      </c>
      <c r="B48">
        <v>60257985</v>
      </c>
      <c r="C48">
        <v>60257944</v>
      </c>
      <c r="D48">
        <v>59062373</v>
      </c>
      <c r="E48">
        <v>1</v>
      </c>
      <c r="F48">
        <v>1</v>
      </c>
      <c r="G48">
        <v>1080</v>
      </c>
      <c r="H48">
        <v>3</v>
      </c>
      <c r="I48" t="s">
        <v>178</v>
      </c>
      <c r="J48" t="s">
        <v>179</v>
      </c>
      <c r="K48" t="s">
        <v>180</v>
      </c>
      <c r="L48">
        <v>1354</v>
      </c>
      <c r="N48">
        <v>1010</v>
      </c>
      <c r="O48" t="s">
        <v>45</v>
      </c>
      <c r="P48" t="s">
        <v>45</v>
      </c>
      <c r="Q48">
        <v>1</v>
      </c>
      <c r="X48">
        <v>3.1</v>
      </c>
      <c r="Y48">
        <v>6.94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23</v>
      </c>
      <c r="AG48">
        <v>3.1</v>
      </c>
      <c r="AH48">
        <v>2</v>
      </c>
      <c r="AI48">
        <v>60257951</v>
      </c>
      <c r="AJ48">
        <v>43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ROW(Source!A80)</f>
        <v>80</v>
      </c>
      <c r="B49">
        <v>60257986</v>
      </c>
      <c r="C49">
        <v>60257944</v>
      </c>
      <c r="D49">
        <v>59062381</v>
      </c>
      <c r="E49">
        <v>1</v>
      </c>
      <c r="F49">
        <v>1</v>
      </c>
      <c r="G49">
        <v>1080</v>
      </c>
      <c r="H49">
        <v>3</v>
      </c>
      <c r="I49" t="s">
        <v>187</v>
      </c>
      <c r="J49" t="s">
        <v>188</v>
      </c>
      <c r="K49" t="s">
        <v>189</v>
      </c>
      <c r="L49">
        <v>1356</v>
      </c>
      <c r="N49">
        <v>1010</v>
      </c>
      <c r="O49" t="s">
        <v>177</v>
      </c>
      <c r="P49" t="s">
        <v>177</v>
      </c>
      <c r="Q49">
        <v>1000</v>
      </c>
      <c r="X49">
        <v>8.0000000000000002E-3</v>
      </c>
      <c r="Y49">
        <v>614.09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23</v>
      </c>
      <c r="AG49">
        <v>8.0000000000000002E-3</v>
      </c>
      <c r="AH49">
        <v>2</v>
      </c>
      <c r="AI49">
        <v>60257952</v>
      </c>
      <c r="AJ49">
        <v>44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ROW(Source!A80)</f>
        <v>80</v>
      </c>
      <c r="B50">
        <v>60257987</v>
      </c>
      <c r="C50">
        <v>60257944</v>
      </c>
      <c r="D50">
        <v>59014724</v>
      </c>
      <c r="E50">
        <v>1080</v>
      </c>
      <c r="F50">
        <v>1</v>
      </c>
      <c r="G50">
        <v>1080</v>
      </c>
      <c r="H50">
        <v>3</v>
      </c>
      <c r="I50" t="s">
        <v>196</v>
      </c>
      <c r="J50" t="s">
        <v>3</v>
      </c>
      <c r="K50" t="s">
        <v>197</v>
      </c>
      <c r="L50">
        <v>1303</v>
      </c>
      <c r="N50">
        <v>1003</v>
      </c>
      <c r="O50" t="s">
        <v>129</v>
      </c>
      <c r="P50" t="s">
        <v>129</v>
      </c>
      <c r="Q50">
        <v>1000</v>
      </c>
      <c r="X50">
        <v>0.10299999999999999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23</v>
      </c>
      <c r="AG50">
        <v>0.10299999999999999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23</v>
      </c>
      <c r="E1" t="s">
        <v>24</v>
      </c>
      <c r="F1" t="s">
        <v>24</v>
      </c>
      <c r="G1" t="s">
        <v>24</v>
      </c>
      <c r="H1" t="s">
        <v>3</v>
      </c>
      <c r="I1" t="s">
        <v>24</v>
      </c>
      <c r="J1" t="s">
        <v>24</v>
      </c>
      <c r="K1" t="s">
        <v>3</v>
      </c>
      <c r="L1" t="s">
        <v>3</v>
      </c>
      <c r="M1" t="s">
        <v>3</v>
      </c>
      <c r="N1" t="s">
        <v>23</v>
      </c>
      <c r="O1" t="s">
        <v>24</v>
      </c>
      <c r="P1" t="s">
        <v>3</v>
      </c>
      <c r="Q1" t="s">
        <v>3</v>
      </c>
      <c r="R1" t="s">
        <v>3</v>
      </c>
      <c r="S1" t="s">
        <v>198</v>
      </c>
      <c r="T1" t="s">
        <v>200</v>
      </c>
      <c r="U1" t="s">
        <v>199</v>
      </c>
    </row>
    <row r="2" spans="1:21" x14ac:dyDescent="0.2">
      <c r="A2">
        <v>29</v>
      </c>
      <c r="B2">
        <v>1</v>
      </c>
      <c r="C2" t="s">
        <v>3</v>
      </c>
      <c r="D2" t="s">
        <v>23</v>
      </c>
      <c r="E2" t="s">
        <v>24</v>
      </c>
      <c r="F2" t="s">
        <v>24</v>
      </c>
      <c r="G2" t="s">
        <v>24</v>
      </c>
      <c r="H2" t="s">
        <v>3</v>
      </c>
      <c r="I2" t="s">
        <v>24</v>
      </c>
      <c r="J2" t="s">
        <v>24</v>
      </c>
      <c r="K2" t="s">
        <v>3</v>
      </c>
      <c r="L2" t="s">
        <v>3</v>
      </c>
      <c r="M2" t="s">
        <v>3</v>
      </c>
      <c r="N2" t="s">
        <v>23</v>
      </c>
      <c r="O2" t="s">
        <v>24</v>
      </c>
      <c r="P2" t="s">
        <v>3</v>
      </c>
      <c r="Q2" t="s">
        <v>3</v>
      </c>
      <c r="R2" t="s">
        <v>3</v>
      </c>
      <c r="S2" t="s">
        <v>198</v>
      </c>
      <c r="T2" t="s">
        <v>200</v>
      </c>
      <c r="U2" t="s">
        <v>199</v>
      </c>
    </row>
    <row r="3" spans="1:21" x14ac:dyDescent="0.2">
      <c r="A3">
        <v>32</v>
      </c>
      <c r="B3">
        <v>1</v>
      </c>
      <c r="C3" t="s">
        <v>3</v>
      </c>
      <c r="D3" t="s">
        <v>23</v>
      </c>
      <c r="E3" t="s">
        <v>24</v>
      </c>
      <c r="F3" t="s">
        <v>24</v>
      </c>
      <c r="G3" t="s">
        <v>24</v>
      </c>
      <c r="H3" t="s">
        <v>3</v>
      </c>
      <c r="I3" t="s">
        <v>24</v>
      </c>
      <c r="J3" t="s">
        <v>24</v>
      </c>
      <c r="K3" t="s">
        <v>3</v>
      </c>
      <c r="L3" t="s">
        <v>3</v>
      </c>
      <c r="M3" t="s">
        <v>3</v>
      </c>
      <c r="N3" t="s">
        <v>23</v>
      </c>
      <c r="O3" t="s">
        <v>24</v>
      </c>
      <c r="P3" t="s">
        <v>3</v>
      </c>
      <c r="Q3" t="s">
        <v>3</v>
      </c>
      <c r="R3" t="s">
        <v>3</v>
      </c>
      <c r="S3" t="s">
        <v>198</v>
      </c>
      <c r="T3" t="s">
        <v>200</v>
      </c>
      <c r="U3" t="s">
        <v>199</v>
      </c>
    </row>
    <row r="4" spans="1:21" x14ac:dyDescent="0.2">
      <c r="A4">
        <v>33</v>
      </c>
      <c r="B4">
        <v>1</v>
      </c>
      <c r="C4" t="s">
        <v>3</v>
      </c>
      <c r="D4" t="s">
        <v>23</v>
      </c>
      <c r="E4" t="s">
        <v>24</v>
      </c>
      <c r="F4" t="s">
        <v>24</v>
      </c>
      <c r="G4" t="s">
        <v>24</v>
      </c>
      <c r="H4" t="s">
        <v>3</v>
      </c>
      <c r="I4" t="s">
        <v>24</v>
      </c>
      <c r="J4" t="s">
        <v>24</v>
      </c>
      <c r="K4" t="s">
        <v>3</v>
      </c>
      <c r="L4" t="s">
        <v>3</v>
      </c>
      <c r="M4" t="s">
        <v>3</v>
      </c>
      <c r="N4" t="s">
        <v>23</v>
      </c>
      <c r="O4" t="s">
        <v>24</v>
      </c>
      <c r="P4" t="s">
        <v>3</v>
      </c>
      <c r="Q4" t="s">
        <v>3</v>
      </c>
      <c r="R4" t="s">
        <v>3</v>
      </c>
      <c r="S4" t="s">
        <v>198</v>
      </c>
      <c r="T4" t="s">
        <v>200</v>
      </c>
      <c r="U4" t="s">
        <v>199</v>
      </c>
    </row>
    <row r="5" spans="1:21" x14ac:dyDescent="0.2">
      <c r="A5">
        <v>71</v>
      </c>
      <c r="B5">
        <v>1</v>
      </c>
      <c r="C5" t="s">
        <v>3</v>
      </c>
      <c r="D5" t="s">
        <v>23</v>
      </c>
      <c r="E5" t="s">
        <v>24</v>
      </c>
      <c r="F5" t="s">
        <v>24</v>
      </c>
      <c r="G5" t="s">
        <v>24</v>
      </c>
      <c r="H5" t="s">
        <v>3</v>
      </c>
      <c r="I5" t="s">
        <v>24</v>
      </c>
      <c r="J5" t="s">
        <v>24</v>
      </c>
      <c r="K5" t="s">
        <v>3</v>
      </c>
      <c r="L5" t="s">
        <v>3</v>
      </c>
      <c r="M5" t="s">
        <v>3</v>
      </c>
      <c r="N5" t="s">
        <v>23</v>
      </c>
      <c r="O5" t="s">
        <v>24</v>
      </c>
      <c r="P5" t="s">
        <v>3</v>
      </c>
      <c r="Q5" t="s">
        <v>3</v>
      </c>
      <c r="R5" t="s">
        <v>3</v>
      </c>
      <c r="S5" t="s">
        <v>198</v>
      </c>
      <c r="T5" t="s">
        <v>200</v>
      </c>
      <c r="U5" t="s">
        <v>199</v>
      </c>
    </row>
    <row r="6" spans="1:21" x14ac:dyDescent="0.2">
      <c r="A6">
        <v>72</v>
      </c>
      <c r="B6">
        <v>1</v>
      </c>
      <c r="C6" t="s">
        <v>3</v>
      </c>
      <c r="D6" t="s">
        <v>23</v>
      </c>
      <c r="E6" t="s">
        <v>24</v>
      </c>
      <c r="F6" t="s">
        <v>24</v>
      </c>
      <c r="G6" t="s">
        <v>24</v>
      </c>
      <c r="H6" t="s">
        <v>3</v>
      </c>
      <c r="I6" t="s">
        <v>24</v>
      </c>
      <c r="J6" t="s">
        <v>24</v>
      </c>
      <c r="K6" t="s">
        <v>3</v>
      </c>
      <c r="L6" t="s">
        <v>3</v>
      </c>
      <c r="M6" t="s">
        <v>3</v>
      </c>
      <c r="N6" t="s">
        <v>23</v>
      </c>
      <c r="O6" t="s">
        <v>24</v>
      </c>
      <c r="P6" t="s">
        <v>3</v>
      </c>
      <c r="Q6" t="s">
        <v>3</v>
      </c>
      <c r="R6" t="s">
        <v>3</v>
      </c>
      <c r="S6" t="s">
        <v>198</v>
      </c>
      <c r="T6" t="s">
        <v>200</v>
      </c>
      <c r="U6" t="s">
        <v>199</v>
      </c>
    </row>
    <row r="7" spans="1:21" x14ac:dyDescent="0.2">
      <c r="A7">
        <v>77</v>
      </c>
      <c r="B7">
        <v>1</v>
      </c>
      <c r="C7" t="s">
        <v>3</v>
      </c>
      <c r="D7" t="s">
        <v>23</v>
      </c>
      <c r="E7" t="s">
        <v>24</v>
      </c>
      <c r="F7" t="s">
        <v>24</v>
      </c>
      <c r="G7" t="s">
        <v>24</v>
      </c>
      <c r="H7" t="s">
        <v>3</v>
      </c>
      <c r="I7" t="s">
        <v>24</v>
      </c>
      <c r="J7" t="s">
        <v>24</v>
      </c>
      <c r="K7" t="s">
        <v>3</v>
      </c>
      <c r="L7" t="s">
        <v>3</v>
      </c>
      <c r="M7" t="s">
        <v>3</v>
      </c>
      <c r="N7" t="s">
        <v>23</v>
      </c>
      <c r="O7" t="s">
        <v>24</v>
      </c>
      <c r="P7" t="s">
        <v>3</v>
      </c>
      <c r="Q7" t="s">
        <v>3</v>
      </c>
      <c r="R7" t="s">
        <v>3</v>
      </c>
      <c r="S7" t="s">
        <v>198</v>
      </c>
      <c r="T7" t="s">
        <v>200</v>
      </c>
      <c r="U7" t="s">
        <v>199</v>
      </c>
    </row>
    <row r="8" spans="1:21" x14ac:dyDescent="0.2">
      <c r="A8">
        <v>78</v>
      </c>
      <c r="B8">
        <v>1</v>
      </c>
      <c r="C8" t="s">
        <v>3</v>
      </c>
      <c r="D8" t="s">
        <v>23</v>
      </c>
      <c r="E8" t="s">
        <v>24</v>
      </c>
      <c r="F8" t="s">
        <v>24</v>
      </c>
      <c r="G8" t="s">
        <v>24</v>
      </c>
      <c r="H8" t="s">
        <v>3</v>
      </c>
      <c r="I8" t="s">
        <v>24</v>
      </c>
      <c r="J8" t="s">
        <v>24</v>
      </c>
      <c r="K8" t="s">
        <v>3</v>
      </c>
      <c r="L8" t="s">
        <v>3</v>
      </c>
      <c r="M8" t="s">
        <v>3</v>
      </c>
      <c r="N8" t="s">
        <v>23</v>
      </c>
      <c r="O8" t="s">
        <v>24</v>
      </c>
      <c r="P8" t="s">
        <v>3</v>
      </c>
      <c r="Q8" t="s">
        <v>3</v>
      </c>
      <c r="R8" t="s">
        <v>3</v>
      </c>
      <c r="S8" t="s">
        <v>198</v>
      </c>
      <c r="T8" t="s">
        <v>200</v>
      </c>
      <c r="U8" t="s">
        <v>199</v>
      </c>
    </row>
    <row r="9" spans="1:21" x14ac:dyDescent="0.2">
      <c r="A9">
        <v>79</v>
      </c>
      <c r="B9">
        <v>1</v>
      </c>
      <c r="C9" t="s">
        <v>3</v>
      </c>
      <c r="D9" t="s">
        <v>23</v>
      </c>
      <c r="E9" t="s">
        <v>24</v>
      </c>
      <c r="F9" t="s">
        <v>24</v>
      </c>
      <c r="G9" t="s">
        <v>24</v>
      </c>
      <c r="H9" t="s">
        <v>3</v>
      </c>
      <c r="I9" t="s">
        <v>24</v>
      </c>
      <c r="J9" t="s">
        <v>24</v>
      </c>
      <c r="K9" t="s">
        <v>3</v>
      </c>
      <c r="L9" t="s">
        <v>3</v>
      </c>
      <c r="M9" t="s">
        <v>3</v>
      </c>
      <c r="N9" t="s">
        <v>23</v>
      </c>
      <c r="O9" t="s">
        <v>24</v>
      </c>
      <c r="P9" t="s">
        <v>3</v>
      </c>
      <c r="Q9" t="s">
        <v>3</v>
      </c>
      <c r="R9" t="s">
        <v>3</v>
      </c>
      <c r="S9" t="s">
        <v>198</v>
      </c>
      <c r="T9" t="s">
        <v>200</v>
      </c>
      <c r="U9" t="s">
        <v>199</v>
      </c>
    </row>
    <row r="10" spans="1:21" x14ac:dyDescent="0.2">
      <c r="A10">
        <v>80</v>
      </c>
      <c r="B10">
        <v>1</v>
      </c>
      <c r="C10" t="s">
        <v>3</v>
      </c>
      <c r="D10" t="s">
        <v>23</v>
      </c>
      <c r="E10" t="s">
        <v>24</v>
      </c>
      <c r="F10" t="s">
        <v>24</v>
      </c>
      <c r="G10" t="s">
        <v>24</v>
      </c>
      <c r="H10" t="s">
        <v>3</v>
      </c>
      <c r="I10" t="s">
        <v>24</v>
      </c>
      <c r="J10" t="s">
        <v>24</v>
      </c>
      <c r="K10" t="s">
        <v>3</v>
      </c>
      <c r="L10" t="s">
        <v>3</v>
      </c>
      <c r="M10" t="s">
        <v>3</v>
      </c>
      <c r="N10" t="s">
        <v>23</v>
      </c>
      <c r="O10" t="s">
        <v>24</v>
      </c>
      <c r="P10" t="s">
        <v>3</v>
      </c>
      <c r="Q10" t="s">
        <v>3</v>
      </c>
      <c r="R10" t="s">
        <v>3</v>
      </c>
      <c r="S10" t="s">
        <v>198</v>
      </c>
      <c r="T10" t="s">
        <v>200</v>
      </c>
      <c r="U10" t="s">
        <v>199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/>
      </c>
      <c r="G12" t="str">
        <f>Source!G12</f>
        <v>02-01-13 Электрочасофикация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02-01-13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'02-01-13'!Заголовки_для_печати</vt:lpstr>
      <vt:lpstr>'Ведомость объемов работ'!Заголовки_для_печати</vt:lpstr>
      <vt:lpstr>'02-01-13'!Область_печати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cp:lastPrinted>2026-03-23T11:46:34Z</cp:lastPrinted>
  <dcterms:created xsi:type="dcterms:W3CDTF">2026-03-23T11:44:29Z</dcterms:created>
  <dcterms:modified xsi:type="dcterms:W3CDTF">2026-03-23T11:46:38Z</dcterms:modified>
</cp:coreProperties>
</file>