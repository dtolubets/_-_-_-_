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из смету ру\"/>
    </mc:Choice>
  </mc:AlternateContent>
  <bookViews>
    <workbookView xWindow="0" yWindow="0" windowWidth="29010" windowHeight="12615"/>
  </bookViews>
  <sheets>
    <sheet name="02-01-16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'02-01-16'!$27:$27</definedName>
    <definedName name="_xlnm.Print_Titles" localSheetId="1">'Ведомость объемов работ'!$9:$9</definedName>
    <definedName name="_xlnm.Print_Area" localSheetId="0">'02-01-16'!$A$1:$K$320</definedName>
    <definedName name="_xlnm.Print_Area" localSheetId="1">'Ведомость объемов работ'!$A$1:$H$58</definedName>
  </definedNames>
  <calcPr calcId="162913"/>
</workbook>
</file>

<file path=xl/calcChain.xml><?xml version="1.0" encoding="utf-8"?>
<calcChain xmlns="http://schemas.openxmlformats.org/spreadsheetml/2006/main">
  <c r="D56" i="8" l="1"/>
  <c r="D54" i="8"/>
  <c r="G51" i="8"/>
  <c r="F51" i="8"/>
  <c r="E51" i="8"/>
  <c r="C51" i="8"/>
  <c r="B51" i="8"/>
  <c r="G50" i="8"/>
  <c r="F50" i="8"/>
  <c r="E50" i="8"/>
  <c r="C50" i="8"/>
  <c r="B50" i="8"/>
  <c r="G49" i="8"/>
  <c r="F49" i="8"/>
  <c r="E49" i="8"/>
  <c r="C49" i="8"/>
  <c r="B49" i="8"/>
  <c r="G48" i="8"/>
  <c r="F48" i="8"/>
  <c r="E48" i="8"/>
  <c r="C48" i="8"/>
  <c r="B48" i="8"/>
  <c r="G47" i="8"/>
  <c r="F47" i="8"/>
  <c r="E47" i="8"/>
  <c r="C47" i="8"/>
  <c r="B47" i="8"/>
  <c r="G46" i="8"/>
  <c r="F46" i="8"/>
  <c r="E46" i="8"/>
  <c r="C46" i="8"/>
  <c r="B46" i="8"/>
  <c r="G45" i="8"/>
  <c r="F45" i="8"/>
  <c r="E45" i="8"/>
  <c r="C45" i="8"/>
  <c r="B45" i="8"/>
  <c r="A44" i="8"/>
  <c r="G43" i="8"/>
  <c r="F43" i="8"/>
  <c r="E43" i="8"/>
  <c r="C43" i="8"/>
  <c r="B43" i="8"/>
  <c r="G42" i="8"/>
  <c r="F42" i="8"/>
  <c r="E42" i="8"/>
  <c r="C42" i="8"/>
  <c r="B42" i="8"/>
  <c r="G41" i="8"/>
  <c r="F41" i="8"/>
  <c r="E41" i="8"/>
  <c r="C41" i="8"/>
  <c r="B41" i="8"/>
  <c r="G40" i="8"/>
  <c r="F40" i="8"/>
  <c r="E40" i="8"/>
  <c r="C40" i="8"/>
  <c r="B40" i="8"/>
  <c r="G39" i="8"/>
  <c r="F39" i="8"/>
  <c r="E39" i="8"/>
  <c r="C39" i="8"/>
  <c r="B39" i="8"/>
  <c r="G38" i="8"/>
  <c r="F38" i="8"/>
  <c r="E38" i="8"/>
  <c r="C38" i="8"/>
  <c r="B38" i="8"/>
  <c r="G37" i="8"/>
  <c r="F37" i="8"/>
  <c r="E37" i="8"/>
  <c r="C37" i="8"/>
  <c r="B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G30" i="8"/>
  <c r="F30" i="8"/>
  <c r="E30" i="8"/>
  <c r="C30" i="8"/>
  <c r="B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G24" i="8"/>
  <c r="F24" i="8"/>
  <c r="E24" i="8"/>
  <c r="C24" i="8"/>
  <c r="B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G18" i="8"/>
  <c r="F18" i="8"/>
  <c r="E18" i="8"/>
  <c r="C18" i="8"/>
  <c r="B18" i="8"/>
  <c r="G17" i="8"/>
  <c r="F17" i="8"/>
  <c r="E17" i="8"/>
  <c r="C17" i="8"/>
  <c r="B17" i="8"/>
  <c r="G16" i="8"/>
  <c r="F16" i="8"/>
  <c r="E16" i="8"/>
  <c r="C16" i="8"/>
  <c r="B16" i="8"/>
  <c r="G15" i="8"/>
  <c r="F15" i="8"/>
  <c r="E15" i="8"/>
  <c r="C15" i="8"/>
  <c r="B15" i="8"/>
  <c r="G14" i="8"/>
  <c r="F14" i="8"/>
  <c r="E14" i="8"/>
  <c r="C14" i="8"/>
  <c r="B14" i="8"/>
  <c r="G13" i="8"/>
  <c r="F13" i="8"/>
  <c r="E13" i="8"/>
  <c r="C13" i="8"/>
  <c r="B13" i="8"/>
  <c r="G12" i="8"/>
  <c r="F12" i="8"/>
  <c r="E12" i="8"/>
  <c r="C12" i="8"/>
  <c r="B12" i="8"/>
  <c r="A11" i="8"/>
  <c r="A10" i="8"/>
  <c r="B5" i="8"/>
  <c r="B4" i="8"/>
  <c r="A1" i="8"/>
  <c r="H318" i="7"/>
  <c r="H315" i="7"/>
  <c r="C318" i="7"/>
  <c r="C315" i="7"/>
  <c r="I312" i="7"/>
  <c r="J312" i="7"/>
  <c r="I311" i="7"/>
  <c r="J311" i="7"/>
  <c r="A310" i="7"/>
  <c r="J22" i="7"/>
  <c r="J19" i="7"/>
  <c r="J18" i="7"/>
  <c r="J17" i="7"/>
  <c r="J16" i="7"/>
  <c r="J15" i="7"/>
  <c r="J14" i="7" s="1"/>
  <c r="I22" i="7"/>
  <c r="I20" i="7"/>
  <c r="I19" i="7"/>
  <c r="I18" i="7"/>
  <c r="I17" i="7"/>
  <c r="I16" i="7"/>
  <c r="I15" i="7"/>
  <c r="I14" i="7" s="1"/>
  <c r="I308" i="7"/>
  <c r="J308" i="7"/>
  <c r="I307" i="7"/>
  <c r="J307" i="7"/>
  <c r="AQ306" i="7"/>
  <c r="A306" i="7"/>
  <c r="I304" i="7"/>
  <c r="J304" i="7"/>
  <c r="I303" i="7"/>
  <c r="J303" i="7"/>
  <c r="A302" i="7"/>
  <c r="P299" i="7"/>
  <c r="J299" i="7"/>
  <c r="K298" i="7"/>
  <c r="J298" i="7"/>
  <c r="I298" i="7"/>
  <c r="O299" i="7" s="1"/>
  <c r="H298" i="7"/>
  <c r="F298" i="7"/>
  <c r="V298" i="7"/>
  <c r="T298" i="7"/>
  <c r="R298" i="7"/>
  <c r="U298" i="7"/>
  <c r="S298" i="7"/>
  <c r="Q298" i="7"/>
  <c r="E298" i="7"/>
  <c r="D298" i="7"/>
  <c r="B298" i="7"/>
  <c r="O296" i="7"/>
  <c r="H296" i="7"/>
  <c r="C295" i="7"/>
  <c r="K294" i="7"/>
  <c r="P296" i="7" s="1"/>
  <c r="J294" i="7"/>
  <c r="I294" i="7"/>
  <c r="H294" i="7"/>
  <c r="F294" i="7"/>
  <c r="V294" i="7"/>
  <c r="T294" i="7"/>
  <c r="R294" i="7"/>
  <c r="U294" i="7"/>
  <c r="S294" i="7"/>
  <c r="Q294" i="7"/>
  <c r="E294" i="7"/>
  <c r="D294" i="7"/>
  <c r="B294" i="7"/>
  <c r="H292" i="7"/>
  <c r="C291" i="7"/>
  <c r="K290" i="7"/>
  <c r="P292" i="7" s="1"/>
  <c r="J290" i="7"/>
  <c r="I290" i="7"/>
  <c r="O292" i="7" s="1"/>
  <c r="H290" i="7"/>
  <c r="F290" i="7"/>
  <c r="V290" i="7"/>
  <c r="T290" i="7"/>
  <c r="R290" i="7"/>
  <c r="U290" i="7"/>
  <c r="S290" i="7"/>
  <c r="Q290" i="7"/>
  <c r="E290" i="7"/>
  <c r="D290" i="7"/>
  <c r="B290" i="7"/>
  <c r="P288" i="7"/>
  <c r="J288" i="7"/>
  <c r="C287" i="7"/>
  <c r="K286" i="7"/>
  <c r="J286" i="7"/>
  <c r="I286" i="7"/>
  <c r="O288" i="7" s="1"/>
  <c r="H286" i="7"/>
  <c r="F286" i="7"/>
  <c r="V286" i="7"/>
  <c r="T286" i="7"/>
  <c r="R286" i="7"/>
  <c r="U286" i="7"/>
  <c r="S286" i="7"/>
  <c r="Q286" i="7"/>
  <c r="E286" i="7"/>
  <c r="D286" i="7"/>
  <c r="B286" i="7"/>
  <c r="J284" i="7"/>
  <c r="C283" i="7"/>
  <c r="K282" i="7"/>
  <c r="P284" i="7" s="1"/>
  <c r="J282" i="7"/>
  <c r="I282" i="7"/>
  <c r="O284" i="7" s="1"/>
  <c r="H282" i="7"/>
  <c r="F282" i="7"/>
  <c r="V282" i="7"/>
  <c r="T282" i="7"/>
  <c r="R282" i="7"/>
  <c r="U282" i="7"/>
  <c r="S282" i="7"/>
  <c r="Q282" i="7"/>
  <c r="E282" i="7"/>
  <c r="D282" i="7"/>
  <c r="B282" i="7"/>
  <c r="H279" i="7"/>
  <c r="J279" i="7"/>
  <c r="I277" i="7"/>
  <c r="H277" i="7"/>
  <c r="E277" i="7"/>
  <c r="J276" i="7"/>
  <c r="E276" i="7"/>
  <c r="J275" i="7"/>
  <c r="E275" i="7"/>
  <c r="K274" i="7"/>
  <c r="J274" i="7"/>
  <c r="I274" i="7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C270" i="7"/>
  <c r="V269" i="7"/>
  <c r="T269" i="7"/>
  <c r="K276" i="7" s="1"/>
  <c r="R269" i="7"/>
  <c r="K275" i="7" s="1"/>
  <c r="P280" i="7" s="1"/>
  <c r="U269" i="7"/>
  <c r="S269" i="7"/>
  <c r="I276" i="7" s="1"/>
  <c r="Q269" i="7"/>
  <c r="I275" i="7" s="1"/>
  <c r="E269" i="7"/>
  <c r="D269" i="7"/>
  <c r="B269" i="7"/>
  <c r="H266" i="7"/>
  <c r="J266" i="7"/>
  <c r="I264" i="7"/>
  <c r="H264" i="7"/>
  <c r="E264" i="7"/>
  <c r="J263" i="7"/>
  <c r="E263" i="7"/>
  <c r="J262" i="7"/>
  <c r="E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K263" i="7" s="1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I258" i="7"/>
  <c r="H265" i="7" s="1"/>
  <c r="H258" i="7"/>
  <c r="F258" i="7"/>
  <c r="K257" i="7"/>
  <c r="J257" i="7"/>
  <c r="I257" i="7"/>
  <c r="H257" i="7"/>
  <c r="F257" i="7"/>
  <c r="K256" i="7"/>
  <c r="J256" i="7"/>
  <c r="I256" i="7"/>
  <c r="H256" i="7"/>
  <c r="F256" i="7"/>
  <c r="C255" i="7"/>
  <c r="V254" i="7"/>
  <c r="T254" i="7"/>
  <c r="R254" i="7"/>
  <c r="K262" i="7" s="1"/>
  <c r="U254" i="7"/>
  <c r="S254" i="7"/>
  <c r="I263" i="7" s="1"/>
  <c r="Q254" i="7"/>
  <c r="I262" i="7" s="1"/>
  <c r="E254" i="7"/>
  <c r="D254" i="7"/>
  <c r="B254" i="7"/>
  <c r="A253" i="7"/>
  <c r="I251" i="7"/>
  <c r="J251" i="7"/>
  <c r="I250" i="7"/>
  <c r="J250" i="7"/>
  <c r="A249" i="7"/>
  <c r="O246" i="7"/>
  <c r="H246" i="7"/>
  <c r="K245" i="7"/>
  <c r="P246" i="7" s="1"/>
  <c r="J245" i="7"/>
  <c r="I245" i="7"/>
  <c r="H245" i="7"/>
  <c r="F245" i="7"/>
  <c r="V245" i="7"/>
  <c r="T245" i="7"/>
  <c r="R245" i="7"/>
  <c r="U245" i="7"/>
  <c r="S245" i="7"/>
  <c r="Q245" i="7"/>
  <c r="E245" i="7"/>
  <c r="D245" i="7"/>
  <c r="B245" i="7"/>
  <c r="H242" i="7"/>
  <c r="J242" i="7"/>
  <c r="I240" i="7"/>
  <c r="H240" i="7"/>
  <c r="E240" i="7"/>
  <c r="K239" i="7"/>
  <c r="J239" i="7"/>
  <c r="E239" i="7"/>
  <c r="K238" i="7"/>
  <c r="J238" i="7"/>
  <c r="E238" i="7"/>
  <c r="K237" i="7"/>
  <c r="J241" i="7" s="1"/>
  <c r="J237" i="7"/>
  <c r="I237" i="7"/>
  <c r="H237" i="7"/>
  <c r="F237" i="7"/>
  <c r="K236" i="7"/>
  <c r="J236" i="7"/>
  <c r="I236" i="7"/>
  <c r="H236" i="7"/>
  <c r="F236" i="7"/>
  <c r="K235" i="7"/>
  <c r="J235" i="7"/>
  <c r="I235" i="7"/>
  <c r="H241" i="7" s="1"/>
  <c r="H235" i="7"/>
  <c r="F235" i="7"/>
  <c r="K234" i="7"/>
  <c r="P243" i="7" s="1"/>
  <c r="J234" i="7"/>
  <c r="I234" i="7"/>
  <c r="H234" i="7"/>
  <c r="F234" i="7"/>
  <c r="C233" i="7"/>
  <c r="V232" i="7"/>
  <c r="T232" i="7"/>
  <c r="R232" i="7"/>
  <c r="U232" i="7"/>
  <c r="S232" i="7"/>
  <c r="I239" i="7" s="1"/>
  <c r="Q232" i="7"/>
  <c r="I238" i="7" s="1"/>
  <c r="E232" i="7"/>
  <c r="D232" i="7"/>
  <c r="B232" i="7"/>
  <c r="P230" i="7"/>
  <c r="J230" i="7"/>
  <c r="K229" i="7"/>
  <c r="J229" i="7"/>
  <c r="I229" i="7"/>
  <c r="O230" i="7" s="1"/>
  <c r="H229" i="7"/>
  <c r="F229" i="7"/>
  <c r="V229" i="7"/>
  <c r="T229" i="7"/>
  <c r="R229" i="7"/>
  <c r="U229" i="7"/>
  <c r="S229" i="7"/>
  <c r="Q229" i="7"/>
  <c r="E229" i="7"/>
  <c r="D229" i="7"/>
  <c r="B229" i="7"/>
  <c r="H226" i="7"/>
  <c r="P227" i="7"/>
  <c r="J226" i="7"/>
  <c r="I224" i="7"/>
  <c r="H224" i="7"/>
  <c r="E224" i="7"/>
  <c r="K223" i="7"/>
  <c r="J223" i="7"/>
  <c r="E223" i="7"/>
  <c r="K222" i="7"/>
  <c r="J222" i="7"/>
  <c r="E222" i="7"/>
  <c r="K221" i="7"/>
  <c r="J227" i="7" s="1"/>
  <c r="J221" i="7"/>
  <c r="I221" i="7"/>
  <c r="H221" i="7"/>
  <c r="F221" i="7"/>
  <c r="V220" i="7"/>
  <c r="T220" i="7"/>
  <c r="R220" i="7"/>
  <c r="U220" i="7"/>
  <c r="S220" i="7"/>
  <c r="I223" i="7" s="1"/>
  <c r="Q220" i="7"/>
  <c r="I222" i="7" s="1"/>
  <c r="E220" i="7"/>
  <c r="D220" i="7"/>
  <c r="B220" i="7"/>
  <c r="P218" i="7"/>
  <c r="J218" i="7"/>
  <c r="K217" i="7"/>
  <c r="J217" i="7"/>
  <c r="I217" i="7"/>
  <c r="O218" i="7" s="1"/>
  <c r="H217" i="7"/>
  <c r="F217" i="7"/>
  <c r="V217" i="7"/>
  <c r="T217" i="7"/>
  <c r="R217" i="7"/>
  <c r="U217" i="7"/>
  <c r="S217" i="7"/>
  <c r="Q217" i="7"/>
  <c r="E217" i="7"/>
  <c r="D217" i="7"/>
  <c r="B217" i="7"/>
  <c r="H214" i="7"/>
  <c r="J214" i="7"/>
  <c r="I212" i="7"/>
  <c r="H212" i="7"/>
  <c r="E212" i="7"/>
  <c r="J211" i="7"/>
  <c r="I211" i="7"/>
  <c r="E211" i="7"/>
  <c r="J210" i="7"/>
  <c r="I210" i="7"/>
  <c r="E210" i="7"/>
  <c r="K209" i="7"/>
  <c r="J209" i="7"/>
  <c r="I209" i="7"/>
  <c r="H215" i="7" s="1"/>
  <c r="H209" i="7"/>
  <c r="F209" i="7"/>
  <c r="K208" i="7"/>
  <c r="J208" i="7"/>
  <c r="I208" i="7"/>
  <c r="H208" i="7"/>
  <c r="F208" i="7"/>
  <c r="K207" i="7"/>
  <c r="J207" i="7"/>
  <c r="I207" i="7"/>
  <c r="H207" i="7"/>
  <c r="F207" i="7"/>
  <c r="K206" i="7"/>
  <c r="J206" i="7"/>
  <c r="I206" i="7"/>
  <c r="H213" i="7" s="1"/>
  <c r="H206" i="7"/>
  <c r="F206" i="7"/>
  <c r="V205" i="7"/>
  <c r="T205" i="7"/>
  <c r="K211" i="7" s="1"/>
  <c r="R205" i="7"/>
  <c r="K210" i="7" s="1"/>
  <c r="U205" i="7"/>
  <c r="S205" i="7"/>
  <c r="Q205" i="7"/>
  <c r="E205" i="7"/>
  <c r="D205" i="7"/>
  <c r="B205" i="7"/>
  <c r="O203" i="7"/>
  <c r="H203" i="7"/>
  <c r="K202" i="7"/>
  <c r="P203" i="7" s="1"/>
  <c r="J202" i="7"/>
  <c r="I202" i="7"/>
  <c r="H202" i="7"/>
  <c r="F202" i="7"/>
  <c r="V202" i="7"/>
  <c r="T202" i="7"/>
  <c r="R202" i="7"/>
  <c r="U202" i="7"/>
  <c r="S202" i="7"/>
  <c r="Q202" i="7"/>
  <c r="E202" i="7"/>
  <c r="D202" i="7"/>
  <c r="B202" i="7"/>
  <c r="H199" i="7"/>
  <c r="J199" i="7"/>
  <c r="I197" i="7"/>
  <c r="H197" i="7"/>
  <c r="E197" i="7"/>
  <c r="K196" i="7"/>
  <c r="J196" i="7"/>
  <c r="E196" i="7"/>
  <c r="J195" i="7"/>
  <c r="E195" i="7"/>
  <c r="K194" i="7"/>
  <c r="J194" i="7"/>
  <c r="I194" i="7"/>
  <c r="H194" i="7"/>
  <c r="F194" i="7"/>
  <c r="K193" i="7"/>
  <c r="P200" i="7" s="1"/>
  <c r="J193" i="7"/>
  <c r="I193" i="7"/>
  <c r="H193" i="7"/>
  <c r="F193" i="7"/>
  <c r="V192" i="7"/>
  <c r="T192" i="7"/>
  <c r="R192" i="7"/>
  <c r="K195" i="7" s="1"/>
  <c r="U192" i="7"/>
  <c r="S192" i="7"/>
  <c r="I196" i="7" s="1"/>
  <c r="Q192" i="7"/>
  <c r="I195" i="7" s="1"/>
  <c r="E192" i="7"/>
  <c r="D192" i="7"/>
  <c r="B192" i="7"/>
  <c r="H190" i="7"/>
  <c r="J190" i="7"/>
  <c r="K189" i="7"/>
  <c r="P190" i="7" s="1"/>
  <c r="J189" i="7"/>
  <c r="I189" i="7"/>
  <c r="O190" i="7" s="1"/>
  <c r="H189" i="7"/>
  <c r="F189" i="7"/>
  <c r="V189" i="7"/>
  <c r="T189" i="7"/>
  <c r="R189" i="7"/>
  <c r="U189" i="7"/>
  <c r="S189" i="7"/>
  <c r="Q189" i="7"/>
  <c r="E189" i="7"/>
  <c r="D189" i="7"/>
  <c r="B189" i="7"/>
  <c r="H186" i="7"/>
  <c r="J186" i="7"/>
  <c r="I184" i="7"/>
  <c r="H184" i="7"/>
  <c r="E184" i="7"/>
  <c r="K183" i="7"/>
  <c r="J183" i="7"/>
  <c r="E183" i="7"/>
  <c r="J182" i="7"/>
  <c r="E182" i="7"/>
  <c r="K181" i="7"/>
  <c r="J181" i="7"/>
  <c r="I181" i="7"/>
  <c r="H181" i="7"/>
  <c r="F181" i="7"/>
  <c r="K180" i="7"/>
  <c r="P187" i="7" s="1"/>
  <c r="J180" i="7"/>
  <c r="I180" i="7"/>
  <c r="H180" i="7"/>
  <c r="F180" i="7"/>
  <c r="V179" i="7"/>
  <c r="T179" i="7"/>
  <c r="R179" i="7"/>
  <c r="K182" i="7" s="1"/>
  <c r="U179" i="7"/>
  <c r="S179" i="7"/>
  <c r="I183" i="7" s="1"/>
  <c r="Q179" i="7"/>
  <c r="I182" i="7" s="1"/>
  <c r="H185" i="7" s="1"/>
  <c r="E179" i="7"/>
  <c r="D179" i="7"/>
  <c r="B179" i="7"/>
  <c r="H177" i="7"/>
  <c r="P177" i="7"/>
  <c r="J177" i="7"/>
  <c r="K176" i="7"/>
  <c r="J176" i="7"/>
  <c r="I176" i="7"/>
  <c r="O177" i="7" s="1"/>
  <c r="H176" i="7"/>
  <c r="F176" i="7"/>
  <c r="V176" i="7"/>
  <c r="T176" i="7"/>
  <c r="R176" i="7"/>
  <c r="U176" i="7"/>
  <c r="S176" i="7"/>
  <c r="Q176" i="7"/>
  <c r="E176" i="7"/>
  <c r="D176" i="7"/>
  <c r="B176" i="7"/>
  <c r="H173" i="7"/>
  <c r="J173" i="7"/>
  <c r="I171" i="7"/>
  <c r="H171" i="7"/>
  <c r="E171" i="7"/>
  <c r="J170" i="7"/>
  <c r="E170" i="7"/>
  <c r="K169" i="7"/>
  <c r="J169" i="7"/>
  <c r="E169" i="7"/>
  <c r="K168" i="7"/>
  <c r="J168" i="7"/>
  <c r="I168" i="7"/>
  <c r="H168" i="7"/>
  <c r="F168" i="7"/>
  <c r="K167" i="7"/>
  <c r="J167" i="7"/>
  <c r="I167" i="7"/>
  <c r="H167" i="7"/>
  <c r="F167" i="7"/>
  <c r="K166" i="7"/>
  <c r="P174" i="7" s="1"/>
  <c r="J166" i="7"/>
  <c r="I166" i="7"/>
  <c r="H166" i="7"/>
  <c r="F166" i="7"/>
  <c r="V165" i="7"/>
  <c r="T165" i="7"/>
  <c r="K170" i="7" s="1"/>
  <c r="R165" i="7"/>
  <c r="U165" i="7"/>
  <c r="S165" i="7"/>
  <c r="I170" i="7" s="1"/>
  <c r="Q165" i="7"/>
  <c r="I169" i="7" s="1"/>
  <c r="E165" i="7"/>
  <c r="D165" i="7"/>
  <c r="B165" i="7"/>
  <c r="O163" i="7"/>
  <c r="K162" i="7"/>
  <c r="P163" i="7" s="1"/>
  <c r="J162" i="7"/>
  <c r="I162" i="7"/>
  <c r="H163" i="7" s="1"/>
  <c r="H162" i="7"/>
  <c r="F162" i="7"/>
  <c r="V162" i="7"/>
  <c r="T162" i="7"/>
  <c r="R162" i="7"/>
  <c r="U162" i="7"/>
  <c r="S162" i="7"/>
  <c r="Q162" i="7"/>
  <c r="E162" i="7"/>
  <c r="D162" i="7"/>
  <c r="B162" i="7"/>
  <c r="H159" i="7"/>
  <c r="J159" i="7"/>
  <c r="I157" i="7"/>
  <c r="H157" i="7"/>
  <c r="E157" i="7"/>
  <c r="J156" i="7"/>
  <c r="E156" i="7"/>
  <c r="J155" i="7"/>
  <c r="E155" i="7"/>
  <c r="K154" i="7"/>
  <c r="J154" i="7"/>
  <c r="I154" i="7"/>
  <c r="H154" i="7"/>
  <c r="F154" i="7"/>
  <c r="K153" i="7"/>
  <c r="J153" i="7"/>
  <c r="I153" i="7"/>
  <c r="H153" i="7"/>
  <c r="F153" i="7"/>
  <c r="K152" i="7"/>
  <c r="J152" i="7"/>
  <c r="I152" i="7"/>
  <c r="H152" i="7"/>
  <c r="F152" i="7"/>
  <c r="K151" i="7"/>
  <c r="J158" i="7" s="1"/>
  <c r="J151" i="7"/>
  <c r="I151" i="7"/>
  <c r="H151" i="7"/>
  <c r="F151" i="7"/>
  <c r="V150" i="7"/>
  <c r="T150" i="7"/>
  <c r="K156" i="7" s="1"/>
  <c r="R150" i="7"/>
  <c r="K155" i="7" s="1"/>
  <c r="U150" i="7"/>
  <c r="S150" i="7"/>
  <c r="I156" i="7" s="1"/>
  <c r="Q150" i="7"/>
  <c r="I155" i="7" s="1"/>
  <c r="E150" i="7"/>
  <c r="D150" i="7"/>
  <c r="B150" i="7"/>
  <c r="P148" i="7"/>
  <c r="J148" i="7"/>
  <c r="K147" i="7"/>
  <c r="J147" i="7"/>
  <c r="I147" i="7"/>
  <c r="O148" i="7" s="1"/>
  <c r="H147" i="7"/>
  <c r="F147" i="7"/>
  <c r="V147" i="7"/>
  <c r="T147" i="7"/>
  <c r="R147" i="7"/>
  <c r="U147" i="7"/>
  <c r="S147" i="7"/>
  <c r="Q147" i="7"/>
  <c r="E147" i="7"/>
  <c r="D147" i="7"/>
  <c r="B147" i="7"/>
  <c r="H144" i="7"/>
  <c r="J144" i="7"/>
  <c r="I142" i="7"/>
  <c r="H142" i="7"/>
  <c r="E142" i="7"/>
  <c r="J141" i="7"/>
  <c r="E141" i="7"/>
  <c r="J140" i="7"/>
  <c r="E140" i="7"/>
  <c r="K139" i="7"/>
  <c r="J139" i="7"/>
  <c r="I139" i="7"/>
  <c r="H139" i="7"/>
  <c r="F139" i="7"/>
  <c r="K138" i="7"/>
  <c r="J138" i="7"/>
  <c r="I138" i="7"/>
  <c r="H138" i="7"/>
  <c r="F138" i="7"/>
  <c r="K137" i="7"/>
  <c r="J137" i="7"/>
  <c r="I137" i="7"/>
  <c r="H137" i="7"/>
  <c r="F137" i="7"/>
  <c r="K136" i="7"/>
  <c r="J136" i="7"/>
  <c r="I136" i="7"/>
  <c r="H136" i="7"/>
  <c r="F136" i="7"/>
  <c r="V135" i="7"/>
  <c r="T135" i="7"/>
  <c r="K141" i="7" s="1"/>
  <c r="R135" i="7"/>
  <c r="K140" i="7" s="1"/>
  <c r="U135" i="7"/>
  <c r="S135" i="7"/>
  <c r="I141" i="7" s="1"/>
  <c r="Q135" i="7"/>
  <c r="I140" i="7" s="1"/>
  <c r="E135" i="7"/>
  <c r="D135" i="7"/>
  <c r="B135" i="7"/>
  <c r="O133" i="7"/>
  <c r="K132" i="7"/>
  <c r="P133" i="7" s="1"/>
  <c r="J132" i="7"/>
  <c r="I132" i="7"/>
  <c r="H133" i="7" s="1"/>
  <c r="H132" i="7"/>
  <c r="F132" i="7"/>
  <c r="V132" i="7"/>
  <c r="T132" i="7"/>
  <c r="R132" i="7"/>
  <c r="U132" i="7"/>
  <c r="S132" i="7"/>
  <c r="Q132" i="7"/>
  <c r="E132" i="7"/>
  <c r="D132" i="7"/>
  <c r="B132" i="7"/>
  <c r="P130" i="7"/>
  <c r="K129" i="7"/>
  <c r="J130" i="7" s="1"/>
  <c r="J129" i="7"/>
  <c r="I129" i="7"/>
  <c r="O130" i="7" s="1"/>
  <c r="H129" i="7"/>
  <c r="F129" i="7"/>
  <c r="V129" i="7"/>
  <c r="T129" i="7"/>
  <c r="R129" i="7"/>
  <c r="U129" i="7"/>
  <c r="S129" i="7"/>
  <c r="Q129" i="7"/>
  <c r="E129" i="7"/>
  <c r="D129" i="7"/>
  <c r="B129" i="7"/>
  <c r="H126" i="7"/>
  <c r="J126" i="7"/>
  <c r="I124" i="7"/>
  <c r="H124" i="7"/>
  <c r="E124" i="7"/>
  <c r="J123" i="7"/>
  <c r="E123" i="7"/>
  <c r="J122" i="7"/>
  <c r="E122" i="7"/>
  <c r="K121" i="7"/>
  <c r="J121" i="7"/>
  <c r="I121" i="7"/>
  <c r="H121" i="7"/>
  <c r="F121" i="7"/>
  <c r="K120" i="7"/>
  <c r="J127" i="7" s="1"/>
  <c r="J120" i="7"/>
  <c r="I120" i="7"/>
  <c r="H120" i="7"/>
  <c r="F120" i="7"/>
  <c r="V119" i="7"/>
  <c r="T119" i="7"/>
  <c r="K123" i="7" s="1"/>
  <c r="R119" i="7"/>
  <c r="K122" i="7" s="1"/>
  <c r="U119" i="7"/>
  <c r="S119" i="7"/>
  <c r="I123" i="7" s="1"/>
  <c r="Q119" i="7"/>
  <c r="I122" i="7" s="1"/>
  <c r="O127" i="7" s="1"/>
  <c r="E119" i="7"/>
  <c r="D119" i="7"/>
  <c r="B119" i="7"/>
  <c r="P117" i="7"/>
  <c r="K116" i="7"/>
  <c r="J117" i="7" s="1"/>
  <c r="J116" i="7"/>
  <c r="I116" i="7"/>
  <c r="O117" i="7" s="1"/>
  <c r="H116" i="7"/>
  <c r="F116" i="7"/>
  <c r="V116" i="7"/>
  <c r="T116" i="7"/>
  <c r="R116" i="7"/>
  <c r="U116" i="7"/>
  <c r="S116" i="7"/>
  <c r="Q116" i="7"/>
  <c r="E116" i="7"/>
  <c r="D116" i="7"/>
  <c r="B116" i="7"/>
  <c r="H113" i="7"/>
  <c r="J113" i="7"/>
  <c r="I111" i="7"/>
  <c r="H111" i="7"/>
  <c r="E111" i="7"/>
  <c r="J110" i="7"/>
  <c r="E110" i="7"/>
  <c r="J109" i="7"/>
  <c r="E109" i="7"/>
  <c r="K108" i="7"/>
  <c r="J108" i="7"/>
  <c r="I108" i="7"/>
  <c r="H108" i="7"/>
  <c r="F108" i="7"/>
  <c r="K107" i="7"/>
  <c r="J107" i="7"/>
  <c r="I107" i="7"/>
  <c r="H107" i="7"/>
  <c r="F107" i="7"/>
  <c r="K106" i="7"/>
  <c r="J106" i="7"/>
  <c r="I106" i="7"/>
  <c r="H106" i="7"/>
  <c r="F106" i="7"/>
  <c r="K105" i="7"/>
  <c r="J105" i="7"/>
  <c r="I105" i="7"/>
  <c r="H105" i="7"/>
  <c r="F105" i="7"/>
  <c r="V104" i="7"/>
  <c r="T104" i="7"/>
  <c r="K110" i="7" s="1"/>
  <c r="R104" i="7"/>
  <c r="K109" i="7" s="1"/>
  <c r="P114" i="7" s="1"/>
  <c r="U104" i="7"/>
  <c r="S104" i="7"/>
  <c r="I110" i="7" s="1"/>
  <c r="Q104" i="7"/>
  <c r="I109" i="7" s="1"/>
  <c r="E104" i="7"/>
  <c r="D104" i="7"/>
  <c r="B104" i="7"/>
  <c r="O102" i="7"/>
  <c r="K101" i="7"/>
  <c r="P102" i="7" s="1"/>
  <c r="J101" i="7"/>
  <c r="I101" i="7"/>
  <c r="H102" i="7" s="1"/>
  <c r="H101" i="7"/>
  <c r="F101" i="7"/>
  <c r="V101" i="7"/>
  <c r="T101" i="7"/>
  <c r="R101" i="7"/>
  <c r="U101" i="7"/>
  <c r="S101" i="7"/>
  <c r="Q101" i="7"/>
  <c r="E101" i="7"/>
  <c r="D101" i="7"/>
  <c r="B101" i="7"/>
  <c r="H98" i="7"/>
  <c r="J98" i="7"/>
  <c r="I96" i="7"/>
  <c r="H96" i="7"/>
  <c r="E96" i="7"/>
  <c r="J95" i="7"/>
  <c r="E95" i="7"/>
  <c r="J94" i="7"/>
  <c r="E94" i="7"/>
  <c r="K93" i="7"/>
  <c r="J93" i="7"/>
  <c r="I93" i="7"/>
  <c r="H93" i="7"/>
  <c r="F93" i="7"/>
  <c r="K92" i="7"/>
  <c r="J92" i="7"/>
  <c r="I92" i="7"/>
  <c r="H92" i="7"/>
  <c r="F92" i="7"/>
  <c r="K91" i="7"/>
  <c r="J91" i="7"/>
  <c r="I91" i="7"/>
  <c r="H91" i="7"/>
  <c r="F91" i="7"/>
  <c r="K90" i="7"/>
  <c r="J90" i="7"/>
  <c r="I90" i="7"/>
  <c r="H90" i="7"/>
  <c r="F90" i="7"/>
  <c r="V89" i="7"/>
  <c r="T89" i="7"/>
  <c r="K95" i="7" s="1"/>
  <c r="R89" i="7"/>
  <c r="K94" i="7" s="1"/>
  <c r="U89" i="7"/>
  <c r="S89" i="7"/>
  <c r="I95" i="7" s="1"/>
  <c r="Q89" i="7"/>
  <c r="I94" i="7" s="1"/>
  <c r="E89" i="7"/>
  <c r="D89" i="7"/>
  <c r="B89" i="7"/>
  <c r="P87" i="7"/>
  <c r="J87" i="7"/>
  <c r="K86" i="7"/>
  <c r="J86" i="7"/>
  <c r="I86" i="7"/>
  <c r="O87" i="7" s="1"/>
  <c r="H86" i="7"/>
  <c r="F86" i="7"/>
  <c r="V86" i="7"/>
  <c r="T86" i="7"/>
  <c r="R86" i="7"/>
  <c r="U86" i="7"/>
  <c r="S86" i="7"/>
  <c r="Q86" i="7"/>
  <c r="E86" i="7"/>
  <c r="D86" i="7"/>
  <c r="B86" i="7"/>
  <c r="H83" i="7"/>
  <c r="J83" i="7"/>
  <c r="I81" i="7"/>
  <c r="H81" i="7"/>
  <c r="E81" i="7"/>
  <c r="J80" i="7"/>
  <c r="E80" i="7"/>
  <c r="J79" i="7"/>
  <c r="E79" i="7"/>
  <c r="K78" i="7"/>
  <c r="J78" i="7"/>
  <c r="I78" i="7"/>
  <c r="H78" i="7"/>
  <c r="F78" i="7"/>
  <c r="K77" i="7"/>
  <c r="J77" i="7"/>
  <c r="I77" i="7"/>
  <c r="H77" i="7"/>
  <c r="F77" i="7"/>
  <c r="K76" i="7"/>
  <c r="J76" i="7"/>
  <c r="I76" i="7"/>
  <c r="H76" i="7"/>
  <c r="F76" i="7"/>
  <c r="K75" i="7"/>
  <c r="J84" i="7" s="1"/>
  <c r="J75" i="7"/>
  <c r="I75" i="7"/>
  <c r="H75" i="7"/>
  <c r="F75" i="7"/>
  <c r="V74" i="7"/>
  <c r="T74" i="7"/>
  <c r="K80" i="7" s="1"/>
  <c r="R74" i="7"/>
  <c r="K79" i="7" s="1"/>
  <c r="P84" i="7" s="1"/>
  <c r="U74" i="7"/>
  <c r="S74" i="7"/>
  <c r="I80" i="7" s="1"/>
  <c r="Q74" i="7"/>
  <c r="I79" i="7" s="1"/>
  <c r="E74" i="7"/>
  <c r="D74" i="7"/>
  <c r="B74" i="7"/>
  <c r="O72" i="7"/>
  <c r="K71" i="7"/>
  <c r="P72" i="7" s="1"/>
  <c r="J71" i="7"/>
  <c r="I71" i="7"/>
  <c r="H72" i="7" s="1"/>
  <c r="H71" i="7"/>
  <c r="F71" i="7"/>
  <c r="V71" i="7"/>
  <c r="T71" i="7"/>
  <c r="R71" i="7"/>
  <c r="U71" i="7"/>
  <c r="S71" i="7"/>
  <c r="Q71" i="7"/>
  <c r="E71" i="7"/>
  <c r="D71" i="7"/>
  <c r="B71" i="7"/>
  <c r="H68" i="7"/>
  <c r="J68" i="7"/>
  <c r="I66" i="7"/>
  <c r="H66" i="7"/>
  <c r="E66" i="7"/>
  <c r="J65" i="7"/>
  <c r="E65" i="7"/>
  <c r="J64" i="7"/>
  <c r="E64" i="7"/>
  <c r="K63" i="7"/>
  <c r="J63" i="7"/>
  <c r="I63" i="7"/>
  <c r="H63" i="7"/>
  <c r="F63" i="7"/>
  <c r="K62" i="7"/>
  <c r="J62" i="7"/>
  <c r="I62" i="7"/>
  <c r="H62" i="7"/>
  <c r="F62" i="7"/>
  <c r="K61" i="7"/>
  <c r="J61" i="7"/>
  <c r="I61" i="7"/>
  <c r="H61" i="7"/>
  <c r="F61" i="7"/>
  <c r="K60" i="7"/>
  <c r="J60" i="7"/>
  <c r="I60" i="7"/>
  <c r="H60" i="7"/>
  <c r="F60" i="7"/>
  <c r="V59" i="7"/>
  <c r="T59" i="7"/>
  <c r="K65" i="7" s="1"/>
  <c r="R59" i="7"/>
  <c r="K64" i="7" s="1"/>
  <c r="U59" i="7"/>
  <c r="S59" i="7"/>
  <c r="I65" i="7" s="1"/>
  <c r="Q59" i="7"/>
  <c r="I64" i="7" s="1"/>
  <c r="E59" i="7"/>
  <c r="D59" i="7"/>
  <c r="B59" i="7"/>
  <c r="P57" i="7"/>
  <c r="J57" i="7"/>
  <c r="K56" i="7"/>
  <c r="J56" i="7"/>
  <c r="I56" i="7"/>
  <c r="O57" i="7" s="1"/>
  <c r="H56" i="7"/>
  <c r="F56" i="7"/>
  <c r="V56" i="7"/>
  <c r="T56" i="7"/>
  <c r="R56" i="7"/>
  <c r="U56" i="7"/>
  <c r="S56" i="7"/>
  <c r="Q56" i="7"/>
  <c r="E56" i="7"/>
  <c r="D56" i="7"/>
  <c r="B56" i="7"/>
  <c r="H53" i="7"/>
  <c r="J53" i="7"/>
  <c r="I51" i="7"/>
  <c r="H51" i="7"/>
  <c r="E51" i="7"/>
  <c r="J50" i="7"/>
  <c r="E50" i="7"/>
  <c r="J49" i="7"/>
  <c r="E49" i="7"/>
  <c r="K48" i="7"/>
  <c r="J48" i="7"/>
  <c r="I48" i="7"/>
  <c r="H48" i="7"/>
  <c r="F48" i="7"/>
  <c r="K47" i="7"/>
  <c r="J47" i="7"/>
  <c r="I47" i="7"/>
  <c r="H47" i="7"/>
  <c r="F47" i="7"/>
  <c r="V46" i="7"/>
  <c r="T46" i="7"/>
  <c r="K50" i="7" s="1"/>
  <c r="R46" i="7"/>
  <c r="K49" i="7" s="1"/>
  <c r="U46" i="7"/>
  <c r="S46" i="7"/>
  <c r="I50" i="7" s="1"/>
  <c r="Q46" i="7"/>
  <c r="I49" i="7" s="1"/>
  <c r="O54" i="7" s="1"/>
  <c r="E46" i="7"/>
  <c r="D46" i="7"/>
  <c r="B46" i="7"/>
  <c r="P44" i="7"/>
  <c r="J44" i="7"/>
  <c r="K43" i="7"/>
  <c r="J43" i="7"/>
  <c r="I43" i="7"/>
  <c r="O44" i="7" s="1"/>
  <c r="H43" i="7"/>
  <c r="F43" i="7"/>
  <c r="V43" i="7"/>
  <c r="T43" i="7"/>
  <c r="R43" i="7"/>
  <c r="U43" i="7"/>
  <c r="S43" i="7"/>
  <c r="Q43" i="7"/>
  <c r="E43" i="7"/>
  <c r="D43" i="7"/>
  <c r="B43" i="7"/>
  <c r="O41" i="7"/>
  <c r="H41" i="7"/>
  <c r="K40" i="7"/>
  <c r="P41" i="7" s="1"/>
  <c r="J40" i="7"/>
  <c r="I40" i="7"/>
  <c r="H40" i="7"/>
  <c r="F40" i="7"/>
  <c r="V40" i="7"/>
  <c r="T40" i="7"/>
  <c r="R40" i="7"/>
  <c r="U40" i="7"/>
  <c r="S40" i="7"/>
  <c r="Q40" i="7"/>
  <c r="E40" i="7"/>
  <c r="D40" i="7"/>
  <c r="B40" i="7"/>
  <c r="H37" i="7"/>
  <c r="J37" i="7"/>
  <c r="I35" i="7"/>
  <c r="H35" i="7"/>
  <c r="E35" i="7"/>
  <c r="J34" i="7"/>
  <c r="E34" i="7"/>
  <c r="J33" i="7"/>
  <c r="E33" i="7"/>
  <c r="K32" i="7"/>
  <c r="J32" i="7"/>
  <c r="I32" i="7"/>
  <c r="H32" i="7"/>
  <c r="F32" i="7"/>
  <c r="K31" i="7"/>
  <c r="J31" i="7"/>
  <c r="I31" i="7"/>
  <c r="H31" i="7"/>
  <c r="F31" i="7"/>
  <c r="V30" i="7"/>
  <c r="T30" i="7"/>
  <c r="K34" i="7" s="1"/>
  <c r="R30" i="7"/>
  <c r="K33" i="7" s="1"/>
  <c r="U30" i="7"/>
  <c r="S30" i="7"/>
  <c r="I34" i="7" s="1"/>
  <c r="Q30" i="7"/>
  <c r="I33" i="7" s="1"/>
  <c r="E30" i="7"/>
  <c r="D30" i="7"/>
  <c r="B30" i="7"/>
  <c r="A29" i="7"/>
  <c r="A11" i="7"/>
  <c r="A8" i="7"/>
  <c r="A6" i="7"/>
  <c r="A1" i="7"/>
  <c r="H97" i="7" l="1"/>
  <c r="H145" i="7"/>
  <c r="O227" i="7"/>
  <c r="H225" i="7"/>
  <c r="H227" i="7"/>
  <c r="P267" i="7"/>
  <c r="J302" i="7" s="1"/>
  <c r="J278" i="7"/>
  <c r="H36" i="7"/>
  <c r="H67" i="7"/>
  <c r="J185" i="7"/>
  <c r="H84" i="7"/>
  <c r="J97" i="7"/>
  <c r="H127" i="7"/>
  <c r="J145" i="7"/>
  <c r="H158" i="7"/>
  <c r="O187" i="7"/>
  <c r="J198" i="7"/>
  <c r="J213" i="7"/>
  <c r="O267" i="7"/>
  <c r="H302" i="7" s="1"/>
  <c r="H280" i="7"/>
  <c r="H54" i="7"/>
  <c r="H114" i="7"/>
  <c r="J280" i="7"/>
  <c r="J36" i="7"/>
  <c r="J54" i="7"/>
  <c r="J67" i="7"/>
  <c r="J114" i="7"/>
  <c r="P145" i="7"/>
  <c r="O174" i="7"/>
  <c r="J172" i="7"/>
  <c r="H198" i="7"/>
  <c r="O200" i="7"/>
  <c r="P215" i="7"/>
  <c r="O243" i="7"/>
  <c r="O84" i="7"/>
  <c r="J215" i="7"/>
  <c r="O280" i="7"/>
  <c r="J38" i="7"/>
  <c r="H38" i="7"/>
  <c r="J41" i="7"/>
  <c r="H44" i="7"/>
  <c r="J52" i="7"/>
  <c r="H52" i="7"/>
  <c r="H57" i="7"/>
  <c r="J69" i="7"/>
  <c r="H69" i="7"/>
  <c r="J72" i="7"/>
  <c r="J82" i="7"/>
  <c r="H82" i="7"/>
  <c r="H87" i="7"/>
  <c r="J99" i="7"/>
  <c r="H99" i="7"/>
  <c r="J102" i="7"/>
  <c r="J112" i="7"/>
  <c r="H112" i="7"/>
  <c r="H117" i="7"/>
  <c r="J125" i="7"/>
  <c r="H125" i="7"/>
  <c r="H130" i="7"/>
  <c r="J133" i="7"/>
  <c r="J143" i="7"/>
  <c r="H143" i="7"/>
  <c r="H148" i="7"/>
  <c r="J160" i="7"/>
  <c r="H160" i="7"/>
  <c r="J163" i="7"/>
  <c r="O215" i="7"/>
  <c r="J225" i="7"/>
  <c r="H230" i="7"/>
  <c r="H278" i="7"/>
  <c r="H288" i="7"/>
  <c r="J296" i="7"/>
  <c r="H299" i="7"/>
  <c r="P127" i="7"/>
  <c r="O145" i="7"/>
  <c r="H172" i="7"/>
  <c r="P38" i="7"/>
  <c r="O38" i="7"/>
  <c r="P69" i="7"/>
  <c r="O69" i="7"/>
  <c r="P99" i="7"/>
  <c r="O99" i="7"/>
  <c r="P160" i="7"/>
  <c r="O160" i="7"/>
  <c r="J174" i="7"/>
  <c r="H174" i="7"/>
  <c r="J187" i="7"/>
  <c r="H187" i="7"/>
  <c r="J200" i="7"/>
  <c r="H200" i="7"/>
  <c r="J203" i="7"/>
  <c r="H218" i="7"/>
  <c r="J243" i="7"/>
  <c r="H243" i="7"/>
  <c r="J246" i="7"/>
  <c r="J267" i="7"/>
  <c r="H267" i="7"/>
  <c r="H284" i="7"/>
  <c r="J292" i="7"/>
  <c r="P54" i="7"/>
  <c r="O114" i="7"/>
  <c r="J265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" i="3"/>
  <c r="Y1" i="3"/>
  <c r="CX1" i="3" s="1"/>
  <c r="CU1" i="3"/>
  <c r="CV1" i="3"/>
  <c r="CY1" i="3"/>
  <c r="CZ1" i="3"/>
  <c r="DB1" i="3" s="1"/>
  <c r="DA1" i="3"/>
  <c r="DC1" i="3"/>
  <c r="DF1" i="3"/>
  <c r="DG1" i="3"/>
  <c r="A2" i="3"/>
  <c r="Y2" i="3"/>
  <c r="CX2" i="3"/>
  <c r="DG2" i="3" s="1"/>
  <c r="CY2" i="3"/>
  <c r="CZ2" i="3"/>
  <c r="DB2" i="3" s="1"/>
  <c r="DA2" i="3"/>
  <c r="DC2" i="3"/>
  <c r="DF2" i="3"/>
  <c r="DJ2" i="3" s="1"/>
  <c r="DH2" i="3"/>
  <c r="DI2" i="3"/>
  <c r="A3" i="3"/>
  <c r="Y3" i="3"/>
  <c r="CX3" i="3"/>
  <c r="CY3" i="3"/>
  <c r="CZ3" i="3"/>
  <c r="DA3" i="3"/>
  <c r="DB3" i="3"/>
  <c r="DC3" i="3"/>
  <c r="DH3" i="3"/>
  <c r="DI3" i="3"/>
  <c r="A4" i="3"/>
  <c r="Y4" i="3"/>
  <c r="CX4" i="3"/>
  <c r="CY4" i="3"/>
  <c r="CZ4" i="3"/>
  <c r="DA4" i="3"/>
  <c r="DB4" i="3"/>
  <c r="DC4" i="3"/>
  <c r="A5" i="3"/>
  <c r="Y5" i="3"/>
  <c r="CX5" i="3" s="1"/>
  <c r="CY5" i="3"/>
  <c r="CZ5" i="3"/>
  <c r="DB5" i="3" s="1"/>
  <c r="DA5" i="3"/>
  <c r="DC5" i="3"/>
  <c r="A6" i="3"/>
  <c r="Y6" i="3"/>
  <c r="CU6" i="3"/>
  <c r="CV6" i="3"/>
  <c r="CX6" i="3"/>
  <c r="CY6" i="3"/>
  <c r="CZ6" i="3"/>
  <c r="DA6" i="3"/>
  <c r="DB6" i="3"/>
  <c r="DC6" i="3"/>
  <c r="A7" i="3"/>
  <c r="Y7" i="3"/>
  <c r="CX7" i="3" s="1"/>
  <c r="DF7" i="3" s="1"/>
  <c r="DJ7" i="3" s="1"/>
  <c r="CY7" i="3"/>
  <c r="CZ7" i="3"/>
  <c r="DB7" i="3" s="1"/>
  <c r="DA7" i="3"/>
  <c r="DC7" i="3"/>
  <c r="DG7" i="3"/>
  <c r="A8" i="3"/>
  <c r="Y8" i="3"/>
  <c r="CX8" i="3"/>
  <c r="DG8" i="3" s="1"/>
  <c r="CY8" i="3"/>
  <c r="CZ8" i="3"/>
  <c r="DB8" i="3" s="1"/>
  <c r="DA8" i="3"/>
  <c r="DC8" i="3"/>
  <c r="DF8" i="3"/>
  <c r="DH8" i="3"/>
  <c r="DI8" i="3"/>
  <c r="DJ8" i="3"/>
  <c r="A9" i="3"/>
  <c r="Y9" i="3"/>
  <c r="CX9" i="3"/>
  <c r="CY9" i="3"/>
  <c r="CZ9" i="3"/>
  <c r="DA9" i="3"/>
  <c r="DB9" i="3"/>
  <c r="DC9" i="3"/>
  <c r="DH9" i="3"/>
  <c r="DI9" i="3"/>
  <c r="A10" i="3"/>
  <c r="Y10" i="3"/>
  <c r="CX10" i="3" s="1"/>
  <c r="CY10" i="3"/>
  <c r="CZ10" i="3"/>
  <c r="DA10" i="3"/>
  <c r="DB10" i="3"/>
  <c r="DC10" i="3"/>
  <c r="DH10" i="3"/>
  <c r="A11" i="3"/>
  <c r="Y11" i="3"/>
  <c r="CV11" i="3" s="1"/>
  <c r="CU11" i="3"/>
  <c r="CX11" i="3"/>
  <c r="CY11" i="3"/>
  <c r="CZ11" i="3"/>
  <c r="DA11" i="3"/>
  <c r="DB11" i="3"/>
  <c r="DC11" i="3"/>
  <c r="A12" i="3"/>
  <c r="Y12" i="3"/>
  <c r="CX12" i="3" s="1"/>
  <c r="CY12" i="3"/>
  <c r="CZ12" i="3"/>
  <c r="DA12" i="3"/>
  <c r="DB12" i="3"/>
  <c r="DC12" i="3"/>
  <c r="DG12" i="3"/>
  <c r="A13" i="3"/>
  <c r="Y13" i="3"/>
  <c r="CX13" i="3" s="1"/>
  <c r="CY13" i="3"/>
  <c r="CZ13" i="3"/>
  <c r="DB13" i="3" s="1"/>
  <c r="DA13" i="3"/>
  <c r="DC13" i="3"/>
  <c r="DF13" i="3"/>
  <c r="DJ13" i="3" s="1"/>
  <c r="DG13" i="3"/>
  <c r="A14" i="3"/>
  <c r="Y14" i="3"/>
  <c r="CX14" i="3"/>
  <c r="DG14" i="3" s="1"/>
  <c r="CY14" i="3"/>
  <c r="CZ14" i="3"/>
  <c r="DB14" i="3" s="1"/>
  <c r="DA14" i="3"/>
  <c r="DC14" i="3"/>
  <c r="DF14" i="3"/>
  <c r="DH14" i="3"/>
  <c r="DI14" i="3"/>
  <c r="DJ14" i="3"/>
  <c r="A15" i="3"/>
  <c r="Y15" i="3"/>
  <c r="CX15" i="3" s="1"/>
  <c r="CU15" i="3"/>
  <c r="CV15" i="3"/>
  <c r="CY15" i="3"/>
  <c r="CZ15" i="3"/>
  <c r="DB15" i="3" s="1"/>
  <c r="DA15" i="3"/>
  <c r="DC15" i="3"/>
  <c r="DF15" i="3"/>
  <c r="DG15" i="3"/>
  <c r="A16" i="3"/>
  <c r="Y16" i="3"/>
  <c r="CX16" i="3"/>
  <c r="DG16" i="3" s="1"/>
  <c r="CY16" i="3"/>
  <c r="CZ16" i="3"/>
  <c r="DB16" i="3" s="1"/>
  <c r="DA16" i="3"/>
  <c r="DC16" i="3"/>
  <c r="DF16" i="3"/>
  <c r="DJ16" i="3" s="1"/>
  <c r="DH16" i="3"/>
  <c r="DI16" i="3"/>
  <c r="A17" i="3"/>
  <c r="Y17" i="3"/>
  <c r="CX17" i="3"/>
  <c r="CY17" i="3"/>
  <c r="CZ17" i="3"/>
  <c r="DA17" i="3"/>
  <c r="DB17" i="3"/>
  <c r="DC17" i="3"/>
  <c r="DH17" i="3"/>
  <c r="DI17" i="3"/>
  <c r="A18" i="3"/>
  <c r="Y18" i="3"/>
  <c r="CX18" i="3"/>
  <c r="CY18" i="3"/>
  <c r="CZ18" i="3"/>
  <c r="DA18" i="3"/>
  <c r="DB18" i="3"/>
  <c r="DC18" i="3"/>
  <c r="A19" i="3"/>
  <c r="Y19" i="3"/>
  <c r="CU19" i="3"/>
  <c r="CY19" i="3"/>
  <c r="CZ19" i="3"/>
  <c r="DA19" i="3"/>
  <c r="DB19" i="3"/>
  <c r="DC19" i="3"/>
  <c r="A20" i="3"/>
  <c r="Y20" i="3"/>
  <c r="CU20" i="3"/>
  <c r="CY20" i="3"/>
  <c r="CZ20" i="3"/>
  <c r="DB20" i="3" s="1"/>
  <c r="DA20" i="3"/>
  <c r="DC20" i="3"/>
  <c r="A21" i="3"/>
  <c r="Y21" i="3"/>
  <c r="CX21" i="3" s="1"/>
  <c r="CU21" i="3"/>
  <c r="CV21" i="3"/>
  <c r="CY21" i="3"/>
  <c r="CZ21" i="3"/>
  <c r="DB21" i="3" s="1"/>
  <c r="DA21" i="3"/>
  <c r="DC21" i="3"/>
  <c r="DF21" i="3"/>
  <c r="DG21" i="3"/>
  <c r="A22" i="3"/>
  <c r="Y22" i="3"/>
  <c r="CU22" i="3"/>
  <c r="CV22" i="3"/>
  <c r="CX22" i="3"/>
  <c r="CY22" i="3"/>
  <c r="CZ22" i="3"/>
  <c r="DA22" i="3"/>
  <c r="DB22" i="3"/>
  <c r="DC22" i="3"/>
  <c r="A23" i="3"/>
  <c r="Y23" i="3"/>
  <c r="CU23" i="3"/>
  <c r="CY23" i="3"/>
  <c r="CZ23" i="3"/>
  <c r="DA23" i="3"/>
  <c r="DB23" i="3"/>
  <c r="DC23" i="3"/>
  <c r="A24" i="3"/>
  <c r="Y24" i="3"/>
  <c r="CU24" i="3"/>
  <c r="CY24" i="3"/>
  <c r="CZ24" i="3"/>
  <c r="DB24" i="3" s="1"/>
  <c r="DA24" i="3"/>
  <c r="DC24" i="3"/>
  <c r="A25" i="3"/>
  <c r="Y25" i="3"/>
  <c r="CX25" i="3" s="1"/>
  <c r="CU25" i="3"/>
  <c r="CV25" i="3"/>
  <c r="CY25" i="3"/>
  <c r="CZ25" i="3"/>
  <c r="DB25" i="3" s="1"/>
  <c r="DA25" i="3"/>
  <c r="DC25" i="3"/>
  <c r="DF25" i="3"/>
  <c r="DG25" i="3"/>
  <c r="A26" i="3"/>
  <c r="Y26" i="3"/>
  <c r="CU26" i="3"/>
  <c r="CV26" i="3"/>
  <c r="CX26" i="3"/>
  <c r="CY26" i="3"/>
  <c r="CZ26" i="3"/>
  <c r="DA26" i="3"/>
  <c r="DB26" i="3"/>
  <c r="DC26" i="3"/>
  <c r="A27" i="3"/>
  <c r="Y27" i="3"/>
  <c r="CU27" i="3"/>
  <c r="CY27" i="3"/>
  <c r="CZ27" i="3"/>
  <c r="DA27" i="3"/>
  <c r="DB27" i="3"/>
  <c r="DC27" i="3"/>
  <c r="A28" i="3"/>
  <c r="Y28" i="3"/>
  <c r="CX28" i="3" s="1"/>
  <c r="CY28" i="3"/>
  <c r="CZ28" i="3"/>
  <c r="DA28" i="3"/>
  <c r="DB28" i="3"/>
  <c r="DC28" i="3"/>
  <c r="A29" i="3"/>
  <c r="Y29" i="3"/>
  <c r="CX29" i="3" s="1"/>
  <c r="DF29" i="3" s="1"/>
  <c r="CY29" i="3"/>
  <c r="CZ29" i="3"/>
  <c r="DB29" i="3" s="1"/>
  <c r="DA29" i="3"/>
  <c r="DC29" i="3"/>
  <c r="DG29" i="3"/>
  <c r="DJ29" i="3"/>
  <c r="A30" i="3"/>
  <c r="Y30" i="3"/>
  <c r="CX30" i="3"/>
  <c r="DG30" i="3" s="1"/>
  <c r="CY30" i="3"/>
  <c r="CZ30" i="3"/>
  <c r="DB30" i="3" s="1"/>
  <c r="DA30" i="3"/>
  <c r="DC30" i="3"/>
  <c r="DF30" i="3"/>
  <c r="DJ30" i="3" s="1"/>
  <c r="DH30" i="3"/>
  <c r="DI30" i="3"/>
  <c r="A31" i="3"/>
  <c r="Y31" i="3"/>
  <c r="CX31" i="3" s="1"/>
  <c r="CU31" i="3"/>
  <c r="CV31" i="3"/>
  <c r="CY31" i="3"/>
  <c r="CZ31" i="3"/>
  <c r="DB31" i="3" s="1"/>
  <c r="DA31" i="3"/>
  <c r="DC31" i="3"/>
  <c r="DF31" i="3"/>
  <c r="DG31" i="3"/>
  <c r="A32" i="3"/>
  <c r="Y32" i="3"/>
  <c r="CX32" i="3"/>
  <c r="DG32" i="3" s="1"/>
  <c r="CY32" i="3"/>
  <c r="CZ32" i="3"/>
  <c r="DB32" i="3" s="1"/>
  <c r="DA32" i="3"/>
  <c r="DC32" i="3"/>
  <c r="DF32" i="3"/>
  <c r="DH32" i="3"/>
  <c r="DI32" i="3"/>
  <c r="DJ32" i="3"/>
  <c r="A33" i="3"/>
  <c r="Y33" i="3"/>
  <c r="CX33" i="3"/>
  <c r="CY33" i="3"/>
  <c r="CZ33" i="3"/>
  <c r="DA33" i="3"/>
  <c r="DB33" i="3"/>
  <c r="DC33" i="3"/>
  <c r="DI33" i="3"/>
  <c r="A34" i="3"/>
  <c r="Y34" i="3"/>
  <c r="CX34" i="3" s="1"/>
  <c r="CY34" i="3"/>
  <c r="CZ34" i="3"/>
  <c r="DA34" i="3"/>
  <c r="DB34" i="3"/>
  <c r="DC34" i="3"/>
  <c r="DG34" i="3"/>
  <c r="A35" i="3"/>
  <c r="Y35" i="3"/>
  <c r="CU35" i="3"/>
  <c r="CY35" i="3"/>
  <c r="CZ35" i="3"/>
  <c r="DA35" i="3"/>
  <c r="DB35" i="3"/>
  <c r="DC35" i="3"/>
  <c r="A36" i="3"/>
  <c r="Y36" i="3"/>
  <c r="CU36" i="3"/>
  <c r="CY36" i="3"/>
  <c r="CZ36" i="3"/>
  <c r="DB36" i="3" s="1"/>
  <c r="DA36" i="3"/>
  <c r="DC36" i="3"/>
  <c r="A37" i="3"/>
  <c r="Y37" i="3"/>
  <c r="CX37" i="3" s="1"/>
  <c r="CU37" i="3"/>
  <c r="CV37" i="3"/>
  <c r="CY37" i="3"/>
  <c r="CZ37" i="3"/>
  <c r="DB37" i="3" s="1"/>
  <c r="DA37" i="3"/>
  <c r="DC37" i="3"/>
  <c r="DG37" i="3"/>
  <c r="A38" i="3"/>
  <c r="Y38" i="3"/>
  <c r="CU38" i="3"/>
  <c r="CV38" i="3"/>
  <c r="CX38" i="3"/>
  <c r="CY38" i="3"/>
  <c r="CZ38" i="3"/>
  <c r="DA38" i="3"/>
  <c r="DB38" i="3"/>
  <c r="DC38" i="3"/>
  <c r="DG38" i="3"/>
  <c r="DH38" i="3"/>
  <c r="A39" i="3"/>
  <c r="Y39" i="3"/>
  <c r="CU39" i="3"/>
  <c r="CY39" i="3"/>
  <c r="CZ39" i="3"/>
  <c r="DA39" i="3"/>
  <c r="DB39" i="3"/>
  <c r="DC39" i="3"/>
  <c r="A40" i="3"/>
  <c r="Y40" i="3"/>
  <c r="CU40" i="3"/>
  <c r="CY40" i="3"/>
  <c r="CZ40" i="3"/>
  <c r="DB40" i="3" s="1"/>
  <c r="DA40" i="3"/>
  <c r="DC40" i="3"/>
  <c r="A41" i="3"/>
  <c r="Y41" i="3"/>
  <c r="CX41" i="3" s="1"/>
  <c r="CU41" i="3"/>
  <c r="CV41" i="3"/>
  <c r="CY41" i="3"/>
  <c r="CZ41" i="3"/>
  <c r="DB41" i="3" s="1"/>
  <c r="DA41" i="3"/>
  <c r="DC41" i="3"/>
  <c r="DF41" i="3"/>
  <c r="DG41" i="3"/>
  <c r="A42" i="3"/>
  <c r="Y42" i="3"/>
  <c r="CU42" i="3"/>
  <c r="CV42" i="3"/>
  <c r="CX42" i="3"/>
  <c r="CY42" i="3"/>
  <c r="CZ42" i="3"/>
  <c r="DA42" i="3"/>
  <c r="DB42" i="3"/>
  <c r="DC42" i="3"/>
  <c r="DG42" i="3"/>
  <c r="DH42" i="3"/>
  <c r="A43" i="3"/>
  <c r="Y43" i="3"/>
  <c r="CV43" i="3" s="1"/>
  <c r="CU43" i="3"/>
  <c r="CX43" i="3"/>
  <c r="CY43" i="3"/>
  <c r="CZ43" i="3"/>
  <c r="DA43" i="3"/>
  <c r="DB43" i="3"/>
  <c r="DC43" i="3"/>
  <c r="A44" i="3"/>
  <c r="Y44" i="3"/>
  <c r="CU44" i="3"/>
  <c r="CY44" i="3"/>
  <c r="CZ44" i="3"/>
  <c r="DB44" i="3" s="1"/>
  <c r="DA44" i="3"/>
  <c r="DC44" i="3"/>
  <c r="A45" i="3"/>
  <c r="Y45" i="3"/>
  <c r="CU45" i="3"/>
  <c r="CV45" i="3"/>
  <c r="CX45" i="3"/>
  <c r="DI45" i="3" s="1"/>
  <c r="CY45" i="3"/>
  <c r="CZ45" i="3"/>
  <c r="DB45" i="3" s="1"/>
  <c r="DA45" i="3"/>
  <c r="DC45" i="3"/>
  <c r="DF45" i="3"/>
  <c r="DG45" i="3"/>
  <c r="DH45" i="3"/>
  <c r="DJ45" i="3"/>
  <c r="A46" i="3"/>
  <c r="Y46" i="3"/>
  <c r="CU46" i="3"/>
  <c r="CV46" i="3"/>
  <c r="CX46" i="3"/>
  <c r="CY46" i="3"/>
  <c r="CZ46" i="3"/>
  <c r="DA46" i="3"/>
  <c r="DB46" i="3"/>
  <c r="DC46" i="3"/>
  <c r="DH46" i="3"/>
  <c r="A47" i="3"/>
  <c r="Y47" i="3"/>
  <c r="CV47" i="3" s="1"/>
  <c r="CU47" i="3"/>
  <c r="CX47" i="3"/>
  <c r="CY47" i="3"/>
  <c r="CZ47" i="3"/>
  <c r="DA47" i="3"/>
  <c r="DB47" i="3"/>
  <c r="DC47" i="3"/>
  <c r="A48" i="3"/>
  <c r="Y48" i="3"/>
  <c r="CX48" i="3" s="1"/>
  <c r="CY48" i="3"/>
  <c r="CZ48" i="3"/>
  <c r="DA48" i="3"/>
  <c r="DB48" i="3"/>
  <c r="DC48" i="3"/>
  <c r="DG48" i="3"/>
  <c r="DH48" i="3"/>
  <c r="A49" i="3"/>
  <c r="Y49" i="3"/>
  <c r="CU49" i="3"/>
  <c r="CY49" i="3"/>
  <c r="CZ49" i="3"/>
  <c r="DB49" i="3" s="1"/>
  <c r="DA49" i="3"/>
  <c r="DC49" i="3"/>
  <c r="A50" i="3"/>
  <c r="Y50" i="3"/>
  <c r="CX50" i="3"/>
  <c r="DG50" i="3" s="1"/>
  <c r="CY50" i="3"/>
  <c r="CZ50" i="3"/>
  <c r="DB50" i="3" s="1"/>
  <c r="DA50" i="3"/>
  <c r="DC50" i="3"/>
  <c r="DF50" i="3"/>
  <c r="DJ50" i="3" s="1"/>
  <c r="DI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A55" i="3"/>
  <c r="DB55" i="3"/>
  <c r="DC55" i="3"/>
  <c r="A56" i="3"/>
  <c r="Y56" i="3"/>
  <c r="CY56" i="3"/>
  <c r="CZ56" i="3"/>
  <c r="DA56" i="3"/>
  <c r="DB56" i="3"/>
  <c r="DC56" i="3"/>
  <c r="A57" i="3"/>
  <c r="Y57" i="3"/>
  <c r="CY57" i="3"/>
  <c r="CZ57" i="3"/>
  <c r="DA57" i="3"/>
  <c r="DB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B70" i="3" s="1"/>
  <c r="DA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X75" i="3" s="1"/>
  <c r="CY75" i="3"/>
  <c r="CZ75" i="3"/>
  <c r="DB75" i="3" s="1"/>
  <c r="DA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CP28" i="1" s="1"/>
  <c r="O28" i="1" s="1"/>
  <c r="S28" i="1"/>
  <c r="T28" i="1"/>
  <c r="X28" i="1"/>
  <c r="AC28" i="1"/>
  <c r="AD28" i="1"/>
  <c r="AE28" i="1"/>
  <c r="Q28" i="1" s="1"/>
  <c r="AF28" i="1"/>
  <c r="AG28" i="1"/>
  <c r="AH28" i="1"/>
  <c r="CV28" i="1" s="1"/>
  <c r="U28" i="1" s="1"/>
  <c r="AI28" i="1"/>
  <c r="CW28" i="1" s="1"/>
  <c r="V28" i="1" s="1"/>
  <c r="AJ28" i="1"/>
  <c r="CQ28" i="1"/>
  <c r="CR28" i="1"/>
  <c r="CT28" i="1"/>
  <c r="CU28" i="1"/>
  <c r="CX28" i="1"/>
  <c r="W28" i="1" s="1"/>
  <c r="CY28" i="1"/>
  <c r="GL28" i="1"/>
  <c r="GN28" i="1"/>
  <c r="GP28" i="1"/>
  <c r="GV28" i="1"/>
  <c r="HC28" i="1" s="1"/>
  <c r="GX28" i="1" s="1"/>
  <c r="C29" i="1"/>
  <c r="D29" i="1"/>
  <c r="R29" i="1"/>
  <c r="S29" i="1"/>
  <c r="AC29" i="1"/>
  <c r="AD29" i="1"/>
  <c r="AE29" i="1"/>
  <c r="Q29" i="1" s="1"/>
  <c r="AF29" i="1"/>
  <c r="AG29" i="1"/>
  <c r="CU29" i="1" s="1"/>
  <c r="T29" i="1" s="1"/>
  <c r="AH29" i="1"/>
  <c r="CV29" i="1" s="1"/>
  <c r="U29" i="1" s="1"/>
  <c r="AI29" i="1"/>
  <c r="AJ29" i="1"/>
  <c r="CR29" i="1"/>
  <c r="CS29" i="1"/>
  <c r="CT29" i="1"/>
  <c r="CW29" i="1"/>
  <c r="V29" i="1" s="1"/>
  <c r="CX29" i="1"/>
  <c r="W29" i="1" s="1"/>
  <c r="GL29" i="1"/>
  <c r="GN29" i="1"/>
  <c r="GP29" i="1"/>
  <c r="GV29" i="1"/>
  <c r="HC29" i="1" s="1"/>
  <c r="GX29" i="1" s="1"/>
  <c r="S30" i="1"/>
  <c r="Y30" i="1" s="1"/>
  <c r="X30" i="1"/>
  <c r="AC30" i="1"/>
  <c r="P30" i="1" s="1"/>
  <c r="AD30" i="1"/>
  <c r="AE30" i="1"/>
  <c r="Q30" i="1" s="1"/>
  <c r="AF30" i="1"/>
  <c r="AG30" i="1"/>
  <c r="CU30" i="1" s="1"/>
  <c r="T30" i="1" s="1"/>
  <c r="AH30" i="1"/>
  <c r="AI30" i="1"/>
  <c r="CW30" i="1" s="1"/>
  <c r="V30" i="1" s="1"/>
  <c r="AJ30" i="1"/>
  <c r="CR30" i="1"/>
  <c r="CT30" i="1"/>
  <c r="CV30" i="1"/>
  <c r="U30" i="1" s="1"/>
  <c r="CX30" i="1"/>
  <c r="W30" i="1" s="1"/>
  <c r="CY30" i="1"/>
  <c r="CZ30" i="1"/>
  <c r="GL30" i="1"/>
  <c r="GN30" i="1"/>
  <c r="GO30" i="1"/>
  <c r="GP30" i="1"/>
  <c r="GV30" i="1"/>
  <c r="HC30" i="1" s="1"/>
  <c r="GX30" i="1"/>
  <c r="S31" i="1"/>
  <c r="T31" i="1"/>
  <c r="U31" i="1"/>
  <c r="AC31" i="1"/>
  <c r="CQ31" i="1" s="1"/>
  <c r="AE31" i="1"/>
  <c r="AF31" i="1"/>
  <c r="AG31" i="1"/>
  <c r="AH31" i="1"/>
  <c r="AI31" i="1"/>
  <c r="CW31" i="1" s="1"/>
  <c r="V31" i="1" s="1"/>
  <c r="AJ31" i="1"/>
  <c r="CT31" i="1"/>
  <c r="CU31" i="1"/>
  <c r="CV31" i="1"/>
  <c r="CX31" i="1"/>
  <c r="W31" i="1" s="1"/>
  <c r="CY31" i="1"/>
  <c r="GL31" i="1"/>
  <c r="GN31" i="1"/>
  <c r="GO31" i="1"/>
  <c r="GP31" i="1"/>
  <c r="GV31" i="1"/>
  <c r="HC31" i="1" s="1"/>
  <c r="GX31" i="1"/>
  <c r="Q32" i="1"/>
  <c r="S32" i="1"/>
  <c r="T32" i="1"/>
  <c r="W32" i="1"/>
  <c r="AC32" i="1"/>
  <c r="AE32" i="1"/>
  <c r="AF32" i="1"/>
  <c r="AG32" i="1"/>
  <c r="AH32" i="1"/>
  <c r="AI32" i="1"/>
  <c r="CW32" i="1" s="1"/>
  <c r="V32" i="1" s="1"/>
  <c r="AJ32" i="1"/>
  <c r="CQ32" i="1"/>
  <c r="CT32" i="1"/>
  <c r="CU32" i="1"/>
  <c r="CV32" i="1"/>
  <c r="U32" i="1" s="1"/>
  <c r="CX32" i="1"/>
  <c r="GL32" i="1"/>
  <c r="GN32" i="1"/>
  <c r="GO32" i="1"/>
  <c r="GP32" i="1"/>
  <c r="GV32" i="1"/>
  <c r="HC32" i="1" s="1"/>
  <c r="GX32" i="1" s="1"/>
  <c r="P33" i="1"/>
  <c r="Q33" i="1"/>
  <c r="S33" i="1"/>
  <c r="Y33" i="1" s="1"/>
  <c r="U33" i="1"/>
  <c r="W33" i="1"/>
  <c r="AC33" i="1"/>
  <c r="AD33" i="1"/>
  <c r="AE33" i="1"/>
  <c r="AF33" i="1"/>
  <c r="AG33" i="1"/>
  <c r="AH33" i="1"/>
  <c r="AI33" i="1"/>
  <c r="AJ33" i="1"/>
  <c r="CQ33" i="1"/>
  <c r="CR33" i="1"/>
  <c r="CT33" i="1"/>
  <c r="CU33" i="1"/>
  <c r="T33" i="1" s="1"/>
  <c r="CV33" i="1"/>
  <c r="CW33" i="1"/>
  <c r="V33" i="1" s="1"/>
  <c r="CX33" i="1"/>
  <c r="CY33" i="1"/>
  <c r="CZ33" i="1"/>
  <c r="GL33" i="1"/>
  <c r="GN33" i="1"/>
  <c r="GO33" i="1"/>
  <c r="GP33" i="1"/>
  <c r="GV33" i="1"/>
  <c r="HC33" i="1" s="1"/>
  <c r="GX33" i="1" s="1"/>
  <c r="C34" i="1"/>
  <c r="D34" i="1"/>
  <c r="R34" i="1"/>
  <c r="S34" i="1"/>
  <c r="V34" i="1"/>
  <c r="W34" i="1"/>
  <c r="AC34" i="1"/>
  <c r="AD34" i="1"/>
  <c r="AE34" i="1"/>
  <c r="Q34" i="1" s="1"/>
  <c r="AF34" i="1"/>
  <c r="AG34" i="1"/>
  <c r="CU34" i="1" s="1"/>
  <c r="T34" i="1" s="1"/>
  <c r="AH34" i="1"/>
  <c r="CV34" i="1" s="1"/>
  <c r="U34" i="1" s="1"/>
  <c r="AI34" i="1"/>
  <c r="AJ34" i="1"/>
  <c r="CR34" i="1"/>
  <c r="CS34" i="1"/>
  <c r="CT34" i="1"/>
  <c r="CW34" i="1"/>
  <c r="CX34" i="1"/>
  <c r="GL34" i="1"/>
  <c r="GN34" i="1"/>
  <c r="GP34" i="1"/>
  <c r="GV34" i="1"/>
  <c r="HC34" i="1" s="1"/>
  <c r="GX34" i="1" s="1"/>
  <c r="C35" i="1"/>
  <c r="D35" i="1"/>
  <c r="Q35" i="1"/>
  <c r="R35" i="1"/>
  <c r="AB35" i="1"/>
  <c r="AC35" i="1"/>
  <c r="P35" i="1" s="1"/>
  <c r="AE35" i="1"/>
  <c r="AD35" i="1" s="1"/>
  <c r="AF35" i="1"/>
  <c r="AG35" i="1"/>
  <c r="CU35" i="1" s="1"/>
  <c r="T35" i="1" s="1"/>
  <c r="AH35" i="1"/>
  <c r="AI35" i="1"/>
  <c r="AJ35" i="1"/>
  <c r="CX35" i="1" s="1"/>
  <c r="W35" i="1" s="1"/>
  <c r="CR35" i="1"/>
  <c r="CV35" i="1"/>
  <c r="U35" i="1" s="1"/>
  <c r="CW35" i="1"/>
  <c r="V35" i="1" s="1"/>
  <c r="GL35" i="1"/>
  <c r="GN35" i="1"/>
  <c r="GP35" i="1"/>
  <c r="GV35" i="1"/>
  <c r="HC35" i="1"/>
  <c r="GX35" i="1" s="1"/>
  <c r="R36" i="1"/>
  <c r="V36" i="1"/>
  <c r="W36" i="1"/>
  <c r="AC36" i="1"/>
  <c r="AD36" i="1"/>
  <c r="AE36" i="1"/>
  <c r="Q36" i="1" s="1"/>
  <c r="AF36" i="1"/>
  <c r="S36" i="1" s="1"/>
  <c r="AG36" i="1"/>
  <c r="CU36" i="1" s="1"/>
  <c r="T36" i="1" s="1"/>
  <c r="AH36" i="1"/>
  <c r="CV36" i="1" s="1"/>
  <c r="U36" i="1" s="1"/>
  <c r="AI36" i="1"/>
  <c r="AJ36" i="1"/>
  <c r="CX36" i="1" s="1"/>
  <c r="CR36" i="1"/>
  <c r="CS36" i="1"/>
  <c r="CT36" i="1"/>
  <c r="CW36" i="1"/>
  <c r="GL36" i="1"/>
  <c r="GN36" i="1"/>
  <c r="GO36" i="1"/>
  <c r="GP36" i="1"/>
  <c r="GV36" i="1"/>
  <c r="HC36" i="1"/>
  <c r="GX36" i="1" s="1"/>
  <c r="R37" i="1"/>
  <c r="AC37" i="1"/>
  <c r="AD37" i="1"/>
  <c r="AE37" i="1"/>
  <c r="Q37" i="1" s="1"/>
  <c r="AF37" i="1"/>
  <c r="S37" i="1" s="1"/>
  <c r="AG37" i="1"/>
  <c r="CU37" i="1" s="1"/>
  <c r="T37" i="1" s="1"/>
  <c r="AH37" i="1"/>
  <c r="CV37" i="1" s="1"/>
  <c r="U37" i="1" s="1"/>
  <c r="AI37" i="1"/>
  <c r="AJ37" i="1"/>
  <c r="CX37" i="1" s="1"/>
  <c r="W37" i="1" s="1"/>
  <c r="CR37" i="1"/>
  <c r="CS37" i="1"/>
  <c r="CT37" i="1"/>
  <c r="CW37" i="1"/>
  <c r="V37" i="1" s="1"/>
  <c r="GL37" i="1"/>
  <c r="GN37" i="1"/>
  <c r="GO37" i="1"/>
  <c r="GP37" i="1"/>
  <c r="GV37" i="1"/>
  <c r="HC37" i="1"/>
  <c r="GX37" i="1" s="1"/>
  <c r="C38" i="1"/>
  <c r="D38" i="1"/>
  <c r="P38" i="1"/>
  <c r="Y38" i="1"/>
  <c r="AC38" i="1"/>
  <c r="AE38" i="1"/>
  <c r="AF38" i="1"/>
  <c r="S38" i="1" s="1"/>
  <c r="AG38" i="1"/>
  <c r="AH38" i="1"/>
  <c r="AI38" i="1"/>
  <c r="CW38" i="1" s="1"/>
  <c r="V38" i="1" s="1"/>
  <c r="AJ38" i="1"/>
  <c r="CX38" i="1" s="1"/>
  <c r="W38" i="1" s="1"/>
  <c r="CQ38" i="1"/>
  <c r="CU38" i="1"/>
  <c r="T38" i="1" s="1"/>
  <c r="CV38" i="1"/>
  <c r="U38" i="1" s="1"/>
  <c r="GL38" i="1"/>
  <c r="GN38" i="1"/>
  <c r="GP38" i="1"/>
  <c r="GV38" i="1"/>
  <c r="GX38" i="1"/>
  <c r="HC38" i="1"/>
  <c r="C39" i="1"/>
  <c r="D39" i="1"/>
  <c r="S39" i="1"/>
  <c r="T39" i="1"/>
  <c r="AC39" i="1"/>
  <c r="AD39" i="1"/>
  <c r="AE39" i="1"/>
  <c r="Q39" i="1" s="1"/>
  <c r="AF39" i="1"/>
  <c r="AG39" i="1"/>
  <c r="AH39" i="1"/>
  <c r="CV39" i="1" s="1"/>
  <c r="U39" i="1" s="1"/>
  <c r="AI39" i="1"/>
  <c r="CW39" i="1" s="1"/>
  <c r="V39" i="1" s="1"/>
  <c r="AJ39" i="1"/>
  <c r="CQ39" i="1"/>
  <c r="CR39" i="1"/>
  <c r="CT39" i="1"/>
  <c r="CU39" i="1"/>
  <c r="CX39" i="1"/>
  <c r="W39" i="1" s="1"/>
  <c r="CY39" i="1"/>
  <c r="GL39" i="1"/>
  <c r="GN39" i="1"/>
  <c r="GP39" i="1"/>
  <c r="GV39" i="1"/>
  <c r="HC39" i="1" s="1"/>
  <c r="GX39" i="1"/>
  <c r="P40" i="1"/>
  <c r="X40" i="1"/>
  <c r="AC40" i="1"/>
  <c r="AE40" i="1"/>
  <c r="AF40" i="1"/>
  <c r="S40" i="1" s="1"/>
  <c r="AG40" i="1"/>
  <c r="AH40" i="1"/>
  <c r="AI40" i="1"/>
  <c r="CW40" i="1" s="1"/>
  <c r="V40" i="1" s="1"/>
  <c r="AJ40" i="1"/>
  <c r="CX40" i="1" s="1"/>
  <c r="W40" i="1" s="1"/>
  <c r="CQ40" i="1"/>
  <c r="CU40" i="1"/>
  <c r="T40" i="1" s="1"/>
  <c r="CV40" i="1"/>
  <c r="U40" i="1" s="1"/>
  <c r="GL40" i="1"/>
  <c r="GN40" i="1"/>
  <c r="GO40" i="1"/>
  <c r="GP40" i="1"/>
  <c r="GV40" i="1"/>
  <c r="HC40" i="1" s="1"/>
  <c r="GX40" i="1" s="1"/>
  <c r="P41" i="1"/>
  <c r="Q41" i="1"/>
  <c r="T41" i="1"/>
  <c r="AC41" i="1"/>
  <c r="AE41" i="1"/>
  <c r="AF41" i="1"/>
  <c r="S41" i="1" s="1"/>
  <c r="AG41" i="1"/>
  <c r="AH41" i="1"/>
  <c r="AI41" i="1"/>
  <c r="CW41" i="1" s="1"/>
  <c r="V41" i="1" s="1"/>
  <c r="AJ41" i="1"/>
  <c r="CX41" i="1" s="1"/>
  <c r="W41" i="1" s="1"/>
  <c r="CQ41" i="1"/>
  <c r="CU41" i="1"/>
  <c r="CV41" i="1"/>
  <c r="U41" i="1" s="1"/>
  <c r="CY41" i="1"/>
  <c r="GL41" i="1"/>
  <c r="GN41" i="1"/>
  <c r="GO41" i="1"/>
  <c r="GP41" i="1"/>
  <c r="GV41" i="1"/>
  <c r="HC41" i="1" s="1"/>
  <c r="GX41" i="1"/>
  <c r="C42" i="1"/>
  <c r="D42" i="1"/>
  <c r="R42" i="1"/>
  <c r="V42" i="1"/>
  <c r="W42" i="1"/>
  <c r="AC42" i="1"/>
  <c r="AD42" i="1"/>
  <c r="AE42" i="1"/>
  <c r="Q42" i="1" s="1"/>
  <c r="AF42" i="1"/>
  <c r="S42" i="1" s="1"/>
  <c r="AG42" i="1"/>
  <c r="CU42" i="1" s="1"/>
  <c r="T42" i="1" s="1"/>
  <c r="AH42" i="1"/>
  <c r="CV42" i="1" s="1"/>
  <c r="U42" i="1" s="1"/>
  <c r="AI42" i="1"/>
  <c r="AJ42" i="1"/>
  <c r="CX42" i="1" s="1"/>
  <c r="CR42" i="1"/>
  <c r="CS42" i="1"/>
  <c r="CT42" i="1"/>
  <c r="CW42" i="1"/>
  <c r="GL42" i="1"/>
  <c r="GN42" i="1"/>
  <c r="GP42" i="1"/>
  <c r="GV42" i="1"/>
  <c r="HC42" i="1" s="1"/>
  <c r="GX42" i="1" s="1"/>
  <c r="C43" i="1"/>
  <c r="D43" i="1"/>
  <c r="Q43" i="1"/>
  <c r="R43" i="1"/>
  <c r="U43" i="1"/>
  <c r="AC43" i="1"/>
  <c r="P43" i="1" s="1"/>
  <c r="AE43" i="1"/>
  <c r="AD43" i="1" s="1"/>
  <c r="AF43" i="1"/>
  <c r="AB43" i="1" s="1"/>
  <c r="AG43" i="1"/>
  <c r="CU43" i="1" s="1"/>
  <c r="T43" i="1" s="1"/>
  <c r="AH43" i="1"/>
  <c r="AI43" i="1"/>
  <c r="AJ43" i="1"/>
  <c r="CX43" i="1" s="1"/>
  <c r="W43" i="1" s="1"/>
  <c r="CR43" i="1"/>
  <c r="CS43" i="1"/>
  <c r="CV43" i="1"/>
  <c r="CW43" i="1"/>
  <c r="V43" i="1" s="1"/>
  <c r="GL43" i="1"/>
  <c r="GN43" i="1"/>
  <c r="GP43" i="1"/>
  <c r="GV43" i="1"/>
  <c r="HC43" i="1"/>
  <c r="GX43" i="1" s="1"/>
  <c r="R44" i="1"/>
  <c r="S44" i="1"/>
  <c r="W44" i="1"/>
  <c r="AC44" i="1"/>
  <c r="AD44" i="1"/>
  <c r="AE44" i="1"/>
  <c r="Q44" i="1" s="1"/>
  <c r="AF44" i="1"/>
  <c r="AB44" i="1" s="1"/>
  <c r="AG44" i="1"/>
  <c r="CU44" i="1" s="1"/>
  <c r="T44" i="1" s="1"/>
  <c r="AH44" i="1"/>
  <c r="CV44" i="1" s="1"/>
  <c r="U44" i="1" s="1"/>
  <c r="AI44" i="1"/>
  <c r="AJ44" i="1"/>
  <c r="CX44" i="1" s="1"/>
  <c r="CR44" i="1"/>
  <c r="CS44" i="1"/>
  <c r="CT44" i="1"/>
  <c r="CW44" i="1"/>
  <c r="V44" i="1" s="1"/>
  <c r="GL44" i="1"/>
  <c r="GN44" i="1"/>
  <c r="GO44" i="1"/>
  <c r="GP44" i="1"/>
  <c r="GV44" i="1"/>
  <c r="HC44" i="1"/>
  <c r="GX44" i="1" s="1"/>
  <c r="R45" i="1"/>
  <c r="S45" i="1"/>
  <c r="V45" i="1"/>
  <c r="AC45" i="1"/>
  <c r="AD45" i="1"/>
  <c r="AE45" i="1"/>
  <c r="Q45" i="1" s="1"/>
  <c r="AF45" i="1"/>
  <c r="AB45" i="1" s="1"/>
  <c r="AG45" i="1"/>
  <c r="CU45" i="1" s="1"/>
  <c r="T45" i="1" s="1"/>
  <c r="AH45" i="1"/>
  <c r="CV45" i="1" s="1"/>
  <c r="U45" i="1" s="1"/>
  <c r="AI45" i="1"/>
  <c r="AJ45" i="1"/>
  <c r="CR45" i="1"/>
  <c r="CS45" i="1"/>
  <c r="CT45" i="1"/>
  <c r="CW45" i="1"/>
  <c r="CX45" i="1"/>
  <c r="W45" i="1" s="1"/>
  <c r="GL45" i="1"/>
  <c r="GN45" i="1"/>
  <c r="GO45" i="1"/>
  <c r="GP45" i="1"/>
  <c r="GV45" i="1"/>
  <c r="HC45" i="1"/>
  <c r="GX45" i="1" s="1"/>
  <c r="C46" i="1"/>
  <c r="D46" i="1"/>
  <c r="P46" i="1"/>
  <c r="CP46" i="1" s="1"/>
  <c r="O46" i="1" s="1"/>
  <c r="Q46" i="1"/>
  <c r="Y46" i="1"/>
  <c r="AC46" i="1"/>
  <c r="AE46" i="1"/>
  <c r="AF46" i="1"/>
  <c r="S46" i="1" s="1"/>
  <c r="CZ46" i="1" s="1"/>
  <c r="AG46" i="1"/>
  <c r="AH46" i="1"/>
  <c r="AI46" i="1"/>
  <c r="CW46" i="1" s="1"/>
  <c r="V46" i="1" s="1"/>
  <c r="AJ46" i="1"/>
  <c r="CX46" i="1" s="1"/>
  <c r="W46" i="1" s="1"/>
  <c r="CQ46" i="1"/>
  <c r="CU46" i="1"/>
  <c r="T46" i="1" s="1"/>
  <c r="CV46" i="1"/>
  <c r="U46" i="1" s="1"/>
  <c r="CY46" i="1"/>
  <c r="GL46" i="1"/>
  <c r="GN46" i="1"/>
  <c r="GP46" i="1"/>
  <c r="GV46" i="1"/>
  <c r="GX46" i="1"/>
  <c r="HC46" i="1"/>
  <c r="C47" i="1"/>
  <c r="D47" i="1"/>
  <c r="P47" i="1"/>
  <c r="S47" i="1"/>
  <c r="Y47" i="1" s="1"/>
  <c r="T47" i="1"/>
  <c r="X47" i="1"/>
  <c r="AC47" i="1"/>
  <c r="AD47" i="1"/>
  <c r="AE47" i="1"/>
  <c r="Q47" i="1" s="1"/>
  <c r="AF47" i="1"/>
  <c r="AG47" i="1"/>
  <c r="AH47" i="1"/>
  <c r="CV47" i="1" s="1"/>
  <c r="U47" i="1" s="1"/>
  <c r="AI47" i="1"/>
  <c r="CW47" i="1" s="1"/>
  <c r="V47" i="1" s="1"/>
  <c r="AJ47" i="1"/>
  <c r="CQ47" i="1"/>
  <c r="CR47" i="1"/>
  <c r="CT47" i="1"/>
  <c r="CU47" i="1"/>
  <c r="CX47" i="1"/>
  <c r="W47" i="1" s="1"/>
  <c r="CY47" i="1"/>
  <c r="CZ47" i="1"/>
  <c r="GL47" i="1"/>
  <c r="GN47" i="1"/>
  <c r="GP47" i="1"/>
  <c r="GV47" i="1"/>
  <c r="HC47" i="1" s="1"/>
  <c r="GX47" i="1"/>
  <c r="P48" i="1"/>
  <c r="R48" i="1"/>
  <c r="T48" i="1"/>
  <c r="AC48" i="1"/>
  <c r="AE48" i="1"/>
  <c r="AD48" i="1" s="1"/>
  <c r="AB48" i="1" s="1"/>
  <c r="AF48" i="1"/>
  <c r="AG48" i="1"/>
  <c r="AH48" i="1"/>
  <c r="AI48" i="1"/>
  <c r="CW48" i="1" s="1"/>
  <c r="V48" i="1" s="1"/>
  <c r="AJ48" i="1"/>
  <c r="CX48" i="1" s="1"/>
  <c r="W48" i="1" s="1"/>
  <c r="CQ48" i="1"/>
  <c r="CS48" i="1"/>
  <c r="CU48" i="1"/>
  <c r="CV48" i="1"/>
  <c r="U48" i="1" s="1"/>
  <c r="FR48" i="1"/>
  <c r="GL48" i="1"/>
  <c r="GN48" i="1"/>
  <c r="GO48" i="1"/>
  <c r="GP48" i="1"/>
  <c r="GV48" i="1"/>
  <c r="HC48" i="1"/>
  <c r="GX48" i="1" s="1"/>
  <c r="P49" i="1"/>
  <c r="U49" i="1"/>
  <c r="AC49" i="1"/>
  <c r="AE49" i="1"/>
  <c r="AF49" i="1"/>
  <c r="AG49" i="1"/>
  <c r="AH49" i="1"/>
  <c r="AI49" i="1"/>
  <c r="CW49" i="1" s="1"/>
  <c r="V49" i="1" s="1"/>
  <c r="AJ49" i="1"/>
  <c r="CX49" i="1" s="1"/>
  <c r="W49" i="1" s="1"/>
  <c r="CQ49" i="1"/>
  <c r="CU49" i="1"/>
  <c r="T49" i="1" s="1"/>
  <c r="CV49" i="1"/>
  <c r="FR49" i="1"/>
  <c r="GL49" i="1"/>
  <c r="GN49" i="1"/>
  <c r="GO49" i="1"/>
  <c r="GP49" i="1"/>
  <c r="GV49" i="1"/>
  <c r="HC49" i="1"/>
  <c r="GX49" i="1" s="1"/>
  <c r="C50" i="1"/>
  <c r="D50" i="1"/>
  <c r="P50" i="1"/>
  <c r="R50" i="1"/>
  <c r="V50" i="1"/>
  <c r="AC50" i="1"/>
  <c r="CQ50" i="1" s="1"/>
  <c r="AD50" i="1"/>
  <c r="AE50" i="1"/>
  <c r="Q50" i="1" s="1"/>
  <c r="AF50" i="1"/>
  <c r="S50" i="1" s="1"/>
  <c r="AG50" i="1"/>
  <c r="CU50" i="1" s="1"/>
  <c r="T50" i="1" s="1"/>
  <c r="AH50" i="1"/>
  <c r="CV50" i="1" s="1"/>
  <c r="U50" i="1" s="1"/>
  <c r="AI50" i="1"/>
  <c r="AJ50" i="1"/>
  <c r="CR50" i="1"/>
  <c r="CS50" i="1"/>
  <c r="CT50" i="1"/>
  <c r="CW50" i="1"/>
  <c r="CX50" i="1"/>
  <c r="W50" i="1" s="1"/>
  <c r="GL50" i="1"/>
  <c r="GN50" i="1"/>
  <c r="GP50" i="1"/>
  <c r="GV50" i="1"/>
  <c r="HC50" i="1" s="1"/>
  <c r="GX50" i="1"/>
  <c r="C51" i="1"/>
  <c r="D51" i="1"/>
  <c r="R51" i="1"/>
  <c r="S51" i="1"/>
  <c r="AC51" i="1"/>
  <c r="AE51" i="1"/>
  <c r="AD51" i="1" s="1"/>
  <c r="AF51" i="1"/>
  <c r="AG51" i="1"/>
  <c r="CU51" i="1" s="1"/>
  <c r="T51" i="1" s="1"/>
  <c r="AH51" i="1"/>
  <c r="AI51" i="1"/>
  <c r="AJ51" i="1"/>
  <c r="CR51" i="1"/>
  <c r="CS51" i="1"/>
  <c r="CT51" i="1"/>
  <c r="CV51" i="1"/>
  <c r="U51" i="1" s="1"/>
  <c r="CW51" i="1"/>
  <c r="V51" i="1" s="1"/>
  <c r="CX51" i="1"/>
  <c r="W51" i="1" s="1"/>
  <c r="GL51" i="1"/>
  <c r="GN51" i="1"/>
  <c r="GP51" i="1"/>
  <c r="GV51" i="1"/>
  <c r="HC51" i="1"/>
  <c r="GX51" i="1" s="1"/>
  <c r="R52" i="1"/>
  <c r="T52" i="1"/>
  <c r="AC52" i="1"/>
  <c r="P52" i="1" s="1"/>
  <c r="AD52" i="1"/>
  <c r="AE52" i="1"/>
  <c r="Q52" i="1" s="1"/>
  <c r="AF52" i="1"/>
  <c r="CT52" i="1" s="1"/>
  <c r="AG52" i="1"/>
  <c r="AH52" i="1"/>
  <c r="CV52" i="1" s="1"/>
  <c r="U52" i="1" s="1"/>
  <c r="AI52" i="1"/>
  <c r="AJ52" i="1"/>
  <c r="CX52" i="1" s="1"/>
  <c r="W52" i="1" s="1"/>
  <c r="CQ52" i="1"/>
  <c r="CR52" i="1"/>
  <c r="CS52" i="1"/>
  <c r="CU52" i="1"/>
  <c r="CW52" i="1"/>
  <c r="V52" i="1" s="1"/>
  <c r="GL52" i="1"/>
  <c r="GN52" i="1"/>
  <c r="GO52" i="1"/>
  <c r="GP52" i="1"/>
  <c r="GV52" i="1"/>
  <c r="HC52" i="1" s="1"/>
  <c r="GX52" i="1" s="1"/>
  <c r="R53" i="1"/>
  <c r="V53" i="1"/>
  <c r="AC53" i="1"/>
  <c r="AD53" i="1"/>
  <c r="AE53" i="1"/>
  <c r="Q53" i="1" s="1"/>
  <c r="AF53" i="1"/>
  <c r="S53" i="1" s="1"/>
  <c r="AG53" i="1"/>
  <c r="CU53" i="1" s="1"/>
  <c r="T53" i="1" s="1"/>
  <c r="AH53" i="1"/>
  <c r="CV53" i="1" s="1"/>
  <c r="U53" i="1" s="1"/>
  <c r="AI53" i="1"/>
  <c r="AJ53" i="1"/>
  <c r="CR53" i="1"/>
  <c r="CS53" i="1"/>
  <c r="CT53" i="1"/>
  <c r="CW53" i="1"/>
  <c r="CX53" i="1"/>
  <c r="W53" i="1" s="1"/>
  <c r="CY53" i="1"/>
  <c r="GL53" i="1"/>
  <c r="GN53" i="1"/>
  <c r="GO53" i="1"/>
  <c r="GP53" i="1"/>
  <c r="GV53" i="1"/>
  <c r="HC53" i="1"/>
  <c r="GX53" i="1" s="1"/>
  <c r="C54" i="1"/>
  <c r="D54" i="1"/>
  <c r="P54" i="1"/>
  <c r="Q54" i="1"/>
  <c r="R54" i="1"/>
  <c r="AC54" i="1"/>
  <c r="AD54" i="1"/>
  <c r="AB54" i="1" s="1"/>
  <c r="AE54" i="1"/>
  <c r="AF54" i="1"/>
  <c r="AG54" i="1"/>
  <c r="AH54" i="1"/>
  <c r="CV54" i="1" s="1"/>
  <c r="U54" i="1" s="1"/>
  <c r="AI54" i="1"/>
  <c r="AJ54" i="1"/>
  <c r="CX54" i="1" s="1"/>
  <c r="W54" i="1" s="1"/>
  <c r="CQ54" i="1"/>
  <c r="CR54" i="1"/>
  <c r="CS54" i="1"/>
  <c r="CU54" i="1"/>
  <c r="T54" i="1" s="1"/>
  <c r="CW54" i="1"/>
  <c r="V54" i="1" s="1"/>
  <c r="GL54" i="1"/>
  <c r="GN54" i="1"/>
  <c r="GP54" i="1"/>
  <c r="GV54" i="1"/>
  <c r="GX54" i="1"/>
  <c r="HC54" i="1"/>
  <c r="C55" i="1"/>
  <c r="D55" i="1"/>
  <c r="S55" i="1"/>
  <c r="CZ55" i="1" s="1"/>
  <c r="T55" i="1"/>
  <c r="Y55" i="1"/>
  <c r="AC55" i="1"/>
  <c r="AD55" i="1"/>
  <c r="AE55" i="1"/>
  <c r="AF55" i="1"/>
  <c r="AG55" i="1"/>
  <c r="AH55" i="1"/>
  <c r="AI55" i="1"/>
  <c r="CW55" i="1" s="1"/>
  <c r="V55" i="1" s="1"/>
  <c r="AJ55" i="1"/>
  <c r="CQ55" i="1"/>
  <c r="CR55" i="1"/>
  <c r="CT55" i="1"/>
  <c r="CU55" i="1"/>
  <c r="CV55" i="1"/>
  <c r="U55" i="1" s="1"/>
  <c r="CX55" i="1"/>
  <c r="W55" i="1" s="1"/>
  <c r="GL55" i="1"/>
  <c r="GN55" i="1"/>
  <c r="GP55" i="1"/>
  <c r="GV55" i="1"/>
  <c r="HC55" i="1" s="1"/>
  <c r="GX55" i="1"/>
  <c r="P56" i="1"/>
  <c r="Q56" i="1"/>
  <c r="R56" i="1"/>
  <c r="AC56" i="1"/>
  <c r="AD56" i="1"/>
  <c r="AE56" i="1"/>
  <c r="AF56" i="1"/>
  <c r="AG56" i="1"/>
  <c r="AH56" i="1"/>
  <c r="AI56" i="1"/>
  <c r="AJ56" i="1"/>
  <c r="CX56" i="1" s="1"/>
  <c r="W56" i="1" s="1"/>
  <c r="CQ56" i="1"/>
  <c r="CR56" i="1"/>
  <c r="CS56" i="1"/>
  <c r="CU56" i="1"/>
  <c r="T56" i="1" s="1"/>
  <c r="CV56" i="1"/>
  <c r="U56" i="1" s="1"/>
  <c r="CW56" i="1"/>
  <c r="V56" i="1" s="1"/>
  <c r="FR56" i="1"/>
  <c r="GL56" i="1"/>
  <c r="GN56" i="1"/>
  <c r="GO56" i="1"/>
  <c r="GP56" i="1"/>
  <c r="GV56" i="1"/>
  <c r="GX56" i="1"/>
  <c r="HC56" i="1"/>
  <c r="P57" i="1"/>
  <c r="R57" i="1"/>
  <c r="AC57" i="1"/>
  <c r="AE57" i="1"/>
  <c r="AF57" i="1"/>
  <c r="AG57" i="1"/>
  <c r="AH57" i="1"/>
  <c r="CV57" i="1" s="1"/>
  <c r="U57" i="1" s="1"/>
  <c r="AI57" i="1"/>
  <c r="CW57" i="1" s="1"/>
  <c r="V57" i="1" s="1"/>
  <c r="AJ57" i="1"/>
  <c r="CX57" i="1" s="1"/>
  <c r="W57" i="1" s="1"/>
  <c r="CQ57" i="1"/>
  <c r="CS57" i="1"/>
  <c r="CU57" i="1"/>
  <c r="T57" i="1" s="1"/>
  <c r="GL57" i="1"/>
  <c r="GN57" i="1"/>
  <c r="GO57" i="1"/>
  <c r="GP57" i="1"/>
  <c r="GV57" i="1"/>
  <c r="HC57" i="1" s="1"/>
  <c r="GX57" i="1"/>
  <c r="P58" i="1"/>
  <c r="Q58" i="1"/>
  <c r="R58" i="1"/>
  <c r="V58" i="1"/>
  <c r="AC58" i="1"/>
  <c r="AD58" i="1"/>
  <c r="AB58" i="1" s="1"/>
  <c r="AE58" i="1"/>
  <c r="AF58" i="1"/>
  <c r="AG58" i="1"/>
  <c r="AH58" i="1"/>
  <c r="CV58" i="1" s="1"/>
  <c r="U58" i="1" s="1"/>
  <c r="AI58" i="1"/>
  <c r="AJ58" i="1"/>
  <c r="CX58" i="1" s="1"/>
  <c r="W58" i="1" s="1"/>
  <c r="CQ58" i="1"/>
  <c r="CR58" i="1"/>
  <c r="CS58" i="1"/>
  <c r="CU58" i="1"/>
  <c r="T58" i="1" s="1"/>
  <c r="CW58" i="1"/>
  <c r="GL58" i="1"/>
  <c r="GN58" i="1"/>
  <c r="GO58" i="1"/>
  <c r="GP58" i="1"/>
  <c r="GV58" i="1"/>
  <c r="GX58" i="1"/>
  <c r="HC58" i="1"/>
  <c r="P59" i="1"/>
  <c r="U59" i="1"/>
  <c r="AC59" i="1"/>
  <c r="AE59" i="1"/>
  <c r="Q59" i="1" s="1"/>
  <c r="AF59" i="1"/>
  <c r="AG59" i="1"/>
  <c r="AH59" i="1"/>
  <c r="CV59" i="1" s="1"/>
  <c r="AI59" i="1"/>
  <c r="CW59" i="1" s="1"/>
  <c r="V59" i="1" s="1"/>
  <c r="AJ59" i="1"/>
  <c r="CX59" i="1" s="1"/>
  <c r="W59" i="1" s="1"/>
  <c r="CQ59" i="1"/>
  <c r="CS59" i="1"/>
  <c r="CU59" i="1"/>
  <c r="T59" i="1" s="1"/>
  <c r="GL59" i="1"/>
  <c r="GN59" i="1"/>
  <c r="GO59" i="1"/>
  <c r="GP59" i="1"/>
  <c r="GV59" i="1"/>
  <c r="HC59" i="1" s="1"/>
  <c r="GX59" i="1" s="1"/>
  <c r="C60" i="1"/>
  <c r="D60" i="1"/>
  <c r="R60" i="1"/>
  <c r="T60" i="1"/>
  <c r="AC60" i="1"/>
  <c r="P60" i="1" s="1"/>
  <c r="AD60" i="1"/>
  <c r="AE60" i="1"/>
  <c r="Q60" i="1" s="1"/>
  <c r="AF60" i="1"/>
  <c r="CT60" i="1" s="1"/>
  <c r="AG60" i="1"/>
  <c r="AH60" i="1"/>
  <c r="CV60" i="1" s="1"/>
  <c r="U60" i="1" s="1"/>
  <c r="AI60" i="1"/>
  <c r="AJ60" i="1"/>
  <c r="CX60" i="1" s="1"/>
  <c r="W60" i="1" s="1"/>
  <c r="CQ60" i="1"/>
  <c r="CR60" i="1"/>
  <c r="CS60" i="1"/>
  <c r="CU60" i="1"/>
  <c r="CW60" i="1"/>
  <c r="V60" i="1" s="1"/>
  <c r="GL60" i="1"/>
  <c r="GN60" i="1"/>
  <c r="GP60" i="1"/>
  <c r="GV60" i="1"/>
  <c r="HC60" i="1" s="1"/>
  <c r="GX60" i="1"/>
  <c r="C61" i="1"/>
  <c r="D61" i="1"/>
  <c r="Q61" i="1"/>
  <c r="R61" i="1"/>
  <c r="W61" i="1"/>
  <c r="AB61" i="1"/>
  <c r="AC61" i="1"/>
  <c r="AE61" i="1"/>
  <c r="AD61" i="1" s="1"/>
  <c r="AF61" i="1"/>
  <c r="S61" i="1" s="1"/>
  <c r="AG61" i="1"/>
  <c r="CU61" i="1" s="1"/>
  <c r="T61" i="1" s="1"/>
  <c r="AH61" i="1"/>
  <c r="AI61" i="1"/>
  <c r="AJ61" i="1"/>
  <c r="CR61" i="1"/>
  <c r="CS61" i="1"/>
  <c r="CT61" i="1"/>
  <c r="CV61" i="1"/>
  <c r="U61" i="1" s="1"/>
  <c r="CW61" i="1"/>
  <c r="V61" i="1" s="1"/>
  <c r="CX61" i="1"/>
  <c r="GL61" i="1"/>
  <c r="GN61" i="1"/>
  <c r="GP61" i="1"/>
  <c r="GV61" i="1"/>
  <c r="HC61" i="1"/>
  <c r="GX61" i="1" s="1"/>
  <c r="R62" i="1"/>
  <c r="S62" i="1"/>
  <c r="V62" i="1"/>
  <c r="W62" i="1"/>
  <c r="AC62" i="1"/>
  <c r="AD62" i="1"/>
  <c r="AE62" i="1"/>
  <c r="Q62" i="1" s="1"/>
  <c r="AF62" i="1"/>
  <c r="AG62" i="1"/>
  <c r="AH62" i="1"/>
  <c r="CV62" i="1" s="1"/>
  <c r="U62" i="1" s="1"/>
  <c r="AI62" i="1"/>
  <c r="AJ62" i="1"/>
  <c r="CQ62" i="1"/>
  <c r="CR62" i="1"/>
  <c r="CS62" i="1"/>
  <c r="CT62" i="1"/>
  <c r="CU62" i="1"/>
  <c r="T62" i="1" s="1"/>
  <c r="CW62" i="1"/>
  <c r="CX62" i="1"/>
  <c r="CY62" i="1"/>
  <c r="GL62" i="1"/>
  <c r="GN62" i="1"/>
  <c r="GO62" i="1"/>
  <c r="GP62" i="1"/>
  <c r="GV62" i="1"/>
  <c r="HC62" i="1"/>
  <c r="GX62" i="1" s="1"/>
  <c r="R63" i="1"/>
  <c r="T63" i="1"/>
  <c r="V63" i="1"/>
  <c r="AC63" i="1"/>
  <c r="AD63" i="1"/>
  <c r="AE63" i="1"/>
  <c r="Q63" i="1" s="1"/>
  <c r="AF63" i="1"/>
  <c r="S63" i="1" s="1"/>
  <c r="AG63" i="1"/>
  <c r="CU63" i="1" s="1"/>
  <c r="AH63" i="1"/>
  <c r="CV63" i="1" s="1"/>
  <c r="U63" i="1" s="1"/>
  <c r="AI63" i="1"/>
  <c r="AJ63" i="1"/>
  <c r="CR63" i="1"/>
  <c r="CS63" i="1"/>
  <c r="CT63" i="1"/>
  <c r="CW63" i="1"/>
  <c r="CX63" i="1"/>
  <c r="W63" i="1" s="1"/>
  <c r="GL63" i="1"/>
  <c r="GN63" i="1"/>
  <c r="GO63" i="1"/>
  <c r="GP63" i="1"/>
  <c r="GV63" i="1"/>
  <c r="HC63" i="1" s="1"/>
  <c r="GX63" i="1" s="1"/>
  <c r="C64" i="1"/>
  <c r="D64" i="1"/>
  <c r="P64" i="1"/>
  <c r="AC64" i="1"/>
  <c r="AE64" i="1"/>
  <c r="AF64" i="1"/>
  <c r="AG64" i="1"/>
  <c r="AH64" i="1"/>
  <c r="AI64" i="1"/>
  <c r="CW64" i="1" s="1"/>
  <c r="V64" i="1" s="1"/>
  <c r="AJ64" i="1"/>
  <c r="CX64" i="1" s="1"/>
  <c r="W64" i="1" s="1"/>
  <c r="CQ64" i="1"/>
  <c r="CU64" i="1"/>
  <c r="T64" i="1" s="1"/>
  <c r="CV64" i="1"/>
  <c r="U64" i="1" s="1"/>
  <c r="GL64" i="1"/>
  <c r="GN64" i="1"/>
  <c r="GP64" i="1"/>
  <c r="GV64" i="1"/>
  <c r="HC64" i="1"/>
  <c r="GX64" i="1" s="1"/>
  <c r="C65" i="1"/>
  <c r="D65" i="1"/>
  <c r="P65" i="1"/>
  <c r="S65" i="1"/>
  <c r="W65" i="1"/>
  <c r="AC65" i="1"/>
  <c r="CQ65" i="1" s="1"/>
  <c r="AE65" i="1"/>
  <c r="AF65" i="1"/>
  <c r="AG65" i="1"/>
  <c r="AH65" i="1"/>
  <c r="AI65" i="1"/>
  <c r="CW65" i="1" s="1"/>
  <c r="V65" i="1" s="1"/>
  <c r="AJ65" i="1"/>
  <c r="CT65" i="1"/>
  <c r="CU65" i="1"/>
  <c r="T65" i="1" s="1"/>
  <c r="CV65" i="1"/>
  <c r="U65" i="1" s="1"/>
  <c r="CX65" i="1"/>
  <c r="GL65" i="1"/>
  <c r="GN65" i="1"/>
  <c r="GP65" i="1"/>
  <c r="GV65" i="1"/>
  <c r="HC65" i="1"/>
  <c r="GX65" i="1" s="1"/>
  <c r="P66" i="1"/>
  <c r="U66" i="1"/>
  <c r="AC66" i="1"/>
  <c r="AE66" i="1"/>
  <c r="AF66" i="1"/>
  <c r="AG66" i="1"/>
  <c r="AH66" i="1"/>
  <c r="AI66" i="1"/>
  <c r="CW66" i="1" s="1"/>
  <c r="V66" i="1" s="1"/>
  <c r="AJ66" i="1"/>
  <c r="CX66" i="1" s="1"/>
  <c r="W66" i="1" s="1"/>
  <c r="CQ66" i="1"/>
  <c r="CS66" i="1"/>
  <c r="CU66" i="1"/>
  <c r="T66" i="1" s="1"/>
  <c r="CV66" i="1"/>
  <c r="FR66" i="1"/>
  <c r="GL66" i="1"/>
  <c r="GN66" i="1"/>
  <c r="GO66" i="1"/>
  <c r="GP66" i="1"/>
  <c r="GV66" i="1"/>
  <c r="HC66" i="1"/>
  <c r="GX66" i="1" s="1"/>
  <c r="P67" i="1"/>
  <c r="R67" i="1"/>
  <c r="T67" i="1"/>
  <c r="AC67" i="1"/>
  <c r="AD67" i="1"/>
  <c r="AB67" i="1" s="1"/>
  <c r="AE67" i="1"/>
  <c r="Q67" i="1" s="1"/>
  <c r="AF67" i="1"/>
  <c r="AG67" i="1"/>
  <c r="AH67" i="1"/>
  <c r="AI67" i="1"/>
  <c r="AJ67" i="1"/>
  <c r="CX67" i="1" s="1"/>
  <c r="W67" i="1" s="1"/>
  <c r="CQ67" i="1"/>
  <c r="CR67" i="1"/>
  <c r="CS67" i="1"/>
  <c r="CU67" i="1"/>
  <c r="CV67" i="1"/>
  <c r="U67" i="1" s="1"/>
  <c r="CW67" i="1"/>
  <c r="V67" i="1" s="1"/>
  <c r="FR67" i="1"/>
  <c r="GL67" i="1"/>
  <c r="GN67" i="1"/>
  <c r="GO67" i="1"/>
  <c r="GP67" i="1"/>
  <c r="GV67" i="1"/>
  <c r="HC67" i="1"/>
  <c r="GX67" i="1" s="1"/>
  <c r="C68" i="1"/>
  <c r="D68" i="1"/>
  <c r="R68" i="1"/>
  <c r="S68" i="1"/>
  <c r="V68" i="1"/>
  <c r="W68" i="1"/>
  <c r="X68" i="1"/>
  <c r="AC68" i="1"/>
  <c r="AB68" i="1" s="1"/>
  <c r="AD68" i="1"/>
  <c r="AE68" i="1"/>
  <c r="Q68" i="1" s="1"/>
  <c r="AF68" i="1"/>
  <c r="AG68" i="1"/>
  <c r="CU68" i="1" s="1"/>
  <c r="T68" i="1" s="1"/>
  <c r="AH68" i="1"/>
  <c r="CV68" i="1" s="1"/>
  <c r="U68" i="1" s="1"/>
  <c r="AI68" i="1"/>
  <c r="AJ68" i="1"/>
  <c r="CR68" i="1"/>
  <c r="CS68" i="1"/>
  <c r="CT68" i="1"/>
  <c r="CW68" i="1"/>
  <c r="CX68" i="1"/>
  <c r="CY68" i="1"/>
  <c r="GL68" i="1"/>
  <c r="GN68" i="1"/>
  <c r="GP68" i="1"/>
  <c r="GV68" i="1"/>
  <c r="HC68" i="1" s="1"/>
  <c r="GX68" i="1" s="1"/>
  <c r="C69" i="1"/>
  <c r="D69" i="1"/>
  <c r="Q69" i="1"/>
  <c r="AC69" i="1"/>
  <c r="AE69" i="1"/>
  <c r="AD69" i="1" s="1"/>
  <c r="AF69" i="1"/>
  <c r="AG69" i="1"/>
  <c r="CU69" i="1" s="1"/>
  <c r="T69" i="1" s="1"/>
  <c r="AH69" i="1"/>
  <c r="AI69" i="1"/>
  <c r="AJ69" i="1"/>
  <c r="CX69" i="1" s="1"/>
  <c r="W69" i="1" s="1"/>
  <c r="CR69" i="1"/>
  <c r="CS69" i="1"/>
  <c r="CT69" i="1"/>
  <c r="CV69" i="1"/>
  <c r="U69" i="1" s="1"/>
  <c r="CW69" i="1"/>
  <c r="V69" i="1" s="1"/>
  <c r="GL69" i="1"/>
  <c r="GN69" i="1"/>
  <c r="GP69" i="1"/>
  <c r="GV69" i="1"/>
  <c r="HC69" i="1" s="1"/>
  <c r="GX69" i="1" s="1"/>
  <c r="R70" i="1"/>
  <c r="T70" i="1"/>
  <c r="V70" i="1"/>
  <c r="AC70" i="1"/>
  <c r="CQ70" i="1" s="1"/>
  <c r="AD70" i="1"/>
  <c r="AE70" i="1"/>
  <c r="Q70" i="1" s="1"/>
  <c r="AF70" i="1"/>
  <c r="S70" i="1" s="1"/>
  <c r="AG70" i="1"/>
  <c r="CU70" i="1" s="1"/>
  <c r="AH70" i="1"/>
  <c r="CV70" i="1" s="1"/>
  <c r="U70" i="1" s="1"/>
  <c r="AI70" i="1"/>
  <c r="AJ70" i="1"/>
  <c r="CR70" i="1"/>
  <c r="CS70" i="1"/>
  <c r="CT70" i="1"/>
  <c r="CW70" i="1"/>
  <c r="CX70" i="1"/>
  <c r="W70" i="1" s="1"/>
  <c r="CY70" i="1"/>
  <c r="GL70" i="1"/>
  <c r="GN70" i="1"/>
  <c r="GO70" i="1"/>
  <c r="GP70" i="1"/>
  <c r="GV70" i="1"/>
  <c r="HC70" i="1"/>
  <c r="GX70" i="1" s="1"/>
  <c r="R71" i="1"/>
  <c r="S71" i="1"/>
  <c r="W71" i="1"/>
  <c r="X71" i="1"/>
  <c r="AC71" i="1"/>
  <c r="P71" i="1" s="1"/>
  <c r="CP71" i="1" s="1"/>
  <c r="O71" i="1" s="1"/>
  <c r="AD71" i="1"/>
  <c r="AB71" i="1" s="1"/>
  <c r="AE71" i="1"/>
  <c r="Q71" i="1" s="1"/>
  <c r="AF71" i="1"/>
  <c r="CT71" i="1" s="1"/>
  <c r="AG71" i="1"/>
  <c r="AH71" i="1"/>
  <c r="CV71" i="1" s="1"/>
  <c r="U71" i="1" s="1"/>
  <c r="AI71" i="1"/>
  <c r="AJ71" i="1"/>
  <c r="CQ71" i="1"/>
  <c r="CR71" i="1"/>
  <c r="CS71" i="1"/>
  <c r="CU71" i="1"/>
  <c r="T71" i="1" s="1"/>
  <c r="CW71" i="1"/>
  <c r="V71" i="1" s="1"/>
  <c r="CX71" i="1"/>
  <c r="GL71" i="1"/>
  <c r="GN71" i="1"/>
  <c r="GO71" i="1"/>
  <c r="GP71" i="1"/>
  <c r="GV71" i="1"/>
  <c r="HC71" i="1" s="1"/>
  <c r="GX71" i="1" s="1"/>
  <c r="C72" i="1"/>
  <c r="D72" i="1"/>
  <c r="P72" i="1"/>
  <c r="R72" i="1"/>
  <c r="T72" i="1"/>
  <c r="AC72" i="1"/>
  <c r="AD72" i="1"/>
  <c r="AB72" i="1" s="1"/>
  <c r="AE72" i="1"/>
  <c r="Q72" i="1" s="1"/>
  <c r="AF72" i="1"/>
  <c r="AG72" i="1"/>
  <c r="AH72" i="1"/>
  <c r="CV72" i="1" s="1"/>
  <c r="U72" i="1" s="1"/>
  <c r="AI72" i="1"/>
  <c r="AJ72" i="1"/>
  <c r="CX72" i="1" s="1"/>
  <c r="W72" i="1" s="1"/>
  <c r="CQ72" i="1"/>
  <c r="CR72" i="1"/>
  <c r="CS72" i="1"/>
  <c r="CU72" i="1"/>
  <c r="CW72" i="1"/>
  <c r="V72" i="1" s="1"/>
  <c r="GL72" i="1"/>
  <c r="GN72" i="1"/>
  <c r="GP72" i="1"/>
  <c r="GV72" i="1"/>
  <c r="HC72" i="1"/>
  <c r="GX72" i="1" s="1"/>
  <c r="C73" i="1"/>
  <c r="D73" i="1"/>
  <c r="P73" i="1"/>
  <c r="CP73" i="1" s="1"/>
  <c r="O73" i="1" s="1"/>
  <c r="Q73" i="1"/>
  <c r="S73" i="1"/>
  <c r="U73" i="1"/>
  <c r="W73" i="1"/>
  <c r="Y73" i="1"/>
  <c r="AC73" i="1"/>
  <c r="AD73" i="1"/>
  <c r="AE73" i="1"/>
  <c r="AF73" i="1"/>
  <c r="AG73" i="1"/>
  <c r="CU73" i="1" s="1"/>
  <c r="T73" i="1" s="1"/>
  <c r="AH73" i="1"/>
  <c r="AI73" i="1"/>
  <c r="CW73" i="1" s="1"/>
  <c r="V73" i="1" s="1"/>
  <c r="AJ73" i="1"/>
  <c r="CR73" i="1"/>
  <c r="CT73" i="1"/>
  <c r="CV73" i="1"/>
  <c r="CX73" i="1"/>
  <c r="CY73" i="1"/>
  <c r="CZ73" i="1"/>
  <c r="GL73" i="1"/>
  <c r="GN73" i="1"/>
  <c r="GP73" i="1"/>
  <c r="GV73" i="1"/>
  <c r="GX73" i="1"/>
  <c r="HC73" i="1"/>
  <c r="R74" i="1"/>
  <c r="S74" i="1"/>
  <c r="V74" i="1"/>
  <c r="AC74" i="1"/>
  <c r="AD74" i="1"/>
  <c r="AE74" i="1"/>
  <c r="Q74" i="1" s="1"/>
  <c r="AF74" i="1"/>
  <c r="AG74" i="1"/>
  <c r="CU74" i="1" s="1"/>
  <c r="T74" i="1" s="1"/>
  <c r="AH74" i="1"/>
  <c r="CV74" i="1" s="1"/>
  <c r="U74" i="1" s="1"/>
  <c r="AI74" i="1"/>
  <c r="AJ74" i="1"/>
  <c r="CR74" i="1"/>
  <c r="CS74" i="1"/>
  <c r="CT74" i="1"/>
  <c r="CW74" i="1"/>
  <c r="CX74" i="1"/>
  <c r="W74" i="1" s="1"/>
  <c r="GL74" i="1"/>
  <c r="GN74" i="1"/>
  <c r="GO74" i="1"/>
  <c r="GP74" i="1"/>
  <c r="GV74" i="1"/>
  <c r="HC74" i="1"/>
  <c r="GX74" i="1" s="1"/>
  <c r="R75" i="1"/>
  <c r="V75" i="1"/>
  <c r="AC75" i="1"/>
  <c r="AD75" i="1"/>
  <c r="AE75" i="1"/>
  <c r="Q75" i="1" s="1"/>
  <c r="AF75" i="1"/>
  <c r="AB75" i="1" s="1"/>
  <c r="AG75" i="1"/>
  <c r="CU75" i="1" s="1"/>
  <c r="T75" i="1" s="1"/>
  <c r="AH75" i="1"/>
  <c r="CV75" i="1" s="1"/>
  <c r="U75" i="1" s="1"/>
  <c r="AI75" i="1"/>
  <c r="AJ75" i="1"/>
  <c r="CX75" i="1" s="1"/>
  <c r="W75" i="1" s="1"/>
  <c r="CR75" i="1"/>
  <c r="CS75" i="1"/>
  <c r="CT75" i="1"/>
  <c r="CW75" i="1"/>
  <c r="GL75" i="1"/>
  <c r="GN75" i="1"/>
  <c r="GO75" i="1"/>
  <c r="GP75" i="1"/>
  <c r="GV75" i="1"/>
  <c r="HC75" i="1"/>
  <c r="GX75" i="1" s="1"/>
  <c r="C76" i="1"/>
  <c r="D76" i="1"/>
  <c r="P76" i="1"/>
  <c r="U76" i="1"/>
  <c r="AC76" i="1"/>
  <c r="AD76" i="1"/>
  <c r="AB76" i="1" s="1"/>
  <c r="AE76" i="1"/>
  <c r="Q76" i="1" s="1"/>
  <c r="AF76" i="1"/>
  <c r="S76" i="1" s="1"/>
  <c r="Y76" i="1" s="1"/>
  <c r="AG76" i="1"/>
  <c r="AH76" i="1"/>
  <c r="CV76" i="1" s="1"/>
  <c r="AI76" i="1"/>
  <c r="CW76" i="1" s="1"/>
  <c r="V76" i="1" s="1"/>
  <c r="AJ76" i="1"/>
  <c r="CX76" i="1" s="1"/>
  <c r="W76" i="1" s="1"/>
  <c r="CQ76" i="1"/>
  <c r="CR76" i="1"/>
  <c r="CU76" i="1"/>
  <c r="T76" i="1" s="1"/>
  <c r="CZ76" i="1"/>
  <c r="GL76" i="1"/>
  <c r="GN76" i="1"/>
  <c r="GP76" i="1"/>
  <c r="GV76" i="1"/>
  <c r="HC76" i="1"/>
  <c r="GX76" i="1" s="1"/>
  <c r="C77" i="1"/>
  <c r="D77" i="1"/>
  <c r="S77" i="1"/>
  <c r="AC77" i="1"/>
  <c r="AD77" i="1"/>
  <c r="AE77" i="1"/>
  <c r="Q77" i="1" s="1"/>
  <c r="AF77" i="1"/>
  <c r="AG77" i="1"/>
  <c r="AH77" i="1"/>
  <c r="CV77" i="1" s="1"/>
  <c r="U77" i="1" s="1"/>
  <c r="AI77" i="1"/>
  <c r="CW77" i="1" s="1"/>
  <c r="V77" i="1" s="1"/>
  <c r="AJ77" i="1"/>
  <c r="CR77" i="1"/>
  <c r="CT77" i="1"/>
  <c r="CU77" i="1"/>
  <c r="T77" i="1" s="1"/>
  <c r="CX77" i="1"/>
  <c r="W77" i="1" s="1"/>
  <c r="GL77" i="1"/>
  <c r="GN77" i="1"/>
  <c r="GP77" i="1"/>
  <c r="GV77" i="1"/>
  <c r="HC77" i="1" s="1"/>
  <c r="GX77" i="1"/>
  <c r="P78" i="1"/>
  <c r="AC78" i="1"/>
  <c r="AD78" i="1"/>
  <c r="AB78" i="1" s="1"/>
  <c r="AE78" i="1"/>
  <c r="Q78" i="1" s="1"/>
  <c r="AF78" i="1"/>
  <c r="S78" i="1" s="1"/>
  <c r="Y78" i="1" s="1"/>
  <c r="AG78" i="1"/>
  <c r="AH78" i="1"/>
  <c r="CV78" i="1" s="1"/>
  <c r="U78" i="1" s="1"/>
  <c r="AI78" i="1"/>
  <c r="CW78" i="1" s="1"/>
  <c r="V78" i="1" s="1"/>
  <c r="AJ78" i="1"/>
  <c r="CX78" i="1" s="1"/>
  <c r="W78" i="1" s="1"/>
  <c r="CQ78" i="1"/>
  <c r="CR78" i="1"/>
  <c r="CU78" i="1"/>
  <c r="T78" i="1" s="1"/>
  <c r="CZ78" i="1"/>
  <c r="GL78" i="1"/>
  <c r="GN78" i="1"/>
  <c r="GO78" i="1"/>
  <c r="GP78" i="1"/>
  <c r="GV78" i="1"/>
  <c r="HC78" i="1" s="1"/>
  <c r="GX78" i="1"/>
  <c r="P79" i="1"/>
  <c r="AC79" i="1"/>
  <c r="AE79" i="1"/>
  <c r="AF79" i="1"/>
  <c r="S79" i="1" s="1"/>
  <c r="AG79" i="1"/>
  <c r="AH79" i="1"/>
  <c r="AI79" i="1"/>
  <c r="CW79" i="1" s="1"/>
  <c r="V79" i="1" s="1"/>
  <c r="AJ79" i="1"/>
  <c r="CX79" i="1" s="1"/>
  <c r="W79" i="1" s="1"/>
  <c r="CQ79" i="1"/>
  <c r="CU79" i="1"/>
  <c r="T79" i="1" s="1"/>
  <c r="CV79" i="1"/>
  <c r="U79" i="1" s="1"/>
  <c r="GL79" i="1"/>
  <c r="GN79" i="1"/>
  <c r="GO79" i="1"/>
  <c r="GP79" i="1"/>
  <c r="GV79" i="1"/>
  <c r="HC79" i="1" s="1"/>
  <c r="GX79" i="1" s="1"/>
  <c r="C80" i="1"/>
  <c r="D80" i="1"/>
  <c r="R80" i="1"/>
  <c r="S80" i="1"/>
  <c r="V80" i="1"/>
  <c r="AC80" i="1"/>
  <c r="AD80" i="1"/>
  <c r="AE80" i="1"/>
  <c r="Q80" i="1" s="1"/>
  <c r="AF80" i="1"/>
  <c r="AG80" i="1"/>
  <c r="CU80" i="1" s="1"/>
  <c r="T80" i="1" s="1"/>
  <c r="AH80" i="1"/>
  <c r="CV80" i="1" s="1"/>
  <c r="U80" i="1" s="1"/>
  <c r="AI80" i="1"/>
  <c r="AJ80" i="1"/>
  <c r="CR80" i="1"/>
  <c r="CS80" i="1"/>
  <c r="CT80" i="1"/>
  <c r="CW80" i="1"/>
  <c r="CX80" i="1"/>
  <c r="W80" i="1" s="1"/>
  <c r="GL80" i="1"/>
  <c r="GN80" i="1"/>
  <c r="GP80" i="1"/>
  <c r="GV80" i="1"/>
  <c r="HC80" i="1" s="1"/>
  <c r="GX80" i="1" s="1"/>
  <c r="C81" i="1"/>
  <c r="D81" i="1"/>
  <c r="Q81" i="1"/>
  <c r="R81" i="1"/>
  <c r="AC81" i="1"/>
  <c r="P81" i="1" s="1"/>
  <c r="AE81" i="1"/>
  <c r="AD81" i="1" s="1"/>
  <c r="AF81" i="1"/>
  <c r="AG81" i="1"/>
  <c r="CU81" i="1" s="1"/>
  <c r="T81" i="1" s="1"/>
  <c r="AH81" i="1"/>
  <c r="AI81" i="1"/>
  <c r="AJ81" i="1"/>
  <c r="CX81" i="1" s="1"/>
  <c r="W81" i="1" s="1"/>
  <c r="CR81" i="1"/>
  <c r="CV81" i="1"/>
  <c r="U81" i="1" s="1"/>
  <c r="CW81" i="1"/>
  <c r="V81" i="1" s="1"/>
  <c r="GL81" i="1"/>
  <c r="GN81" i="1"/>
  <c r="GP81" i="1"/>
  <c r="GV81" i="1"/>
  <c r="HC81" i="1"/>
  <c r="GX81" i="1" s="1"/>
  <c r="R82" i="1"/>
  <c r="V82" i="1"/>
  <c r="AC82" i="1"/>
  <c r="AD82" i="1"/>
  <c r="AE82" i="1"/>
  <c r="Q82" i="1" s="1"/>
  <c r="AF82" i="1"/>
  <c r="AB82" i="1" s="1"/>
  <c r="AG82" i="1"/>
  <c r="CU82" i="1" s="1"/>
  <c r="T82" i="1" s="1"/>
  <c r="AH82" i="1"/>
  <c r="CV82" i="1" s="1"/>
  <c r="U82" i="1" s="1"/>
  <c r="AI82" i="1"/>
  <c r="AJ82" i="1"/>
  <c r="CX82" i="1" s="1"/>
  <c r="W82" i="1" s="1"/>
  <c r="CR82" i="1"/>
  <c r="CS82" i="1"/>
  <c r="CT82" i="1"/>
  <c r="CW82" i="1"/>
  <c r="GL82" i="1"/>
  <c r="GN82" i="1"/>
  <c r="GO82" i="1"/>
  <c r="GP82" i="1"/>
  <c r="GV82" i="1"/>
  <c r="HC82" i="1"/>
  <c r="GX82" i="1" s="1"/>
  <c r="R83" i="1"/>
  <c r="AC83" i="1"/>
  <c r="AD83" i="1"/>
  <c r="AE83" i="1"/>
  <c r="Q83" i="1" s="1"/>
  <c r="AF83" i="1"/>
  <c r="S83" i="1" s="1"/>
  <c r="AG83" i="1"/>
  <c r="CU83" i="1" s="1"/>
  <c r="T83" i="1" s="1"/>
  <c r="AH83" i="1"/>
  <c r="CV83" i="1" s="1"/>
  <c r="U83" i="1" s="1"/>
  <c r="AI83" i="1"/>
  <c r="AJ83" i="1"/>
  <c r="CX83" i="1" s="1"/>
  <c r="W83" i="1" s="1"/>
  <c r="CR83" i="1"/>
  <c r="CS83" i="1"/>
  <c r="CT83" i="1"/>
  <c r="CW83" i="1"/>
  <c r="V83" i="1" s="1"/>
  <c r="GL83" i="1"/>
  <c r="GN83" i="1"/>
  <c r="GO83" i="1"/>
  <c r="GP83" i="1"/>
  <c r="GV83" i="1"/>
  <c r="HC83" i="1"/>
  <c r="GX83" i="1" s="1"/>
  <c r="C84" i="1"/>
  <c r="D84" i="1"/>
  <c r="P84" i="1"/>
  <c r="AC84" i="1"/>
  <c r="AE84" i="1"/>
  <c r="X84" i="1" s="1"/>
  <c r="AF84" i="1"/>
  <c r="S84" i="1" s="1"/>
  <c r="AG84" i="1"/>
  <c r="AH84" i="1"/>
  <c r="AI84" i="1"/>
  <c r="CW84" i="1" s="1"/>
  <c r="V84" i="1" s="1"/>
  <c r="AJ84" i="1"/>
  <c r="CX84" i="1" s="1"/>
  <c r="W84" i="1" s="1"/>
  <c r="CQ84" i="1"/>
  <c r="CU84" i="1"/>
  <c r="T84" i="1" s="1"/>
  <c r="CV84" i="1"/>
  <c r="U84" i="1" s="1"/>
  <c r="GL84" i="1"/>
  <c r="GN84" i="1"/>
  <c r="GP84" i="1"/>
  <c r="GV84" i="1"/>
  <c r="GX84" i="1"/>
  <c r="HC84" i="1"/>
  <c r="C85" i="1"/>
  <c r="D85" i="1"/>
  <c r="S85" i="1"/>
  <c r="T85" i="1"/>
  <c r="AC85" i="1"/>
  <c r="AD85" i="1"/>
  <c r="AE85" i="1"/>
  <c r="Q85" i="1" s="1"/>
  <c r="AF85" i="1"/>
  <c r="AG85" i="1"/>
  <c r="AH85" i="1"/>
  <c r="CV85" i="1" s="1"/>
  <c r="U85" i="1" s="1"/>
  <c r="AI85" i="1"/>
  <c r="CW85" i="1" s="1"/>
  <c r="V85" i="1" s="1"/>
  <c r="AJ85" i="1"/>
  <c r="CQ85" i="1"/>
  <c r="CR85" i="1"/>
  <c r="CT85" i="1"/>
  <c r="CU85" i="1"/>
  <c r="CX85" i="1"/>
  <c r="W85" i="1" s="1"/>
  <c r="CY85" i="1"/>
  <c r="GL85" i="1"/>
  <c r="GN85" i="1"/>
  <c r="GP85" i="1"/>
  <c r="GV85" i="1"/>
  <c r="HC85" i="1" s="1"/>
  <c r="GX85" i="1"/>
  <c r="P86" i="1"/>
  <c r="AC86" i="1"/>
  <c r="AE86" i="1"/>
  <c r="Q86" i="1" s="1"/>
  <c r="AF86" i="1"/>
  <c r="S86" i="1" s="1"/>
  <c r="AG86" i="1"/>
  <c r="AH86" i="1"/>
  <c r="AI86" i="1"/>
  <c r="CW86" i="1" s="1"/>
  <c r="V86" i="1" s="1"/>
  <c r="AJ86" i="1"/>
  <c r="CX86" i="1" s="1"/>
  <c r="W86" i="1" s="1"/>
  <c r="CQ86" i="1"/>
  <c r="CU86" i="1"/>
  <c r="T86" i="1" s="1"/>
  <c r="CV86" i="1"/>
  <c r="U86" i="1" s="1"/>
  <c r="GL86" i="1"/>
  <c r="GN86" i="1"/>
  <c r="GO86" i="1"/>
  <c r="GP86" i="1"/>
  <c r="GV86" i="1"/>
  <c r="HC86" i="1" s="1"/>
  <c r="GX86" i="1" s="1"/>
  <c r="P87" i="1"/>
  <c r="Q87" i="1"/>
  <c r="T87" i="1"/>
  <c r="AC87" i="1"/>
  <c r="AE87" i="1"/>
  <c r="AF87" i="1"/>
  <c r="S87" i="1" s="1"/>
  <c r="Y87" i="1" s="1"/>
  <c r="AG87" i="1"/>
  <c r="AH87" i="1"/>
  <c r="AI87" i="1"/>
  <c r="CW87" i="1" s="1"/>
  <c r="V87" i="1" s="1"/>
  <c r="AJ87" i="1"/>
  <c r="CX87" i="1" s="1"/>
  <c r="W87" i="1" s="1"/>
  <c r="CQ87" i="1"/>
  <c r="CU87" i="1"/>
  <c r="CV87" i="1"/>
  <c r="U87" i="1" s="1"/>
  <c r="CY87" i="1"/>
  <c r="GL87" i="1"/>
  <c r="GN87" i="1"/>
  <c r="GO87" i="1"/>
  <c r="GP87" i="1"/>
  <c r="GV87" i="1"/>
  <c r="HC87" i="1" s="1"/>
  <c r="GX87" i="1"/>
  <c r="C88" i="1"/>
  <c r="D88" i="1"/>
  <c r="I88" i="1"/>
  <c r="K88" i="1"/>
  <c r="T88" i="1"/>
  <c r="AC88" i="1"/>
  <c r="AD88" i="1"/>
  <c r="AB88" i="1" s="1"/>
  <c r="AE88" i="1"/>
  <c r="CS88" i="1" s="1"/>
  <c r="AF88" i="1"/>
  <c r="AG88" i="1"/>
  <c r="AH88" i="1"/>
  <c r="CV88" i="1" s="1"/>
  <c r="U88" i="1" s="1"/>
  <c r="AI88" i="1"/>
  <c r="CW88" i="1" s="1"/>
  <c r="AJ88" i="1"/>
  <c r="CX88" i="1" s="1"/>
  <c r="CQ88" i="1"/>
  <c r="CR88" i="1"/>
  <c r="CU88" i="1"/>
  <c r="GL88" i="1"/>
  <c r="GN88" i="1"/>
  <c r="GP88" i="1"/>
  <c r="GV88" i="1"/>
  <c r="HC88" i="1"/>
  <c r="GX88" i="1" s="1"/>
  <c r="C89" i="1"/>
  <c r="D89" i="1"/>
  <c r="I89" i="1"/>
  <c r="K89" i="1"/>
  <c r="AC89" i="1"/>
  <c r="P89" i="1" s="1"/>
  <c r="AE89" i="1"/>
  <c r="AF89" i="1"/>
  <c r="AG89" i="1"/>
  <c r="CU89" i="1" s="1"/>
  <c r="AH89" i="1"/>
  <c r="AI89" i="1"/>
  <c r="AJ89" i="1"/>
  <c r="CX89" i="1" s="1"/>
  <c r="W89" i="1" s="1"/>
  <c r="CV89" i="1"/>
  <c r="U89" i="1" s="1"/>
  <c r="CW89" i="1"/>
  <c r="V89" i="1" s="1"/>
  <c r="GL89" i="1"/>
  <c r="GN89" i="1"/>
  <c r="GP89" i="1"/>
  <c r="GV89" i="1"/>
  <c r="HC89" i="1"/>
  <c r="GX89" i="1" s="1"/>
  <c r="R90" i="1"/>
  <c r="V90" i="1"/>
  <c r="AC90" i="1"/>
  <c r="AE90" i="1"/>
  <c r="AD90" i="1" s="1"/>
  <c r="AF90" i="1"/>
  <c r="S90" i="1" s="1"/>
  <c r="AG90" i="1"/>
  <c r="CU90" i="1" s="1"/>
  <c r="T90" i="1" s="1"/>
  <c r="AH90" i="1"/>
  <c r="AI90" i="1"/>
  <c r="AJ90" i="1"/>
  <c r="CR90" i="1"/>
  <c r="CS90" i="1"/>
  <c r="CT90" i="1"/>
  <c r="CV90" i="1"/>
  <c r="U90" i="1" s="1"/>
  <c r="CW90" i="1"/>
  <c r="CX90" i="1"/>
  <c r="W90" i="1" s="1"/>
  <c r="GL90" i="1"/>
  <c r="GN90" i="1"/>
  <c r="GO90" i="1"/>
  <c r="GP90" i="1"/>
  <c r="GV90" i="1"/>
  <c r="HC90" i="1"/>
  <c r="GX90" i="1" s="1"/>
  <c r="R91" i="1"/>
  <c r="V91" i="1"/>
  <c r="AB91" i="1"/>
  <c r="AC91" i="1"/>
  <c r="AE91" i="1"/>
  <c r="AD91" i="1" s="1"/>
  <c r="AF91" i="1"/>
  <c r="S91" i="1" s="1"/>
  <c r="AG91" i="1"/>
  <c r="CU91" i="1" s="1"/>
  <c r="T91" i="1" s="1"/>
  <c r="AH91" i="1"/>
  <c r="AI91" i="1"/>
  <c r="AJ91" i="1"/>
  <c r="CX91" i="1" s="1"/>
  <c r="W91" i="1" s="1"/>
  <c r="CR91" i="1"/>
  <c r="CS91" i="1"/>
  <c r="CT91" i="1"/>
  <c r="CV91" i="1"/>
  <c r="U91" i="1" s="1"/>
  <c r="CW91" i="1"/>
  <c r="GL91" i="1"/>
  <c r="GN91" i="1"/>
  <c r="GO91" i="1"/>
  <c r="GP91" i="1"/>
  <c r="GV91" i="1"/>
  <c r="HC91" i="1"/>
  <c r="GX91" i="1" s="1"/>
  <c r="B93" i="1"/>
  <c r="B26" i="1" s="1"/>
  <c r="C93" i="1"/>
  <c r="C26" i="1" s="1"/>
  <c r="D93" i="1"/>
  <c r="D26" i="1" s="1"/>
  <c r="F93" i="1"/>
  <c r="F26" i="1" s="1"/>
  <c r="G93" i="1"/>
  <c r="G26" i="1" s="1"/>
  <c r="AS93" i="1"/>
  <c r="BX93" i="1"/>
  <c r="BX26" i="1" s="1"/>
  <c r="CB93" i="1"/>
  <c r="CB26" i="1" s="1"/>
  <c r="CJ93" i="1"/>
  <c r="CK93" i="1"/>
  <c r="CK26" i="1" s="1"/>
  <c r="CL93" i="1"/>
  <c r="CL26" i="1" s="1"/>
  <c r="CM93" i="1"/>
  <c r="CM26" i="1" s="1"/>
  <c r="FP93" i="1"/>
  <c r="FP26" i="1" s="1"/>
  <c r="FR93" i="1"/>
  <c r="FV93" i="1"/>
  <c r="FV26" i="1" s="1"/>
  <c r="GC93" i="1"/>
  <c r="GC26" i="1" s="1"/>
  <c r="GD93" i="1"/>
  <c r="GD26" i="1" s="1"/>
  <c r="GE93" i="1"/>
  <c r="D123" i="1"/>
  <c r="B125" i="1"/>
  <c r="E125" i="1"/>
  <c r="Z125" i="1"/>
  <c r="AA125" i="1"/>
  <c r="AM125" i="1"/>
  <c r="AN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R125" i="1"/>
  <c r="DS125" i="1"/>
  <c r="EE125" i="1"/>
  <c r="EF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C127" i="1"/>
  <c r="D127" i="1"/>
  <c r="I127" i="1"/>
  <c r="I129" i="1" s="1"/>
  <c r="R129" i="1" s="1"/>
  <c r="K127" i="1"/>
  <c r="Q127" i="1"/>
  <c r="Y127" i="1"/>
  <c r="AC127" i="1"/>
  <c r="AE127" i="1"/>
  <c r="CS127" i="1" s="1"/>
  <c r="AF127" i="1"/>
  <c r="S127" i="1" s="1"/>
  <c r="AG127" i="1"/>
  <c r="AH127" i="1"/>
  <c r="AI127" i="1"/>
  <c r="CW127" i="1" s="1"/>
  <c r="AJ127" i="1"/>
  <c r="CQ127" i="1"/>
  <c r="CT127" i="1"/>
  <c r="CU127" i="1"/>
  <c r="T127" i="1" s="1"/>
  <c r="CV127" i="1"/>
  <c r="U127" i="1" s="1"/>
  <c r="CX127" i="1"/>
  <c r="GL127" i="1"/>
  <c r="GN127" i="1"/>
  <c r="GP127" i="1"/>
  <c r="GV127" i="1"/>
  <c r="HC127" i="1"/>
  <c r="GX127" i="1" s="1"/>
  <c r="C128" i="1"/>
  <c r="D128" i="1"/>
  <c r="I128" i="1"/>
  <c r="K128" i="1"/>
  <c r="Q128" i="1"/>
  <c r="R128" i="1"/>
  <c r="AC128" i="1"/>
  <c r="P128" i="1" s="1"/>
  <c r="AE128" i="1"/>
  <c r="AD128" i="1" s="1"/>
  <c r="AF128" i="1"/>
  <c r="AG128" i="1"/>
  <c r="AH128" i="1"/>
  <c r="AI128" i="1"/>
  <c r="CW128" i="1" s="1"/>
  <c r="V128" i="1" s="1"/>
  <c r="AJ128" i="1"/>
  <c r="CX128" i="1" s="1"/>
  <c r="W128" i="1" s="1"/>
  <c r="CQ128" i="1"/>
  <c r="CS128" i="1"/>
  <c r="CU128" i="1"/>
  <c r="T128" i="1" s="1"/>
  <c r="CV128" i="1"/>
  <c r="U128" i="1" s="1"/>
  <c r="GL128" i="1"/>
  <c r="GN128" i="1"/>
  <c r="GP128" i="1"/>
  <c r="GV128" i="1"/>
  <c r="HC128" i="1"/>
  <c r="GX128" i="1" s="1"/>
  <c r="AB129" i="1"/>
  <c r="AC129" i="1"/>
  <c r="AE129" i="1"/>
  <c r="AD129" i="1" s="1"/>
  <c r="AF129" i="1"/>
  <c r="AG129" i="1"/>
  <c r="AH129" i="1"/>
  <c r="AI129" i="1"/>
  <c r="AJ129" i="1"/>
  <c r="CX129" i="1" s="1"/>
  <c r="CQ129" i="1"/>
  <c r="CR129" i="1"/>
  <c r="CS129" i="1"/>
  <c r="CU129" i="1"/>
  <c r="CV129" i="1"/>
  <c r="U129" i="1" s="1"/>
  <c r="CW129" i="1"/>
  <c r="V129" i="1" s="1"/>
  <c r="GL129" i="1"/>
  <c r="GN129" i="1"/>
  <c r="GP129" i="1"/>
  <c r="GV129" i="1"/>
  <c r="HC129" i="1"/>
  <c r="GX129" i="1" s="1"/>
  <c r="I130" i="1"/>
  <c r="P130" i="1" s="1"/>
  <c r="U130" i="1"/>
  <c r="AC130" i="1"/>
  <c r="AE130" i="1"/>
  <c r="AD130" i="1" s="1"/>
  <c r="AB130" i="1" s="1"/>
  <c r="AF130" i="1"/>
  <c r="AG130" i="1"/>
  <c r="AH130" i="1"/>
  <c r="AI130" i="1"/>
  <c r="AJ130" i="1"/>
  <c r="CX130" i="1" s="1"/>
  <c r="CQ130" i="1"/>
  <c r="CR130" i="1"/>
  <c r="CS130" i="1"/>
  <c r="CU130" i="1"/>
  <c r="CV130" i="1"/>
  <c r="CW130" i="1"/>
  <c r="V130" i="1" s="1"/>
  <c r="GL130" i="1"/>
  <c r="GN130" i="1"/>
  <c r="GP130" i="1"/>
  <c r="GV130" i="1"/>
  <c r="HC130" i="1"/>
  <c r="I131" i="1"/>
  <c r="V131" i="1"/>
  <c r="AC131" i="1"/>
  <c r="AE131" i="1"/>
  <c r="AF131" i="1"/>
  <c r="AG131" i="1"/>
  <c r="AH131" i="1"/>
  <c r="AI131" i="1"/>
  <c r="CW131" i="1" s="1"/>
  <c r="AJ131" i="1"/>
  <c r="CX131" i="1" s="1"/>
  <c r="CQ131" i="1"/>
  <c r="CS131" i="1"/>
  <c r="CU131" i="1"/>
  <c r="CV131" i="1"/>
  <c r="GL131" i="1"/>
  <c r="GN131" i="1"/>
  <c r="GP131" i="1"/>
  <c r="GV131" i="1"/>
  <c r="HC131" i="1"/>
  <c r="I132" i="1"/>
  <c r="Q132" i="1"/>
  <c r="R132" i="1"/>
  <c r="AC132" i="1"/>
  <c r="AE132" i="1"/>
  <c r="AD132" i="1" s="1"/>
  <c r="AF132" i="1"/>
  <c r="AG132" i="1"/>
  <c r="AH132" i="1"/>
  <c r="AI132" i="1"/>
  <c r="CW132" i="1" s="1"/>
  <c r="V132" i="1" s="1"/>
  <c r="AJ132" i="1"/>
  <c r="CX132" i="1" s="1"/>
  <c r="W132" i="1" s="1"/>
  <c r="CQ132" i="1"/>
  <c r="CS132" i="1"/>
  <c r="CU132" i="1"/>
  <c r="T132" i="1" s="1"/>
  <c r="CV132" i="1"/>
  <c r="U132" i="1" s="1"/>
  <c r="GL132" i="1"/>
  <c r="GN132" i="1"/>
  <c r="GP132" i="1"/>
  <c r="GV132" i="1"/>
  <c r="HC132" i="1"/>
  <c r="GX132" i="1" s="1"/>
  <c r="AB133" i="1"/>
  <c r="AC133" i="1"/>
  <c r="AE133" i="1"/>
  <c r="AD133" i="1" s="1"/>
  <c r="AF133" i="1"/>
  <c r="AG133" i="1"/>
  <c r="AH133" i="1"/>
  <c r="AI133" i="1"/>
  <c r="AJ133" i="1"/>
  <c r="CX133" i="1" s="1"/>
  <c r="CQ133" i="1"/>
  <c r="CR133" i="1"/>
  <c r="CS133" i="1"/>
  <c r="CU133" i="1"/>
  <c r="CV133" i="1"/>
  <c r="CW133" i="1"/>
  <c r="GL133" i="1"/>
  <c r="GN133" i="1"/>
  <c r="GP133" i="1"/>
  <c r="GV133" i="1"/>
  <c r="HC133" i="1"/>
  <c r="I134" i="1"/>
  <c r="P134" i="1" s="1"/>
  <c r="U134" i="1"/>
  <c r="AC134" i="1"/>
  <c r="AE134" i="1"/>
  <c r="AD134" i="1" s="1"/>
  <c r="AB134" i="1" s="1"/>
  <c r="AF134" i="1"/>
  <c r="AG134" i="1"/>
  <c r="AH134" i="1"/>
  <c r="AI134" i="1"/>
  <c r="AJ134" i="1"/>
  <c r="CX134" i="1" s="1"/>
  <c r="CQ134" i="1"/>
  <c r="CR134" i="1"/>
  <c r="CS134" i="1"/>
  <c r="CU134" i="1"/>
  <c r="CV134" i="1"/>
  <c r="CW134" i="1"/>
  <c r="V134" i="1" s="1"/>
  <c r="GL134" i="1"/>
  <c r="GN134" i="1"/>
  <c r="GP134" i="1"/>
  <c r="GV134" i="1"/>
  <c r="GX134" i="1"/>
  <c r="HC134" i="1"/>
  <c r="C135" i="1"/>
  <c r="D135" i="1"/>
  <c r="I135" i="1"/>
  <c r="K135" i="1"/>
  <c r="R135" i="1"/>
  <c r="AC135" i="1"/>
  <c r="CQ135" i="1" s="1"/>
  <c r="AE135" i="1"/>
  <c r="AD135" i="1" s="1"/>
  <c r="AB135" i="1" s="1"/>
  <c r="AF135" i="1"/>
  <c r="AG135" i="1"/>
  <c r="CU135" i="1" s="1"/>
  <c r="T135" i="1" s="1"/>
  <c r="AH135" i="1"/>
  <c r="AI135" i="1"/>
  <c r="AJ135" i="1"/>
  <c r="CX135" i="1" s="1"/>
  <c r="W135" i="1" s="1"/>
  <c r="CR135" i="1"/>
  <c r="CS135" i="1"/>
  <c r="CV135" i="1"/>
  <c r="U135" i="1" s="1"/>
  <c r="CW135" i="1"/>
  <c r="V135" i="1" s="1"/>
  <c r="GL135" i="1"/>
  <c r="GN135" i="1"/>
  <c r="GP135" i="1"/>
  <c r="GV135" i="1"/>
  <c r="HC135" i="1" s="1"/>
  <c r="GX135" i="1" s="1"/>
  <c r="C136" i="1"/>
  <c r="D136" i="1"/>
  <c r="I136" i="1"/>
  <c r="K136" i="1"/>
  <c r="R136" i="1"/>
  <c r="S136" i="1"/>
  <c r="W136" i="1"/>
  <c r="AC136" i="1"/>
  <c r="AD136" i="1"/>
  <c r="AE136" i="1"/>
  <c r="Q136" i="1" s="1"/>
  <c r="AF136" i="1"/>
  <c r="AG136" i="1"/>
  <c r="CU136" i="1" s="1"/>
  <c r="T136" i="1" s="1"/>
  <c r="AH136" i="1"/>
  <c r="CV136" i="1" s="1"/>
  <c r="U136" i="1" s="1"/>
  <c r="AI136" i="1"/>
  <c r="AJ136" i="1"/>
  <c r="CR136" i="1"/>
  <c r="CS136" i="1"/>
  <c r="CT136" i="1"/>
  <c r="CW136" i="1"/>
  <c r="V136" i="1" s="1"/>
  <c r="CX136" i="1"/>
  <c r="GL136" i="1"/>
  <c r="GN136" i="1"/>
  <c r="GP136" i="1"/>
  <c r="GV136" i="1"/>
  <c r="HC136" i="1" s="1"/>
  <c r="GX136" i="1" s="1"/>
  <c r="I137" i="1"/>
  <c r="K137" i="1"/>
  <c r="R137" i="1"/>
  <c r="AB137" i="1"/>
  <c r="AC137" i="1"/>
  <c r="P137" i="1" s="1"/>
  <c r="AE137" i="1"/>
  <c r="AD137" i="1" s="1"/>
  <c r="AF137" i="1"/>
  <c r="AG137" i="1"/>
  <c r="CU137" i="1" s="1"/>
  <c r="T137" i="1" s="1"/>
  <c r="AH137" i="1"/>
  <c r="AI137" i="1"/>
  <c r="AJ137" i="1"/>
  <c r="CX137" i="1" s="1"/>
  <c r="W137" i="1" s="1"/>
  <c r="CR137" i="1"/>
  <c r="CS137" i="1"/>
  <c r="CV137" i="1"/>
  <c r="U137" i="1" s="1"/>
  <c r="CW137" i="1"/>
  <c r="V137" i="1" s="1"/>
  <c r="GL137" i="1"/>
  <c r="GN137" i="1"/>
  <c r="GP137" i="1"/>
  <c r="GV137" i="1"/>
  <c r="HC137" i="1" s="1"/>
  <c r="GX137" i="1" s="1"/>
  <c r="I138" i="1"/>
  <c r="K138" i="1"/>
  <c r="AC138" i="1"/>
  <c r="AE138" i="1"/>
  <c r="AF138" i="1"/>
  <c r="AG138" i="1"/>
  <c r="AH138" i="1"/>
  <c r="AI138" i="1"/>
  <c r="CW138" i="1" s="1"/>
  <c r="AJ138" i="1"/>
  <c r="CX138" i="1" s="1"/>
  <c r="CQ138" i="1"/>
  <c r="CR138" i="1"/>
  <c r="CU138" i="1"/>
  <c r="CV138" i="1"/>
  <c r="U138" i="1" s="1"/>
  <c r="GL138" i="1"/>
  <c r="GN138" i="1"/>
  <c r="GP138" i="1"/>
  <c r="GV138" i="1"/>
  <c r="HC138" i="1"/>
  <c r="I139" i="1"/>
  <c r="R139" i="1" s="1"/>
  <c r="K139" i="1"/>
  <c r="P139" i="1"/>
  <c r="AC139" i="1"/>
  <c r="AB139" i="1" s="1"/>
  <c r="AD139" i="1"/>
  <c r="AE139" i="1"/>
  <c r="Q139" i="1" s="1"/>
  <c r="AF139" i="1"/>
  <c r="AG139" i="1"/>
  <c r="AH139" i="1"/>
  <c r="CV139" i="1" s="1"/>
  <c r="U139" i="1" s="1"/>
  <c r="AI139" i="1"/>
  <c r="CW139" i="1" s="1"/>
  <c r="V139" i="1" s="1"/>
  <c r="AJ139" i="1"/>
  <c r="CQ139" i="1"/>
  <c r="CR139" i="1"/>
  <c r="CT139" i="1"/>
  <c r="CU139" i="1"/>
  <c r="T139" i="1" s="1"/>
  <c r="CX139" i="1"/>
  <c r="W139" i="1" s="1"/>
  <c r="GL139" i="1"/>
  <c r="GN139" i="1"/>
  <c r="GP139" i="1"/>
  <c r="GV139" i="1"/>
  <c r="GX139" i="1"/>
  <c r="HC139" i="1"/>
  <c r="I140" i="1"/>
  <c r="K140" i="1"/>
  <c r="R140" i="1"/>
  <c r="S140" i="1"/>
  <c r="AC140" i="1"/>
  <c r="AD140" i="1"/>
  <c r="AE140" i="1"/>
  <c r="Q140" i="1" s="1"/>
  <c r="AF140" i="1"/>
  <c r="AG140" i="1"/>
  <c r="CU140" i="1" s="1"/>
  <c r="T140" i="1" s="1"/>
  <c r="AH140" i="1"/>
  <c r="CV140" i="1" s="1"/>
  <c r="U140" i="1" s="1"/>
  <c r="AI140" i="1"/>
  <c r="AJ140" i="1"/>
  <c r="CR140" i="1"/>
  <c r="CS140" i="1"/>
  <c r="CT140" i="1"/>
  <c r="CW140" i="1"/>
  <c r="V140" i="1" s="1"/>
  <c r="CX140" i="1"/>
  <c r="W140" i="1" s="1"/>
  <c r="GL140" i="1"/>
  <c r="GN140" i="1"/>
  <c r="GP140" i="1"/>
  <c r="GV140" i="1"/>
  <c r="HC140" i="1" s="1"/>
  <c r="GX140" i="1" s="1"/>
  <c r="I141" i="1"/>
  <c r="K141" i="1"/>
  <c r="R141" i="1"/>
  <c r="AC141" i="1"/>
  <c r="P141" i="1" s="1"/>
  <c r="AE141" i="1"/>
  <c r="AD141" i="1" s="1"/>
  <c r="AB141" i="1" s="1"/>
  <c r="AF141" i="1"/>
  <c r="AG141" i="1"/>
  <c r="CU141" i="1" s="1"/>
  <c r="T141" i="1" s="1"/>
  <c r="AH141" i="1"/>
  <c r="AI141" i="1"/>
  <c r="AJ141" i="1"/>
  <c r="CX141" i="1" s="1"/>
  <c r="W141" i="1" s="1"/>
  <c r="CR141" i="1"/>
  <c r="CS141" i="1"/>
  <c r="CV141" i="1"/>
  <c r="U141" i="1" s="1"/>
  <c r="CW141" i="1"/>
  <c r="V141" i="1" s="1"/>
  <c r="GL141" i="1"/>
  <c r="GN141" i="1"/>
  <c r="GP141" i="1"/>
  <c r="GV141" i="1"/>
  <c r="HC141" i="1" s="1"/>
  <c r="GX141" i="1" s="1"/>
  <c r="I142" i="1"/>
  <c r="K142" i="1"/>
  <c r="AC142" i="1"/>
  <c r="AE142" i="1"/>
  <c r="Q142" i="1" s="1"/>
  <c r="AF142" i="1"/>
  <c r="S142" i="1" s="1"/>
  <c r="AG142" i="1"/>
  <c r="AH142" i="1"/>
  <c r="AI142" i="1"/>
  <c r="CW142" i="1" s="1"/>
  <c r="V142" i="1" s="1"/>
  <c r="AJ142" i="1"/>
  <c r="CX142" i="1" s="1"/>
  <c r="W142" i="1" s="1"/>
  <c r="CQ142" i="1"/>
  <c r="CU142" i="1"/>
  <c r="T142" i="1" s="1"/>
  <c r="CV142" i="1"/>
  <c r="U142" i="1" s="1"/>
  <c r="GL142" i="1"/>
  <c r="GN142" i="1"/>
  <c r="GP142" i="1"/>
  <c r="GV142" i="1"/>
  <c r="HC142" i="1"/>
  <c r="GX142" i="1" s="1"/>
  <c r="I143" i="1"/>
  <c r="R143" i="1" s="1"/>
  <c r="K143" i="1"/>
  <c r="P143" i="1"/>
  <c r="AC143" i="1"/>
  <c r="AB143" i="1" s="1"/>
  <c r="AD143" i="1"/>
  <c r="AE143" i="1"/>
  <c r="Q143" i="1" s="1"/>
  <c r="AF143" i="1"/>
  <c r="AG143" i="1"/>
  <c r="AH143" i="1"/>
  <c r="CV143" i="1" s="1"/>
  <c r="U143" i="1" s="1"/>
  <c r="AI143" i="1"/>
  <c r="CW143" i="1" s="1"/>
  <c r="V143" i="1" s="1"/>
  <c r="AJ143" i="1"/>
  <c r="CQ143" i="1"/>
  <c r="CR143" i="1"/>
  <c r="CT143" i="1"/>
  <c r="CU143" i="1"/>
  <c r="T143" i="1" s="1"/>
  <c r="CX143" i="1"/>
  <c r="W143" i="1" s="1"/>
  <c r="GL143" i="1"/>
  <c r="GN143" i="1"/>
  <c r="GP143" i="1"/>
  <c r="GV143" i="1"/>
  <c r="GX143" i="1"/>
  <c r="HC143" i="1"/>
  <c r="I144" i="1"/>
  <c r="K144" i="1"/>
  <c r="R144" i="1"/>
  <c r="S144" i="1"/>
  <c r="AC144" i="1"/>
  <c r="AD144" i="1"/>
  <c r="AE144" i="1"/>
  <c r="Q144" i="1" s="1"/>
  <c r="AF144" i="1"/>
  <c r="AG144" i="1"/>
  <c r="CU144" i="1" s="1"/>
  <c r="T144" i="1" s="1"/>
  <c r="AH144" i="1"/>
  <c r="CV144" i="1" s="1"/>
  <c r="U144" i="1" s="1"/>
  <c r="AI144" i="1"/>
  <c r="AJ144" i="1"/>
  <c r="CR144" i="1"/>
  <c r="CS144" i="1"/>
  <c r="CT144" i="1"/>
  <c r="CW144" i="1"/>
  <c r="V144" i="1" s="1"/>
  <c r="CX144" i="1"/>
  <c r="W144" i="1" s="1"/>
  <c r="GL144" i="1"/>
  <c r="GN144" i="1"/>
  <c r="GP144" i="1"/>
  <c r="GV144" i="1"/>
  <c r="HC144" i="1" s="1"/>
  <c r="GX144" i="1" s="1"/>
  <c r="P145" i="1"/>
  <c r="S145" i="1"/>
  <c r="T145" i="1"/>
  <c r="X145" i="1"/>
  <c r="AC145" i="1"/>
  <c r="AD145" i="1"/>
  <c r="AE145" i="1"/>
  <c r="Q145" i="1" s="1"/>
  <c r="AF145" i="1"/>
  <c r="AG145" i="1"/>
  <c r="AH145" i="1"/>
  <c r="CV145" i="1" s="1"/>
  <c r="U145" i="1" s="1"/>
  <c r="AI145" i="1"/>
  <c r="CW145" i="1" s="1"/>
  <c r="V145" i="1" s="1"/>
  <c r="AJ145" i="1"/>
  <c r="CQ145" i="1"/>
  <c r="CR145" i="1"/>
  <c r="CT145" i="1"/>
  <c r="CU145" i="1"/>
  <c r="CX145" i="1"/>
  <c r="W145" i="1" s="1"/>
  <c r="CY145" i="1"/>
  <c r="CZ145" i="1"/>
  <c r="GL145" i="1"/>
  <c r="GN145" i="1"/>
  <c r="GO145" i="1"/>
  <c r="GP145" i="1"/>
  <c r="GV145" i="1"/>
  <c r="HC145" i="1" s="1"/>
  <c r="GX145" i="1" s="1"/>
  <c r="P146" i="1"/>
  <c r="S146" i="1"/>
  <c r="T146" i="1"/>
  <c r="X146" i="1"/>
  <c r="AC146" i="1"/>
  <c r="AD146" i="1"/>
  <c r="AE146" i="1"/>
  <c r="Q146" i="1" s="1"/>
  <c r="AF146" i="1"/>
  <c r="AG146" i="1"/>
  <c r="AH146" i="1"/>
  <c r="CV146" i="1" s="1"/>
  <c r="U146" i="1" s="1"/>
  <c r="AI146" i="1"/>
  <c r="CW146" i="1" s="1"/>
  <c r="V146" i="1" s="1"/>
  <c r="AJ146" i="1"/>
  <c r="CQ146" i="1"/>
  <c r="CR146" i="1"/>
  <c r="CT146" i="1"/>
  <c r="CU146" i="1"/>
  <c r="CX146" i="1"/>
  <c r="W146" i="1" s="1"/>
  <c r="CY146" i="1"/>
  <c r="CZ146" i="1"/>
  <c r="GL146" i="1"/>
  <c r="GN146" i="1"/>
  <c r="GO146" i="1"/>
  <c r="GP146" i="1"/>
  <c r="GV146" i="1"/>
  <c r="HC146" i="1" s="1"/>
  <c r="GX146" i="1" s="1"/>
  <c r="B148" i="1"/>
  <c r="C148" i="1"/>
  <c r="C125" i="1" s="1"/>
  <c r="D148" i="1"/>
  <c r="D125" i="1" s="1"/>
  <c r="F148" i="1"/>
  <c r="F125" i="1" s="1"/>
  <c r="G148" i="1"/>
  <c r="G125" i="1" s="1"/>
  <c r="AU148" i="1"/>
  <c r="BX148" i="1"/>
  <c r="BX125" i="1" s="1"/>
  <c r="BZ148" i="1"/>
  <c r="CD148" i="1"/>
  <c r="CD125" i="1" s="1"/>
  <c r="CK148" i="1"/>
  <c r="CK125" i="1" s="1"/>
  <c r="CL148" i="1"/>
  <c r="CL125" i="1" s="1"/>
  <c r="CM148" i="1"/>
  <c r="CM125" i="1" s="1"/>
  <c r="FP148" i="1"/>
  <c r="FT148" i="1"/>
  <c r="FT125" i="1" s="1"/>
  <c r="FV148" i="1"/>
  <c r="FV125" i="1" s="1"/>
  <c r="GC148" i="1"/>
  <c r="ET148" i="1" s="1"/>
  <c r="GD148" i="1"/>
  <c r="GD125" i="1" s="1"/>
  <c r="GE148" i="1"/>
  <c r="GE125" i="1" s="1"/>
  <c r="B178" i="1"/>
  <c r="B22" i="1" s="1"/>
  <c r="C178" i="1"/>
  <c r="C22" i="1" s="1"/>
  <c r="D178" i="1"/>
  <c r="D22" i="1" s="1"/>
  <c r="F178" i="1"/>
  <c r="F22" i="1" s="1"/>
  <c r="G178" i="1"/>
  <c r="G22" i="1" s="1"/>
  <c r="B208" i="1"/>
  <c r="B18" i="1" s="1"/>
  <c r="C208" i="1"/>
  <c r="C18" i="1" s="1"/>
  <c r="D208" i="1"/>
  <c r="D18" i="1" s="1"/>
  <c r="F208" i="1"/>
  <c r="F18" i="1" s="1"/>
  <c r="G208" i="1"/>
  <c r="G18" i="1" s="1"/>
  <c r="F12" i="6"/>
  <c r="G12" i="6"/>
  <c r="H310" i="7" l="1"/>
  <c r="H249" i="7"/>
  <c r="H306" i="7"/>
  <c r="J306" i="7"/>
  <c r="J249" i="7"/>
  <c r="J310" i="7"/>
  <c r="BZ125" i="1"/>
  <c r="CG148" i="1"/>
  <c r="AU125" i="1"/>
  <c r="F167" i="1"/>
  <c r="S141" i="1"/>
  <c r="CT141" i="1"/>
  <c r="S135" i="1"/>
  <c r="CT135" i="1"/>
  <c r="S132" i="1"/>
  <c r="CT132" i="1"/>
  <c r="AB132" i="1"/>
  <c r="DZ148" i="1"/>
  <c r="S128" i="1"/>
  <c r="CT128" i="1"/>
  <c r="AB128" i="1"/>
  <c r="EG148" i="1"/>
  <c r="AQ148" i="1"/>
  <c r="AB146" i="1"/>
  <c r="FR146" i="1"/>
  <c r="FQ148" i="1" s="1"/>
  <c r="CP146" i="1"/>
  <c r="O146" i="1" s="1"/>
  <c r="CB148" i="1"/>
  <c r="W138" i="1"/>
  <c r="S138" i="1"/>
  <c r="S137" i="1"/>
  <c r="CT137" i="1"/>
  <c r="X136" i="1"/>
  <c r="CY136" i="1"/>
  <c r="Y136" i="1"/>
  <c r="CZ136" i="1"/>
  <c r="Q131" i="1"/>
  <c r="R131" i="1"/>
  <c r="U131" i="1"/>
  <c r="X127" i="1"/>
  <c r="CY127" i="1"/>
  <c r="GE26" i="1"/>
  <c r="EV93" i="1"/>
  <c r="R79" i="1"/>
  <c r="CS79" i="1"/>
  <c r="Q79" i="1"/>
  <c r="CP79" i="1" s="1"/>
  <c r="O79" i="1" s="1"/>
  <c r="GM79" i="1" s="1"/>
  <c r="AD79" i="1"/>
  <c r="AB79" i="1" s="1"/>
  <c r="CR79" i="1"/>
  <c r="X79" i="1"/>
  <c r="AI93" i="1"/>
  <c r="EK148" i="1"/>
  <c r="X142" i="1"/>
  <c r="CY142" i="1"/>
  <c r="R138" i="1"/>
  <c r="P138" i="1"/>
  <c r="CW73" i="3"/>
  <c r="CX73" i="3"/>
  <c r="P144" i="1"/>
  <c r="CP144" i="1" s="1"/>
  <c r="O144" i="1" s="1"/>
  <c r="CQ144" i="1"/>
  <c r="AB144" i="1"/>
  <c r="CS142" i="1"/>
  <c r="AD142" i="1"/>
  <c r="AB142" i="1" s="1"/>
  <c r="BC148" i="1"/>
  <c r="AB145" i="1"/>
  <c r="FR145" i="1"/>
  <c r="BY148" i="1" s="1"/>
  <c r="CP145" i="1"/>
  <c r="O145" i="1" s="1"/>
  <c r="CR142" i="1"/>
  <c r="P140" i="1"/>
  <c r="CP140" i="1" s="1"/>
  <c r="O140" i="1" s="1"/>
  <c r="CQ140" i="1"/>
  <c r="AB140" i="1"/>
  <c r="GX138" i="1"/>
  <c r="T138" i="1"/>
  <c r="V138" i="1"/>
  <c r="EA148" i="1" s="1"/>
  <c r="CS138" i="1"/>
  <c r="AD138" i="1"/>
  <c r="AB138" i="1" s="1"/>
  <c r="Q138" i="1"/>
  <c r="AD131" i="1"/>
  <c r="AB131" i="1" s="1"/>
  <c r="CR131" i="1"/>
  <c r="FP125" i="1"/>
  <c r="FR26" i="1"/>
  <c r="EI93" i="1"/>
  <c r="AS26" i="1"/>
  <c r="F110" i="1"/>
  <c r="ET125" i="1"/>
  <c r="P161" i="1"/>
  <c r="X140" i="1"/>
  <c r="CY140" i="1"/>
  <c r="Y140" i="1"/>
  <c r="CZ140" i="1"/>
  <c r="R86" i="1"/>
  <c r="CS86" i="1"/>
  <c r="AD86" i="1"/>
  <c r="AB86" i="1" s="1"/>
  <c r="CR86" i="1"/>
  <c r="DG75" i="3"/>
  <c r="DH75" i="3"/>
  <c r="DF75" i="3"/>
  <c r="DJ75" i="3" s="1"/>
  <c r="DI75" i="3"/>
  <c r="X144" i="1"/>
  <c r="CY144" i="1"/>
  <c r="Y144" i="1"/>
  <c r="CZ144" i="1"/>
  <c r="CZ142" i="1"/>
  <c r="Y142" i="1"/>
  <c r="R142" i="1"/>
  <c r="P142" i="1"/>
  <c r="CP142" i="1" s="1"/>
  <c r="O142" i="1" s="1"/>
  <c r="P136" i="1"/>
  <c r="CP136" i="1" s="1"/>
  <c r="O136" i="1" s="1"/>
  <c r="GM136" i="1" s="1"/>
  <c r="GO136" i="1" s="1"/>
  <c r="CQ136" i="1"/>
  <c r="AB136" i="1"/>
  <c r="CX82" i="3"/>
  <c r="CU81" i="3"/>
  <c r="CW82" i="3"/>
  <c r="CX84" i="3"/>
  <c r="Q135" i="1"/>
  <c r="FR148" i="1"/>
  <c r="CZ127" i="1"/>
  <c r="P129" i="1"/>
  <c r="CP129" i="1" s="1"/>
  <c r="O129" i="1" s="1"/>
  <c r="Q129" i="1"/>
  <c r="CJ26" i="1"/>
  <c r="BA93" i="1"/>
  <c r="Y86" i="1"/>
  <c r="DZ93" i="1"/>
  <c r="S59" i="1"/>
  <c r="CT59" i="1"/>
  <c r="GB93" i="1"/>
  <c r="EV148" i="1"/>
  <c r="BB148" i="1"/>
  <c r="S143" i="1"/>
  <c r="CP143" i="1" s="1"/>
  <c r="O143" i="1" s="1"/>
  <c r="Q141" i="1"/>
  <c r="CP141" i="1" s="1"/>
  <c r="O141" i="1" s="1"/>
  <c r="S139" i="1"/>
  <c r="Q137" i="1"/>
  <c r="CP137" i="1" s="1"/>
  <c r="O137" i="1" s="1"/>
  <c r="R134" i="1"/>
  <c r="CT133" i="1"/>
  <c r="P131" i="1"/>
  <c r="GX130" i="1"/>
  <c r="GB148" i="1" s="1"/>
  <c r="R130" i="1"/>
  <c r="T129" i="1"/>
  <c r="W129" i="1"/>
  <c r="S129" i="1"/>
  <c r="CT129" i="1"/>
  <c r="V127" i="1"/>
  <c r="P127" i="1"/>
  <c r="GC125" i="1"/>
  <c r="EM93" i="1"/>
  <c r="BB93" i="1"/>
  <c r="X91" i="1"/>
  <c r="CY91" i="1"/>
  <c r="Y91" i="1"/>
  <c r="CZ91" i="1"/>
  <c r="S89" i="1"/>
  <c r="CT89" i="1"/>
  <c r="CX54" i="3"/>
  <c r="CU51" i="3"/>
  <c r="CW52" i="3"/>
  <c r="CW53" i="3"/>
  <c r="CX52" i="3"/>
  <c r="CX56" i="3"/>
  <c r="CV51" i="3"/>
  <c r="R88" i="1"/>
  <c r="P88" i="1"/>
  <c r="CP88" i="1" s="1"/>
  <c r="O88" i="1" s="1"/>
  <c r="Q88" i="1"/>
  <c r="FR86" i="1"/>
  <c r="CP86" i="1"/>
  <c r="O86" i="1" s="1"/>
  <c r="S81" i="1"/>
  <c r="CP81" i="1" s="1"/>
  <c r="O81" i="1" s="1"/>
  <c r="CT81" i="1"/>
  <c r="AB81" i="1"/>
  <c r="EU148" i="1"/>
  <c r="EM148" i="1"/>
  <c r="AO148" i="1"/>
  <c r="CS146" i="1"/>
  <c r="R146" i="1"/>
  <c r="CS145" i="1"/>
  <c r="R145" i="1"/>
  <c r="CS143" i="1"/>
  <c r="CT142" i="1"/>
  <c r="CQ141" i="1"/>
  <c r="CS139" i="1"/>
  <c r="CT138" i="1"/>
  <c r="CQ137" i="1"/>
  <c r="CU86" i="3"/>
  <c r="CX88" i="3"/>
  <c r="T134" i="1"/>
  <c r="W134" i="1"/>
  <c r="S134" i="1"/>
  <c r="CT134" i="1"/>
  <c r="Q134" i="1"/>
  <c r="I133" i="1"/>
  <c r="V133" i="1" s="1"/>
  <c r="CR132" i="1"/>
  <c r="P132" i="1"/>
  <c r="GX131" i="1"/>
  <c r="T130" i="1"/>
  <c r="DY148" i="1" s="1"/>
  <c r="W130" i="1"/>
  <c r="EB148" i="1" s="1"/>
  <c r="S130" i="1"/>
  <c r="CT130" i="1"/>
  <c r="Q130" i="1"/>
  <c r="DV148" i="1" s="1"/>
  <c r="CR128" i="1"/>
  <c r="CP128" i="1"/>
  <c r="O128" i="1" s="1"/>
  <c r="CX76" i="3"/>
  <c r="CX80" i="3"/>
  <c r="CU72" i="3"/>
  <c r="W127" i="1"/>
  <c r="CR127" i="1"/>
  <c r="AD127" i="1"/>
  <c r="EU93" i="1"/>
  <c r="X90" i="1"/>
  <c r="CY90" i="1"/>
  <c r="Y90" i="1"/>
  <c r="CZ90" i="1"/>
  <c r="AD89" i="1"/>
  <c r="AB89" i="1" s="1"/>
  <c r="CR89" i="1"/>
  <c r="CS89" i="1"/>
  <c r="Q89" i="1"/>
  <c r="Y84" i="1"/>
  <c r="AB77" i="1"/>
  <c r="CQ77" i="1"/>
  <c r="P77" i="1"/>
  <c r="CP77" i="1" s="1"/>
  <c r="O77" i="1" s="1"/>
  <c r="Y63" i="1"/>
  <c r="CZ63" i="1"/>
  <c r="X63" i="1"/>
  <c r="CY63" i="1"/>
  <c r="CQ53" i="1"/>
  <c r="P53" i="1"/>
  <c r="AB53" i="1"/>
  <c r="BD148" i="1"/>
  <c r="Y146" i="1"/>
  <c r="Y145" i="1"/>
  <c r="P135" i="1"/>
  <c r="CP134" i="1"/>
  <c r="O134" i="1" s="1"/>
  <c r="T131" i="1"/>
  <c r="W131" i="1"/>
  <c r="S131" i="1"/>
  <c r="CT131" i="1"/>
  <c r="AB127" i="1"/>
  <c r="CU63" i="3"/>
  <c r="CW64" i="3"/>
  <c r="CX70" i="3"/>
  <c r="CX64" i="3"/>
  <c r="CX66" i="3"/>
  <c r="CX68" i="3"/>
  <c r="CX67" i="3"/>
  <c r="R127" i="1"/>
  <c r="CZ87" i="1"/>
  <c r="X87" i="1"/>
  <c r="CY86" i="1"/>
  <c r="CZ86" i="1"/>
  <c r="X86" i="1"/>
  <c r="R84" i="1"/>
  <c r="CS84" i="1"/>
  <c r="Q84" i="1"/>
  <c r="CP84" i="1" s="1"/>
  <c r="O84" i="1" s="1"/>
  <c r="GM84" i="1" s="1"/>
  <c r="GO84" i="1" s="1"/>
  <c r="AD84" i="1"/>
  <c r="AB84" i="1" s="1"/>
  <c r="CR84" i="1"/>
  <c r="X83" i="1"/>
  <c r="CY83" i="1"/>
  <c r="Y83" i="1"/>
  <c r="CZ83" i="1"/>
  <c r="AB83" i="1"/>
  <c r="Y79" i="1"/>
  <c r="FR79" i="1"/>
  <c r="Y77" i="1"/>
  <c r="CZ77" i="1"/>
  <c r="CY77" i="1"/>
  <c r="X77" i="1"/>
  <c r="AB69" i="1"/>
  <c r="S69" i="1"/>
  <c r="CZ41" i="1"/>
  <c r="X41" i="1"/>
  <c r="Y41" i="1"/>
  <c r="P37" i="1"/>
  <c r="CQ37" i="1"/>
  <c r="AB37" i="1"/>
  <c r="CD93" i="1"/>
  <c r="P90" i="1"/>
  <c r="CQ90" i="1"/>
  <c r="CP89" i="1"/>
  <c r="O89" i="1" s="1"/>
  <c r="CU57" i="3"/>
  <c r="CX62" i="3"/>
  <c r="CX59" i="3"/>
  <c r="CX60" i="3"/>
  <c r="CW58" i="3"/>
  <c r="CW59" i="3"/>
  <c r="W88" i="1"/>
  <c r="AJ93" i="1" s="1"/>
  <c r="S88" i="1"/>
  <c r="R87" i="1"/>
  <c r="CS87" i="1"/>
  <c r="FR87" i="1"/>
  <c r="CP87" i="1"/>
  <c r="O87" i="1" s="1"/>
  <c r="GM87" i="1" s="1"/>
  <c r="AB85" i="1"/>
  <c r="Y85" i="1"/>
  <c r="CZ85" i="1"/>
  <c r="CZ84" i="1"/>
  <c r="P80" i="1"/>
  <c r="CP80" i="1" s="1"/>
  <c r="O80" i="1" s="1"/>
  <c r="CQ80" i="1"/>
  <c r="X80" i="1"/>
  <c r="CY80" i="1"/>
  <c r="Y80" i="1"/>
  <c r="CZ80" i="1"/>
  <c r="CZ79" i="1"/>
  <c r="CY78" i="1"/>
  <c r="CY76" i="1"/>
  <c r="P74" i="1"/>
  <c r="CQ74" i="1"/>
  <c r="X74" i="1"/>
  <c r="CY74" i="1"/>
  <c r="Y74" i="1"/>
  <c r="CZ74" i="1"/>
  <c r="AB73" i="1"/>
  <c r="CQ73" i="1"/>
  <c r="FR71" i="1"/>
  <c r="P68" i="1"/>
  <c r="CP68" i="1" s="1"/>
  <c r="O68" i="1" s="1"/>
  <c r="R65" i="1"/>
  <c r="CS65" i="1"/>
  <c r="AD65" i="1"/>
  <c r="Y50" i="1"/>
  <c r="CZ50" i="1"/>
  <c r="X50" i="1"/>
  <c r="CY50" i="1"/>
  <c r="R49" i="1"/>
  <c r="AD49" i="1"/>
  <c r="AB49" i="1" s="1"/>
  <c r="CR49" i="1"/>
  <c r="Q49" i="1"/>
  <c r="CP49" i="1" s="1"/>
  <c r="O49" i="1" s="1"/>
  <c r="CS49" i="1"/>
  <c r="GM46" i="1"/>
  <c r="GO46" i="1" s="1"/>
  <c r="EB93" i="1"/>
  <c r="X37" i="1"/>
  <c r="CY37" i="1"/>
  <c r="Y37" i="1"/>
  <c r="CZ37" i="1"/>
  <c r="Y32" i="1"/>
  <c r="CY32" i="1"/>
  <c r="CZ32" i="1"/>
  <c r="X32" i="1"/>
  <c r="AO93" i="1"/>
  <c r="P91" i="1"/>
  <c r="CQ91" i="1"/>
  <c r="AB90" i="1"/>
  <c r="T89" i="1"/>
  <c r="DY93" i="1" s="1"/>
  <c r="R89" i="1"/>
  <c r="V88" i="1"/>
  <c r="CR87" i="1"/>
  <c r="AD87" i="1"/>
  <c r="AB87" i="1" s="1"/>
  <c r="X85" i="1"/>
  <c r="P85" i="1"/>
  <c r="CP85" i="1" s="1"/>
  <c r="O85" i="1" s="1"/>
  <c r="CY84" i="1"/>
  <c r="P82" i="1"/>
  <c r="CQ82" i="1"/>
  <c r="S82" i="1"/>
  <c r="CS81" i="1"/>
  <c r="AB80" i="1"/>
  <c r="CY79" i="1"/>
  <c r="P75" i="1"/>
  <c r="CQ75" i="1"/>
  <c r="S75" i="1"/>
  <c r="AB74" i="1"/>
  <c r="Y71" i="1"/>
  <c r="CZ71" i="1"/>
  <c r="CY71" i="1"/>
  <c r="Y70" i="1"/>
  <c r="CZ70" i="1"/>
  <c r="X70" i="1"/>
  <c r="AB70" i="1"/>
  <c r="P70" i="1"/>
  <c r="CQ68" i="1"/>
  <c r="CZ65" i="1"/>
  <c r="Q65" i="1"/>
  <c r="S64" i="1"/>
  <c r="CT64" i="1"/>
  <c r="FR58" i="1"/>
  <c r="Q57" i="1"/>
  <c r="AD57" i="1"/>
  <c r="AB57" i="1" s="1"/>
  <c r="CR57" i="1"/>
  <c r="FR52" i="1"/>
  <c r="P51" i="1"/>
  <c r="CQ51" i="1"/>
  <c r="AB51" i="1"/>
  <c r="AG93" i="1"/>
  <c r="CY40" i="1"/>
  <c r="CZ40" i="1"/>
  <c r="Y40" i="1"/>
  <c r="P83" i="1"/>
  <c r="CQ83" i="1"/>
  <c r="R78" i="1"/>
  <c r="CS78" i="1"/>
  <c r="X78" i="1"/>
  <c r="FR78" i="1"/>
  <c r="CP78" i="1"/>
  <c r="O78" i="1" s="1"/>
  <c r="R76" i="1"/>
  <c r="CS76" i="1"/>
  <c r="X76" i="1"/>
  <c r="CP76" i="1"/>
  <c r="O76" i="1" s="1"/>
  <c r="GM71" i="1"/>
  <c r="R66" i="1"/>
  <c r="AD66" i="1"/>
  <c r="AB66" i="1" s="1"/>
  <c r="CR66" i="1"/>
  <c r="Q66" i="1"/>
  <c r="CP66" i="1" s="1"/>
  <c r="O66" i="1" s="1"/>
  <c r="CR65" i="1"/>
  <c r="X65" i="1"/>
  <c r="CP65" i="1"/>
  <c r="O65" i="1" s="1"/>
  <c r="GM65" i="1" s="1"/>
  <c r="GO65" i="1" s="1"/>
  <c r="R64" i="1"/>
  <c r="AD64" i="1"/>
  <c r="AB64" i="1" s="1"/>
  <c r="CR64" i="1"/>
  <c r="CS64" i="1"/>
  <c r="Q64" i="1"/>
  <c r="CP64" i="1" s="1"/>
  <c r="O64" i="1" s="1"/>
  <c r="CQ63" i="1"/>
  <c r="AB63" i="1"/>
  <c r="P63" i="1"/>
  <c r="X51" i="1"/>
  <c r="CY51" i="1"/>
  <c r="CZ51" i="1"/>
  <c r="Y51" i="1"/>
  <c r="CP50" i="1"/>
  <c r="O50" i="1" s="1"/>
  <c r="FT93" i="1"/>
  <c r="BZ93" i="1"/>
  <c r="FR30" i="1"/>
  <c r="CP30" i="1"/>
  <c r="O30" i="1" s="1"/>
  <c r="EA93" i="1"/>
  <c r="X29" i="1"/>
  <c r="CY29" i="1"/>
  <c r="Y29" i="1"/>
  <c r="CZ29" i="1"/>
  <c r="AH93" i="1"/>
  <c r="CX77" i="3"/>
  <c r="AB62" i="1"/>
  <c r="Y62" i="1"/>
  <c r="CZ62" i="1"/>
  <c r="X61" i="1"/>
  <c r="CY61" i="1"/>
  <c r="Y61" i="1"/>
  <c r="CZ61" i="1"/>
  <c r="AB60" i="1"/>
  <c r="S60" i="1"/>
  <c r="R59" i="1"/>
  <c r="FR57" i="1"/>
  <c r="S56" i="1"/>
  <c r="CT56" i="1"/>
  <c r="AB56" i="1"/>
  <c r="Y53" i="1"/>
  <c r="CZ53" i="1"/>
  <c r="X53" i="1"/>
  <c r="AB52" i="1"/>
  <c r="S52" i="1"/>
  <c r="Q48" i="1"/>
  <c r="X46" i="1"/>
  <c r="X45" i="1"/>
  <c r="CY45" i="1"/>
  <c r="Y45" i="1"/>
  <c r="CZ45" i="1"/>
  <c r="X44" i="1"/>
  <c r="CY44" i="1"/>
  <c r="Y44" i="1"/>
  <c r="CZ44" i="1"/>
  <c r="R40" i="1"/>
  <c r="CS40" i="1"/>
  <c r="AD40" i="1"/>
  <c r="AB40" i="1" s="1"/>
  <c r="CR40" i="1"/>
  <c r="Q40" i="1"/>
  <c r="CY38" i="1"/>
  <c r="CZ38" i="1"/>
  <c r="X38" i="1"/>
  <c r="GM28" i="1"/>
  <c r="CX85" i="3"/>
  <c r="CX63" i="3"/>
  <c r="CV63" i="3"/>
  <c r="DF11" i="3"/>
  <c r="DG11" i="3"/>
  <c r="DH11" i="3"/>
  <c r="DI11" i="3"/>
  <c r="DJ11" i="3" s="1"/>
  <c r="FY93" i="1"/>
  <c r="ET93" i="1"/>
  <c r="BD93" i="1"/>
  <c r="Q91" i="1"/>
  <c r="Q90" i="1"/>
  <c r="CQ89" i="1"/>
  <c r="CT88" i="1"/>
  <c r="CT87" i="1"/>
  <c r="CT86" i="1"/>
  <c r="CS85" i="1"/>
  <c r="R85" i="1"/>
  <c r="CT84" i="1"/>
  <c r="CQ81" i="1"/>
  <c r="CT79" i="1"/>
  <c r="CT78" i="1"/>
  <c r="CS77" i="1"/>
  <c r="R77" i="1"/>
  <c r="CT76" i="1"/>
  <c r="R73" i="1"/>
  <c r="CS73" i="1"/>
  <c r="X73" i="1"/>
  <c r="GM73" i="1" s="1"/>
  <c r="GO73" i="1" s="1"/>
  <c r="R69" i="1"/>
  <c r="X62" i="1"/>
  <c r="CR59" i="1"/>
  <c r="AD59" i="1"/>
  <c r="AB59" i="1" s="1"/>
  <c r="CP59" i="1"/>
  <c r="O59" i="1" s="1"/>
  <c r="FR59" i="1"/>
  <c r="S58" i="1"/>
  <c r="CT58" i="1"/>
  <c r="CY55" i="1"/>
  <c r="R55" i="1"/>
  <c r="CS55" i="1"/>
  <c r="X55" i="1"/>
  <c r="Q55" i="1"/>
  <c r="Q51" i="1"/>
  <c r="AB50" i="1"/>
  <c r="CR48" i="1"/>
  <c r="CP47" i="1"/>
  <c r="O47" i="1" s="1"/>
  <c r="GM47" i="1" s="1"/>
  <c r="GO47" i="1" s="1"/>
  <c r="R46" i="1"/>
  <c r="CS46" i="1"/>
  <c r="AD46" i="1"/>
  <c r="AB46" i="1" s="1"/>
  <c r="CR46" i="1"/>
  <c r="P45" i="1"/>
  <c r="CQ45" i="1"/>
  <c r="P44" i="1"/>
  <c r="CQ44" i="1"/>
  <c r="X42" i="1"/>
  <c r="CY42" i="1"/>
  <c r="Y42" i="1"/>
  <c r="CZ42" i="1"/>
  <c r="AB42" i="1"/>
  <c r="FR40" i="1"/>
  <c r="CP40" i="1"/>
  <c r="O40" i="1" s="1"/>
  <c r="GM40" i="1" s="1"/>
  <c r="R38" i="1"/>
  <c r="CS38" i="1"/>
  <c r="AD38" i="1"/>
  <c r="AB38" i="1" s="1"/>
  <c r="CR38" i="1"/>
  <c r="Q38" i="1"/>
  <c r="AD93" i="1" s="1"/>
  <c r="S35" i="1"/>
  <c r="CT35" i="1"/>
  <c r="FR33" i="1"/>
  <c r="CP33" i="1"/>
  <c r="O33" i="1" s="1"/>
  <c r="R31" i="1"/>
  <c r="CS31" i="1"/>
  <c r="Q31" i="1"/>
  <c r="DV93" i="1" s="1"/>
  <c r="AD31" i="1"/>
  <c r="Y31" i="1"/>
  <c r="CR31" i="1"/>
  <c r="CV86" i="3"/>
  <c r="CX86" i="3"/>
  <c r="EG93" i="1"/>
  <c r="BC93" i="1"/>
  <c r="S72" i="1"/>
  <c r="CT72" i="1"/>
  <c r="P69" i="1"/>
  <c r="CQ69" i="1"/>
  <c r="Y68" i="1"/>
  <c r="CZ68" i="1"/>
  <c r="S66" i="1"/>
  <c r="CT66" i="1"/>
  <c r="AB65" i="1"/>
  <c r="Y65" i="1"/>
  <c r="CY65" i="1"/>
  <c r="P62" i="1"/>
  <c r="P61" i="1"/>
  <c r="CP61" i="1" s="1"/>
  <c r="O61" i="1" s="1"/>
  <c r="GM61" i="1" s="1"/>
  <c r="GO61" i="1" s="1"/>
  <c r="CQ61" i="1"/>
  <c r="S57" i="1"/>
  <c r="CT57" i="1"/>
  <c r="S54" i="1"/>
  <c r="CP54" i="1" s="1"/>
  <c r="O54" i="1" s="1"/>
  <c r="CT54" i="1"/>
  <c r="S49" i="1"/>
  <c r="CT49" i="1"/>
  <c r="S43" i="1"/>
  <c r="CP43" i="1" s="1"/>
  <c r="O43" i="1" s="1"/>
  <c r="CT43" i="1"/>
  <c r="CP38" i="1"/>
  <c r="O38" i="1" s="1"/>
  <c r="GM38" i="1" s="1"/>
  <c r="GO38" i="1" s="1"/>
  <c r="X36" i="1"/>
  <c r="CY36" i="1"/>
  <c r="Y36" i="1"/>
  <c r="CZ36" i="1"/>
  <c r="AB36" i="1"/>
  <c r="AB30" i="1"/>
  <c r="CQ30" i="1"/>
  <c r="DI28" i="3"/>
  <c r="DF28" i="3"/>
  <c r="DJ28" i="3" s="1"/>
  <c r="DG28" i="3"/>
  <c r="DH28" i="3"/>
  <c r="CV27" i="3"/>
  <c r="CX27" i="3"/>
  <c r="R41" i="1"/>
  <c r="CS41" i="1"/>
  <c r="FR41" i="1"/>
  <c r="CP41" i="1"/>
  <c r="O41" i="1" s="1"/>
  <c r="GM41" i="1" s="1"/>
  <c r="AB39" i="1"/>
  <c r="Y39" i="1"/>
  <c r="CZ39" i="1"/>
  <c r="P34" i="1"/>
  <c r="CP34" i="1" s="1"/>
  <c r="O34" i="1" s="1"/>
  <c r="CQ34" i="1"/>
  <c r="X34" i="1"/>
  <c r="CY34" i="1"/>
  <c r="Y34" i="1"/>
  <c r="CZ34" i="1"/>
  <c r="R32" i="1"/>
  <c r="CS32" i="1"/>
  <c r="CZ31" i="1"/>
  <c r="P29" i="1"/>
  <c r="CQ29" i="1"/>
  <c r="AB29" i="1"/>
  <c r="CX90" i="3"/>
  <c r="CX89" i="3"/>
  <c r="CX74" i="3"/>
  <c r="DF47" i="3"/>
  <c r="DG47" i="3"/>
  <c r="DI47" i="3"/>
  <c r="DJ47" i="3" s="1"/>
  <c r="DH47" i="3"/>
  <c r="S67" i="1"/>
  <c r="CP67" i="1" s="1"/>
  <c r="O67" i="1" s="1"/>
  <c r="CT67" i="1"/>
  <c r="AB55" i="1"/>
  <c r="P55" i="1"/>
  <c r="CP55" i="1" s="1"/>
  <c r="O55" i="1" s="1"/>
  <c r="GM55" i="1" s="1"/>
  <c r="GO55" i="1" s="1"/>
  <c r="S48" i="1"/>
  <c r="CP48" i="1" s="1"/>
  <c r="O48" i="1" s="1"/>
  <c r="CT48" i="1"/>
  <c r="AB47" i="1"/>
  <c r="P42" i="1"/>
  <c r="CP42" i="1" s="1"/>
  <c r="O42" i="1" s="1"/>
  <c r="CQ42" i="1"/>
  <c r="CR41" i="1"/>
  <c r="AD41" i="1"/>
  <c r="AB41" i="1" s="1"/>
  <c r="X39" i="1"/>
  <c r="P39" i="1"/>
  <c r="CP39" i="1" s="1"/>
  <c r="O39" i="1" s="1"/>
  <c r="P36" i="1"/>
  <c r="CQ36" i="1"/>
  <c r="CS35" i="1"/>
  <c r="CP35" i="1"/>
  <c r="O35" i="1" s="1"/>
  <c r="AB34" i="1"/>
  <c r="AB33" i="1"/>
  <c r="CR32" i="1"/>
  <c r="AD32" i="1"/>
  <c r="AB32" i="1" s="1"/>
  <c r="X31" i="1"/>
  <c r="CW88" i="3"/>
  <c r="CW87" i="3"/>
  <c r="CV72" i="3"/>
  <c r="CX72" i="3"/>
  <c r="CX65" i="3"/>
  <c r="CW65" i="3"/>
  <c r="CX57" i="3"/>
  <c r="CV57" i="3"/>
  <c r="DF43" i="3"/>
  <c r="DG43" i="3"/>
  <c r="DH43" i="3"/>
  <c r="DI43" i="3"/>
  <c r="DJ43" i="3" s="1"/>
  <c r="DH41" i="3"/>
  <c r="DI41" i="3"/>
  <c r="DJ41" i="3" s="1"/>
  <c r="DH37" i="3"/>
  <c r="DI37" i="3"/>
  <c r="DJ37" i="3" s="1"/>
  <c r="DF37" i="3"/>
  <c r="CS47" i="1"/>
  <c r="R47" i="1"/>
  <c r="CT46" i="1"/>
  <c r="CQ43" i="1"/>
  <c r="CT41" i="1"/>
  <c r="CT40" i="1"/>
  <c r="CS39" i="1"/>
  <c r="R39" i="1"/>
  <c r="CT38" i="1"/>
  <c r="CQ35" i="1"/>
  <c r="P32" i="1"/>
  <c r="AC93" i="1" s="1"/>
  <c r="AB28" i="1"/>
  <c r="Y28" i="1"/>
  <c r="CZ28" i="1"/>
  <c r="CW83" i="3"/>
  <c r="CX83" i="3"/>
  <c r="CX79" i="3"/>
  <c r="CX71" i="3"/>
  <c r="CX58" i="3"/>
  <c r="DI22" i="3"/>
  <c r="DJ22" i="3" s="1"/>
  <c r="DF22" i="3"/>
  <c r="DG22" i="3"/>
  <c r="DH22" i="3"/>
  <c r="DI6" i="3"/>
  <c r="DJ6" i="3" s="1"/>
  <c r="DF6" i="3"/>
  <c r="DG6" i="3"/>
  <c r="DH6" i="3"/>
  <c r="R33" i="1"/>
  <c r="CS33" i="1"/>
  <c r="X33" i="1"/>
  <c r="AB31" i="1"/>
  <c r="P31" i="1"/>
  <c r="CX87" i="3"/>
  <c r="CV81" i="3"/>
  <c r="CX81" i="3"/>
  <c r="CX78" i="3"/>
  <c r="CX55" i="3"/>
  <c r="DI26" i="3"/>
  <c r="DJ26" i="3" s="1"/>
  <c r="DF26" i="3"/>
  <c r="DG26" i="3"/>
  <c r="DH26" i="3"/>
  <c r="CV24" i="3"/>
  <c r="CX24" i="3"/>
  <c r="DI10" i="3"/>
  <c r="DF10" i="3"/>
  <c r="DJ10" i="3" s="1"/>
  <c r="DG10" i="3"/>
  <c r="CS30" i="1"/>
  <c r="R30" i="1"/>
  <c r="CS28" i="1"/>
  <c r="R28" i="1"/>
  <c r="CX69" i="3"/>
  <c r="CX61" i="3"/>
  <c r="CV49" i="3"/>
  <c r="CX49" i="3"/>
  <c r="DI46" i="3"/>
  <c r="DJ46" i="3" s="1"/>
  <c r="DF46" i="3"/>
  <c r="DG46" i="3"/>
  <c r="CV39" i="3"/>
  <c r="CX39" i="3"/>
  <c r="CV35" i="3"/>
  <c r="CX35" i="3"/>
  <c r="DI34" i="3"/>
  <c r="DF34" i="3"/>
  <c r="DJ34" i="3" s="1"/>
  <c r="DH34" i="3"/>
  <c r="DF33" i="3"/>
  <c r="DJ33" i="3" s="1"/>
  <c r="DG33" i="3"/>
  <c r="DH33" i="3"/>
  <c r="CV23" i="3"/>
  <c r="CX23" i="3"/>
  <c r="CV20" i="3"/>
  <c r="CX20" i="3"/>
  <c r="DI18" i="3"/>
  <c r="DF18" i="3"/>
  <c r="DJ18" i="3" s="1"/>
  <c r="DG18" i="3"/>
  <c r="DH18" i="3"/>
  <c r="DI12" i="3"/>
  <c r="DF12" i="3"/>
  <c r="DJ12" i="3" s="1"/>
  <c r="DI4" i="3"/>
  <c r="DF4" i="3"/>
  <c r="DJ4" i="3" s="1"/>
  <c r="DG4" i="3"/>
  <c r="DH4" i="3"/>
  <c r="CW74" i="3"/>
  <c r="CX53" i="3"/>
  <c r="CX51" i="3"/>
  <c r="DH50" i="3"/>
  <c r="DF48" i="3"/>
  <c r="DJ48" i="3" s="1"/>
  <c r="DI48" i="3"/>
  <c r="CV19" i="3"/>
  <c r="CX19" i="3"/>
  <c r="DH12" i="3"/>
  <c r="DH5" i="3"/>
  <c r="DI5" i="3"/>
  <c r="DF5" i="3"/>
  <c r="DJ5" i="3" s="1"/>
  <c r="DG5" i="3"/>
  <c r="CV44" i="3"/>
  <c r="CX44" i="3"/>
  <c r="DI42" i="3"/>
  <c r="DJ42" i="3" s="1"/>
  <c r="DF42" i="3"/>
  <c r="CV40" i="3"/>
  <c r="CX40" i="3"/>
  <c r="DI38" i="3"/>
  <c r="DJ38" i="3" s="1"/>
  <c r="DF38" i="3"/>
  <c r="CV36" i="3"/>
  <c r="CX36" i="3"/>
  <c r="DH15" i="3"/>
  <c r="DI15" i="3"/>
  <c r="DJ15" i="3" s="1"/>
  <c r="DH13" i="3"/>
  <c r="DI13" i="3"/>
  <c r="DF9" i="3"/>
  <c r="DJ9" i="3" s="1"/>
  <c r="DG9" i="3"/>
  <c r="DH1" i="3"/>
  <c r="DI1" i="3"/>
  <c r="DJ1" i="3" s="1"/>
  <c r="DH31" i="3"/>
  <c r="DI31" i="3"/>
  <c r="DJ31" i="3" s="1"/>
  <c r="DH29" i="3"/>
  <c r="DI29" i="3"/>
  <c r="DH25" i="3"/>
  <c r="DI25" i="3"/>
  <c r="DJ25" i="3" s="1"/>
  <c r="DH21" i="3"/>
  <c r="DI21" i="3"/>
  <c r="DJ21" i="3" s="1"/>
  <c r="DF17" i="3"/>
  <c r="DJ17" i="3" s="1"/>
  <c r="DG17" i="3"/>
  <c r="DH7" i="3"/>
  <c r="DI7" i="3"/>
  <c r="DF3" i="3"/>
  <c r="DJ3" i="3" s="1"/>
  <c r="DG3" i="3"/>
  <c r="AD26" i="1" l="1"/>
  <c r="Q93" i="1"/>
  <c r="GM143" i="1"/>
  <c r="GO143" i="1" s="1"/>
  <c r="DV125" i="1"/>
  <c r="DI148" i="1"/>
  <c r="DL148" i="1"/>
  <c r="DY125" i="1"/>
  <c r="GM137" i="1"/>
  <c r="GO137" i="1" s="1"/>
  <c r="DY26" i="1"/>
  <c r="DL93" i="1"/>
  <c r="P93" i="1"/>
  <c r="CE93" i="1"/>
  <c r="AC26" i="1"/>
  <c r="AD148" i="1"/>
  <c r="EA125" i="1"/>
  <c r="DN148" i="1"/>
  <c r="EB125" i="1"/>
  <c r="DO148" i="1"/>
  <c r="AJ26" i="1"/>
  <c r="W93" i="1"/>
  <c r="DH53" i="3"/>
  <c r="DI53" i="3"/>
  <c r="DF53" i="3"/>
  <c r="DG53" i="3"/>
  <c r="DJ53" i="3" s="1"/>
  <c r="DG20" i="3"/>
  <c r="DH20" i="3"/>
  <c r="DF20" i="3"/>
  <c r="DI20" i="3"/>
  <c r="DJ20" i="3" s="1"/>
  <c r="DF39" i="3"/>
  <c r="DG39" i="3"/>
  <c r="DH39" i="3"/>
  <c r="DI39" i="3"/>
  <c r="DJ39" i="3" s="1"/>
  <c r="DH69" i="3"/>
  <c r="DI69" i="3"/>
  <c r="DF69" i="3"/>
  <c r="DJ69" i="3" s="1"/>
  <c r="DG69" i="3"/>
  <c r="CP62" i="1"/>
  <c r="O62" i="1" s="1"/>
  <c r="GM62" i="1" s="1"/>
  <c r="FR62" i="1"/>
  <c r="CP44" i="1"/>
  <c r="O44" i="1" s="1"/>
  <c r="GM44" i="1" s="1"/>
  <c r="FR44" i="1"/>
  <c r="Y52" i="1"/>
  <c r="CZ52" i="1"/>
  <c r="CY52" i="1"/>
  <c r="X52" i="1"/>
  <c r="Y60" i="1"/>
  <c r="CZ60" i="1"/>
  <c r="CY60" i="1"/>
  <c r="X60" i="1"/>
  <c r="BZ26" i="1"/>
  <c r="AQ93" i="1"/>
  <c r="FR91" i="1"/>
  <c r="CP91" i="1"/>
  <c r="O91" i="1" s="1"/>
  <c r="GM91" i="1" s="1"/>
  <c r="FR37" i="1"/>
  <c r="CP37" i="1"/>
  <c r="O37" i="1" s="1"/>
  <c r="GM37" i="1" s="1"/>
  <c r="DF64" i="3"/>
  <c r="DH64" i="3"/>
  <c r="DI64" i="3"/>
  <c r="DG64" i="3"/>
  <c r="DJ64" i="3" s="1"/>
  <c r="GM88" i="1"/>
  <c r="GO88" i="1" s="1"/>
  <c r="EM26" i="1"/>
  <c r="P112" i="1"/>
  <c r="EM178" i="1"/>
  <c r="S133" i="1"/>
  <c r="DI82" i="3"/>
  <c r="DF82" i="3"/>
  <c r="DH82" i="3"/>
  <c r="DG82" i="3"/>
  <c r="DJ82" i="3" s="1"/>
  <c r="AI26" i="1"/>
  <c r="V93" i="1"/>
  <c r="AS148" i="1"/>
  <c r="CB125" i="1"/>
  <c r="AQ125" i="1"/>
  <c r="F158" i="1"/>
  <c r="X135" i="1"/>
  <c r="CY135" i="1"/>
  <c r="Y135" i="1"/>
  <c r="CZ135" i="1"/>
  <c r="DH49" i="3"/>
  <c r="DG49" i="3"/>
  <c r="DI49" i="3"/>
  <c r="DJ49" i="3" s="1"/>
  <c r="DF49" i="3"/>
  <c r="AE93" i="1"/>
  <c r="DF71" i="3"/>
  <c r="DJ71" i="3" s="1"/>
  <c r="DI71" i="3"/>
  <c r="DH71" i="3"/>
  <c r="DG71" i="3"/>
  <c r="DG72" i="3"/>
  <c r="DI72" i="3"/>
  <c r="DJ72" i="3" s="1"/>
  <c r="DF72" i="3"/>
  <c r="DH72" i="3"/>
  <c r="CP36" i="1"/>
  <c r="O36" i="1" s="1"/>
  <c r="GM36" i="1" s="1"/>
  <c r="FR36" i="1"/>
  <c r="DG74" i="3"/>
  <c r="DJ74" i="3" s="1"/>
  <c r="DH74" i="3"/>
  <c r="DI74" i="3"/>
  <c r="DF74" i="3"/>
  <c r="X57" i="1"/>
  <c r="CY57" i="1"/>
  <c r="CZ57" i="1"/>
  <c r="Y57" i="1"/>
  <c r="X66" i="1"/>
  <c r="GM66" i="1" s="1"/>
  <c r="Y66" i="1"/>
  <c r="CY66" i="1"/>
  <c r="CZ66" i="1"/>
  <c r="CP69" i="1"/>
  <c r="O69" i="1" s="1"/>
  <c r="BC26" i="1"/>
  <c r="F109" i="1"/>
  <c r="BC178" i="1"/>
  <c r="Y58" i="1"/>
  <c r="CY58" i="1"/>
  <c r="X58" i="1"/>
  <c r="CZ58" i="1"/>
  <c r="DI77" i="3"/>
  <c r="DF77" i="3"/>
  <c r="DJ77" i="3" s="1"/>
  <c r="DG77" i="3"/>
  <c r="DH77" i="3"/>
  <c r="FT26" i="1"/>
  <c r="EK93" i="1"/>
  <c r="GM76" i="1"/>
  <c r="GO76" i="1" s="1"/>
  <c r="GM78" i="1"/>
  <c r="CP58" i="1"/>
  <c r="O58" i="1" s="1"/>
  <c r="CP82" i="1"/>
  <c r="O82" i="1" s="1"/>
  <c r="FR82" i="1"/>
  <c r="AO26" i="1"/>
  <c r="F97" i="1"/>
  <c r="AO178" i="1"/>
  <c r="X88" i="1"/>
  <c r="Y88" i="1"/>
  <c r="CY88" i="1"/>
  <c r="CZ88" i="1"/>
  <c r="DI60" i="3"/>
  <c r="DF60" i="3"/>
  <c r="DJ60" i="3" s="1"/>
  <c r="DG60" i="3"/>
  <c r="DH60" i="3"/>
  <c r="CD26" i="1"/>
  <c r="AU93" i="1"/>
  <c r="DF67" i="3"/>
  <c r="DJ67" i="3" s="1"/>
  <c r="DG67" i="3"/>
  <c r="DH67" i="3"/>
  <c r="DI67" i="3"/>
  <c r="DG70" i="3"/>
  <c r="DI70" i="3"/>
  <c r="DF70" i="3"/>
  <c r="DJ70" i="3" s="1"/>
  <c r="DH70" i="3"/>
  <c r="CP130" i="1"/>
  <c r="O130" i="1" s="1"/>
  <c r="GM130" i="1" s="1"/>
  <c r="GO130" i="1" s="1"/>
  <c r="DF76" i="3"/>
  <c r="DJ76" i="3" s="1"/>
  <c r="DG76" i="3"/>
  <c r="DI76" i="3"/>
  <c r="DH76" i="3"/>
  <c r="GM86" i="1"/>
  <c r="X129" i="1"/>
  <c r="CY129" i="1"/>
  <c r="CZ129" i="1"/>
  <c r="Y129" i="1"/>
  <c r="GB125" i="1"/>
  <c r="ES148" i="1"/>
  <c r="W133" i="1"/>
  <c r="Y139" i="1"/>
  <c r="CZ139" i="1"/>
  <c r="CY139" i="1"/>
  <c r="X139" i="1"/>
  <c r="P173" i="1"/>
  <c r="EV125" i="1"/>
  <c r="X59" i="1"/>
  <c r="CY59" i="1"/>
  <c r="Y59" i="1"/>
  <c r="CZ59" i="1"/>
  <c r="BA26" i="1"/>
  <c r="F113" i="1"/>
  <c r="DF84" i="3"/>
  <c r="DJ84" i="3" s="1"/>
  <c r="DG84" i="3"/>
  <c r="DH84" i="3"/>
  <c r="DI84" i="3"/>
  <c r="CP139" i="1"/>
  <c r="O139" i="1" s="1"/>
  <c r="BC125" i="1"/>
  <c r="F164" i="1"/>
  <c r="X137" i="1"/>
  <c r="CY137" i="1"/>
  <c r="Y137" i="1"/>
  <c r="CZ137" i="1"/>
  <c r="GM146" i="1"/>
  <c r="EG125" i="1"/>
  <c r="P152" i="1"/>
  <c r="X128" i="1"/>
  <c r="EC148" i="1" s="1"/>
  <c r="CY128" i="1"/>
  <c r="DX148" i="1"/>
  <c r="CZ128" i="1"/>
  <c r="Y128" i="1"/>
  <c r="ED148" i="1" s="1"/>
  <c r="X132" i="1"/>
  <c r="CY132" i="1"/>
  <c r="CZ132" i="1"/>
  <c r="Y132" i="1"/>
  <c r="CG125" i="1"/>
  <c r="AX148" i="1"/>
  <c r="DG81" i="3"/>
  <c r="DH81" i="3"/>
  <c r="DF81" i="3"/>
  <c r="DI81" i="3"/>
  <c r="DJ81" i="3" s="1"/>
  <c r="DH58" i="3"/>
  <c r="DF58" i="3"/>
  <c r="DG58" i="3"/>
  <c r="DJ58" i="3" s="1"/>
  <c r="DI58" i="3"/>
  <c r="FR32" i="1"/>
  <c r="CP32" i="1"/>
  <c r="O32" i="1" s="1"/>
  <c r="GM32" i="1" s="1"/>
  <c r="X49" i="1"/>
  <c r="GM49" i="1" s="1"/>
  <c r="Y49" i="1"/>
  <c r="CY49" i="1"/>
  <c r="CZ49" i="1"/>
  <c r="CZ72" i="1"/>
  <c r="CY72" i="1"/>
  <c r="X72" i="1"/>
  <c r="Y72" i="1"/>
  <c r="FY26" i="1"/>
  <c r="EP93" i="1"/>
  <c r="Y56" i="1"/>
  <c r="CY56" i="1"/>
  <c r="X56" i="1"/>
  <c r="CZ56" i="1"/>
  <c r="EA26" i="1"/>
  <c r="DN93" i="1"/>
  <c r="X75" i="1"/>
  <c r="CY75" i="1"/>
  <c r="Y75" i="1"/>
  <c r="CZ75" i="1"/>
  <c r="CG93" i="1"/>
  <c r="X69" i="1"/>
  <c r="CY69" i="1"/>
  <c r="CZ69" i="1"/>
  <c r="Y69" i="1"/>
  <c r="FR53" i="1"/>
  <c r="CP53" i="1"/>
  <c r="O53" i="1" s="1"/>
  <c r="GM53" i="1" s="1"/>
  <c r="DF80" i="3"/>
  <c r="DJ80" i="3" s="1"/>
  <c r="DG80" i="3"/>
  <c r="DH80" i="3"/>
  <c r="DI80" i="3"/>
  <c r="X81" i="1"/>
  <c r="GM81" i="1" s="1"/>
  <c r="GO81" i="1" s="1"/>
  <c r="CY81" i="1"/>
  <c r="CZ81" i="1"/>
  <c r="Y81" i="1"/>
  <c r="DF52" i="3"/>
  <c r="DG52" i="3"/>
  <c r="DJ52" i="3" s="1"/>
  <c r="DH52" i="3"/>
  <c r="DI52" i="3"/>
  <c r="DG54" i="3"/>
  <c r="DI54" i="3"/>
  <c r="DF54" i="3"/>
  <c r="DJ54" i="3" s="1"/>
  <c r="DH54" i="3"/>
  <c r="GM129" i="1"/>
  <c r="GO129" i="1" s="1"/>
  <c r="DF19" i="3"/>
  <c r="DG19" i="3"/>
  <c r="DI19" i="3"/>
  <c r="DJ19" i="3" s="1"/>
  <c r="DH19" i="3"/>
  <c r="DF23" i="3"/>
  <c r="DG23" i="3"/>
  <c r="DI23" i="3"/>
  <c r="DJ23" i="3" s="1"/>
  <c r="DH23" i="3"/>
  <c r="DF35" i="3"/>
  <c r="DG35" i="3"/>
  <c r="DH35" i="3"/>
  <c r="DI35" i="3"/>
  <c r="DJ35" i="3" s="1"/>
  <c r="DF55" i="3"/>
  <c r="DJ55" i="3" s="1"/>
  <c r="DI55" i="3"/>
  <c r="DG55" i="3"/>
  <c r="DH55" i="3"/>
  <c r="DH87" i="3"/>
  <c r="DI87" i="3"/>
  <c r="DF87" i="3"/>
  <c r="DG87" i="3"/>
  <c r="DJ87" i="3" s="1"/>
  <c r="DG79" i="3"/>
  <c r="DH79" i="3"/>
  <c r="DF79" i="3"/>
  <c r="DJ79" i="3" s="1"/>
  <c r="DI79" i="3"/>
  <c r="DF57" i="3"/>
  <c r="DI57" i="3"/>
  <c r="DJ57" i="3" s="1"/>
  <c r="DG57" i="3"/>
  <c r="DH57" i="3"/>
  <c r="GM39" i="1"/>
  <c r="GO39" i="1" s="1"/>
  <c r="DI89" i="3"/>
  <c r="DF89" i="3"/>
  <c r="DJ89" i="3" s="1"/>
  <c r="DH89" i="3"/>
  <c r="DG89" i="3"/>
  <c r="CP29" i="1"/>
  <c r="O29" i="1" s="1"/>
  <c r="DU93" i="1"/>
  <c r="X43" i="1"/>
  <c r="GM43" i="1" s="1"/>
  <c r="GO43" i="1" s="1"/>
  <c r="CY43" i="1"/>
  <c r="Y43" i="1"/>
  <c r="CZ43" i="1"/>
  <c r="Y54" i="1"/>
  <c r="CY54" i="1"/>
  <c r="X54" i="1"/>
  <c r="GM54" i="1" s="1"/>
  <c r="GO54" i="1" s="1"/>
  <c r="CZ54" i="1"/>
  <c r="CP72" i="1"/>
  <c r="O72" i="1" s="1"/>
  <c r="EG26" i="1"/>
  <c r="P97" i="1"/>
  <c r="EG178" i="1"/>
  <c r="DW93" i="1"/>
  <c r="X35" i="1"/>
  <c r="GM35" i="1" s="1"/>
  <c r="GO35" i="1" s="1"/>
  <c r="CY35" i="1"/>
  <c r="Y35" i="1"/>
  <c r="ED93" i="1" s="1"/>
  <c r="CZ35" i="1"/>
  <c r="FR45" i="1"/>
  <c r="CP45" i="1"/>
  <c r="O45" i="1" s="1"/>
  <c r="GM45" i="1" s="1"/>
  <c r="BD26" i="1"/>
  <c r="F118" i="1"/>
  <c r="BD178" i="1"/>
  <c r="DH63" i="3"/>
  <c r="DI63" i="3"/>
  <c r="DJ63" i="3" s="1"/>
  <c r="DF63" i="3"/>
  <c r="DG63" i="3"/>
  <c r="CP57" i="1"/>
  <c r="O57" i="1" s="1"/>
  <c r="GM57" i="1" s="1"/>
  <c r="AH26" i="1"/>
  <c r="U93" i="1"/>
  <c r="GM30" i="1"/>
  <c r="GM50" i="1"/>
  <c r="GO50" i="1" s="1"/>
  <c r="CP51" i="1"/>
  <c r="O51" i="1" s="1"/>
  <c r="GM51" i="1" s="1"/>
  <c r="GO51" i="1" s="1"/>
  <c r="CP75" i="1"/>
  <c r="O75" i="1" s="1"/>
  <c r="GM75" i="1" s="1"/>
  <c r="FR75" i="1"/>
  <c r="GM68" i="1"/>
  <c r="GO68" i="1" s="1"/>
  <c r="DF59" i="3"/>
  <c r="DG59" i="3"/>
  <c r="DJ59" i="3" s="1"/>
  <c r="DH59" i="3"/>
  <c r="DI59" i="3"/>
  <c r="DI68" i="3"/>
  <c r="DF68" i="3"/>
  <c r="DJ68" i="3" s="1"/>
  <c r="DG68" i="3"/>
  <c r="DH68" i="3"/>
  <c r="GM134" i="1"/>
  <c r="GO134" i="1" s="1"/>
  <c r="BD125" i="1"/>
  <c r="F173" i="1"/>
  <c r="GM77" i="1"/>
  <c r="GO77" i="1" s="1"/>
  <c r="AJ148" i="1"/>
  <c r="X130" i="1"/>
  <c r="CY130" i="1"/>
  <c r="CZ130" i="1"/>
  <c r="Y130" i="1"/>
  <c r="CP132" i="1"/>
  <c r="O132" i="1" s="1"/>
  <c r="DU148" i="1"/>
  <c r="DF88" i="3"/>
  <c r="DG88" i="3"/>
  <c r="DJ88" i="3" s="1"/>
  <c r="DH88" i="3"/>
  <c r="DI88" i="3"/>
  <c r="AO125" i="1"/>
  <c r="F152" i="1"/>
  <c r="X89" i="1"/>
  <c r="GM89" i="1" s="1"/>
  <c r="GO89" i="1" s="1"/>
  <c r="CY89" i="1"/>
  <c r="CZ89" i="1"/>
  <c r="Y89" i="1"/>
  <c r="CP127" i="1"/>
  <c r="O127" i="1" s="1"/>
  <c r="CP131" i="1"/>
  <c r="O131" i="1" s="1"/>
  <c r="T133" i="1"/>
  <c r="FR125" i="1"/>
  <c r="EI148" i="1"/>
  <c r="GM142" i="1"/>
  <c r="GO142" i="1" s="1"/>
  <c r="GM140" i="1"/>
  <c r="GO140" i="1" s="1"/>
  <c r="GM145" i="1"/>
  <c r="GM144" i="1"/>
  <c r="GO144" i="1" s="1"/>
  <c r="CP138" i="1"/>
  <c r="O138" i="1" s="1"/>
  <c r="EK125" i="1"/>
  <c r="P165" i="1"/>
  <c r="AF148" i="1"/>
  <c r="X138" i="1"/>
  <c r="CY138" i="1"/>
  <c r="Y138" i="1"/>
  <c r="CZ138" i="1"/>
  <c r="FQ125" i="1"/>
  <c r="EH148" i="1"/>
  <c r="GA148" i="1"/>
  <c r="FY148" i="1"/>
  <c r="DZ125" i="1"/>
  <c r="DM148" i="1"/>
  <c r="X141" i="1"/>
  <c r="GM141" i="1" s="1"/>
  <c r="GO141" i="1" s="1"/>
  <c r="CY141" i="1"/>
  <c r="Y141" i="1"/>
  <c r="CZ141" i="1"/>
  <c r="DG24" i="3"/>
  <c r="DH24" i="3"/>
  <c r="DF24" i="3"/>
  <c r="DI24" i="3"/>
  <c r="DJ24" i="3" s="1"/>
  <c r="DH65" i="3"/>
  <c r="DF65" i="3"/>
  <c r="DG65" i="3"/>
  <c r="DJ65" i="3" s="1"/>
  <c r="DI65" i="3"/>
  <c r="CZ67" i="1"/>
  <c r="X67" i="1"/>
  <c r="GM67" i="1" s="1"/>
  <c r="CY67" i="1"/>
  <c r="Y67" i="1"/>
  <c r="DV26" i="1"/>
  <c r="DI93" i="1"/>
  <c r="GO28" i="1"/>
  <c r="FR63" i="1"/>
  <c r="CP63" i="1"/>
  <c r="O63" i="1" s="1"/>
  <c r="GM63" i="1" s="1"/>
  <c r="CP52" i="1"/>
  <c r="O52" i="1" s="1"/>
  <c r="GM52" i="1" s="1"/>
  <c r="GM80" i="1"/>
  <c r="GO80" i="1" s="1"/>
  <c r="P133" i="1"/>
  <c r="CP133" i="1" s="1"/>
  <c r="O133" i="1" s="1"/>
  <c r="Q133" i="1"/>
  <c r="R133" i="1"/>
  <c r="AE148" i="1" s="1"/>
  <c r="EU125" i="1"/>
  <c r="P164" i="1"/>
  <c r="DW148" i="1"/>
  <c r="BB125" i="1"/>
  <c r="F161" i="1"/>
  <c r="EI26" i="1"/>
  <c r="P103" i="1"/>
  <c r="DG36" i="3"/>
  <c r="DH36" i="3"/>
  <c r="DI36" i="3"/>
  <c r="DJ36" i="3" s="1"/>
  <c r="DF36" i="3"/>
  <c r="DG40" i="3"/>
  <c r="DH40" i="3"/>
  <c r="DI40" i="3"/>
  <c r="DJ40" i="3" s="1"/>
  <c r="DF40" i="3"/>
  <c r="DG44" i="3"/>
  <c r="DH44" i="3"/>
  <c r="DF44" i="3"/>
  <c r="DI44" i="3"/>
  <c r="DJ44" i="3" s="1"/>
  <c r="DH51" i="3"/>
  <c r="DG51" i="3"/>
  <c r="DI51" i="3"/>
  <c r="DJ51" i="3" s="1"/>
  <c r="DF51" i="3"/>
  <c r="DH61" i="3"/>
  <c r="DI61" i="3"/>
  <c r="DF61" i="3"/>
  <c r="DJ61" i="3" s="1"/>
  <c r="DG61" i="3"/>
  <c r="DH78" i="3"/>
  <c r="DI78" i="3"/>
  <c r="DF78" i="3"/>
  <c r="DJ78" i="3" s="1"/>
  <c r="DG78" i="3"/>
  <c r="FR31" i="1"/>
  <c r="CP31" i="1"/>
  <c r="O31" i="1" s="1"/>
  <c r="GM31" i="1" s="1"/>
  <c r="DG83" i="3"/>
  <c r="DJ83" i="3" s="1"/>
  <c r="DH83" i="3"/>
  <c r="DI83" i="3"/>
  <c r="DF83" i="3"/>
  <c r="GM42" i="1"/>
  <c r="GO42" i="1" s="1"/>
  <c r="CZ48" i="1"/>
  <c r="X48" i="1"/>
  <c r="GM48" i="1" s="1"/>
  <c r="CY48" i="1"/>
  <c r="AF93" i="1"/>
  <c r="Y48" i="1"/>
  <c r="AL93" i="1" s="1"/>
  <c r="DH90" i="3"/>
  <c r="DI90" i="3"/>
  <c r="DG90" i="3"/>
  <c r="DF90" i="3"/>
  <c r="DJ90" i="3" s="1"/>
  <c r="GM34" i="1"/>
  <c r="GO34" i="1" s="1"/>
  <c r="DF27" i="3"/>
  <c r="DG27" i="3"/>
  <c r="DI27" i="3"/>
  <c r="DJ27" i="3" s="1"/>
  <c r="DH27" i="3"/>
  <c r="CP56" i="1"/>
  <c r="O56" i="1" s="1"/>
  <c r="GM56" i="1" s="1"/>
  <c r="DF86" i="3"/>
  <c r="DG86" i="3"/>
  <c r="DH86" i="3"/>
  <c r="DI86" i="3"/>
  <c r="DJ86" i="3" s="1"/>
  <c r="GM33" i="1"/>
  <c r="GM59" i="1"/>
  <c r="ET26" i="1"/>
  <c r="ET178" i="1"/>
  <c r="P106" i="1"/>
  <c r="DI85" i="3"/>
  <c r="DF85" i="3"/>
  <c r="DJ85" i="3" s="1"/>
  <c r="DH85" i="3"/>
  <c r="DG85" i="3"/>
  <c r="DX93" i="1"/>
  <c r="BY93" i="1"/>
  <c r="CH93" i="1" s="1"/>
  <c r="CP60" i="1"/>
  <c r="O60" i="1" s="1"/>
  <c r="GM60" i="1" s="1"/>
  <c r="GO60" i="1" s="1"/>
  <c r="CP83" i="1"/>
  <c r="O83" i="1" s="1"/>
  <c r="GM83" i="1" s="1"/>
  <c r="FR83" i="1"/>
  <c r="AG26" i="1"/>
  <c r="T93" i="1"/>
  <c r="X64" i="1"/>
  <c r="GM64" i="1" s="1"/>
  <c r="GO64" i="1" s="1"/>
  <c r="CY64" i="1"/>
  <c r="CZ64" i="1"/>
  <c r="Y64" i="1"/>
  <c r="FR70" i="1"/>
  <c r="CP70" i="1"/>
  <c r="O70" i="1" s="1"/>
  <c r="GM70" i="1" s="1"/>
  <c r="X82" i="1"/>
  <c r="CY82" i="1"/>
  <c r="Y82" i="1"/>
  <c r="CZ82" i="1"/>
  <c r="GM85" i="1"/>
  <c r="GO85" i="1" s="1"/>
  <c r="EB26" i="1"/>
  <c r="DO93" i="1"/>
  <c r="FR74" i="1"/>
  <c r="CP74" i="1"/>
  <c r="O74" i="1" s="1"/>
  <c r="GM74" i="1" s="1"/>
  <c r="DG62" i="3"/>
  <c r="DI62" i="3"/>
  <c r="DF62" i="3"/>
  <c r="DJ62" i="3" s="1"/>
  <c r="DH62" i="3"/>
  <c r="CP90" i="1"/>
  <c r="O90" i="1" s="1"/>
  <c r="GM90" i="1" s="1"/>
  <c r="FR90" i="1"/>
  <c r="DG66" i="3"/>
  <c r="DF66" i="3"/>
  <c r="DJ66" i="3" s="1"/>
  <c r="DH66" i="3"/>
  <c r="DI66" i="3"/>
  <c r="X131" i="1"/>
  <c r="CY131" i="1"/>
  <c r="Y131" i="1"/>
  <c r="CZ131" i="1"/>
  <c r="CP135" i="1"/>
  <c r="O135" i="1" s="1"/>
  <c r="GM135" i="1" s="1"/>
  <c r="GO135" i="1" s="1"/>
  <c r="EU26" i="1"/>
  <c r="P109" i="1"/>
  <c r="EU178" i="1"/>
  <c r="X134" i="1"/>
  <c r="CY134" i="1"/>
  <c r="Y134" i="1"/>
  <c r="CZ134" i="1"/>
  <c r="EM125" i="1"/>
  <c r="P167" i="1"/>
  <c r="DI56" i="3"/>
  <c r="DF56" i="3"/>
  <c r="DJ56" i="3" s="1"/>
  <c r="DG56" i="3"/>
  <c r="DH56" i="3"/>
  <c r="BB26" i="1"/>
  <c r="F106" i="1"/>
  <c r="BB178" i="1"/>
  <c r="AI148" i="1"/>
  <c r="AG148" i="1"/>
  <c r="Y143" i="1"/>
  <c r="CZ143" i="1"/>
  <c r="CY143" i="1"/>
  <c r="X143" i="1"/>
  <c r="GB26" i="1"/>
  <c r="ES93" i="1"/>
  <c r="DZ26" i="1"/>
  <c r="DM93" i="1"/>
  <c r="GX133" i="1"/>
  <c r="CJ148" i="1" s="1"/>
  <c r="CI148" i="1"/>
  <c r="BY125" i="1"/>
  <c r="AP148" i="1"/>
  <c r="DI73" i="3"/>
  <c r="DG73" i="3"/>
  <c r="DJ73" i="3" s="1"/>
  <c r="DH73" i="3"/>
  <c r="DF73" i="3"/>
  <c r="EV26" i="1"/>
  <c r="P118" i="1"/>
  <c r="EV178" i="1"/>
  <c r="U133" i="1"/>
  <c r="AH148" i="1" s="1"/>
  <c r="AY93" i="1" l="1"/>
  <c r="CH26" i="1"/>
  <c r="ED26" i="1"/>
  <c r="DQ93" i="1"/>
  <c r="AE125" i="1"/>
  <c r="R148" i="1"/>
  <c r="AL26" i="1"/>
  <c r="Y93" i="1"/>
  <c r="BA148" i="1"/>
  <c r="CJ125" i="1"/>
  <c r="AH125" i="1"/>
  <c r="U148" i="1"/>
  <c r="AF125" i="1"/>
  <c r="S148" i="1"/>
  <c r="EI125" i="1"/>
  <c r="P158" i="1"/>
  <c r="DU125" i="1"/>
  <c r="FZ148" i="1"/>
  <c r="DH148" i="1"/>
  <c r="FW148" i="1"/>
  <c r="FX148" i="1"/>
  <c r="AO22" i="1"/>
  <c r="F182" i="1"/>
  <c r="AO208" i="1"/>
  <c r="AD125" i="1"/>
  <c r="Q148" i="1"/>
  <c r="CF93" i="1"/>
  <c r="CI125" i="1"/>
  <c r="AZ148" i="1"/>
  <c r="ES26" i="1"/>
  <c r="P113" i="1"/>
  <c r="ES178" i="1"/>
  <c r="BB22" i="1"/>
  <c r="F191" i="1"/>
  <c r="BB208" i="1"/>
  <c r="EC93" i="1"/>
  <c r="FQ93" i="1"/>
  <c r="GA125" i="1"/>
  <c r="ER148" i="1"/>
  <c r="GM127" i="1"/>
  <c r="AB148" i="1"/>
  <c r="GM132" i="1"/>
  <c r="GO132" i="1" s="1"/>
  <c r="U26" i="1"/>
  <c r="F115" i="1"/>
  <c r="U178" i="1"/>
  <c r="DW26" i="1"/>
  <c r="DJ93" i="1"/>
  <c r="GM72" i="1"/>
  <c r="GO72" i="1" s="1"/>
  <c r="ES125" i="1"/>
  <c r="P168" i="1"/>
  <c r="AU26" i="1"/>
  <c r="F112" i="1"/>
  <c r="AU178" i="1"/>
  <c r="GM58" i="1"/>
  <c r="CA93" i="1" s="1"/>
  <c r="AE26" i="1"/>
  <c r="R93" i="1"/>
  <c r="AS125" i="1"/>
  <c r="F165" i="1"/>
  <c r="AS178" i="1"/>
  <c r="EM22" i="1"/>
  <c r="P197" i="1"/>
  <c r="EM208" i="1"/>
  <c r="AQ26" i="1"/>
  <c r="F103" i="1"/>
  <c r="AQ178" i="1"/>
  <c r="AI125" i="1"/>
  <c r="V148" i="1"/>
  <c r="BY26" i="1"/>
  <c r="CI93" i="1"/>
  <c r="AP93" i="1"/>
  <c r="ET22" i="1"/>
  <c r="P191" i="1"/>
  <c r="ET208" i="1"/>
  <c r="DI26" i="1"/>
  <c r="P105" i="1"/>
  <c r="DI178" i="1"/>
  <c r="BD22" i="1"/>
  <c r="BD208" i="1"/>
  <c r="F203" i="1"/>
  <c r="ED125" i="1"/>
  <c r="DQ148" i="1"/>
  <c r="GM82" i="1"/>
  <c r="EK26" i="1"/>
  <c r="P110" i="1"/>
  <c r="EK178" i="1"/>
  <c r="X133" i="1"/>
  <c r="AK148" i="1" s="1"/>
  <c r="CY133" i="1"/>
  <c r="CZ133" i="1"/>
  <c r="Y133" i="1"/>
  <c r="AL148" i="1" s="1"/>
  <c r="W26" i="1"/>
  <c r="F117" i="1"/>
  <c r="DO125" i="1"/>
  <c r="P172" i="1"/>
  <c r="EU22" i="1"/>
  <c r="P194" i="1"/>
  <c r="EU208" i="1"/>
  <c r="DO26" i="1"/>
  <c r="P117" i="1"/>
  <c r="DO178" i="1"/>
  <c r="DX26" i="1"/>
  <c r="DK93" i="1"/>
  <c r="EI178" i="1"/>
  <c r="P170" i="1"/>
  <c r="DM125" i="1"/>
  <c r="EH125" i="1"/>
  <c r="P157" i="1"/>
  <c r="DT148" i="1"/>
  <c r="AK93" i="1"/>
  <c r="EG22" i="1"/>
  <c r="P182" i="1"/>
  <c r="EG208" i="1"/>
  <c r="FX93" i="1"/>
  <c r="DU26" i="1"/>
  <c r="DH93" i="1"/>
  <c r="FW93" i="1"/>
  <c r="FZ93" i="1"/>
  <c r="EP26" i="1"/>
  <c r="P100" i="1"/>
  <c r="EP178" i="1"/>
  <c r="AX125" i="1"/>
  <c r="F155" i="1"/>
  <c r="DK148" i="1"/>
  <c r="DX125" i="1"/>
  <c r="GM139" i="1"/>
  <c r="GO139" i="1" s="1"/>
  <c r="GM69" i="1"/>
  <c r="GO69" i="1" s="1"/>
  <c r="V26" i="1"/>
  <c r="F116" i="1"/>
  <c r="V178" i="1"/>
  <c r="DN125" i="1"/>
  <c r="P171" i="1"/>
  <c r="CE26" i="1"/>
  <c r="AV93" i="1"/>
  <c r="DL26" i="1"/>
  <c r="DL178" i="1"/>
  <c r="P114" i="1"/>
  <c r="DL125" i="1"/>
  <c r="P169" i="1"/>
  <c r="F105" i="1"/>
  <c r="Q26" i="1"/>
  <c r="Q178" i="1"/>
  <c r="EV22" i="1"/>
  <c r="EV208" i="1"/>
  <c r="P203" i="1"/>
  <c r="FY125" i="1"/>
  <c r="EP148" i="1"/>
  <c r="AC148" i="1"/>
  <c r="AJ125" i="1"/>
  <c r="W148" i="1"/>
  <c r="DN26" i="1"/>
  <c r="P116" i="1"/>
  <c r="DN178" i="1"/>
  <c r="EC125" i="1"/>
  <c r="DP148" i="1"/>
  <c r="AP125" i="1"/>
  <c r="F157" i="1"/>
  <c r="DM26" i="1"/>
  <c r="P115" i="1"/>
  <c r="DM178" i="1"/>
  <c r="T148" i="1"/>
  <c r="AG125" i="1"/>
  <c r="T26" i="1"/>
  <c r="F114" i="1"/>
  <c r="T178" i="1"/>
  <c r="AF26" i="1"/>
  <c r="S93" i="1"/>
  <c r="DW125" i="1"/>
  <c r="DJ148" i="1"/>
  <c r="CC93" i="1"/>
  <c r="GM138" i="1"/>
  <c r="GO138" i="1" s="1"/>
  <c r="GM131" i="1"/>
  <c r="GO131" i="1" s="1"/>
  <c r="GM128" i="1"/>
  <c r="AB93" i="1"/>
  <c r="GM29" i="1"/>
  <c r="DT93" i="1"/>
  <c r="CG26" i="1"/>
  <c r="AX93" i="1"/>
  <c r="BC22" i="1"/>
  <c r="BC208" i="1"/>
  <c r="F194" i="1"/>
  <c r="P26" i="1"/>
  <c r="F96" i="1"/>
  <c r="DI125" i="1"/>
  <c r="P160" i="1"/>
  <c r="X148" i="1" l="1"/>
  <c r="AK125" i="1"/>
  <c r="CA26" i="1"/>
  <c r="AR93" i="1"/>
  <c r="AL125" i="1"/>
  <c r="Y148" i="1"/>
  <c r="AB26" i="1"/>
  <c r="O93" i="1"/>
  <c r="W125" i="1"/>
  <c r="F172" i="1"/>
  <c r="AV26" i="1"/>
  <c r="F98" i="1"/>
  <c r="V22" i="1"/>
  <c r="F201" i="1"/>
  <c r="V208" i="1"/>
  <c r="GM133" i="1"/>
  <c r="GO133" i="1" s="1"/>
  <c r="Q125" i="1"/>
  <c r="F160" i="1"/>
  <c r="S125" i="1"/>
  <c r="F163" i="1"/>
  <c r="BC18" i="1"/>
  <c r="F224" i="1"/>
  <c r="DJ125" i="1"/>
  <c r="P162" i="1"/>
  <c r="T125" i="1"/>
  <c r="F169" i="1"/>
  <c r="DN22" i="1"/>
  <c r="DN208" i="1"/>
  <c r="P201" i="1"/>
  <c r="EP22" i="1"/>
  <c r="P185" i="1"/>
  <c r="EP208" i="1"/>
  <c r="FW26" i="1"/>
  <c r="EN93" i="1"/>
  <c r="EG18" i="1"/>
  <c r="P212" i="1"/>
  <c r="DT125" i="1"/>
  <c r="DG148" i="1"/>
  <c r="DO22" i="1"/>
  <c r="P202" i="1"/>
  <c r="DO208" i="1"/>
  <c r="W178" i="1"/>
  <c r="DI22" i="1"/>
  <c r="P190" i="1"/>
  <c r="DI208" i="1"/>
  <c r="ET18" i="1"/>
  <c r="P221" i="1"/>
  <c r="CI26" i="1"/>
  <c r="AZ93" i="1"/>
  <c r="AQ22" i="1"/>
  <c r="F188" i="1"/>
  <c r="AQ208" i="1"/>
  <c r="AU22" i="1"/>
  <c r="F197" i="1"/>
  <c r="AU208" i="1"/>
  <c r="U22" i="1"/>
  <c r="U208" i="1"/>
  <c r="F200" i="1"/>
  <c r="AB125" i="1"/>
  <c r="O148" i="1"/>
  <c r="EH93" i="1"/>
  <c r="FQ26" i="1"/>
  <c r="GA93" i="1"/>
  <c r="F159" i="1"/>
  <c r="AZ125" i="1"/>
  <c r="EO148" i="1"/>
  <c r="FX125" i="1"/>
  <c r="R125" i="1"/>
  <c r="F162" i="1"/>
  <c r="CC26" i="1"/>
  <c r="AT93" i="1"/>
  <c r="Q22" i="1"/>
  <c r="Q208" i="1"/>
  <c r="F190" i="1"/>
  <c r="FZ26" i="1"/>
  <c r="EQ93" i="1"/>
  <c r="FX26" i="1"/>
  <c r="EO93" i="1"/>
  <c r="EU18" i="1"/>
  <c r="P224" i="1"/>
  <c r="EK22" i="1"/>
  <c r="EK208" i="1"/>
  <c r="P195" i="1"/>
  <c r="E16" i="2" s="1"/>
  <c r="AP26" i="1"/>
  <c r="F102" i="1"/>
  <c r="AP178" i="1"/>
  <c r="EM18" i="1"/>
  <c r="P227" i="1"/>
  <c r="FZ125" i="1"/>
  <c r="EQ148" i="1"/>
  <c r="GO128" i="1"/>
  <c r="FU148" i="1" s="1"/>
  <c r="FS148" i="1"/>
  <c r="T22" i="1"/>
  <c r="F199" i="1"/>
  <c r="T208" i="1"/>
  <c r="DM22" i="1"/>
  <c r="P200" i="1"/>
  <c r="DM208" i="1"/>
  <c r="EV18" i="1"/>
  <c r="P233" i="1"/>
  <c r="DL22" i="1"/>
  <c r="P199" i="1"/>
  <c r="DL208" i="1"/>
  <c r="R26" i="1"/>
  <c r="F107" i="1"/>
  <c r="R178" i="1"/>
  <c r="CA148" i="1"/>
  <c r="GO127" i="1"/>
  <c r="CC148" i="1" s="1"/>
  <c r="EC26" i="1"/>
  <c r="DP93" i="1"/>
  <c r="ES22" i="1"/>
  <c r="P198" i="1"/>
  <c r="H16" i="2" s="1"/>
  <c r="ES208" i="1"/>
  <c r="AO18" i="1"/>
  <c r="F212" i="1"/>
  <c r="FW125" i="1"/>
  <c r="EN148" i="1"/>
  <c r="BA125" i="1"/>
  <c r="F168" i="1"/>
  <c r="BA178" i="1"/>
  <c r="AX26" i="1"/>
  <c r="F100" i="1"/>
  <c r="AX178" i="1"/>
  <c r="AK26" i="1"/>
  <c r="X93" i="1"/>
  <c r="DQ125" i="1"/>
  <c r="P175" i="1"/>
  <c r="DT26" i="1"/>
  <c r="DG93" i="1"/>
  <c r="P148" i="1"/>
  <c r="CE148" i="1"/>
  <c r="CF148" i="1"/>
  <c r="AC125" i="1"/>
  <c r="CH148" i="1"/>
  <c r="DK125" i="1"/>
  <c r="P163" i="1"/>
  <c r="DH26" i="1"/>
  <c r="P96" i="1"/>
  <c r="DH178" i="1"/>
  <c r="EI22" i="1"/>
  <c r="P188" i="1"/>
  <c r="EI208" i="1"/>
  <c r="GO29" i="1"/>
  <c r="FU93" i="1" s="1"/>
  <c r="FS93" i="1"/>
  <c r="S26" i="1"/>
  <c r="F108" i="1"/>
  <c r="S178" i="1"/>
  <c r="DP125" i="1"/>
  <c r="P174" i="1"/>
  <c r="EP125" i="1"/>
  <c r="P155" i="1"/>
  <c r="DK26" i="1"/>
  <c r="P108" i="1"/>
  <c r="DK178" i="1"/>
  <c r="BD18" i="1"/>
  <c r="F233" i="1"/>
  <c r="V125" i="1"/>
  <c r="F171" i="1"/>
  <c r="AS22" i="1"/>
  <c r="AS208" i="1"/>
  <c r="F195" i="1"/>
  <c r="T16" i="2" s="1"/>
  <c r="DJ26" i="1"/>
  <c r="P107" i="1"/>
  <c r="DJ178" i="1"/>
  <c r="ER125" i="1"/>
  <c r="P159" i="1"/>
  <c r="BB18" i="1"/>
  <c r="F221" i="1"/>
  <c r="CF26" i="1"/>
  <c r="AW93" i="1"/>
  <c r="DH125" i="1"/>
  <c r="P151" i="1"/>
  <c r="U125" i="1"/>
  <c r="F170" i="1"/>
  <c r="Y26" i="1"/>
  <c r="F120" i="1"/>
  <c r="Y178" i="1"/>
  <c r="DQ26" i="1"/>
  <c r="P120" i="1"/>
  <c r="DQ178" i="1"/>
  <c r="AY26" i="1"/>
  <c r="F101" i="1"/>
  <c r="F99" i="1" l="1"/>
  <c r="AW26" i="1"/>
  <c r="DK22" i="1"/>
  <c r="P193" i="1"/>
  <c r="DK208" i="1"/>
  <c r="EI18" i="1"/>
  <c r="P218" i="1"/>
  <c r="CH125" i="1"/>
  <c r="AY148" i="1"/>
  <c r="DP26" i="1"/>
  <c r="P119" i="1"/>
  <c r="DP178" i="1"/>
  <c r="R22" i="1"/>
  <c r="F192" i="1"/>
  <c r="R208" i="1"/>
  <c r="EQ125" i="1"/>
  <c r="P156" i="1"/>
  <c r="AP22" i="1"/>
  <c r="F187" i="1"/>
  <c r="V16" i="2" s="1"/>
  <c r="AP208" i="1"/>
  <c r="EK18" i="1"/>
  <c r="P225" i="1"/>
  <c r="P99" i="1"/>
  <c r="EO26" i="1"/>
  <c r="EO178" i="1"/>
  <c r="EO125" i="1"/>
  <c r="P154" i="1"/>
  <c r="V18" i="1"/>
  <c r="F231" i="1"/>
  <c r="O26" i="1"/>
  <c r="F95" i="1"/>
  <c r="O178" i="1"/>
  <c r="AR26" i="1"/>
  <c r="F121" i="1"/>
  <c r="Y22" i="1"/>
  <c r="Y208" i="1"/>
  <c r="F205" i="1"/>
  <c r="DG26" i="1"/>
  <c r="P95" i="1"/>
  <c r="DG178" i="1"/>
  <c r="X26" i="1"/>
  <c r="F119" i="1"/>
  <c r="X178" i="1"/>
  <c r="P153" i="1"/>
  <c r="EN125" i="1"/>
  <c r="ES18" i="1"/>
  <c r="P228" i="1"/>
  <c r="Q18" i="1"/>
  <c r="F220" i="1"/>
  <c r="EH26" i="1"/>
  <c r="EH178" i="1"/>
  <c r="P102" i="1"/>
  <c r="U18" i="1"/>
  <c r="F230" i="1"/>
  <c r="W22" i="1"/>
  <c r="W208" i="1"/>
  <c r="F202" i="1"/>
  <c r="DG125" i="1"/>
  <c r="P150" i="1"/>
  <c r="EN26" i="1"/>
  <c r="P98" i="1"/>
  <c r="EN178" i="1"/>
  <c r="F151" i="1"/>
  <c r="P125" i="1"/>
  <c r="P178" i="1"/>
  <c r="DM18" i="1"/>
  <c r="P230" i="1"/>
  <c r="DQ22" i="1"/>
  <c r="DQ208" i="1"/>
  <c r="P205" i="1"/>
  <c r="DJ22" i="1"/>
  <c r="P192" i="1"/>
  <c r="DJ208" i="1"/>
  <c r="AS18" i="1"/>
  <c r="F225" i="1"/>
  <c r="FS26" i="1"/>
  <c r="EJ93" i="1"/>
  <c r="CF125" i="1"/>
  <c r="AW148" i="1"/>
  <c r="BA22" i="1"/>
  <c r="BA208" i="1"/>
  <c r="F198" i="1"/>
  <c r="W16" i="2" s="1"/>
  <c r="CC125" i="1"/>
  <c r="AT148" i="1"/>
  <c r="FS125" i="1"/>
  <c r="EJ148" i="1"/>
  <c r="EQ26" i="1"/>
  <c r="P101" i="1"/>
  <c r="EQ178" i="1"/>
  <c r="O125" i="1"/>
  <c r="F150" i="1"/>
  <c r="AZ26" i="1"/>
  <c r="F104" i="1"/>
  <c r="AZ178" i="1"/>
  <c r="DI18" i="1"/>
  <c r="P220" i="1"/>
  <c r="DO18" i="1"/>
  <c r="P232" i="1"/>
  <c r="F175" i="1"/>
  <c r="Y125" i="1"/>
  <c r="S22" i="1"/>
  <c r="S208" i="1"/>
  <c r="F193" i="1"/>
  <c r="Y16" i="2" s="1"/>
  <c r="FU26" i="1"/>
  <c r="EL93" i="1"/>
  <c r="DH22" i="1"/>
  <c r="P181" i="1"/>
  <c r="DH208" i="1"/>
  <c r="CE125" i="1"/>
  <c r="AV148" i="1"/>
  <c r="AX22" i="1"/>
  <c r="AX208" i="1"/>
  <c r="F185" i="1"/>
  <c r="CA125" i="1"/>
  <c r="AR148" i="1"/>
  <c r="DL18" i="1"/>
  <c r="P229" i="1"/>
  <c r="T18" i="1"/>
  <c r="F229" i="1"/>
  <c r="EL148" i="1"/>
  <c r="FU125" i="1"/>
  <c r="AT26" i="1"/>
  <c r="F111" i="1"/>
  <c r="GA26" i="1"/>
  <c r="ER93" i="1"/>
  <c r="AU18" i="1"/>
  <c r="F227" i="1"/>
  <c r="AQ18" i="1"/>
  <c r="F218" i="1"/>
  <c r="EP18" i="1"/>
  <c r="P215" i="1"/>
  <c r="DN18" i="1"/>
  <c r="P231" i="1"/>
  <c r="X125" i="1"/>
  <c r="F174" i="1"/>
  <c r="EL125" i="1" l="1"/>
  <c r="P166" i="1"/>
  <c r="R18" i="1"/>
  <c r="F222" i="1"/>
  <c r="AR125" i="1"/>
  <c r="F176" i="1"/>
  <c r="AW125" i="1"/>
  <c r="F154" i="1"/>
  <c r="EH22" i="1"/>
  <c r="EH208" i="1"/>
  <c r="P187" i="1"/>
  <c r="G16" i="2" s="1"/>
  <c r="X22" i="1"/>
  <c r="F204" i="1"/>
  <c r="X208" i="1"/>
  <c r="Y18" i="1"/>
  <c r="F235" i="1"/>
  <c r="AW178" i="1"/>
  <c r="AX18" i="1"/>
  <c r="F215" i="1"/>
  <c r="W18" i="1"/>
  <c r="F232" i="1"/>
  <c r="AV125" i="1"/>
  <c r="F153" i="1"/>
  <c r="AV178" i="1"/>
  <c r="S18" i="1"/>
  <c r="F223" i="1"/>
  <c r="AZ22" i="1"/>
  <c r="AZ208" i="1"/>
  <c r="F189" i="1"/>
  <c r="EJ125" i="1"/>
  <c r="P176" i="1"/>
  <c r="EN22" i="1"/>
  <c r="P183" i="1"/>
  <c r="EN208" i="1"/>
  <c r="O22" i="1"/>
  <c r="F180" i="1"/>
  <c r="O208" i="1"/>
  <c r="EO22" i="1"/>
  <c r="P184" i="1"/>
  <c r="EO208" i="1"/>
  <c r="AY125" i="1"/>
  <c r="F156" i="1"/>
  <c r="AY178" i="1"/>
  <c r="DK18" i="1"/>
  <c r="P223" i="1"/>
  <c r="DH18" i="1"/>
  <c r="P211" i="1"/>
  <c r="AT125" i="1"/>
  <c r="F166" i="1"/>
  <c r="DG22" i="1"/>
  <c r="P180" i="1"/>
  <c r="DG208" i="1"/>
  <c r="ER26" i="1"/>
  <c r="P104" i="1"/>
  <c r="ER178" i="1"/>
  <c r="AT178" i="1"/>
  <c r="EL26" i="1"/>
  <c r="P111" i="1"/>
  <c r="EL178" i="1"/>
  <c r="EQ22" i="1"/>
  <c r="P186" i="1"/>
  <c r="EQ208" i="1"/>
  <c r="BA18" i="1"/>
  <c r="F228" i="1"/>
  <c r="EJ26" i="1"/>
  <c r="P121" i="1"/>
  <c r="EJ178" i="1"/>
  <c r="DJ18" i="1"/>
  <c r="P222" i="1"/>
  <c r="DQ18" i="1"/>
  <c r="P235" i="1"/>
  <c r="P22" i="1"/>
  <c r="F181" i="1"/>
  <c r="P208" i="1"/>
  <c r="AR178" i="1"/>
  <c r="AP18" i="1"/>
  <c r="F217" i="1"/>
  <c r="DP22" i="1"/>
  <c r="P204" i="1"/>
  <c r="DP208" i="1"/>
  <c r="J16" i="2"/>
  <c r="DP18" i="1" l="1"/>
  <c r="P234" i="1"/>
  <c r="EO18" i="1"/>
  <c r="P214" i="1"/>
  <c r="AV22" i="1"/>
  <c r="AV208" i="1"/>
  <c r="F183" i="1"/>
  <c r="EJ22" i="1"/>
  <c r="P206" i="1"/>
  <c r="EJ208" i="1"/>
  <c r="ER22" i="1"/>
  <c r="ER208" i="1"/>
  <c r="P189" i="1"/>
  <c r="AY22" i="1"/>
  <c r="F186" i="1"/>
  <c r="AY208" i="1"/>
  <c r="AT22" i="1"/>
  <c r="F196" i="1"/>
  <c r="U16" i="2" s="1"/>
  <c r="X16" i="2" s="1"/>
  <c r="AC16" i="2" s="1"/>
  <c r="AT208" i="1"/>
  <c r="AR22" i="1"/>
  <c r="AR208" i="1"/>
  <c r="F206" i="1"/>
  <c r="EL22" i="1"/>
  <c r="P196" i="1"/>
  <c r="F16" i="2" s="1"/>
  <c r="I16" i="2" s="1"/>
  <c r="N16" i="2" s="1"/>
  <c r="EL208" i="1"/>
  <c r="P18" i="1"/>
  <c r="F211" i="1"/>
  <c r="EQ18" i="1"/>
  <c r="P216" i="1"/>
  <c r="EN18" i="1"/>
  <c r="P213" i="1"/>
  <c r="X18" i="1"/>
  <c r="F234" i="1"/>
  <c r="EH18" i="1"/>
  <c r="P217" i="1"/>
  <c r="DG18" i="1"/>
  <c r="P210" i="1"/>
  <c r="AZ18" i="1"/>
  <c r="F219" i="1"/>
  <c r="O18" i="1"/>
  <c r="F210" i="1"/>
  <c r="AW22" i="1"/>
  <c r="F184" i="1"/>
  <c r="AW208" i="1"/>
  <c r="AT18" i="1" l="1"/>
  <c r="F226" i="1"/>
  <c r="ER18" i="1"/>
  <c r="P219" i="1"/>
  <c r="EJ18" i="1"/>
  <c r="P236" i="1"/>
  <c r="AV18" i="1"/>
  <c r="F213" i="1"/>
  <c r="AW18" i="1"/>
  <c r="F214" i="1"/>
  <c r="AY18" i="1"/>
  <c r="F216" i="1"/>
  <c r="EL18" i="1"/>
  <c r="P226" i="1"/>
  <c r="AR18" i="1"/>
  <c r="F236" i="1"/>
</calcChain>
</file>

<file path=xl/sharedStrings.xml><?xml version="1.0" encoding="utf-8"?>
<sst xmlns="http://schemas.openxmlformats.org/spreadsheetml/2006/main" count="7170" uniqueCount="443">
  <si>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</si>
  <si>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</si>
  <si>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</si>
  <si>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</si>
  <si>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</t>
  </si>
  <si>
    <t>02-01-16 СОС</t>
  </si>
  <si>
    <t>2024-00272-00-ИОС5.8</t>
  </si>
  <si>
    <t>Соколова И.Н.</t>
  </si>
  <si>
    <t>Сметные нормы списания</t>
  </si>
  <si>
    <t>Коды ОКП для ТСН-2001 МГЭ Дополнение 80</t>
  </si>
  <si>
    <t>Типовой расчет для ТСН-2001 МГЭ, Дополнение 80, строительство  (1)</t>
  </si>
  <si>
    <t>Территориальные сметные нормативы для Москвы ТСН-2001 (МГЭ), дополнение 80</t>
  </si>
  <si>
    <t>Поправки для ТСН-2001 от 28.11.2025 г. доп.79</t>
  </si>
  <si>
    <t>Территориальные сметные нормативы для Москвы (ТСН-2001)</t>
  </si>
  <si>
    <t>ТЕР</t>
  </si>
  <si>
    <t>02-01-16</t>
  </si>
  <si>
    <t>Система охранно-тревожной сигнализации</t>
  </si>
  <si>
    <t>Оборудование</t>
  </si>
  <si>
    <t>1</t>
  </si>
  <si>
    <t>4.10-75-6</t>
  </si>
  <si>
    <t>Монтаж аппаратуры настольной массой до 20 кг</t>
  </si>
  <si>
    <t>1  ШТ.</t>
  </si>
  <si>
    <t>ТСН-2001.4 Доп. 79, Сб. 10, т. 75, поз. 6</t>
  </si>
  <si>
    <t>*1</t>
  </si>
  <si>
    <t>*1,1</t>
  </si>
  <si>
    <t>Монтаж оборудования</t>
  </si>
  <si>
    <t>ТСН-2001.4-10. Монтаж радиотелевизионного и электронного оборудования</t>
  </si>
  <si>
    <t>ТСН-2001.4-10-2</t>
  </si>
  <si>
    <t>Поправка: Гл.12.Прил.8.п.8. 5_12.00.01.11.003</t>
  </si>
  <si>
    <t>2</t>
  </si>
  <si>
    <t>КА-1</t>
  </si>
  <si>
    <t>Компьютер персональный АРМ DEPO ПЕРЕСВЕТ 110D11 (системный блок, монитор 21,5", клавиатура, мышь)</t>
  </si>
  <si>
    <t>ШТ</t>
  </si>
  <si>
    <t>Сметная стоимость оборудования</t>
  </si>
  <si>
    <t>ТСН-2001.13. Сметная стоимость оборудования</t>
  </si>
  <si>
    <t>ТСН-2001.13</t>
  </si>
  <si>
    <t>[75 500 / 1,2 /  7,66] +  3% Трансп +  1,2% Заг.скл</t>
  </si>
  <si>
    <t>3</t>
  </si>
  <si>
    <t>1,2</t>
  </si>
  <si>
    <t>КА-2</t>
  </si>
  <si>
    <t>Операционная система REDOS-DSP-STD-BAS-VDI</t>
  </si>
  <si>
    <t>[14 600 / 1,2 /  7,66] +  3% Трансп +  1,2% Заг.скл</t>
  </si>
  <si>
    <t>4</t>
  </si>
  <si>
    <t>4.10-173-2</t>
  </si>
  <si>
    <t>Монтаж блока бесперебойного питания (ББП) в диспетчерской</t>
  </si>
  <si>
    <t>ТСН-2001.4 Доп. 67, Сб. 10, т. 173, поз. 2</t>
  </si>
  <si>
    <t>ТСН-2001.4-10. Прокладка и монтаж сетей связи</t>
  </si>
  <si>
    <t>ТСН-2001.4-10-1</t>
  </si>
  <si>
    <t>5</t>
  </si>
  <si>
    <t>КА-3</t>
  </si>
  <si>
    <t>Источник бесперебойного питания, 600Вт Back Basic 1050S Euro</t>
  </si>
  <si>
    <t>[11 290 / 1,2 /  7,66] +  3% Трансп +  1,2% Заг.скл</t>
  </si>
  <si>
    <t>6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</si>
  <si>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</si>
  <si>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</si>
  <si>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</si>
  <si>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7</t>
  </si>
  <si>
    <t>КА-4</t>
  </si>
  <si>
    <t>Прибор приемно-контрольный и управленя Рубеж-20П прот. R3</t>
  </si>
  <si>
    <t>[88 057 / 1,2 /  7,66] +  3% Трансп +  1,2% Заг.скл</t>
  </si>
  <si>
    <t>8</t>
  </si>
  <si>
    <t>4.10-80-13</t>
  </si>
  <si>
    <t>Аппараты приемные, устройства промежуточные на 1 луч</t>
  </si>
  <si>
    <t>ТСН-2001.4. Доп. 1-42. Сб. 10, т. 80, поз. 13</t>
  </si>
  <si>
    <t>9</t>
  </si>
  <si>
    <t>КА-5</t>
  </si>
  <si>
    <t>Модуль сопряжения МС-Е</t>
  </si>
  <si>
    <t>[8 799 / 1,2 /  7,66] +  3% Трансп +  1,2% Заг.скл</t>
  </si>
  <si>
    <t>10</t>
  </si>
  <si>
    <t>4.10-80-9</t>
  </si>
  <si>
    <t>Аппараты приемные, приборы приемно-контрольные объектовые на 2 луча</t>
  </si>
  <si>
    <t>ТСН-2001.4. Доп. 1-42. Сб. 10, т. 80, поз. 9</t>
  </si>
  <si>
    <t>11</t>
  </si>
  <si>
    <t>КА-6</t>
  </si>
  <si>
    <t>Блок индикации и управления Рубеж-БИУ</t>
  </si>
  <si>
    <t>[21 132 / 1,2 /  7,66] +  3% Трансп +  1,2% Заг.скл</t>
  </si>
  <si>
    <t>12</t>
  </si>
  <si>
    <t>4.10-82-3</t>
  </si>
  <si>
    <t>Приборы и устройства сигнализирующие объектовые, устройства ультразвуковые, блок питания и контроля</t>
  </si>
  <si>
    <t>ТСН-2001.4 Доп. 70, Сб. 10, т. 82, поз. 3</t>
  </si>
  <si>
    <t>13</t>
  </si>
  <si>
    <t>КА-7</t>
  </si>
  <si>
    <t>Устройство оконечное объектовое Приток-А КОП-1 исп.1</t>
  </si>
  <si>
    <t>[16 136 / 1,2 /  7,66] +  3% Трансп +  1,2% Заг.скл</t>
  </si>
  <si>
    <t>14</t>
  </si>
  <si>
    <t>15</t>
  </si>
  <si>
    <t>КА-8</t>
  </si>
  <si>
    <t>Блок питания, 12В, 2А ИВЭПР 12/2 RS-R3</t>
  </si>
  <si>
    <t>[7 418,45 / 1,2 /  7,66] +  3% Трансп +  1,2% Заг.скл</t>
  </si>
  <si>
    <t>16</t>
  </si>
  <si>
    <t>КА-9</t>
  </si>
  <si>
    <t>Аккумултор 12В 7Ач DTM 1207</t>
  </si>
  <si>
    <t>[1 410 / 1,2 /  7,66] +  3% Трансп +  1,2% Заг.скл</t>
  </si>
  <si>
    <t>17</t>
  </si>
  <si>
    <t>18</t>
  </si>
  <si>
    <t>КА-10</t>
  </si>
  <si>
    <t>Адресный релейный модуль РМ-1-R3 Рубеж</t>
  </si>
  <si>
    <t>[1 403,46 / 1,2 /  7,66] +  3% Трансп +  1,2% Заг.скл</t>
  </si>
  <si>
    <t>19</t>
  </si>
  <si>
    <t>20</t>
  </si>
  <si>
    <t>КА-11</t>
  </si>
  <si>
    <t>Изолятор шлейфа ИЗ-1 прот. R3</t>
  </si>
  <si>
    <t>[681,72 / 1,2 /  7,66] +  3% Трансп +  1,2% Заг.скл</t>
  </si>
  <si>
    <t>21</t>
  </si>
  <si>
    <t>4.10-82-2</t>
  </si>
  <si>
    <t>Приборы и устройства сигнализирующие объектовые, устройства ультразвуковые, прибор ультразвуковой в одноблочном исполнении</t>
  </si>
  <si>
    <t>ТСН-2001.4 Доп. 70, Сб. 10, т. 82, поз. 2</t>
  </si>
  <si>
    <t>22</t>
  </si>
  <si>
    <t>КА-12</t>
  </si>
  <si>
    <t>Извещатель охранный объемный оптико-электронный адресный ИО 40920-2</t>
  </si>
  <si>
    <t>[2 117 / 1,2 /  7,66] +  3% Трансп +  1,2% Заг.скл</t>
  </si>
  <si>
    <t>23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</si>
  <si>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</si>
  <si>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</si>
  <si>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</si>
  <si>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24</t>
  </si>
  <si>
    <t>КА-13</t>
  </si>
  <si>
    <t>Извещатель охранный поверхностный звуковой адресный ИО 32920-2</t>
  </si>
  <si>
    <t>[2 145,87 / 1,2 /  7,66] +  3% Трансп +  1,2% Заг.скл</t>
  </si>
  <si>
    <t>25</t>
  </si>
  <si>
    <t>26</t>
  </si>
  <si>
    <t>КА-14</t>
  </si>
  <si>
    <t>Извещатель охранный магнитноуправляемый адресный ИО 10220-2</t>
  </si>
  <si>
    <t>[629 / 1,2 /  7,66] +  3% Трансп +  1,2% Заг.скл</t>
  </si>
  <si>
    <t>27</t>
  </si>
  <si>
    <t>28</t>
  </si>
  <si>
    <t>КА-15</t>
  </si>
  <si>
    <t>Адресная метка, 4 шлейфа АМ-4-R3</t>
  </si>
  <si>
    <t>[1 635,11 / 1,2 /  7,66] +  3% Трансп +  1,2% Заг.скл</t>
  </si>
  <si>
    <t>29</t>
  </si>
  <si>
    <t>4.10-59-3</t>
  </si>
  <si>
    <t>Монтаж детали на пультах и панелях - кнопка</t>
  </si>
  <si>
    <t>ТСН-2001.4 Доп. 67, Сб. 10, т. 59, поз. 3</t>
  </si>
  <si>
    <t>30</t>
  </si>
  <si>
    <t>КА-16</t>
  </si>
  <si>
    <t>Извещатель охранный ручной точечный электроконтактный Астра-321 (ИО 101-7)</t>
  </si>
  <si>
    <t>[424 / 1,2 /  7,66] +  3% Трансп +  1,2% Заг.скл</t>
  </si>
  <si>
    <t>31</t>
  </si>
  <si>
    <t>4.8-245-10</t>
  </si>
  <si>
    <t>Монтаж светильников с лампами накаливания, светового настенного указателя</t>
  </si>
  <si>
    <t>100 шт.</t>
  </si>
  <si>
    <t>ТСН-2001.4 Доп. 79, Сб. 8, т. 245, поз. 10</t>
  </si>
  <si>
    <t>ТСН-2001.4-8. Электротехнические установки</t>
  </si>
  <si>
    <t>ТСН-2001.4-8-1</t>
  </si>
  <si>
    <t>32</t>
  </si>
  <si>
    <t>КА-17</t>
  </si>
  <si>
    <t>Световой оповещатель "Маяк-12-С"</t>
  </si>
  <si>
    <t>[227 / 1,2 /  7,66] +  3% Трансп +  1,2% Заг.скл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</si>
  <si>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</si>
  <si>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</si>
  <si>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</si>
  <si>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</si>
  <si>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</si>
  <si>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</si>
  <si>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</si>
  <si>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</si>
  <si>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</si>
  <si>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</si>
  <si>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</si>
  <si>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</si>
  <si>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</si>
  <si>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</si>
  <si>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</si>
  <si>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</si>
  <si>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</si>
  <si>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</si>
  <si>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</si>
  <si>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</si>
  <si>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</si>
  <si>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</si>
  <si>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</si>
  <si>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</si>
  <si>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</si>
  <si>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</si>
  <si>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</si>
  <si>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</si>
  <si>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</si>
  <si>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</si>
  <si>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</si>
  <si>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</si>
  <si>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</si>
  <si>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</si>
  <si>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</si>
  <si>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</si>
  <si>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</si>
  <si>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</si>
  <si>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</si>
  <si>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</si>
  <si>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</si>
  <si>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</si>
  <si>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</si>
  <si>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</si>
  <si>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</si>
  <si>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</si>
  <si>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</si>
  <si>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</si>
  <si>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</si>
  <si>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</si>
  <si>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</si>
  <si>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</si>
  <si>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</si>
  <si>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</si>
  <si>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Кабельные изделия СОТС</t>
  </si>
  <si>
    <t>33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</si>
  <si>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</si>
  <si>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</si>
  <si>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100 м</t>
  </si>
  <si>
    <t>ТСН-2001.4 Доп. 80, Сб. 10, т. 185, поз. 3</t>
  </si>
  <si>
    <t>Поправка: О.П. п.3.4.30.в</t>
  </si>
  <si>
    <t>33,1</t>
  </si>
  <si>
    <t>1.12-5-371</t>
  </si>
  <si>
    <t>Трубы электротехнические, гофрированные, из ПВХ, негорючие, с зондом, наружный диаметр 16 мм</t>
  </si>
  <si>
    <t>м</t>
  </si>
  <si>
    <t>ТСН-2001.1 Доп. 67, Р. 12, о. 5, поз. 371</t>
  </si>
  <si>
    <t>33,2</t>
  </si>
  <si>
    <t>1.14-1-555</t>
  </si>
  <si>
    <t>Скобы крепежные для радиочастотного коаксиального кабеля с номинальным диаметром по изоляции от 4 до 6 мм</t>
  </si>
  <si>
    <t>ТСН-2001.1 Доп. 73, Р. 14, о. 1, поз. 555</t>
  </si>
  <si>
    <t>33,3</t>
  </si>
  <si>
    <t>1.7-5-131</t>
  </si>
  <si>
    <t>Анкер забивной расклинивающийся из оцинкованной стали, с внутренней резьбой М12, длина 25 мм</t>
  </si>
  <si>
    <t>ТСН-2001.1 Доп. 79, Р. 7, о. 5, поз. 131</t>
  </si>
  <si>
    <t>34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</si>
  <si>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</si>
  <si>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</si>
  <si>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ТСН-2001.4 Доп. 75, Сб. 8, т. 328, поз. 1</t>
  </si>
  <si>
    <t>35</t>
  </si>
  <si>
    <t>КА-18</t>
  </si>
  <si>
    <t>Кабель интерфейса RS-485 Лоутокс 20нг(А)-LSLTx 1x2x0,5</t>
  </si>
  <si>
    <t>км</t>
  </si>
  <si>
    <t>Материалы</t>
  </si>
  <si>
    <t>Материалы, изделия и конструкции</t>
  </si>
  <si>
    <t>[82 080 / 1,2 /  9,88] +  2% Заг.скл</t>
  </si>
  <si>
    <t>0</t>
  </si>
  <si>
    <t>36</t>
  </si>
  <si>
    <t>КА-19</t>
  </si>
  <si>
    <t>Кавбель КСВВнг(А)-LSLTx 1x2x0,8</t>
  </si>
  <si>
    <t>[48 070 / 1,2 /  9,88] +  2% Заг.скл</t>
  </si>
  <si>
    <t>37</t>
  </si>
  <si>
    <t>КА-20</t>
  </si>
  <si>
    <t>Кабель витая пара UTP Cat5e PVCLS 1х2х0,52нг(A)- LSLTx</t>
  </si>
  <si>
    <t>[34 290 / 1,2 /  9,88] +  2% Заг.скл</t>
  </si>
  <si>
    <t>38</t>
  </si>
  <si>
    <t>КА-21</t>
  </si>
  <si>
    <t>Кабель витая пара UTP Cat5e PVCLS 4х2х0,52нг(A)- LSLTx</t>
  </si>
  <si>
    <t>[91 430 / 1,2 /  9,88] +  2% Заг.скл</t>
  </si>
  <si>
    <t>39</t>
  </si>
  <si>
    <t>13.1-2-432</t>
  </si>
  <si>
    <t>Шнур коммутационный (патч-корд) тип разъемов RJ45 - RJ45, категория 5E, оболочка LSZH, длина 1 м, неэкранированный</t>
  </si>
  <si>
    <t>шт.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</si>
  <si>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</si>
  <si>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</si>
  <si>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</si>
  <si>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</si>
  <si>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</si>
  <si>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</si>
  <si>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</si>
  <si>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</si>
  <si>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</si>
  <si>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</si>
  <si>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</si>
  <si>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</si>
  <si>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80, строительство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</si>
  <si>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</si>
  <si>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</si>
  <si>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</si>
  <si>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</si>
  <si>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</si>
  <si>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</si>
  <si>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</si>
  <si>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</si>
  <si>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1.1-1-945</t>
  </si>
  <si>
    <t>ТСН-2001.1 Доп. 79, Р. 1, о. 1, поз. 945</t>
  </si>
  <si>
    <t>Припой оловянно-свинцовый, в прутках, диаметр 8 мм, типа ПОС-40</t>
  </si>
  <si>
    <t>т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</si>
  <si>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</si>
  <si>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</si>
  <si>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</si>
  <si>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</si>
  <si>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</si>
  <si>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</si>
  <si>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</si>
  <si>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кг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</si>
  <si>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</si>
  <si>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</si>
  <si>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</si>
  <si>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</si>
  <si>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</si>
  <si>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</si>
  <si>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</si>
  <si>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</si>
  <si>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</si>
  <si>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9999990002</t>
  </si>
  <si>
    <t>Масса оборудования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</si>
  <si>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</si>
  <si>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</si>
  <si>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</si>
  <si>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</si>
  <si>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</si>
  <si>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</si>
  <si>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</si>
  <si>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</si>
  <si>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</si>
  <si>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</si>
  <si>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</si>
  <si>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1.1-1-238</t>
  </si>
  <si>
    <t>ТСН-2001.1 Доп. 80, Р. 1, о. 1, поз. 238</t>
  </si>
  <si>
    <t>Дюбель пластмассовый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</si>
  <si>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</si>
  <si>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</si>
  <si>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</si>
  <si>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</si>
  <si>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</si>
  <si>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</si>
  <si>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</si>
  <si>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</si>
  <si>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</si>
  <si>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</si>
  <si>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</si>
  <si>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</si>
  <si>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</si>
  <si>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</si>
  <si>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</si>
  <si>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</si>
  <si>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</si>
  <si>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</si>
  <si>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</si>
  <si>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</si>
  <si>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</si>
  <si>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</si>
  <si>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</si>
  <si>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</si>
  <si>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</si>
  <si>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</si>
  <si>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</si>
  <si>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</si>
  <si>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5291000000</t>
  </si>
  <si>
    <t>Крепежные изделия</t>
  </si>
  <si>
    <t>5295300000</t>
  </si>
  <si>
    <t>Столы аппаратные</t>
  </si>
  <si>
    <t>4372910000</t>
  </si>
  <si>
    <t>Блоки бесперебойного питания (ББП)</t>
  </si>
  <si>
    <t>6672300000</t>
  </si>
  <si>
    <t>Кнопки (детали на пультах и панелях)</t>
  </si>
  <si>
    <t>3461500000</t>
  </si>
  <si>
    <t>Светильники с лампами накаливания</t>
  </si>
  <si>
    <t>3466100000</t>
  </si>
  <si>
    <t>Лампы накаливания</t>
  </si>
  <si>
    <t>10 шт.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</si>
  <si>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</si>
  <si>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</si>
  <si>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</si>
  <si>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</si>
  <si>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</si>
  <si>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</si>
  <si>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</si>
  <si>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</si>
  <si>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3500000000</t>
  </si>
  <si>
    <t>Кабели, провода</t>
  </si>
  <si>
    <t>Гл.12.Прил.8.п.8. 5_12.00.01.11.003</t>
  </si>
  <si>
    <t>Глава 12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</si>
  <si>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</si>
  <si>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</si>
  <si>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
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</si>
  <si>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</si>
  <si>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
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</si>
  <si>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</si>
  <si>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</si>
  <si>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</si>
  <si>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</si>
  <si>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</si>
  <si>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</si>
  <si>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</si>
  <si>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</si>
  <si>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</si>
  <si>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</si>
  <si>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</si>
  <si>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</si>
  <si>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</si>
  <si>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</si>
  <si>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</si>
  <si>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</si>
  <si>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</si>
  <si>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</si>
  <si>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</si>
  <si>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</si>
  <si>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</si>
  <si>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</si>
  <si>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 02-01-16 СОС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</si>
  <si>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</si>
  <si>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строительство №217/80 III квартал 2025 года и Коэффициенты к ТСН-2001.13-2 Дополнение 46 №62/46 III квартал 2025 года</t>
  </si>
  <si>
    <t>Всего в
ценах на
январь 2000 года,
руб.</t>
  </si>
  <si>
    <t>ЗП</t>
  </si>
  <si>
    <t>1,1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</si>
  <si>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</si>
  <si>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</si>
  <si>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</si>
  <si>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</si>
  <si>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</si>
  <si>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</si>
  <si>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</si>
  <si>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</si>
  <si>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</si>
  <si>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ОБОРУДОВАНИЕ:_x000D_
Компьютер персональный АРМ DEPO ПЕРЕСВЕТ 110D11 (системный блок, монитор 21,5", клавиатура, мышь)</t>
    </r>
    <r>
      <rPr>
        <i/>
        <sz val="10"/>
        <color rgb="FF821E82"/>
        <rFont val="Arial"/>
        <family val="2"/>
        <charset val="204"/>
      </rPr>
      <t xml:space="preserve">
8 561,59 = [75 500 / 1,2 /  7,66] +  3% Трансп +  1,2% Заг.скл</t>
    </r>
  </si>
  <si>
    <r>
      <t>ОБОРУДОВАНИЕ:_x000D_
Операционная система REDOS-DSP-STD-BAS-VDI</t>
    </r>
    <r>
      <rPr>
        <i/>
        <sz val="10"/>
        <color rgb="FF821E82"/>
        <rFont val="Arial"/>
        <family val="2"/>
        <charset val="204"/>
      </rPr>
      <t xml:space="preserve">
1 655,62 = [14 600 / 1,2 /  7,66] +  3% Трансп +  1,2% Заг.скл</t>
    </r>
  </si>
  <si>
    <r>
      <t>ОБОРУДОВАНИЕ:_x000D_
Источник бесперебойного питания, 600Вт Back Basic 1050S Euro</t>
    </r>
    <r>
      <rPr>
        <i/>
        <sz val="10"/>
        <color rgb="FF821E82"/>
        <rFont val="Arial"/>
        <family val="2"/>
        <charset val="204"/>
      </rPr>
      <t xml:space="preserve">
1 280,27 = [11 290 / 1,2 /  7,66] +  3% Трансп +  1,2% Заг.скл</t>
    </r>
  </si>
  <si>
    <t>ЭМ</t>
  </si>
  <si>
    <t>в т.ч. ЗПМ</t>
  </si>
  <si>
    <r>
      <t>ОБОРУДОВАНИЕ:_x000D_
Прибор приемно-контрольный и управленя Рубеж-20П прот. R3</t>
    </r>
    <r>
      <rPr>
        <i/>
        <sz val="10"/>
        <color rgb="FF821E82"/>
        <rFont val="Arial"/>
        <family val="2"/>
        <charset val="204"/>
      </rPr>
      <t xml:space="preserve">
9 985,54 = [88 057 / 1,2 /  7,66] +  3% Трансп +  1,2% Заг.скл</t>
    </r>
  </si>
  <si>
    <r>
      <t>ОБОРУДОВАНИЕ:_x000D_
Модуль сопряжения МС-Е</t>
    </r>
    <r>
      <rPr>
        <i/>
        <sz val="10"/>
        <color rgb="FF821E82"/>
        <rFont val="Arial"/>
        <family val="2"/>
        <charset val="204"/>
      </rPr>
      <t xml:space="preserve">
997,80 = [8 799 / 1,2 /  7,66] +  3% Трансп +  1,2% Заг.скл</t>
    </r>
  </si>
  <si>
    <r>
      <t>ОБОРУДОВАНИЕ:_x000D_
Блок индикации и управления Рубеж-БИУ</t>
    </r>
    <r>
      <rPr>
        <i/>
        <sz val="10"/>
        <color rgb="FF821E82"/>
        <rFont val="Arial"/>
        <family val="2"/>
        <charset val="204"/>
      </rPr>
      <t xml:space="preserve">
2 396,35 = [21 132 / 1,2 /  7,66] +  3% Трансп +  1,2% Заг.скл</t>
    </r>
  </si>
  <si>
    <r>
      <t>ОБОРУДОВАНИЕ:_x000D_
Устройство оконечное объектовое Приток-А КОП-1 исп.1</t>
    </r>
    <r>
      <rPr>
        <i/>
        <sz val="10"/>
        <color rgb="FF821E82"/>
        <rFont val="Arial"/>
        <family val="2"/>
        <charset val="204"/>
      </rPr>
      <t xml:space="preserve">
1 829,80 = [16 136 / 1,2 /  7,66] +  3% Трансп +  1,2% Заг.скл</t>
    </r>
  </si>
  <si>
    <r>
      <t>ОБОРУДОВАНИЕ:_x000D_
Блок питания, 12В, 2А ИВЭПР 12/2 RS-R3</t>
    </r>
    <r>
      <rPr>
        <i/>
        <sz val="10"/>
        <color rgb="FF821E82"/>
        <rFont val="Arial"/>
        <family val="2"/>
        <charset val="204"/>
      </rPr>
      <t xml:space="preserve">
841,25 = [7 418,45 / 1,2 /  7,66] +  3% Трансп +  1,2% Заг.скл</t>
    </r>
  </si>
  <si>
    <r>
      <t>ОБОРУДОВАНИЕ:_x000D_
Аккумултор 12В 7Ач DTM 1207</t>
    </r>
    <r>
      <rPr>
        <i/>
        <sz val="10"/>
        <color rgb="FF821E82"/>
        <rFont val="Arial"/>
        <family val="2"/>
        <charset val="204"/>
      </rPr>
      <t xml:space="preserve">
159,89 = [1 410 / 1,2 /  7,66] +  3% Трансп +  1,2% Заг.скл</t>
    </r>
  </si>
  <si>
    <r>
      <t>ОБОРУДОВАНИЕ:_x000D_
Адресный релейный модуль РМ-1-R3 Рубеж</t>
    </r>
    <r>
      <rPr>
        <i/>
        <sz val="10"/>
        <color rgb="FF821E82"/>
        <rFont val="Arial"/>
        <family val="2"/>
        <charset val="204"/>
      </rPr>
      <t xml:space="preserve">
159,15 = [1 403,46 / 1,2 /  7,66] +  3% Трансп +  1,2% Заг.скл</t>
    </r>
  </si>
  <si>
    <r>
      <t>ОБОРУДОВАНИЕ:_x000D_
Изолятор шлейфа ИЗ-1 прот. R3</t>
    </r>
    <r>
      <rPr>
        <i/>
        <sz val="10"/>
        <color rgb="FF821E82"/>
        <rFont val="Arial"/>
        <family val="2"/>
        <charset val="204"/>
      </rPr>
      <t xml:space="preserve">
77,30 = [681,72 / 1,2 /  7,66] +  3% Трансп +  1,2% Заг.скл</t>
    </r>
  </si>
  <si>
    <r>
      <t>ОБОРУДОВАНИЕ:_x000D_
Извещатель охранный объемный оптико-электронный адресный ИО 40920-2</t>
    </r>
    <r>
      <rPr>
        <i/>
        <sz val="10"/>
        <color rgb="FF821E82"/>
        <rFont val="Arial"/>
        <family val="2"/>
        <charset val="204"/>
      </rPr>
      <t xml:space="preserve">
240,07 = [2 117 / 1,2 /  7,66] +  3% Трансп +  1,2% Заг.скл</t>
    </r>
  </si>
  <si>
    <r>
      <t>ОБОРУДОВАНИЕ:_x000D_
Извещатель охранный поверхностный звуковой адресный ИО 32920-2</t>
    </r>
    <r>
      <rPr>
        <i/>
        <sz val="10"/>
        <color rgb="FF821E82"/>
        <rFont val="Arial"/>
        <family val="2"/>
        <charset val="204"/>
      </rPr>
      <t xml:space="preserve">
243,34 = [2 145,87 / 1,2 /  7,66] +  3% Трансп +  1,2% Заг.скл</t>
    </r>
  </si>
  <si>
    <r>
      <t>ОБОРУДОВАНИЕ:_x000D_
Извещатель охранный магнитноуправляемый адресный ИО 10220-2</t>
    </r>
    <r>
      <rPr>
        <i/>
        <sz val="10"/>
        <color rgb="FF821E82"/>
        <rFont val="Arial"/>
        <family val="2"/>
        <charset val="204"/>
      </rPr>
      <t xml:space="preserve">
71,33 = [629 / 1,2 /  7,66] +  3% Трансп +  1,2% Заг.скл</t>
    </r>
  </si>
  <si>
    <r>
      <t>ОБОРУДОВАНИЕ:_x000D_
Адресная метка, 4 шлейфа АМ-4-R3</t>
    </r>
    <r>
      <rPr>
        <i/>
        <sz val="10"/>
        <color rgb="FF821E82"/>
        <rFont val="Arial"/>
        <family val="2"/>
        <charset val="204"/>
      </rPr>
      <t xml:space="preserve">
185,42 = [1 635,11 / 1,2 /  7,66] +  3% Трансп +  1,2% Заг.скл</t>
    </r>
  </si>
  <si>
    <r>
      <t>ОБОРУДОВАНИЕ:_x000D_
Извещатель охранный ручной точечный электроконтактный Астра-321 (ИО 101-7)</t>
    </r>
    <r>
      <rPr>
        <i/>
        <sz val="10"/>
        <color rgb="FF821E82"/>
        <rFont val="Arial"/>
        <family val="2"/>
        <charset val="204"/>
      </rPr>
      <t xml:space="preserve">
48,08 = [424 / 1,2 /  7,66] +  3% Трансп +  1,2% Заг.скл</t>
    </r>
  </si>
  <si>
    <r>
      <t>ОБОРУДОВАНИЕ:_x000D_
Световой оповещатель "Маяк-12-С"</t>
    </r>
    <r>
      <rPr>
        <i/>
        <sz val="10"/>
        <color rgb="FF821E82"/>
        <rFont val="Arial"/>
        <family val="2"/>
        <charset val="204"/>
      </rPr>
      <t xml:space="preserve">
25,75 = [227 / 1,2 /  7,66] +  3% Трансп +  1,2% Заг.скл</t>
    </r>
  </si>
  <si>
    <t xml:space="preserve">   Итого по ТСН-2001.16</t>
  </si>
  <si>
    <t xml:space="preserve">   Итого возвратных сумм</t>
  </si>
  <si>
    <r>
      <t>Кабель интерфейса RS-485 Лоутокс 20нг(А)-LSLTx 1x2x0,5</t>
    </r>
    <r>
      <rPr>
        <i/>
        <sz val="10"/>
        <rFont val="Arial"/>
        <family val="2"/>
        <charset val="204"/>
      </rPr>
      <t xml:space="preserve">
7 061,54 = [82 080 / 1,2 /  9,88] +  2% Заг.скл</t>
    </r>
  </si>
  <si>
    <r>
      <t>Кавбель КСВВнг(А)-LSLTx 1x2x0,8</t>
    </r>
    <r>
      <rPr>
        <i/>
        <sz val="10"/>
        <rFont val="Arial"/>
        <family val="2"/>
        <charset val="204"/>
      </rPr>
      <t xml:space="preserve">
4 135,58 = [48 070 / 1,2 /  9,88] +  2% Заг.скл</t>
    </r>
  </si>
  <si>
    <r>
      <t>Кабель витая пара UTP Cat5e PVCLS 1х2х0,52нг(A)- LSLTx</t>
    </r>
    <r>
      <rPr>
        <i/>
        <sz val="10"/>
        <rFont val="Arial"/>
        <family val="2"/>
        <charset val="204"/>
      </rPr>
      <t xml:space="preserve">
2 950,05 = [34 290 / 1,2 /  9,88] +  2% Заг.скл</t>
    </r>
  </si>
  <si>
    <r>
      <t>Кабель витая пара UTP Cat5e PVCLS 4х2х0,52нг(A)- LSLTx</t>
    </r>
    <r>
      <rPr>
        <i/>
        <sz val="10"/>
        <rFont val="Arial"/>
        <family val="2"/>
        <charset val="204"/>
      </rPr>
      <t xml:space="preserve">
7 865,94 = [91 430 / 1,2 /  9,88] +  2% Заг.скл</t>
    </r>
  </si>
  <si>
    <t>ОБОРУДОВАНИЕ:_x000D_
Шнур коммутационный (патч-корд) тип разъемов RJ45 - RJ45, категория 5E, оболочка LSZH, длина 1 м, неэкранированный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</si>
  <si>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</si>
  <si>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</si>
  <si>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</si>
  <si>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</si>
  <si>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</si>
  <si>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</si>
  <si>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</si>
  <si>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</si>
  <si>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</si>
  <si>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</si>
  <si>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</si>
  <si>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</si>
  <si>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91430 руб/км</t>
  </si>
  <si>
    <t>Капитальный ремонт здания Государственного бюджетного общеобразовательного учреждения города Москвы "Школа №236"  по адресу: г. Москва, улица Клязьминская, дом 7, корпус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</si>
</sst>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6" fillId="0" borderId="0" xfId="0" applyFont="1" applyBorder="1"/>
    <xf numFmtId="0" fontId="16" fillId="0" borderId="0" xfId="0" applyFont="1" applyBorder="1" applyAlignment="1">
      <alignment horizontal="lef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523875</xdr:colOff>
      <xdr:row>293</xdr:row>
      <xdr:rowOff>76200</xdr:rowOff>
    </xdr:from>
    <xdr:to>
      <xdr:col>66</xdr:col>
      <xdr:colOff>539988</xdr:colOff>
      <xdr:row>293</xdr:row>
      <xdr:rowOff>461738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2450" y="71104125"/>
          <a:ext cx="10988913" cy="385538"/>
        </a:xfrm>
        <a:prstGeom prst="rect">
          <a:avLst/>
        </a:prstGeom>
      </xdr:spPr>
    </xdr:pic>
    <xdr:clientData/>
  </xdr:twoCellAnchor>
  <xdr:twoCellAnchor editAs="oneCell">
    <xdr:from>
      <xdr:col>48</xdr:col>
      <xdr:colOff>533400</xdr:colOff>
      <xdr:row>289</xdr:row>
      <xdr:rowOff>190500</xdr:rowOff>
    </xdr:from>
    <xdr:to>
      <xdr:col>66</xdr:col>
      <xdr:colOff>511407</xdr:colOff>
      <xdr:row>289</xdr:row>
      <xdr:rowOff>533448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1975" y="70018275"/>
          <a:ext cx="10950807" cy="342948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285</xdr:row>
      <xdr:rowOff>0</xdr:rowOff>
    </xdr:from>
    <xdr:to>
      <xdr:col>66</xdr:col>
      <xdr:colOff>559029</xdr:colOff>
      <xdr:row>285</xdr:row>
      <xdr:rowOff>362001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8175" y="68808600"/>
          <a:ext cx="10922229" cy="362001"/>
        </a:xfrm>
        <a:prstGeom prst="rect">
          <a:avLst/>
        </a:prstGeom>
      </xdr:spPr>
    </xdr:pic>
    <xdr:clientData/>
  </xdr:twoCellAnchor>
  <xdr:twoCellAnchor editAs="oneCell">
    <xdr:from>
      <xdr:col>48</xdr:col>
      <xdr:colOff>561975</xdr:colOff>
      <xdr:row>281</xdr:row>
      <xdr:rowOff>152400</xdr:rowOff>
    </xdr:from>
    <xdr:to>
      <xdr:col>66</xdr:col>
      <xdr:colOff>549509</xdr:colOff>
      <xdr:row>281</xdr:row>
      <xdr:rowOff>514401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20550" y="67760850"/>
          <a:ext cx="10960334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319"/>
  <sheetViews>
    <sheetView tabSelected="1" zoomScale="85" zoomScaleNormal="85" workbookViewId="0">
      <selection activeCell="A4" sqref="A4:K4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387</v>
      </c>
      <c r="K2" s="36"/>
    </row>
    <row r="3" spans="1:42" ht="31.5" x14ac:dyDescent="0.25">
      <c r="A3" s="17" t="s">
        <v>442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7" t="s">
        <v>388</v>
      </c>
    </row>
    <row r="4" spans="1:42" x14ac:dyDescent="0.2">
      <c r="A4" s="18" t="s">
        <v>366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",IF(Source!F20&lt;&gt;"Новая локальная смета", Source!F20, ""))</f>
        <v>ЛОКАЛЬНАЯ СМЕТА № 02-01-16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tr">
        <f>IF(Source!G20&lt;&gt;"Новая локальная смета", Source!G20, "")</f>
        <v>Система охранно-тревожной сигнализации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367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Source!J20)</f>
        <v>Основание: чертежи № 2024-00272-00-ИОС5.8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368</v>
      </c>
      <c r="J13" s="25" t="s">
        <v>369</v>
      </c>
      <c r="K13" s="16"/>
    </row>
    <row r="14" spans="1:42" ht="15" x14ac:dyDescent="0.25">
      <c r="A14" s="16"/>
      <c r="B14" s="16"/>
      <c r="C14" s="16"/>
      <c r="D14" s="16"/>
      <c r="E14" s="26" t="s">
        <v>370</v>
      </c>
      <c r="F14" s="26"/>
      <c r="G14" s="26"/>
      <c r="H14" s="26"/>
      <c r="I14" s="27">
        <f>I15+I16+I17+I18</f>
        <v>219.67</v>
      </c>
      <c r="J14" s="27">
        <f>J15+J16+J17+J18</f>
        <v>3114.2200000000003</v>
      </c>
      <c r="K14" s="28" t="s">
        <v>429</v>
      </c>
    </row>
    <row r="15" spans="1:42" ht="14.25" x14ac:dyDescent="0.2">
      <c r="A15" s="16"/>
      <c r="B15" s="16"/>
      <c r="C15" s="16"/>
      <c r="D15" s="16"/>
      <c r="E15" s="29" t="s">
        <v>371</v>
      </c>
      <c r="F15" s="29"/>
      <c r="G15" s="29"/>
      <c r="H15" s="29"/>
      <c r="I15" s="30">
        <f>ROUND((Source!F195)/1000, 2)</f>
        <v>0</v>
      </c>
      <c r="J15" s="30">
        <f>ROUND((Source!P195)/1000, 2)</f>
        <v>0</v>
      </c>
      <c r="K15" s="16" t="s">
        <v>429</v>
      </c>
    </row>
    <row r="16" spans="1:42" ht="14.25" x14ac:dyDescent="0.2">
      <c r="A16" s="16"/>
      <c r="B16" s="16"/>
      <c r="C16" s="16"/>
      <c r="D16" s="16"/>
      <c r="E16" s="29" t="s">
        <v>372</v>
      </c>
      <c r="F16" s="29"/>
      <c r="G16" s="29"/>
      <c r="H16" s="29"/>
      <c r="I16" s="30">
        <f>ROUND((Source!F196)/1000, 2)</f>
        <v>152.88999999999999</v>
      </c>
      <c r="J16" s="30">
        <f>ROUND((Source!P196)/1000, 2)</f>
        <v>2602.71</v>
      </c>
      <c r="K16" s="16" t="s">
        <v>429</v>
      </c>
    </row>
    <row r="17" spans="1:42" ht="14.25" x14ac:dyDescent="0.2">
      <c r="A17" s="16"/>
      <c r="B17" s="16"/>
      <c r="C17" s="16"/>
      <c r="D17" s="16"/>
      <c r="E17" s="29" t="s">
        <v>17</v>
      </c>
      <c r="F17" s="29"/>
      <c r="G17" s="29"/>
      <c r="H17" s="29"/>
      <c r="I17" s="30">
        <f>ROUND((Source!F187)/1000, 2)</f>
        <v>66.78</v>
      </c>
      <c r="J17" s="30">
        <f>ROUND((Source!P187)/1000, 2)</f>
        <v>511.51</v>
      </c>
      <c r="K17" s="16" t="s">
        <v>429</v>
      </c>
    </row>
    <row r="18" spans="1:42" ht="14.25" x14ac:dyDescent="0.2">
      <c r="A18" s="16"/>
      <c r="B18" s="16"/>
      <c r="C18" s="16"/>
      <c r="D18" s="16"/>
      <c r="E18" s="29" t="s">
        <v>373</v>
      </c>
      <c r="F18" s="29"/>
      <c r="G18" s="29"/>
      <c r="H18" s="29"/>
      <c r="I18" s="30">
        <f>ROUND((Source!F197+Source!F198)/1000, 2)</f>
        <v>0</v>
      </c>
      <c r="J18" s="30">
        <f>ROUND((Source!P197+Source!P198)/1000, 2)</f>
        <v>0</v>
      </c>
      <c r="K18" s="16" t="s">
        <v>429</v>
      </c>
    </row>
    <row r="19" spans="1:42" ht="14.25" x14ac:dyDescent="0.2">
      <c r="A19" s="16"/>
      <c r="B19" s="16"/>
      <c r="C19" s="16"/>
      <c r="D19" s="16"/>
      <c r="E19" s="29" t="s">
        <v>374</v>
      </c>
      <c r="F19" s="29"/>
      <c r="G19" s="29"/>
      <c r="H19" s="29"/>
      <c r="I19" s="30">
        <f>(Source!F193+ Source!F192)/1000</f>
        <v>15.048680000000001</v>
      </c>
      <c r="J19" s="30">
        <f>((Source!P193 + Source!P192)/1000)</f>
        <v>827.52690000000007</v>
      </c>
      <c r="K19" s="16" t="s">
        <v>429</v>
      </c>
    </row>
    <row r="20" spans="1:42" ht="14.25" x14ac:dyDescent="0.2">
      <c r="A20" s="16"/>
      <c r="B20" s="16"/>
      <c r="C20" s="16"/>
      <c r="D20" s="16"/>
      <c r="E20" s="29" t="s">
        <v>375</v>
      </c>
      <c r="F20" s="29"/>
      <c r="G20" s="29"/>
      <c r="H20" s="29"/>
      <c r="I20" s="30">
        <f>Source!F200</f>
        <v>1234.4919123900002</v>
      </c>
      <c r="J20" s="30"/>
      <c r="K20" s="16" t="s">
        <v>270</v>
      </c>
    </row>
    <row r="21" spans="1:42" ht="14.25" hidden="1" x14ac:dyDescent="0.2">
      <c r="A21" s="16"/>
      <c r="B21" s="16"/>
      <c r="C21" s="16"/>
      <c r="D21" s="16"/>
      <c r="E21" s="31" t="s">
        <v>376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187</v>
      </c>
      <c r="F22" s="32"/>
      <c r="G22" s="32"/>
      <c r="H22" s="32"/>
      <c r="I22" s="30">
        <f>SUM(Y28:Y308)/1000</f>
        <v>0</v>
      </c>
      <c r="J22" s="30">
        <f>SUM(Z28:Z308)/1000</f>
        <v>0</v>
      </c>
      <c r="K22" s="16" t="s">
        <v>429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389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390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390</v>
      </c>
    </row>
    <row r="26" spans="1:42" ht="114" x14ac:dyDescent="0.2">
      <c r="A26" s="34" t="s">
        <v>377</v>
      </c>
      <c r="B26" s="34" t="s">
        <v>378</v>
      </c>
      <c r="C26" s="34" t="s">
        <v>379</v>
      </c>
      <c r="D26" s="34" t="s">
        <v>380</v>
      </c>
      <c r="E26" s="34" t="s">
        <v>381</v>
      </c>
      <c r="F26" s="34" t="s">
        <v>382</v>
      </c>
      <c r="G26" s="35" t="s">
        <v>383</v>
      </c>
      <c r="H26" s="35" t="s">
        <v>384</v>
      </c>
      <c r="I26" s="34" t="s">
        <v>391</v>
      </c>
      <c r="J26" s="34" t="s">
        <v>385</v>
      </c>
      <c r="K26" s="34" t="s">
        <v>386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CONCATENATE("Раздел: ",IF(Source!G24&lt;&gt;"Новый раздел", Source!G24, ""))</f>
        <v>Раздел: Оборудование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42" ht="28.5" x14ac:dyDescent="0.2">
      <c r="A30" s="40">
        <v>1</v>
      </c>
      <c r="B30" s="40" t="str">
        <f>Source!F28</f>
        <v>4.10-75-6</v>
      </c>
      <c r="C30" s="40" t="s">
        <v>20</v>
      </c>
      <c r="D30" s="42" t="str">
        <f>Source!H28</f>
        <v>1  ШТ.</v>
      </c>
      <c r="E30" s="41">
        <f>Source!I28</f>
        <v>1</v>
      </c>
      <c r="F30" s="44"/>
      <c r="G30" s="43"/>
      <c r="H30" s="41"/>
      <c r="I30" s="44"/>
      <c r="J30" s="41"/>
      <c r="K30" s="44"/>
      <c r="Q30">
        <f>Source!X28</f>
        <v>96.65</v>
      </c>
      <c r="R30">
        <f>Source!X29</f>
        <v>5314.95</v>
      </c>
      <c r="S30">
        <f>Source!Y28</f>
        <v>53.92</v>
      </c>
      <c r="T30">
        <f>Source!Y29</f>
        <v>2965.18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14.25" x14ac:dyDescent="0.2">
      <c r="A31" s="40"/>
      <c r="B31" s="40"/>
      <c r="C31" s="40" t="s">
        <v>392</v>
      </c>
      <c r="D31" s="42"/>
      <c r="E31" s="41"/>
      <c r="F31" s="44">
        <f>Source!AO28</f>
        <v>88.34</v>
      </c>
      <c r="G31" s="43" t="s">
        <v>393</v>
      </c>
      <c r="H31" s="41">
        <f>Source!AV29</f>
        <v>1.0469999999999999</v>
      </c>
      <c r="I31" s="44">
        <f>Source!S28</f>
        <v>101.74</v>
      </c>
      <c r="J31" s="41">
        <f>IF(Source!BA29&lt;&gt; 0, Source!BA29, 1)</f>
        <v>54.99</v>
      </c>
      <c r="K31" s="44">
        <f>Source!S29</f>
        <v>5594.68</v>
      </c>
    </row>
    <row r="32" spans="1:42" ht="14.25" x14ac:dyDescent="0.2">
      <c r="A32" s="40"/>
      <c r="B32" s="40"/>
      <c r="C32" s="40" t="s">
        <v>394</v>
      </c>
      <c r="D32" s="42"/>
      <c r="E32" s="41"/>
      <c r="F32" s="44">
        <f>Source!AL28</f>
        <v>34.869999999999997</v>
      </c>
      <c r="G32" s="43"/>
      <c r="H32" s="41">
        <f>Source!AW29</f>
        <v>1</v>
      </c>
      <c r="I32" s="44">
        <f>Source!P28</f>
        <v>34.869999999999997</v>
      </c>
      <c r="J32" s="41">
        <f>IF(Source!BC29&lt;&gt; 0, Source!BC29, 1)</f>
        <v>11.35</v>
      </c>
      <c r="K32" s="44">
        <f>Source!P29</f>
        <v>395.77</v>
      </c>
    </row>
    <row r="33" spans="1:29" ht="14.25" x14ac:dyDescent="0.2">
      <c r="A33" s="40"/>
      <c r="B33" s="40"/>
      <c r="C33" s="40" t="s">
        <v>395</v>
      </c>
      <c r="D33" s="42" t="s">
        <v>396</v>
      </c>
      <c r="E33" s="41">
        <f>Source!BZ29</f>
        <v>95</v>
      </c>
      <c r="F33" s="44"/>
      <c r="G33" s="43"/>
      <c r="H33" s="41"/>
      <c r="I33" s="44">
        <f>SUM(Q30:Q32)</f>
        <v>96.65</v>
      </c>
      <c r="J33" s="41">
        <f>Source!AT29</f>
        <v>95</v>
      </c>
      <c r="K33" s="44">
        <f>SUM(R30:R32)</f>
        <v>5314.95</v>
      </c>
    </row>
    <row r="34" spans="1:29" ht="14.25" x14ac:dyDescent="0.2">
      <c r="A34" s="40"/>
      <c r="B34" s="40"/>
      <c r="C34" s="40" t="s">
        <v>397</v>
      </c>
      <c r="D34" s="42" t="s">
        <v>396</v>
      </c>
      <c r="E34" s="41">
        <f>Source!CA29</f>
        <v>53</v>
      </c>
      <c r="F34" s="44"/>
      <c r="G34" s="43"/>
      <c r="H34" s="41"/>
      <c r="I34" s="44">
        <f>SUM(S30:S33)</f>
        <v>53.92</v>
      </c>
      <c r="J34" s="41">
        <f>Source!AU29</f>
        <v>53</v>
      </c>
      <c r="K34" s="44">
        <f>SUM(T30:T33)</f>
        <v>2965.18</v>
      </c>
    </row>
    <row r="35" spans="1:29" ht="14.25" x14ac:dyDescent="0.2">
      <c r="A35" s="45"/>
      <c r="B35" s="45"/>
      <c r="C35" s="45" t="s">
        <v>398</v>
      </c>
      <c r="D35" s="46" t="s">
        <v>399</v>
      </c>
      <c r="E35" s="47">
        <f>Source!AQ28</f>
        <v>7</v>
      </c>
      <c r="F35" s="48"/>
      <c r="G35" s="49" t="s">
        <v>393</v>
      </c>
      <c r="H35" s="47">
        <f>Source!AV29</f>
        <v>1.0469999999999999</v>
      </c>
      <c r="I35" s="48">
        <f>Source!U28</f>
        <v>8.0619000000000014</v>
      </c>
      <c r="J35" s="47"/>
      <c r="K35" s="48"/>
    </row>
    <row r="36" spans="1:29" ht="15" x14ac:dyDescent="0.2">
      <c r="C36" s="50" t="s">
        <v>400</v>
      </c>
      <c r="H36" s="51">
        <f>I31+I32+I33+I34+0-0-0</f>
        <v>287.18</v>
      </c>
      <c r="I36" s="51"/>
      <c r="J36" s="51">
        <f>K31+K32+K33+K34+0-0-0</f>
        <v>14270.580000000002</v>
      </c>
      <c r="K36" s="51"/>
    </row>
    <row r="37" spans="1:29" ht="15" hidden="1" x14ac:dyDescent="0.2">
      <c r="C37" s="50" t="s">
        <v>401</v>
      </c>
      <c r="H37" s="53">
        <f>0+0</f>
        <v>0</v>
      </c>
      <c r="I37" s="53"/>
      <c r="J37" s="53">
        <f>0+0</f>
        <v>0</v>
      </c>
      <c r="K37" s="53"/>
    </row>
    <row r="38" spans="1:29" ht="15" x14ac:dyDescent="0.2">
      <c r="C38" s="50" t="s">
        <v>402</v>
      </c>
      <c r="H38" s="53">
        <f>I31+I32+I33+I34+0</f>
        <v>287.18</v>
      </c>
      <c r="I38" s="53"/>
      <c r="J38" s="53">
        <f>K31+K32+K33+K34+0</f>
        <v>14270.580000000002</v>
      </c>
      <c r="K38" s="53"/>
      <c r="O38" s="54">
        <f>I31+I32+I33+I34+0</f>
        <v>287.18</v>
      </c>
      <c r="P38" s="54">
        <f>K31+K32+K33+K34+0</f>
        <v>14270.580000000002</v>
      </c>
    </row>
    <row r="40" spans="1:29" ht="82.5" x14ac:dyDescent="0.2">
      <c r="A40" s="55">
        <v>2</v>
      </c>
      <c r="B40" s="55" t="str">
        <f>Source!F30</f>
        <v>КА-1</v>
      </c>
      <c r="C40" s="55" t="s">
        <v>403</v>
      </c>
      <c r="D40" s="56" t="str">
        <f>Source!H30</f>
        <v>ШТ</v>
      </c>
      <c r="E40" s="57">
        <f>Source!I30</f>
        <v>1</v>
      </c>
      <c r="F40" s="58">
        <f>Source!AL30</f>
        <v>8561.59</v>
      </c>
      <c r="G40" s="59"/>
      <c r="H40" s="57">
        <f>Source!AW31</f>
        <v>1</v>
      </c>
      <c r="I40" s="58">
        <f>Source!P30</f>
        <v>8561.59</v>
      </c>
      <c r="J40" s="57">
        <f>IF(Source!BC31&lt;&gt; 0, Source!BC31, 1)</f>
        <v>7.66</v>
      </c>
      <c r="K40" s="58">
        <f>Source!P31</f>
        <v>65581.78</v>
      </c>
      <c r="Q40">
        <f>Source!X30</f>
        <v>0</v>
      </c>
      <c r="R40">
        <f>Source!X31</f>
        <v>0</v>
      </c>
      <c r="S40">
        <f>Source!Y30</f>
        <v>0</v>
      </c>
      <c r="T40">
        <f>Source!Y31</f>
        <v>0</v>
      </c>
      <c r="U40">
        <f>ROUND((175/100)*ROUND(Source!R30, 2), 2)</f>
        <v>0</v>
      </c>
      <c r="V40">
        <f>ROUND((0/100)*ROUND(Source!R31, 2), 2)</f>
        <v>0</v>
      </c>
      <c r="AC40">
        <v>5</v>
      </c>
    </row>
    <row r="41" spans="1:29" ht="15" x14ac:dyDescent="0.2">
      <c r="A41" s="60"/>
      <c r="B41" s="60"/>
      <c r="C41" s="61" t="s">
        <v>402</v>
      </c>
      <c r="D41" s="60"/>
      <c r="E41" s="60"/>
      <c r="F41" s="60"/>
      <c r="G41" s="60"/>
      <c r="H41" s="62">
        <f>I40+0</f>
        <v>8561.59</v>
      </c>
      <c r="I41" s="62"/>
      <c r="J41" s="62">
        <f>K40+0</f>
        <v>65581.78</v>
      </c>
      <c r="K41" s="62"/>
      <c r="O41" s="54">
        <f>I40+0</f>
        <v>8561.59</v>
      </c>
      <c r="P41" s="54">
        <f>K40+0</f>
        <v>65581.78</v>
      </c>
    </row>
    <row r="43" spans="1:29" ht="68.25" x14ac:dyDescent="0.2">
      <c r="A43" s="55">
        <v>3</v>
      </c>
      <c r="B43" s="55" t="str">
        <f>Source!F32</f>
        <v>КА-2</v>
      </c>
      <c r="C43" s="55" t="s">
        <v>404</v>
      </c>
      <c r="D43" s="56" t="str">
        <f>Source!H32</f>
        <v>ШТ</v>
      </c>
      <c r="E43" s="57">
        <f>Source!I32</f>
        <v>1</v>
      </c>
      <c r="F43" s="58">
        <f>Source!AL32</f>
        <v>1655.6200000000001</v>
      </c>
      <c r="G43" s="59"/>
      <c r="H43" s="57">
        <f>Source!AW33</f>
        <v>1</v>
      </c>
      <c r="I43" s="58">
        <f>Source!P32</f>
        <v>1655.62</v>
      </c>
      <c r="J43" s="57">
        <f>IF(Source!BC33&lt;&gt; 0, Source!BC33, 1)</f>
        <v>7.66</v>
      </c>
      <c r="K43" s="58">
        <f>Source!P33</f>
        <v>12682.05</v>
      </c>
      <c r="Q43">
        <f>Source!X32</f>
        <v>0</v>
      </c>
      <c r="R43">
        <f>Source!X33</f>
        <v>0</v>
      </c>
      <c r="S43">
        <f>Source!Y32</f>
        <v>0</v>
      </c>
      <c r="T43">
        <f>Source!Y33</f>
        <v>0</v>
      </c>
      <c r="U43">
        <f>ROUND((175/100)*ROUND(Source!R32, 2), 2)</f>
        <v>0</v>
      </c>
      <c r="V43">
        <f>ROUND((0/100)*ROUND(Source!R33, 2), 2)</f>
        <v>0</v>
      </c>
      <c r="AC43">
        <v>5</v>
      </c>
    </row>
    <row r="44" spans="1:29" ht="15" x14ac:dyDescent="0.2">
      <c r="A44" s="60"/>
      <c r="B44" s="60"/>
      <c r="C44" s="61" t="s">
        <v>402</v>
      </c>
      <c r="D44" s="60"/>
      <c r="E44" s="60"/>
      <c r="F44" s="60"/>
      <c r="G44" s="60"/>
      <c r="H44" s="62">
        <f>I43+0</f>
        <v>1655.62</v>
      </c>
      <c r="I44" s="62"/>
      <c r="J44" s="62">
        <f>K43+0</f>
        <v>12682.05</v>
      </c>
      <c r="K44" s="62"/>
      <c r="O44" s="54">
        <f>I43+0</f>
        <v>1655.62</v>
      </c>
      <c r="P44" s="54">
        <f>K43+0</f>
        <v>12682.05</v>
      </c>
    </row>
    <row r="46" spans="1:29" ht="28.5" x14ac:dyDescent="0.2">
      <c r="A46" s="40">
        <v>4</v>
      </c>
      <c r="B46" s="40" t="str">
        <f>Source!F34</f>
        <v>4.10-173-2</v>
      </c>
      <c r="C46" s="40" t="s">
        <v>44</v>
      </c>
      <c r="D46" s="42" t="str">
        <f>Source!H34</f>
        <v>1  ШТ.</v>
      </c>
      <c r="E46" s="41">
        <f>Source!I34</f>
        <v>1</v>
      </c>
      <c r="F46" s="44"/>
      <c r="G46" s="43"/>
      <c r="H46" s="41"/>
      <c r="I46" s="44"/>
      <c r="J46" s="41"/>
      <c r="K46" s="44"/>
      <c r="Q46">
        <f>Source!X34</f>
        <v>41.63</v>
      </c>
      <c r="R46">
        <f>Source!X35</f>
        <v>2289.46</v>
      </c>
      <c r="S46">
        <f>Source!Y34</f>
        <v>21.28</v>
      </c>
      <c r="T46">
        <f>Source!Y35</f>
        <v>1170.17</v>
      </c>
      <c r="U46">
        <f>ROUND((175/100)*ROUND(Source!R34, 2), 2)</f>
        <v>0</v>
      </c>
      <c r="V46">
        <f>ROUND((0/100)*ROUND(Source!R35, 2), 2)</f>
        <v>0</v>
      </c>
      <c r="AC46">
        <v>0</v>
      </c>
    </row>
    <row r="47" spans="1:29" ht="14.25" x14ac:dyDescent="0.2">
      <c r="A47" s="40"/>
      <c r="B47" s="40"/>
      <c r="C47" s="40" t="s">
        <v>392</v>
      </c>
      <c r="D47" s="42"/>
      <c r="E47" s="41"/>
      <c r="F47" s="44">
        <f>Source!AO34</f>
        <v>40.17</v>
      </c>
      <c r="G47" s="43" t="s">
        <v>393</v>
      </c>
      <c r="H47" s="41">
        <f>Source!AV35</f>
        <v>1.0469999999999999</v>
      </c>
      <c r="I47" s="44">
        <f>Source!S34</f>
        <v>46.26</v>
      </c>
      <c r="J47" s="41">
        <f>IF(Source!BA35&lt;&gt; 0, Source!BA35, 1)</f>
        <v>54.99</v>
      </c>
      <c r="K47" s="44">
        <f>Source!S35</f>
        <v>2543.84</v>
      </c>
    </row>
    <row r="48" spans="1:29" ht="14.25" x14ac:dyDescent="0.2">
      <c r="A48" s="40"/>
      <c r="B48" s="40"/>
      <c r="C48" s="40" t="s">
        <v>394</v>
      </c>
      <c r="D48" s="42"/>
      <c r="E48" s="41"/>
      <c r="F48" s="44">
        <f>Source!AL34</f>
        <v>2.34</v>
      </c>
      <c r="G48" s="43"/>
      <c r="H48" s="41">
        <f>Source!AW35</f>
        <v>1</v>
      </c>
      <c r="I48" s="44">
        <f>Source!P34</f>
        <v>2.34</v>
      </c>
      <c r="J48" s="41">
        <f>IF(Source!BC35&lt;&gt; 0, Source!BC35, 1)</f>
        <v>10.26</v>
      </c>
      <c r="K48" s="44">
        <f>Source!P35</f>
        <v>24.01</v>
      </c>
    </row>
    <row r="49" spans="1:29" ht="14.25" x14ac:dyDescent="0.2">
      <c r="A49" s="40"/>
      <c r="B49" s="40"/>
      <c r="C49" s="40" t="s">
        <v>395</v>
      </c>
      <c r="D49" s="42" t="s">
        <v>396</v>
      </c>
      <c r="E49" s="41">
        <f>Source!BZ35</f>
        <v>90</v>
      </c>
      <c r="F49" s="44"/>
      <c r="G49" s="43"/>
      <c r="H49" s="41"/>
      <c r="I49" s="44">
        <f>SUM(Q46:Q48)</f>
        <v>41.63</v>
      </c>
      <c r="J49" s="41">
        <f>Source!AT35</f>
        <v>90</v>
      </c>
      <c r="K49" s="44">
        <f>SUM(R46:R48)</f>
        <v>2289.46</v>
      </c>
    </row>
    <row r="50" spans="1:29" ht="14.25" x14ac:dyDescent="0.2">
      <c r="A50" s="40"/>
      <c r="B50" s="40"/>
      <c r="C50" s="40" t="s">
        <v>397</v>
      </c>
      <c r="D50" s="42" t="s">
        <v>396</v>
      </c>
      <c r="E50" s="41">
        <f>Source!CA35</f>
        <v>46</v>
      </c>
      <c r="F50" s="44"/>
      <c r="G50" s="43"/>
      <c r="H50" s="41"/>
      <c r="I50" s="44">
        <f>SUM(S46:S49)</f>
        <v>21.28</v>
      </c>
      <c r="J50" s="41">
        <f>Source!AU35</f>
        <v>46</v>
      </c>
      <c r="K50" s="44">
        <f>SUM(T46:T49)</f>
        <v>1170.17</v>
      </c>
    </row>
    <row r="51" spans="1:29" ht="14.25" x14ac:dyDescent="0.2">
      <c r="A51" s="45"/>
      <c r="B51" s="45"/>
      <c r="C51" s="45" t="s">
        <v>398</v>
      </c>
      <c r="D51" s="46" t="s">
        <v>399</v>
      </c>
      <c r="E51" s="47">
        <f>Source!AQ34</f>
        <v>3.18</v>
      </c>
      <c r="F51" s="48"/>
      <c r="G51" s="49" t="s">
        <v>393</v>
      </c>
      <c r="H51" s="47">
        <f>Source!AV35</f>
        <v>1.0469999999999999</v>
      </c>
      <c r="I51" s="48">
        <f>Source!U34</f>
        <v>3.6624060000000003</v>
      </c>
      <c r="J51" s="47"/>
      <c r="K51" s="48"/>
    </row>
    <row r="52" spans="1:29" ht="15" x14ac:dyDescent="0.2">
      <c r="C52" s="50" t="s">
        <v>400</v>
      </c>
      <c r="H52" s="51">
        <f>I47+I48+I49+I50+0-0-0</f>
        <v>111.50999999999999</v>
      </c>
      <c r="I52" s="51"/>
      <c r="J52" s="51">
        <f>K47+K48+K49+K50+0-0-0</f>
        <v>6027.4800000000005</v>
      </c>
      <c r="K52" s="51"/>
    </row>
    <row r="53" spans="1:29" ht="15" hidden="1" x14ac:dyDescent="0.2">
      <c r="C53" s="50" t="s">
        <v>401</v>
      </c>
      <c r="H53" s="53">
        <f>0+0</f>
        <v>0</v>
      </c>
      <c r="I53" s="53"/>
      <c r="J53" s="53">
        <f>0+0</f>
        <v>0</v>
      </c>
      <c r="K53" s="53"/>
    </row>
    <row r="54" spans="1:29" ht="15" x14ac:dyDescent="0.2">
      <c r="C54" s="50" t="s">
        <v>402</v>
      </c>
      <c r="H54" s="53">
        <f>I47+I48+I49+I50+0</f>
        <v>111.50999999999999</v>
      </c>
      <c r="I54" s="53"/>
      <c r="J54" s="53">
        <f>K47+K48+K49+K50+0</f>
        <v>6027.4800000000005</v>
      </c>
      <c r="K54" s="53"/>
      <c r="O54" s="54">
        <f>I47+I48+I49+I50+0</f>
        <v>111.50999999999999</v>
      </c>
      <c r="P54" s="54">
        <f>K47+K48+K49+K50+0</f>
        <v>6027.4800000000005</v>
      </c>
    </row>
    <row r="56" spans="1:29" ht="68.25" x14ac:dyDescent="0.2">
      <c r="A56" s="55">
        <v>5</v>
      </c>
      <c r="B56" s="55" t="str">
        <f>Source!F36</f>
        <v>КА-3</v>
      </c>
      <c r="C56" s="55" t="s">
        <v>405</v>
      </c>
      <c r="D56" s="56" t="str">
        <f>Source!H36</f>
        <v>ШТ</v>
      </c>
      <c r="E56" s="57">
        <f>Source!I36</f>
        <v>1</v>
      </c>
      <c r="F56" s="58">
        <f>Source!AL36</f>
        <v>1280.27</v>
      </c>
      <c r="G56" s="59"/>
      <c r="H56" s="57">
        <f>Source!AW37</f>
        <v>1</v>
      </c>
      <c r="I56" s="58">
        <f>Source!P36</f>
        <v>1280.27</v>
      </c>
      <c r="J56" s="57">
        <f>IF(Source!BC37&lt;&gt; 0, Source!BC37, 1)</f>
        <v>7.66</v>
      </c>
      <c r="K56" s="58">
        <f>Source!P37</f>
        <v>9806.8700000000008</v>
      </c>
      <c r="Q56">
        <f>Source!X36</f>
        <v>0</v>
      </c>
      <c r="R56">
        <f>Source!X37</f>
        <v>0</v>
      </c>
      <c r="S56">
        <f>Source!Y36</f>
        <v>0</v>
      </c>
      <c r="T56">
        <f>Source!Y37</f>
        <v>0</v>
      </c>
      <c r="U56">
        <f>ROUND((175/100)*ROUND(Source!R36, 2), 2)</f>
        <v>0</v>
      </c>
      <c r="V56">
        <f>ROUND((0/100)*ROUND(Source!R37, 2), 2)</f>
        <v>0</v>
      </c>
      <c r="AC56">
        <v>5</v>
      </c>
    </row>
    <row r="57" spans="1:29" ht="15" x14ac:dyDescent="0.2">
      <c r="A57" s="60"/>
      <c r="B57" s="60"/>
      <c r="C57" s="61" t="s">
        <v>402</v>
      </c>
      <c r="D57" s="60"/>
      <c r="E57" s="60"/>
      <c r="F57" s="60"/>
      <c r="G57" s="60"/>
      <c r="H57" s="62">
        <f>I56+0</f>
        <v>1280.27</v>
      </c>
      <c r="I57" s="62"/>
      <c r="J57" s="62">
        <f>K56+0</f>
        <v>9806.8700000000008</v>
      </c>
      <c r="K57" s="62"/>
      <c r="O57" s="54">
        <f>I56+0</f>
        <v>1280.27</v>
      </c>
      <c r="P57" s="54">
        <f>K56+0</f>
        <v>9806.8700000000008</v>
      </c>
    </row>
    <row r="59" spans="1:29" ht="57" x14ac:dyDescent="0.2">
      <c r="A59" s="40">
        <v>6</v>
      </c>
      <c r="B59" s="40" t="str">
        <f>Source!F38</f>
        <v>4.10-80-1</v>
      </c>
      <c r="C59" s="40" t="s">
        <v>54</v>
      </c>
      <c r="D59" s="42" t="str">
        <f>Source!H38</f>
        <v>1  ШТ.</v>
      </c>
      <c r="E59" s="41">
        <f>Source!I38</f>
        <v>1</v>
      </c>
      <c r="F59" s="44"/>
      <c r="G59" s="43"/>
      <c r="H59" s="41"/>
      <c r="I59" s="44"/>
      <c r="J59" s="41"/>
      <c r="K59" s="44"/>
      <c r="Q59">
        <f>Source!X38</f>
        <v>98.52</v>
      </c>
      <c r="R59">
        <f>Source!X39</f>
        <v>5417.78</v>
      </c>
      <c r="S59">
        <f>Source!Y38</f>
        <v>50.36</v>
      </c>
      <c r="T59">
        <f>Source!Y39</f>
        <v>2769.09</v>
      </c>
      <c r="U59">
        <f>ROUND((175/100)*ROUND(Source!R38, 2), 2)</f>
        <v>0.02</v>
      </c>
      <c r="V59">
        <f>ROUND((0/100)*ROUND(Source!R39, 2), 2)</f>
        <v>0</v>
      </c>
      <c r="AC59">
        <v>0</v>
      </c>
    </row>
    <row r="60" spans="1:29" ht="14.25" x14ac:dyDescent="0.2">
      <c r="A60" s="40"/>
      <c r="B60" s="40"/>
      <c r="C60" s="40" t="s">
        <v>392</v>
      </c>
      <c r="D60" s="42"/>
      <c r="E60" s="41"/>
      <c r="F60" s="44">
        <f>Source!AO38</f>
        <v>95.04</v>
      </c>
      <c r="G60" s="43" t="s">
        <v>393</v>
      </c>
      <c r="H60" s="41">
        <f>Source!AV39</f>
        <v>1.0469999999999999</v>
      </c>
      <c r="I60" s="44">
        <f>Source!S38</f>
        <v>109.46</v>
      </c>
      <c r="J60" s="41">
        <f>IF(Source!BA39&lt;&gt; 0, Source!BA39, 1)</f>
        <v>54.99</v>
      </c>
      <c r="K60" s="44">
        <f>Source!S39</f>
        <v>6019.21</v>
      </c>
    </row>
    <row r="61" spans="1:29" ht="14.25" x14ac:dyDescent="0.2">
      <c r="A61" s="40"/>
      <c r="B61" s="40"/>
      <c r="C61" s="40" t="s">
        <v>406</v>
      </c>
      <c r="D61" s="42"/>
      <c r="E61" s="41"/>
      <c r="F61" s="44">
        <f>Source!AM38</f>
        <v>0.06</v>
      </c>
      <c r="G61" s="43" t="s">
        <v>393</v>
      </c>
      <c r="H61" s="41">
        <f>Source!AV39</f>
        <v>1.0469999999999999</v>
      </c>
      <c r="I61" s="44">
        <f>Source!Q38</f>
        <v>7.0000000000000007E-2</v>
      </c>
      <c r="J61" s="41">
        <f>IF(Source!BB39&lt;&gt; 0, Source!BB39, 1)</f>
        <v>17.5</v>
      </c>
      <c r="K61" s="44">
        <f>Source!Q39</f>
        <v>1.23</v>
      </c>
    </row>
    <row r="62" spans="1:29" ht="14.25" x14ac:dyDescent="0.2">
      <c r="A62" s="40"/>
      <c r="B62" s="40"/>
      <c r="C62" s="40" t="s">
        <v>407</v>
      </c>
      <c r="D62" s="42"/>
      <c r="E62" s="41"/>
      <c r="F62" s="44">
        <f>Source!AN38</f>
        <v>0.01</v>
      </c>
      <c r="G62" s="43" t="s">
        <v>393</v>
      </c>
      <c r="H62" s="41">
        <f>Source!AV39</f>
        <v>1.0469999999999999</v>
      </c>
      <c r="I62" s="63">
        <f>Source!R38</f>
        <v>0.01</v>
      </c>
      <c r="J62" s="41">
        <f>IF(Source!BS39&lt;&gt; 0, Source!BS39, 1)</f>
        <v>54.99</v>
      </c>
      <c r="K62" s="63">
        <f>Source!R39</f>
        <v>0.55000000000000004</v>
      </c>
    </row>
    <row r="63" spans="1:29" ht="14.25" x14ac:dyDescent="0.2">
      <c r="A63" s="40"/>
      <c r="B63" s="40"/>
      <c r="C63" s="40" t="s">
        <v>394</v>
      </c>
      <c r="D63" s="42"/>
      <c r="E63" s="41"/>
      <c r="F63" s="44">
        <f>Source!AL38</f>
        <v>12.53</v>
      </c>
      <c r="G63" s="43"/>
      <c r="H63" s="41">
        <f>Source!AW39</f>
        <v>1</v>
      </c>
      <c r="I63" s="44">
        <f>Source!P38</f>
        <v>12.53</v>
      </c>
      <c r="J63" s="41">
        <f>IF(Source!BC39&lt;&gt; 0, Source!BC39, 1)</f>
        <v>9.89</v>
      </c>
      <c r="K63" s="44">
        <f>Source!P39</f>
        <v>123.92</v>
      </c>
    </row>
    <row r="64" spans="1:29" ht="14.25" x14ac:dyDescent="0.2">
      <c r="A64" s="40"/>
      <c r="B64" s="40"/>
      <c r="C64" s="40" t="s">
        <v>395</v>
      </c>
      <c r="D64" s="42" t="s">
        <v>396</v>
      </c>
      <c r="E64" s="41">
        <f>Source!BZ39</f>
        <v>90</v>
      </c>
      <c r="F64" s="44"/>
      <c r="G64" s="43"/>
      <c r="H64" s="41"/>
      <c r="I64" s="44">
        <f>SUM(Q59:Q63)</f>
        <v>98.52</v>
      </c>
      <c r="J64" s="41">
        <f>Source!AT39</f>
        <v>90</v>
      </c>
      <c r="K64" s="44">
        <f>SUM(R59:R63)</f>
        <v>5417.78</v>
      </c>
    </row>
    <row r="65" spans="1:29" ht="14.25" x14ac:dyDescent="0.2">
      <c r="A65" s="40"/>
      <c r="B65" s="40"/>
      <c r="C65" s="40" t="s">
        <v>397</v>
      </c>
      <c r="D65" s="42" t="s">
        <v>396</v>
      </c>
      <c r="E65" s="41">
        <f>Source!CA39</f>
        <v>46</v>
      </c>
      <c r="F65" s="44"/>
      <c r="G65" s="43"/>
      <c r="H65" s="41"/>
      <c r="I65" s="44">
        <f>SUM(S59:S64)</f>
        <v>50.36</v>
      </c>
      <c r="J65" s="41">
        <f>Source!AU39</f>
        <v>46</v>
      </c>
      <c r="K65" s="44">
        <f>SUM(T59:T64)</f>
        <v>2769.09</v>
      </c>
    </row>
    <row r="66" spans="1:29" ht="14.25" x14ac:dyDescent="0.2">
      <c r="A66" s="45"/>
      <c r="B66" s="45"/>
      <c r="C66" s="45" t="s">
        <v>398</v>
      </c>
      <c r="D66" s="46" t="s">
        <v>399</v>
      </c>
      <c r="E66" s="47">
        <f>Source!AQ38</f>
        <v>7.2</v>
      </c>
      <c r="F66" s="48"/>
      <c r="G66" s="49" t="s">
        <v>393</v>
      </c>
      <c r="H66" s="47">
        <f>Source!AV39</f>
        <v>1.0469999999999999</v>
      </c>
      <c r="I66" s="48">
        <f>Source!U38</f>
        <v>8.2922399999999996</v>
      </c>
      <c r="J66" s="47"/>
      <c r="K66" s="48"/>
    </row>
    <row r="67" spans="1:29" ht="15" x14ac:dyDescent="0.2">
      <c r="C67" s="50" t="s">
        <v>400</v>
      </c>
      <c r="H67" s="51">
        <f>I60+I61+I63+I64+I65+0-0-0</f>
        <v>270.94</v>
      </c>
      <c r="I67" s="51"/>
      <c r="J67" s="51">
        <f>K60+K61+K63+K64+K65+0-0-0</f>
        <v>14331.23</v>
      </c>
      <c r="K67" s="51"/>
    </row>
    <row r="68" spans="1:29" ht="15" hidden="1" x14ac:dyDescent="0.2">
      <c r="C68" s="50" t="s">
        <v>401</v>
      </c>
      <c r="H68" s="53">
        <f>0+0</f>
        <v>0</v>
      </c>
      <c r="I68" s="53"/>
      <c r="J68" s="53">
        <f>0+0</f>
        <v>0</v>
      </c>
      <c r="K68" s="53"/>
    </row>
    <row r="69" spans="1:29" ht="15" x14ac:dyDescent="0.2">
      <c r="C69" s="50" t="s">
        <v>402</v>
      </c>
      <c r="H69" s="53">
        <f>I60+I61+I63+I64+I65+0</f>
        <v>270.94</v>
      </c>
      <c r="I69" s="53"/>
      <c r="J69" s="53">
        <f>K60+K61+K63+K64+K65+0</f>
        <v>14331.23</v>
      </c>
      <c r="K69" s="53"/>
      <c r="O69" s="54">
        <f>I60+I61+I63+I64+I65+0</f>
        <v>270.94</v>
      </c>
      <c r="P69" s="54">
        <f>K60+K61+K63+K64+K65+0</f>
        <v>14331.23</v>
      </c>
    </row>
    <row r="71" spans="1:29" ht="68.25" x14ac:dyDescent="0.2">
      <c r="A71" s="55">
        <v>7</v>
      </c>
      <c r="B71" s="55" t="str">
        <f>Source!F40</f>
        <v>КА-4</v>
      </c>
      <c r="C71" s="55" t="s">
        <v>408</v>
      </c>
      <c r="D71" s="56" t="str">
        <f>Source!H40</f>
        <v>ШТ</v>
      </c>
      <c r="E71" s="57">
        <f>Source!I40</f>
        <v>1</v>
      </c>
      <c r="F71" s="58">
        <f>Source!AL40</f>
        <v>9985.5399999999991</v>
      </c>
      <c r="G71" s="59"/>
      <c r="H71" s="57">
        <f>Source!AW41</f>
        <v>1</v>
      </c>
      <c r="I71" s="58">
        <f>Source!P40</f>
        <v>9985.5400000000009</v>
      </c>
      <c r="J71" s="57">
        <f>IF(Source!BC41&lt;&gt; 0, Source!BC41, 1)</f>
        <v>7.66</v>
      </c>
      <c r="K71" s="58">
        <f>Source!P41</f>
        <v>76489.240000000005</v>
      </c>
      <c r="Q71">
        <f>Source!X40</f>
        <v>0</v>
      </c>
      <c r="R71">
        <f>Source!X41</f>
        <v>0</v>
      </c>
      <c r="S71">
        <f>Source!Y40</f>
        <v>0</v>
      </c>
      <c r="T71">
        <f>Source!Y41</f>
        <v>0</v>
      </c>
      <c r="U71">
        <f>ROUND((175/100)*ROUND(Source!R40, 2), 2)</f>
        <v>0</v>
      </c>
      <c r="V71">
        <f>ROUND((0/100)*ROUND(Source!R41, 2), 2)</f>
        <v>0</v>
      </c>
      <c r="AC71">
        <v>5</v>
      </c>
    </row>
    <row r="72" spans="1:29" ht="15" x14ac:dyDescent="0.2">
      <c r="A72" s="60"/>
      <c r="B72" s="60"/>
      <c r="C72" s="61" t="s">
        <v>402</v>
      </c>
      <c r="D72" s="60"/>
      <c r="E72" s="60"/>
      <c r="F72" s="60"/>
      <c r="G72" s="60"/>
      <c r="H72" s="62">
        <f>I71+0</f>
        <v>9985.5400000000009</v>
      </c>
      <c r="I72" s="62"/>
      <c r="J72" s="62">
        <f>K71+0</f>
        <v>76489.240000000005</v>
      </c>
      <c r="K72" s="62"/>
      <c r="O72" s="54">
        <f>I71+0</f>
        <v>9985.5400000000009</v>
      </c>
      <c r="P72" s="54">
        <f>K71+0</f>
        <v>76489.240000000005</v>
      </c>
    </row>
    <row r="74" spans="1:29" ht="28.5" x14ac:dyDescent="0.2">
      <c r="A74" s="40">
        <v>8</v>
      </c>
      <c r="B74" s="40" t="str">
        <f>Source!F42</f>
        <v>4.10-80-13</v>
      </c>
      <c r="C74" s="40" t="s">
        <v>62</v>
      </c>
      <c r="D74" s="42" t="str">
        <f>Source!H42</f>
        <v>1  ШТ.</v>
      </c>
      <c r="E74" s="41">
        <f>Source!I42</f>
        <v>1</v>
      </c>
      <c r="F74" s="44"/>
      <c r="G74" s="43"/>
      <c r="H74" s="41"/>
      <c r="I74" s="44"/>
      <c r="J74" s="41"/>
      <c r="K74" s="44"/>
      <c r="Q74">
        <f>Source!X42</f>
        <v>16.670000000000002</v>
      </c>
      <c r="R74">
        <f>Source!X43</f>
        <v>916.57</v>
      </c>
      <c r="S74">
        <f>Source!Y42</f>
        <v>8.52</v>
      </c>
      <c r="T74">
        <f>Source!Y43</f>
        <v>468.47</v>
      </c>
      <c r="U74">
        <f>ROUND((175/100)*ROUND(Source!R42, 2), 2)</f>
        <v>0.02</v>
      </c>
      <c r="V74">
        <f>ROUND((0/100)*ROUND(Source!R43, 2), 2)</f>
        <v>0</v>
      </c>
      <c r="AC74">
        <v>0</v>
      </c>
    </row>
    <row r="75" spans="1:29" ht="14.25" x14ac:dyDescent="0.2">
      <c r="A75" s="40"/>
      <c r="B75" s="40"/>
      <c r="C75" s="40" t="s">
        <v>392</v>
      </c>
      <c r="D75" s="42"/>
      <c r="E75" s="41"/>
      <c r="F75" s="44">
        <f>Source!AO42</f>
        <v>16.07</v>
      </c>
      <c r="G75" s="43" t="s">
        <v>393</v>
      </c>
      <c r="H75" s="41">
        <f>Source!AV43</f>
        <v>1.0469999999999999</v>
      </c>
      <c r="I75" s="44">
        <f>Source!S42</f>
        <v>18.510000000000002</v>
      </c>
      <c r="J75" s="41">
        <f>IF(Source!BA43&lt;&gt; 0, Source!BA43, 1)</f>
        <v>54.99</v>
      </c>
      <c r="K75" s="44">
        <f>Source!S43</f>
        <v>1017.86</v>
      </c>
    </row>
    <row r="76" spans="1:29" ht="14.25" x14ac:dyDescent="0.2">
      <c r="A76" s="40"/>
      <c r="B76" s="40"/>
      <c r="C76" s="40" t="s">
        <v>406</v>
      </c>
      <c r="D76" s="42"/>
      <c r="E76" s="41"/>
      <c r="F76" s="44">
        <f>Source!AM42</f>
        <v>0.05</v>
      </c>
      <c r="G76" s="43" t="s">
        <v>393</v>
      </c>
      <c r="H76" s="41">
        <f>Source!AV43</f>
        <v>1.0469999999999999</v>
      </c>
      <c r="I76" s="44">
        <f>Source!Q42</f>
        <v>0.06</v>
      </c>
      <c r="J76" s="41">
        <f>IF(Source!BB43&lt;&gt; 0, Source!BB43, 1)</f>
        <v>19</v>
      </c>
      <c r="K76" s="44">
        <f>Source!Q43</f>
        <v>1.1399999999999999</v>
      </c>
    </row>
    <row r="77" spans="1:29" ht="14.25" x14ac:dyDescent="0.2">
      <c r="A77" s="40"/>
      <c r="B77" s="40"/>
      <c r="C77" s="40" t="s">
        <v>407</v>
      </c>
      <c r="D77" s="42"/>
      <c r="E77" s="41"/>
      <c r="F77" s="44">
        <f>Source!AN42</f>
        <v>0.01</v>
      </c>
      <c r="G77" s="43" t="s">
        <v>393</v>
      </c>
      <c r="H77" s="41">
        <f>Source!AV43</f>
        <v>1.0469999999999999</v>
      </c>
      <c r="I77" s="63">
        <f>Source!R42</f>
        <v>0.01</v>
      </c>
      <c r="J77" s="41">
        <f>IF(Source!BS43&lt;&gt; 0, Source!BS43, 1)</f>
        <v>54.99</v>
      </c>
      <c r="K77" s="63">
        <f>Source!R43</f>
        <v>0.55000000000000004</v>
      </c>
    </row>
    <row r="78" spans="1:29" ht="14.25" x14ac:dyDescent="0.2">
      <c r="A78" s="40"/>
      <c r="B78" s="40"/>
      <c r="C78" s="40" t="s">
        <v>394</v>
      </c>
      <c r="D78" s="42"/>
      <c r="E78" s="41"/>
      <c r="F78" s="44">
        <f>Source!AL42</f>
        <v>1.96</v>
      </c>
      <c r="G78" s="43"/>
      <c r="H78" s="41">
        <f>Source!AW43</f>
        <v>1</v>
      </c>
      <c r="I78" s="44">
        <f>Source!P42</f>
        <v>1.96</v>
      </c>
      <c r="J78" s="41">
        <f>IF(Source!BC43&lt;&gt; 0, Source!BC43, 1)</f>
        <v>9.89</v>
      </c>
      <c r="K78" s="44">
        <f>Source!P43</f>
        <v>19.38</v>
      </c>
    </row>
    <row r="79" spans="1:29" ht="14.25" x14ac:dyDescent="0.2">
      <c r="A79" s="40"/>
      <c r="B79" s="40"/>
      <c r="C79" s="40" t="s">
        <v>395</v>
      </c>
      <c r="D79" s="42" t="s">
        <v>396</v>
      </c>
      <c r="E79" s="41">
        <f>Source!BZ43</f>
        <v>90</v>
      </c>
      <c r="F79" s="44"/>
      <c r="G79" s="43"/>
      <c r="H79" s="41"/>
      <c r="I79" s="44">
        <f>SUM(Q74:Q78)</f>
        <v>16.670000000000002</v>
      </c>
      <c r="J79" s="41">
        <f>Source!AT43</f>
        <v>90</v>
      </c>
      <c r="K79" s="44">
        <f>SUM(R74:R78)</f>
        <v>916.57</v>
      </c>
    </row>
    <row r="80" spans="1:29" ht="14.25" x14ac:dyDescent="0.2">
      <c r="A80" s="40"/>
      <c r="B80" s="40"/>
      <c r="C80" s="40" t="s">
        <v>397</v>
      </c>
      <c r="D80" s="42" t="s">
        <v>396</v>
      </c>
      <c r="E80" s="41">
        <f>Source!CA43</f>
        <v>46</v>
      </c>
      <c r="F80" s="44"/>
      <c r="G80" s="43"/>
      <c r="H80" s="41"/>
      <c r="I80" s="44">
        <f>SUM(S74:S79)</f>
        <v>8.52</v>
      </c>
      <c r="J80" s="41">
        <f>Source!AU43</f>
        <v>46</v>
      </c>
      <c r="K80" s="44">
        <f>SUM(T74:T79)</f>
        <v>468.47</v>
      </c>
    </row>
    <row r="81" spans="1:29" ht="14.25" x14ac:dyDescent="0.2">
      <c r="A81" s="45"/>
      <c r="B81" s="45"/>
      <c r="C81" s="45" t="s">
        <v>398</v>
      </c>
      <c r="D81" s="46" t="s">
        <v>399</v>
      </c>
      <c r="E81" s="47">
        <f>Source!AQ42</f>
        <v>1.2</v>
      </c>
      <c r="F81" s="48"/>
      <c r="G81" s="49" t="s">
        <v>393</v>
      </c>
      <c r="H81" s="47">
        <f>Source!AV43</f>
        <v>1.0469999999999999</v>
      </c>
      <c r="I81" s="48">
        <f>Source!U42</f>
        <v>1.3820399999999999</v>
      </c>
      <c r="J81" s="47"/>
      <c r="K81" s="48"/>
    </row>
    <row r="82" spans="1:29" ht="15" x14ac:dyDescent="0.2">
      <c r="C82" s="50" t="s">
        <v>400</v>
      </c>
      <c r="H82" s="51">
        <f>I75+I76+I78+I79+I80+0-0-0</f>
        <v>45.72</v>
      </c>
      <c r="I82" s="51"/>
      <c r="J82" s="51">
        <f>K75+K76+K78+K79+K80+0-0-0</f>
        <v>2423.42</v>
      </c>
      <c r="K82" s="51"/>
    </row>
    <row r="83" spans="1:29" ht="15" hidden="1" x14ac:dyDescent="0.2">
      <c r="C83" s="50" t="s">
        <v>401</v>
      </c>
      <c r="H83" s="53">
        <f>0+0</f>
        <v>0</v>
      </c>
      <c r="I83" s="53"/>
      <c r="J83" s="53">
        <f>0+0</f>
        <v>0</v>
      </c>
      <c r="K83" s="53"/>
    </row>
    <row r="84" spans="1:29" ht="15" x14ac:dyDescent="0.2">
      <c r="C84" s="50" t="s">
        <v>402</v>
      </c>
      <c r="H84" s="53">
        <f>I75+I76+I78+I79+I80+0</f>
        <v>45.72</v>
      </c>
      <c r="I84" s="53"/>
      <c r="J84" s="53">
        <f>K75+K76+K78+K79+K80+0</f>
        <v>2423.42</v>
      </c>
      <c r="K84" s="53"/>
      <c r="O84" s="54">
        <f>I75+I76+I78+I79+I80+0</f>
        <v>45.72</v>
      </c>
      <c r="P84" s="54">
        <f>K75+K76+K78+K79+K80+0</f>
        <v>2423.42</v>
      </c>
    </row>
    <row r="86" spans="1:29" ht="54" x14ac:dyDescent="0.2">
      <c r="A86" s="55">
        <v>9</v>
      </c>
      <c r="B86" s="55" t="str">
        <f>Source!F44</f>
        <v>КА-5</v>
      </c>
      <c r="C86" s="55" t="s">
        <v>409</v>
      </c>
      <c r="D86" s="56" t="str">
        <f>Source!H44</f>
        <v>ШТ</v>
      </c>
      <c r="E86" s="57">
        <f>Source!I44</f>
        <v>1</v>
      </c>
      <c r="F86" s="58">
        <f>Source!AL44</f>
        <v>997.80000000000007</v>
      </c>
      <c r="G86" s="59"/>
      <c r="H86" s="57">
        <f>Source!AW45</f>
        <v>1</v>
      </c>
      <c r="I86" s="58">
        <f>Source!P44</f>
        <v>997.8</v>
      </c>
      <c r="J86" s="57">
        <f>IF(Source!BC45&lt;&gt; 0, Source!BC45, 1)</f>
        <v>7.66</v>
      </c>
      <c r="K86" s="58">
        <f>Source!P45</f>
        <v>7643.15</v>
      </c>
      <c r="Q86">
        <f>Source!X44</f>
        <v>0</v>
      </c>
      <c r="R86">
        <f>Source!X45</f>
        <v>0</v>
      </c>
      <c r="S86">
        <f>Source!Y44</f>
        <v>0</v>
      </c>
      <c r="T86">
        <f>Source!Y45</f>
        <v>0</v>
      </c>
      <c r="U86">
        <f>ROUND((175/100)*ROUND(Source!R44, 2), 2)</f>
        <v>0</v>
      </c>
      <c r="V86">
        <f>ROUND((0/100)*ROUND(Source!R45, 2), 2)</f>
        <v>0</v>
      </c>
      <c r="AC86">
        <v>5</v>
      </c>
    </row>
    <row r="87" spans="1:29" ht="15" x14ac:dyDescent="0.2">
      <c r="A87" s="60"/>
      <c r="B87" s="60"/>
      <c r="C87" s="61" t="s">
        <v>402</v>
      </c>
      <c r="D87" s="60"/>
      <c r="E87" s="60"/>
      <c r="F87" s="60"/>
      <c r="G87" s="60"/>
      <c r="H87" s="62">
        <f>I86+0</f>
        <v>997.8</v>
      </c>
      <c r="I87" s="62"/>
      <c r="J87" s="62">
        <f>K86+0</f>
        <v>7643.15</v>
      </c>
      <c r="K87" s="62"/>
      <c r="O87" s="54">
        <f>I86+0</f>
        <v>997.8</v>
      </c>
      <c r="P87" s="54">
        <f>K86+0</f>
        <v>7643.15</v>
      </c>
    </row>
    <row r="89" spans="1:29" ht="28.5" x14ac:dyDescent="0.2">
      <c r="A89" s="40">
        <v>10</v>
      </c>
      <c r="B89" s="40" t="str">
        <f>Source!F46</f>
        <v>4.10-80-9</v>
      </c>
      <c r="C89" s="40" t="s">
        <v>70</v>
      </c>
      <c r="D89" s="42" t="str">
        <f>Source!H46</f>
        <v>1  ШТ.</v>
      </c>
      <c r="E89" s="41">
        <f>Source!I46</f>
        <v>1</v>
      </c>
      <c r="F89" s="44"/>
      <c r="G89" s="43"/>
      <c r="H89" s="41"/>
      <c r="I89" s="44"/>
      <c r="J89" s="41"/>
      <c r="K89" s="44"/>
      <c r="Q89">
        <f>Source!X46</f>
        <v>80.180000000000007</v>
      </c>
      <c r="R89">
        <f>Source!X47</f>
        <v>4409.1499999999996</v>
      </c>
      <c r="S89">
        <f>Source!Y46</f>
        <v>40.98</v>
      </c>
      <c r="T89">
        <f>Source!Y47</f>
        <v>2253.5700000000002</v>
      </c>
      <c r="U89">
        <f>ROUND((175/100)*ROUND(Source!R46, 2), 2)</f>
        <v>0.02</v>
      </c>
      <c r="V89">
        <f>ROUND((0/100)*ROUND(Source!R47, 2), 2)</f>
        <v>0</v>
      </c>
      <c r="AC89">
        <v>0</v>
      </c>
    </row>
    <row r="90" spans="1:29" ht="14.25" x14ac:dyDescent="0.2">
      <c r="A90" s="40"/>
      <c r="B90" s="40"/>
      <c r="C90" s="40" t="s">
        <v>392</v>
      </c>
      <c r="D90" s="42"/>
      <c r="E90" s="41"/>
      <c r="F90" s="44">
        <f>Source!AO46</f>
        <v>77.349999999999994</v>
      </c>
      <c r="G90" s="43" t="s">
        <v>393</v>
      </c>
      <c r="H90" s="41">
        <f>Source!AV47</f>
        <v>1.0469999999999999</v>
      </c>
      <c r="I90" s="44">
        <f>Source!S46</f>
        <v>89.08</v>
      </c>
      <c r="J90" s="41">
        <f>IF(Source!BA47&lt;&gt; 0, Source!BA47, 1)</f>
        <v>54.99</v>
      </c>
      <c r="K90" s="44">
        <f>Source!S47</f>
        <v>4898.51</v>
      </c>
    </row>
    <row r="91" spans="1:29" ht="14.25" x14ac:dyDescent="0.2">
      <c r="A91" s="40"/>
      <c r="B91" s="40"/>
      <c r="C91" s="40" t="s">
        <v>406</v>
      </c>
      <c r="D91" s="42"/>
      <c r="E91" s="41"/>
      <c r="F91" s="44">
        <f>Source!AM46</f>
        <v>0.05</v>
      </c>
      <c r="G91" s="43" t="s">
        <v>393</v>
      </c>
      <c r="H91" s="41">
        <f>Source!AV47</f>
        <v>1.0469999999999999</v>
      </c>
      <c r="I91" s="44">
        <f>Source!Q46</f>
        <v>0.06</v>
      </c>
      <c r="J91" s="41">
        <f>IF(Source!BB47&lt;&gt; 0, Source!BB47, 1)</f>
        <v>19</v>
      </c>
      <c r="K91" s="44">
        <f>Source!Q47</f>
        <v>1.1399999999999999</v>
      </c>
    </row>
    <row r="92" spans="1:29" ht="14.25" x14ac:dyDescent="0.2">
      <c r="A92" s="40"/>
      <c r="B92" s="40"/>
      <c r="C92" s="40" t="s">
        <v>407</v>
      </c>
      <c r="D92" s="42"/>
      <c r="E92" s="41"/>
      <c r="F92" s="44">
        <f>Source!AN46</f>
        <v>0.01</v>
      </c>
      <c r="G92" s="43" t="s">
        <v>393</v>
      </c>
      <c r="H92" s="41">
        <f>Source!AV47</f>
        <v>1.0469999999999999</v>
      </c>
      <c r="I92" s="63">
        <f>Source!R46</f>
        <v>0.01</v>
      </c>
      <c r="J92" s="41">
        <f>IF(Source!BS47&lt;&gt; 0, Source!BS47, 1)</f>
        <v>54.99</v>
      </c>
      <c r="K92" s="63">
        <f>Source!R47</f>
        <v>0.55000000000000004</v>
      </c>
    </row>
    <row r="93" spans="1:29" ht="14.25" x14ac:dyDescent="0.2">
      <c r="A93" s="40"/>
      <c r="B93" s="40"/>
      <c r="C93" s="40" t="s">
        <v>394</v>
      </c>
      <c r="D93" s="42"/>
      <c r="E93" s="41"/>
      <c r="F93" s="44">
        <f>Source!AL46</f>
        <v>4.83</v>
      </c>
      <c r="G93" s="43"/>
      <c r="H93" s="41">
        <f>Source!AW47</f>
        <v>1</v>
      </c>
      <c r="I93" s="44">
        <f>Source!P46</f>
        <v>4.83</v>
      </c>
      <c r="J93" s="41">
        <f>IF(Source!BC47&lt;&gt; 0, Source!BC47, 1)</f>
        <v>9.89</v>
      </c>
      <c r="K93" s="44">
        <f>Source!P47</f>
        <v>47.77</v>
      </c>
    </row>
    <row r="94" spans="1:29" ht="14.25" x14ac:dyDescent="0.2">
      <c r="A94" s="40"/>
      <c r="B94" s="40"/>
      <c r="C94" s="40" t="s">
        <v>395</v>
      </c>
      <c r="D94" s="42" t="s">
        <v>396</v>
      </c>
      <c r="E94" s="41">
        <f>Source!BZ47</f>
        <v>90</v>
      </c>
      <c r="F94" s="44"/>
      <c r="G94" s="43"/>
      <c r="H94" s="41"/>
      <c r="I94" s="44">
        <f>SUM(Q89:Q93)</f>
        <v>80.180000000000007</v>
      </c>
      <c r="J94" s="41">
        <f>Source!AT47</f>
        <v>90</v>
      </c>
      <c r="K94" s="44">
        <f>SUM(R89:R93)</f>
        <v>4409.1499999999996</v>
      </c>
    </row>
    <row r="95" spans="1:29" ht="14.25" x14ac:dyDescent="0.2">
      <c r="A95" s="40"/>
      <c r="B95" s="40"/>
      <c r="C95" s="40" t="s">
        <v>397</v>
      </c>
      <c r="D95" s="42" t="s">
        <v>396</v>
      </c>
      <c r="E95" s="41">
        <f>Source!CA47</f>
        <v>46</v>
      </c>
      <c r="F95" s="44"/>
      <c r="G95" s="43"/>
      <c r="H95" s="41"/>
      <c r="I95" s="44">
        <f>SUM(S89:S94)</f>
        <v>40.98</v>
      </c>
      <c r="J95" s="41">
        <f>Source!AU47</f>
        <v>46</v>
      </c>
      <c r="K95" s="44">
        <f>SUM(T89:T94)</f>
        <v>2253.5700000000002</v>
      </c>
    </row>
    <row r="96" spans="1:29" ht="14.25" x14ac:dyDescent="0.2">
      <c r="A96" s="45"/>
      <c r="B96" s="45"/>
      <c r="C96" s="45" t="s">
        <v>398</v>
      </c>
      <c r="D96" s="46" t="s">
        <v>399</v>
      </c>
      <c r="E96" s="47">
        <f>Source!AQ46</f>
        <v>5.7</v>
      </c>
      <c r="F96" s="48"/>
      <c r="G96" s="49" t="s">
        <v>393</v>
      </c>
      <c r="H96" s="47">
        <f>Source!AV47</f>
        <v>1.0469999999999999</v>
      </c>
      <c r="I96" s="48">
        <f>Source!U46</f>
        <v>6.5646899999999997</v>
      </c>
      <c r="J96" s="47"/>
      <c r="K96" s="48"/>
    </row>
    <row r="97" spans="1:29" ht="15" x14ac:dyDescent="0.2">
      <c r="C97" s="50" t="s">
        <v>400</v>
      </c>
      <c r="H97" s="51">
        <f>I90+I91+I93+I94+I95+0-0-0</f>
        <v>215.13</v>
      </c>
      <c r="I97" s="51"/>
      <c r="J97" s="51">
        <f>K90+K91+K93+K94+K95+0-0-0</f>
        <v>11610.14</v>
      </c>
      <c r="K97" s="51"/>
    </row>
    <row r="98" spans="1:29" ht="15" hidden="1" x14ac:dyDescent="0.2">
      <c r="C98" s="50" t="s">
        <v>401</v>
      </c>
      <c r="H98" s="53">
        <f>0+0</f>
        <v>0</v>
      </c>
      <c r="I98" s="53"/>
      <c r="J98" s="53">
        <f>0+0</f>
        <v>0</v>
      </c>
      <c r="K98" s="53"/>
    </row>
    <row r="99" spans="1:29" ht="15" x14ac:dyDescent="0.2">
      <c r="C99" s="50" t="s">
        <v>402</v>
      </c>
      <c r="H99" s="53">
        <f>I90+I91+I93+I94+I95+0</f>
        <v>215.13</v>
      </c>
      <c r="I99" s="53"/>
      <c r="J99" s="53">
        <f>K90+K91+K93+K94+K95+0</f>
        <v>11610.14</v>
      </c>
      <c r="K99" s="53"/>
      <c r="O99" s="54">
        <f>I90+I91+I93+I94+I95+0</f>
        <v>215.13</v>
      </c>
      <c r="P99" s="54">
        <f>K90+K91+K93+K94+K95+0</f>
        <v>11610.14</v>
      </c>
    </row>
    <row r="101" spans="1:29" ht="68.25" x14ac:dyDescent="0.2">
      <c r="A101" s="55">
        <v>11</v>
      </c>
      <c r="B101" s="55" t="str">
        <f>Source!F48</f>
        <v>КА-6</v>
      </c>
      <c r="C101" s="55" t="s">
        <v>410</v>
      </c>
      <c r="D101" s="56" t="str">
        <f>Source!H48</f>
        <v>ШТ</v>
      </c>
      <c r="E101" s="57">
        <f>Source!I48</f>
        <v>1</v>
      </c>
      <c r="F101" s="58">
        <f>Source!AL48</f>
        <v>2396.35</v>
      </c>
      <c r="G101" s="59"/>
      <c r="H101" s="57">
        <f>Source!AW49</f>
        <v>1</v>
      </c>
      <c r="I101" s="58">
        <f>Source!P48</f>
        <v>2396.35</v>
      </c>
      <c r="J101" s="57">
        <f>IF(Source!BC49&lt;&gt; 0, Source!BC49, 1)</f>
        <v>7.66</v>
      </c>
      <c r="K101" s="58">
        <f>Source!P49</f>
        <v>18356.04</v>
      </c>
      <c r="Q101">
        <f>Source!X48</f>
        <v>0</v>
      </c>
      <c r="R101">
        <f>Source!X49</f>
        <v>0</v>
      </c>
      <c r="S101">
        <f>Source!Y48</f>
        <v>0</v>
      </c>
      <c r="T101">
        <f>Source!Y49</f>
        <v>0</v>
      </c>
      <c r="U101">
        <f>ROUND((175/100)*ROUND(Source!R48, 2), 2)</f>
        <v>0</v>
      </c>
      <c r="V101">
        <f>ROUND((0/100)*ROUND(Source!R49, 2), 2)</f>
        <v>0</v>
      </c>
      <c r="AC101">
        <v>5</v>
      </c>
    </row>
    <row r="102" spans="1:29" ht="15" x14ac:dyDescent="0.2">
      <c r="A102" s="60"/>
      <c r="B102" s="60"/>
      <c r="C102" s="61" t="s">
        <v>402</v>
      </c>
      <c r="D102" s="60"/>
      <c r="E102" s="60"/>
      <c r="F102" s="60"/>
      <c r="G102" s="60"/>
      <c r="H102" s="62">
        <f>I101+0</f>
        <v>2396.35</v>
      </c>
      <c r="I102" s="62"/>
      <c r="J102" s="62">
        <f>K101+0</f>
        <v>18356.04</v>
      </c>
      <c r="K102" s="62"/>
      <c r="O102" s="54">
        <f>I101+0</f>
        <v>2396.35</v>
      </c>
      <c r="P102" s="54">
        <f>K101+0</f>
        <v>18356.04</v>
      </c>
    </row>
    <row r="104" spans="1:29" ht="57" x14ac:dyDescent="0.2">
      <c r="A104" s="40">
        <v>12</v>
      </c>
      <c r="B104" s="40" t="str">
        <f>Source!F50</f>
        <v>4.10-82-3</v>
      </c>
      <c r="C104" s="40" t="s">
        <v>78</v>
      </c>
      <c r="D104" s="42" t="str">
        <f>Source!H50</f>
        <v>1  ШТ.</v>
      </c>
      <c r="E104" s="41">
        <f>Source!I50</f>
        <v>1</v>
      </c>
      <c r="F104" s="44"/>
      <c r="G104" s="43"/>
      <c r="H104" s="41"/>
      <c r="I104" s="44"/>
      <c r="J104" s="41"/>
      <c r="K104" s="44"/>
      <c r="Q104">
        <f>Source!X50</f>
        <v>49.97</v>
      </c>
      <c r="R104">
        <f>Source!X51</f>
        <v>2747.74</v>
      </c>
      <c r="S104">
        <f>Source!Y50</f>
        <v>25.54</v>
      </c>
      <c r="T104">
        <f>Source!Y51</f>
        <v>1404.4</v>
      </c>
      <c r="U104">
        <f>ROUND((175/100)*ROUND(Source!R50, 2), 2)</f>
        <v>0.02</v>
      </c>
      <c r="V104">
        <f>ROUND((0/100)*ROUND(Source!R51, 2), 2)</f>
        <v>0</v>
      </c>
      <c r="AC104">
        <v>0</v>
      </c>
    </row>
    <row r="105" spans="1:29" ht="14.25" x14ac:dyDescent="0.2">
      <c r="A105" s="40"/>
      <c r="B105" s="40"/>
      <c r="C105" s="40" t="s">
        <v>392</v>
      </c>
      <c r="D105" s="42"/>
      <c r="E105" s="41"/>
      <c r="F105" s="44">
        <f>Source!AO50</f>
        <v>48.2</v>
      </c>
      <c r="G105" s="43" t="s">
        <v>393</v>
      </c>
      <c r="H105" s="41">
        <f>Source!AV51</f>
        <v>1.0469999999999999</v>
      </c>
      <c r="I105" s="44">
        <f>Source!S50</f>
        <v>55.51</v>
      </c>
      <c r="J105" s="41">
        <f>IF(Source!BA51&lt;&gt; 0, Source!BA51, 1)</f>
        <v>54.99</v>
      </c>
      <c r="K105" s="44">
        <f>Source!S51</f>
        <v>3052.49</v>
      </c>
    </row>
    <row r="106" spans="1:29" ht="14.25" x14ac:dyDescent="0.2">
      <c r="A106" s="40"/>
      <c r="B106" s="40"/>
      <c r="C106" s="40" t="s">
        <v>406</v>
      </c>
      <c r="D106" s="42"/>
      <c r="E106" s="41"/>
      <c r="F106" s="44">
        <f>Source!AM50</f>
        <v>0.05</v>
      </c>
      <c r="G106" s="43" t="s">
        <v>393</v>
      </c>
      <c r="H106" s="41">
        <f>Source!AV51</f>
        <v>1.0469999999999999</v>
      </c>
      <c r="I106" s="44">
        <f>Source!Q50</f>
        <v>0.06</v>
      </c>
      <c r="J106" s="41">
        <f>IF(Source!BB51&lt;&gt; 0, Source!BB51, 1)</f>
        <v>19</v>
      </c>
      <c r="K106" s="44">
        <f>Source!Q51</f>
        <v>1.1399999999999999</v>
      </c>
    </row>
    <row r="107" spans="1:29" ht="14.25" x14ac:dyDescent="0.2">
      <c r="A107" s="40"/>
      <c r="B107" s="40"/>
      <c r="C107" s="40" t="s">
        <v>407</v>
      </c>
      <c r="D107" s="42"/>
      <c r="E107" s="41"/>
      <c r="F107" s="44">
        <f>Source!AN50</f>
        <v>0.01</v>
      </c>
      <c r="G107" s="43" t="s">
        <v>393</v>
      </c>
      <c r="H107" s="41">
        <f>Source!AV51</f>
        <v>1.0469999999999999</v>
      </c>
      <c r="I107" s="63">
        <f>Source!R50</f>
        <v>0.01</v>
      </c>
      <c r="J107" s="41">
        <f>IF(Source!BS51&lt;&gt; 0, Source!BS51, 1)</f>
        <v>54.99</v>
      </c>
      <c r="K107" s="63">
        <f>Source!R51</f>
        <v>0.55000000000000004</v>
      </c>
    </row>
    <row r="108" spans="1:29" ht="14.25" x14ac:dyDescent="0.2">
      <c r="A108" s="40"/>
      <c r="B108" s="40"/>
      <c r="C108" s="40" t="s">
        <v>394</v>
      </c>
      <c r="D108" s="42"/>
      <c r="E108" s="41"/>
      <c r="F108" s="44">
        <f>Source!AL50</f>
        <v>3.36</v>
      </c>
      <c r="G108" s="43"/>
      <c r="H108" s="41">
        <f>Source!AW51</f>
        <v>1</v>
      </c>
      <c r="I108" s="44">
        <f>Source!P50</f>
        <v>3.36</v>
      </c>
      <c r="J108" s="41">
        <f>IF(Source!BC51&lt;&gt; 0, Source!BC51, 1)</f>
        <v>9.89</v>
      </c>
      <c r="K108" s="44">
        <f>Source!P51</f>
        <v>33.229999999999997</v>
      </c>
    </row>
    <row r="109" spans="1:29" ht="14.25" x14ac:dyDescent="0.2">
      <c r="A109" s="40"/>
      <c r="B109" s="40"/>
      <c r="C109" s="40" t="s">
        <v>395</v>
      </c>
      <c r="D109" s="42" t="s">
        <v>396</v>
      </c>
      <c r="E109" s="41">
        <f>Source!BZ51</f>
        <v>90</v>
      </c>
      <c r="F109" s="44"/>
      <c r="G109" s="43"/>
      <c r="H109" s="41"/>
      <c r="I109" s="44">
        <f>SUM(Q104:Q108)</f>
        <v>49.97</v>
      </c>
      <c r="J109" s="41">
        <f>Source!AT51</f>
        <v>90</v>
      </c>
      <c r="K109" s="44">
        <f>SUM(R104:R108)</f>
        <v>2747.74</v>
      </c>
    </row>
    <row r="110" spans="1:29" ht="14.25" x14ac:dyDescent="0.2">
      <c r="A110" s="40"/>
      <c r="B110" s="40"/>
      <c r="C110" s="40" t="s">
        <v>397</v>
      </c>
      <c r="D110" s="42" t="s">
        <v>396</v>
      </c>
      <c r="E110" s="41">
        <f>Source!CA51</f>
        <v>46</v>
      </c>
      <c r="F110" s="44"/>
      <c r="G110" s="43"/>
      <c r="H110" s="41"/>
      <c r="I110" s="44">
        <f>SUM(S104:S109)</f>
        <v>25.54</v>
      </c>
      <c r="J110" s="41">
        <f>Source!AU51</f>
        <v>46</v>
      </c>
      <c r="K110" s="44">
        <f>SUM(T104:T109)</f>
        <v>1404.4</v>
      </c>
    </row>
    <row r="111" spans="1:29" ht="14.25" x14ac:dyDescent="0.2">
      <c r="A111" s="45"/>
      <c r="B111" s="45"/>
      <c r="C111" s="45" t="s">
        <v>398</v>
      </c>
      <c r="D111" s="46" t="s">
        <v>399</v>
      </c>
      <c r="E111" s="47">
        <f>Source!AQ50</f>
        <v>3.6</v>
      </c>
      <c r="F111" s="48"/>
      <c r="G111" s="49" t="s">
        <v>393</v>
      </c>
      <c r="H111" s="47">
        <f>Source!AV51</f>
        <v>1.0469999999999999</v>
      </c>
      <c r="I111" s="48">
        <f>Source!U50</f>
        <v>4.1461199999999998</v>
      </c>
      <c r="J111" s="47"/>
      <c r="K111" s="48"/>
    </row>
    <row r="112" spans="1:29" ht="15" x14ac:dyDescent="0.2">
      <c r="C112" s="50" t="s">
        <v>400</v>
      </c>
      <c r="H112" s="51">
        <f>I105+I106+I108+I109+I110+0-0-0</f>
        <v>134.44</v>
      </c>
      <c r="I112" s="51"/>
      <c r="J112" s="51">
        <f>K105+K106+K108+K109+K110+0-0-0</f>
        <v>7239</v>
      </c>
      <c r="K112" s="51"/>
    </row>
    <row r="113" spans="1:29" ht="15" hidden="1" x14ac:dyDescent="0.2">
      <c r="C113" s="50" t="s">
        <v>401</v>
      </c>
      <c r="H113" s="53">
        <f>0+0</f>
        <v>0</v>
      </c>
      <c r="I113" s="53"/>
      <c r="J113" s="53">
        <f>0+0</f>
        <v>0</v>
      </c>
      <c r="K113" s="53"/>
    </row>
    <row r="114" spans="1:29" ht="15" x14ac:dyDescent="0.2">
      <c r="C114" s="50" t="s">
        <v>402</v>
      </c>
      <c r="H114" s="53">
        <f>I105+I106+I108+I109+I110+0</f>
        <v>134.44</v>
      </c>
      <c r="I114" s="53"/>
      <c r="J114" s="53">
        <f>K105+K106+K108+K109+K110+0</f>
        <v>7239</v>
      </c>
      <c r="K114" s="53"/>
      <c r="O114" s="54">
        <f>I105+I106+I108+I109+I110+0</f>
        <v>134.44</v>
      </c>
      <c r="P114" s="54">
        <f>K105+K106+K108+K109+K110+0</f>
        <v>7239</v>
      </c>
    </row>
    <row r="116" spans="1:29" ht="68.25" x14ac:dyDescent="0.2">
      <c r="A116" s="55">
        <v>13</v>
      </c>
      <c r="B116" s="55" t="str">
        <f>Source!F52</f>
        <v>КА-7</v>
      </c>
      <c r="C116" s="55" t="s">
        <v>411</v>
      </c>
      <c r="D116" s="56" t="str">
        <f>Source!H52</f>
        <v>ШТ</v>
      </c>
      <c r="E116" s="57">
        <f>Source!I52</f>
        <v>1</v>
      </c>
      <c r="F116" s="58">
        <f>Source!AL52</f>
        <v>1829.8000000000002</v>
      </c>
      <c r="G116" s="59"/>
      <c r="H116" s="57">
        <f>Source!AW53</f>
        <v>1</v>
      </c>
      <c r="I116" s="58">
        <f>Source!P52</f>
        <v>1829.8</v>
      </c>
      <c r="J116" s="57">
        <f>IF(Source!BC53&lt;&gt; 0, Source!BC53, 1)</f>
        <v>7.66</v>
      </c>
      <c r="K116" s="58">
        <f>Source!P53</f>
        <v>14016.27</v>
      </c>
      <c r="Q116">
        <f>Source!X52</f>
        <v>0</v>
      </c>
      <c r="R116">
        <f>Source!X53</f>
        <v>0</v>
      </c>
      <c r="S116">
        <f>Source!Y52</f>
        <v>0</v>
      </c>
      <c r="T116">
        <f>Source!Y53</f>
        <v>0</v>
      </c>
      <c r="U116">
        <f>ROUND((175/100)*ROUND(Source!R52, 2), 2)</f>
        <v>0</v>
      </c>
      <c r="V116">
        <f>ROUND((0/100)*ROUND(Source!R53, 2), 2)</f>
        <v>0</v>
      </c>
      <c r="AC116">
        <v>5</v>
      </c>
    </row>
    <row r="117" spans="1:29" ht="15" x14ac:dyDescent="0.2">
      <c r="A117" s="60"/>
      <c r="B117" s="60"/>
      <c r="C117" s="61" t="s">
        <v>402</v>
      </c>
      <c r="D117" s="60"/>
      <c r="E117" s="60"/>
      <c r="F117" s="60"/>
      <c r="G117" s="60"/>
      <c r="H117" s="62">
        <f>I116+0</f>
        <v>1829.8</v>
      </c>
      <c r="I117" s="62"/>
      <c r="J117" s="62">
        <f>K116+0</f>
        <v>14016.27</v>
      </c>
      <c r="K117" s="62"/>
      <c r="O117" s="54">
        <f>I116+0</f>
        <v>1829.8</v>
      </c>
      <c r="P117" s="54">
        <f>K116+0</f>
        <v>14016.27</v>
      </c>
    </row>
    <row r="119" spans="1:29" ht="28.5" x14ac:dyDescent="0.2">
      <c r="A119" s="40">
        <v>14</v>
      </c>
      <c r="B119" s="40" t="str">
        <f>Source!F54</f>
        <v>4.10-173-2</v>
      </c>
      <c r="C119" s="40" t="s">
        <v>44</v>
      </c>
      <c r="D119" s="42" t="str">
        <f>Source!H54</f>
        <v>1  ШТ.</v>
      </c>
      <c r="E119" s="41">
        <f>Source!I54</f>
        <v>3</v>
      </c>
      <c r="F119" s="44"/>
      <c r="G119" s="43"/>
      <c r="H119" s="41"/>
      <c r="I119" s="44"/>
      <c r="J119" s="41"/>
      <c r="K119" s="44"/>
      <c r="Q119">
        <f>Source!X54</f>
        <v>124.91</v>
      </c>
      <c r="R119">
        <f>Source!X55</f>
        <v>6868.85</v>
      </c>
      <c r="S119">
        <f>Source!Y54</f>
        <v>63.84</v>
      </c>
      <c r="T119">
        <f>Source!Y55</f>
        <v>3510.75</v>
      </c>
      <c r="U119">
        <f>ROUND((175/100)*ROUND(Source!R54, 2), 2)</f>
        <v>0</v>
      </c>
      <c r="V119">
        <f>ROUND((0/100)*ROUND(Source!R55, 2), 2)</f>
        <v>0</v>
      </c>
      <c r="AC119">
        <v>0</v>
      </c>
    </row>
    <row r="120" spans="1:29" ht="14.25" x14ac:dyDescent="0.2">
      <c r="A120" s="40"/>
      <c r="B120" s="40"/>
      <c r="C120" s="40" t="s">
        <v>392</v>
      </c>
      <c r="D120" s="42"/>
      <c r="E120" s="41"/>
      <c r="F120" s="44">
        <f>Source!AO54</f>
        <v>40.17</v>
      </c>
      <c r="G120" s="43" t="s">
        <v>393</v>
      </c>
      <c r="H120" s="41">
        <f>Source!AV55</f>
        <v>1.0469999999999999</v>
      </c>
      <c r="I120" s="44">
        <f>Source!S54</f>
        <v>138.79</v>
      </c>
      <c r="J120" s="41">
        <f>IF(Source!BA55&lt;&gt; 0, Source!BA55, 1)</f>
        <v>54.99</v>
      </c>
      <c r="K120" s="44">
        <f>Source!S55</f>
        <v>7632.06</v>
      </c>
    </row>
    <row r="121" spans="1:29" ht="14.25" x14ac:dyDescent="0.2">
      <c r="A121" s="40"/>
      <c r="B121" s="40"/>
      <c r="C121" s="40" t="s">
        <v>394</v>
      </c>
      <c r="D121" s="42"/>
      <c r="E121" s="41"/>
      <c r="F121" s="44">
        <f>Source!AL54</f>
        <v>2.34</v>
      </c>
      <c r="G121" s="43"/>
      <c r="H121" s="41">
        <f>Source!AW55</f>
        <v>1</v>
      </c>
      <c r="I121" s="44">
        <f>Source!P54</f>
        <v>7.02</v>
      </c>
      <c r="J121" s="41">
        <f>IF(Source!BC55&lt;&gt; 0, Source!BC55, 1)</f>
        <v>10.26</v>
      </c>
      <c r="K121" s="44">
        <f>Source!P55</f>
        <v>72.03</v>
      </c>
    </row>
    <row r="122" spans="1:29" ht="14.25" x14ac:dyDescent="0.2">
      <c r="A122" s="40"/>
      <c r="B122" s="40"/>
      <c r="C122" s="40" t="s">
        <v>395</v>
      </c>
      <c r="D122" s="42" t="s">
        <v>396</v>
      </c>
      <c r="E122" s="41">
        <f>Source!BZ55</f>
        <v>90</v>
      </c>
      <c r="F122" s="44"/>
      <c r="G122" s="43"/>
      <c r="H122" s="41"/>
      <c r="I122" s="44">
        <f>SUM(Q119:Q121)</f>
        <v>124.91</v>
      </c>
      <c r="J122" s="41">
        <f>Source!AT55</f>
        <v>90</v>
      </c>
      <c r="K122" s="44">
        <f>SUM(R119:R121)</f>
        <v>6868.85</v>
      </c>
    </row>
    <row r="123" spans="1:29" ht="14.25" x14ac:dyDescent="0.2">
      <c r="A123" s="40"/>
      <c r="B123" s="40"/>
      <c r="C123" s="40" t="s">
        <v>397</v>
      </c>
      <c r="D123" s="42" t="s">
        <v>396</v>
      </c>
      <c r="E123" s="41">
        <f>Source!CA55</f>
        <v>46</v>
      </c>
      <c r="F123" s="44"/>
      <c r="G123" s="43"/>
      <c r="H123" s="41"/>
      <c r="I123" s="44">
        <f>SUM(S119:S122)</f>
        <v>63.84</v>
      </c>
      <c r="J123" s="41">
        <f>Source!AU55</f>
        <v>46</v>
      </c>
      <c r="K123" s="44">
        <f>SUM(T119:T122)</f>
        <v>3510.75</v>
      </c>
    </row>
    <row r="124" spans="1:29" ht="14.25" x14ac:dyDescent="0.2">
      <c r="A124" s="45"/>
      <c r="B124" s="45"/>
      <c r="C124" s="45" t="s">
        <v>398</v>
      </c>
      <c r="D124" s="46" t="s">
        <v>399</v>
      </c>
      <c r="E124" s="47">
        <f>Source!AQ54</f>
        <v>3.18</v>
      </c>
      <c r="F124" s="48"/>
      <c r="G124" s="49" t="s">
        <v>393</v>
      </c>
      <c r="H124" s="47">
        <f>Source!AV55</f>
        <v>1.0469999999999999</v>
      </c>
      <c r="I124" s="48">
        <f>Source!U54</f>
        <v>10.987218</v>
      </c>
      <c r="J124" s="47"/>
      <c r="K124" s="48"/>
    </row>
    <row r="125" spans="1:29" ht="15" x14ac:dyDescent="0.2">
      <c r="C125" s="50" t="s">
        <v>400</v>
      </c>
      <c r="H125" s="51">
        <f>I120+I121+I122+I123+0-0-0</f>
        <v>334.56000000000006</v>
      </c>
      <c r="I125" s="51"/>
      <c r="J125" s="51">
        <f>K120+K121+K122+K123+0-0-0</f>
        <v>18083.690000000002</v>
      </c>
      <c r="K125" s="51"/>
    </row>
    <row r="126" spans="1:29" ht="15" hidden="1" x14ac:dyDescent="0.2">
      <c r="C126" s="50" t="s">
        <v>401</v>
      </c>
      <c r="H126" s="53">
        <f>0+0</f>
        <v>0</v>
      </c>
      <c r="I126" s="53"/>
      <c r="J126" s="53">
        <f>0+0</f>
        <v>0</v>
      </c>
      <c r="K126" s="53"/>
    </row>
    <row r="127" spans="1:29" ht="15" x14ac:dyDescent="0.2">
      <c r="C127" s="50" t="s">
        <v>402</v>
      </c>
      <c r="H127" s="53">
        <f>I120+I121+I122+I123+0</f>
        <v>334.56000000000006</v>
      </c>
      <c r="I127" s="53"/>
      <c r="J127" s="53">
        <f>K120+K121+K122+K123+0</f>
        <v>18083.690000000002</v>
      </c>
      <c r="K127" s="53"/>
      <c r="O127" s="54">
        <f>I120+I121+I122+I123+0</f>
        <v>334.56000000000006</v>
      </c>
      <c r="P127" s="54">
        <f>K120+K121+K122+K123+0</f>
        <v>18083.690000000002</v>
      </c>
    </row>
    <row r="129" spans="1:29" ht="68.25" x14ac:dyDescent="0.2">
      <c r="A129" s="55">
        <v>15</v>
      </c>
      <c r="B129" s="55" t="str">
        <f>Source!F56</f>
        <v>КА-8</v>
      </c>
      <c r="C129" s="55" t="s">
        <v>412</v>
      </c>
      <c r="D129" s="56" t="str">
        <f>Source!H56</f>
        <v>ШТ</v>
      </c>
      <c r="E129" s="57">
        <f>Source!I56</f>
        <v>3</v>
      </c>
      <c r="F129" s="58">
        <f>Source!AL56</f>
        <v>841.25</v>
      </c>
      <c r="G129" s="59"/>
      <c r="H129" s="57">
        <f>Source!AW57</f>
        <v>1</v>
      </c>
      <c r="I129" s="58">
        <f>Source!P56</f>
        <v>2523.75</v>
      </c>
      <c r="J129" s="57">
        <f>IF(Source!BC57&lt;&gt; 0, Source!BC57, 1)</f>
        <v>7.66</v>
      </c>
      <c r="K129" s="58">
        <f>Source!P57</f>
        <v>19331.93</v>
      </c>
      <c r="Q129">
        <f>Source!X56</f>
        <v>0</v>
      </c>
      <c r="R129">
        <f>Source!X57</f>
        <v>0</v>
      </c>
      <c r="S129">
        <f>Source!Y56</f>
        <v>0</v>
      </c>
      <c r="T129">
        <f>Source!Y57</f>
        <v>0</v>
      </c>
      <c r="U129">
        <f>ROUND((175/100)*ROUND(Source!R56, 2), 2)</f>
        <v>0</v>
      </c>
      <c r="V129">
        <f>ROUND((0/100)*ROUND(Source!R57, 2), 2)</f>
        <v>0</v>
      </c>
      <c r="AC129">
        <v>5</v>
      </c>
    </row>
    <row r="130" spans="1:29" ht="15" x14ac:dyDescent="0.2">
      <c r="A130" s="60"/>
      <c r="B130" s="60"/>
      <c r="C130" s="61" t="s">
        <v>402</v>
      </c>
      <c r="D130" s="60"/>
      <c r="E130" s="60"/>
      <c r="F130" s="60"/>
      <c r="G130" s="60"/>
      <c r="H130" s="62">
        <f>I129+0</f>
        <v>2523.75</v>
      </c>
      <c r="I130" s="62"/>
      <c r="J130" s="62">
        <f>K129+0</f>
        <v>19331.93</v>
      </c>
      <c r="K130" s="62"/>
      <c r="O130" s="54">
        <f>I129+0</f>
        <v>2523.75</v>
      </c>
      <c r="P130" s="54">
        <f>K129+0</f>
        <v>19331.93</v>
      </c>
    </row>
    <row r="132" spans="1:29" ht="54" x14ac:dyDescent="0.2">
      <c r="A132" s="55">
        <v>16</v>
      </c>
      <c r="B132" s="55" t="str">
        <f>Source!F58</f>
        <v>КА-9</v>
      </c>
      <c r="C132" s="55" t="s">
        <v>413</v>
      </c>
      <c r="D132" s="56" t="str">
        <f>Source!H58</f>
        <v>ШТ</v>
      </c>
      <c r="E132" s="57">
        <f>Source!I58</f>
        <v>3</v>
      </c>
      <c r="F132" s="58">
        <f>Source!AL58</f>
        <v>159.88999999999999</v>
      </c>
      <c r="G132" s="59"/>
      <c r="H132" s="57">
        <f>Source!AW59</f>
        <v>1</v>
      </c>
      <c r="I132" s="58">
        <f>Source!P58</f>
        <v>479.67</v>
      </c>
      <c r="J132" s="57">
        <f>IF(Source!BC59&lt;&gt; 0, Source!BC59, 1)</f>
        <v>7.66</v>
      </c>
      <c r="K132" s="58">
        <f>Source!P59</f>
        <v>3674.27</v>
      </c>
      <c r="Q132">
        <f>Source!X58</f>
        <v>0</v>
      </c>
      <c r="R132">
        <f>Source!X59</f>
        <v>0</v>
      </c>
      <c r="S132">
        <f>Source!Y58</f>
        <v>0</v>
      </c>
      <c r="T132">
        <f>Source!Y59</f>
        <v>0</v>
      </c>
      <c r="U132">
        <f>ROUND((175/100)*ROUND(Source!R58, 2), 2)</f>
        <v>0</v>
      </c>
      <c r="V132">
        <f>ROUND((0/100)*ROUND(Source!R59, 2), 2)</f>
        <v>0</v>
      </c>
      <c r="AC132">
        <v>5</v>
      </c>
    </row>
    <row r="133" spans="1:29" ht="15" x14ac:dyDescent="0.2">
      <c r="A133" s="60"/>
      <c r="B133" s="60"/>
      <c r="C133" s="61" t="s">
        <v>402</v>
      </c>
      <c r="D133" s="60"/>
      <c r="E133" s="60"/>
      <c r="F133" s="60"/>
      <c r="G133" s="60"/>
      <c r="H133" s="62">
        <f>I132+0</f>
        <v>479.67</v>
      </c>
      <c r="I133" s="62"/>
      <c r="J133" s="62">
        <f>K132+0</f>
        <v>3674.27</v>
      </c>
      <c r="K133" s="62"/>
      <c r="O133" s="54">
        <f>I132+0</f>
        <v>479.67</v>
      </c>
      <c r="P133" s="54">
        <f>K132+0</f>
        <v>3674.27</v>
      </c>
    </row>
    <row r="135" spans="1:29" ht="28.5" x14ac:dyDescent="0.2">
      <c r="A135" s="40">
        <v>17</v>
      </c>
      <c r="B135" s="40" t="str">
        <f>Source!F60</f>
        <v>4.10-80-13</v>
      </c>
      <c r="C135" s="40" t="s">
        <v>62</v>
      </c>
      <c r="D135" s="42" t="str">
        <f>Source!H60</f>
        <v>1  ШТ.</v>
      </c>
      <c r="E135" s="41">
        <f>Source!I60</f>
        <v>1</v>
      </c>
      <c r="F135" s="44"/>
      <c r="G135" s="43"/>
      <c r="H135" s="41"/>
      <c r="I135" s="44"/>
      <c r="J135" s="41"/>
      <c r="K135" s="44"/>
      <c r="Q135">
        <f>Source!X60</f>
        <v>16.670000000000002</v>
      </c>
      <c r="R135">
        <f>Source!X61</f>
        <v>916.57</v>
      </c>
      <c r="S135">
        <f>Source!Y60</f>
        <v>8.52</v>
      </c>
      <c r="T135">
        <f>Source!Y61</f>
        <v>468.47</v>
      </c>
      <c r="U135">
        <f>ROUND((175/100)*ROUND(Source!R60, 2), 2)</f>
        <v>0.02</v>
      </c>
      <c r="V135">
        <f>ROUND((0/100)*ROUND(Source!R61, 2), 2)</f>
        <v>0</v>
      </c>
      <c r="AC135">
        <v>0</v>
      </c>
    </row>
    <row r="136" spans="1:29" ht="14.25" x14ac:dyDescent="0.2">
      <c r="A136" s="40"/>
      <c r="B136" s="40"/>
      <c r="C136" s="40" t="s">
        <v>392</v>
      </c>
      <c r="D136" s="42"/>
      <c r="E136" s="41"/>
      <c r="F136" s="44">
        <f>Source!AO60</f>
        <v>16.07</v>
      </c>
      <c r="G136" s="43" t="s">
        <v>393</v>
      </c>
      <c r="H136" s="41">
        <f>Source!AV61</f>
        <v>1.0469999999999999</v>
      </c>
      <c r="I136" s="44">
        <f>Source!S60</f>
        <v>18.510000000000002</v>
      </c>
      <c r="J136" s="41">
        <f>IF(Source!BA61&lt;&gt; 0, Source!BA61, 1)</f>
        <v>54.99</v>
      </c>
      <c r="K136" s="44">
        <f>Source!S61</f>
        <v>1017.86</v>
      </c>
    </row>
    <row r="137" spans="1:29" ht="14.25" x14ac:dyDescent="0.2">
      <c r="A137" s="40"/>
      <c r="B137" s="40"/>
      <c r="C137" s="40" t="s">
        <v>406</v>
      </c>
      <c r="D137" s="42"/>
      <c r="E137" s="41"/>
      <c r="F137" s="44">
        <f>Source!AM60</f>
        <v>0.05</v>
      </c>
      <c r="G137" s="43" t="s">
        <v>393</v>
      </c>
      <c r="H137" s="41">
        <f>Source!AV61</f>
        <v>1.0469999999999999</v>
      </c>
      <c r="I137" s="44">
        <f>Source!Q60</f>
        <v>0.06</v>
      </c>
      <c r="J137" s="41">
        <f>IF(Source!BB61&lt;&gt; 0, Source!BB61, 1)</f>
        <v>19</v>
      </c>
      <c r="K137" s="44">
        <f>Source!Q61</f>
        <v>1.1399999999999999</v>
      </c>
    </row>
    <row r="138" spans="1:29" ht="14.25" x14ac:dyDescent="0.2">
      <c r="A138" s="40"/>
      <c r="B138" s="40"/>
      <c r="C138" s="40" t="s">
        <v>407</v>
      </c>
      <c r="D138" s="42"/>
      <c r="E138" s="41"/>
      <c r="F138" s="44">
        <f>Source!AN60</f>
        <v>0.01</v>
      </c>
      <c r="G138" s="43" t="s">
        <v>393</v>
      </c>
      <c r="H138" s="41">
        <f>Source!AV61</f>
        <v>1.0469999999999999</v>
      </c>
      <c r="I138" s="63">
        <f>Source!R60</f>
        <v>0.01</v>
      </c>
      <c r="J138" s="41">
        <f>IF(Source!BS61&lt;&gt; 0, Source!BS61, 1)</f>
        <v>54.99</v>
      </c>
      <c r="K138" s="63">
        <f>Source!R61</f>
        <v>0.55000000000000004</v>
      </c>
    </row>
    <row r="139" spans="1:29" ht="14.25" x14ac:dyDescent="0.2">
      <c r="A139" s="40"/>
      <c r="B139" s="40"/>
      <c r="C139" s="40" t="s">
        <v>394</v>
      </c>
      <c r="D139" s="42"/>
      <c r="E139" s="41"/>
      <c r="F139" s="44">
        <f>Source!AL60</f>
        <v>1.96</v>
      </c>
      <c r="G139" s="43"/>
      <c r="H139" s="41">
        <f>Source!AW61</f>
        <v>1</v>
      </c>
      <c r="I139" s="44">
        <f>Source!P60</f>
        <v>1.96</v>
      </c>
      <c r="J139" s="41">
        <f>IF(Source!BC61&lt;&gt; 0, Source!BC61, 1)</f>
        <v>9.89</v>
      </c>
      <c r="K139" s="44">
        <f>Source!P61</f>
        <v>19.38</v>
      </c>
    </row>
    <row r="140" spans="1:29" ht="14.25" x14ac:dyDescent="0.2">
      <c r="A140" s="40"/>
      <c r="B140" s="40"/>
      <c r="C140" s="40" t="s">
        <v>395</v>
      </c>
      <c r="D140" s="42" t="s">
        <v>396</v>
      </c>
      <c r="E140" s="41">
        <f>Source!BZ61</f>
        <v>90</v>
      </c>
      <c r="F140" s="44"/>
      <c r="G140" s="43"/>
      <c r="H140" s="41"/>
      <c r="I140" s="44">
        <f>SUM(Q135:Q139)</f>
        <v>16.670000000000002</v>
      </c>
      <c r="J140" s="41">
        <f>Source!AT61</f>
        <v>90</v>
      </c>
      <c r="K140" s="44">
        <f>SUM(R135:R139)</f>
        <v>916.57</v>
      </c>
    </row>
    <row r="141" spans="1:29" ht="14.25" x14ac:dyDescent="0.2">
      <c r="A141" s="40"/>
      <c r="B141" s="40"/>
      <c r="C141" s="40" t="s">
        <v>397</v>
      </c>
      <c r="D141" s="42" t="s">
        <v>396</v>
      </c>
      <c r="E141" s="41">
        <f>Source!CA61</f>
        <v>46</v>
      </c>
      <c r="F141" s="44"/>
      <c r="G141" s="43"/>
      <c r="H141" s="41"/>
      <c r="I141" s="44">
        <f>SUM(S135:S140)</f>
        <v>8.52</v>
      </c>
      <c r="J141" s="41">
        <f>Source!AU61</f>
        <v>46</v>
      </c>
      <c r="K141" s="44">
        <f>SUM(T135:T140)</f>
        <v>468.47</v>
      </c>
    </row>
    <row r="142" spans="1:29" ht="14.25" x14ac:dyDescent="0.2">
      <c r="A142" s="45"/>
      <c r="B142" s="45"/>
      <c r="C142" s="45" t="s">
        <v>398</v>
      </c>
      <c r="D142" s="46" t="s">
        <v>399</v>
      </c>
      <c r="E142" s="47">
        <f>Source!AQ60</f>
        <v>1.2</v>
      </c>
      <c r="F142" s="48"/>
      <c r="G142" s="49" t="s">
        <v>393</v>
      </c>
      <c r="H142" s="47">
        <f>Source!AV61</f>
        <v>1.0469999999999999</v>
      </c>
      <c r="I142" s="48">
        <f>Source!U60</f>
        <v>1.3820399999999999</v>
      </c>
      <c r="J142" s="47"/>
      <c r="K142" s="48"/>
    </row>
    <row r="143" spans="1:29" ht="15" x14ac:dyDescent="0.2">
      <c r="C143" s="50" t="s">
        <v>400</v>
      </c>
      <c r="H143" s="51">
        <f>I136+I137+I139+I140+I141+0-0-0</f>
        <v>45.72</v>
      </c>
      <c r="I143" s="51"/>
      <c r="J143" s="51">
        <f>K136+K137+K139+K140+K141+0-0-0</f>
        <v>2423.42</v>
      </c>
      <c r="K143" s="51"/>
    </row>
    <row r="144" spans="1:29" ht="15" hidden="1" x14ac:dyDescent="0.2">
      <c r="C144" s="50" t="s">
        <v>401</v>
      </c>
      <c r="H144" s="53">
        <f>0+0</f>
        <v>0</v>
      </c>
      <c r="I144" s="53"/>
      <c r="J144" s="53">
        <f>0+0</f>
        <v>0</v>
      </c>
      <c r="K144" s="53"/>
    </row>
    <row r="145" spans="1:29" ht="15" x14ac:dyDescent="0.2">
      <c r="C145" s="50" t="s">
        <v>402</v>
      </c>
      <c r="H145" s="53">
        <f>I136+I137+I139+I140+I141+0</f>
        <v>45.72</v>
      </c>
      <c r="I145" s="53"/>
      <c r="J145" s="53">
        <f>K136+K137+K139+K140+K141+0</f>
        <v>2423.42</v>
      </c>
      <c r="K145" s="53"/>
      <c r="O145" s="54">
        <f>I136+I137+I139+I140+I141+0</f>
        <v>45.72</v>
      </c>
      <c r="P145" s="54">
        <f>K136+K137+K139+K140+K141+0</f>
        <v>2423.42</v>
      </c>
    </row>
    <row r="147" spans="1:29" ht="68.25" x14ac:dyDescent="0.2">
      <c r="A147" s="55">
        <v>18</v>
      </c>
      <c r="B147" s="55" t="str">
        <f>Source!F62</f>
        <v>КА-10</v>
      </c>
      <c r="C147" s="55" t="s">
        <v>414</v>
      </c>
      <c r="D147" s="56" t="str">
        <f>Source!H62</f>
        <v>ШТ</v>
      </c>
      <c r="E147" s="57">
        <f>Source!I62</f>
        <v>1</v>
      </c>
      <c r="F147" s="58">
        <f>Source!AL62</f>
        <v>159.15</v>
      </c>
      <c r="G147" s="59"/>
      <c r="H147" s="57">
        <f>Source!AW63</f>
        <v>1</v>
      </c>
      <c r="I147" s="58">
        <f>Source!P62</f>
        <v>159.15</v>
      </c>
      <c r="J147" s="57">
        <f>IF(Source!BC63&lt;&gt; 0, Source!BC63, 1)</f>
        <v>7.66</v>
      </c>
      <c r="K147" s="58">
        <f>Source!P63</f>
        <v>1219.0899999999999</v>
      </c>
      <c r="Q147">
        <f>Source!X62</f>
        <v>0</v>
      </c>
      <c r="R147">
        <f>Source!X63</f>
        <v>0</v>
      </c>
      <c r="S147">
        <f>Source!Y62</f>
        <v>0</v>
      </c>
      <c r="T147">
        <f>Source!Y63</f>
        <v>0</v>
      </c>
      <c r="U147">
        <f>ROUND((175/100)*ROUND(Source!R62, 2), 2)</f>
        <v>0</v>
      </c>
      <c r="V147">
        <f>ROUND((0/100)*ROUND(Source!R63, 2), 2)</f>
        <v>0</v>
      </c>
      <c r="AC147">
        <v>5</v>
      </c>
    </row>
    <row r="148" spans="1:29" ht="15" x14ac:dyDescent="0.2">
      <c r="A148" s="60"/>
      <c r="B148" s="60"/>
      <c r="C148" s="61" t="s">
        <v>402</v>
      </c>
      <c r="D148" s="60"/>
      <c r="E148" s="60"/>
      <c r="F148" s="60"/>
      <c r="G148" s="60"/>
      <c r="H148" s="62">
        <f>I147+0</f>
        <v>159.15</v>
      </c>
      <c r="I148" s="62"/>
      <c r="J148" s="62">
        <f>K147+0</f>
        <v>1219.0899999999999</v>
      </c>
      <c r="K148" s="62"/>
      <c r="O148" s="54">
        <f>I147+0</f>
        <v>159.15</v>
      </c>
      <c r="P148" s="54">
        <f>K147+0</f>
        <v>1219.0899999999999</v>
      </c>
    </row>
    <row r="150" spans="1:29" ht="28.5" x14ac:dyDescent="0.2">
      <c r="A150" s="40">
        <v>19</v>
      </c>
      <c r="B150" s="40" t="str">
        <f>Source!F64</f>
        <v>4.10-80-13</v>
      </c>
      <c r="C150" s="40" t="s">
        <v>62</v>
      </c>
      <c r="D150" s="42" t="str">
        <f>Source!H64</f>
        <v>1  ШТ.</v>
      </c>
      <c r="E150" s="41">
        <f>Source!I64</f>
        <v>2</v>
      </c>
      <c r="F150" s="44"/>
      <c r="G150" s="43"/>
      <c r="H150" s="41"/>
      <c r="I150" s="44"/>
      <c r="J150" s="41"/>
      <c r="K150" s="44"/>
      <c r="Q150">
        <f>Source!X64</f>
        <v>33.340000000000003</v>
      </c>
      <c r="R150">
        <f>Source!X65</f>
        <v>1833.15</v>
      </c>
      <c r="S150">
        <f>Source!Y64</f>
        <v>17.04</v>
      </c>
      <c r="T150">
        <f>Source!Y65</f>
        <v>936.94</v>
      </c>
      <c r="U150">
        <f>ROUND((175/100)*ROUND(Source!R64, 2), 2)</f>
        <v>0.04</v>
      </c>
      <c r="V150">
        <f>ROUND((0/100)*ROUND(Source!R65, 2), 2)</f>
        <v>0</v>
      </c>
      <c r="AC150">
        <v>0</v>
      </c>
    </row>
    <row r="151" spans="1:29" ht="14.25" x14ac:dyDescent="0.2">
      <c r="A151" s="40"/>
      <c r="B151" s="40"/>
      <c r="C151" s="40" t="s">
        <v>392</v>
      </c>
      <c r="D151" s="42"/>
      <c r="E151" s="41"/>
      <c r="F151" s="44">
        <f>Source!AO64</f>
        <v>16.07</v>
      </c>
      <c r="G151" s="43" t="s">
        <v>393</v>
      </c>
      <c r="H151" s="41">
        <f>Source!AV65</f>
        <v>1.0469999999999999</v>
      </c>
      <c r="I151" s="44">
        <f>Source!S64</f>
        <v>37.020000000000003</v>
      </c>
      <c r="J151" s="41">
        <f>IF(Source!BA65&lt;&gt; 0, Source!BA65, 1)</f>
        <v>54.99</v>
      </c>
      <c r="K151" s="44">
        <f>Source!S65</f>
        <v>2035.73</v>
      </c>
    </row>
    <row r="152" spans="1:29" ht="14.25" x14ac:dyDescent="0.2">
      <c r="A152" s="40"/>
      <c r="B152" s="40"/>
      <c r="C152" s="40" t="s">
        <v>406</v>
      </c>
      <c r="D152" s="42"/>
      <c r="E152" s="41"/>
      <c r="F152" s="44">
        <f>Source!AM64</f>
        <v>0.05</v>
      </c>
      <c r="G152" s="43" t="s">
        <v>393</v>
      </c>
      <c r="H152" s="41">
        <f>Source!AV65</f>
        <v>1.0469999999999999</v>
      </c>
      <c r="I152" s="44">
        <f>Source!Q64</f>
        <v>0.12</v>
      </c>
      <c r="J152" s="41">
        <f>IF(Source!BB65&lt;&gt; 0, Source!BB65, 1)</f>
        <v>19</v>
      </c>
      <c r="K152" s="44">
        <f>Source!Q65</f>
        <v>2.2799999999999998</v>
      </c>
    </row>
    <row r="153" spans="1:29" ht="14.25" x14ac:dyDescent="0.2">
      <c r="A153" s="40"/>
      <c r="B153" s="40"/>
      <c r="C153" s="40" t="s">
        <v>407</v>
      </c>
      <c r="D153" s="42"/>
      <c r="E153" s="41"/>
      <c r="F153" s="44">
        <f>Source!AN64</f>
        <v>0.01</v>
      </c>
      <c r="G153" s="43" t="s">
        <v>393</v>
      </c>
      <c r="H153" s="41">
        <f>Source!AV65</f>
        <v>1.0469999999999999</v>
      </c>
      <c r="I153" s="63">
        <f>Source!R64</f>
        <v>0.02</v>
      </c>
      <c r="J153" s="41">
        <f>IF(Source!BS65&lt;&gt; 0, Source!BS65, 1)</f>
        <v>54.99</v>
      </c>
      <c r="K153" s="63">
        <f>Source!R65</f>
        <v>1.1000000000000001</v>
      </c>
    </row>
    <row r="154" spans="1:29" ht="14.25" x14ac:dyDescent="0.2">
      <c r="A154" s="40"/>
      <c r="B154" s="40"/>
      <c r="C154" s="40" t="s">
        <v>394</v>
      </c>
      <c r="D154" s="42"/>
      <c r="E154" s="41"/>
      <c r="F154" s="44">
        <f>Source!AL64</f>
        <v>1.96</v>
      </c>
      <c r="G154" s="43"/>
      <c r="H154" s="41">
        <f>Source!AW65</f>
        <v>1</v>
      </c>
      <c r="I154" s="44">
        <f>Source!P64</f>
        <v>3.92</v>
      </c>
      <c r="J154" s="41">
        <f>IF(Source!BC65&lt;&gt; 0, Source!BC65, 1)</f>
        <v>9.89</v>
      </c>
      <c r="K154" s="44">
        <f>Source!P65</f>
        <v>38.770000000000003</v>
      </c>
    </row>
    <row r="155" spans="1:29" ht="14.25" x14ac:dyDescent="0.2">
      <c r="A155" s="40"/>
      <c r="B155" s="40"/>
      <c r="C155" s="40" t="s">
        <v>395</v>
      </c>
      <c r="D155" s="42" t="s">
        <v>396</v>
      </c>
      <c r="E155" s="41">
        <f>Source!BZ65</f>
        <v>90</v>
      </c>
      <c r="F155" s="44"/>
      <c r="G155" s="43"/>
      <c r="H155" s="41"/>
      <c r="I155" s="44">
        <f>SUM(Q150:Q154)</f>
        <v>33.340000000000003</v>
      </c>
      <c r="J155" s="41">
        <f>Source!AT65</f>
        <v>90</v>
      </c>
      <c r="K155" s="44">
        <f>SUM(R150:R154)</f>
        <v>1833.15</v>
      </c>
    </row>
    <row r="156" spans="1:29" ht="14.25" x14ac:dyDescent="0.2">
      <c r="A156" s="40"/>
      <c r="B156" s="40"/>
      <c r="C156" s="40" t="s">
        <v>397</v>
      </c>
      <c r="D156" s="42" t="s">
        <v>396</v>
      </c>
      <c r="E156" s="41">
        <f>Source!CA65</f>
        <v>46</v>
      </c>
      <c r="F156" s="44"/>
      <c r="G156" s="43"/>
      <c r="H156" s="41"/>
      <c r="I156" s="44">
        <f>SUM(S150:S155)</f>
        <v>17.04</v>
      </c>
      <c r="J156" s="41">
        <f>Source!AU65</f>
        <v>46</v>
      </c>
      <c r="K156" s="44">
        <f>SUM(T150:T155)</f>
        <v>936.94</v>
      </c>
    </row>
    <row r="157" spans="1:29" ht="14.25" x14ac:dyDescent="0.2">
      <c r="A157" s="45"/>
      <c r="B157" s="45"/>
      <c r="C157" s="45" t="s">
        <v>398</v>
      </c>
      <c r="D157" s="46" t="s">
        <v>399</v>
      </c>
      <c r="E157" s="47">
        <f>Source!AQ64</f>
        <v>1.2</v>
      </c>
      <c r="F157" s="48"/>
      <c r="G157" s="49" t="s">
        <v>393</v>
      </c>
      <c r="H157" s="47">
        <f>Source!AV65</f>
        <v>1.0469999999999999</v>
      </c>
      <c r="I157" s="48">
        <f>Source!U64</f>
        <v>2.7640799999999999</v>
      </c>
      <c r="J157" s="47"/>
      <c r="K157" s="48"/>
    </row>
    <row r="158" spans="1:29" ht="15" x14ac:dyDescent="0.2">
      <c r="C158" s="50" t="s">
        <v>400</v>
      </c>
      <c r="H158" s="51">
        <f>I151+I152+I154+I155+I156+0-0-0</f>
        <v>91.44</v>
      </c>
      <c r="I158" s="51"/>
      <c r="J158" s="51">
        <f>K151+K152+K154+K155+K156+0-0-0</f>
        <v>4846.8700000000008</v>
      </c>
      <c r="K158" s="51"/>
    </row>
    <row r="159" spans="1:29" ht="15" hidden="1" x14ac:dyDescent="0.2">
      <c r="C159" s="50" t="s">
        <v>401</v>
      </c>
      <c r="H159" s="53">
        <f>0+0</f>
        <v>0</v>
      </c>
      <c r="I159" s="53"/>
      <c r="J159" s="53">
        <f>0+0</f>
        <v>0</v>
      </c>
      <c r="K159" s="53"/>
    </row>
    <row r="160" spans="1:29" ht="15" x14ac:dyDescent="0.2">
      <c r="C160" s="50" t="s">
        <v>402</v>
      </c>
      <c r="H160" s="53">
        <f>I151+I152+I154+I155+I156+0</f>
        <v>91.44</v>
      </c>
      <c r="I160" s="53"/>
      <c r="J160" s="53">
        <f>K151+K152+K154+K155+K156+0</f>
        <v>4846.8700000000008</v>
      </c>
      <c r="K160" s="53"/>
      <c r="O160" s="54">
        <f>I151+I152+I154+I155+I156+0</f>
        <v>91.44</v>
      </c>
      <c r="P160" s="54">
        <f>K151+K152+K154+K155+K156+0</f>
        <v>4846.8700000000008</v>
      </c>
    </row>
    <row r="162" spans="1:29" ht="54" x14ac:dyDescent="0.2">
      <c r="A162" s="55">
        <v>20</v>
      </c>
      <c r="B162" s="55" t="str">
        <f>Source!F66</f>
        <v>КА-11</v>
      </c>
      <c r="C162" s="55" t="s">
        <v>415</v>
      </c>
      <c r="D162" s="56" t="str">
        <f>Source!H66</f>
        <v>ШТ</v>
      </c>
      <c r="E162" s="57">
        <f>Source!I66</f>
        <v>2</v>
      </c>
      <c r="F162" s="58">
        <f>Source!AL66</f>
        <v>77.3</v>
      </c>
      <c r="G162" s="59"/>
      <c r="H162" s="57">
        <f>Source!AW67</f>
        <v>1</v>
      </c>
      <c r="I162" s="58">
        <f>Source!P66</f>
        <v>154.6</v>
      </c>
      <c r="J162" s="57">
        <f>IF(Source!BC67&lt;&gt; 0, Source!BC67, 1)</f>
        <v>7.66</v>
      </c>
      <c r="K162" s="58">
        <f>Source!P67</f>
        <v>1184.24</v>
      </c>
      <c r="Q162">
        <f>Source!X66</f>
        <v>0</v>
      </c>
      <c r="R162">
        <f>Source!X67</f>
        <v>0</v>
      </c>
      <c r="S162">
        <f>Source!Y66</f>
        <v>0</v>
      </c>
      <c r="T162">
        <f>Source!Y67</f>
        <v>0</v>
      </c>
      <c r="U162">
        <f>ROUND((175/100)*ROUND(Source!R66, 2), 2)</f>
        <v>0</v>
      </c>
      <c r="V162">
        <f>ROUND((0/100)*ROUND(Source!R67, 2), 2)</f>
        <v>0</v>
      </c>
      <c r="AC162">
        <v>5</v>
      </c>
    </row>
    <row r="163" spans="1:29" ht="15" x14ac:dyDescent="0.2">
      <c r="A163" s="60"/>
      <c r="B163" s="60"/>
      <c r="C163" s="61" t="s">
        <v>402</v>
      </c>
      <c r="D163" s="60"/>
      <c r="E163" s="60"/>
      <c r="F163" s="60"/>
      <c r="G163" s="60"/>
      <c r="H163" s="62">
        <f>I162+0</f>
        <v>154.6</v>
      </c>
      <c r="I163" s="62"/>
      <c r="J163" s="62">
        <f>K162+0</f>
        <v>1184.24</v>
      </c>
      <c r="K163" s="62"/>
      <c r="O163" s="54">
        <f>I162+0</f>
        <v>154.6</v>
      </c>
      <c r="P163" s="54">
        <f>K162+0</f>
        <v>1184.24</v>
      </c>
    </row>
    <row r="165" spans="1:29" ht="71.25" x14ac:dyDescent="0.2">
      <c r="A165" s="40">
        <v>21</v>
      </c>
      <c r="B165" s="40" t="str">
        <f>Source!F68</f>
        <v>4.10-82-2</v>
      </c>
      <c r="C165" s="40" t="s">
        <v>105</v>
      </c>
      <c r="D165" s="42" t="str">
        <f>Source!H68</f>
        <v>1  ШТ.</v>
      </c>
      <c r="E165" s="41">
        <f>Source!I68</f>
        <v>30</v>
      </c>
      <c r="F165" s="44"/>
      <c r="G165" s="43"/>
      <c r="H165" s="41"/>
      <c r="I165" s="44"/>
      <c r="J165" s="41"/>
      <c r="K165" s="44"/>
      <c r="Q165">
        <f>Source!X68</f>
        <v>1498.82</v>
      </c>
      <c r="R165">
        <f>Source!X69</f>
        <v>82420.34</v>
      </c>
      <c r="S165">
        <f>Source!Y68</f>
        <v>766.07</v>
      </c>
      <c r="T165">
        <f>Source!Y69</f>
        <v>42125.95</v>
      </c>
      <c r="U165">
        <f>ROUND((175/100)*ROUND(Source!R68, 2), 2)</f>
        <v>0</v>
      </c>
      <c r="V165">
        <f>ROUND((0/100)*ROUND(Source!R69, 2), 2)</f>
        <v>0</v>
      </c>
      <c r="AC165">
        <v>0</v>
      </c>
    </row>
    <row r="166" spans="1:29" ht="14.25" x14ac:dyDescent="0.2">
      <c r="A166" s="40"/>
      <c r="B166" s="40"/>
      <c r="C166" s="40" t="s">
        <v>392</v>
      </c>
      <c r="D166" s="42"/>
      <c r="E166" s="41"/>
      <c r="F166" s="44">
        <f>Source!AO68</f>
        <v>48.2</v>
      </c>
      <c r="G166" s="43" t="s">
        <v>393</v>
      </c>
      <c r="H166" s="41">
        <f>Source!AV69</f>
        <v>1.0469999999999999</v>
      </c>
      <c r="I166" s="44">
        <f>Source!S68</f>
        <v>1665.36</v>
      </c>
      <c r="J166" s="41">
        <f>IF(Source!BA69&lt;&gt; 0, Source!BA69, 1)</f>
        <v>54.99</v>
      </c>
      <c r="K166" s="44">
        <f>Source!S69</f>
        <v>91578.15</v>
      </c>
    </row>
    <row r="167" spans="1:29" ht="14.25" x14ac:dyDescent="0.2">
      <c r="A167" s="40"/>
      <c r="B167" s="40"/>
      <c r="C167" s="40" t="s">
        <v>406</v>
      </c>
      <c r="D167" s="42"/>
      <c r="E167" s="41"/>
      <c r="F167" s="44">
        <f>Source!AM68</f>
        <v>0.04</v>
      </c>
      <c r="G167" s="43" t="s">
        <v>393</v>
      </c>
      <c r="H167" s="41">
        <f>Source!AV69</f>
        <v>1.0469999999999999</v>
      </c>
      <c r="I167" s="44">
        <f>Source!Q68</f>
        <v>1.38</v>
      </c>
      <c r="J167" s="41">
        <f>IF(Source!BB69&lt;&gt; 0, Source!BB69, 1)</f>
        <v>10</v>
      </c>
      <c r="K167" s="44">
        <f>Source!Q69</f>
        <v>13.8</v>
      </c>
    </row>
    <row r="168" spans="1:29" ht="14.25" x14ac:dyDescent="0.2">
      <c r="A168" s="40"/>
      <c r="B168" s="40"/>
      <c r="C168" s="40" t="s">
        <v>394</v>
      </c>
      <c r="D168" s="42"/>
      <c r="E168" s="41"/>
      <c r="F168" s="44">
        <f>Source!AL68</f>
        <v>1.68</v>
      </c>
      <c r="G168" s="43"/>
      <c r="H168" s="41">
        <f>Source!AW69</f>
        <v>1</v>
      </c>
      <c r="I168" s="44">
        <f>Source!P68</f>
        <v>50.4</v>
      </c>
      <c r="J168" s="41">
        <f>IF(Source!BC69&lt;&gt; 0, Source!BC69, 1)</f>
        <v>9.89</v>
      </c>
      <c r="K168" s="44">
        <f>Source!P69</f>
        <v>498.46</v>
      </c>
    </row>
    <row r="169" spans="1:29" ht="14.25" x14ac:dyDescent="0.2">
      <c r="A169" s="40"/>
      <c r="B169" s="40"/>
      <c r="C169" s="40" t="s">
        <v>395</v>
      </c>
      <c r="D169" s="42" t="s">
        <v>396</v>
      </c>
      <c r="E169" s="41">
        <f>Source!BZ69</f>
        <v>90</v>
      </c>
      <c r="F169" s="44"/>
      <c r="G169" s="43"/>
      <c r="H169" s="41"/>
      <c r="I169" s="44">
        <f>SUM(Q165:Q168)</f>
        <v>1498.82</v>
      </c>
      <c r="J169" s="41">
        <f>Source!AT69</f>
        <v>90</v>
      </c>
      <c r="K169" s="44">
        <f>SUM(R165:R168)</f>
        <v>82420.34</v>
      </c>
    </row>
    <row r="170" spans="1:29" ht="14.25" x14ac:dyDescent="0.2">
      <c r="A170" s="40"/>
      <c r="B170" s="40"/>
      <c r="C170" s="40" t="s">
        <v>397</v>
      </c>
      <c r="D170" s="42" t="s">
        <v>396</v>
      </c>
      <c r="E170" s="41">
        <f>Source!CA69</f>
        <v>46</v>
      </c>
      <c r="F170" s="44"/>
      <c r="G170" s="43"/>
      <c r="H170" s="41"/>
      <c r="I170" s="44">
        <f>SUM(S165:S169)</f>
        <v>766.07</v>
      </c>
      <c r="J170" s="41">
        <f>Source!AU69</f>
        <v>46</v>
      </c>
      <c r="K170" s="44">
        <f>SUM(T165:T169)</f>
        <v>42125.95</v>
      </c>
    </row>
    <row r="171" spans="1:29" ht="14.25" x14ac:dyDescent="0.2">
      <c r="A171" s="45"/>
      <c r="B171" s="45"/>
      <c r="C171" s="45" t="s">
        <v>398</v>
      </c>
      <c r="D171" s="46" t="s">
        <v>399</v>
      </c>
      <c r="E171" s="47">
        <f>Source!AQ68</f>
        <v>3.6</v>
      </c>
      <c r="F171" s="48"/>
      <c r="G171" s="49" t="s">
        <v>393</v>
      </c>
      <c r="H171" s="47">
        <f>Source!AV69</f>
        <v>1.0469999999999999</v>
      </c>
      <c r="I171" s="48">
        <f>Source!U68</f>
        <v>124.3836</v>
      </c>
      <c r="J171" s="47"/>
      <c r="K171" s="48"/>
    </row>
    <row r="172" spans="1:29" ht="15" x14ac:dyDescent="0.2">
      <c r="C172" s="50" t="s">
        <v>400</v>
      </c>
      <c r="H172" s="51">
        <f>I166+I167+I168+I169+I170+0-0-0</f>
        <v>3982.03</v>
      </c>
      <c r="I172" s="51"/>
      <c r="J172" s="51">
        <f>K166+K167+K168+K169+K170+0-0-0</f>
        <v>216636.7</v>
      </c>
      <c r="K172" s="51"/>
    </row>
    <row r="173" spans="1:29" ht="15" hidden="1" x14ac:dyDescent="0.2">
      <c r="C173" s="50" t="s">
        <v>401</v>
      </c>
      <c r="H173" s="53">
        <f>0+0</f>
        <v>0</v>
      </c>
      <c r="I173" s="53"/>
      <c r="J173" s="53">
        <f>0+0</f>
        <v>0</v>
      </c>
      <c r="K173" s="53"/>
    </row>
    <row r="174" spans="1:29" ht="15" x14ac:dyDescent="0.2">
      <c r="C174" s="50" t="s">
        <v>402</v>
      </c>
      <c r="H174" s="53">
        <f>I166+I167+I168+I169+I170+0</f>
        <v>3982.03</v>
      </c>
      <c r="I174" s="53"/>
      <c r="J174" s="53">
        <f>K166+K167+K168+K169+K170+0</f>
        <v>216636.7</v>
      </c>
      <c r="K174" s="53"/>
      <c r="O174" s="54">
        <f>I166+I167+I168+I169+I170+0</f>
        <v>3982.03</v>
      </c>
      <c r="P174" s="54">
        <f>K166+K167+K168+K169+K170+0</f>
        <v>216636.7</v>
      </c>
    </row>
    <row r="176" spans="1:29" ht="82.5" x14ac:dyDescent="0.2">
      <c r="A176" s="55">
        <v>22</v>
      </c>
      <c r="B176" s="55" t="str">
        <f>Source!F70</f>
        <v>КА-12</v>
      </c>
      <c r="C176" s="55" t="s">
        <v>416</v>
      </c>
      <c r="D176" s="56" t="str">
        <f>Source!H70</f>
        <v>ШТ</v>
      </c>
      <c r="E176" s="57">
        <f>Source!I70</f>
        <v>30</v>
      </c>
      <c r="F176" s="58">
        <f>Source!AL70</f>
        <v>240.07</v>
      </c>
      <c r="G176" s="59"/>
      <c r="H176" s="57">
        <f>Source!AW71</f>
        <v>1</v>
      </c>
      <c r="I176" s="58">
        <f>Source!P70</f>
        <v>7202.1</v>
      </c>
      <c r="J176" s="57">
        <f>IF(Source!BC71&lt;&gt; 0, Source!BC71, 1)</f>
        <v>7.66</v>
      </c>
      <c r="K176" s="58">
        <f>Source!P71</f>
        <v>55168.09</v>
      </c>
      <c r="Q176">
        <f>Source!X70</f>
        <v>0</v>
      </c>
      <c r="R176">
        <f>Source!X71</f>
        <v>0</v>
      </c>
      <c r="S176">
        <f>Source!Y70</f>
        <v>0</v>
      </c>
      <c r="T176">
        <f>Source!Y71</f>
        <v>0</v>
      </c>
      <c r="U176">
        <f>ROUND((175/100)*ROUND(Source!R70, 2), 2)</f>
        <v>0</v>
      </c>
      <c r="V176">
        <f>ROUND((0/100)*ROUND(Source!R71, 2), 2)</f>
        <v>0</v>
      </c>
      <c r="AC176">
        <v>5</v>
      </c>
    </row>
    <row r="177" spans="1:29" ht="15" x14ac:dyDescent="0.2">
      <c r="A177" s="60"/>
      <c r="B177" s="60"/>
      <c r="C177" s="61" t="s">
        <v>402</v>
      </c>
      <c r="D177" s="60"/>
      <c r="E177" s="60"/>
      <c r="F177" s="60"/>
      <c r="G177" s="60"/>
      <c r="H177" s="62">
        <f>I176+0</f>
        <v>7202.1</v>
      </c>
      <c r="I177" s="62"/>
      <c r="J177" s="62">
        <f>K176+0</f>
        <v>55168.09</v>
      </c>
      <c r="K177" s="62"/>
      <c r="O177" s="54">
        <f>I176+0</f>
        <v>7202.1</v>
      </c>
      <c r="P177" s="54">
        <f>K176+0</f>
        <v>55168.09</v>
      </c>
    </row>
    <row r="179" spans="1:29" ht="42.75" x14ac:dyDescent="0.2">
      <c r="A179" s="40">
        <v>23</v>
      </c>
      <c r="B179" s="40" t="str">
        <f>Source!F72</f>
        <v>4.10-81-4</v>
      </c>
      <c r="C179" s="40" t="s">
        <v>113</v>
      </c>
      <c r="D179" s="42" t="str">
        <f>Source!H72</f>
        <v>1  ШТ.</v>
      </c>
      <c r="E179" s="41">
        <f>Source!I72</f>
        <v>86</v>
      </c>
      <c r="F179" s="44"/>
      <c r="G179" s="43"/>
      <c r="H179" s="41"/>
      <c r="I179" s="44"/>
      <c r="J179" s="41"/>
      <c r="K179" s="44"/>
      <c r="Q179">
        <f>Source!X72</f>
        <v>944.9</v>
      </c>
      <c r="R179">
        <f>Source!X73</f>
        <v>51960.11</v>
      </c>
      <c r="S179">
        <f>Source!Y72</f>
        <v>482.95</v>
      </c>
      <c r="T179">
        <f>Source!Y73</f>
        <v>26557.39</v>
      </c>
      <c r="U179">
        <f>ROUND((175/100)*ROUND(Source!R72, 2), 2)</f>
        <v>0</v>
      </c>
      <c r="V179">
        <f>ROUND((0/100)*ROUND(Source!R73, 2), 2)</f>
        <v>0</v>
      </c>
      <c r="AC179">
        <v>0</v>
      </c>
    </row>
    <row r="180" spans="1:29" ht="14.25" x14ac:dyDescent="0.2">
      <c r="A180" s="40"/>
      <c r="B180" s="40"/>
      <c r="C180" s="40" t="s">
        <v>392</v>
      </c>
      <c r="D180" s="42"/>
      <c r="E180" s="41"/>
      <c r="F180" s="44">
        <f>Source!AO72</f>
        <v>10.6</v>
      </c>
      <c r="G180" s="43" t="s">
        <v>393</v>
      </c>
      <c r="H180" s="41">
        <f>Source!AV73</f>
        <v>1.0469999999999999</v>
      </c>
      <c r="I180" s="44">
        <f>Source!S72</f>
        <v>1049.8900000000001</v>
      </c>
      <c r="J180" s="41">
        <f>IF(Source!BA73&lt;&gt; 0, Source!BA73, 1)</f>
        <v>54.99</v>
      </c>
      <c r="K180" s="44">
        <f>Source!S73</f>
        <v>57733.45</v>
      </c>
    </row>
    <row r="181" spans="1:29" ht="14.25" x14ac:dyDescent="0.2">
      <c r="A181" s="40"/>
      <c r="B181" s="40"/>
      <c r="C181" s="40" t="s">
        <v>394</v>
      </c>
      <c r="D181" s="42"/>
      <c r="E181" s="41"/>
      <c r="F181" s="44">
        <f>Source!AL72</f>
        <v>1.05</v>
      </c>
      <c r="G181" s="43"/>
      <c r="H181" s="41">
        <f>Source!AW73</f>
        <v>1</v>
      </c>
      <c r="I181" s="44">
        <f>Source!P72</f>
        <v>90.3</v>
      </c>
      <c r="J181" s="41">
        <f>IF(Source!BC73&lt;&gt; 0, Source!BC73, 1)</f>
        <v>9.89</v>
      </c>
      <c r="K181" s="44">
        <f>Source!P73</f>
        <v>893.07</v>
      </c>
    </row>
    <row r="182" spans="1:29" ht="14.25" x14ac:dyDescent="0.2">
      <c r="A182" s="40"/>
      <c r="B182" s="40"/>
      <c r="C182" s="40" t="s">
        <v>395</v>
      </c>
      <c r="D182" s="42" t="s">
        <v>396</v>
      </c>
      <c r="E182" s="41">
        <f>Source!BZ73</f>
        <v>90</v>
      </c>
      <c r="F182" s="44"/>
      <c r="G182" s="43"/>
      <c r="H182" s="41"/>
      <c r="I182" s="44">
        <f>SUM(Q179:Q181)</f>
        <v>944.9</v>
      </c>
      <c r="J182" s="41">
        <f>Source!AT73</f>
        <v>90</v>
      </c>
      <c r="K182" s="44">
        <f>SUM(R179:R181)</f>
        <v>51960.11</v>
      </c>
    </row>
    <row r="183" spans="1:29" ht="14.25" x14ac:dyDescent="0.2">
      <c r="A183" s="40"/>
      <c r="B183" s="40"/>
      <c r="C183" s="40" t="s">
        <v>397</v>
      </c>
      <c r="D183" s="42" t="s">
        <v>396</v>
      </c>
      <c r="E183" s="41">
        <f>Source!CA73</f>
        <v>46</v>
      </c>
      <c r="F183" s="44"/>
      <c r="G183" s="43"/>
      <c r="H183" s="41"/>
      <c r="I183" s="44">
        <f>SUM(S179:S182)</f>
        <v>482.95</v>
      </c>
      <c r="J183" s="41">
        <f>Source!AU73</f>
        <v>46</v>
      </c>
      <c r="K183" s="44">
        <f>SUM(T179:T182)</f>
        <v>26557.39</v>
      </c>
    </row>
    <row r="184" spans="1:29" ht="14.25" x14ac:dyDescent="0.2">
      <c r="A184" s="45"/>
      <c r="B184" s="45"/>
      <c r="C184" s="45" t="s">
        <v>398</v>
      </c>
      <c r="D184" s="46" t="s">
        <v>399</v>
      </c>
      <c r="E184" s="47">
        <f>Source!AQ72</f>
        <v>0.84</v>
      </c>
      <c r="F184" s="48"/>
      <c r="G184" s="49" t="s">
        <v>393</v>
      </c>
      <c r="H184" s="47">
        <f>Source!AV73</f>
        <v>1.0469999999999999</v>
      </c>
      <c r="I184" s="48">
        <f>Source!U72</f>
        <v>83.198808</v>
      </c>
      <c r="J184" s="47"/>
      <c r="K184" s="48"/>
    </row>
    <row r="185" spans="1:29" ht="15" x14ac:dyDescent="0.2">
      <c r="C185" s="50" t="s">
        <v>400</v>
      </c>
      <c r="H185" s="51">
        <f>I180+I181+I182+I183+0-0-0</f>
        <v>2568.04</v>
      </c>
      <c r="I185" s="51"/>
      <c r="J185" s="51">
        <f>K180+K181+K182+K183+0-0-0</f>
        <v>137144.02000000002</v>
      </c>
      <c r="K185" s="51"/>
    </row>
    <row r="186" spans="1:29" ht="15" hidden="1" x14ac:dyDescent="0.2">
      <c r="C186" s="50" t="s">
        <v>401</v>
      </c>
      <c r="H186" s="53">
        <f>0+0</f>
        <v>0</v>
      </c>
      <c r="I186" s="53"/>
      <c r="J186" s="53">
        <f>0+0</f>
        <v>0</v>
      </c>
      <c r="K186" s="53"/>
    </row>
    <row r="187" spans="1:29" ht="15" x14ac:dyDescent="0.2">
      <c r="C187" s="50" t="s">
        <v>402</v>
      </c>
      <c r="H187" s="53">
        <f>I180+I181+I182+I183+0</f>
        <v>2568.04</v>
      </c>
      <c r="I187" s="53"/>
      <c r="J187" s="53">
        <f>K180+K181+K182+K183+0</f>
        <v>137144.02000000002</v>
      </c>
      <c r="K187" s="53"/>
      <c r="O187" s="54">
        <f>I180+I181+I182+I183+0</f>
        <v>2568.04</v>
      </c>
      <c r="P187" s="54">
        <f>K180+K181+K182+K183+0</f>
        <v>137144.02000000002</v>
      </c>
    </row>
    <row r="189" spans="1:29" ht="68.25" x14ac:dyDescent="0.2">
      <c r="A189" s="55">
        <v>24</v>
      </c>
      <c r="B189" s="55" t="str">
        <f>Source!F74</f>
        <v>КА-13</v>
      </c>
      <c r="C189" s="55" t="s">
        <v>417</v>
      </c>
      <c r="D189" s="56" t="str">
        <f>Source!H74</f>
        <v>ШТ</v>
      </c>
      <c r="E189" s="57">
        <f>Source!I74</f>
        <v>86</v>
      </c>
      <c r="F189" s="58">
        <f>Source!AL74</f>
        <v>243.33999999999997</v>
      </c>
      <c r="G189" s="59"/>
      <c r="H189" s="57">
        <f>Source!AW75</f>
        <v>1</v>
      </c>
      <c r="I189" s="58">
        <f>Source!P74</f>
        <v>20927.240000000002</v>
      </c>
      <c r="J189" s="57">
        <f>IF(Source!BC75&lt;&gt; 0, Source!BC75, 1)</f>
        <v>7.66</v>
      </c>
      <c r="K189" s="58">
        <f>Source!P75</f>
        <v>160302.66</v>
      </c>
      <c r="Q189">
        <f>Source!X74</f>
        <v>0</v>
      </c>
      <c r="R189">
        <f>Source!X75</f>
        <v>0</v>
      </c>
      <c r="S189">
        <f>Source!Y74</f>
        <v>0</v>
      </c>
      <c r="T189">
        <f>Source!Y75</f>
        <v>0</v>
      </c>
      <c r="U189">
        <f>ROUND((175/100)*ROUND(Source!R74, 2), 2)</f>
        <v>0</v>
      </c>
      <c r="V189">
        <f>ROUND((0/100)*ROUND(Source!R75, 2), 2)</f>
        <v>0</v>
      </c>
      <c r="AC189">
        <v>5</v>
      </c>
    </row>
    <row r="190" spans="1:29" ht="15" x14ac:dyDescent="0.2">
      <c r="A190" s="60"/>
      <c r="B190" s="60"/>
      <c r="C190" s="61" t="s">
        <v>402</v>
      </c>
      <c r="D190" s="60"/>
      <c r="E190" s="60"/>
      <c r="F190" s="60"/>
      <c r="G190" s="60"/>
      <c r="H190" s="62">
        <f>I189+0</f>
        <v>20927.240000000002</v>
      </c>
      <c r="I190" s="62"/>
      <c r="J190" s="62">
        <f>K189+0</f>
        <v>160302.66</v>
      </c>
      <c r="K190" s="62"/>
      <c r="O190" s="54">
        <f>I189+0</f>
        <v>20927.240000000002</v>
      </c>
      <c r="P190" s="54">
        <f>K189+0</f>
        <v>160302.66</v>
      </c>
    </row>
    <row r="192" spans="1:29" ht="42.75" x14ac:dyDescent="0.2">
      <c r="A192" s="40">
        <v>25</v>
      </c>
      <c r="B192" s="40" t="str">
        <f>Source!F76</f>
        <v>4.10-81-4</v>
      </c>
      <c r="C192" s="40" t="s">
        <v>113</v>
      </c>
      <c r="D192" s="42" t="str">
        <f>Source!H76</f>
        <v>1  ШТ.</v>
      </c>
      <c r="E192" s="41">
        <f>Source!I76</f>
        <v>90</v>
      </c>
      <c r="F192" s="44"/>
      <c r="G192" s="43"/>
      <c r="H192" s="41"/>
      <c r="I192" s="44"/>
      <c r="J192" s="41"/>
      <c r="K192" s="44"/>
      <c r="Q192">
        <f>Source!X76</f>
        <v>988.85</v>
      </c>
      <c r="R192">
        <f>Source!X77</f>
        <v>54376.75</v>
      </c>
      <c r="S192">
        <f>Source!Y76</f>
        <v>505.41</v>
      </c>
      <c r="T192">
        <f>Source!Y77</f>
        <v>27792.560000000001</v>
      </c>
      <c r="U192">
        <f>ROUND((175/100)*ROUND(Source!R76, 2), 2)</f>
        <v>0</v>
      </c>
      <c r="V192">
        <f>ROUND((0/100)*ROUND(Source!R77, 2), 2)</f>
        <v>0</v>
      </c>
      <c r="AC192">
        <v>0</v>
      </c>
    </row>
    <row r="193" spans="1:29" ht="14.25" x14ac:dyDescent="0.2">
      <c r="A193" s="40"/>
      <c r="B193" s="40"/>
      <c r="C193" s="40" t="s">
        <v>392</v>
      </c>
      <c r="D193" s="42"/>
      <c r="E193" s="41"/>
      <c r="F193" s="44">
        <f>Source!AO76</f>
        <v>10.6</v>
      </c>
      <c r="G193" s="43" t="s">
        <v>393</v>
      </c>
      <c r="H193" s="41">
        <f>Source!AV77</f>
        <v>1.0469999999999999</v>
      </c>
      <c r="I193" s="44">
        <f>Source!S76</f>
        <v>1098.72</v>
      </c>
      <c r="J193" s="41">
        <f>IF(Source!BA77&lt;&gt; 0, Source!BA77, 1)</f>
        <v>54.99</v>
      </c>
      <c r="K193" s="44">
        <f>Source!S77</f>
        <v>60418.61</v>
      </c>
    </row>
    <row r="194" spans="1:29" ht="14.25" x14ac:dyDescent="0.2">
      <c r="A194" s="40"/>
      <c r="B194" s="40"/>
      <c r="C194" s="40" t="s">
        <v>394</v>
      </c>
      <c r="D194" s="42"/>
      <c r="E194" s="41"/>
      <c r="F194" s="44">
        <f>Source!AL76</f>
        <v>1.05</v>
      </c>
      <c r="G194" s="43"/>
      <c r="H194" s="41">
        <f>Source!AW77</f>
        <v>1</v>
      </c>
      <c r="I194" s="44">
        <f>Source!P76</f>
        <v>94.5</v>
      </c>
      <c r="J194" s="41">
        <f>IF(Source!BC77&lt;&gt; 0, Source!BC77, 1)</f>
        <v>9.89</v>
      </c>
      <c r="K194" s="44">
        <f>Source!P77</f>
        <v>934.61</v>
      </c>
    </row>
    <row r="195" spans="1:29" ht="14.25" x14ac:dyDescent="0.2">
      <c r="A195" s="40"/>
      <c r="B195" s="40"/>
      <c r="C195" s="40" t="s">
        <v>395</v>
      </c>
      <c r="D195" s="42" t="s">
        <v>396</v>
      </c>
      <c r="E195" s="41">
        <f>Source!BZ77</f>
        <v>90</v>
      </c>
      <c r="F195" s="44"/>
      <c r="G195" s="43"/>
      <c r="H195" s="41"/>
      <c r="I195" s="44">
        <f>SUM(Q192:Q194)</f>
        <v>988.85</v>
      </c>
      <c r="J195" s="41">
        <f>Source!AT77</f>
        <v>90</v>
      </c>
      <c r="K195" s="44">
        <f>SUM(R192:R194)</f>
        <v>54376.75</v>
      </c>
    </row>
    <row r="196" spans="1:29" ht="14.25" x14ac:dyDescent="0.2">
      <c r="A196" s="40"/>
      <c r="B196" s="40"/>
      <c r="C196" s="40" t="s">
        <v>397</v>
      </c>
      <c r="D196" s="42" t="s">
        <v>396</v>
      </c>
      <c r="E196" s="41">
        <f>Source!CA77</f>
        <v>46</v>
      </c>
      <c r="F196" s="44"/>
      <c r="G196" s="43"/>
      <c r="H196" s="41"/>
      <c r="I196" s="44">
        <f>SUM(S192:S195)</f>
        <v>505.41</v>
      </c>
      <c r="J196" s="41">
        <f>Source!AU77</f>
        <v>46</v>
      </c>
      <c r="K196" s="44">
        <f>SUM(T192:T195)</f>
        <v>27792.560000000001</v>
      </c>
    </row>
    <row r="197" spans="1:29" ht="14.25" x14ac:dyDescent="0.2">
      <c r="A197" s="45"/>
      <c r="B197" s="45"/>
      <c r="C197" s="45" t="s">
        <v>398</v>
      </c>
      <c r="D197" s="46" t="s">
        <v>399</v>
      </c>
      <c r="E197" s="47">
        <f>Source!AQ76</f>
        <v>0.84</v>
      </c>
      <c r="F197" s="48"/>
      <c r="G197" s="49" t="s">
        <v>393</v>
      </c>
      <c r="H197" s="47">
        <f>Source!AV77</f>
        <v>1.0469999999999999</v>
      </c>
      <c r="I197" s="48">
        <f>Source!U76</f>
        <v>87.068519999999992</v>
      </c>
      <c r="J197" s="47"/>
      <c r="K197" s="48"/>
    </row>
    <row r="198" spans="1:29" ht="15" x14ac:dyDescent="0.2">
      <c r="C198" s="50" t="s">
        <v>400</v>
      </c>
      <c r="H198" s="51">
        <f>I193+I194+I195+I196+0-0-0</f>
        <v>2687.48</v>
      </c>
      <c r="I198" s="51"/>
      <c r="J198" s="51">
        <f>K193+K194+K195+K196+0-0-0</f>
        <v>143522.53</v>
      </c>
      <c r="K198" s="51"/>
    </row>
    <row r="199" spans="1:29" ht="15" hidden="1" x14ac:dyDescent="0.2">
      <c r="C199" s="50" t="s">
        <v>401</v>
      </c>
      <c r="H199" s="53">
        <f>0+0</f>
        <v>0</v>
      </c>
      <c r="I199" s="53"/>
      <c r="J199" s="53">
        <f>0+0</f>
        <v>0</v>
      </c>
      <c r="K199" s="53"/>
    </row>
    <row r="200" spans="1:29" ht="15" x14ac:dyDescent="0.2">
      <c r="C200" s="50" t="s">
        <v>402</v>
      </c>
      <c r="H200" s="53">
        <f>I193+I194+I195+I196+0</f>
        <v>2687.48</v>
      </c>
      <c r="I200" s="53"/>
      <c r="J200" s="53">
        <f>K193+K194+K195+K196+0</f>
        <v>143522.53</v>
      </c>
      <c r="K200" s="53"/>
      <c r="O200" s="54">
        <f>I193+I194+I195+I196+0</f>
        <v>2687.48</v>
      </c>
      <c r="P200" s="54">
        <f>K193+K194+K195+K196+0</f>
        <v>143522.53</v>
      </c>
    </row>
    <row r="202" spans="1:29" ht="82.5" x14ac:dyDescent="0.2">
      <c r="A202" s="55">
        <v>26</v>
      </c>
      <c r="B202" s="55" t="str">
        <f>Source!F78</f>
        <v>КА-14</v>
      </c>
      <c r="C202" s="55" t="s">
        <v>418</v>
      </c>
      <c r="D202" s="56" t="str">
        <f>Source!H78</f>
        <v>ШТ</v>
      </c>
      <c r="E202" s="57">
        <f>Source!I78</f>
        <v>90</v>
      </c>
      <c r="F202" s="58">
        <f>Source!AL78</f>
        <v>71.33</v>
      </c>
      <c r="G202" s="59"/>
      <c r="H202" s="57">
        <f>Source!AW79</f>
        <v>1</v>
      </c>
      <c r="I202" s="58">
        <f>Source!P78</f>
        <v>6419.7</v>
      </c>
      <c r="J202" s="57">
        <f>IF(Source!BC79&lt;&gt; 0, Source!BC79, 1)</f>
        <v>7.66</v>
      </c>
      <c r="K202" s="58">
        <f>Source!P79</f>
        <v>49174.9</v>
      </c>
      <c r="Q202">
        <f>Source!X78</f>
        <v>0</v>
      </c>
      <c r="R202">
        <f>Source!X79</f>
        <v>0</v>
      </c>
      <c r="S202">
        <f>Source!Y78</f>
        <v>0</v>
      </c>
      <c r="T202">
        <f>Source!Y79</f>
        <v>0</v>
      </c>
      <c r="U202">
        <f>ROUND((175/100)*ROUND(Source!R78, 2), 2)</f>
        <v>0</v>
      </c>
      <c r="V202">
        <f>ROUND((0/100)*ROUND(Source!R79, 2), 2)</f>
        <v>0</v>
      </c>
      <c r="AC202">
        <v>5</v>
      </c>
    </row>
    <row r="203" spans="1:29" ht="15" x14ac:dyDescent="0.2">
      <c r="A203" s="60"/>
      <c r="B203" s="60"/>
      <c r="C203" s="61" t="s">
        <v>402</v>
      </c>
      <c r="D203" s="60"/>
      <c r="E203" s="60"/>
      <c r="F203" s="60"/>
      <c r="G203" s="60"/>
      <c r="H203" s="62">
        <f>I202+0</f>
        <v>6419.7</v>
      </c>
      <c r="I203" s="62"/>
      <c r="J203" s="62">
        <f>K202+0</f>
        <v>49174.9</v>
      </c>
      <c r="K203" s="62"/>
      <c r="O203" s="54">
        <f>I202+0</f>
        <v>6419.7</v>
      </c>
      <c r="P203" s="54">
        <f>K202+0</f>
        <v>49174.9</v>
      </c>
    </row>
    <row r="205" spans="1:29" ht="28.5" x14ac:dyDescent="0.2">
      <c r="A205" s="40">
        <v>27</v>
      </c>
      <c r="B205" s="40" t="str">
        <f>Source!F80</f>
        <v>4.10-80-13</v>
      </c>
      <c r="C205" s="40" t="s">
        <v>62</v>
      </c>
      <c r="D205" s="42" t="str">
        <f>Source!H80</f>
        <v>1  ШТ.</v>
      </c>
      <c r="E205" s="41">
        <f>Source!I80</f>
        <v>9</v>
      </c>
      <c r="F205" s="44"/>
      <c r="G205" s="43"/>
      <c r="H205" s="41"/>
      <c r="I205" s="44"/>
      <c r="J205" s="41"/>
      <c r="K205" s="44"/>
      <c r="Q205">
        <f>Source!X80</f>
        <v>150</v>
      </c>
      <c r="R205">
        <f>Source!X81</f>
        <v>8248.66</v>
      </c>
      <c r="S205">
        <f>Source!Y80</f>
        <v>76.67</v>
      </c>
      <c r="T205">
        <f>Source!Y81</f>
        <v>4215.9799999999996</v>
      </c>
      <c r="U205">
        <f>ROUND((175/100)*ROUND(Source!R80, 2), 2)</f>
        <v>0.18</v>
      </c>
      <c r="V205">
        <f>ROUND((0/100)*ROUND(Source!R81, 2), 2)</f>
        <v>0</v>
      </c>
      <c r="AC205">
        <v>0</v>
      </c>
    </row>
    <row r="206" spans="1:29" ht="14.25" x14ac:dyDescent="0.2">
      <c r="A206" s="40"/>
      <c r="B206" s="40"/>
      <c r="C206" s="40" t="s">
        <v>392</v>
      </c>
      <c r="D206" s="42"/>
      <c r="E206" s="41"/>
      <c r="F206" s="44">
        <f>Source!AO80</f>
        <v>16.07</v>
      </c>
      <c r="G206" s="43" t="s">
        <v>393</v>
      </c>
      <c r="H206" s="41">
        <f>Source!AV81</f>
        <v>1.0469999999999999</v>
      </c>
      <c r="I206" s="44">
        <f>Source!S80</f>
        <v>166.57</v>
      </c>
      <c r="J206" s="41">
        <f>IF(Source!BA81&lt;&gt; 0, Source!BA81, 1)</f>
        <v>54.99</v>
      </c>
      <c r="K206" s="44">
        <f>Source!S81</f>
        <v>9159.68</v>
      </c>
    </row>
    <row r="207" spans="1:29" ht="14.25" x14ac:dyDescent="0.2">
      <c r="A207" s="40"/>
      <c r="B207" s="40"/>
      <c r="C207" s="40" t="s">
        <v>406</v>
      </c>
      <c r="D207" s="42"/>
      <c r="E207" s="41"/>
      <c r="F207" s="44">
        <f>Source!AM80</f>
        <v>0.05</v>
      </c>
      <c r="G207" s="43" t="s">
        <v>393</v>
      </c>
      <c r="H207" s="41">
        <f>Source!AV81</f>
        <v>1.0469999999999999</v>
      </c>
      <c r="I207" s="44">
        <f>Source!Q80</f>
        <v>0.52</v>
      </c>
      <c r="J207" s="41">
        <f>IF(Source!BB81&lt;&gt; 0, Source!BB81, 1)</f>
        <v>19</v>
      </c>
      <c r="K207" s="44">
        <f>Source!Q81</f>
        <v>9.8800000000000008</v>
      </c>
    </row>
    <row r="208" spans="1:29" ht="14.25" x14ac:dyDescent="0.2">
      <c r="A208" s="40"/>
      <c r="B208" s="40"/>
      <c r="C208" s="40" t="s">
        <v>407</v>
      </c>
      <c r="D208" s="42"/>
      <c r="E208" s="41"/>
      <c r="F208" s="44">
        <f>Source!AN80</f>
        <v>0.01</v>
      </c>
      <c r="G208" s="43" t="s">
        <v>393</v>
      </c>
      <c r="H208" s="41">
        <f>Source!AV81</f>
        <v>1.0469999999999999</v>
      </c>
      <c r="I208" s="63">
        <f>Source!R80</f>
        <v>0.1</v>
      </c>
      <c r="J208" s="41">
        <f>IF(Source!BS81&lt;&gt; 0, Source!BS81, 1)</f>
        <v>54.99</v>
      </c>
      <c r="K208" s="63">
        <f>Source!R81</f>
        <v>5.5</v>
      </c>
    </row>
    <row r="209" spans="1:29" ht="14.25" x14ac:dyDescent="0.2">
      <c r="A209" s="40"/>
      <c r="B209" s="40"/>
      <c r="C209" s="40" t="s">
        <v>394</v>
      </c>
      <c r="D209" s="42"/>
      <c r="E209" s="41"/>
      <c r="F209" s="44">
        <f>Source!AL80</f>
        <v>1.96</v>
      </c>
      <c r="G209" s="43"/>
      <c r="H209" s="41">
        <f>Source!AW81</f>
        <v>1</v>
      </c>
      <c r="I209" s="44">
        <f>Source!P80</f>
        <v>17.64</v>
      </c>
      <c r="J209" s="41">
        <f>IF(Source!BC81&lt;&gt; 0, Source!BC81, 1)</f>
        <v>9.89</v>
      </c>
      <c r="K209" s="44">
        <f>Source!P81</f>
        <v>174.46</v>
      </c>
    </row>
    <row r="210" spans="1:29" ht="14.25" x14ac:dyDescent="0.2">
      <c r="A210" s="40"/>
      <c r="B210" s="40"/>
      <c r="C210" s="40" t="s">
        <v>395</v>
      </c>
      <c r="D210" s="42" t="s">
        <v>396</v>
      </c>
      <c r="E210" s="41">
        <f>Source!BZ81</f>
        <v>90</v>
      </c>
      <c r="F210" s="44"/>
      <c r="G210" s="43"/>
      <c r="H210" s="41"/>
      <c r="I210" s="44">
        <f>SUM(Q205:Q209)</f>
        <v>150</v>
      </c>
      <c r="J210" s="41">
        <f>Source!AT81</f>
        <v>90</v>
      </c>
      <c r="K210" s="44">
        <f>SUM(R205:R209)</f>
        <v>8248.66</v>
      </c>
    </row>
    <row r="211" spans="1:29" ht="14.25" x14ac:dyDescent="0.2">
      <c r="A211" s="40"/>
      <c r="B211" s="40"/>
      <c r="C211" s="40" t="s">
        <v>397</v>
      </c>
      <c r="D211" s="42" t="s">
        <v>396</v>
      </c>
      <c r="E211" s="41">
        <f>Source!CA81</f>
        <v>46</v>
      </c>
      <c r="F211" s="44"/>
      <c r="G211" s="43"/>
      <c r="H211" s="41"/>
      <c r="I211" s="44">
        <f>SUM(S205:S210)</f>
        <v>76.67</v>
      </c>
      <c r="J211" s="41">
        <f>Source!AU81</f>
        <v>46</v>
      </c>
      <c r="K211" s="44">
        <f>SUM(T205:T210)</f>
        <v>4215.9799999999996</v>
      </c>
    </row>
    <row r="212" spans="1:29" ht="14.25" x14ac:dyDescent="0.2">
      <c r="A212" s="45"/>
      <c r="B212" s="45"/>
      <c r="C212" s="45" t="s">
        <v>398</v>
      </c>
      <c r="D212" s="46" t="s">
        <v>399</v>
      </c>
      <c r="E212" s="47">
        <f>Source!AQ80</f>
        <v>1.2</v>
      </c>
      <c r="F212" s="48"/>
      <c r="G212" s="49" t="s">
        <v>393</v>
      </c>
      <c r="H212" s="47">
        <f>Source!AV81</f>
        <v>1.0469999999999999</v>
      </c>
      <c r="I212" s="48">
        <f>Source!U80</f>
        <v>12.438359999999999</v>
      </c>
      <c r="J212" s="47"/>
      <c r="K212" s="48"/>
    </row>
    <row r="213" spans="1:29" ht="15" x14ac:dyDescent="0.2">
      <c r="C213" s="50" t="s">
        <v>400</v>
      </c>
      <c r="H213" s="51">
        <f>I206+I207+I209+I210+I211+0-0-0</f>
        <v>411.40000000000003</v>
      </c>
      <c r="I213" s="51"/>
      <c r="J213" s="51">
        <f>K206+K207+K209+K210+K211+0-0-0</f>
        <v>21808.66</v>
      </c>
      <c r="K213" s="51"/>
    </row>
    <row r="214" spans="1:29" ht="15" hidden="1" x14ac:dyDescent="0.2">
      <c r="C214" s="50" t="s">
        <v>401</v>
      </c>
      <c r="H214" s="53">
        <f>0+0</f>
        <v>0</v>
      </c>
      <c r="I214" s="53"/>
      <c r="J214" s="53">
        <f>0+0</f>
        <v>0</v>
      </c>
      <c r="K214" s="53"/>
    </row>
    <row r="215" spans="1:29" ht="15" x14ac:dyDescent="0.2">
      <c r="C215" s="50" t="s">
        <v>402</v>
      </c>
      <c r="H215" s="53">
        <f>I206+I207+I209+I210+I211+0</f>
        <v>411.40000000000003</v>
      </c>
      <c r="I215" s="53"/>
      <c r="J215" s="53">
        <f>K206+K207+K209+K210+K211+0</f>
        <v>21808.66</v>
      </c>
      <c r="K215" s="53"/>
      <c r="O215" s="54">
        <f>I206+I207+I209+I210+I211+0</f>
        <v>411.40000000000003</v>
      </c>
      <c r="P215" s="54">
        <f>K206+K207+K209+K210+K211+0</f>
        <v>21808.66</v>
      </c>
    </row>
    <row r="217" spans="1:29" ht="54" x14ac:dyDescent="0.2">
      <c r="A217" s="55">
        <v>28</v>
      </c>
      <c r="B217" s="55" t="str">
        <f>Source!F82</f>
        <v>КА-15</v>
      </c>
      <c r="C217" s="55" t="s">
        <v>419</v>
      </c>
      <c r="D217" s="56" t="str">
        <f>Source!H82</f>
        <v>ШТ</v>
      </c>
      <c r="E217" s="57">
        <f>Source!I82</f>
        <v>9</v>
      </c>
      <c r="F217" s="58">
        <f>Source!AL82</f>
        <v>185.42</v>
      </c>
      <c r="G217" s="59"/>
      <c r="H217" s="57">
        <f>Source!AW83</f>
        <v>1</v>
      </c>
      <c r="I217" s="58">
        <f>Source!P82</f>
        <v>1668.78</v>
      </c>
      <c r="J217" s="57">
        <f>IF(Source!BC83&lt;&gt; 0, Source!BC83, 1)</f>
        <v>7.66</v>
      </c>
      <c r="K217" s="58">
        <f>Source!P83</f>
        <v>12782.85</v>
      </c>
      <c r="Q217">
        <f>Source!X82</f>
        <v>0</v>
      </c>
      <c r="R217">
        <f>Source!X83</f>
        <v>0</v>
      </c>
      <c r="S217">
        <f>Source!Y82</f>
        <v>0</v>
      </c>
      <c r="T217">
        <f>Source!Y83</f>
        <v>0</v>
      </c>
      <c r="U217">
        <f>ROUND((175/100)*ROUND(Source!R82, 2), 2)</f>
        <v>0</v>
      </c>
      <c r="V217">
        <f>ROUND((0/100)*ROUND(Source!R83, 2), 2)</f>
        <v>0</v>
      </c>
      <c r="AC217">
        <v>5</v>
      </c>
    </row>
    <row r="218" spans="1:29" ht="15" x14ac:dyDescent="0.2">
      <c r="A218" s="60"/>
      <c r="B218" s="60"/>
      <c r="C218" s="61" t="s">
        <v>402</v>
      </c>
      <c r="D218" s="60"/>
      <c r="E218" s="60"/>
      <c r="F218" s="60"/>
      <c r="G218" s="60"/>
      <c r="H218" s="62">
        <f>I217+0</f>
        <v>1668.78</v>
      </c>
      <c r="I218" s="62"/>
      <c r="J218" s="62">
        <f>K217+0</f>
        <v>12782.85</v>
      </c>
      <c r="K218" s="62"/>
      <c r="O218" s="54">
        <f>I217+0</f>
        <v>1668.78</v>
      </c>
      <c r="P218" s="54">
        <f>K217+0</f>
        <v>12782.85</v>
      </c>
    </row>
    <row r="220" spans="1:29" ht="28.5" x14ac:dyDescent="0.2">
      <c r="A220" s="40">
        <v>29</v>
      </c>
      <c r="B220" s="40" t="str">
        <f>Source!F84</f>
        <v>4.10-59-3</v>
      </c>
      <c r="C220" s="40" t="s">
        <v>131</v>
      </c>
      <c r="D220" s="42" t="str">
        <f>Source!H84</f>
        <v>1  ШТ.</v>
      </c>
      <c r="E220" s="41">
        <f>Source!I84</f>
        <v>10</v>
      </c>
      <c r="F220" s="44"/>
      <c r="G220" s="43"/>
      <c r="H220" s="41"/>
      <c r="I220" s="44"/>
      <c r="J220" s="41"/>
      <c r="K220" s="44"/>
      <c r="Q220">
        <f>Source!X84</f>
        <v>117.07</v>
      </c>
      <c r="R220">
        <f>Source!X85</f>
        <v>6437.6</v>
      </c>
      <c r="S220">
        <f>Source!Y84</f>
        <v>65.31</v>
      </c>
      <c r="T220">
        <f>Source!Y85</f>
        <v>3591.5</v>
      </c>
      <c r="U220">
        <f>ROUND((175/100)*ROUND(Source!R84, 2), 2)</f>
        <v>0</v>
      </c>
      <c r="V220">
        <f>ROUND((0/100)*ROUND(Source!R85, 2), 2)</f>
        <v>0</v>
      </c>
      <c r="AC220">
        <v>0</v>
      </c>
    </row>
    <row r="221" spans="1:29" ht="14.25" x14ac:dyDescent="0.2">
      <c r="A221" s="40"/>
      <c r="B221" s="40"/>
      <c r="C221" s="40" t="s">
        <v>392</v>
      </c>
      <c r="D221" s="42"/>
      <c r="E221" s="41"/>
      <c r="F221" s="44">
        <f>Source!AO84</f>
        <v>10.7</v>
      </c>
      <c r="G221" s="43" t="s">
        <v>393</v>
      </c>
      <c r="H221" s="41">
        <f>Source!AV85</f>
        <v>1.0469999999999999</v>
      </c>
      <c r="I221" s="44">
        <f>Source!S84</f>
        <v>123.23</v>
      </c>
      <c r="J221" s="41">
        <f>IF(Source!BA85&lt;&gt; 0, Source!BA85, 1)</f>
        <v>54.99</v>
      </c>
      <c r="K221" s="44">
        <f>Source!S85</f>
        <v>6776.42</v>
      </c>
    </row>
    <row r="222" spans="1:29" ht="14.25" x14ac:dyDescent="0.2">
      <c r="A222" s="40"/>
      <c r="B222" s="40"/>
      <c r="C222" s="40" t="s">
        <v>395</v>
      </c>
      <c r="D222" s="42" t="s">
        <v>396</v>
      </c>
      <c r="E222" s="41">
        <f>Source!BZ85</f>
        <v>95</v>
      </c>
      <c r="F222" s="44"/>
      <c r="G222" s="43"/>
      <c r="H222" s="41"/>
      <c r="I222" s="44">
        <f>SUM(Q220:Q221)</f>
        <v>117.07</v>
      </c>
      <c r="J222" s="41">
        <f>Source!AT85</f>
        <v>95</v>
      </c>
      <c r="K222" s="44">
        <f>SUM(R220:R221)</f>
        <v>6437.6</v>
      </c>
    </row>
    <row r="223" spans="1:29" ht="14.25" x14ac:dyDescent="0.2">
      <c r="A223" s="40"/>
      <c r="B223" s="40"/>
      <c r="C223" s="40" t="s">
        <v>397</v>
      </c>
      <c r="D223" s="42" t="s">
        <v>396</v>
      </c>
      <c r="E223" s="41">
        <f>Source!CA85</f>
        <v>53</v>
      </c>
      <c r="F223" s="44"/>
      <c r="G223" s="43"/>
      <c r="H223" s="41"/>
      <c r="I223" s="44">
        <f>SUM(S220:S222)</f>
        <v>65.31</v>
      </c>
      <c r="J223" s="41">
        <f>Source!AU85</f>
        <v>53</v>
      </c>
      <c r="K223" s="44">
        <f>SUM(T220:T222)</f>
        <v>3591.5</v>
      </c>
    </row>
    <row r="224" spans="1:29" ht="14.25" x14ac:dyDescent="0.2">
      <c r="A224" s="45"/>
      <c r="B224" s="45"/>
      <c r="C224" s="45" t="s">
        <v>398</v>
      </c>
      <c r="D224" s="46" t="s">
        <v>399</v>
      </c>
      <c r="E224" s="47">
        <f>Source!AQ84</f>
        <v>1</v>
      </c>
      <c r="F224" s="48"/>
      <c r="G224" s="49" t="s">
        <v>393</v>
      </c>
      <c r="H224" s="47">
        <f>Source!AV85</f>
        <v>1.0469999999999999</v>
      </c>
      <c r="I224" s="48">
        <f>Source!U84</f>
        <v>11.516999999999999</v>
      </c>
      <c r="J224" s="47"/>
      <c r="K224" s="48"/>
    </row>
    <row r="225" spans="1:29" ht="15" x14ac:dyDescent="0.2">
      <c r="C225" s="50" t="s">
        <v>400</v>
      </c>
      <c r="H225" s="51">
        <f>I221+I222+I223+0-0-0</f>
        <v>305.61</v>
      </c>
      <c r="I225" s="51"/>
      <c r="J225" s="51">
        <f>K221+K222+K223+0-0-0</f>
        <v>16805.52</v>
      </c>
      <c r="K225" s="51"/>
    </row>
    <row r="226" spans="1:29" ht="15" hidden="1" x14ac:dyDescent="0.2">
      <c r="C226" s="50" t="s">
        <v>401</v>
      </c>
      <c r="H226" s="53">
        <f>0+0</f>
        <v>0</v>
      </c>
      <c r="I226" s="53"/>
      <c r="J226" s="53">
        <f>0+0</f>
        <v>0</v>
      </c>
      <c r="K226" s="53"/>
    </row>
    <row r="227" spans="1:29" ht="15" x14ac:dyDescent="0.2">
      <c r="C227" s="50" t="s">
        <v>402</v>
      </c>
      <c r="H227" s="53">
        <f>I221+I222+I223+0</f>
        <v>305.61</v>
      </c>
      <c r="I227" s="53"/>
      <c r="J227" s="53">
        <f>K221+K222+K223+0</f>
        <v>16805.52</v>
      </c>
      <c r="K227" s="53"/>
      <c r="O227" s="54">
        <f>I221+I222+I223+0</f>
        <v>305.61</v>
      </c>
      <c r="P227" s="54">
        <f>K221+K222+K223+0</f>
        <v>16805.52</v>
      </c>
    </row>
    <row r="229" spans="1:29" ht="82.5" x14ac:dyDescent="0.2">
      <c r="A229" s="55">
        <v>30</v>
      </c>
      <c r="B229" s="55" t="str">
        <f>Source!F86</f>
        <v>КА-16</v>
      </c>
      <c r="C229" s="55" t="s">
        <v>420</v>
      </c>
      <c r="D229" s="56" t="str">
        <f>Source!H86</f>
        <v>ШТ</v>
      </c>
      <c r="E229" s="57">
        <f>Source!I86</f>
        <v>10</v>
      </c>
      <c r="F229" s="58">
        <f>Source!AL86</f>
        <v>48.080000000000005</v>
      </c>
      <c r="G229" s="59"/>
      <c r="H229" s="57">
        <f>Source!AW87</f>
        <v>1</v>
      </c>
      <c r="I229" s="58">
        <f>Source!P86</f>
        <v>480.8</v>
      </c>
      <c r="J229" s="57">
        <f>IF(Source!BC87&lt;&gt; 0, Source!BC87, 1)</f>
        <v>7.66</v>
      </c>
      <c r="K229" s="58">
        <f>Source!P87</f>
        <v>3682.93</v>
      </c>
      <c r="Q229">
        <f>Source!X86</f>
        <v>0</v>
      </c>
      <c r="R229">
        <f>Source!X87</f>
        <v>0</v>
      </c>
      <c r="S229">
        <f>Source!Y86</f>
        <v>0</v>
      </c>
      <c r="T229">
        <f>Source!Y87</f>
        <v>0</v>
      </c>
      <c r="U229">
        <f>ROUND((175/100)*ROUND(Source!R86, 2), 2)</f>
        <v>0</v>
      </c>
      <c r="V229">
        <f>ROUND((0/100)*ROUND(Source!R87, 2), 2)</f>
        <v>0</v>
      </c>
      <c r="AC229">
        <v>5</v>
      </c>
    </row>
    <row r="230" spans="1:29" ht="15" x14ac:dyDescent="0.2">
      <c r="A230" s="60"/>
      <c r="B230" s="60"/>
      <c r="C230" s="61" t="s">
        <v>402</v>
      </c>
      <c r="D230" s="60"/>
      <c r="E230" s="60"/>
      <c r="F230" s="60"/>
      <c r="G230" s="60"/>
      <c r="H230" s="62">
        <f>I229+0</f>
        <v>480.8</v>
      </c>
      <c r="I230" s="62"/>
      <c r="J230" s="62">
        <f>K229+0</f>
        <v>3682.93</v>
      </c>
      <c r="K230" s="62"/>
      <c r="O230" s="54">
        <f>I229+0</f>
        <v>480.8</v>
      </c>
      <c r="P230" s="54">
        <f>K229+0</f>
        <v>3682.93</v>
      </c>
    </row>
    <row r="232" spans="1:29" ht="42.75" x14ac:dyDescent="0.2">
      <c r="A232" s="40">
        <v>31</v>
      </c>
      <c r="B232" s="40" t="str">
        <f>Source!F88</f>
        <v>4.8-245-10</v>
      </c>
      <c r="C232" s="40" t="s">
        <v>139</v>
      </c>
      <c r="D232" s="42" t="str">
        <f>Source!H88</f>
        <v>100 шт.</v>
      </c>
      <c r="E232" s="41">
        <f>Source!I88</f>
        <v>0.01</v>
      </c>
      <c r="F232" s="44"/>
      <c r="G232" s="43"/>
      <c r="H232" s="41"/>
      <c r="I232" s="44"/>
      <c r="J232" s="41"/>
      <c r="K232" s="44"/>
      <c r="Q232">
        <f>Source!X88</f>
        <v>12.44</v>
      </c>
      <c r="R232">
        <f>Source!X89</f>
        <v>683.82</v>
      </c>
      <c r="S232">
        <f>Source!Y88</f>
        <v>6.54</v>
      </c>
      <c r="T232">
        <f>Source!Y89</f>
        <v>359.53</v>
      </c>
      <c r="U232">
        <f>ROUND((175/100)*ROUND(Source!R88, 2), 2)</f>
        <v>0.26</v>
      </c>
      <c r="V232">
        <f>ROUND((0/100)*ROUND(Source!R89, 2), 2)</f>
        <v>0</v>
      </c>
      <c r="AC232">
        <v>0</v>
      </c>
    </row>
    <row r="233" spans="1:29" x14ac:dyDescent="0.2">
      <c r="C233" s="64" t="str">
        <f>"Объем: "&amp;Source!I88&amp;"=1/"&amp;"100"</f>
        <v>Объем: 0,01=1/100</v>
      </c>
    </row>
    <row r="234" spans="1:29" ht="14.25" x14ac:dyDescent="0.2">
      <c r="A234" s="40"/>
      <c r="B234" s="40"/>
      <c r="C234" s="40" t="s">
        <v>392</v>
      </c>
      <c r="D234" s="42"/>
      <c r="E234" s="41"/>
      <c r="F234" s="44">
        <f>Source!AO88</f>
        <v>1099.8599999999999</v>
      </c>
      <c r="G234" s="43" t="s">
        <v>393</v>
      </c>
      <c r="H234" s="41">
        <f>Source!AV89</f>
        <v>1.0469999999999999</v>
      </c>
      <c r="I234" s="44">
        <f>Source!S88</f>
        <v>12.67</v>
      </c>
      <c r="J234" s="41">
        <f>IF(Source!BA89&lt;&gt; 0, Source!BA89, 1)</f>
        <v>54.99</v>
      </c>
      <c r="K234" s="44">
        <f>Source!S89</f>
        <v>696.72</v>
      </c>
    </row>
    <row r="235" spans="1:29" ht="14.25" x14ac:dyDescent="0.2">
      <c r="A235" s="40"/>
      <c r="B235" s="40"/>
      <c r="C235" s="40" t="s">
        <v>406</v>
      </c>
      <c r="D235" s="42"/>
      <c r="E235" s="41"/>
      <c r="F235" s="44">
        <f>Source!AM88</f>
        <v>93.32</v>
      </c>
      <c r="G235" s="43" t="s">
        <v>393</v>
      </c>
      <c r="H235" s="41">
        <f>Source!AV89</f>
        <v>1.0469999999999999</v>
      </c>
      <c r="I235" s="44">
        <f>Source!Q88</f>
        <v>1.07</v>
      </c>
      <c r="J235" s="41">
        <f>IF(Source!BB89&lt;&gt; 0, Source!BB89, 1)</f>
        <v>15.65</v>
      </c>
      <c r="K235" s="44">
        <f>Source!Q89</f>
        <v>16.75</v>
      </c>
    </row>
    <row r="236" spans="1:29" ht="14.25" x14ac:dyDescent="0.2">
      <c r="A236" s="40"/>
      <c r="B236" s="40"/>
      <c r="C236" s="40" t="s">
        <v>407</v>
      </c>
      <c r="D236" s="42"/>
      <c r="E236" s="41"/>
      <c r="F236" s="44">
        <f>Source!AN88</f>
        <v>13</v>
      </c>
      <c r="G236" s="43" t="s">
        <v>393</v>
      </c>
      <c r="H236" s="41">
        <f>Source!AV89</f>
        <v>1.0469999999999999</v>
      </c>
      <c r="I236" s="63">
        <f>Source!R88</f>
        <v>0.15</v>
      </c>
      <c r="J236" s="41">
        <f>IF(Source!BS89&lt;&gt; 0, Source!BS89, 1)</f>
        <v>54.99</v>
      </c>
      <c r="K236" s="63">
        <f>Source!R89</f>
        <v>8.25</v>
      </c>
    </row>
    <row r="237" spans="1:29" ht="14.25" x14ac:dyDescent="0.2">
      <c r="A237" s="40"/>
      <c r="B237" s="40"/>
      <c r="C237" s="40" t="s">
        <v>394</v>
      </c>
      <c r="D237" s="42"/>
      <c r="E237" s="41"/>
      <c r="F237" s="44">
        <f>Source!AL88</f>
        <v>81.36</v>
      </c>
      <c r="G237" s="43"/>
      <c r="H237" s="41">
        <f>Source!AW89</f>
        <v>1</v>
      </c>
      <c r="I237" s="44">
        <f>Source!P88</f>
        <v>0.81</v>
      </c>
      <c r="J237" s="41">
        <f>IF(Source!BC89&lt;&gt; 0, Source!BC89, 1)</f>
        <v>10.65</v>
      </c>
      <c r="K237" s="44">
        <f>Source!P89</f>
        <v>8.6300000000000008</v>
      </c>
    </row>
    <row r="238" spans="1:29" ht="14.25" x14ac:dyDescent="0.2">
      <c r="A238" s="40"/>
      <c r="B238" s="40"/>
      <c r="C238" s="40" t="s">
        <v>395</v>
      </c>
      <c r="D238" s="42" t="s">
        <v>396</v>
      </c>
      <c r="E238" s="41">
        <f>Source!BZ89</f>
        <v>97</v>
      </c>
      <c r="F238" s="44"/>
      <c r="G238" s="43"/>
      <c r="H238" s="41"/>
      <c r="I238" s="44">
        <f>SUM(Q232:Q237)</f>
        <v>12.44</v>
      </c>
      <c r="J238" s="41">
        <f>Source!AT89</f>
        <v>97</v>
      </c>
      <c r="K238" s="44">
        <f>SUM(R232:R237)</f>
        <v>683.82</v>
      </c>
    </row>
    <row r="239" spans="1:29" ht="14.25" x14ac:dyDescent="0.2">
      <c r="A239" s="40"/>
      <c r="B239" s="40"/>
      <c r="C239" s="40" t="s">
        <v>397</v>
      </c>
      <c r="D239" s="42" t="s">
        <v>396</v>
      </c>
      <c r="E239" s="41">
        <f>Source!CA89</f>
        <v>51</v>
      </c>
      <c r="F239" s="44"/>
      <c r="G239" s="43"/>
      <c r="H239" s="41"/>
      <c r="I239" s="44">
        <f>SUM(S232:S238)</f>
        <v>6.54</v>
      </c>
      <c r="J239" s="41">
        <f>Source!AU89</f>
        <v>51</v>
      </c>
      <c r="K239" s="44">
        <f>SUM(T232:T238)</f>
        <v>359.53</v>
      </c>
    </row>
    <row r="240" spans="1:29" ht="14.25" x14ac:dyDescent="0.2">
      <c r="A240" s="45"/>
      <c r="B240" s="45"/>
      <c r="C240" s="45" t="s">
        <v>398</v>
      </c>
      <c r="D240" s="46" t="s">
        <v>399</v>
      </c>
      <c r="E240" s="47">
        <f>Source!AQ88</f>
        <v>84.67</v>
      </c>
      <c r="F240" s="48"/>
      <c r="G240" s="49" t="s">
        <v>393</v>
      </c>
      <c r="H240" s="47">
        <f>Source!AV89</f>
        <v>1.0469999999999999</v>
      </c>
      <c r="I240" s="48">
        <f>Source!U88</f>
        <v>0.97514439000000008</v>
      </c>
      <c r="J240" s="47"/>
      <c r="K240" s="48"/>
    </row>
    <row r="241" spans="1:29" ht="15" x14ac:dyDescent="0.2">
      <c r="C241" s="50" t="s">
        <v>400</v>
      </c>
      <c r="H241" s="51">
        <f>I234+I235+I237+I238+I239+0-0-0</f>
        <v>33.53</v>
      </c>
      <c r="I241" s="51"/>
      <c r="J241" s="51">
        <f>K234+K235+K237+K238+K239+0-0-0</f>
        <v>1765.45</v>
      </c>
      <c r="K241" s="51"/>
    </row>
    <row r="242" spans="1:29" ht="15" hidden="1" x14ac:dyDescent="0.2">
      <c r="C242" s="50" t="s">
        <v>401</v>
      </c>
      <c r="H242" s="53">
        <f>0+0</f>
        <v>0</v>
      </c>
      <c r="I242" s="53"/>
      <c r="J242" s="53">
        <f>0+0</f>
        <v>0</v>
      </c>
      <c r="K242" s="53"/>
    </row>
    <row r="243" spans="1:29" ht="15" x14ac:dyDescent="0.2">
      <c r="C243" s="50" t="s">
        <v>402</v>
      </c>
      <c r="H243" s="53">
        <f>I234+I235+I237+I238+I239+0</f>
        <v>33.53</v>
      </c>
      <c r="I243" s="53"/>
      <c r="J243" s="53">
        <f>K234+K235+K237+K238+K239+0</f>
        <v>1765.45</v>
      </c>
      <c r="K243" s="53"/>
      <c r="O243" s="54">
        <f>I234+I235+I237+I238+I239+0</f>
        <v>33.53</v>
      </c>
      <c r="P243" s="54">
        <f>K234+K235+K237+K238+K239+0</f>
        <v>1765.45</v>
      </c>
    </row>
    <row r="245" spans="1:29" ht="54" x14ac:dyDescent="0.2">
      <c r="A245" s="55">
        <v>32</v>
      </c>
      <c r="B245" s="55" t="str">
        <f>Source!F90</f>
        <v>КА-17</v>
      </c>
      <c r="C245" s="55" t="s">
        <v>421</v>
      </c>
      <c r="D245" s="56" t="str">
        <f>Source!H90</f>
        <v>ШТ</v>
      </c>
      <c r="E245" s="57">
        <f>Source!I90</f>
        <v>1</v>
      </c>
      <c r="F245" s="58">
        <f>Source!AL90</f>
        <v>25.749999999999996</v>
      </c>
      <c r="G245" s="59"/>
      <c r="H245" s="57">
        <f>Source!AW91</f>
        <v>1</v>
      </c>
      <c r="I245" s="58">
        <f>Source!P90</f>
        <v>25.75</v>
      </c>
      <c r="J245" s="57">
        <f>IF(Source!BC91&lt;&gt; 0, Source!BC91, 1)</f>
        <v>7.66</v>
      </c>
      <c r="K245" s="58">
        <f>Source!P91</f>
        <v>197.25</v>
      </c>
      <c r="Q245">
        <f>Source!X90</f>
        <v>0</v>
      </c>
      <c r="R245">
        <f>Source!X91</f>
        <v>0</v>
      </c>
      <c r="S245">
        <f>Source!Y90</f>
        <v>0</v>
      </c>
      <c r="T245">
        <f>Source!Y91</f>
        <v>0</v>
      </c>
      <c r="U245">
        <f>ROUND((175/100)*ROUND(Source!R90, 2), 2)</f>
        <v>0</v>
      </c>
      <c r="V245">
        <f>ROUND((0/100)*ROUND(Source!R91, 2), 2)</f>
        <v>0</v>
      </c>
      <c r="AC245">
        <v>5</v>
      </c>
    </row>
    <row r="246" spans="1:29" ht="15" x14ac:dyDescent="0.2">
      <c r="A246" s="60"/>
      <c r="B246" s="60"/>
      <c r="C246" s="61" t="s">
        <v>402</v>
      </c>
      <c r="D246" s="60"/>
      <c r="E246" s="60"/>
      <c r="F246" s="60"/>
      <c r="G246" s="60"/>
      <c r="H246" s="62">
        <f>I245+0</f>
        <v>25.75</v>
      </c>
      <c r="I246" s="62"/>
      <c r="J246" s="62">
        <f>K245+0</f>
        <v>197.25</v>
      </c>
      <c r="K246" s="62"/>
      <c r="O246" s="54">
        <f>I245+0</f>
        <v>25.75</v>
      </c>
      <c r="P246" s="54">
        <f>K245+0</f>
        <v>197.25</v>
      </c>
    </row>
    <row r="249" spans="1:29" ht="15" x14ac:dyDescent="0.25">
      <c r="A249" s="65" t="str">
        <f>CONCATENATE("Итого по разделу: ",IF(Source!G93&lt;&gt;"Новый раздел", Source!G93, ""))</f>
        <v>Итого по разделу: Оборудование</v>
      </c>
      <c r="B249" s="65"/>
      <c r="C249" s="65"/>
      <c r="D249" s="65"/>
      <c r="E249" s="65"/>
      <c r="F249" s="65"/>
      <c r="G249" s="65"/>
      <c r="H249" s="53">
        <f>SUM(O29:O248)</f>
        <v>78273.239999999991</v>
      </c>
      <c r="I249" s="52"/>
      <c r="J249" s="53">
        <f>SUM(P29:P248)</f>
        <v>1130232.3199999998</v>
      </c>
      <c r="K249" s="52"/>
    </row>
    <row r="250" spans="1:29" hidden="1" x14ac:dyDescent="0.2">
      <c r="A250" t="s">
        <v>422</v>
      </c>
      <c r="I250">
        <f>SUM(W29:W249)</f>
        <v>0</v>
      </c>
      <c r="J250">
        <f>SUM(X29:X249)</f>
        <v>0</v>
      </c>
    </row>
    <row r="251" spans="1:29" hidden="1" x14ac:dyDescent="0.2">
      <c r="A251" t="s">
        <v>423</v>
      </c>
      <c r="I251">
        <f>SUM(Y29:Y250)</f>
        <v>0</v>
      </c>
      <c r="J251">
        <f>SUM(Z29:Z250)</f>
        <v>0</v>
      </c>
    </row>
    <row r="253" spans="1:29" ht="16.5" x14ac:dyDescent="0.2">
      <c r="A253" s="39" t="str">
        <f>CONCATENATE("Раздел: ",IF(Source!G123&lt;&gt;"Новый раздел", Source!G123, ""))</f>
        <v>Раздел: Кабельные изделия СОТС</v>
      </c>
      <c r="B253" s="39"/>
      <c r="C253" s="39"/>
      <c r="D253" s="39"/>
      <c r="E253" s="39"/>
      <c r="F253" s="39"/>
      <c r="G253" s="39"/>
      <c r="H253" s="39"/>
      <c r="I253" s="39"/>
      <c r="J253" s="39"/>
      <c r="K253" s="39"/>
    </row>
    <row r="254" spans="1:29" ht="57" x14ac:dyDescent="0.2">
      <c r="A254" s="40">
        <v>33</v>
      </c>
      <c r="B254" s="40" t="str">
        <f>Source!F127</f>
        <v>4.10-185-3</v>
      </c>
      <c r="C254" s="40" t="s">
        <v>205</v>
      </c>
      <c r="D254" s="42" t="str">
        <f>Source!H127</f>
        <v>100 м</v>
      </c>
      <c r="E254" s="41">
        <f>Source!I127</f>
        <v>30</v>
      </c>
      <c r="F254" s="44"/>
      <c r="G254" s="43"/>
      <c r="H254" s="41"/>
      <c r="I254" s="44"/>
      <c r="J254" s="41"/>
      <c r="K254" s="44"/>
      <c r="Q254">
        <f>Source!X127</f>
        <v>9148.73</v>
      </c>
      <c r="R254">
        <f>Source!X128</f>
        <v>503088.39</v>
      </c>
      <c r="S254">
        <f>Source!Y127</f>
        <v>4676.0200000000004</v>
      </c>
      <c r="T254">
        <f>Source!Y128</f>
        <v>257134.07</v>
      </c>
      <c r="U254">
        <f>ROUND((175/100)*ROUND(Source!R127, 2), 2)</f>
        <v>0</v>
      </c>
      <c r="V254">
        <f>ROUND((0/100)*ROUND(Source!R128, 2), 2)</f>
        <v>0</v>
      </c>
      <c r="AC254">
        <v>0</v>
      </c>
    </row>
    <row r="255" spans="1:29" x14ac:dyDescent="0.2">
      <c r="C255" s="64" t="str">
        <f>"Объем: "&amp;Source!I127&amp;"=3000/"&amp;"100"</f>
        <v>Объем: 30=3000/100</v>
      </c>
    </row>
    <row r="256" spans="1:29" ht="14.25" x14ac:dyDescent="0.2">
      <c r="A256" s="40"/>
      <c r="B256" s="40"/>
      <c r="C256" s="40" t="s">
        <v>392</v>
      </c>
      <c r="D256" s="42"/>
      <c r="E256" s="41"/>
      <c r="F256" s="44">
        <f>Source!AO127</f>
        <v>294.20999999999998</v>
      </c>
      <c r="G256" s="43" t="s">
        <v>393</v>
      </c>
      <c r="H256" s="41">
        <f>Source!AV128</f>
        <v>1.0469999999999999</v>
      </c>
      <c r="I256" s="44">
        <f>Source!S127</f>
        <v>10165.25</v>
      </c>
      <c r="J256" s="41">
        <f>IF(Source!BA128&lt;&gt; 0, Source!BA128, 1)</f>
        <v>54.99</v>
      </c>
      <c r="K256" s="44">
        <f>Source!S128</f>
        <v>558987.1</v>
      </c>
    </row>
    <row r="257" spans="1:29" ht="14.25" x14ac:dyDescent="0.2">
      <c r="A257" s="40"/>
      <c r="B257" s="40"/>
      <c r="C257" s="40" t="s">
        <v>406</v>
      </c>
      <c r="D257" s="42"/>
      <c r="E257" s="41"/>
      <c r="F257" s="44">
        <f>Source!AM127</f>
        <v>4.05</v>
      </c>
      <c r="G257" s="43" t="s">
        <v>393</v>
      </c>
      <c r="H257" s="41">
        <f>Source!AV128</f>
        <v>1.0469999999999999</v>
      </c>
      <c r="I257" s="44">
        <f>Source!Q127</f>
        <v>139.93</v>
      </c>
      <c r="J257" s="41">
        <f>IF(Source!BB128&lt;&gt; 0, Source!BB128, 1)</f>
        <v>8.7200000000000006</v>
      </c>
      <c r="K257" s="44">
        <f>Source!Q128</f>
        <v>1220.19</v>
      </c>
    </row>
    <row r="258" spans="1:29" ht="14.25" x14ac:dyDescent="0.2">
      <c r="A258" s="40"/>
      <c r="B258" s="40"/>
      <c r="C258" s="40" t="s">
        <v>394</v>
      </c>
      <c r="D258" s="42"/>
      <c r="E258" s="41"/>
      <c r="F258" s="44">
        <f>Source!AL127</f>
        <v>19.420000000000002</v>
      </c>
      <c r="G258" s="43"/>
      <c r="H258" s="41">
        <f>Source!AW128</f>
        <v>1</v>
      </c>
      <c r="I258" s="44">
        <f>Source!P127</f>
        <v>582.6</v>
      </c>
      <c r="J258" s="41">
        <f>IF(Source!BC128&lt;&gt; 0, Source!BC128, 1)</f>
        <v>6.66</v>
      </c>
      <c r="K258" s="44">
        <f>Source!P128</f>
        <v>3880.12</v>
      </c>
    </row>
    <row r="259" spans="1:29" ht="42.75" x14ac:dyDescent="0.2">
      <c r="A259" s="40" t="s">
        <v>209</v>
      </c>
      <c r="B259" s="40" t="str">
        <f>Source!F129</f>
        <v>1.12-5-371</v>
      </c>
      <c r="C259" s="40" t="s">
        <v>211</v>
      </c>
      <c r="D259" s="42" t="str">
        <f>Source!H129</f>
        <v>м</v>
      </c>
      <c r="E259" s="41">
        <f>Source!I129</f>
        <v>3060</v>
      </c>
      <c r="F259" s="44">
        <f>Source!AK129</f>
        <v>2.67</v>
      </c>
      <c r="G259" s="66" t="s">
        <v>3</v>
      </c>
      <c r="H259" s="41">
        <f>Source!AW130</f>
        <v>1</v>
      </c>
      <c r="I259" s="44">
        <f>Source!O129</f>
        <v>8170.2</v>
      </c>
      <c r="J259" s="41">
        <f>IF(Source!BC130&lt;&gt; 0, Source!BC130, 1)</f>
        <v>3.83</v>
      </c>
      <c r="K259" s="44">
        <f>Source!O130</f>
        <v>31291.87</v>
      </c>
      <c r="Q259">
        <f>Source!X129</f>
        <v>0</v>
      </c>
      <c r="R259">
        <f>Source!X130</f>
        <v>0</v>
      </c>
      <c r="S259">
        <f>Source!Y129</f>
        <v>0</v>
      </c>
      <c r="T259">
        <f>Source!Y130</f>
        <v>0</v>
      </c>
      <c r="U259">
        <f>ROUND((175/100)*ROUND(Source!R129, 2), 2)</f>
        <v>0</v>
      </c>
      <c r="V259">
        <f>ROUND((0/100)*ROUND(Source!R130, 2), 2)</f>
        <v>0</v>
      </c>
      <c r="AC259">
        <v>3</v>
      </c>
    </row>
    <row r="260" spans="1:29" ht="57" x14ac:dyDescent="0.2">
      <c r="A260" s="40" t="s">
        <v>214</v>
      </c>
      <c r="B260" s="40" t="str">
        <f>Source!F131</f>
        <v>1.14-1-555</v>
      </c>
      <c r="C260" s="40" t="s">
        <v>216</v>
      </c>
      <c r="D260" s="42" t="str">
        <f>Source!H131</f>
        <v>100 шт.</v>
      </c>
      <c r="E260" s="41">
        <f>Source!I131</f>
        <v>71.400000000000006</v>
      </c>
      <c r="F260" s="44">
        <f>Source!AK131</f>
        <v>46.63</v>
      </c>
      <c r="G260" s="66" t="s">
        <v>3</v>
      </c>
      <c r="H260" s="41">
        <f>Source!AW132</f>
        <v>1</v>
      </c>
      <c r="I260" s="44">
        <f>Source!O131</f>
        <v>3329.38</v>
      </c>
      <c r="J260" s="41">
        <f>IF(Source!BC132&lt;&gt; 0, Source!BC132, 1)</f>
        <v>1.08</v>
      </c>
      <c r="K260" s="44">
        <f>Source!O132</f>
        <v>3595.73</v>
      </c>
      <c r="Q260">
        <f>Source!X131</f>
        <v>0</v>
      </c>
      <c r="R260">
        <f>Source!X132</f>
        <v>0</v>
      </c>
      <c r="S260">
        <f>Source!Y131</f>
        <v>0</v>
      </c>
      <c r="T260">
        <f>Source!Y132</f>
        <v>0</v>
      </c>
      <c r="U260">
        <f>ROUND((175/100)*ROUND(Source!R131, 2), 2)</f>
        <v>0</v>
      </c>
      <c r="V260">
        <f>ROUND((0/100)*ROUND(Source!R132, 2), 2)</f>
        <v>0</v>
      </c>
      <c r="AC260">
        <v>3</v>
      </c>
    </row>
    <row r="261" spans="1:29" ht="42.75" x14ac:dyDescent="0.2">
      <c r="A261" s="40" t="s">
        <v>218</v>
      </c>
      <c r="B261" s="40" t="str">
        <f>Source!F133</f>
        <v>1.7-5-131</v>
      </c>
      <c r="C261" s="40" t="s">
        <v>220</v>
      </c>
      <c r="D261" s="42" t="str">
        <f>Source!H133</f>
        <v>100 шт.</v>
      </c>
      <c r="E261" s="41">
        <f>Source!I133</f>
        <v>70.8</v>
      </c>
      <c r="F261" s="44">
        <f>Source!AK133</f>
        <v>1297.23</v>
      </c>
      <c r="G261" s="66" t="s">
        <v>3</v>
      </c>
      <c r="H261" s="41">
        <f>Source!AW134</f>
        <v>1</v>
      </c>
      <c r="I261" s="44">
        <f>Source!O133</f>
        <v>91843.88</v>
      </c>
      <c r="J261" s="41">
        <f>IF(Source!BC134&lt;&gt; 0, Source!BC134, 1)</f>
        <v>5.2</v>
      </c>
      <c r="K261" s="44">
        <f>Source!O134</f>
        <v>477588.18</v>
      </c>
      <c r="Q261">
        <f>Source!X133</f>
        <v>0</v>
      </c>
      <c r="R261">
        <f>Source!X134</f>
        <v>0</v>
      </c>
      <c r="S261">
        <f>Source!Y133</f>
        <v>0</v>
      </c>
      <c r="T261">
        <f>Source!Y134</f>
        <v>0</v>
      </c>
      <c r="U261">
        <f>ROUND((175/100)*ROUND(Source!R133, 2), 2)</f>
        <v>0</v>
      </c>
      <c r="V261">
        <f>ROUND((0/100)*ROUND(Source!R134, 2), 2)</f>
        <v>0</v>
      </c>
      <c r="AC261">
        <v>3</v>
      </c>
    </row>
    <row r="262" spans="1:29" ht="14.25" x14ac:dyDescent="0.2">
      <c r="A262" s="40"/>
      <c r="B262" s="40"/>
      <c r="C262" s="40" t="s">
        <v>395</v>
      </c>
      <c r="D262" s="42" t="s">
        <v>396</v>
      </c>
      <c r="E262" s="41">
        <f>Source!BZ128</f>
        <v>90</v>
      </c>
      <c r="F262" s="44"/>
      <c r="G262" s="43"/>
      <c r="H262" s="41"/>
      <c r="I262" s="44">
        <f>SUM(Q254:Q261)</f>
        <v>9148.73</v>
      </c>
      <c r="J262" s="41">
        <f>Source!AT128</f>
        <v>90</v>
      </c>
      <c r="K262" s="44">
        <f>SUM(R254:R261)</f>
        <v>503088.39</v>
      </c>
    </row>
    <row r="263" spans="1:29" ht="14.25" x14ac:dyDescent="0.2">
      <c r="A263" s="40"/>
      <c r="B263" s="40"/>
      <c r="C263" s="40" t="s">
        <v>397</v>
      </c>
      <c r="D263" s="42" t="s">
        <v>396</v>
      </c>
      <c r="E263" s="41">
        <f>Source!CA128</f>
        <v>46</v>
      </c>
      <c r="F263" s="44"/>
      <c r="G263" s="43"/>
      <c r="H263" s="41"/>
      <c r="I263" s="44">
        <f>SUM(S254:S262)</f>
        <v>4676.0200000000004</v>
      </c>
      <c r="J263" s="41">
        <f>Source!AU128</f>
        <v>46</v>
      </c>
      <c r="K263" s="44">
        <f>SUM(T254:T262)</f>
        <v>257134.07</v>
      </c>
    </row>
    <row r="264" spans="1:29" ht="14.25" x14ac:dyDescent="0.2">
      <c r="A264" s="45"/>
      <c r="B264" s="45"/>
      <c r="C264" s="45" t="s">
        <v>398</v>
      </c>
      <c r="D264" s="46" t="s">
        <v>399</v>
      </c>
      <c r="E264" s="47">
        <f>Source!AQ127</f>
        <v>24.76</v>
      </c>
      <c r="F264" s="48"/>
      <c r="G264" s="49" t="s">
        <v>393</v>
      </c>
      <c r="H264" s="47">
        <f>Source!AV128</f>
        <v>1.0469999999999999</v>
      </c>
      <c r="I264" s="48">
        <f>Source!U127</f>
        <v>855.4827600000001</v>
      </c>
      <c r="J264" s="47"/>
      <c r="K264" s="48"/>
    </row>
    <row r="265" spans="1:29" ht="15" x14ac:dyDescent="0.2">
      <c r="C265" s="50" t="s">
        <v>400</v>
      </c>
      <c r="H265" s="51">
        <f>I256+I257+I258+I262+I263+SUM(I259:I261)-SUMIF(AC259:AC261, 5, I259:I261)-SUMIF(AC259:AC261, 6, I259:I261)</f>
        <v>128055.99</v>
      </c>
      <c r="I265" s="51"/>
      <c r="J265" s="51">
        <f>K256+K257+K258+K262+K263+SUM(K259:K261)-SUMIF(AC259:AC261, 5, K259:K261)-SUMIF(AC259:AC261, 6, K259:K261)</f>
        <v>1836785.65</v>
      </c>
      <c r="K265" s="51"/>
    </row>
    <row r="266" spans="1:29" ht="15" hidden="1" x14ac:dyDescent="0.2">
      <c r="C266" s="50" t="s">
        <v>401</v>
      </c>
      <c r="H266" s="53">
        <f>SUMIF(AC259:AC261, 5, I259:I261)+SUMIF(AC259:AC261, 6, I259:I261)</f>
        <v>0</v>
      </c>
      <c r="I266" s="53"/>
      <c r="J266" s="53">
        <f>SUMIF(AC259:AC261, 5, K259:K261)+SUMIF(AC259:AC261, 6, K259:K261)</f>
        <v>0</v>
      </c>
      <c r="K266" s="53"/>
    </row>
    <row r="267" spans="1:29" ht="15" x14ac:dyDescent="0.2">
      <c r="C267" s="50" t="s">
        <v>402</v>
      </c>
      <c r="H267" s="53">
        <f>I256+I257+I258+I262+I263+SUM(I259:I261)</f>
        <v>128055.99</v>
      </c>
      <c r="I267" s="53"/>
      <c r="J267" s="53">
        <f>K256+K257+K258+K262+K263+SUM(K259:K261)</f>
        <v>1836785.65</v>
      </c>
      <c r="K267" s="53"/>
      <c r="O267" s="54">
        <f>I256+I257+I258+I262+I263+SUM(I259:I261)</f>
        <v>128055.99</v>
      </c>
      <c r="P267" s="54">
        <f>K256+K257+K258+K262+K263+SUM(K259:K261)</f>
        <v>1836785.65</v>
      </c>
    </row>
    <row r="269" spans="1:29" ht="57" x14ac:dyDescent="0.2">
      <c r="A269" s="40">
        <v>34</v>
      </c>
      <c r="B269" s="40" t="str">
        <f>Source!F135</f>
        <v>4.8-328-1</v>
      </c>
      <c r="C269" s="40" t="s">
        <v>224</v>
      </c>
      <c r="D269" s="42" t="str">
        <f>Source!H135</f>
        <v>100 м</v>
      </c>
      <c r="E269" s="41">
        <f>Source!I135</f>
        <v>2</v>
      </c>
      <c r="F269" s="44"/>
      <c r="G269" s="43"/>
      <c r="H269" s="41"/>
      <c r="I269" s="44"/>
      <c r="J269" s="41"/>
      <c r="K269" s="44"/>
      <c r="Q269">
        <f>Source!X135</f>
        <v>147.24</v>
      </c>
      <c r="R269">
        <f>Source!X136</f>
        <v>8096.52</v>
      </c>
      <c r="S269">
        <f>Source!Y135</f>
        <v>77.41</v>
      </c>
      <c r="T269">
        <f>Source!Y136</f>
        <v>4256.93</v>
      </c>
      <c r="U269">
        <f>ROUND((175/100)*ROUND(Source!R135, 2), 2)</f>
        <v>1.21</v>
      </c>
      <c r="V269">
        <f>ROUND((0/100)*ROUND(Source!R136, 2), 2)</f>
        <v>0</v>
      </c>
      <c r="AC269">
        <v>0</v>
      </c>
    </row>
    <row r="270" spans="1:29" x14ac:dyDescent="0.2">
      <c r="C270" s="64" t="str">
        <f>"Объем: "&amp;Source!I135&amp;"=200/"&amp;"100"</f>
        <v>Объем: 2=200/100</v>
      </c>
    </row>
    <row r="271" spans="1:29" ht="14.25" x14ac:dyDescent="0.2">
      <c r="A271" s="40"/>
      <c r="B271" s="40"/>
      <c r="C271" s="40" t="s">
        <v>392</v>
      </c>
      <c r="D271" s="42"/>
      <c r="E271" s="41"/>
      <c r="F271" s="44">
        <f>Source!AO135</f>
        <v>65.599999999999994</v>
      </c>
      <c r="G271" s="43" t="s">
        <v>393</v>
      </c>
      <c r="H271" s="41">
        <f>Source!AV136</f>
        <v>1.0469999999999999</v>
      </c>
      <c r="I271" s="44">
        <f>Source!S135</f>
        <v>151.1</v>
      </c>
      <c r="J271" s="41">
        <f>IF(Source!BA136&lt;&gt; 0, Source!BA136, 1)</f>
        <v>54.99</v>
      </c>
      <c r="K271" s="44">
        <f>Source!S136</f>
        <v>8308.99</v>
      </c>
    </row>
    <row r="272" spans="1:29" ht="14.25" x14ac:dyDescent="0.2">
      <c r="A272" s="40"/>
      <c r="B272" s="40"/>
      <c r="C272" s="40" t="s">
        <v>406</v>
      </c>
      <c r="D272" s="42"/>
      <c r="E272" s="41"/>
      <c r="F272" s="44">
        <f>Source!AM135</f>
        <v>2.62</v>
      </c>
      <c r="G272" s="43" t="s">
        <v>393</v>
      </c>
      <c r="H272" s="41">
        <f>Source!AV136</f>
        <v>1.0469999999999999</v>
      </c>
      <c r="I272" s="44">
        <f>Source!Q135</f>
        <v>6.03</v>
      </c>
      <c r="J272" s="41">
        <f>IF(Source!BB136&lt;&gt; 0, Source!BB136, 1)</f>
        <v>14.57</v>
      </c>
      <c r="K272" s="44">
        <f>Source!Q136</f>
        <v>87.86</v>
      </c>
    </row>
    <row r="273" spans="1:29" ht="14.25" x14ac:dyDescent="0.2">
      <c r="A273" s="40"/>
      <c r="B273" s="40"/>
      <c r="C273" s="40" t="s">
        <v>407</v>
      </c>
      <c r="D273" s="42"/>
      <c r="E273" s="41"/>
      <c r="F273" s="44">
        <f>Source!AN135</f>
        <v>0.3</v>
      </c>
      <c r="G273" s="43" t="s">
        <v>393</v>
      </c>
      <c r="H273" s="41">
        <f>Source!AV136</f>
        <v>1.0469999999999999</v>
      </c>
      <c r="I273" s="63">
        <f>Source!R135</f>
        <v>0.69</v>
      </c>
      <c r="J273" s="41">
        <f>IF(Source!BS136&lt;&gt; 0, Source!BS136, 1)</f>
        <v>54.99</v>
      </c>
      <c r="K273" s="63">
        <f>Source!R136</f>
        <v>37.94</v>
      </c>
    </row>
    <row r="274" spans="1:29" ht="14.25" x14ac:dyDescent="0.2">
      <c r="A274" s="40"/>
      <c r="B274" s="40"/>
      <c r="C274" s="40" t="s">
        <v>394</v>
      </c>
      <c r="D274" s="42"/>
      <c r="E274" s="41"/>
      <c r="F274" s="44">
        <f>Source!AL135</f>
        <v>125.83</v>
      </c>
      <c r="G274" s="43"/>
      <c r="H274" s="41">
        <f>Source!AW136</f>
        <v>1</v>
      </c>
      <c r="I274" s="44">
        <f>Source!P135</f>
        <v>251.66</v>
      </c>
      <c r="J274" s="41">
        <f>IF(Source!BC136&lt;&gt; 0, Source!BC136, 1)</f>
        <v>3.96</v>
      </c>
      <c r="K274" s="44">
        <f>Source!P136</f>
        <v>996.57</v>
      </c>
    </row>
    <row r="275" spans="1:29" ht="14.25" x14ac:dyDescent="0.2">
      <c r="A275" s="40"/>
      <c r="B275" s="40"/>
      <c r="C275" s="40" t="s">
        <v>395</v>
      </c>
      <c r="D275" s="42" t="s">
        <v>396</v>
      </c>
      <c r="E275" s="41">
        <f>Source!BZ136</f>
        <v>97</v>
      </c>
      <c r="F275" s="44"/>
      <c r="G275" s="43"/>
      <c r="H275" s="41"/>
      <c r="I275" s="44">
        <f>SUM(Q269:Q274)</f>
        <v>147.24</v>
      </c>
      <c r="J275" s="41">
        <f>Source!AT136</f>
        <v>97</v>
      </c>
      <c r="K275" s="44">
        <f>SUM(R269:R274)</f>
        <v>8096.52</v>
      </c>
    </row>
    <row r="276" spans="1:29" ht="14.25" x14ac:dyDescent="0.2">
      <c r="A276" s="40"/>
      <c r="B276" s="40"/>
      <c r="C276" s="40" t="s">
        <v>397</v>
      </c>
      <c r="D276" s="42" t="s">
        <v>396</v>
      </c>
      <c r="E276" s="41">
        <f>Source!CA136</f>
        <v>51</v>
      </c>
      <c r="F276" s="44"/>
      <c r="G276" s="43"/>
      <c r="H276" s="41"/>
      <c r="I276" s="44">
        <f>SUM(S269:S275)</f>
        <v>77.41</v>
      </c>
      <c r="J276" s="41">
        <f>Source!AU136</f>
        <v>51</v>
      </c>
      <c r="K276" s="44">
        <f>SUM(T269:T275)</f>
        <v>4256.93</v>
      </c>
    </row>
    <row r="277" spans="1:29" ht="14.25" x14ac:dyDescent="0.2">
      <c r="A277" s="45"/>
      <c r="B277" s="45"/>
      <c r="C277" s="45" t="s">
        <v>398</v>
      </c>
      <c r="D277" s="46" t="s">
        <v>399</v>
      </c>
      <c r="E277" s="47">
        <f>Source!AQ135</f>
        <v>5.29</v>
      </c>
      <c r="F277" s="48"/>
      <c r="G277" s="49" t="s">
        <v>393</v>
      </c>
      <c r="H277" s="47">
        <f>Source!AV136</f>
        <v>1.0469999999999999</v>
      </c>
      <c r="I277" s="48">
        <f>Source!U135</f>
        <v>12.184986</v>
      </c>
      <c r="J277" s="47"/>
      <c r="K277" s="48"/>
    </row>
    <row r="278" spans="1:29" ht="15" x14ac:dyDescent="0.2">
      <c r="C278" s="50" t="s">
        <v>400</v>
      </c>
      <c r="H278" s="51">
        <f>I271+I272+I274+I275+I276+0-0-0</f>
        <v>633.43999999999994</v>
      </c>
      <c r="I278" s="51"/>
      <c r="J278" s="51">
        <f>K271+K272+K274+K275+K276+0-0-0</f>
        <v>21746.870000000003</v>
      </c>
      <c r="K278" s="51"/>
    </row>
    <row r="279" spans="1:29" ht="15" hidden="1" x14ac:dyDescent="0.2">
      <c r="C279" s="50" t="s">
        <v>401</v>
      </c>
      <c r="H279" s="53">
        <f>0+0</f>
        <v>0</v>
      </c>
      <c r="I279" s="53"/>
      <c r="J279" s="53">
        <f>0+0</f>
        <v>0</v>
      </c>
      <c r="K279" s="53"/>
    </row>
    <row r="280" spans="1:29" ht="15" x14ac:dyDescent="0.2">
      <c r="C280" s="50" t="s">
        <v>402</v>
      </c>
      <c r="H280" s="53">
        <f>I271+I272+I274+I275+I276+0</f>
        <v>633.43999999999994</v>
      </c>
      <c r="I280" s="53"/>
      <c r="J280" s="53">
        <f>K271+K272+K274+K275+K276+0</f>
        <v>21746.870000000003</v>
      </c>
      <c r="K280" s="53"/>
      <c r="O280" s="54">
        <f>I271+I272+I274+I275+I276+0</f>
        <v>633.43999999999994</v>
      </c>
      <c r="P280" s="54">
        <f>K271+K272+K274+K275+K276+0</f>
        <v>21746.870000000003</v>
      </c>
    </row>
    <row r="282" spans="1:29" ht="54" x14ac:dyDescent="0.2">
      <c r="A282" s="40">
        <v>35</v>
      </c>
      <c r="B282" s="40" t="str">
        <f>Source!F137</f>
        <v>КА-18</v>
      </c>
      <c r="C282" s="40" t="s">
        <v>424</v>
      </c>
      <c r="D282" s="42" t="str">
        <f>Source!H137</f>
        <v>км</v>
      </c>
      <c r="E282" s="41">
        <f>Source!I137</f>
        <v>0.10199999999999999</v>
      </c>
      <c r="F282" s="44">
        <f>Source!AL137</f>
        <v>7061.54</v>
      </c>
      <c r="G282" s="43"/>
      <c r="H282" s="41">
        <f>Source!AW138</f>
        <v>1</v>
      </c>
      <c r="I282" s="44">
        <f>Source!P137</f>
        <v>720.28</v>
      </c>
      <c r="J282" s="41">
        <f>IF(Source!BC138&lt;&gt; 0, Source!BC138, 1)</f>
        <v>9.8800000000000008</v>
      </c>
      <c r="K282" s="44">
        <f>Source!P138</f>
        <v>7116.37</v>
      </c>
      <c r="Q282">
        <f>Source!X137</f>
        <v>0</v>
      </c>
      <c r="R282">
        <f>Source!X138</f>
        <v>0</v>
      </c>
      <c r="S282">
        <f>Source!Y137</f>
        <v>0</v>
      </c>
      <c r="T282">
        <f>Source!Y138</f>
        <v>0</v>
      </c>
      <c r="U282">
        <f>ROUND((175/100)*ROUND(Source!R137, 2), 2)</f>
        <v>0</v>
      </c>
      <c r="V282">
        <f>ROUND((0/100)*ROUND(Source!R138, 2), 2)</f>
        <v>0</v>
      </c>
      <c r="AC282">
        <v>3</v>
      </c>
    </row>
    <row r="283" spans="1:29" x14ac:dyDescent="0.2">
      <c r="A283" s="67"/>
      <c r="B283" s="67"/>
      <c r="C283" s="68" t="str">
        <f>"Объем: "&amp;Source!I137&amp;"=(100*"&amp;"1,02)/"&amp;"1000"</f>
        <v>Объем: 0,102=(100*1,02)/1000</v>
      </c>
      <c r="D283" s="67"/>
      <c r="E283" s="67"/>
      <c r="F283" s="67"/>
      <c r="G283" s="67"/>
      <c r="H283" s="67"/>
      <c r="I283" s="67"/>
      <c r="J283" s="67"/>
      <c r="K283" s="67"/>
    </row>
    <row r="284" spans="1:29" ht="15" x14ac:dyDescent="0.2">
      <c r="C284" s="50" t="s">
        <v>402</v>
      </c>
      <c r="H284" s="51">
        <f>I282+0</f>
        <v>720.28</v>
      </c>
      <c r="I284" s="51"/>
      <c r="J284" s="51">
        <f>K282+0</f>
        <v>7116.37</v>
      </c>
      <c r="K284" s="51"/>
      <c r="O284" s="54">
        <f>I282+0</f>
        <v>720.28</v>
      </c>
      <c r="P284" s="54">
        <f>K282+0</f>
        <v>7116.37</v>
      </c>
    </row>
    <row r="286" spans="1:29" ht="39.75" x14ac:dyDescent="0.2">
      <c r="A286" s="40">
        <v>36</v>
      </c>
      <c r="B286" s="40" t="str">
        <f>Source!F139</f>
        <v>КА-19</v>
      </c>
      <c r="C286" s="40" t="s">
        <v>425</v>
      </c>
      <c r="D286" s="42" t="str">
        <f>Source!H139</f>
        <v>км</v>
      </c>
      <c r="E286" s="41">
        <f>Source!I139</f>
        <v>0.10199999999999999</v>
      </c>
      <c r="F286" s="44">
        <f>Source!AL139</f>
        <v>4135.58</v>
      </c>
      <c r="G286" s="43"/>
      <c r="H286" s="41">
        <f>Source!AW140</f>
        <v>1</v>
      </c>
      <c r="I286" s="44">
        <f>Source!P139</f>
        <v>421.83</v>
      </c>
      <c r="J286" s="41">
        <f>IF(Source!BC140&lt;&gt; 0, Source!BC140, 1)</f>
        <v>9.8800000000000008</v>
      </c>
      <c r="K286" s="44">
        <f>Source!P140</f>
        <v>4167.68</v>
      </c>
      <c r="Q286">
        <f>Source!X139</f>
        <v>0</v>
      </c>
      <c r="R286">
        <f>Source!X140</f>
        <v>0</v>
      </c>
      <c r="S286">
        <f>Source!Y139</f>
        <v>0</v>
      </c>
      <c r="T286">
        <f>Source!Y140</f>
        <v>0</v>
      </c>
      <c r="U286">
        <f>ROUND((175/100)*ROUND(Source!R139, 2), 2)</f>
        <v>0</v>
      </c>
      <c r="V286">
        <f>ROUND((0/100)*ROUND(Source!R140, 2), 2)</f>
        <v>0</v>
      </c>
      <c r="AC286">
        <v>3</v>
      </c>
    </row>
    <row r="287" spans="1:29" x14ac:dyDescent="0.2">
      <c r="A287" s="67"/>
      <c r="B287" s="67"/>
      <c r="C287" s="68" t="str">
        <f>"Объем: "&amp;Source!I139&amp;"=(100*"&amp;"1,02)/"&amp;"1000"</f>
        <v>Объем: 0,102=(100*1,02)/1000</v>
      </c>
      <c r="D287" s="67"/>
      <c r="E287" s="67"/>
      <c r="F287" s="67"/>
      <c r="G287" s="67"/>
      <c r="H287" s="67"/>
      <c r="I287" s="67"/>
      <c r="J287" s="67"/>
      <c r="K287" s="67"/>
    </row>
    <row r="288" spans="1:29" ht="15" x14ac:dyDescent="0.2">
      <c r="C288" s="50" t="s">
        <v>402</v>
      </c>
      <c r="H288" s="51">
        <f>I286+0</f>
        <v>421.83</v>
      </c>
      <c r="I288" s="51"/>
      <c r="J288" s="51">
        <f>K286+0</f>
        <v>4167.68</v>
      </c>
      <c r="K288" s="51"/>
      <c r="O288" s="54">
        <f>I286+0</f>
        <v>421.83</v>
      </c>
      <c r="P288" s="54">
        <f>K286+0</f>
        <v>4167.68</v>
      </c>
    </row>
    <row r="290" spans="1:48" ht="54" x14ac:dyDescent="0.2">
      <c r="A290" s="40">
        <v>37</v>
      </c>
      <c r="B290" s="40" t="str">
        <f>Source!F141</f>
        <v>КА-20</v>
      </c>
      <c r="C290" s="40" t="s">
        <v>426</v>
      </c>
      <c r="D290" s="42" t="str">
        <f>Source!H141</f>
        <v>км</v>
      </c>
      <c r="E290" s="41">
        <f>Source!I141</f>
        <v>2.5499999999999998</v>
      </c>
      <c r="F290" s="44">
        <f>Source!AL141</f>
        <v>2950.05</v>
      </c>
      <c r="G290" s="43"/>
      <c r="H290" s="41">
        <f>Source!AW142</f>
        <v>1</v>
      </c>
      <c r="I290" s="44">
        <f>Source!P141</f>
        <v>7522.63</v>
      </c>
      <c r="J290" s="41">
        <f>IF(Source!BC142&lt;&gt; 0, Source!BC142, 1)</f>
        <v>9.8800000000000008</v>
      </c>
      <c r="K290" s="44">
        <f>Source!P142</f>
        <v>74323.58</v>
      </c>
      <c r="Q290">
        <f>Source!X141</f>
        <v>0</v>
      </c>
      <c r="R290">
        <f>Source!X142</f>
        <v>0</v>
      </c>
      <c r="S290">
        <f>Source!Y141</f>
        <v>0</v>
      </c>
      <c r="T290">
        <f>Source!Y142</f>
        <v>0</v>
      </c>
      <c r="U290">
        <f>ROUND((175/100)*ROUND(Source!R141, 2), 2)</f>
        <v>0</v>
      </c>
      <c r="V290">
        <f>ROUND((0/100)*ROUND(Source!R142, 2), 2)</f>
        <v>0</v>
      </c>
      <c r="AC290">
        <v>3</v>
      </c>
    </row>
    <row r="291" spans="1:48" x14ac:dyDescent="0.2">
      <c r="A291" s="67"/>
      <c r="B291" s="67"/>
      <c r="C291" s="68" t="str">
        <f>"Объем: "&amp;Source!I141&amp;"=(2500*"&amp;"1,02)/"&amp;"1000"</f>
        <v>Объем: 2,55=(2500*1,02)/1000</v>
      </c>
      <c r="D291" s="67"/>
      <c r="E291" s="67"/>
      <c r="F291" s="67"/>
      <c r="G291" s="67"/>
      <c r="H291" s="67"/>
      <c r="I291" s="67"/>
      <c r="J291" s="67"/>
      <c r="K291" s="67"/>
    </row>
    <row r="292" spans="1:48" ht="15" x14ac:dyDescent="0.2">
      <c r="C292" s="50" t="s">
        <v>402</v>
      </c>
      <c r="H292" s="51">
        <f>I290+0</f>
        <v>7522.63</v>
      </c>
      <c r="I292" s="51"/>
      <c r="J292" s="51">
        <f>K290+0</f>
        <v>74323.58</v>
      </c>
      <c r="K292" s="51"/>
      <c r="O292" s="54">
        <f>I290+0</f>
        <v>7522.63</v>
      </c>
      <c r="P292" s="54">
        <f>K290+0</f>
        <v>74323.58</v>
      </c>
    </row>
    <row r="294" spans="1:48" ht="54" x14ac:dyDescent="0.2">
      <c r="A294" s="40">
        <v>38</v>
      </c>
      <c r="B294" s="40" t="str">
        <f>Source!F143</f>
        <v>КА-21</v>
      </c>
      <c r="C294" s="40" t="s">
        <v>427</v>
      </c>
      <c r="D294" s="42" t="str">
        <f>Source!H143</f>
        <v>км</v>
      </c>
      <c r="E294" s="41">
        <f>Source!I143</f>
        <v>0.51</v>
      </c>
      <c r="F294" s="44">
        <f>Source!AL143</f>
        <v>7865.94</v>
      </c>
      <c r="G294" s="43"/>
      <c r="H294" s="41">
        <f>Source!AW144</f>
        <v>1</v>
      </c>
      <c r="I294" s="44">
        <f>Source!P143</f>
        <v>4011.63</v>
      </c>
      <c r="J294" s="41">
        <f>IF(Source!BC144&lt;&gt; 0, Source!BC144, 1)</f>
        <v>9.8800000000000008</v>
      </c>
      <c r="K294" s="44">
        <f>Source!P144</f>
        <v>39634.9</v>
      </c>
      <c r="Q294">
        <f>Source!X143</f>
        <v>0</v>
      </c>
      <c r="R294">
        <f>Source!X144</f>
        <v>0</v>
      </c>
      <c r="S294">
        <f>Source!Y143</f>
        <v>0</v>
      </c>
      <c r="T294">
        <f>Source!Y144</f>
        <v>0</v>
      </c>
      <c r="U294">
        <f>ROUND((175/100)*ROUND(Source!R143, 2), 2)</f>
        <v>0</v>
      </c>
      <c r="V294">
        <f>ROUND((0/100)*ROUND(Source!R144, 2), 2)</f>
        <v>0</v>
      </c>
      <c r="AC294">
        <v>3</v>
      </c>
      <c r="AV294" t="s">
        <v>441</v>
      </c>
    </row>
    <row r="295" spans="1:48" x14ac:dyDescent="0.2">
      <c r="A295" s="67"/>
      <c r="B295" s="67"/>
      <c r="C295" s="68" t="str">
        <f>"Объем: "&amp;Source!I143&amp;"=(500*"&amp;"1,02)/"&amp;"1000"</f>
        <v>Объем: 0,51=(500*1,02)/1000</v>
      </c>
      <c r="D295" s="67"/>
      <c r="E295" s="67"/>
      <c r="F295" s="67"/>
      <c r="G295" s="67"/>
      <c r="H295" s="67"/>
      <c r="I295" s="67"/>
      <c r="J295" s="67"/>
      <c r="K295" s="67"/>
    </row>
    <row r="296" spans="1:48" ht="15" x14ac:dyDescent="0.2">
      <c r="C296" s="50" t="s">
        <v>402</v>
      </c>
      <c r="H296" s="51">
        <f>I294+0</f>
        <v>4011.63</v>
      </c>
      <c r="I296" s="51"/>
      <c r="J296" s="51">
        <f>K294+0</f>
        <v>39634.9</v>
      </c>
      <c r="K296" s="51"/>
      <c r="O296" s="54">
        <f>I294+0</f>
        <v>4011.63</v>
      </c>
      <c r="P296" s="54">
        <f>K294+0</f>
        <v>39634.9</v>
      </c>
    </row>
    <row r="298" spans="1:48" ht="71.25" x14ac:dyDescent="0.2">
      <c r="A298" s="55">
        <v>39</v>
      </c>
      <c r="B298" s="55" t="str">
        <f>Source!F145</f>
        <v>13.1-2-432</v>
      </c>
      <c r="C298" s="55" t="s">
        <v>428</v>
      </c>
      <c r="D298" s="56" t="str">
        <f>Source!H145</f>
        <v>шт.</v>
      </c>
      <c r="E298" s="57">
        <f>Source!I145</f>
        <v>2</v>
      </c>
      <c r="F298" s="58">
        <f>Source!AL145</f>
        <v>15.79</v>
      </c>
      <c r="G298" s="59"/>
      <c r="H298" s="57">
        <f>Source!AW146</f>
        <v>1</v>
      </c>
      <c r="I298" s="58">
        <f>Source!P145</f>
        <v>31.58</v>
      </c>
      <c r="J298" s="57">
        <f>IF(Source!BC146&lt;&gt; 0, Source!BC146, 1)</f>
        <v>6.83</v>
      </c>
      <c r="K298" s="58">
        <f>Source!P146</f>
        <v>215.69</v>
      </c>
      <c r="Q298">
        <f>Source!X145</f>
        <v>0</v>
      </c>
      <c r="R298">
        <f>Source!X146</f>
        <v>0</v>
      </c>
      <c r="S298">
        <f>Source!Y145</f>
        <v>0</v>
      </c>
      <c r="T298">
        <f>Source!Y146</f>
        <v>0</v>
      </c>
      <c r="U298">
        <f>ROUND((175/100)*ROUND(Source!R145, 2), 2)</f>
        <v>0</v>
      </c>
      <c r="V298">
        <f>ROUND((0/100)*ROUND(Source!R146, 2), 2)</f>
        <v>0</v>
      </c>
      <c r="AC298">
        <v>5</v>
      </c>
    </row>
    <row r="299" spans="1:48" ht="15" x14ac:dyDescent="0.2">
      <c r="A299" s="60"/>
      <c r="B299" s="60"/>
      <c r="C299" s="61" t="s">
        <v>402</v>
      </c>
      <c r="D299" s="60"/>
      <c r="E299" s="60"/>
      <c r="F299" s="60"/>
      <c r="G299" s="60"/>
      <c r="H299" s="62">
        <f>I298+0</f>
        <v>31.58</v>
      </c>
      <c r="I299" s="62"/>
      <c r="J299" s="62">
        <f>K298+0</f>
        <v>215.69</v>
      </c>
      <c r="K299" s="62"/>
      <c r="O299" s="54">
        <f>I298+0</f>
        <v>31.58</v>
      </c>
      <c r="P299" s="54">
        <f>K298+0</f>
        <v>215.69</v>
      </c>
    </row>
    <row r="302" spans="1:48" ht="15" x14ac:dyDescent="0.25">
      <c r="A302" s="65" t="str">
        <f>CONCATENATE("Итого по разделу: ",IF(Source!G148&lt;&gt;"Новый раздел", Source!G148, ""))</f>
        <v>Итого по разделу: Кабельные изделия СОТС</v>
      </c>
      <c r="B302" s="65"/>
      <c r="C302" s="65"/>
      <c r="D302" s="65"/>
      <c r="E302" s="65"/>
      <c r="F302" s="65"/>
      <c r="G302" s="65"/>
      <c r="H302" s="53">
        <f>SUM(O253:O301)</f>
        <v>141397.38</v>
      </c>
      <c r="I302" s="52"/>
      <c r="J302" s="53">
        <f>SUM(P253:P301)</f>
        <v>1983990.74</v>
      </c>
      <c r="K302" s="52"/>
    </row>
    <row r="303" spans="1:48" hidden="1" x14ac:dyDescent="0.2">
      <c r="A303" t="s">
        <v>422</v>
      </c>
      <c r="I303">
        <f>SUM(W253:W302)</f>
        <v>0</v>
      </c>
      <c r="J303">
        <f>SUM(X253:X302)</f>
        <v>0</v>
      </c>
    </row>
    <row r="304" spans="1:48" hidden="1" x14ac:dyDescent="0.2">
      <c r="A304" t="s">
        <v>423</v>
      </c>
      <c r="I304">
        <f>SUM(Y253:Y303)</f>
        <v>0</v>
      </c>
      <c r="J304">
        <f>SUM(Z253:Z303)</f>
        <v>0</v>
      </c>
    </row>
    <row r="306" spans="1:43" ht="15" x14ac:dyDescent="0.25">
      <c r="A306" s="65" t="str">
        <f>CONCATENATE("Итого по локальной смете: ",IF(Source!G178&lt;&gt;"Новая локальная смета", Source!G178, ""))</f>
        <v>Итого по локальной смете: Система охранно-тревожной сигнализации</v>
      </c>
      <c r="B306" s="65"/>
      <c r="C306" s="65"/>
      <c r="D306" s="65"/>
      <c r="E306" s="65"/>
      <c r="F306" s="65"/>
      <c r="G306" s="65"/>
      <c r="H306" s="53">
        <f>SUM(O28:O305)</f>
        <v>219670.61999999997</v>
      </c>
      <c r="I306" s="52"/>
      <c r="J306" s="53">
        <f>SUM(P28:P305)</f>
        <v>3114223.06</v>
      </c>
      <c r="K306" s="52"/>
      <c r="AQ306" s="69" t="str">
        <f>CONCATENATE("Итого по локальной смете: ",IF(Source!G178&lt;&gt;"Новая локальная смета", Source!G178, ""))</f>
        <v>Итого по локальной смете: Система охранно-тревожной сигнализации</v>
      </c>
    </row>
    <row r="307" spans="1:43" hidden="1" x14ac:dyDescent="0.2">
      <c r="A307" t="s">
        <v>422</v>
      </c>
      <c r="I307">
        <f>SUM(W28:W306)</f>
        <v>0</v>
      </c>
      <c r="J307">
        <f>SUM(X28:X306)</f>
        <v>0</v>
      </c>
    </row>
    <row r="308" spans="1:43" hidden="1" x14ac:dyDescent="0.2">
      <c r="A308" t="s">
        <v>423</v>
      </c>
      <c r="I308">
        <f>SUM(Y28:Y307)</f>
        <v>0</v>
      </c>
      <c r="J308">
        <f>SUM(Z28:Z307)</f>
        <v>0</v>
      </c>
    </row>
    <row r="310" spans="1:43" ht="15" x14ac:dyDescent="0.25">
      <c r="A310" s="65" t="str">
        <f>CONCATENATE("Итого по смете: ",IF(Source!G208&lt;&gt;"Новый объект", Source!G208, ""))</f>
        <v>Итого по смете: 02-01-16 СОС</v>
      </c>
      <c r="B310" s="65"/>
      <c r="C310" s="65"/>
      <c r="D310" s="65"/>
      <c r="E310" s="65"/>
      <c r="F310" s="65"/>
      <c r="G310" s="65"/>
      <c r="H310" s="53">
        <f>SUM(O1:O309)</f>
        <v>219670.61999999997</v>
      </c>
      <c r="I310" s="52"/>
      <c r="J310" s="53">
        <f>SUM(P1:P309)</f>
        <v>3114223.06</v>
      </c>
      <c r="K310" s="52"/>
    </row>
    <row r="311" spans="1:43" hidden="1" x14ac:dyDescent="0.2">
      <c r="A311" t="s">
        <v>422</v>
      </c>
      <c r="I311">
        <f>SUM(W1:W310)</f>
        <v>0</v>
      </c>
      <c r="J311">
        <f>SUM(X1:X310)</f>
        <v>0</v>
      </c>
    </row>
    <row r="312" spans="1:43" hidden="1" x14ac:dyDescent="0.2">
      <c r="A312" t="s">
        <v>423</v>
      </c>
      <c r="I312">
        <f>SUM(Y1:Y311)</f>
        <v>0</v>
      </c>
      <c r="J312">
        <f>SUM(Z1:Z311)</f>
        <v>0</v>
      </c>
    </row>
    <row r="315" spans="1:43" ht="14.25" x14ac:dyDescent="0.2">
      <c r="A315" s="70" t="s">
        <v>430</v>
      </c>
      <c r="B315" s="70"/>
      <c r="C315" s="71" t="str">
        <f>IF(Source!AC12&lt;&gt;"", Source!AC12," ")</f>
        <v xml:space="preserve"> </v>
      </c>
      <c r="D315" s="71"/>
      <c r="E315" s="71"/>
      <c r="F315" s="71"/>
      <c r="G315" s="71"/>
      <c r="H315" s="29" t="str">
        <f>IF(Source!AB12&lt;&gt;"", Source!AB12," ")</f>
        <v>Соколова И.Н.</v>
      </c>
      <c r="I315" s="29"/>
      <c r="J315" s="29"/>
      <c r="K315" s="29"/>
    </row>
    <row r="316" spans="1:43" ht="14.25" x14ac:dyDescent="0.2">
      <c r="A316" s="16"/>
      <c r="B316" s="16"/>
      <c r="C316" s="18" t="s">
        <v>431</v>
      </c>
      <c r="D316" s="18"/>
      <c r="E316" s="18"/>
      <c r="F316" s="18"/>
      <c r="G316" s="18"/>
      <c r="H316" s="16"/>
      <c r="I316" s="16"/>
      <c r="J316" s="16"/>
      <c r="K316" s="16"/>
    </row>
    <row r="317" spans="1:43" ht="14.2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</row>
    <row r="318" spans="1:43" ht="14.25" x14ac:dyDescent="0.2">
      <c r="A318" s="70" t="s">
        <v>432</v>
      </c>
      <c r="B318" s="70"/>
      <c r="C318" s="71" t="str">
        <f>IF(Source!AE12&lt;&gt;"", Source!AE12," ")</f>
        <v xml:space="preserve"> </v>
      </c>
      <c r="D318" s="71"/>
      <c r="E318" s="71"/>
      <c r="F318" s="71"/>
      <c r="G318" s="71"/>
      <c r="H318" s="29" t="str">
        <f>IF(Source!AD12&lt;&gt;"", Source!AD12," ")</f>
        <v xml:space="preserve"> </v>
      </c>
      <c r="I318" s="29"/>
      <c r="J318" s="29"/>
      <c r="K318" s="29"/>
    </row>
    <row r="319" spans="1:43" ht="14.25" x14ac:dyDescent="0.2">
      <c r="A319" s="16"/>
      <c r="B319" s="16"/>
      <c r="C319" s="18" t="s">
        <v>431</v>
      </c>
      <c r="D319" s="18"/>
      <c r="E319" s="18"/>
      <c r="F319" s="18"/>
      <c r="G319" s="18"/>
      <c r="H319" s="16"/>
      <c r="I319" s="16"/>
      <c r="J319" s="16"/>
      <c r="K319" s="16"/>
    </row>
  </sheetData>
  <mergeCells count="183">
    <mergeCell ref="A318:B318"/>
    <mergeCell ref="H318:K318"/>
    <mergeCell ref="C319:G319"/>
    <mergeCell ref="J310:K310"/>
    <mergeCell ref="H310:I310"/>
    <mergeCell ref="A310:G310"/>
    <mergeCell ref="A315:B315"/>
    <mergeCell ref="H315:K315"/>
    <mergeCell ref="C316:G316"/>
    <mergeCell ref="J302:K302"/>
    <mergeCell ref="H302:I302"/>
    <mergeCell ref="A302:G302"/>
    <mergeCell ref="J306:K306"/>
    <mergeCell ref="H306:I306"/>
    <mergeCell ref="A306:G306"/>
    <mergeCell ref="H292:I292"/>
    <mergeCell ref="J292:K292"/>
    <mergeCell ref="H296:I296"/>
    <mergeCell ref="J296:K296"/>
    <mergeCell ref="H299:I299"/>
    <mergeCell ref="J299:K299"/>
    <mergeCell ref="H280:I280"/>
    <mergeCell ref="J280:K280"/>
    <mergeCell ref="H284:I284"/>
    <mergeCell ref="J284:K284"/>
    <mergeCell ref="H288:I288"/>
    <mergeCell ref="J288:K288"/>
    <mergeCell ref="H267:I267"/>
    <mergeCell ref="J267:K267"/>
    <mergeCell ref="H278:I278"/>
    <mergeCell ref="J278:K278"/>
    <mergeCell ref="H279:I279"/>
    <mergeCell ref="J279:K279"/>
    <mergeCell ref="A249:G249"/>
    <mergeCell ref="A253:K253"/>
    <mergeCell ref="H265:I265"/>
    <mergeCell ref="J265:K265"/>
    <mergeCell ref="H266:I266"/>
    <mergeCell ref="J266:K266"/>
    <mergeCell ref="H243:I243"/>
    <mergeCell ref="J243:K243"/>
    <mergeCell ref="H246:I246"/>
    <mergeCell ref="J246:K246"/>
    <mergeCell ref="J249:K249"/>
    <mergeCell ref="H249:I249"/>
    <mergeCell ref="H230:I230"/>
    <mergeCell ref="J230:K230"/>
    <mergeCell ref="H241:I241"/>
    <mergeCell ref="J241:K241"/>
    <mergeCell ref="H242:I242"/>
    <mergeCell ref="J242:K242"/>
    <mergeCell ref="H225:I225"/>
    <mergeCell ref="J225:K225"/>
    <mergeCell ref="H226:I226"/>
    <mergeCell ref="J226:K226"/>
    <mergeCell ref="H227:I227"/>
    <mergeCell ref="J227:K227"/>
    <mergeCell ref="H214:I214"/>
    <mergeCell ref="J214:K214"/>
    <mergeCell ref="H215:I215"/>
    <mergeCell ref="J215:K215"/>
    <mergeCell ref="H218:I218"/>
    <mergeCell ref="J218:K218"/>
    <mergeCell ref="H200:I200"/>
    <mergeCell ref="J200:K200"/>
    <mergeCell ref="H203:I203"/>
    <mergeCell ref="J203:K203"/>
    <mergeCell ref="H213:I213"/>
    <mergeCell ref="J213:K213"/>
    <mergeCell ref="H190:I190"/>
    <mergeCell ref="J190:K190"/>
    <mergeCell ref="H198:I198"/>
    <mergeCell ref="J198:K198"/>
    <mergeCell ref="H199:I199"/>
    <mergeCell ref="J199:K199"/>
    <mergeCell ref="H185:I185"/>
    <mergeCell ref="J185:K185"/>
    <mergeCell ref="H186:I186"/>
    <mergeCell ref="J186:K186"/>
    <mergeCell ref="H187:I187"/>
    <mergeCell ref="J187:K187"/>
    <mergeCell ref="H173:I173"/>
    <mergeCell ref="J173:K173"/>
    <mergeCell ref="H174:I174"/>
    <mergeCell ref="J174:K174"/>
    <mergeCell ref="H177:I177"/>
    <mergeCell ref="J177:K177"/>
    <mergeCell ref="H160:I160"/>
    <mergeCell ref="J160:K160"/>
    <mergeCell ref="H163:I163"/>
    <mergeCell ref="J163:K163"/>
    <mergeCell ref="H172:I172"/>
    <mergeCell ref="J172:K172"/>
    <mergeCell ref="H148:I148"/>
    <mergeCell ref="J148:K148"/>
    <mergeCell ref="H158:I158"/>
    <mergeCell ref="J158:K158"/>
    <mergeCell ref="H159:I159"/>
    <mergeCell ref="J159:K159"/>
    <mergeCell ref="H143:I143"/>
    <mergeCell ref="J143:K143"/>
    <mergeCell ref="H144:I144"/>
    <mergeCell ref="J144:K144"/>
    <mergeCell ref="H145:I145"/>
    <mergeCell ref="J145:K145"/>
    <mergeCell ref="H127:I127"/>
    <mergeCell ref="J127:K127"/>
    <mergeCell ref="H130:I130"/>
    <mergeCell ref="J130:K130"/>
    <mergeCell ref="H133:I133"/>
    <mergeCell ref="J133:K133"/>
    <mergeCell ref="H117:I117"/>
    <mergeCell ref="J117:K117"/>
    <mergeCell ref="H125:I125"/>
    <mergeCell ref="J125:K125"/>
    <mergeCell ref="H126:I126"/>
    <mergeCell ref="J126:K126"/>
    <mergeCell ref="H112:I112"/>
    <mergeCell ref="J112:K112"/>
    <mergeCell ref="H113:I113"/>
    <mergeCell ref="J113:K113"/>
    <mergeCell ref="H114:I114"/>
    <mergeCell ref="J114:K114"/>
    <mergeCell ref="H98:I98"/>
    <mergeCell ref="J98:K98"/>
    <mergeCell ref="H99:I99"/>
    <mergeCell ref="J99:K99"/>
    <mergeCell ref="H102:I102"/>
    <mergeCell ref="J102:K102"/>
    <mergeCell ref="H84:I84"/>
    <mergeCell ref="J84:K84"/>
    <mergeCell ref="H87:I87"/>
    <mergeCell ref="J87:K87"/>
    <mergeCell ref="H97:I97"/>
    <mergeCell ref="J97:K97"/>
    <mergeCell ref="H72:I72"/>
    <mergeCell ref="J72:K72"/>
    <mergeCell ref="H82:I82"/>
    <mergeCell ref="J82:K82"/>
    <mergeCell ref="H83:I83"/>
    <mergeCell ref="J83:K83"/>
    <mergeCell ref="H67:I67"/>
    <mergeCell ref="J67:K67"/>
    <mergeCell ref="H68:I68"/>
    <mergeCell ref="J68:K68"/>
    <mergeCell ref="H69:I69"/>
    <mergeCell ref="J69:K69"/>
    <mergeCell ref="H53:I53"/>
    <mergeCell ref="J53:K53"/>
    <mergeCell ref="H54:I54"/>
    <mergeCell ref="J54:K54"/>
    <mergeCell ref="H57:I57"/>
    <mergeCell ref="J57:K57"/>
    <mergeCell ref="H41:I41"/>
    <mergeCell ref="J41:K41"/>
    <mergeCell ref="H44:I44"/>
    <mergeCell ref="J44:K44"/>
    <mergeCell ref="H52:I52"/>
    <mergeCell ref="J52:K52"/>
    <mergeCell ref="H36:I36"/>
    <mergeCell ref="J36:K36"/>
    <mergeCell ref="H37:I37"/>
    <mergeCell ref="J37:K37"/>
    <mergeCell ref="H38:I38"/>
    <mergeCell ref="J38:K38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5" t="str">
        <f>Source!B1</f>
        <v>Smeta.RU  (495) 974-1589</v>
      </c>
    </row>
    <row r="4" spans="1:8" ht="15.75" x14ac:dyDescent="0.2">
      <c r="B4" s="72" t="str">
        <f>CONCATENATE("Ведомость объемов работ ", IF(Source!AN15&lt;&gt;"", Source!AN15," "))</f>
        <v xml:space="preserve">Ведомость объемов работ  </v>
      </c>
      <c r="C4" s="72"/>
      <c r="D4" s="72"/>
      <c r="E4" s="72"/>
    </row>
    <row r="5" spans="1:8" ht="15" x14ac:dyDescent="0.2">
      <c r="B5" s="73" t="str">
        <f>CONCATENATE(Source!F12, " ", Source!G12)</f>
        <v xml:space="preserve"> 02-01-16 СОС</v>
      </c>
      <c r="C5" s="73"/>
      <c r="D5" s="73"/>
      <c r="E5" s="73"/>
    </row>
    <row r="6" spans="1:8" hidden="1" x14ac:dyDescent="0.2"/>
    <row r="8" spans="1:8" ht="99.75" x14ac:dyDescent="0.2">
      <c r="A8" s="35" t="s">
        <v>377</v>
      </c>
      <c r="B8" s="35" t="s">
        <v>433</v>
      </c>
      <c r="C8" s="35" t="s">
        <v>379</v>
      </c>
      <c r="D8" s="35" t="s">
        <v>434</v>
      </c>
      <c r="E8" s="35" t="s">
        <v>435</v>
      </c>
      <c r="F8" s="35" t="s">
        <v>436</v>
      </c>
      <c r="G8" s="35" t="s">
        <v>437</v>
      </c>
      <c r="H8" s="35" t="s">
        <v>438</v>
      </c>
    </row>
    <row r="9" spans="1:8" ht="14.25" x14ac:dyDescent="0.2">
      <c r="A9" s="35">
        <v>1</v>
      </c>
      <c r="B9" s="35">
        <v>2</v>
      </c>
      <c r="C9" s="35">
        <v>3</v>
      </c>
      <c r="D9" s="35">
        <v>4</v>
      </c>
      <c r="E9" s="35">
        <v>5</v>
      </c>
      <c r="F9" s="35">
        <v>6</v>
      </c>
      <c r="G9" s="35">
        <v>7</v>
      </c>
      <c r="H9" s="35">
        <v>8</v>
      </c>
    </row>
    <row r="10" spans="1:8" ht="16.5" x14ac:dyDescent="0.25">
      <c r="A10" s="74" t="str">
        <f>CONCATENATE("Локальная смета: ", Source!G20)</f>
        <v>Локальная смета: Система охранно-тревожной сигнализации</v>
      </c>
      <c r="B10" s="74"/>
      <c r="C10" s="74"/>
      <c r="D10" s="74"/>
      <c r="E10" s="74"/>
      <c r="F10" s="74"/>
      <c r="G10" s="74"/>
      <c r="H10" s="74"/>
    </row>
    <row r="11" spans="1:8" ht="16.5" x14ac:dyDescent="0.25">
      <c r="A11" s="74" t="str">
        <f>CONCATENATE("Раздел: ", Source!G24)</f>
        <v>Раздел: Оборудование</v>
      </c>
      <c r="B11" s="74"/>
      <c r="C11" s="74"/>
      <c r="D11" s="74"/>
      <c r="E11" s="74"/>
      <c r="F11" s="74"/>
      <c r="G11" s="74"/>
      <c r="H11" s="74"/>
    </row>
    <row r="12" spans="1:8" ht="14.25" x14ac:dyDescent="0.2">
      <c r="A12" s="35">
        <v>1</v>
      </c>
      <c r="B12" s="35" t="str">
        <f>Source!E28</f>
        <v>1</v>
      </c>
      <c r="C12" s="77" t="str">
        <f>Source!G28</f>
        <v>Монтаж аппаратуры настольной массой до 20 кг</v>
      </c>
      <c r="D12" s="35" t="s">
        <v>21</v>
      </c>
      <c r="E12" s="78">
        <f>Source!I28</f>
        <v>1</v>
      </c>
      <c r="F12" s="35" t="str">
        <f>Source!U24</f>
        <v/>
      </c>
      <c r="G12" s="35">
        <f>Source!I28</f>
        <v>1</v>
      </c>
      <c r="H12" s="77"/>
    </row>
    <row r="13" spans="1:8" ht="28.5" x14ac:dyDescent="0.2">
      <c r="A13" s="35">
        <v>2</v>
      </c>
      <c r="B13" s="35" t="str">
        <f>Source!E30</f>
        <v>2</v>
      </c>
      <c r="C13" s="77" t="str">
        <f>Source!G30</f>
        <v>Компьютер персональный АРМ DEPO ПЕРЕСВЕТ 110D11 (системный блок, монитор 21,5", клавиатура, мышь)</v>
      </c>
      <c r="D13" s="35" t="s">
        <v>32</v>
      </c>
      <c r="E13" s="78">
        <f>Source!I30</f>
        <v>1</v>
      </c>
      <c r="F13" s="35" t="str">
        <f>Source!U24</f>
        <v/>
      </c>
      <c r="G13" s="35">
        <f>Source!I30</f>
        <v>1</v>
      </c>
      <c r="H13" s="77"/>
    </row>
    <row r="14" spans="1:8" ht="14.25" x14ac:dyDescent="0.2">
      <c r="A14" s="35">
        <v>3</v>
      </c>
      <c r="B14" s="35" t="str">
        <f>Source!E32</f>
        <v>3</v>
      </c>
      <c r="C14" s="77" t="str">
        <f>Source!G32</f>
        <v>Операционная система REDOS-DSP-STD-BAS-VDI</v>
      </c>
      <c r="D14" s="35" t="s">
        <v>32</v>
      </c>
      <c r="E14" s="78">
        <f>Source!I32</f>
        <v>1</v>
      </c>
      <c r="F14" s="35" t="str">
        <f>Source!U24</f>
        <v/>
      </c>
      <c r="G14" s="35">
        <f>Source!I32</f>
        <v>1</v>
      </c>
      <c r="H14" s="77"/>
    </row>
    <row r="15" spans="1:8" ht="14.25" x14ac:dyDescent="0.2">
      <c r="A15" s="35">
        <v>4</v>
      </c>
      <c r="B15" s="35" t="str">
        <f>Source!E34</f>
        <v>4</v>
      </c>
      <c r="C15" s="77" t="str">
        <f>Source!G34</f>
        <v>Монтаж блока бесперебойного питания (ББП) в диспетчерской</v>
      </c>
      <c r="D15" s="35" t="s">
        <v>21</v>
      </c>
      <c r="E15" s="78">
        <f>Source!I34</f>
        <v>1</v>
      </c>
      <c r="F15" s="35" t="str">
        <f>Source!U24</f>
        <v/>
      </c>
      <c r="G15" s="35">
        <f>Source!I34</f>
        <v>1</v>
      </c>
      <c r="H15" s="77"/>
    </row>
    <row r="16" spans="1:8" ht="14.25" x14ac:dyDescent="0.2">
      <c r="A16" s="35">
        <v>5</v>
      </c>
      <c r="B16" s="35" t="str">
        <f>Source!E36</f>
        <v>5</v>
      </c>
      <c r="C16" s="77" t="str">
        <f>Source!G36</f>
        <v>Источник бесперебойного питания, 600Вт Back Basic 1050S Euro</v>
      </c>
      <c r="D16" s="35" t="s">
        <v>32</v>
      </c>
      <c r="E16" s="78">
        <f>Source!I36</f>
        <v>1</v>
      </c>
      <c r="F16" s="35" t="str">
        <f>Source!U24</f>
        <v/>
      </c>
      <c r="G16" s="35">
        <f>Source!I36</f>
        <v>1</v>
      </c>
      <c r="H16" s="77"/>
    </row>
    <row r="17" spans="1:8" ht="28.5" x14ac:dyDescent="0.2">
      <c r="A17" s="35">
        <v>6</v>
      </c>
      <c r="B17" s="35" t="str">
        <f>Source!E38</f>
        <v>6</v>
      </c>
      <c r="C17" s="77" t="str">
        <f>Source!G38</f>
        <v>Аппараты приемные, приборы ПС приемно-контрольные, пусковые, концентратор, блок базовый на 10 лучей</v>
      </c>
      <c r="D17" s="35" t="s">
        <v>21</v>
      </c>
      <c r="E17" s="78">
        <f>Source!I38</f>
        <v>1</v>
      </c>
      <c r="F17" s="35" t="str">
        <f>Source!U24</f>
        <v/>
      </c>
      <c r="G17" s="35">
        <f>Source!I38</f>
        <v>1</v>
      </c>
      <c r="H17" s="77"/>
    </row>
    <row r="18" spans="1:8" ht="14.25" x14ac:dyDescent="0.2">
      <c r="A18" s="35">
        <v>7</v>
      </c>
      <c r="B18" s="35" t="str">
        <f>Source!E40</f>
        <v>7</v>
      </c>
      <c r="C18" s="77" t="str">
        <f>Source!G40</f>
        <v>Прибор приемно-контрольный и управленя Рубеж-20П прот. R3</v>
      </c>
      <c r="D18" s="35" t="s">
        <v>32</v>
      </c>
      <c r="E18" s="78">
        <f>Source!I40</f>
        <v>1</v>
      </c>
      <c r="F18" s="35" t="str">
        <f>Source!U24</f>
        <v/>
      </c>
      <c r="G18" s="35">
        <f>Source!I40</f>
        <v>1</v>
      </c>
      <c r="H18" s="77"/>
    </row>
    <row r="19" spans="1:8" ht="14.25" x14ac:dyDescent="0.2">
      <c r="A19" s="35">
        <v>8</v>
      </c>
      <c r="B19" s="35" t="str">
        <f>Source!E42</f>
        <v>8</v>
      </c>
      <c r="C19" s="77" t="str">
        <f>Source!G42</f>
        <v>Аппараты приемные, устройства промежуточные на 1 луч</v>
      </c>
      <c r="D19" s="35" t="s">
        <v>21</v>
      </c>
      <c r="E19" s="78">
        <f>Source!I42</f>
        <v>1</v>
      </c>
      <c r="F19" s="35" t="str">
        <f>Source!U24</f>
        <v/>
      </c>
      <c r="G19" s="35">
        <f>Source!I42</f>
        <v>1</v>
      </c>
      <c r="H19" s="77"/>
    </row>
    <row r="20" spans="1:8" ht="14.25" x14ac:dyDescent="0.2">
      <c r="A20" s="35">
        <v>9</v>
      </c>
      <c r="B20" s="35" t="str">
        <f>Source!E44</f>
        <v>9</v>
      </c>
      <c r="C20" s="77" t="str">
        <f>Source!G44</f>
        <v>Модуль сопряжения МС-Е</v>
      </c>
      <c r="D20" s="35" t="s">
        <v>32</v>
      </c>
      <c r="E20" s="78">
        <f>Source!I44</f>
        <v>1</v>
      </c>
      <c r="F20" s="35" t="str">
        <f>Source!U24</f>
        <v/>
      </c>
      <c r="G20" s="35">
        <f>Source!I44</f>
        <v>1</v>
      </c>
      <c r="H20" s="77"/>
    </row>
    <row r="21" spans="1:8" ht="28.5" x14ac:dyDescent="0.2">
      <c r="A21" s="35">
        <v>10</v>
      </c>
      <c r="B21" s="35" t="str">
        <f>Source!E46</f>
        <v>10</v>
      </c>
      <c r="C21" s="77" t="str">
        <f>Source!G46</f>
        <v>Аппараты приемные, приборы приемно-контрольные объектовые на 2 луча</v>
      </c>
      <c r="D21" s="35" t="s">
        <v>21</v>
      </c>
      <c r="E21" s="78">
        <f>Source!I46</f>
        <v>1</v>
      </c>
      <c r="F21" s="35" t="str">
        <f>Source!U24</f>
        <v/>
      </c>
      <c r="G21" s="35">
        <f>Source!I46</f>
        <v>1</v>
      </c>
      <c r="H21" s="77"/>
    </row>
    <row r="22" spans="1:8" ht="14.25" x14ac:dyDescent="0.2">
      <c r="A22" s="35">
        <v>11</v>
      </c>
      <c r="B22" s="35" t="str">
        <f>Source!E48</f>
        <v>11</v>
      </c>
      <c r="C22" s="77" t="str">
        <f>Source!G48</f>
        <v>Блок индикации и управления Рубеж-БИУ</v>
      </c>
      <c r="D22" s="35" t="s">
        <v>32</v>
      </c>
      <c r="E22" s="78">
        <f>Source!I48</f>
        <v>1</v>
      </c>
      <c r="F22" s="35" t="str">
        <f>Source!U24</f>
        <v/>
      </c>
      <c r="G22" s="35">
        <f>Source!I48</f>
        <v>1</v>
      </c>
      <c r="H22" s="77"/>
    </row>
    <row r="23" spans="1:8" ht="28.5" x14ac:dyDescent="0.2">
      <c r="A23" s="35">
        <v>12</v>
      </c>
      <c r="B23" s="35" t="str">
        <f>Source!E50</f>
        <v>12</v>
      </c>
      <c r="C23" s="77" t="str">
        <f>Source!G50</f>
        <v>Приборы и устройства сигнализирующие объектовые, устройства ультразвуковые, блок питания и контроля</v>
      </c>
      <c r="D23" s="35" t="s">
        <v>21</v>
      </c>
      <c r="E23" s="78">
        <f>Source!I50</f>
        <v>1</v>
      </c>
      <c r="F23" s="35" t="str">
        <f>Source!U24</f>
        <v/>
      </c>
      <c r="G23" s="35">
        <f>Source!I50</f>
        <v>1</v>
      </c>
      <c r="H23" s="77"/>
    </row>
    <row r="24" spans="1:8" ht="14.25" x14ac:dyDescent="0.2">
      <c r="A24" s="35">
        <v>13</v>
      </c>
      <c r="B24" s="35" t="str">
        <f>Source!E52</f>
        <v>13</v>
      </c>
      <c r="C24" s="77" t="str">
        <f>Source!G52</f>
        <v>Устройство оконечное объектовое Приток-А КОП-1 исп.1</v>
      </c>
      <c r="D24" s="35" t="s">
        <v>32</v>
      </c>
      <c r="E24" s="78">
        <f>Source!I52</f>
        <v>1</v>
      </c>
      <c r="F24" s="35" t="str">
        <f>Source!U24</f>
        <v/>
      </c>
      <c r="G24" s="35">
        <f>Source!I52</f>
        <v>1</v>
      </c>
      <c r="H24" s="77"/>
    </row>
    <row r="25" spans="1:8" ht="14.25" x14ac:dyDescent="0.2">
      <c r="A25" s="35">
        <v>14</v>
      </c>
      <c r="B25" s="35" t="str">
        <f>Source!E54</f>
        <v>14</v>
      </c>
      <c r="C25" s="77" t="str">
        <f>Source!G54</f>
        <v>Монтаж блока бесперебойного питания (ББП) в диспетчерской</v>
      </c>
      <c r="D25" s="35" t="s">
        <v>21</v>
      </c>
      <c r="E25" s="78">
        <f>Source!I54</f>
        <v>3</v>
      </c>
      <c r="F25" s="35" t="str">
        <f>Source!U24</f>
        <v/>
      </c>
      <c r="G25" s="35">
        <f>Source!I54</f>
        <v>3</v>
      </c>
      <c r="H25" s="77"/>
    </row>
    <row r="26" spans="1:8" ht="14.25" x14ac:dyDescent="0.2">
      <c r="A26" s="35">
        <v>15</v>
      </c>
      <c r="B26" s="35" t="str">
        <f>Source!E56</f>
        <v>15</v>
      </c>
      <c r="C26" s="77" t="str">
        <f>Source!G56</f>
        <v>Блок питания, 12В, 2А ИВЭПР 12/2 RS-R3</v>
      </c>
      <c r="D26" s="35" t="s">
        <v>32</v>
      </c>
      <c r="E26" s="78">
        <f>Source!I56</f>
        <v>3</v>
      </c>
      <c r="F26" s="35" t="str">
        <f>Source!U24</f>
        <v/>
      </c>
      <c r="G26" s="35">
        <f>Source!I56</f>
        <v>3</v>
      </c>
      <c r="H26" s="77"/>
    </row>
    <row r="27" spans="1:8" ht="14.25" x14ac:dyDescent="0.2">
      <c r="A27" s="35">
        <v>16</v>
      </c>
      <c r="B27" s="35" t="str">
        <f>Source!E58</f>
        <v>16</v>
      </c>
      <c r="C27" s="77" t="str">
        <f>Source!G58</f>
        <v>Аккумултор 12В 7Ач DTM 1207</v>
      </c>
      <c r="D27" s="35" t="s">
        <v>32</v>
      </c>
      <c r="E27" s="78">
        <f>Source!I58</f>
        <v>3</v>
      </c>
      <c r="F27" s="35" t="str">
        <f>Source!U24</f>
        <v/>
      </c>
      <c r="G27" s="35">
        <f>Source!I58</f>
        <v>3</v>
      </c>
      <c r="H27" s="77"/>
    </row>
    <row r="28" spans="1:8" ht="14.25" x14ac:dyDescent="0.2">
      <c r="A28" s="35">
        <v>17</v>
      </c>
      <c r="B28" s="35" t="str">
        <f>Source!E60</f>
        <v>17</v>
      </c>
      <c r="C28" s="77" t="str">
        <f>Source!G60</f>
        <v>Аппараты приемные, устройства промежуточные на 1 луч</v>
      </c>
      <c r="D28" s="35" t="s">
        <v>21</v>
      </c>
      <c r="E28" s="78">
        <f>Source!I60</f>
        <v>1</v>
      </c>
      <c r="F28" s="35" t="str">
        <f>Source!U24</f>
        <v/>
      </c>
      <c r="G28" s="35">
        <f>Source!I60</f>
        <v>1</v>
      </c>
      <c r="H28" s="77"/>
    </row>
    <row r="29" spans="1:8" ht="14.25" x14ac:dyDescent="0.2">
      <c r="A29" s="35">
        <v>18</v>
      </c>
      <c r="B29" s="35" t="str">
        <f>Source!E62</f>
        <v>18</v>
      </c>
      <c r="C29" s="77" t="str">
        <f>Source!G62</f>
        <v>Адресный релейный модуль РМ-1-R3 Рубеж</v>
      </c>
      <c r="D29" s="35" t="s">
        <v>32</v>
      </c>
      <c r="E29" s="78">
        <f>Source!I62</f>
        <v>1</v>
      </c>
      <c r="F29" s="35" t="str">
        <f>Source!U24</f>
        <v/>
      </c>
      <c r="G29" s="35">
        <f>Source!I62</f>
        <v>1</v>
      </c>
      <c r="H29" s="77"/>
    </row>
    <row r="30" spans="1:8" ht="14.25" x14ac:dyDescent="0.2">
      <c r="A30" s="35">
        <v>19</v>
      </c>
      <c r="B30" s="35" t="str">
        <f>Source!E64</f>
        <v>19</v>
      </c>
      <c r="C30" s="77" t="str">
        <f>Source!G64</f>
        <v>Аппараты приемные, устройства промежуточные на 1 луч</v>
      </c>
      <c r="D30" s="35" t="s">
        <v>21</v>
      </c>
      <c r="E30" s="78">
        <f>Source!I64</f>
        <v>2</v>
      </c>
      <c r="F30" s="35" t="str">
        <f>Source!U24</f>
        <v/>
      </c>
      <c r="G30" s="35">
        <f>Source!I64</f>
        <v>2</v>
      </c>
      <c r="H30" s="77"/>
    </row>
    <row r="31" spans="1:8" ht="14.25" x14ac:dyDescent="0.2">
      <c r="A31" s="35">
        <v>20</v>
      </c>
      <c r="B31" s="35" t="str">
        <f>Source!E66</f>
        <v>20</v>
      </c>
      <c r="C31" s="77" t="str">
        <f>Source!G66</f>
        <v>Изолятор шлейфа ИЗ-1 прот. R3</v>
      </c>
      <c r="D31" s="35" t="s">
        <v>32</v>
      </c>
      <c r="E31" s="78">
        <f>Source!I66</f>
        <v>2</v>
      </c>
      <c r="F31" s="35" t="str">
        <f>Source!U24</f>
        <v/>
      </c>
      <c r="G31" s="35">
        <f>Source!I66</f>
        <v>2</v>
      </c>
      <c r="H31" s="77"/>
    </row>
    <row r="32" spans="1:8" ht="28.5" x14ac:dyDescent="0.2">
      <c r="A32" s="35">
        <v>21</v>
      </c>
      <c r="B32" s="35" t="str">
        <f>Source!E68</f>
        <v>21</v>
      </c>
      <c r="C32" s="77" t="str">
        <f>Source!G68</f>
        <v>Приборы и устройства сигнализирующие объектовые, устройства ультразвуковые, прибор ультразвуковой в одноблочном исполнении</v>
      </c>
      <c r="D32" s="35" t="s">
        <v>21</v>
      </c>
      <c r="E32" s="78">
        <f>Source!I68</f>
        <v>30</v>
      </c>
      <c r="F32" s="35" t="str">
        <f>Source!U24</f>
        <v/>
      </c>
      <c r="G32" s="35">
        <f>Source!I68</f>
        <v>30</v>
      </c>
      <c r="H32" s="77"/>
    </row>
    <row r="33" spans="1:8" ht="28.5" x14ac:dyDescent="0.2">
      <c r="A33" s="35">
        <v>22</v>
      </c>
      <c r="B33" s="35" t="str">
        <f>Source!E70</f>
        <v>22</v>
      </c>
      <c r="C33" s="77" t="str">
        <f>Source!G70</f>
        <v>Извещатель охранный объемный оптико-электронный адресный ИО 40920-2</v>
      </c>
      <c r="D33" s="35" t="s">
        <v>32</v>
      </c>
      <c r="E33" s="78">
        <f>Source!I70</f>
        <v>30</v>
      </c>
      <c r="F33" s="35" t="str">
        <f>Source!U24</f>
        <v/>
      </c>
      <c r="G33" s="35">
        <f>Source!I70</f>
        <v>30</v>
      </c>
      <c r="H33" s="77"/>
    </row>
    <row r="34" spans="1:8" ht="28.5" x14ac:dyDescent="0.2">
      <c r="A34" s="35">
        <v>23</v>
      </c>
      <c r="B34" s="35" t="str">
        <f>Source!E72</f>
        <v>23</v>
      </c>
      <c r="C34" s="77" t="str">
        <f>Source!G72</f>
        <v>Извещатели ОС автоматические, контактный, магнито-контактный на открывание окон, дверей</v>
      </c>
      <c r="D34" s="35" t="s">
        <v>21</v>
      </c>
      <c r="E34" s="78">
        <f>Source!I72</f>
        <v>86</v>
      </c>
      <c r="F34" s="35" t="str">
        <f>Source!U24</f>
        <v/>
      </c>
      <c r="G34" s="35">
        <f>Source!I72</f>
        <v>86</v>
      </c>
      <c r="H34" s="77"/>
    </row>
    <row r="35" spans="1:8" ht="14.25" x14ac:dyDescent="0.2">
      <c r="A35" s="35">
        <v>24</v>
      </c>
      <c r="B35" s="35" t="str">
        <f>Source!E74</f>
        <v>24</v>
      </c>
      <c r="C35" s="77" t="str">
        <f>Source!G74</f>
        <v>Извещатель охранный поверхностный звуковой адресный ИО 32920-2</v>
      </c>
      <c r="D35" s="35" t="s">
        <v>32</v>
      </c>
      <c r="E35" s="78">
        <f>Source!I74</f>
        <v>86</v>
      </c>
      <c r="F35" s="35" t="str">
        <f>Source!U24</f>
        <v/>
      </c>
      <c r="G35" s="35">
        <f>Source!I74</f>
        <v>86</v>
      </c>
      <c r="H35" s="77"/>
    </row>
    <row r="36" spans="1:8" ht="28.5" x14ac:dyDescent="0.2">
      <c r="A36" s="35">
        <v>25</v>
      </c>
      <c r="B36" s="35" t="str">
        <f>Source!E76</f>
        <v>25</v>
      </c>
      <c r="C36" s="77" t="str">
        <f>Source!G76</f>
        <v>Извещатели ОС автоматические, контактный, магнито-контактный на открывание окон, дверей</v>
      </c>
      <c r="D36" s="35" t="s">
        <v>21</v>
      </c>
      <c r="E36" s="78">
        <f>Source!I76</f>
        <v>90</v>
      </c>
      <c r="F36" s="35" t="str">
        <f>Source!U24</f>
        <v/>
      </c>
      <c r="G36" s="35">
        <f>Source!I76</f>
        <v>90</v>
      </c>
      <c r="H36" s="77"/>
    </row>
    <row r="37" spans="1:8" ht="14.25" x14ac:dyDescent="0.2">
      <c r="A37" s="35">
        <v>26</v>
      </c>
      <c r="B37" s="35" t="str">
        <f>Source!E78</f>
        <v>26</v>
      </c>
      <c r="C37" s="77" t="str">
        <f>Source!G78</f>
        <v>Извещатель охранный магнитноуправляемый адресный ИО 10220-2</v>
      </c>
      <c r="D37" s="35" t="s">
        <v>32</v>
      </c>
      <c r="E37" s="78">
        <f>Source!I78</f>
        <v>90</v>
      </c>
      <c r="F37" s="35" t="str">
        <f>Source!U24</f>
        <v/>
      </c>
      <c r="G37" s="35">
        <f>Source!I78</f>
        <v>90</v>
      </c>
      <c r="H37" s="77"/>
    </row>
    <row r="38" spans="1:8" ht="14.25" x14ac:dyDescent="0.2">
      <c r="A38" s="35">
        <v>27</v>
      </c>
      <c r="B38" s="35" t="str">
        <f>Source!E80</f>
        <v>27</v>
      </c>
      <c r="C38" s="77" t="str">
        <f>Source!G80</f>
        <v>Аппараты приемные, устройства промежуточные на 1 луч</v>
      </c>
      <c r="D38" s="35" t="s">
        <v>21</v>
      </c>
      <c r="E38" s="78">
        <f>Source!I80</f>
        <v>9</v>
      </c>
      <c r="F38" s="35" t="str">
        <f>Source!U24</f>
        <v/>
      </c>
      <c r="G38" s="35">
        <f>Source!I80</f>
        <v>9</v>
      </c>
      <c r="H38" s="77"/>
    </row>
    <row r="39" spans="1:8" ht="14.25" x14ac:dyDescent="0.2">
      <c r="A39" s="35">
        <v>28</v>
      </c>
      <c r="B39" s="35" t="str">
        <f>Source!E82</f>
        <v>28</v>
      </c>
      <c r="C39" s="77" t="str">
        <f>Source!G82</f>
        <v>Адресная метка, 4 шлейфа АМ-4-R3</v>
      </c>
      <c r="D39" s="35" t="s">
        <v>32</v>
      </c>
      <c r="E39" s="78">
        <f>Source!I82</f>
        <v>9</v>
      </c>
      <c r="F39" s="35" t="str">
        <f>Source!U24</f>
        <v/>
      </c>
      <c r="G39" s="35">
        <f>Source!I82</f>
        <v>9</v>
      </c>
      <c r="H39" s="77"/>
    </row>
    <row r="40" spans="1:8" ht="14.25" x14ac:dyDescent="0.2">
      <c r="A40" s="35">
        <v>29</v>
      </c>
      <c r="B40" s="35" t="str">
        <f>Source!E84</f>
        <v>29</v>
      </c>
      <c r="C40" s="77" t="str">
        <f>Source!G84</f>
        <v>Монтаж детали на пультах и панелях - кнопка</v>
      </c>
      <c r="D40" s="35" t="s">
        <v>21</v>
      </c>
      <c r="E40" s="78">
        <f>Source!I84</f>
        <v>10</v>
      </c>
      <c r="F40" s="35" t="str">
        <f>Source!U24</f>
        <v/>
      </c>
      <c r="G40" s="35">
        <f>Source!I84</f>
        <v>10</v>
      </c>
      <c r="H40" s="77"/>
    </row>
    <row r="41" spans="1:8" ht="28.5" x14ac:dyDescent="0.2">
      <c r="A41" s="35">
        <v>30</v>
      </c>
      <c r="B41" s="35" t="str">
        <f>Source!E86</f>
        <v>30</v>
      </c>
      <c r="C41" s="77" t="str">
        <f>Source!G86</f>
        <v>Извещатель охранный ручной точечный электроконтактный Астра-321 (ИО 101-7)</v>
      </c>
      <c r="D41" s="35" t="s">
        <v>32</v>
      </c>
      <c r="E41" s="78">
        <f>Source!I86</f>
        <v>10</v>
      </c>
      <c r="F41" s="35" t="str">
        <f>Source!U24</f>
        <v/>
      </c>
      <c r="G41" s="35">
        <f>Source!I86</f>
        <v>10</v>
      </c>
      <c r="H41" s="77"/>
    </row>
    <row r="42" spans="1:8" ht="28.5" x14ac:dyDescent="0.2">
      <c r="A42" s="35">
        <v>31</v>
      </c>
      <c r="B42" s="35" t="str">
        <f>Source!E88</f>
        <v>31</v>
      </c>
      <c r="C42" s="77" t="str">
        <f>Source!G88</f>
        <v>Монтаж светильников с лампами накаливания, светового настенного указателя</v>
      </c>
      <c r="D42" s="35" t="s">
        <v>140</v>
      </c>
      <c r="E42" s="78">
        <f>Source!I88</f>
        <v>0.01</v>
      </c>
      <c r="F42" s="35" t="str">
        <f>Source!U24</f>
        <v/>
      </c>
      <c r="G42" s="35" t="str">
        <f>"=1/"&amp;"100"</f>
        <v>=1/100</v>
      </c>
      <c r="H42" s="77"/>
    </row>
    <row r="43" spans="1:8" ht="14.25" x14ac:dyDescent="0.2">
      <c r="A43" s="35">
        <v>32</v>
      </c>
      <c r="B43" s="35" t="str">
        <f>Source!E90</f>
        <v>32</v>
      </c>
      <c r="C43" s="77" t="str">
        <f>Source!G90</f>
        <v>Световой оповещатель "Маяк-12-С"</v>
      </c>
      <c r="D43" s="35" t="s">
        <v>32</v>
      </c>
      <c r="E43" s="78">
        <f>Source!I90</f>
        <v>1</v>
      </c>
      <c r="F43" s="35" t="str">
        <f>Source!U24</f>
        <v/>
      </c>
      <c r="G43" s="35">
        <f>Source!I90</f>
        <v>1</v>
      </c>
      <c r="H43" s="77"/>
    </row>
    <row r="44" spans="1:8" ht="16.5" x14ac:dyDescent="0.25">
      <c r="A44" s="74" t="str">
        <f>CONCATENATE("Раздел: ", Source!G123)</f>
        <v>Раздел: Кабельные изделия СОТС</v>
      </c>
      <c r="B44" s="74"/>
      <c r="C44" s="74"/>
      <c r="D44" s="74"/>
      <c r="E44" s="74"/>
      <c r="F44" s="74"/>
      <c r="G44" s="74"/>
      <c r="H44" s="74"/>
    </row>
    <row r="45" spans="1:8" ht="28.5" x14ac:dyDescent="0.2">
      <c r="A45" s="35">
        <v>33</v>
      </c>
      <c r="B45" s="35" t="str">
        <f>Source!E127</f>
        <v>33</v>
      </c>
      <c r="C45" s="77" t="str">
        <f>Source!G127</f>
        <v>Прокладка кабеля связи огнестойкого в трубах гофрированных с использованием скобы СМО: по бетонным поверхностям</v>
      </c>
      <c r="D45" s="35" t="s">
        <v>206</v>
      </c>
      <c r="E45" s="78">
        <f>Source!I127</f>
        <v>30</v>
      </c>
      <c r="F45" s="35" t="str">
        <f>Source!U123</f>
        <v/>
      </c>
      <c r="G45" s="35" t="str">
        <f>"=3000/"&amp;"100"</f>
        <v>=3000/100</v>
      </c>
      <c r="H45" s="77"/>
    </row>
    <row r="46" spans="1:8" ht="28.5" x14ac:dyDescent="0.2">
      <c r="A46" s="35">
        <v>34</v>
      </c>
      <c r="B46" s="35" t="str">
        <f>Source!E135</f>
        <v>34</v>
      </c>
      <c r="C46" s="77" t="str">
        <f>Source!G135</f>
        <v>Прокладка кабельного изделия по установленным конструкциям и лоткам, при массе 1 м кабельного изделия до 0,5 кг на высоте до 5 м</v>
      </c>
      <c r="D46" s="35" t="s">
        <v>206</v>
      </c>
      <c r="E46" s="78">
        <f>Source!I135</f>
        <v>2</v>
      </c>
      <c r="F46" s="35" t="str">
        <f>Source!U123</f>
        <v/>
      </c>
      <c r="G46" s="35" t="str">
        <f>"=200/"&amp;"100"</f>
        <v>=200/100</v>
      </c>
      <c r="H46" s="77"/>
    </row>
    <row r="47" spans="1:8" ht="28.5" x14ac:dyDescent="0.2">
      <c r="A47" s="35">
        <v>35</v>
      </c>
      <c r="B47" s="35" t="str">
        <f>Source!E137</f>
        <v>35</v>
      </c>
      <c r="C47" s="77" t="str">
        <f>Source!G137</f>
        <v>Кабель интерфейса RS-485 Лоутокс 20нг(А)-LSLTx 1x2x0,5</v>
      </c>
      <c r="D47" s="35" t="s">
        <v>229</v>
      </c>
      <c r="E47" s="78">
        <f>Source!I137</f>
        <v>0.10199999999999999</v>
      </c>
      <c r="F47" s="35" t="str">
        <f>Source!U123</f>
        <v/>
      </c>
      <c r="G47" s="35" t="str">
        <f>"=(100*"&amp;"1,02)/"&amp;"1000"</f>
        <v>=(100*1,02)/1000</v>
      </c>
      <c r="H47" s="77"/>
    </row>
    <row r="48" spans="1:8" ht="28.5" x14ac:dyDescent="0.2">
      <c r="A48" s="35">
        <v>36</v>
      </c>
      <c r="B48" s="35" t="str">
        <f>Source!E139</f>
        <v>36</v>
      </c>
      <c r="C48" s="77" t="str">
        <f>Source!G139</f>
        <v>Кавбель КСВВнг(А)-LSLTx 1x2x0,8</v>
      </c>
      <c r="D48" s="35" t="s">
        <v>229</v>
      </c>
      <c r="E48" s="78">
        <f>Source!I139</f>
        <v>0.10199999999999999</v>
      </c>
      <c r="F48" s="35" t="str">
        <f>Source!U123</f>
        <v/>
      </c>
      <c r="G48" s="35" t="str">
        <f>"=(100*"&amp;"1,02)/"&amp;"1000"</f>
        <v>=(100*1,02)/1000</v>
      </c>
      <c r="H48" s="77"/>
    </row>
    <row r="49" spans="1:8" ht="28.5" x14ac:dyDescent="0.2">
      <c r="A49" s="35">
        <v>37</v>
      </c>
      <c r="B49" s="35" t="str">
        <f>Source!E141</f>
        <v>37</v>
      </c>
      <c r="C49" s="77" t="str">
        <f>Source!G141</f>
        <v>Кабель витая пара UTP Cat5e PVCLS 1х2х0,52нг(A)- LSLTx</v>
      </c>
      <c r="D49" s="35" t="s">
        <v>229</v>
      </c>
      <c r="E49" s="78">
        <f>Source!I141</f>
        <v>2.5499999999999998</v>
      </c>
      <c r="F49" s="35" t="str">
        <f>Source!U123</f>
        <v/>
      </c>
      <c r="G49" s="35" t="str">
        <f>"=(2500*"&amp;"1,02)/"&amp;"1000"</f>
        <v>=(2500*1,02)/1000</v>
      </c>
      <c r="H49" s="77"/>
    </row>
    <row r="50" spans="1:8" ht="28.5" x14ac:dyDescent="0.2">
      <c r="A50" s="35">
        <v>38</v>
      </c>
      <c r="B50" s="35" t="str">
        <f>Source!E143</f>
        <v>38</v>
      </c>
      <c r="C50" s="77" t="str">
        <f>Source!G143</f>
        <v>Кабель витая пара UTP Cat5e PVCLS 4х2х0,52нг(A)- LSLTx</v>
      </c>
      <c r="D50" s="35" t="s">
        <v>229</v>
      </c>
      <c r="E50" s="78">
        <f>Source!I143</f>
        <v>0.51</v>
      </c>
      <c r="F50" s="35" t="str">
        <f>Source!U123</f>
        <v/>
      </c>
      <c r="G50" s="35" t="str">
        <f>"=(500*"&amp;"1,02)/"&amp;"1000"</f>
        <v>=(500*1,02)/1000</v>
      </c>
      <c r="H50" s="77"/>
    </row>
    <row r="51" spans="1:8" ht="28.5" x14ac:dyDescent="0.2">
      <c r="A51" s="34">
        <v>39</v>
      </c>
      <c r="B51" s="34" t="str">
        <f>Source!E145</f>
        <v>39</v>
      </c>
      <c r="C51" s="75" t="str">
        <f>Source!G145</f>
        <v>Шнур коммутационный (патч-корд) тип разъемов RJ45 - RJ45, категория 5E, оболочка LSZH, длина 1 м, неэкранированный</v>
      </c>
      <c r="D51" s="34" t="s">
        <v>249</v>
      </c>
      <c r="E51" s="76">
        <f>Source!I145</f>
        <v>2</v>
      </c>
      <c r="F51" s="34" t="str">
        <f>Source!U123</f>
        <v/>
      </c>
      <c r="G51" s="34">
        <f>Source!I145</f>
        <v>2</v>
      </c>
      <c r="H51" s="75"/>
    </row>
    <row r="54" spans="1:8" ht="15" x14ac:dyDescent="0.25">
      <c r="C54" s="79" t="s">
        <v>439</v>
      </c>
      <c r="D54" s="79" t="str">
        <f>IF(Source!X12&lt;&gt;"", Source!X12," ")</f>
        <v xml:space="preserve"> </v>
      </c>
      <c r="E54" s="80"/>
    </row>
    <row r="55" spans="1:8" ht="15" x14ac:dyDescent="0.25">
      <c r="C55" s="16"/>
      <c r="D55" s="80"/>
      <c r="E55" s="80"/>
    </row>
    <row r="56" spans="1:8" ht="15" x14ac:dyDescent="0.25">
      <c r="C56" s="81" t="s">
        <v>440</v>
      </c>
      <c r="D56" s="81" t="str">
        <f>IF(Source!AB12&lt;&gt;"", Source!AB12," ")</f>
        <v>Соколова И.Н.</v>
      </c>
      <c r="E56" s="80"/>
    </row>
  </sheetData>
  <mergeCells count="5">
    <mergeCell ref="B4:E4"/>
    <mergeCell ref="B5:E5"/>
    <mergeCell ref="A10:H10"/>
    <mergeCell ref="A11:H11"/>
    <mergeCell ref="A44:H44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55"/>
  <sheetViews>
    <sheetView workbookViewId="0">
      <selection activeCell="A251" sqref="A251:AX251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74563</v>
      </c>
      <c r="M1" s="3">
        <v>10</v>
      </c>
      <c r="N1" s="3">
        <v>12</v>
      </c>
      <c r="O1" s="3">
        <v>1</v>
      </c>
      <c r="P1" s="3">
        <v>0</v>
      </c>
      <c r="Q1" s="3">
        <v>0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247</v>
      </c>
      <c r="C12" s="10">
        <v>0</v>
      </c>
      <c r="D12" s="10">
        <f>ROW(A208)</f>
        <v>208</v>
      </c>
      <c r="E12" s="10">
        <v>0</v>
      </c>
      <c r="F12" s="10" t="s">
        <v>3</v>
      </c>
      <c r="G12" s="10" t="s">
        <v>5</v>
      </c>
      <c r="H12" s="10" t="s">
        <v>3</v>
      </c>
      <c r="I12" s="10">
        <v>0</v>
      </c>
      <c r="J12" s="10" t="s">
        <v>6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7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3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80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B208</f>
        <v>247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/>
      </c>
      <c r="G18" s="11" t="str">
        <f t="shared" si="0"/>
        <v>02-01-16 СОС</v>
      </c>
      <c r="H18" s="11"/>
      <c r="I18" s="11"/>
      <c r="J18" s="11"/>
      <c r="K18" s="11"/>
      <c r="L18" s="11"/>
      <c r="M18" s="11"/>
      <c r="N18" s="11"/>
      <c r="O18" s="11">
        <f t="shared" ref="O18:AT18" si="1">O208</f>
        <v>199157.65</v>
      </c>
      <c r="P18" s="11">
        <f t="shared" si="1"/>
        <v>183960.62</v>
      </c>
      <c r="Q18" s="11">
        <f t="shared" si="1"/>
        <v>149.36000000000001</v>
      </c>
      <c r="R18" s="11">
        <f t="shared" si="1"/>
        <v>1.01</v>
      </c>
      <c r="S18" s="11">
        <f t="shared" si="1"/>
        <v>15047.67</v>
      </c>
      <c r="T18" s="11">
        <f t="shared" si="1"/>
        <v>0</v>
      </c>
      <c r="U18" s="11">
        <f t="shared" si="1"/>
        <v>1234.4919123900002</v>
      </c>
      <c r="V18" s="11">
        <f t="shared" si="1"/>
        <v>0</v>
      </c>
      <c r="W18" s="11">
        <f t="shared" si="1"/>
        <v>0</v>
      </c>
      <c r="X18" s="11">
        <f t="shared" si="1"/>
        <v>13566.59</v>
      </c>
      <c r="Y18" s="11">
        <f t="shared" si="1"/>
        <v>6946.38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66780.09</v>
      </c>
      <c r="AQ18" s="11">
        <f t="shared" si="1"/>
        <v>0</v>
      </c>
      <c r="AR18" s="11">
        <f t="shared" si="1"/>
        <v>219670.62</v>
      </c>
      <c r="AS18" s="11">
        <f t="shared" si="1"/>
        <v>0</v>
      </c>
      <c r="AT18" s="11">
        <f t="shared" si="1"/>
        <v>152890.53</v>
      </c>
      <c r="AU18" s="11">
        <f t="shared" ref="AU18:BZ18" si="2">AU208</f>
        <v>0</v>
      </c>
      <c r="AV18" s="11">
        <f t="shared" si="2"/>
        <v>183960.62</v>
      </c>
      <c r="AW18" s="11">
        <f t="shared" si="2"/>
        <v>117180.53</v>
      </c>
      <c r="AX18" s="11">
        <f t="shared" si="2"/>
        <v>0</v>
      </c>
      <c r="AY18" s="11">
        <f t="shared" si="2"/>
        <v>117180.53</v>
      </c>
      <c r="AZ18" s="11">
        <f t="shared" si="2"/>
        <v>66780.09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CA208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DG208</f>
        <v>1986215.7</v>
      </c>
      <c r="DH18" s="12">
        <f t="shared" si="4"/>
        <v>1157387.79</v>
      </c>
      <c r="DI18" s="12">
        <f t="shared" si="4"/>
        <v>1356.55</v>
      </c>
      <c r="DJ18" s="12">
        <f t="shared" si="4"/>
        <v>55.54</v>
      </c>
      <c r="DK18" s="12">
        <f t="shared" si="4"/>
        <v>827471.35999999999</v>
      </c>
      <c r="DL18" s="12">
        <f t="shared" si="4"/>
        <v>0</v>
      </c>
      <c r="DM18" s="12">
        <f t="shared" si="4"/>
        <v>1234.4919123900002</v>
      </c>
      <c r="DN18" s="12">
        <f t="shared" si="4"/>
        <v>0</v>
      </c>
      <c r="DO18" s="12">
        <f t="shared" si="4"/>
        <v>0</v>
      </c>
      <c r="DP18" s="12">
        <f t="shared" si="4"/>
        <v>746026.41</v>
      </c>
      <c r="DQ18" s="12">
        <f t="shared" si="4"/>
        <v>381980.95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511509.3</v>
      </c>
      <c r="EI18" s="12">
        <f t="shared" si="4"/>
        <v>0</v>
      </c>
      <c r="EJ18" s="12">
        <f t="shared" si="4"/>
        <v>3114223.06</v>
      </c>
      <c r="EK18" s="12">
        <f t="shared" si="4"/>
        <v>0</v>
      </c>
      <c r="EL18" s="12">
        <f t="shared" si="4"/>
        <v>2602713.7599999998</v>
      </c>
      <c r="EM18" s="12">
        <f t="shared" ref="EM18:FR18" si="5">EM208</f>
        <v>0</v>
      </c>
      <c r="EN18" s="12">
        <f t="shared" si="5"/>
        <v>1157387.79</v>
      </c>
      <c r="EO18" s="12">
        <f t="shared" si="5"/>
        <v>645878.49</v>
      </c>
      <c r="EP18" s="12">
        <f t="shared" si="5"/>
        <v>0</v>
      </c>
      <c r="EQ18" s="12">
        <f t="shared" si="5"/>
        <v>645878.49</v>
      </c>
      <c r="ER18" s="12">
        <f t="shared" si="5"/>
        <v>511509.3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FS208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ROW(A178)</f>
        <v>178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6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B178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02-01-16</v>
      </c>
      <c r="G22" s="11" t="str">
        <f t="shared" si="7"/>
        <v>Система охранно-тревожной сигнализации</v>
      </c>
      <c r="H22" s="11"/>
      <c r="I22" s="11"/>
      <c r="J22" s="11"/>
      <c r="K22" s="11"/>
      <c r="L22" s="11"/>
      <c r="M22" s="11"/>
      <c r="N22" s="11"/>
      <c r="O22" s="11">
        <f t="shared" ref="O22:AT22" si="8">O178</f>
        <v>199157.65</v>
      </c>
      <c r="P22" s="11">
        <f t="shared" si="8"/>
        <v>183960.62</v>
      </c>
      <c r="Q22" s="11">
        <f t="shared" si="8"/>
        <v>149.36000000000001</v>
      </c>
      <c r="R22" s="11">
        <f t="shared" si="8"/>
        <v>1.01</v>
      </c>
      <c r="S22" s="11">
        <f t="shared" si="8"/>
        <v>15047.67</v>
      </c>
      <c r="T22" s="11">
        <f t="shared" si="8"/>
        <v>0</v>
      </c>
      <c r="U22" s="11">
        <f t="shared" si="8"/>
        <v>1234.4919123900002</v>
      </c>
      <c r="V22" s="11">
        <f t="shared" si="8"/>
        <v>0</v>
      </c>
      <c r="W22" s="11">
        <f t="shared" si="8"/>
        <v>0</v>
      </c>
      <c r="X22" s="11">
        <f t="shared" si="8"/>
        <v>13566.59</v>
      </c>
      <c r="Y22" s="11">
        <f t="shared" si="8"/>
        <v>6946.38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66780.09</v>
      </c>
      <c r="AQ22" s="11">
        <f t="shared" si="8"/>
        <v>0</v>
      </c>
      <c r="AR22" s="11">
        <f t="shared" si="8"/>
        <v>219670.62</v>
      </c>
      <c r="AS22" s="11">
        <f t="shared" si="8"/>
        <v>0</v>
      </c>
      <c r="AT22" s="11">
        <f t="shared" si="8"/>
        <v>152890.53</v>
      </c>
      <c r="AU22" s="11">
        <f t="shared" ref="AU22:BZ22" si="9">AU178</f>
        <v>0</v>
      </c>
      <c r="AV22" s="11">
        <f t="shared" si="9"/>
        <v>183960.62</v>
      </c>
      <c r="AW22" s="11">
        <f t="shared" si="9"/>
        <v>117180.53</v>
      </c>
      <c r="AX22" s="11">
        <f t="shared" si="9"/>
        <v>0</v>
      </c>
      <c r="AY22" s="11">
        <f t="shared" si="9"/>
        <v>117180.53</v>
      </c>
      <c r="AZ22" s="11">
        <f t="shared" si="9"/>
        <v>66780.09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CA178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DG178</f>
        <v>1986215.7</v>
      </c>
      <c r="DH22" s="12">
        <f t="shared" si="11"/>
        <v>1157387.79</v>
      </c>
      <c r="DI22" s="12">
        <f t="shared" si="11"/>
        <v>1356.55</v>
      </c>
      <c r="DJ22" s="12">
        <f t="shared" si="11"/>
        <v>55.54</v>
      </c>
      <c r="DK22" s="12">
        <f t="shared" si="11"/>
        <v>827471.35999999999</v>
      </c>
      <c r="DL22" s="12">
        <f t="shared" si="11"/>
        <v>0</v>
      </c>
      <c r="DM22" s="12">
        <f t="shared" si="11"/>
        <v>1234.4919123900002</v>
      </c>
      <c r="DN22" s="12">
        <f t="shared" si="11"/>
        <v>0</v>
      </c>
      <c r="DO22" s="12">
        <f t="shared" si="11"/>
        <v>0</v>
      </c>
      <c r="DP22" s="12">
        <f t="shared" si="11"/>
        <v>746026.41</v>
      </c>
      <c r="DQ22" s="12">
        <f t="shared" si="11"/>
        <v>381980.95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511509.3</v>
      </c>
      <c r="EI22" s="12">
        <f t="shared" si="11"/>
        <v>0</v>
      </c>
      <c r="EJ22" s="12">
        <f t="shared" si="11"/>
        <v>3114223.06</v>
      </c>
      <c r="EK22" s="12">
        <f t="shared" si="11"/>
        <v>0</v>
      </c>
      <c r="EL22" s="12">
        <f t="shared" si="11"/>
        <v>2602713.7599999998</v>
      </c>
      <c r="EM22" s="12">
        <f t="shared" ref="EM22:FR22" si="12">EM178</f>
        <v>0</v>
      </c>
      <c r="EN22" s="12">
        <f t="shared" si="12"/>
        <v>1157387.79</v>
      </c>
      <c r="EO22" s="12">
        <f t="shared" si="12"/>
        <v>645878.49</v>
      </c>
      <c r="EP22" s="12">
        <f t="shared" si="12"/>
        <v>0</v>
      </c>
      <c r="EQ22" s="12">
        <f t="shared" si="12"/>
        <v>645878.49</v>
      </c>
      <c r="ER22" s="12">
        <f t="shared" si="12"/>
        <v>511509.3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FS178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ROW(A93)</f>
        <v>93</v>
      </c>
      <c r="E24" s="10"/>
      <c r="F24" s="10" t="s">
        <v>3</v>
      </c>
      <c r="G24" s="10" t="s">
        <v>17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B93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/>
      </c>
      <c r="G26" s="11" t="str">
        <f t="shared" si="14"/>
        <v>Оборудование</v>
      </c>
      <c r="H26" s="11"/>
      <c r="I26" s="11"/>
      <c r="J26" s="11"/>
      <c r="K26" s="11"/>
      <c r="L26" s="11"/>
      <c r="M26" s="11"/>
      <c r="N26" s="11"/>
      <c r="O26" s="11">
        <f t="shared" ref="O26:AT26" si="15">O93</f>
        <v>71809.67</v>
      </c>
      <c r="P26" s="11">
        <f t="shared" si="15"/>
        <v>67074.95</v>
      </c>
      <c r="Q26" s="11">
        <f t="shared" si="15"/>
        <v>3.4</v>
      </c>
      <c r="R26" s="11">
        <f t="shared" si="15"/>
        <v>0.32</v>
      </c>
      <c r="S26" s="11">
        <f t="shared" si="15"/>
        <v>4731.32</v>
      </c>
      <c r="T26" s="11">
        <f t="shared" si="15"/>
        <v>0</v>
      </c>
      <c r="U26" s="11">
        <f t="shared" si="15"/>
        <v>366.82416639000002</v>
      </c>
      <c r="V26" s="11">
        <f t="shared" si="15"/>
        <v>0</v>
      </c>
      <c r="W26" s="11">
        <f t="shared" si="15"/>
        <v>0</v>
      </c>
      <c r="X26" s="11">
        <f t="shared" si="15"/>
        <v>4270.62</v>
      </c>
      <c r="Y26" s="11">
        <f t="shared" si="15"/>
        <v>2192.9499999999998</v>
      </c>
      <c r="Z26" s="11">
        <f t="shared" si="15"/>
        <v>0</v>
      </c>
      <c r="AA26" s="11">
        <f t="shared" si="15"/>
        <v>0</v>
      </c>
      <c r="AB26" s="11">
        <f t="shared" si="15"/>
        <v>71809.67</v>
      </c>
      <c r="AC26" s="11">
        <f t="shared" si="15"/>
        <v>67074.95</v>
      </c>
      <c r="AD26" s="11">
        <f t="shared" si="15"/>
        <v>3.4</v>
      </c>
      <c r="AE26" s="11">
        <f t="shared" si="15"/>
        <v>0.32</v>
      </c>
      <c r="AF26" s="11">
        <f t="shared" si="15"/>
        <v>4731.32</v>
      </c>
      <c r="AG26" s="11">
        <f t="shared" si="15"/>
        <v>0</v>
      </c>
      <c r="AH26" s="11">
        <f t="shared" si="15"/>
        <v>366.82416639000002</v>
      </c>
      <c r="AI26" s="11">
        <f t="shared" si="15"/>
        <v>0</v>
      </c>
      <c r="AJ26" s="11">
        <f t="shared" si="15"/>
        <v>0</v>
      </c>
      <c r="AK26" s="11">
        <f t="shared" si="15"/>
        <v>4270.62</v>
      </c>
      <c r="AL26" s="11">
        <f t="shared" si="15"/>
        <v>2192.9499999999998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66748.509999999995</v>
      </c>
      <c r="AQ26" s="11">
        <f t="shared" si="15"/>
        <v>0</v>
      </c>
      <c r="AR26" s="11">
        <f t="shared" si="15"/>
        <v>78273.240000000005</v>
      </c>
      <c r="AS26" s="11">
        <f t="shared" si="15"/>
        <v>0</v>
      </c>
      <c r="AT26" s="11">
        <f t="shared" si="15"/>
        <v>11524.73</v>
      </c>
      <c r="AU26" s="11">
        <f t="shared" ref="AU26:BZ26" si="16">AU93</f>
        <v>0</v>
      </c>
      <c r="AV26" s="11">
        <f t="shared" si="16"/>
        <v>67074.95</v>
      </c>
      <c r="AW26" s="11">
        <f t="shared" si="16"/>
        <v>326.44</v>
      </c>
      <c r="AX26" s="11">
        <f t="shared" si="16"/>
        <v>0</v>
      </c>
      <c r="AY26" s="11">
        <f t="shared" si="16"/>
        <v>326.44</v>
      </c>
      <c r="AZ26" s="11">
        <f t="shared" si="16"/>
        <v>66748.509999999995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66748.509999999995</v>
      </c>
      <c r="BZ26" s="11">
        <f t="shared" si="16"/>
        <v>0</v>
      </c>
      <c r="CA26" s="11">
        <f t="shared" ref="CA26:DF26" si="17">CA93</f>
        <v>78273.240000000005</v>
      </c>
      <c r="CB26" s="11">
        <f t="shared" si="17"/>
        <v>0</v>
      </c>
      <c r="CC26" s="11">
        <f t="shared" si="17"/>
        <v>11524.73</v>
      </c>
      <c r="CD26" s="11">
        <f t="shared" si="17"/>
        <v>0</v>
      </c>
      <c r="CE26" s="11">
        <f t="shared" si="17"/>
        <v>67074.95</v>
      </c>
      <c r="CF26" s="11">
        <f t="shared" si="17"/>
        <v>326.44000000000233</v>
      </c>
      <c r="CG26" s="11">
        <f t="shared" si="17"/>
        <v>0</v>
      </c>
      <c r="CH26" s="11">
        <f t="shared" si="17"/>
        <v>326.44000000000233</v>
      </c>
      <c r="CI26" s="11">
        <f t="shared" si="17"/>
        <v>66748.509999999995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DG93</f>
        <v>774800.87</v>
      </c>
      <c r="DH26" s="12">
        <f t="shared" si="18"/>
        <v>514577.1</v>
      </c>
      <c r="DI26" s="12">
        <f t="shared" si="18"/>
        <v>48.5</v>
      </c>
      <c r="DJ26" s="12">
        <f t="shared" si="18"/>
        <v>17.600000000000001</v>
      </c>
      <c r="DK26" s="12">
        <f t="shared" si="18"/>
        <v>260175.27</v>
      </c>
      <c r="DL26" s="12">
        <f t="shared" si="18"/>
        <v>0</v>
      </c>
      <c r="DM26" s="12">
        <f t="shared" si="18"/>
        <v>366.82416639000002</v>
      </c>
      <c r="DN26" s="12">
        <f t="shared" si="18"/>
        <v>0</v>
      </c>
      <c r="DO26" s="12">
        <f t="shared" si="18"/>
        <v>0</v>
      </c>
      <c r="DP26" s="12">
        <f t="shared" si="18"/>
        <v>234841.5</v>
      </c>
      <c r="DQ26" s="12">
        <f t="shared" si="18"/>
        <v>120589.95</v>
      </c>
      <c r="DR26" s="12">
        <f t="shared" si="18"/>
        <v>0</v>
      </c>
      <c r="DS26" s="12">
        <f t="shared" si="18"/>
        <v>0</v>
      </c>
      <c r="DT26" s="12">
        <f t="shared" si="18"/>
        <v>774800.87</v>
      </c>
      <c r="DU26" s="12">
        <f t="shared" si="18"/>
        <v>514577.1</v>
      </c>
      <c r="DV26" s="12">
        <f t="shared" si="18"/>
        <v>48.5</v>
      </c>
      <c r="DW26" s="12">
        <f t="shared" si="18"/>
        <v>17.600000000000001</v>
      </c>
      <c r="DX26" s="12">
        <f t="shared" si="18"/>
        <v>260175.27</v>
      </c>
      <c r="DY26" s="12">
        <f t="shared" si="18"/>
        <v>0</v>
      </c>
      <c r="DZ26" s="12">
        <f t="shared" si="18"/>
        <v>366.82416639000002</v>
      </c>
      <c r="EA26" s="12">
        <f t="shared" si="18"/>
        <v>0</v>
      </c>
      <c r="EB26" s="12">
        <f t="shared" si="18"/>
        <v>0</v>
      </c>
      <c r="EC26" s="12">
        <f t="shared" si="18"/>
        <v>234841.5</v>
      </c>
      <c r="ED26" s="12">
        <f t="shared" si="18"/>
        <v>120589.95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511293.61</v>
      </c>
      <c r="EI26" s="12">
        <f t="shared" si="18"/>
        <v>0</v>
      </c>
      <c r="EJ26" s="12">
        <f t="shared" si="18"/>
        <v>1130232.3200000001</v>
      </c>
      <c r="EK26" s="12">
        <f t="shared" si="18"/>
        <v>0</v>
      </c>
      <c r="EL26" s="12">
        <f t="shared" si="18"/>
        <v>618938.71</v>
      </c>
      <c r="EM26" s="12">
        <f t="shared" ref="EM26:FR26" si="19">EM93</f>
        <v>0</v>
      </c>
      <c r="EN26" s="12">
        <f t="shared" si="19"/>
        <v>514577.1</v>
      </c>
      <c r="EO26" s="12">
        <f t="shared" si="19"/>
        <v>3283.49</v>
      </c>
      <c r="EP26" s="12">
        <f t="shared" si="19"/>
        <v>0</v>
      </c>
      <c r="EQ26" s="12">
        <f t="shared" si="19"/>
        <v>3283.49</v>
      </c>
      <c r="ER26" s="12">
        <f t="shared" si="19"/>
        <v>511293.61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511293.61</v>
      </c>
      <c r="FR26" s="12">
        <f t="shared" si="19"/>
        <v>0</v>
      </c>
      <c r="FS26" s="12">
        <f t="shared" ref="FS26:GX26" si="20">FS93</f>
        <v>1130232.3200000001</v>
      </c>
      <c r="FT26" s="12">
        <f t="shared" si="20"/>
        <v>0</v>
      </c>
      <c r="FU26" s="12">
        <f t="shared" si="20"/>
        <v>618938.71</v>
      </c>
      <c r="FV26" s="12">
        <f t="shared" si="20"/>
        <v>0</v>
      </c>
      <c r="FW26" s="12">
        <f t="shared" si="20"/>
        <v>514577.1</v>
      </c>
      <c r="FX26" s="12">
        <f t="shared" si="20"/>
        <v>3283.4899999999907</v>
      </c>
      <c r="FY26" s="12">
        <f t="shared" si="20"/>
        <v>0</v>
      </c>
      <c r="FZ26" s="12">
        <f t="shared" si="20"/>
        <v>3283.4899999999907</v>
      </c>
      <c r="GA26" s="12">
        <f t="shared" si="20"/>
        <v>511293.61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ROW(SmtRes!A5)</f>
        <v>5</v>
      </c>
      <c r="D28" s="2">
        <f>ROW(EtalonRes!A7)</f>
        <v>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9" si="21">ROUND(CP28,2)</f>
        <v>136.61000000000001</v>
      </c>
      <c r="P28" s="2">
        <f>ROUND((ROUND((AC28*AW28*I28),2)*BC28),2)</f>
        <v>34.869999999999997</v>
      </c>
      <c r="Q28" s="2">
        <f>(ROUND((ROUND((((ET28*1.1))*AV28*I28),2)*BB28),2)+ROUND((ROUND(((AE28-((EU28*1.1)))*AV28*I28),2)*BS28),2))</f>
        <v>0</v>
      </c>
      <c r="R28" s="2">
        <f>(ROUND((ROUND((((EU28*1.1))*AV28*I28),2)*BS28),2)+ROUND((ROUND(((AE28-((EU28*1.1)))*AV28*I28),2)*BS28),2))</f>
        <v>0</v>
      </c>
      <c r="S28" s="2">
        <f t="shared" ref="S28:S59" si="22">ROUND((ROUND((AF28*AV28*I28),2)*BA28),2)</f>
        <v>101.74</v>
      </c>
      <c r="T28" s="2">
        <f t="shared" ref="T28:T59" si="23">ROUND(CU28*I28,2)</f>
        <v>0</v>
      </c>
      <c r="U28" s="2">
        <f t="shared" ref="U28:U59" si="24">CV28*I28</f>
        <v>8.0619000000000014</v>
      </c>
      <c r="V28" s="2">
        <f t="shared" ref="V28:V59" si="25">CW28*I28</f>
        <v>0</v>
      </c>
      <c r="W28" s="2">
        <f t="shared" ref="W28:W59" si="26">ROUND(CX28*I28,2)</f>
        <v>0</v>
      </c>
      <c r="X28" s="2">
        <f>(ROUND((((S28+ROUND((ROUND((((EU28*1.1))*AV28*I28),2)*BS28),2))*AT28)/100),2)+ROUND(((ROUND((ROUND(((AE28-((EU28*1.1)))*AV28*I28),2)*BS28),2)*AT28)/100),2))</f>
        <v>96.65</v>
      </c>
      <c r="Y28" s="2">
        <f>(ROUND((((S28+ROUND((ROUND((((EU28*1.1))*AV28*I28),2)*BS28),2))*AU28)/100),2)+ROUND(((ROUND((ROUND(((AE28-((EU28*1.1)))*AV28*I28),2)*BS28),2)*AU28)/100),2))</f>
        <v>53.92</v>
      </c>
      <c r="Z28" s="2"/>
      <c r="AA28" s="2">
        <v>60258621</v>
      </c>
      <c r="AB28" s="2">
        <f t="shared" ref="AB28:AB59" si="27">ROUND((AC28+AD28+AF28),6)</f>
        <v>132.04400000000001</v>
      </c>
      <c r="AC28" s="2">
        <f>ROUND(((ES28*1)),6)</f>
        <v>34.869999999999997</v>
      </c>
      <c r="AD28" s="2">
        <f>ROUND(((((ET28*1.1))-((EU28*1.1)))+AE28),6)</f>
        <v>0</v>
      </c>
      <c r="AE28" s="2">
        <f>ROUND(((EU28*1.1)),6)</f>
        <v>0</v>
      </c>
      <c r="AF28" s="2">
        <f>ROUND(((EV28*1.1)),6)</f>
        <v>97.174000000000007</v>
      </c>
      <c r="AG28" s="2">
        <f t="shared" ref="AG28:AG59" si="28">ROUND((AP28),6)</f>
        <v>0</v>
      </c>
      <c r="AH28" s="2">
        <f>((EW28*1.1))</f>
        <v>7.7000000000000011</v>
      </c>
      <c r="AI28" s="2">
        <f>((EX28*1.1))</f>
        <v>0</v>
      </c>
      <c r="AJ28" s="2">
        <f t="shared" ref="AJ28:AJ59" si="29">(AS28)</f>
        <v>0</v>
      </c>
      <c r="AK28" s="2">
        <v>123.21</v>
      </c>
      <c r="AL28" s="2">
        <v>34.869999999999997</v>
      </c>
      <c r="AM28" s="2">
        <v>0</v>
      </c>
      <c r="AN28" s="2">
        <v>0</v>
      </c>
      <c r="AO28" s="2">
        <v>88.34</v>
      </c>
      <c r="AP28" s="2">
        <v>0</v>
      </c>
      <c r="AQ28" s="2">
        <v>7</v>
      </c>
      <c r="AR28" s="2">
        <v>0</v>
      </c>
      <c r="AS28" s="2">
        <v>0</v>
      </c>
      <c r="AT28" s="2">
        <v>95</v>
      </c>
      <c r="AU28" s="2">
        <v>53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22</v>
      </c>
      <c r="BK28" s="2"/>
      <c r="BL28" s="2"/>
      <c r="BM28" s="2">
        <v>69</v>
      </c>
      <c r="BN28" s="2">
        <v>58973116</v>
      </c>
      <c r="BO28" s="2" t="s">
        <v>19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95</v>
      </c>
      <c r="CA28" s="2">
        <v>53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363</v>
      </c>
      <c r="CO28" s="2">
        <v>0</v>
      </c>
      <c r="CP28" s="2">
        <f t="shared" ref="CP28:CP59" si="30">(P28+Q28+S28)</f>
        <v>136.60999999999999</v>
      </c>
      <c r="CQ28" s="2">
        <f>ROUND((ROUND((AC28*AW28*1),2)*BC28),2)</f>
        <v>34.869999999999997</v>
      </c>
      <c r="CR28" s="2">
        <f>(ROUND((ROUND((((ET28*1.1))*AV28*1),2)*BB28),2)+ROUND((ROUND(((AE28-((EU28*1.1)))*AV28*1),2)*BS28),2))</f>
        <v>0</v>
      </c>
      <c r="CS28" s="2">
        <f>(ROUND((ROUND((((EU28*1.1))*AV28*1),2)*BS28),2)+ROUND((ROUND(((AE28-((EU28*1.1)))*AV28*1),2)*BS28),2))</f>
        <v>0</v>
      </c>
      <c r="CT28" s="2">
        <f t="shared" ref="CT28:CT59" si="31">ROUND((ROUND((AF28*AV28*1),2)*BA28),2)</f>
        <v>101.74</v>
      </c>
      <c r="CU28" s="2">
        <f t="shared" ref="CU28:CU59" si="32">AG28</f>
        <v>0</v>
      </c>
      <c r="CV28" s="2">
        <f t="shared" ref="CV28:CV59" si="33">(AH28*AV28)</f>
        <v>8.0619000000000014</v>
      </c>
      <c r="CW28" s="2">
        <f t="shared" ref="CW28:CW59" si="34">AI28</f>
        <v>0</v>
      </c>
      <c r="CX28" s="2">
        <f t="shared" ref="CX28:CX59" si="35">AJ28</f>
        <v>0</v>
      </c>
      <c r="CY28" s="2">
        <f>(ROUND((((S28+ROUND((ROUND((((EU28*1.1))*AV28*1),2)*BS28),2))*AT28)/100),2)+ROUND(((ROUND((ROUND(((AE28-((EU28*1.1)))*AV28*1),2)*BS28),2)*AT28)/100),2))</f>
        <v>96.65</v>
      </c>
      <c r="CZ28" s="2">
        <f>(ROUND((((S28+ROUND((ROUND((((EU28*1.1))*AV28*1),2)*BS28),2))*AU28)/100),2)+ROUND(((ROUND((ROUND(((AE28-((EU28*1.1)))*AV28*1),2)*BS28),2)*AU28)/100),2))</f>
        <v>53.92</v>
      </c>
      <c r="DA28" s="2"/>
      <c r="DB28" s="2">
        <v>1</v>
      </c>
      <c r="DC28" s="2" t="s">
        <v>3</v>
      </c>
      <c r="DD28" s="2" t="s">
        <v>23</v>
      </c>
      <c r="DE28" s="2" t="s">
        <v>24</v>
      </c>
      <c r="DF28" s="2" t="s">
        <v>24</v>
      </c>
      <c r="DG28" s="2" t="s">
        <v>24</v>
      </c>
      <c r="DH28" s="2" t="s">
        <v>3</v>
      </c>
      <c r="DI28" s="2" t="s">
        <v>24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21</v>
      </c>
      <c r="DW28" s="2" t="s">
        <v>21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60088533</v>
      </c>
      <c r="EF28" s="2">
        <v>40</v>
      </c>
      <c r="EG28" s="2" t="s">
        <v>25</v>
      </c>
      <c r="EH28" s="2">
        <v>0</v>
      </c>
      <c r="EI28" s="2" t="s">
        <v>3</v>
      </c>
      <c r="EJ28" s="2">
        <v>2</v>
      </c>
      <c r="EK28" s="2">
        <v>69</v>
      </c>
      <c r="EL28" s="2" t="s">
        <v>26</v>
      </c>
      <c r="EM28" s="2" t="s">
        <v>27</v>
      </c>
      <c r="EN28" s="2"/>
      <c r="EO28" s="2" t="s">
        <v>28</v>
      </c>
      <c r="EP28" s="2"/>
      <c r="EQ28" s="2">
        <v>0</v>
      </c>
      <c r="ER28" s="2">
        <v>123.21</v>
      </c>
      <c r="ES28" s="2">
        <v>34.869999999999997</v>
      </c>
      <c r="ET28" s="2">
        <v>0</v>
      </c>
      <c r="EU28" s="2">
        <v>0</v>
      </c>
      <c r="EV28" s="2">
        <v>88.34</v>
      </c>
      <c r="EW28" s="2">
        <v>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95</v>
      </c>
      <c r="FY28" s="2">
        <v>53</v>
      </c>
      <c r="FZ28" s="2"/>
      <c r="GA28" s="2" t="s">
        <v>3</v>
      </c>
      <c r="GB28" s="2"/>
      <c r="GC28" s="2"/>
      <c r="GD28" s="2">
        <v>1</v>
      </c>
      <c r="GE28" s="2"/>
      <c r="GF28" s="2">
        <v>1652728637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6">ROUND(IF(AND(BH28=3,BI28=3,FS28&lt;&gt;0),P28,0),2)</f>
        <v>0</v>
      </c>
      <c r="GM28" s="2">
        <f t="shared" ref="GM28:GM59" si="37">ROUND(O28+X28+Y28,2)+GX28</f>
        <v>287.18</v>
      </c>
      <c r="GN28" s="2">
        <f t="shared" ref="GN28:GN59" si="38">IF(OR(BI28=0,BI28=1),GM28-GX28,0)</f>
        <v>0</v>
      </c>
      <c r="GO28" s="2">
        <f t="shared" ref="GO28:GO59" si="39">IF(BI28=2,GM28-GX28,0)</f>
        <v>287.18</v>
      </c>
      <c r="GP28" s="2">
        <f t="shared" ref="GP28:GP59" si="40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1">ROUND((GT28),6)</f>
        <v>0</v>
      </c>
      <c r="GW28" s="2">
        <v>1</v>
      </c>
      <c r="GX28" s="2">
        <f t="shared" ref="GX28:GX59" si="42">ROUND(HC28*I28,2)</f>
        <v>0</v>
      </c>
      <c r="GY28" s="2"/>
      <c r="GZ28" s="2"/>
      <c r="HA28" s="2">
        <v>0</v>
      </c>
      <c r="HB28" s="2">
        <v>0</v>
      </c>
      <c r="HC28" s="2">
        <f t="shared" ref="HC28:HC59" si="43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ROW(SmtRes!A10)</f>
        <v>10</v>
      </c>
      <c r="D29" s="3">
        <f>ROW(EtalonRes!A14)</f>
        <v>14</v>
      </c>
      <c r="E29" s="3" t="s">
        <v>18</v>
      </c>
      <c r="F29" s="3" t="s">
        <v>19</v>
      </c>
      <c r="G29" s="3" t="s">
        <v>20</v>
      </c>
      <c r="H29" s="3" t="s">
        <v>21</v>
      </c>
      <c r="I29" s="3">
        <v>1</v>
      </c>
      <c r="J29" s="3">
        <v>0</v>
      </c>
      <c r="K29" s="3">
        <v>1</v>
      </c>
      <c r="O29" s="3">
        <f t="shared" si="21"/>
        <v>5990.45</v>
      </c>
      <c r="P29" s="3">
        <f>ROUND((ROUND((AC29*AW29*I29),2)*BC29),2)</f>
        <v>395.77</v>
      </c>
      <c r="Q29" s="3">
        <f>(ROUND((ROUND((((ET29*1.1))*AV29*I29),2)*BB29),2)+ROUND((ROUND(((AE29-((EU29*1.1)))*AV29*I29),2)*BS29),2))</f>
        <v>0</v>
      </c>
      <c r="R29" s="3">
        <f>(ROUND((ROUND((((EU29*1.1))*AV29*I29),2)*BS29),2)+ROUND((ROUND(((AE29-((EU29*1.1)))*AV29*I29),2)*BS29),2))</f>
        <v>0</v>
      </c>
      <c r="S29" s="3">
        <f t="shared" si="22"/>
        <v>5594.68</v>
      </c>
      <c r="T29" s="3">
        <f t="shared" si="23"/>
        <v>0</v>
      </c>
      <c r="U29" s="3">
        <f t="shared" si="24"/>
        <v>8.0619000000000014</v>
      </c>
      <c r="V29" s="3">
        <f t="shared" si="25"/>
        <v>0</v>
      </c>
      <c r="W29" s="3">
        <f t="shared" si="26"/>
        <v>0</v>
      </c>
      <c r="X29" s="3">
        <f>(ROUND((((S29+ROUND((ROUND((((EU29*1.1))*AV29*I29),2)*BS29),2))*AT29)/100),2)+ROUND(((ROUND((ROUND(((AE29-((EU29*1.1)))*AV29*I29),2)*BS29),2)*AT29)/100),2))</f>
        <v>5314.95</v>
      </c>
      <c r="Y29" s="3">
        <f>(ROUND((((S29+ROUND((ROUND((((EU29*1.1))*AV29*I29),2)*BS29),2))*AU29)/100),2)+ROUND(((ROUND((ROUND(((AE29-((EU29*1.1)))*AV29*I29),2)*BS29),2)*AU29)/100),2))</f>
        <v>2965.18</v>
      </c>
      <c r="AA29" s="3">
        <v>60258618</v>
      </c>
      <c r="AB29" s="3">
        <f t="shared" si="27"/>
        <v>132.04400000000001</v>
      </c>
      <c r="AC29" s="3">
        <f>ROUND(((ES29*1)),6)</f>
        <v>34.869999999999997</v>
      </c>
      <c r="AD29" s="3">
        <f>ROUND(((((ET29*1.1))-((EU29*1.1)))+AE29),6)</f>
        <v>0</v>
      </c>
      <c r="AE29" s="3">
        <f>ROUND(((EU29*1.1)),6)</f>
        <v>0</v>
      </c>
      <c r="AF29" s="3">
        <f>ROUND(((EV29*1.1)),6)</f>
        <v>97.174000000000007</v>
      </c>
      <c r="AG29" s="3">
        <f t="shared" si="28"/>
        <v>0</v>
      </c>
      <c r="AH29" s="3">
        <f>((EW29*1.1))</f>
        <v>7.7000000000000011</v>
      </c>
      <c r="AI29" s="3">
        <f>((EX29*1.1))</f>
        <v>0</v>
      </c>
      <c r="AJ29" s="3">
        <f t="shared" si="29"/>
        <v>0</v>
      </c>
      <c r="AK29" s="3">
        <v>123.21</v>
      </c>
      <c r="AL29" s="3">
        <v>34.869999999999997</v>
      </c>
      <c r="AM29" s="3">
        <v>0</v>
      </c>
      <c r="AN29" s="3">
        <v>0</v>
      </c>
      <c r="AO29" s="3">
        <v>88.34</v>
      </c>
      <c r="AP29" s="3">
        <v>0</v>
      </c>
      <c r="AQ29" s="3">
        <v>7</v>
      </c>
      <c r="AR29" s="3">
        <v>0</v>
      </c>
      <c r="AS29" s="3">
        <v>0</v>
      </c>
      <c r="AT29" s="3">
        <v>95</v>
      </c>
      <c r="AU29" s="3">
        <v>53</v>
      </c>
      <c r="AV29" s="3">
        <v>1.0469999999999999</v>
      </c>
      <c r="AW29" s="3">
        <v>1</v>
      </c>
      <c r="AZ29" s="3">
        <v>1</v>
      </c>
      <c r="BA29" s="3">
        <v>54.99</v>
      </c>
      <c r="BB29" s="3">
        <v>1</v>
      </c>
      <c r="BC29" s="3">
        <v>11.35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22</v>
      </c>
      <c r="BM29" s="3">
        <v>69</v>
      </c>
      <c r="BN29" s="3">
        <v>58973116</v>
      </c>
      <c r="BO29" s="3" t="s">
        <v>19</v>
      </c>
      <c r="BP29" s="3">
        <v>1</v>
      </c>
      <c r="BQ29" s="3">
        <v>40</v>
      </c>
      <c r="BR29" s="3">
        <v>0</v>
      </c>
      <c r="BS29" s="3">
        <v>54.99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95</v>
      </c>
      <c r="CA29" s="3">
        <v>53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363</v>
      </c>
      <c r="CO29" s="3">
        <v>0</v>
      </c>
      <c r="CP29" s="3">
        <f t="shared" si="30"/>
        <v>5990.4500000000007</v>
      </c>
      <c r="CQ29" s="3">
        <f>ROUND((ROUND((AC29*AW29*1),2)*BC29),2)</f>
        <v>395.77</v>
      </c>
      <c r="CR29" s="3">
        <f>(ROUND((ROUND((((ET29*1.1))*AV29*1),2)*BB29),2)+ROUND((ROUND(((AE29-((EU29*1.1)))*AV29*1),2)*BS29),2))</f>
        <v>0</v>
      </c>
      <c r="CS29" s="3">
        <f>(ROUND((ROUND((((EU29*1.1))*AV29*1),2)*BS29),2)+ROUND((ROUND(((AE29-((EU29*1.1)))*AV29*1),2)*BS29),2))</f>
        <v>0</v>
      </c>
      <c r="CT29" s="3">
        <f t="shared" si="31"/>
        <v>5594.68</v>
      </c>
      <c r="CU29" s="3">
        <f t="shared" si="32"/>
        <v>0</v>
      </c>
      <c r="CV29" s="3">
        <f t="shared" si="33"/>
        <v>8.0619000000000014</v>
      </c>
      <c r="CW29" s="3">
        <f t="shared" si="34"/>
        <v>0</v>
      </c>
      <c r="CX29" s="3">
        <f t="shared" si="35"/>
        <v>0</v>
      </c>
      <c r="CY29" s="3">
        <f>(ROUND((((S29+ROUND((ROUND((((EU29*1.1))*AV29*1),2)*BS29),2))*AT29)/100),2)+ROUND(((ROUND((ROUND(((AE29-((EU29*1.1)))*AV29*1),2)*BS29),2)*AT29)/100),2))</f>
        <v>5314.95</v>
      </c>
      <c r="CZ29" s="3">
        <f>(ROUND((((S29+ROUND((ROUND((((EU29*1.1))*AV29*1),2)*BS29),2))*AU29)/100),2)+ROUND(((ROUND((ROUND(((AE29-((EU29*1.1)))*AV29*1),2)*BS29),2)*AU29)/100),2))</f>
        <v>2965.18</v>
      </c>
      <c r="DB29" s="3">
        <v>2</v>
      </c>
      <c r="DC29" s="3" t="s">
        <v>3</v>
      </c>
      <c r="DD29" s="3" t="s">
        <v>23</v>
      </c>
      <c r="DE29" s="3" t="s">
        <v>24</v>
      </c>
      <c r="DF29" s="3" t="s">
        <v>24</v>
      </c>
      <c r="DG29" s="3" t="s">
        <v>24</v>
      </c>
      <c r="DH29" s="3" t="s">
        <v>3</v>
      </c>
      <c r="DI29" s="3" t="s">
        <v>24</v>
      </c>
      <c r="DJ29" s="3" t="s">
        <v>24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21</v>
      </c>
      <c r="DW29" s="3" t="s">
        <v>21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60088533</v>
      </c>
      <c r="EF29" s="3">
        <v>40</v>
      </c>
      <c r="EG29" s="3" t="s">
        <v>25</v>
      </c>
      <c r="EH29" s="3">
        <v>0</v>
      </c>
      <c r="EI29" s="3" t="s">
        <v>3</v>
      </c>
      <c r="EJ29" s="3">
        <v>2</v>
      </c>
      <c r="EK29" s="3">
        <v>69</v>
      </c>
      <c r="EL29" s="3" t="s">
        <v>26</v>
      </c>
      <c r="EM29" s="3" t="s">
        <v>27</v>
      </c>
      <c r="EO29" s="3" t="s">
        <v>28</v>
      </c>
      <c r="EQ29" s="3">
        <v>0</v>
      </c>
      <c r="ER29" s="3">
        <v>123.21</v>
      </c>
      <c r="ES29" s="3">
        <v>34.869999999999997</v>
      </c>
      <c r="ET29" s="3">
        <v>0</v>
      </c>
      <c r="EU29" s="3">
        <v>0</v>
      </c>
      <c r="EV29" s="3">
        <v>88.34</v>
      </c>
      <c r="EW29" s="3">
        <v>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95</v>
      </c>
      <c r="FY29" s="3">
        <v>53</v>
      </c>
      <c r="GA29" s="3" t="s">
        <v>3</v>
      </c>
      <c r="GD29" s="3">
        <v>1</v>
      </c>
      <c r="GF29" s="3">
        <v>1652728637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6"/>
        <v>0</v>
      </c>
      <c r="GM29" s="3">
        <f t="shared" si="37"/>
        <v>14270.58</v>
      </c>
      <c r="GN29" s="3">
        <f t="shared" si="38"/>
        <v>0</v>
      </c>
      <c r="GO29" s="3">
        <f t="shared" si="39"/>
        <v>14270.58</v>
      </c>
      <c r="GP29" s="3">
        <f t="shared" si="40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1"/>
        <v>0</v>
      </c>
      <c r="GW29" s="3">
        <v>1</v>
      </c>
      <c r="GX29" s="3">
        <f t="shared" si="42"/>
        <v>0</v>
      </c>
      <c r="HA29" s="3">
        <v>0</v>
      </c>
      <c r="HB29" s="3">
        <v>0</v>
      </c>
      <c r="HC29" s="3">
        <f t="shared" si="43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29</v>
      </c>
      <c r="F30" s="2" t="s">
        <v>30</v>
      </c>
      <c r="G30" s="2" t="s">
        <v>31</v>
      </c>
      <c r="H30" s="2" t="s">
        <v>32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8561.59</v>
      </c>
      <c r="P30" s="2">
        <f>ROUND((ROUND((AC30*I30),2)*BC30),2)</f>
        <v>8561.59</v>
      </c>
      <c r="Q30" s="2">
        <f>(ROUND((ROUND(((ET30)*AV30*I30),2)*BB30),2)+ROUND((ROUND(((AE30-(EU30))*AV30*I30),2)*BS30),2))</f>
        <v>0</v>
      </c>
      <c r="R30" s="2">
        <f>(ROUND((ROUND(((EU30)*AV30*I30),2)*BS30),2)+ROUND((ROUND(((AE30-(EU30))*AV30*I30),2)*BS30),2))</f>
        <v>0</v>
      </c>
      <c r="S30" s="2">
        <f t="shared" si="22"/>
        <v>0</v>
      </c>
      <c r="T30" s="2">
        <f t="shared" si="23"/>
        <v>0</v>
      </c>
      <c r="U30" s="2">
        <f t="shared" si="24"/>
        <v>0</v>
      </c>
      <c r="V30" s="2">
        <f t="shared" si="25"/>
        <v>0</v>
      </c>
      <c r="W30" s="2">
        <f t="shared" si="26"/>
        <v>0</v>
      </c>
      <c r="X30" s="2">
        <f>(ROUND((((S30+ROUND((ROUND(((EU30)*AV30*I30),2)*BS30),2))*AT30)/100),2)+ROUND(((ROUND((ROUND(((AE30-(EU30))*AV30*I30),2)*BS30),2)*AT30)/100),2))</f>
        <v>0</v>
      </c>
      <c r="Y30" s="2">
        <f>(ROUND((((S30+ROUND((ROUND(((EU30)*AV30*I30),2)*BS30),2))*AU30)/100),2)+ROUND(((ROUND((ROUND(((AE30-(EU30))*AV30*I30),2)*BS30),2)*AU30)/100),2))</f>
        <v>0</v>
      </c>
      <c r="Z30" s="2"/>
      <c r="AA30" s="2">
        <v>60258621</v>
      </c>
      <c r="AB30" s="2">
        <f t="shared" si="27"/>
        <v>8561.59</v>
      </c>
      <c r="AC30" s="2">
        <f>ROUND((ES30),6)</f>
        <v>8561.59</v>
      </c>
      <c r="AD30" s="2">
        <f>ROUND((((ET30)-(EU30))+AE30),6)</f>
        <v>0</v>
      </c>
      <c r="AE30" s="2">
        <f t="shared" ref="AE30:AF33" si="44">ROUND((EU30),6)</f>
        <v>0</v>
      </c>
      <c r="AF30" s="2">
        <f t="shared" si="44"/>
        <v>0</v>
      </c>
      <c r="AG30" s="2">
        <f t="shared" si="28"/>
        <v>0</v>
      </c>
      <c r="AH30" s="2">
        <f t="shared" ref="AH30:AI33" si="45">(EW30)</f>
        <v>0</v>
      </c>
      <c r="AI30" s="2">
        <f t="shared" si="45"/>
        <v>0</v>
      </c>
      <c r="AJ30" s="2">
        <f t="shared" si="29"/>
        <v>0</v>
      </c>
      <c r="AK30" s="2">
        <v>8561.59</v>
      </c>
      <c r="AL30" s="2">
        <v>8561.59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3</v>
      </c>
      <c r="BJ30" s="2" t="s">
        <v>3</v>
      </c>
      <c r="BK30" s="2"/>
      <c r="BL30" s="2"/>
      <c r="BM30" s="2">
        <v>746</v>
      </c>
      <c r="BN30" s="2">
        <v>0</v>
      </c>
      <c r="BO30" s="2" t="s">
        <v>3</v>
      </c>
      <c r="BP30" s="2">
        <v>0</v>
      </c>
      <c r="BQ30" s="2">
        <v>130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 t="shared" si="30"/>
        <v>8561.59</v>
      </c>
      <c r="CQ30" s="2">
        <f>ROUND((ROUND((AC30*1),2)*BC30),2)</f>
        <v>8561.59</v>
      </c>
      <c r="CR30" s="2">
        <f>(ROUND((ROUND(((ET30)*AV30*1),2)*BB30),2)+ROUND((ROUND(((AE30-(EU30))*AV30*1),2)*BS30),2))</f>
        <v>0</v>
      </c>
      <c r="CS30" s="2">
        <f>(ROUND((ROUND(((EU30)*AV30*1),2)*BS30),2)+ROUND((ROUND(((AE30-(EU30))*AV30*1),2)*BS30),2))</f>
        <v>0</v>
      </c>
      <c r="CT30" s="2">
        <f t="shared" si="31"/>
        <v>0</v>
      </c>
      <c r="CU30" s="2">
        <f t="shared" si="32"/>
        <v>0</v>
      </c>
      <c r="CV30" s="2">
        <f t="shared" si="33"/>
        <v>0</v>
      </c>
      <c r="CW30" s="2">
        <f t="shared" si="34"/>
        <v>0</v>
      </c>
      <c r="CX30" s="2">
        <f t="shared" si="35"/>
        <v>0</v>
      </c>
      <c r="CY30" s="2">
        <f>(ROUND((((S30+ROUND((ROUND(((EU30)*AV30*1),2)*BS30),2))*AT30)/100),2)+ROUND(((ROUND((ROUND(((AE30-(EU30))*AV30*1),2)*BS30),2)*AT30)/100),2))</f>
        <v>0</v>
      </c>
      <c r="CZ30" s="2">
        <f>(ROUND((((S30+ROUND((ROUND(((EU30)*AV30*1),2)*BS30),2))*AU30)/100),2)+ROUND(((ROUND((ROUND(((AE30-(EU30))*AV30*1),2)*BS30),2)*AU30)/100),2))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32</v>
      </c>
      <c r="DW30" s="2" t="s">
        <v>32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60088638</v>
      </c>
      <c r="EF30" s="2">
        <v>130</v>
      </c>
      <c r="EG30" s="2" t="s">
        <v>33</v>
      </c>
      <c r="EH30" s="2">
        <v>0</v>
      </c>
      <c r="EI30" s="2" t="s">
        <v>3</v>
      </c>
      <c r="EJ30" s="2">
        <v>3</v>
      </c>
      <c r="EK30" s="2">
        <v>746</v>
      </c>
      <c r="EL30" s="2" t="s">
        <v>34</v>
      </c>
      <c r="EM30" s="2" t="s">
        <v>35</v>
      </c>
      <c r="EN30" s="2"/>
      <c r="EO30" s="2" t="s">
        <v>3</v>
      </c>
      <c r="EP30" s="2"/>
      <c r="EQ30" s="2">
        <v>0</v>
      </c>
      <c r="ER30" s="2">
        <v>0</v>
      </c>
      <c r="ES30" s="2">
        <v>8561.59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f>P30</f>
        <v>8561.59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36</v>
      </c>
      <c r="GB30" s="2"/>
      <c r="GC30" s="2"/>
      <c r="GD30" s="2">
        <v>1</v>
      </c>
      <c r="GE30" s="2"/>
      <c r="GF30" s="2">
        <v>521336863</v>
      </c>
      <c r="GG30" s="2">
        <v>2</v>
      </c>
      <c r="GH30" s="2">
        <v>4</v>
      </c>
      <c r="GI30" s="2">
        <v>-2</v>
      </c>
      <c r="GJ30" s="2">
        <v>0</v>
      </c>
      <c r="GK30" s="2">
        <v>0</v>
      </c>
      <c r="GL30" s="2">
        <f t="shared" si="36"/>
        <v>0</v>
      </c>
      <c r="GM30" s="2">
        <f t="shared" si="37"/>
        <v>8561.59</v>
      </c>
      <c r="GN30" s="2">
        <f t="shared" si="38"/>
        <v>0</v>
      </c>
      <c r="GO30" s="2">
        <f t="shared" si="39"/>
        <v>0</v>
      </c>
      <c r="GP30" s="2">
        <f t="shared" si="40"/>
        <v>0</v>
      </c>
      <c r="GQ30" s="2"/>
      <c r="GR30" s="2">
        <v>0</v>
      </c>
      <c r="GS30" s="2">
        <v>2</v>
      </c>
      <c r="GT30" s="2">
        <v>0</v>
      </c>
      <c r="GU30" s="2" t="s">
        <v>3</v>
      </c>
      <c r="GV30" s="2">
        <f t="shared" si="41"/>
        <v>0</v>
      </c>
      <c r="GW30" s="2">
        <v>1</v>
      </c>
      <c r="GX30" s="2">
        <f t="shared" si="42"/>
        <v>0</v>
      </c>
      <c r="GY30" s="2"/>
      <c r="GZ30" s="2"/>
      <c r="HA30" s="2">
        <v>0</v>
      </c>
      <c r="HB30" s="2">
        <v>0</v>
      </c>
      <c r="HC30" s="2">
        <f t="shared" si="43"/>
        <v>0</v>
      </c>
      <c r="HD30" s="2"/>
      <c r="HE30" s="2" t="s">
        <v>37</v>
      </c>
      <c r="HF30" s="2" t="s">
        <v>38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E31" s="3" t="s">
        <v>29</v>
      </c>
      <c r="F31" s="3" t="s">
        <v>30</v>
      </c>
      <c r="G31" s="3" t="s">
        <v>31</v>
      </c>
      <c r="H31" s="3" t="s">
        <v>32</v>
      </c>
      <c r="I31" s="3">
        <v>1</v>
      </c>
      <c r="J31" s="3">
        <v>0</v>
      </c>
      <c r="K31" s="3">
        <v>1</v>
      </c>
      <c r="O31" s="3">
        <f t="shared" si="21"/>
        <v>65581.78</v>
      </c>
      <c r="P31" s="3">
        <f>ROUND((ROUND((AC31*I31),2)*BC31),2)</f>
        <v>65581.78</v>
      </c>
      <c r="Q31" s="3">
        <f>(ROUND((ROUND(((ET31)*AV31*I31),2)*BB31),2)+ROUND((ROUND(((AE31-(EU31))*AV31*I31),2)*BS31),2))</f>
        <v>0</v>
      </c>
      <c r="R31" s="3">
        <f>(ROUND((ROUND(((EU31)*AV31*I31),2)*BS31),2)+ROUND((ROUND(((AE31-(EU31))*AV31*I31),2)*BS31),2))</f>
        <v>0</v>
      </c>
      <c r="S31" s="3">
        <f t="shared" si="22"/>
        <v>0</v>
      </c>
      <c r="T31" s="3">
        <f t="shared" si="23"/>
        <v>0</v>
      </c>
      <c r="U31" s="3">
        <f t="shared" si="24"/>
        <v>0</v>
      </c>
      <c r="V31" s="3">
        <f t="shared" si="25"/>
        <v>0</v>
      </c>
      <c r="W31" s="3">
        <f t="shared" si="26"/>
        <v>0</v>
      </c>
      <c r="X31" s="3">
        <f>(ROUND((((S31+ROUND((ROUND(((EU31)*AV31*I31),2)*BS31),2))*AT31)/100),2)+ROUND(((ROUND((ROUND(((AE31-(EU31))*AV31*I31),2)*BS31),2)*AT31)/100),2))</f>
        <v>0</v>
      </c>
      <c r="Y31" s="3">
        <f>(ROUND((((S31+ROUND((ROUND(((EU31)*AV31*I31),2)*BS31),2))*AU31)/100),2)+ROUND(((ROUND((ROUND(((AE31-(EU31))*AV31*I31),2)*BS31),2)*AU31)/100),2))</f>
        <v>0</v>
      </c>
      <c r="AA31" s="3">
        <v>60258618</v>
      </c>
      <c r="AB31" s="3">
        <f t="shared" si="27"/>
        <v>8561.59</v>
      </c>
      <c r="AC31" s="3">
        <f>ROUND((ES31),6)</f>
        <v>8561.59</v>
      </c>
      <c r="AD31" s="3">
        <f>ROUND((((ET31)-(EU31))+AE31),6)</f>
        <v>0</v>
      </c>
      <c r="AE31" s="3">
        <f t="shared" si="44"/>
        <v>0</v>
      </c>
      <c r="AF31" s="3">
        <f t="shared" si="44"/>
        <v>0</v>
      </c>
      <c r="AG31" s="3">
        <f t="shared" si="28"/>
        <v>0</v>
      </c>
      <c r="AH31" s="3">
        <f t="shared" si="45"/>
        <v>0</v>
      </c>
      <c r="AI31" s="3">
        <f t="shared" si="45"/>
        <v>0</v>
      </c>
      <c r="AJ31" s="3">
        <f t="shared" si="29"/>
        <v>0</v>
      </c>
      <c r="AK31" s="3">
        <v>8561.59</v>
      </c>
      <c r="AL31" s="3">
        <v>8561.59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1</v>
      </c>
      <c r="AW31" s="3">
        <v>1</v>
      </c>
      <c r="AZ31" s="3">
        <v>1</v>
      </c>
      <c r="BA31" s="3">
        <v>1</v>
      </c>
      <c r="BB31" s="3">
        <v>1</v>
      </c>
      <c r="BC31" s="3">
        <v>7.66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3</v>
      </c>
      <c r="BI31" s="3">
        <v>3</v>
      </c>
      <c r="BJ31" s="3" t="s">
        <v>3</v>
      </c>
      <c r="BM31" s="3">
        <v>746</v>
      </c>
      <c r="BN31" s="3">
        <v>0</v>
      </c>
      <c r="BO31" s="3" t="s">
        <v>3</v>
      </c>
      <c r="BP31" s="3">
        <v>0</v>
      </c>
      <c r="BQ31" s="3">
        <v>130</v>
      </c>
      <c r="BR31" s="3">
        <v>0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0</v>
      </c>
      <c r="CA31" s="3">
        <v>0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3</v>
      </c>
      <c r="CO31" s="3">
        <v>0</v>
      </c>
      <c r="CP31" s="3">
        <f t="shared" si="30"/>
        <v>65581.78</v>
      </c>
      <c r="CQ31" s="3">
        <f>ROUND((ROUND((AC31*1),2)*BC31),2)</f>
        <v>65581.78</v>
      </c>
      <c r="CR31" s="3">
        <f>(ROUND((ROUND(((ET31)*AV31*1),2)*BB31),2)+ROUND((ROUND(((AE31-(EU31))*AV31*1),2)*BS31),2))</f>
        <v>0</v>
      </c>
      <c r="CS31" s="3">
        <f>(ROUND((ROUND(((EU31)*AV31*1),2)*BS31),2)+ROUND((ROUND(((AE31-(EU31))*AV31*1),2)*BS31),2))</f>
        <v>0</v>
      </c>
      <c r="CT31" s="3">
        <f t="shared" si="31"/>
        <v>0</v>
      </c>
      <c r="CU31" s="3">
        <f t="shared" si="32"/>
        <v>0</v>
      </c>
      <c r="CV31" s="3">
        <f t="shared" si="33"/>
        <v>0</v>
      </c>
      <c r="CW31" s="3">
        <f t="shared" si="34"/>
        <v>0</v>
      </c>
      <c r="CX31" s="3">
        <f t="shared" si="35"/>
        <v>0</v>
      </c>
      <c r="CY31" s="3">
        <f>(ROUND((((S31+ROUND((ROUND(((EU31)*AV31*1),2)*BS31),2))*AT31)/100),2)+ROUND(((ROUND((ROUND(((AE31-(EU31))*AV31*1),2)*BS31),2)*AT31)/100),2))</f>
        <v>0</v>
      </c>
      <c r="CZ31" s="3">
        <f>(ROUND((((S31+ROUND((ROUND(((EU31)*AV31*1),2)*BS31),2))*AU31)/100),2)+ROUND(((ROUND((ROUND(((AE31-(EU31))*AV31*1),2)*BS31),2)*AU31)/100),2))</f>
        <v>0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32</v>
      </c>
      <c r="DW31" s="3" t="s">
        <v>32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60088638</v>
      </c>
      <c r="EF31" s="3">
        <v>130</v>
      </c>
      <c r="EG31" s="3" t="s">
        <v>33</v>
      </c>
      <c r="EH31" s="3">
        <v>0</v>
      </c>
      <c r="EI31" s="3" t="s">
        <v>3</v>
      </c>
      <c r="EJ31" s="3">
        <v>3</v>
      </c>
      <c r="EK31" s="3">
        <v>746</v>
      </c>
      <c r="EL31" s="3" t="s">
        <v>34</v>
      </c>
      <c r="EM31" s="3" t="s">
        <v>35</v>
      </c>
      <c r="EO31" s="3" t="s">
        <v>3</v>
      </c>
      <c r="EQ31" s="3">
        <v>0</v>
      </c>
      <c r="ER31" s="3">
        <v>0</v>
      </c>
      <c r="ES31" s="3">
        <v>8561.59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5</v>
      </c>
      <c r="FC31" s="3">
        <v>1</v>
      </c>
      <c r="FD31" s="3">
        <v>18</v>
      </c>
      <c r="FF31" s="3">
        <v>75500</v>
      </c>
      <c r="FQ31" s="3">
        <v>0</v>
      </c>
      <c r="FR31" s="3">
        <f>P31</f>
        <v>65581.78</v>
      </c>
      <c r="FS31" s="3">
        <v>0</v>
      </c>
      <c r="FX31" s="3">
        <v>0</v>
      </c>
      <c r="FY31" s="3">
        <v>0</v>
      </c>
      <c r="GA31" s="3" t="s">
        <v>36</v>
      </c>
      <c r="GD31" s="3">
        <v>1</v>
      </c>
      <c r="GF31" s="3">
        <v>521336863</v>
      </c>
      <c r="GG31" s="3">
        <v>2</v>
      </c>
      <c r="GH31" s="3">
        <v>3</v>
      </c>
      <c r="GI31" s="3">
        <v>5</v>
      </c>
      <c r="GJ31" s="3">
        <v>0</v>
      </c>
      <c r="GK31" s="3">
        <v>0</v>
      </c>
      <c r="GL31" s="3">
        <f t="shared" si="36"/>
        <v>0</v>
      </c>
      <c r="GM31" s="3">
        <f t="shared" si="37"/>
        <v>65581.78</v>
      </c>
      <c r="GN31" s="3">
        <f t="shared" si="38"/>
        <v>0</v>
      </c>
      <c r="GO31" s="3">
        <f t="shared" si="39"/>
        <v>0</v>
      </c>
      <c r="GP31" s="3">
        <f t="shared" si="40"/>
        <v>0</v>
      </c>
      <c r="GR31" s="3">
        <v>1</v>
      </c>
      <c r="GS31" s="3">
        <v>1</v>
      </c>
      <c r="GT31" s="3">
        <v>0</v>
      </c>
      <c r="GU31" s="3" t="s">
        <v>3</v>
      </c>
      <c r="GV31" s="3">
        <f t="shared" si="41"/>
        <v>0</v>
      </c>
      <c r="GW31" s="3">
        <v>1</v>
      </c>
      <c r="GX31" s="3">
        <f t="shared" si="42"/>
        <v>0</v>
      </c>
      <c r="HA31" s="3">
        <v>0</v>
      </c>
      <c r="HB31" s="3">
        <v>0</v>
      </c>
      <c r="HC31" s="3">
        <f t="shared" si="43"/>
        <v>0</v>
      </c>
      <c r="HE31" s="3" t="s">
        <v>37</v>
      </c>
      <c r="HF31" s="3" t="s">
        <v>38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/>
      <c r="D32" s="2"/>
      <c r="E32" s="2" t="s">
        <v>37</v>
      </c>
      <c r="F32" s="2" t="s">
        <v>39</v>
      </c>
      <c r="G32" s="2" t="s">
        <v>40</v>
      </c>
      <c r="H32" s="2" t="s">
        <v>32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1655.62</v>
      </c>
      <c r="P32" s="2">
        <f>ROUND((ROUND((AC32*I32),2)*BC32),2)</f>
        <v>1655.62</v>
      </c>
      <c r="Q32" s="2">
        <f>(ROUND((ROUND(((ET32)*AV32*I32),2)*BB32),2)+ROUND((ROUND(((AE32-(EU32))*AV32*I32),2)*BS32),2))</f>
        <v>0</v>
      </c>
      <c r="R32" s="2">
        <f>(ROUND((ROUND(((EU32)*AV32*I32),2)*BS32),2)+ROUND((ROUND(((AE32-(EU32))*AV32*I32),2)*BS32),2))</f>
        <v>0</v>
      </c>
      <c r="S32" s="2">
        <f t="shared" si="22"/>
        <v>0</v>
      </c>
      <c r="T32" s="2">
        <f t="shared" si="23"/>
        <v>0</v>
      </c>
      <c r="U32" s="2">
        <f t="shared" si="24"/>
        <v>0</v>
      </c>
      <c r="V32" s="2">
        <f t="shared" si="25"/>
        <v>0</v>
      </c>
      <c r="W32" s="2">
        <f t="shared" si="26"/>
        <v>0</v>
      </c>
      <c r="X32" s="2">
        <f>(ROUND((((S32+ROUND((ROUND(((EU32)*AV32*I32),2)*BS32),2))*AT32)/100),2)+ROUND(((ROUND((ROUND(((AE32-(EU32))*AV32*I32),2)*BS32),2)*AT32)/100),2))</f>
        <v>0</v>
      </c>
      <c r="Y32" s="2">
        <f>(ROUND((((S32+ROUND((ROUND(((EU32)*AV32*I32),2)*BS32),2))*AU32)/100),2)+ROUND(((ROUND((ROUND(((AE32-(EU32))*AV32*I32),2)*BS32),2)*AU32)/100),2))</f>
        <v>0</v>
      </c>
      <c r="Z32" s="2"/>
      <c r="AA32" s="2">
        <v>60258621</v>
      </c>
      <c r="AB32" s="2">
        <f t="shared" si="27"/>
        <v>1655.62</v>
      </c>
      <c r="AC32" s="2">
        <f>ROUND((ES32),6)</f>
        <v>1655.62</v>
      </c>
      <c r="AD32" s="2">
        <f>ROUND((((ET32)-(EU32))+AE32),6)</f>
        <v>0</v>
      </c>
      <c r="AE32" s="2">
        <f t="shared" si="44"/>
        <v>0</v>
      </c>
      <c r="AF32" s="2">
        <f t="shared" si="44"/>
        <v>0</v>
      </c>
      <c r="AG32" s="2">
        <f t="shared" si="28"/>
        <v>0</v>
      </c>
      <c r="AH32" s="2">
        <f t="shared" si="45"/>
        <v>0</v>
      </c>
      <c r="AI32" s="2">
        <f t="shared" si="45"/>
        <v>0</v>
      </c>
      <c r="AJ32" s="2">
        <f t="shared" si="29"/>
        <v>0</v>
      </c>
      <c r="AK32" s="2">
        <v>1655.6200000000001</v>
      </c>
      <c r="AL32" s="2">
        <v>1655.6200000000001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3</v>
      </c>
      <c r="BJ32" s="2" t="s">
        <v>3</v>
      </c>
      <c r="BK32" s="2"/>
      <c r="BL32" s="2"/>
      <c r="BM32" s="2">
        <v>746</v>
      </c>
      <c r="BN32" s="2">
        <v>0</v>
      </c>
      <c r="BO32" s="2" t="s">
        <v>3</v>
      </c>
      <c r="BP32" s="2">
        <v>0</v>
      </c>
      <c r="BQ32" s="2">
        <v>130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 t="shared" si="30"/>
        <v>1655.62</v>
      </c>
      <c r="CQ32" s="2">
        <f>ROUND((ROUND((AC32*1),2)*BC32),2)</f>
        <v>1655.62</v>
      </c>
      <c r="CR32" s="2">
        <f>(ROUND((ROUND(((ET32)*AV32*1),2)*BB32),2)+ROUND((ROUND(((AE32-(EU32))*AV32*1),2)*BS32),2))</f>
        <v>0</v>
      </c>
      <c r="CS32" s="2">
        <f>(ROUND((ROUND(((EU32)*AV32*1),2)*BS32),2)+ROUND((ROUND(((AE32-(EU32))*AV32*1),2)*BS32),2))</f>
        <v>0</v>
      </c>
      <c r="CT32" s="2">
        <f t="shared" si="31"/>
        <v>0</v>
      </c>
      <c r="CU32" s="2">
        <f t="shared" si="32"/>
        <v>0</v>
      </c>
      <c r="CV32" s="2">
        <f t="shared" si="33"/>
        <v>0</v>
      </c>
      <c r="CW32" s="2">
        <f t="shared" si="34"/>
        <v>0</v>
      </c>
      <c r="CX32" s="2">
        <f t="shared" si="35"/>
        <v>0</v>
      </c>
      <c r="CY32" s="2">
        <f>(ROUND((((S32+ROUND((ROUND(((EU32)*AV32*1),2)*BS32),2))*AT32)/100),2)+ROUND(((ROUND((ROUND(((AE32-(EU32))*AV32*1),2)*BS32),2)*AT32)/100),2))</f>
        <v>0</v>
      </c>
      <c r="CZ32" s="2">
        <f>(ROUND((((S32+ROUND((ROUND(((EU32)*AV32*1),2)*BS32),2))*AU32)/100),2)+ROUND(((ROUND((ROUND(((AE32-(EU32))*AV32*1),2)*BS32),2)*AU32)/100),2))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32</v>
      </c>
      <c r="DW32" s="2" t="s">
        <v>32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60088638</v>
      </c>
      <c r="EF32" s="2">
        <v>130</v>
      </c>
      <c r="EG32" s="2" t="s">
        <v>33</v>
      </c>
      <c r="EH32" s="2">
        <v>0</v>
      </c>
      <c r="EI32" s="2" t="s">
        <v>3</v>
      </c>
      <c r="EJ32" s="2">
        <v>3</v>
      </c>
      <c r="EK32" s="2">
        <v>746</v>
      </c>
      <c r="EL32" s="2" t="s">
        <v>34</v>
      </c>
      <c r="EM32" s="2" t="s">
        <v>35</v>
      </c>
      <c r="EN32" s="2"/>
      <c r="EO32" s="2" t="s">
        <v>3</v>
      </c>
      <c r="EP32" s="2"/>
      <c r="EQ32" s="2">
        <v>0</v>
      </c>
      <c r="ER32" s="2">
        <v>0</v>
      </c>
      <c r="ES32" s="2">
        <v>1655.6200000000001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f>P32</f>
        <v>1655.62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41</v>
      </c>
      <c r="GB32" s="2"/>
      <c r="GC32" s="2"/>
      <c r="GD32" s="2">
        <v>1</v>
      </c>
      <c r="GE32" s="2"/>
      <c r="GF32" s="2">
        <v>963458923</v>
      </c>
      <c r="GG32" s="2">
        <v>2</v>
      </c>
      <c r="GH32" s="2">
        <v>4</v>
      </c>
      <c r="GI32" s="2">
        <v>-2</v>
      </c>
      <c r="GJ32" s="2">
        <v>0</v>
      </c>
      <c r="GK32" s="2">
        <v>0</v>
      </c>
      <c r="GL32" s="2">
        <f t="shared" si="36"/>
        <v>0</v>
      </c>
      <c r="GM32" s="2">
        <f t="shared" si="37"/>
        <v>1655.62</v>
      </c>
      <c r="GN32" s="2">
        <f t="shared" si="38"/>
        <v>0</v>
      </c>
      <c r="GO32" s="2">
        <f t="shared" si="39"/>
        <v>0</v>
      </c>
      <c r="GP32" s="2">
        <f t="shared" si="40"/>
        <v>0</v>
      </c>
      <c r="GQ32" s="2"/>
      <c r="GR32" s="2">
        <v>0</v>
      </c>
      <c r="GS32" s="2">
        <v>2</v>
      </c>
      <c r="GT32" s="2">
        <v>0</v>
      </c>
      <c r="GU32" s="2" t="s">
        <v>3</v>
      </c>
      <c r="GV32" s="2">
        <f t="shared" si="41"/>
        <v>0</v>
      </c>
      <c r="GW32" s="2">
        <v>1</v>
      </c>
      <c r="GX32" s="2">
        <f t="shared" si="42"/>
        <v>0</v>
      </c>
      <c r="GY32" s="2"/>
      <c r="GZ32" s="2"/>
      <c r="HA32" s="2">
        <v>0</v>
      </c>
      <c r="HB32" s="2">
        <v>0</v>
      </c>
      <c r="HC32" s="2">
        <f t="shared" si="43"/>
        <v>0</v>
      </c>
      <c r="HD32" s="2"/>
      <c r="HE32" s="2" t="s">
        <v>37</v>
      </c>
      <c r="HF32" s="2" t="s">
        <v>38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E33" s="3" t="s">
        <v>37</v>
      </c>
      <c r="F33" s="3" t="s">
        <v>39</v>
      </c>
      <c r="G33" s="3" t="s">
        <v>40</v>
      </c>
      <c r="H33" s="3" t="s">
        <v>32</v>
      </c>
      <c r="I33" s="3">
        <v>1</v>
      </c>
      <c r="J33" s="3">
        <v>0</v>
      </c>
      <c r="K33" s="3">
        <v>1</v>
      </c>
      <c r="O33" s="3">
        <f t="shared" si="21"/>
        <v>12682.05</v>
      </c>
      <c r="P33" s="3">
        <f>ROUND((ROUND((AC33*I33),2)*BC33),2)</f>
        <v>12682.05</v>
      </c>
      <c r="Q33" s="3">
        <f>(ROUND((ROUND(((ET33)*AV33*I33),2)*BB33),2)+ROUND((ROUND(((AE33-(EU33))*AV33*I33),2)*BS33),2))</f>
        <v>0</v>
      </c>
      <c r="R33" s="3">
        <f>(ROUND((ROUND(((EU33)*AV33*I33),2)*BS33),2)+ROUND((ROUND(((AE33-(EU33))*AV33*I33),2)*BS33),2))</f>
        <v>0</v>
      </c>
      <c r="S33" s="3">
        <f t="shared" si="22"/>
        <v>0</v>
      </c>
      <c r="T33" s="3">
        <f t="shared" si="23"/>
        <v>0</v>
      </c>
      <c r="U33" s="3">
        <f t="shared" si="24"/>
        <v>0</v>
      </c>
      <c r="V33" s="3">
        <f t="shared" si="25"/>
        <v>0</v>
      </c>
      <c r="W33" s="3">
        <f t="shared" si="26"/>
        <v>0</v>
      </c>
      <c r="X33" s="3">
        <f>(ROUND((((S33+ROUND((ROUND(((EU33)*AV33*I33),2)*BS33),2))*AT33)/100),2)+ROUND(((ROUND((ROUND(((AE33-(EU33))*AV33*I33),2)*BS33),2)*AT33)/100),2))</f>
        <v>0</v>
      </c>
      <c r="Y33" s="3">
        <f>(ROUND((((S33+ROUND((ROUND(((EU33)*AV33*I33),2)*BS33),2))*AU33)/100),2)+ROUND(((ROUND((ROUND(((AE33-(EU33))*AV33*I33),2)*BS33),2)*AU33)/100),2))</f>
        <v>0</v>
      </c>
      <c r="AA33" s="3">
        <v>60258618</v>
      </c>
      <c r="AB33" s="3">
        <f t="shared" si="27"/>
        <v>1655.62</v>
      </c>
      <c r="AC33" s="3">
        <f>ROUND((ES33),6)</f>
        <v>1655.62</v>
      </c>
      <c r="AD33" s="3">
        <f>ROUND((((ET33)-(EU33))+AE33),6)</f>
        <v>0</v>
      </c>
      <c r="AE33" s="3">
        <f t="shared" si="44"/>
        <v>0</v>
      </c>
      <c r="AF33" s="3">
        <f t="shared" si="44"/>
        <v>0</v>
      </c>
      <c r="AG33" s="3">
        <f t="shared" si="28"/>
        <v>0</v>
      </c>
      <c r="AH33" s="3">
        <f t="shared" si="45"/>
        <v>0</v>
      </c>
      <c r="AI33" s="3">
        <f t="shared" si="45"/>
        <v>0</v>
      </c>
      <c r="AJ33" s="3">
        <f t="shared" si="29"/>
        <v>0</v>
      </c>
      <c r="AK33" s="3">
        <v>1655.6200000000001</v>
      </c>
      <c r="AL33" s="3">
        <v>1655.6200000000001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1</v>
      </c>
      <c r="AW33" s="3">
        <v>1</v>
      </c>
      <c r="AZ33" s="3">
        <v>1</v>
      </c>
      <c r="BA33" s="3">
        <v>1</v>
      </c>
      <c r="BB33" s="3">
        <v>1</v>
      </c>
      <c r="BC33" s="3">
        <v>7.66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3</v>
      </c>
      <c r="BI33" s="3">
        <v>3</v>
      </c>
      <c r="BJ33" s="3" t="s">
        <v>3</v>
      </c>
      <c r="BM33" s="3">
        <v>746</v>
      </c>
      <c r="BN33" s="3">
        <v>0</v>
      </c>
      <c r="BO33" s="3" t="s">
        <v>3</v>
      </c>
      <c r="BP33" s="3">
        <v>0</v>
      </c>
      <c r="BQ33" s="3">
        <v>130</v>
      </c>
      <c r="BR33" s="3">
        <v>0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0</v>
      </c>
      <c r="CA33" s="3">
        <v>0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3</v>
      </c>
      <c r="CO33" s="3">
        <v>0</v>
      </c>
      <c r="CP33" s="3">
        <f t="shared" si="30"/>
        <v>12682.05</v>
      </c>
      <c r="CQ33" s="3">
        <f>ROUND((ROUND((AC33*1),2)*BC33),2)</f>
        <v>12682.05</v>
      </c>
      <c r="CR33" s="3">
        <f>(ROUND((ROUND(((ET33)*AV33*1),2)*BB33),2)+ROUND((ROUND(((AE33-(EU33))*AV33*1),2)*BS33),2))</f>
        <v>0</v>
      </c>
      <c r="CS33" s="3">
        <f>(ROUND((ROUND(((EU33)*AV33*1),2)*BS33),2)+ROUND((ROUND(((AE33-(EU33))*AV33*1),2)*BS33),2))</f>
        <v>0</v>
      </c>
      <c r="CT33" s="3">
        <f t="shared" si="31"/>
        <v>0</v>
      </c>
      <c r="CU33" s="3">
        <f t="shared" si="32"/>
        <v>0</v>
      </c>
      <c r="CV33" s="3">
        <f t="shared" si="33"/>
        <v>0</v>
      </c>
      <c r="CW33" s="3">
        <f t="shared" si="34"/>
        <v>0</v>
      </c>
      <c r="CX33" s="3">
        <f t="shared" si="35"/>
        <v>0</v>
      </c>
      <c r="CY33" s="3">
        <f>(ROUND((((S33+ROUND((ROUND(((EU33)*AV33*1),2)*BS33),2))*AT33)/100),2)+ROUND(((ROUND((ROUND(((AE33-(EU33))*AV33*1),2)*BS33),2)*AT33)/100),2))</f>
        <v>0</v>
      </c>
      <c r="CZ33" s="3">
        <f>(ROUND((((S33+ROUND((ROUND(((EU33)*AV33*1),2)*BS33),2))*AU33)/100),2)+ROUND(((ROUND((ROUND(((AE33-(EU33))*AV33*1),2)*BS33),2)*AU33)/100),2))</f>
        <v>0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32</v>
      </c>
      <c r="DW33" s="3" t="s">
        <v>32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60088638</v>
      </c>
      <c r="EF33" s="3">
        <v>130</v>
      </c>
      <c r="EG33" s="3" t="s">
        <v>33</v>
      </c>
      <c r="EH33" s="3">
        <v>0</v>
      </c>
      <c r="EI33" s="3" t="s">
        <v>3</v>
      </c>
      <c r="EJ33" s="3">
        <v>3</v>
      </c>
      <c r="EK33" s="3">
        <v>746</v>
      </c>
      <c r="EL33" s="3" t="s">
        <v>34</v>
      </c>
      <c r="EM33" s="3" t="s">
        <v>35</v>
      </c>
      <c r="EO33" s="3" t="s">
        <v>3</v>
      </c>
      <c r="EQ33" s="3">
        <v>0</v>
      </c>
      <c r="ER33" s="3">
        <v>0</v>
      </c>
      <c r="ES33" s="3">
        <v>1655.6200000000001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5</v>
      </c>
      <c r="FC33" s="3">
        <v>1</v>
      </c>
      <c r="FD33" s="3">
        <v>18</v>
      </c>
      <c r="FF33" s="3">
        <v>14600</v>
      </c>
      <c r="FQ33" s="3">
        <v>0</v>
      </c>
      <c r="FR33" s="3">
        <f>P33</f>
        <v>12682.05</v>
      </c>
      <c r="FS33" s="3">
        <v>0</v>
      </c>
      <c r="FX33" s="3">
        <v>0</v>
      </c>
      <c r="FY33" s="3">
        <v>0</v>
      </c>
      <c r="GA33" s="3" t="s">
        <v>41</v>
      </c>
      <c r="GD33" s="3">
        <v>1</v>
      </c>
      <c r="GF33" s="3">
        <v>963458923</v>
      </c>
      <c r="GG33" s="3">
        <v>2</v>
      </c>
      <c r="GH33" s="3">
        <v>3</v>
      </c>
      <c r="GI33" s="3">
        <v>5</v>
      </c>
      <c r="GJ33" s="3">
        <v>0</v>
      </c>
      <c r="GK33" s="3">
        <v>0</v>
      </c>
      <c r="GL33" s="3">
        <f t="shared" si="36"/>
        <v>0</v>
      </c>
      <c r="GM33" s="3">
        <f t="shared" si="37"/>
        <v>12682.05</v>
      </c>
      <c r="GN33" s="3">
        <f t="shared" si="38"/>
        <v>0</v>
      </c>
      <c r="GO33" s="3">
        <f t="shared" si="39"/>
        <v>0</v>
      </c>
      <c r="GP33" s="3">
        <f t="shared" si="40"/>
        <v>0</v>
      </c>
      <c r="GR33" s="3">
        <v>1</v>
      </c>
      <c r="GS33" s="3">
        <v>1</v>
      </c>
      <c r="GT33" s="3">
        <v>0</v>
      </c>
      <c r="GU33" s="3" t="s">
        <v>3</v>
      </c>
      <c r="GV33" s="3">
        <f t="shared" si="41"/>
        <v>0</v>
      </c>
      <c r="GW33" s="3">
        <v>1</v>
      </c>
      <c r="GX33" s="3">
        <f t="shared" si="42"/>
        <v>0</v>
      </c>
      <c r="HA33" s="3">
        <v>0</v>
      </c>
      <c r="HB33" s="3">
        <v>0</v>
      </c>
      <c r="HC33" s="3">
        <f t="shared" si="43"/>
        <v>0</v>
      </c>
      <c r="HE33" s="3" t="s">
        <v>37</v>
      </c>
      <c r="HF33" s="3" t="s">
        <v>38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ROW(SmtRes!A14)</f>
        <v>14</v>
      </c>
      <c r="D34" s="2">
        <f>ROW(EtalonRes!A19)</f>
        <v>19</v>
      </c>
      <c r="E34" s="2" t="s">
        <v>42</v>
      </c>
      <c r="F34" s="2" t="s">
        <v>43</v>
      </c>
      <c r="G34" s="2" t="s">
        <v>44</v>
      </c>
      <c r="H34" s="2" t="s">
        <v>21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48.6</v>
      </c>
      <c r="P34" s="2">
        <f>ROUND((ROUND((AC34*AW34*I34),2)*BC34),2)</f>
        <v>2.34</v>
      </c>
      <c r="Q34" s="2">
        <f>(ROUND((ROUND((((ET34*1.1))*AV34*I34),2)*BB34),2)+ROUND((ROUND(((AE34-((EU34*1.1)))*AV34*I34),2)*BS34),2))</f>
        <v>0</v>
      </c>
      <c r="R34" s="2">
        <f>(ROUND((ROUND((((EU34*1.1))*AV34*I34),2)*BS34),2)+ROUND((ROUND(((AE34-((EU34*1.1)))*AV34*I34),2)*BS34),2))</f>
        <v>0</v>
      </c>
      <c r="S34" s="2">
        <f t="shared" si="22"/>
        <v>46.26</v>
      </c>
      <c r="T34" s="2">
        <f t="shared" si="23"/>
        <v>0</v>
      </c>
      <c r="U34" s="2">
        <f t="shared" si="24"/>
        <v>3.6624060000000003</v>
      </c>
      <c r="V34" s="2">
        <f t="shared" si="25"/>
        <v>0</v>
      </c>
      <c r="W34" s="2">
        <f t="shared" si="26"/>
        <v>0</v>
      </c>
      <c r="X34" s="2">
        <f>(ROUND((((S34+ROUND((ROUND((((EU34*1.1))*AV34*I34),2)*BS34),2))*AT34)/100),2)+ROUND(((ROUND((ROUND(((AE34-((EU34*1.1)))*AV34*I34),2)*BS34),2)*AT34)/100),2))</f>
        <v>41.63</v>
      </c>
      <c r="Y34" s="2">
        <f>(ROUND((((S34+ROUND((ROUND((((EU34*1.1))*AV34*I34),2)*BS34),2))*AU34)/100),2)+ROUND(((ROUND((ROUND(((AE34-((EU34*1.1)))*AV34*I34),2)*BS34),2)*AU34)/100),2))</f>
        <v>21.28</v>
      </c>
      <c r="Z34" s="2"/>
      <c r="AA34" s="2">
        <v>60258621</v>
      </c>
      <c r="AB34" s="2">
        <f t="shared" si="27"/>
        <v>46.527000000000001</v>
      </c>
      <c r="AC34" s="2">
        <f>ROUND(((ES34*1)),6)</f>
        <v>2.34</v>
      </c>
      <c r="AD34" s="2">
        <f>ROUND(((((ET34*1.1))-((EU34*1.1)))+AE34),6)</f>
        <v>0</v>
      </c>
      <c r="AE34" s="2">
        <f>ROUND(((EU34*1.1)),6)</f>
        <v>0</v>
      </c>
      <c r="AF34" s="2">
        <f>ROUND(((EV34*1.1)),6)</f>
        <v>44.186999999999998</v>
      </c>
      <c r="AG34" s="2">
        <f t="shared" si="28"/>
        <v>0</v>
      </c>
      <c r="AH34" s="2">
        <f>((EW34*1.1))</f>
        <v>3.4980000000000007</v>
      </c>
      <c r="AI34" s="2">
        <f>((EX34*1.1))</f>
        <v>0</v>
      </c>
      <c r="AJ34" s="2">
        <f t="shared" si="29"/>
        <v>0</v>
      </c>
      <c r="AK34" s="2">
        <v>42.51</v>
      </c>
      <c r="AL34" s="2">
        <v>2.34</v>
      </c>
      <c r="AM34" s="2">
        <v>0</v>
      </c>
      <c r="AN34" s="2">
        <v>0</v>
      </c>
      <c r="AO34" s="2">
        <v>40.17</v>
      </c>
      <c r="AP34" s="2">
        <v>0</v>
      </c>
      <c r="AQ34" s="2">
        <v>3.18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45</v>
      </c>
      <c r="BK34" s="2"/>
      <c r="BL34" s="2"/>
      <c r="BM34" s="2">
        <v>68</v>
      </c>
      <c r="BN34" s="2">
        <v>58973116</v>
      </c>
      <c r="BO34" s="2" t="s">
        <v>43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363</v>
      </c>
      <c r="CO34" s="2">
        <v>0</v>
      </c>
      <c r="CP34" s="2">
        <f t="shared" si="30"/>
        <v>48.599999999999994</v>
      </c>
      <c r="CQ34" s="2">
        <f>ROUND((ROUND((AC34*AW34*1),2)*BC34),2)</f>
        <v>2.34</v>
      </c>
      <c r="CR34" s="2">
        <f>(ROUND((ROUND((((ET34*1.1))*AV34*1),2)*BB34),2)+ROUND((ROUND(((AE34-((EU34*1.1)))*AV34*1),2)*BS34),2))</f>
        <v>0</v>
      </c>
      <c r="CS34" s="2">
        <f>(ROUND((ROUND((((EU34*1.1))*AV34*1),2)*BS34),2)+ROUND((ROUND(((AE34-((EU34*1.1)))*AV34*1),2)*BS34),2))</f>
        <v>0</v>
      </c>
      <c r="CT34" s="2">
        <f t="shared" si="31"/>
        <v>46.26</v>
      </c>
      <c r="CU34" s="2">
        <f t="shared" si="32"/>
        <v>0</v>
      </c>
      <c r="CV34" s="2">
        <f t="shared" si="33"/>
        <v>3.6624060000000003</v>
      </c>
      <c r="CW34" s="2">
        <f t="shared" si="34"/>
        <v>0</v>
      </c>
      <c r="CX34" s="2">
        <f t="shared" si="35"/>
        <v>0</v>
      </c>
      <c r="CY34" s="2">
        <f>(ROUND((((S34+ROUND((ROUND((((EU34*1.1))*AV34*1),2)*BS34),2))*AT34)/100),2)+ROUND(((ROUND((ROUND(((AE34-((EU34*1.1)))*AV34*1),2)*BS34),2)*AT34)/100),2))</f>
        <v>41.63</v>
      </c>
      <c r="CZ34" s="2">
        <f>(ROUND((((S34+ROUND((ROUND((((EU34*1.1))*AV34*1),2)*BS34),2))*AU34)/100),2)+ROUND(((ROUND((ROUND(((AE34-((EU34*1.1)))*AV34*1),2)*BS34),2)*AU34)/100),2))</f>
        <v>21.28</v>
      </c>
      <c r="DA34" s="2"/>
      <c r="DB34" s="2">
        <v>3</v>
      </c>
      <c r="DC34" s="2" t="s">
        <v>3</v>
      </c>
      <c r="DD34" s="2" t="s">
        <v>23</v>
      </c>
      <c r="DE34" s="2" t="s">
        <v>24</v>
      </c>
      <c r="DF34" s="2" t="s">
        <v>24</v>
      </c>
      <c r="DG34" s="2" t="s">
        <v>24</v>
      </c>
      <c r="DH34" s="2" t="s">
        <v>3</v>
      </c>
      <c r="DI34" s="2" t="s">
        <v>24</v>
      </c>
      <c r="DJ34" s="2" t="s">
        <v>24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21</v>
      </c>
      <c r="DW34" s="2" t="s">
        <v>21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60088532</v>
      </c>
      <c r="EF34" s="2">
        <v>40</v>
      </c>
      <c r="EG34" s="2" t="s">
        <v>25</v>
      </c>
      <c r="EH34" s="2">
        <v>0</v>
      </c>
      <c r="EI34" s="2" t="s">
        <v>3</v>
      </c>
      <c r="EJ34" s="2">
        <v>2</v>
      </c>
      <c r="EK34" s="2">
        <v>68</v>
      </c>
      <c r="EL34" s="2" t="s">
        <v>46</v>
      </c>
      <c r="EM34" s="2" t="s">
        <v>47</v>
      </c>
      <c r="EN34" s="2"/>
      <c r="EO34" s="2" t="s">
        <v>28</v>
      </c>
      <c r="EP34" s="2"/>
      <c r="EQ34" s="2">
        <v>0</v>
      </c>
      <c r="ER34" s="2">
        <v>42.51</v>
      </c>
      <c r="ES34" s="2">
        <v>2.34</v>
      </c>
      <c r="ET34" s="2">
        <v>0</v>
      </c>
      <c r="EU34" s="2">
        <v>0</v>
      </c>
      <c r="EV34" s="2">
        <v>40.17</v>
      </c>
      <c r="EW34" s="2">
        <v>3.18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1548884140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6"/>
        <v>0</v>
      </c>
      <c r="GM34" s="2">
        <f t="shared" si="37"/>
        <v>111.51</v>
      </c>
      <c r="GN34" s="2">
        <f t="shared" si="38"/>
        <v>0</v>
      </c>
      <c r="GO34" s="2">
        <f t="shared" si="39"/>
        <v>111.51</v>
      </c>
      <c r="GP34" s="2">
        <f t="shared" si="40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1"/>
        <v>0</v>
      </c>
      <c r="GW34" s="2">
        <v>1</v>
      </c>
      <c r="GX34" s="2">
        <f t="shared" si="42"/>
        <v>0</v>
      </c>
      <c r="GY34" s="2"/>
      <c r="GZ34" s="2"/>
      <c r="HA34" s="2">
        <v>0</v>
      </c>
      <c r="HB34" s="2">
        <v>0</v>
      </c>
      <c r="HC34" s="2">
        <f t="shared" si="43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ROW(SmtRes!A18)</f>
        <v>18</v>
      </c>
      <c r="D35" s="3">
        <f>ROW(EtalonRes!A24)</f>
        <v>24</v>
      </c>
      <c r="E35" s="3" t="s">
        <v>42</v>
      </c>
      <c r="F35" s="3" t="s">
        <v>43</v>
      </c>
      <c r="G35" s="3" t="s">
        <v>44</v>
      </c>
      <c r="H35" s="3" t="s">
        <v>21</v>
      </c>
      <c r="I35" s="3">
        <v>1</v>
      </c>
      <c r="J35" s="3">
        <v>0</v>
      </c>
      <c r="K35" s="3">
        <v>1</v>
      </c>
      <c r="O35" s="3">
        <f t="shared" si="21"/>
        <v>2567.85</v>
      </c>
      <c r="P35" s="3">
        <f>ROUND((ROUND((AC35*AW35*I35),2)*BC35),2)</f>
        <v>24.01</v>
      </c>
      <c r="Q35" s="3">
        <f>(ROUND((ROUND((((ET35*1.1))*AV35*I35),2)*BB35),2)+ROUND((ROUND(((AE35-((EU35*1.1)))*AV35*I35),2)*BS35),2))</f>
        <v>0</v>
      </c>
      <c r="R35" s="3">
        <f>(ROUND((ROUND((((EU35*1.1))*AV35*I35),2)*BS35),2)+ROUND((ROUND(((AE35-((EU35*1.1)))*AV35*I35),2)*BS35),2))</f>
        <v>0</v>
      </c>
      <c r="S35" s="3">
        <f t="shared" si="22"/>
        <v>2543.84</v>
      </c>
      <c r="T35" s="3">
        <f t="shared" si="23"/>
        <v>0</v>
      </c>
      <c r="U35" s="3">
        <f t="shared" si="24"/>
        <v>3.6624060000000003</v>
      </c>
      <c r="V35" s="3">
        <f t="shared" si="25"/>
        <v>0</v>
      </c>
      <c r="W35" s="3">
        <f t="shared" si="26"/>
        <v>0</v>
      </c>
      <c r="X35" s="3">
        <f>(ROUND((((S35+ROUND((ROUND((((EU35*1.1))*AV35*I35),2)*BS35),2))*AT35)/100),2)+ROUND(((ROUND((ROUND(((AE35-((EU35*1.1)))*AV35*I35),2)*BS35),2)*AT35)/100),2))</f>
        <v>2289.46</v>
      </c>
      <c r="Y35" s="3">
        <f>(ROUND((((S35+ROUND((ROUND((((EU35*1.1))*AV35*I35),2)*BS35),2))*AU35)/100),2)+ROUND(((ROUND((ROUND(((AE35-((EU35*1.1)))*AV35*I35),2)*BS35),2)*AU35)/100),2))</f>
        <v>1170.17</v>
      </c>
      <c r="AA35" s="3">
        <v>60258618</v>
      </c>
      <c r="AB35" s="3">
        <f t="shared" si="27"/>
        <v>46.527000000000001</v>
      </c>
      <c r="AC35" s="3">
        <f>ROUND(((ES35*1)),6)</f>
        <v>2.34</v>
      </c>
      <c r="AD35" s="3">
        <f>ROUND(((((ET35*1.1))-((EU35*1.1)))+AE35),6)</f>
        <v>0</v>
      </c>
      <c r="AE35" s="3">
        <f>ROUND(((EU35*1.1)),6)</f>
        <v>0</v>
      </c>
      <c r="AF35" s="3">
        <f>ROUND(((EV35*1.1)),6)</f>
        <v>44.186999999999998</v>
      </c>
      <c r="AG35" s="3">
        <f t="shared" si="28"/>
        <v>0</v>
      </c>
      <c r="AH35" s="3">
        <f>((EW35*1.1))</f>
        <v>3.4980000000000007</v>
      </c>
      <c r="AI35" s="3">
        <f>((EX35*1.1))</f>
        <v>0</v>
      </c>
      <c r="AJ35" s="3">
        <f t="shared" si="29"/>
        <v>0</v>
      </c>
      <c r="AK35" s="3">
        <v>42.51</v>
      </c>
      <c r="AL35" s="3">
        <v>2.34</v>
      </c>
      <c r="AM35" s="3">
        <v>0</v>
      </c>
      <c r="AN35" s="3">
        <v>0</v>
      </c>
      <c r="AO35" s="3">
        <v>40.17</v>
      </c>
      <c r="AP35" s="3">
        <v>0</v>
      </c>
      <c r="AQ35" s="3">
        <v>3.18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54.99</v>
      </c>
      <c r="BB35" s="3">
        <v>1</v>
      </c>
      <c r="BC35" s="3">
        <v>10.26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45</v>
      </c>
      <c r="BM35" s="3">
        <v>68</v>
      </c>
      <c r="BN35" s="3">
        <v>58973116</v>
      </c>
      <c r="BO35" s="3" t="s">
        <v>43</v>
      </c>
      <c r="BP35" s="3">
        <v>1</v>
      </c>
      <c r="BQ35" s="3">
        <v>40</v>
      </c>
      <c r="BR35" s="3">
        <v>0</v>
      </c>
      <c r="BS35" s="3">
        <v>54.99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363</v>
      </c>
      <c r="CO35" s="3">
        <v>0</v>
      </c>
      <c r="CP35" s="3">
        <f t="shared" si="30"/>
        <v>2567.8500000000004</v>
      </c>
      <c r="CQ35" s="3">
        <f>ROUND((ROUND((AC35*AW35*1),2)*BC35),2)</f>
        <v>24.01</v>
      </c>
      <c r="CR35" s="3">
        <f>(ROUND((ROUND((((ET35*1.1))*AV35*1),2)*BB35),2)+ROUND((ROUND(((AE35-((EU35*1.1)))*AV35*1),2)*BS35),2))</f>
        <v>0</v>
      </c>
      <c r="CS35" s="3">
        <f>(ROUND((ROUND((((EU35*1.1))*AV35*1),2)*BS35),2)+ROUND((ROUND(((AE35-((EU35*1.1)))*AV35*1),2)*BS35),2))</f>
        <v>0</v>
      </c>
      <c r="CT35" s="3">
        <f t="shared" si="31"/>
        <v>2543.84</v>
      </c>
      <c r="CU35" s="3">
        <f t="shared" si="32"/>
        <v>0</v>
      </c>
      <c r="CV35" s="3">
        <f t="shared" si="33"/>
        <v>3.6624060000000003</v>
      </c>
      <c r="CW35" s="3">
        <f t="shared" si="34"/>
        <v>0</v>
      </c>
      <c r="CX35" s="3">
        <f t="shared" si="35"/>
        <v>0</v>
      </c>
      <c r="CY35" s="3">
        <f>(ROUND((((S35+ROUND((ROUND((((EU35*1.1))*AV35*1),2)*BS35),2))*AT35)/100),2)+ROUND(((ROUND((ROUND(((AE35-((EU35*1.1)))*AV35*1),2)*BS35),2)*AT35)/100),2))</f>
        <v>2289.46</v>
      </c>
      <c r="CZ35" s="3">
        <f>(ROUND((((S35+ROUND((ROUND((((EU35*1.1))*AV35*1),2)*BS35),2))*AU35)/100),2)+ROUND(((ROUND((ROUND(((AE35-((EU35*1.1)))*AV35*1),2)*BS35),2)*AU35)/100),2))</f>
        <v>1170.17</v>
      </c>
      <c r="DB35" s="3">
        <v>4</v>
      </c>
      <c r="DC35" s="3" t="s">
        <v>3</v>
      </c>
      <c r="DD35" s="3" t="s">
        <v>23</v>
      </c>
      <c r="DE35" s="3" t="s">
        <v>24</v>
      </c>
      <c r="DF35" s="3" t="s">
        <v>24</v>
      </c>
      <c r="DG35" s="3" t="s">
        <v>24</v>
      </c>
      <c r="DH35" s="3" t="s">
        <v>3</v>
      </c>
      <c r="DI35" s="3" t="s">
        <v>24</v>
      </c>
      <c r="DJ35" s="3" t="s">
        <v>24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21</v>
      </c>
      <c r="DW35" s="3" t="s">
        <v>21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60088532</v>
      </c>
      <c r="EF35" s="3">
        <v>40</v>
      </c>
      <c r="EG35" s="3" t="s">
        <v>25</v>
      </c>
      <c r="EH35" s="3">
        <v>0</v>
      </c>
      <c r="EI35" s="3" t="s">
        <v>3</v>
      </c>
      <c r="EJ35" s="3">
        <v>2</v>
      </c>
      <c r="EK35" s="3">
        <v>68</v>
      </c>
      <c r="EL35" s="3" t="s">
        <v>46</v>
      </c>
      <c r="EM35" s="3" t="s">
        <v>47</v>
      </c>
      <c r="EO35" s="3" t="s">
        <v>28</v>
      </c>
      <c r="EQ35" s="3">
        <v>0</v>
      </c>
      <c r="ER35" s="3">
        <v>42.51</v>
      </c>
      <c r="ES35" s="3">
        <v>2.34</v>
      </c>
      <c r="ET35" s="3">
        <v>0</v>
      </c>
      <c r="EU35" s="3">
        <v>0</v>
      </c>
      <c r="EV35" s="3">
        <v>40.17</v>
      </c>
      <c r="EW35" s="3">
        <v>3.18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1548884140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6"/>
        <v>0</v>
      </c>
      <c r="GM35" s="3">
        <f t="shared" si="37"/>
        <v>6027.48</v>
      </c>
      <c r="GN35" s="3">
        <f t="shared" si="38"/>
        <v>0</v>
      </c>
      <c r="GO35" s="3">
        <f t="shared" si="39"/>
        <v>6027.48</v>
      </c>
      <c r="GP35" s="3">
        <f t="shared" si="40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1"/>
        <v>0</v>
      </c>
      <c r="GW35" s="3">
        <v>1</v>
      </c>
      <c r="GX35" s="3">
        <f t="shared" si="42"/>
        <v>0</v>
      </c>
      <c r="HA35" s="3">
        <v>0</v>
      </c>
      <c r="HB35" s="3">
        <v>0</v>
      </c>
      <c r="HC35" s="3">
        <f t="shared" si="43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48</v>
      </c>
      <c r="F36" s="2" t="s">
        <v>49</v>
      </c>
      <c r="G36" s="2" t="s">
        <v>50</v>
      </c>
      <c r="H36" s="2" t="s">
        <v>32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1280.27</v>
      </c>
      <c r="P36" s="2">
        <f>ROUND((ROUND((AC36*I36),2)*BC36),2)</f>
        <v>1280.27</v>
      </c>
      <c r="Q36" s="2">
        <f>(ROUND((ROUND(((ET36)*AV36*I36),2)*BB36),2)+ROUND((ROUND(((AE36-(EU36))*AV36*I36),2)*BS36),2))</f>
        <v>0</v>
      </c>
      <c r="R36" s="2">
        <f>(ROUND((ROUND(((EU36)*AV36*I36),2)*BS36),2)+ROUND((ROUND(((AE36-(EU36))*AV36*I36),2)*BS36),2))</f>
        <v>0</v>
      </c>
      <c r="S36" s="2">
        <f t="shared" si="22"/>
        <v>0</v>
      </c>
      <c r="T36" s="2">
        <f t="shared" si="23"/>
        <v>0</v>
      </c>
      <c r="U36" s="2">
        <f t="shared" si="24"/>
        <v>0</v>
      </c>
      <c r="V36" s="2">
        <f t="shared" si="25"/>
        <v>0</v>
      </c>
      <c r="W36" s="2">
        <f t="shared" si="26"/>
        <v>0</v>
      </c>
      <c r="X36" s="2">
        <f>(ROUND((((S36+ROUND((ROUND(((EU36)*AV36*I36),2)*BS36),2))*AT36)/100),2)+ROUND(((ROUND((ROUND(((AE36-(EU36))*AV36*I36),2)*BS36),2)*AT36)/100),2))</f>
        <v>0</v>
      </c>
      <c r="Y36" s="2">
        <f>(ROUND((((S36+ROUND((ROUND(((EU36)*AV36*I36),2)*BS36),2))*AU36)/100),2)+ROUND(((ROUND((ROUND(((AE36-(EU36))*AV36*I36),2)*BS36),2)*AU36)/100),2))</f>
        <v>0</v>
      </c>
      <c r="Z36" s="2"/>
      <c r="AA36" s="2">
        <v>60258621</v>
      </c>
      <c r="AB36" s="2">
        <f t="shared" si="27"/>
        <v>1280.27</v>
      </c>
      <c r="AC36" s="2">
        <f>ROUND((ES36),6)</f>
        <v>1280.27</v>
      </c>
      <c r="AD36" s="2">
        <f>ROUND((((ET36)-(EU36))+AE36),6)</f>
        <v>0</v>
      </c>
      <c r="AE36" s="2">
        <f>ROUND((EU36),6)</f>
        <v>0</v>
      </c>
      <c r="AF36" s="2">
        <f>ROUND((EV36),6)</f>
        <v>0</v>
      </c>
      <c r="AG36" s="2">
        <f t="shared" si="28"/>
        <v>0</v>
      </c>
      <c r="AH36" s="2">
        <f>(EW36)</f>
        <v>0</v>
      </c>
      <c r="AI36" s="2">
        <f>(EX36)</f>
        <v>0</v>
      </c>
      <c r="AJ36" s="2">
        <f t="shared" si="29"/>
        <v>0</v>
      </c>
      <c r="AK36" s="2">
        <v>1280.27</v>
      </c>
      <c r="AL36" s="2">
        <v>1280.27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3</v>
      </c>
      <c r="BI36" s="2">
        <v>3</v>
      </c>
      <c r="BJ36" s="2" t="s">
        <v>3</v>
      </c>
      <c r="BK36" s="2"/>
      <c r="BL36" s="2"/>
      <c r="BM36" s="2">
        <v>746</v>
      </c>
      <c r="BN36" s="2">
        <v>0</v>
      </c>
      <c r="BO36" s="2" t="s">
        <v>3</v>
      </c>
      <c r="BP36" s="2">
        <v>0</v>
      </c>
      <c r="BQ36" s="2">
        <v>130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0</v>
      </c>
      <c r="CA36" s="2">
        <v>0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</v>
      </c>
      <c r="CO36" s="2">
        <v>0</v>
      </c>
      <c r="CP36" s="2">
        <f t="shared" si="30"/>
        <v>1280.27</v>
      </c>
      <c r="CQ36" s="2">
        <f>ROUND((ROUND((AC36*1),2)*BC36),2)</f>
        <v>1280.27</v>
      </c>
      <c r="CR36" s="2">
        <f>(ROUND((ROUND(((ET36)*AV36*1),2)*BB36),2)+ROUND((ROUND(((AE36-(EU36))*AV36*1),2)*BS36),2))</f>
        <v>0</v>
      </c>
      <c r="CS36" s="2">
        <f>(ROUND((ROUND(((EU36)*AV36*1),2)*BS36),2)+ROUND((ROUND(((AE36-(EU36))*AV36*1),2)*BS36),2))</f>
        <v>0</v>
      </c>
      <c r="CT36" s="2">
        <f t="shared" si="31"/>
        <v>0</v>
      </c>
      <c r="CU36" s="2">
        <f t="shared" si="32"/>
        <v>0</v>
      </c>
      <c r="CV36" s="2">
        <f t="shared" si="33"/>
        <v>0</v>
      </c>
      <c r="CW36" s="2">
        <f t="shared" si="34"/>
        <v>0</v>
      </c>
      <c r="CX36" s="2">
        <f t="shared" si="35"/>
        <v>0</v>
      </c>
      <c r="CY36" s="2">
        <f>(ROUND((((S36+ROUND((ROUND(((EU36)*AV36*1),2)*BS36),2))*AT36)/100),2)+ROUND(((ROUND((ROUND(((AE36-(EU36))*AV36*1),2)*BS36),2)*AT36)/100),2))</f>
        <v>0</v>
      </c>
      <c r="CZ36" s="2">
        <f>(ROUND((((S36+ROUND((ROUND(((EU36)*AV36*1),2)*BS36),2))*AU36)/100),2)+ROUND(((ROUND((ROUND(((AE36-(EU36))*AV36*1),2)*BS36),2)*AU36)/100),2))</f>
        <v>0</v>
      </c>
      <c r="DA36" s="2"/>
      <c r="DB36" s="2"/>
      <c r="DC36" s="2" t="s">
        <v>3</v>
      </c>
      <c r="DD36" s="2" t="s">
        <v>3</v>
      </c>
      <c r="DE36" s="2" t="s">
        <v>3</v>
      </c>
      <c r="DF36" s="2" t="s">
        <v>3</v>
      </c>
      <c r="DG36" s="2" t="s">
        <v>3</v>
      </c>
      <c r="DH36" s="2" t="s">
        <v>3</v>
      </c>
      <c r="DI36" s="2" t="s">
        <v>3</v>
      </c>
      <c r="DJ36" s="2" t="s">
        <v>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32</v>
      </c>
      <c r="DW36" s="2" t="s">
        <v>32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60088638</v>
      </c>
      <c r="EF36" s="2">
        <v>130</v>
      </c>
      <c r="EG36" s="2" t="s">
        <v>33</v>
      </c>
      <c r="EH36" s="2">
        <v>0</v>
      </c>
      <c r="EI36" s="2" t="s">
        <v>3</v>
      </c>
      <c r="EJ36" s="2">
        <v>3</v>
      </c>
      <c r="EK36" s="2">
        <v>746</v>
      </c>
      <c r="EL36" s="2" t="s">
        <v>34</v>
      </c>
      <c r="EM36" s="2" t="s">
        <v>35</v>
      </c>
      <c r="EN36" s="2"/>
      <c r="EO36" s="2" t="s">
        <v>3</v>
      </c>
      <c r="EP36" s="2"/>
      <c r="EQ36" s="2">
        <v>0</v>
      </c>
      <c r="ER36" s="2">
        <v>0</v>
      </c>
      <c r="ES36" s="2">
        <v>1280.27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f>P36</f>
        <v>1280.27</v>
      </c>
      <c r="FS36" s="2">
        <v>0</v>
      </c>
      <c r="FT36" s="2"/>
      <c r="FU36" s="2"/>
      <c r="FV36" s="2"/>
      <c r="FW36" s="2"/>
      <c r="FX36" s="2">
        <v>0</v>
      </c>
      <c r="FY36" s="2">
        <v>0</v>
      </c>
      <c r="FZ36" s="2"/>
      <c r="GA36" s="2" t="s">
        <v>51</v>
      </c>
      <c r="GB36" s="2"/>
      <c r="GC36" s="2"/>
      <c r="GD36" s="2">
        <v>1</v>
      </c>
      <c r="GE36" s="2"/>
      <c r="GF36" s="2">
        <v>-410713413</v>
      </c>
      <c r="GG36" s="2">
        <v>2</v>
      </c>
      <c r="GH36" s="2">
        <v>4</v>
      </c>
      <c r="GI36" s="2">
        <v>-2</v>
      </c>
      <c r="GJ36" s="2">
        <v>0</v>
      </c>
      <c r="GK36" s="2">
        <v>0</v>
      </c>
      <c r="GL36" s="2">
        <f t="shared" si="36"/>
        <v>0</v>
      </c>
      <c r="GM36" s="2">
        <f t="shared" si="37"/>
        <v>1280.27</v>
      </c>
      <c r="GN36" s="2">
        <f t="shared" si="38"/>
        <v>0</v>
      </c>
      <c r="GO36" s="2">
        <f t="shared" si="39"/>
        <v>0</v>
      </c>
      <c r="GP36" s="2">
        <f t="shared" si="40"/>
        <v>0</v>
      </c>
      <c r="GQ36" s="2"/>
      <c r="GR36" s="2">
        <v>0</v>
      </c>
      <c r="GS36" s="2">
        <v>2</v>
      </c>
      <c r="GT36" s="2">
        <v>0</v>
      </c>
      <c r="GU36" s="2" t="s">
        <v>3</v>
      </c>
      <c r="GV36" s="2">
        <f t="shared" si="41"/>
        <v>0</v>
      </c>
      <c r="GW36" s="2">
        <v>1</v>
      </c>
      <c r="GX36" s="2">
        <f t="shared" si="42"/>
        <v>0</v>
      </c>
      <c r="GY36" s="2"/>
      <c r="GZ36" s="2"/>
      <c r="HA36" s="2">
        <v>0</v>
      </c>
      <c r="HB36" s="2">
        <v>0</v>
      </c>
      <c r="HC36" s="2">
        <f t="shared" si="43"/>
        <v>0</v>
      </c>
      <c r="HD36" s="2"/>
      <c r="HE36" s="2" t="s">
        <v>37</v>
      </c>
      <c r="HF36" s="2" t="s">
        <v>38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E37" s="3" t="s">
        <v>48</v>
      </c>
      <c r="F37" s="3" t="s">
        <v>49</v>
      </c>
      <c r="G37" s="3" t="s">
        <v>50</v>
      </c>
      <c r="H37" s="3" t="s">
        <v>32</v>
      </c>
      <c r="I37" s="3">
        <v>1</v>
      </c>
      <c r="J37" s="3">
        <v>0</v>
      </c>
      <c r="K37" s="3">
        <v>1</v>
      </c>
      <c r="O37" s="3">
        <f t="shared" si="21"/>
        <v>9806.8700000000008</v>
      </c>
      <c r="P37" s="3">
        <f>ROUND((ROUND((AC37*I37),2)*BC37),2)</f>
        <v>9806.8700000000008</v>
      </c>
      <c r="Q37" s="3">
        <f>(ROUND((ROUND(((ET37)*AV37*I37),2)*BB37),2)+ROUND((ROUND(((AE37-(EU37))*AV37*I37),2)*BS37),2))</f>
        <v>0</v>
      </c>
      <c r="R37" s="3">
        <f>(ROUND((ROUND(((EU37)*AV37*I37),2)*BS37),2)+ROUND((ROUND(((AE37-(EU37))*AV37*I37),2)*BS37),2))</f>
        <v>0</v>
      </c>
      <c r="S37" s="3">
        <f t="shared" si="22"/>
        <v>0</v>
      </c>
      <c r="T37" s="3">
        <f t="shared" si="23"/>
        <v>0</v>
      </c>
      <c r="U37" s="3">
        <f t="shared" si="24"/>
        <v>0</v>
      </c>
      <c r="V37" s="3">
        <f t="shared" si="25"/>
        <v>0</v>
      </c>
      <c r="W37" s="3">
        <f t="shared" si="26"/>
        <v>0</v>
      </c>
      <c r="X37" s="3">
        <f>(ROUND((((S37+ROUND((ROUND(((EU37)*AV37*I37),2)*BS37),2))*AT37)/100),2)+ROUND(((ROUND((ROUND(((AE37-(EU37))*AV37*I37),2)*BS37),2)*AT37)/100),2))</f>
        <v>0</v>
      </c>
      <c r="Y37" s="3">
        <f>(ROUND((((S37+ROUND((ROUND(((EU37)*AV37*I37),2)*BS37),2))*AU37)/100),2)+ROUND(((ROUND((ROUND(((AE37-(EU37))*AV37*I37),2)*BS37),2)*AU37)/100),2))</f>
        <v>0</v>
      </c>
      <c r="AA37" s="3">
        <v>60258618</v>
      </c>
      <c r="AB37" s="3">
        <f t="shared" si="27"/>
        <v>1280.27</v>
      </c>
      <c r="AC37" s="3">
        <f>ROUND((ES37),6)</f>
        <v>1280.27</v>
      </c>
      <c r="AD37" s="3">
        <f>ROUND((((ET37)-(EU37))+AE37),6)</f>
        <v>0</v>
      </c>
      <c r="AE37" s="3">
        <f>ROUND((EU37),6)</f>
        <v>0</v>
      </c>
      <c r="AF37" s="3">
        <f>ROUND((EV37),6)</f>
        <v>0</v>
      </c>
      <c r="AG37" s="3">
        <f t="shared" si="28"/>
        <v>0</v>
      </c>
      <c r="AH37" s="3">
        <f>(EW37)</f>
        <v>0</v>
      </c>
      <c r="AI37" s="3">
        <f>(EX37)</f>
        <v>0</v>
      </c>
      <c r="AJ37" s="3">
        <f t="shared" si="29"/>
        <v>0</v>
      </c>
      <c r="AK37" s="3">
        <v>1280.27</v>
      </c>
      <c r="AL37" s="3">
        <v>1280.27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1</v>
      </c>
      <c r="AW37" s="3">
        <v>1</v>
      </c>
      <c r="AZ37" s="3">
        <v>1</v>
      </c>
      <c r="BA37" s="3">
        <v>1</v>
      </c>
      <c r="BB37" s="3">
        <v>1</v>
      </c>
      <c r="BC37" s="3">
        <v>7.66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3</v>
      </c>
      <c r="BI37" s="3">
        <v>3</v>
      </c>
      <c r="BJ37" s="3" t="s">
        <v>3</v>
      </c>
      <c r="BM37" s="3">
        <v>746</v>
      </c>
      <c r="BN37" s="3">
        <v>0</v>
      </c>
      <c r="BO37" s="3" t="s">
        <v>3</v>
      </c>
      <c r="BP37" s="3">
        <v>0</v>
      </c>
      <c r="BQ37" s="3">
        <v>130</v>
      </c>
      <c r="BR37" s="3">
        <v>0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0</v>
      </c>
      <c r="CA37" s="3">
        <v>0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3</v>
      </c>
      <c r="CO37" s="3">
        <v>0</v>
      </c>
      <c r="CP37" s="3">
        <f t="shared" si="30"/>
        <v>9806.8700000000008</v>
      </c>
      <c r="CQ37" s="3">
        <f>ROUND((ROUND((AC37*1),2)*BC37),2)</f>
        <v>9806.8700000000008</v>
      </c>
      <c r="CR37" s="3">
        <f>(ROUND((ROUND(((ET37)*AV37*1),2)*BB37),2)+ROUND((ROUND(((AE37-(EU37))*AV37*1),2)*BS37),2))</f>
        <v>0</v>
      </c>
      <c r="CS37" s="3">
        <f>(ROUND((ROUND(((EU37)*AV37*1),2)*BS37),2)+ROUND((ROUND(((AE37-(EU37))*AV37*1),2)*BS37),2))</f>
        <v>0</v>
      </c>
      <c r="CT37" s="3">
        <f t="shared" si="31"/>
        <v>0</v>
      </c>
      <c r="CU37" s="3">
        <f t="shared" si="32"/>
        <v>0</v>
      </c>
      <c r="CV37" s="3">
        <f t="shared" si="33"/>
        <v>0</v>
      </c>
      <c r="CW37" s="3">
        <f t="shared" si="34"/>
        <v>0</v>
      </c>
      <c r="CX37" s="3">
        <f t="shared" si="35"/>
        <v>0</v>
      </c>
      <c r="CY37" s="3">
        <f>(ROUND((((S37+ROUND((ROUND(((EU37)*AV37*1),2)*BS37),2))*AT37)/100),2)+ROUND(((ROUND((ROUND(((AE37-(EU37))*AV37*1),2)*BS37),2)*AT37)/100),2))</f>
        <v>0</v>
      </c>
      <c r="CZ37" s="3">
        <f>(ROUND((((S37+ROUND((ROUND(((EU37)*AV37*1),2)*BS37),2))*AU37)/100),2)+ROUND(((ROUND((ROUND(((AE37-(EU37))*AV37*1),2)*BS37),2)*AU37)/100),2))</f>
        <v>0</v>
      </c>
      <c r="DC37" s="3" t="s">
        <v>3</v>
      </c>
      <c r="DD37" s="3" t="s">
        <v>3</v>
      </c>
      <c r="DE37" s="3" t="s">
        <v>3</v>
      </c>
      <c r="DF37" s="3" t="s">
        <v>3</v>
      </c>
      <c r="DG37" s="3" t="s">
        <v>3</v>
      </c>
      <c r="DH37" s="3" t="s">
        <v>3</v>
      </c>
      <c r="DI37" s="3" t="s">
        <v>3</v>
      </c>
      <c r="DJ37" s="3" t="s">
        <v>3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32</v>
      </c>
      <c r="DW37" s="3" t="s">
        <v>32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60088638</v>
      </c>
      <c r="EF37" s="3">
        <v>130</v>
      </c>
      <c r="EG37" s="3" t="s">
        <v>33</v>
      </c>
      <c r="EH37" s="3">
        <v>0</v>
      </c>
      <c r="EI37" s="3" t="s">
        <v>3</v>
      </c>
      <c r="EJ37" s="3">
        <v>3</v>
      </c>
      <c r="EK37" s="3">
        <v>746</v>
      </c>
      <c r="EL37" s="3" t="s">
        <v>34</v>
      </c>
      <c r="EM37" s="3" t="s">
        <v>35</v>
      </c>
      <c r="EO37" s="3" t="s">
        <v>3</v>
      </c>
      <c r="EQ37" s="3">
        <v>0</v>
      </c>
      <c r="ER37" s="3">
        <v>1280.27</v>
      </c>
      <c r="ES37" s="3">
        <v>1280.27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5</v>
      </c>
      <c r="FC37" s="3">
        <v>1</v>
      </c>
      <c r="FD37" s="3">
        <v>18</v>
      </c>
      <c r="FF37" s="3">
        <v>11290</v>
      </c>
      <c r="FQ37" s="3">
        <v>0</v>
      </c>
      <c r="FR37" s="3">
        <f>P37</f>
        <v>9806.8700000000008</v>
      </c>
      <c r="FS37" s="3">
        <v>0</v>
      </c>
      <c r="FX37" s="3">
        <v>0</v>
      </c>
      <c r="FY37" s="3">
        <v>0</v>
      </c>
      <c r="GA37" s="3" t="s">
        <v>51</v>
      </c>
      <c r="GD37" s="3">
        <v>1</v>
      </c>
      <c r="GF37" s="3">
        <v>-410713413</v>
      </c>
      <c r="GG37" s="3">
        <v>2</v>
      </c>
      <c r="GH37" s="3">
        <v>3</v>
      </c>
      <c r="GI37" s="3">
        <v>5</v>
      </c>
      <c r="GJ37" s="3">
        <v>0</v>
      </c>
      <c r="GK37" s="3">
        <v>0</v>
      </c>
      <c r="GL37" s="3">
        <f t="shared" si="36"/>
        <v>0</v>
      </c>
      <c r="GM37" s="3">
        <f t="shared" si="37"/>
        <v>9806.8700000000008</v>
      </c>
      <c r="GN37" s="3">
        <f t="shared" si="38"/>
        <v>0</v>
      </c>
      <c r="GO37" s="3">
        <f t="shared" si="39"/>
        <v>0</v>
      </c>
      <c r="GP37" s="3">
        <f t="shared" si="40"/>
        <v>0</v>
      </c>
      <c r="GR37" s="3">
        <v>1</v>
      </c>
      <c r="GS37" s="3">
        <v>1</v>
      </c>
      <c r="GT37" s="3">
        <v>0</v>
      </c>
      <c r="GU37" s="3" t="s">
        <v>3</v>
      </c>
      <c r="GV37" s="3">
        <f t="shared" si="41"/>
        <v>0</v>
      </c>
      <c r="GW37" s="3">
        <v>1</v>
      </c>
      <c r="GX37" s="3">
        <f t="shared" si="42"/>
        <v>0</v>
      </c>
      <c r="HA37" s="3">
        <v>0</v>
      </c>
      <c r="HB37" s="3">
        <v>0</v>
      </c>
      <c r="HC37" s="3">
        <f t="shared" si="43"/>
        <v>0</v>
      </c>
      <c r="HE37" s="3" t="s">
        <v>37</v>
      </c>
      <c r="HF37" s="3" t="s">
        <v>38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ROW(SmtRes!A19)</f>
        <v>19</v>
      </c>
      <c r="D38" s="2">
        <f>ROW(EtalonRes!A25)</f>
        <v>25</v>
      </c>
      <c r="E38" s="2" t="s">
        <v>52</v>
      </c>
      <c r="F38" s="2" t="s">
        <v>53</v>
      </c>
      <c r="G38" s="2" t="s">
        <v>54</v>
      </c>
      <c r="H38" s="2" t="s">
        <v>21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122.06</v>
      </c>
      <c r="P38" s="2">
        <f>ROUND((ROUND((AC38*AW38*I38),2)*BC38),2)</f>
        <v>12.53</v>
      </c>
      <c r="Q38" s="2">
        <f>(ROUND((ROUND((((ET38*1.1))*AV38*I38),2)*BB38),2)+ROUND((ROUND(((AE38-((EU38*1.1)))*AV38*I38),2)*BS38),2))</f>
        <v>7.0000000000000007E-2</v>
      </c>
      <c r="R38" s="2">
        <f>(ROUND((ROUND((((EU38*1.1))*AV38*I38),2)*BS38),2)+ROUND((ROUND(((AE38-((EU38*1.1)))*AV38*I38),2)*BS38),2))</f>
        <v>0.01</v>
      </c>
      <c r="S38" s="2">
        <f t="shared" si="22"/>
        <v>109.46</v>
      </c>
      <c r="T38" s="2">
        <f t="shared" si="23"/>
        <v>0</v>
      </c>
      <c r="U38" s="2">
        <f t="shared" si="24"/>
        <v>8.2922399999999996</v>
      </c>
      <c r="V38" s="2">
        <f t="shared" si="25"/>
        <v>0</v>
      </c>
      <c r="W38" s="2">
        <f t="shared" si="26"/>
        <v>0</v>
      </c>
      <c r="X38" s="2">
        <f>(ROUND((((S38+ROUND((ROUND((((EU38*1.1))*AV38*I38),2)*BS38),2))*AT38)/100),2)+ROUND(((ROUND((ROUND(((AE38-((EU38*1.1)))*AV38*I38),2)*BS38),2)*AT38)/100),2))</f>
        <v>98.52</v>
      </c>
      <c r="Y38" s="2">
        <f>(ROUND((((S38+ROUND((ROUND((((EU38*1.1))*AV38*I38),2)*BS38),2))*AU38)/100),2)+ROUND(((ROUND((ROUND(((AE38-((EU38*1.1)))*AV38*I38),2)*BS38),2)*AU38)/100),2))</f>
        <v>50.36</v>
      </c>
      <c r="Z38" s="2"/>
      <c r="AA38" s="2">
        <v>60258621</v>
      </c>
      <c r="AB38" s="2">
        <f t="shared" si="27"/>
        <v>117.14</v>
      </c>
      <c r="AC38" s="2">
        <f>ROUND(((ES38*1)),6)</f>
        <v>12.53</v>
      </c>
      <c r="AD38" s="2">
        <f>ROUND(((((ET38*1.1))-((EU38*1.1)))+AE38),6)</f>
        <v>6.6000000000000003E-2</v>
      </c>
      <c r="AE38" s="2">
        <f>ROUND(((EU38*1.1)),6)</f>
        <v>1.0999999999999999E-2</v>
      </c>
      <c r="AF38" s="2">
        <f>ROUND(((EV38*1.1)),6)</f>
        <v>104.544</v>
      </c>
      <c r="AG38" s="2">
        <f t="shared" si="28"/>
        <v>0</v>
      </c>
      <c r="AH38" s="2">
        <f>((EW38*1.1))</f>
        <v>7.9200000000000008</v>
      </c>
      <c r="AI38" s="2">
        <f>((EX38*1.1))</f>
        <v>0</v>
      </c>
      <c r="AJ38" s="2">
        <f t="shared" si="29"/>
        <v>0</v>
      </c>
      <c r="AK38" s="2">
        <v>107.63</v>
      </c>
      <c r="AL38" s="2">
        <v>12.53</v>
      </c>
      <c r="AM38" s="2">
        <v>0.06</v>
      </c>
      <c r="AN38" s="2">
        <v>0.01</v>
      </c>
      <c r="AO38" s="2">
        <v>95.04</v>
      </c>
      <c r="AP38" s="2">
        <v>0</v>
      </c>
      <c r="AQ38" s="2">
        <v>7.2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55</v>
      </c>
      <c r="BK38" s="2"/>
      <c r="BL38" s="2"/>
      <c r="BM38" s="2">
        <v>68</v>
      </c>
      <c r="BN38" s="2">
        <v>58973116</v>
      </c>
      <c r="BO38" s="2" t="s">
        <v>53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363</v>
      </c>
      <c r="CO38" s="2">
        <v>0</v>
      </c>
      <c r="CP38" s="2">
        <f t="shared" si="30"/>
        <v>122.05999999999999</v>
      </c>
      <c r="CQ38" s="2">
        <f>ROUND((ROUND((AC38*AW38*1),2)*BC38),2)</f>
        <v>12.53</v>
      </c>
      <c r="CR38" s="2">
        <f>(ROUND((ROUND((((ET38*1.1))*AV38*1),2)*BB38),2)+ROUND((ROUND(((AE38-((EU38*1.1)))*AV38*1),2)*BS38),2))</f>
        <v>7.0000000000000007E-2</v>
      </c>
      <c r="CS38" s="2">
        <f>(ROUND((ROUND((((EU38*1.1))*AV38*1),2)*BS38),2)+ROUND((ROUND(((AE38-((EU38*1.1)))*AV38*1),2)*BS38),2))</f>
        <v>0.01</v>
      </c>
      <c r="CT38" s="2">
        <f t="shared" si="31"/>
        <v>109.46</v>
      </c>
      <c r="CU38" s="2">
        <f t="shared" si="32"/>
        <v>0</v>
      </c>
      <c r="CV38" s="2">
        <f t="shared" si="33"/>
        <v>8.2922399999999996</v>
      </c>
      <c r="CW38" s="2">
        <f t="shared" si="34"/>
        <v>0</v>
      </c>
      <c r="CX38" s="2">
        <f t="shared" si="35"/>
        <v>0</v>
      </c>
      <c r="CY38" s="2">
        <f>(ROUND((((S38+ROUND((ROUND((((EU38*1.1))*AV38*1),2)*BS38),2))*AT38)/100),2)+ROUND(((ROUND((ROUND(((AE38-((EU38*1.1)))*AV38*1),2)*BS38),2)*AT38)/100),2))</f>
        <v>98.52</v>
      </c>
      <c r="CZ38" s="2">
        <f>(ROUND((((S38+ROUND((ROUND((((EU38*1.1))*AV38*1),2)*BS38),2))*AU38)/100),2)+ROUND(((ROUND((ROUND(((AE38-((EU38*1.1)))*AV38*1),2)*BS38),2)*AU38)/100),2))</f>
        <v>50.36</v>
      </c>
      <c r="DA38" s="2"/>
      <c r="DB38" s="2">
        <v>5</v>
      </c>
      <c r="DC38" s="2" t="s">
        <v>3</v>
      </c>
      <c r="DD38" s="2" t="s">
        <v>23</v>
      </c>
      <c r="DE38" s="2" t="s">
        <v>24</v>
      </c>
      <c r="DF38" s="2" t="s">
        <v>24</v>
      </c>
      <c r="DG38" s="2" t="s">
        <v>24</v>
      </c>
      <c r="DH38" s="2" t="s">
        <v>3</v>
      </c>
      <c r="DI38" s="2" t="s">
        <v>24</v>
      </c>
      <c r="DJ38" s="2" t="s">
        <v>24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21</v>
      </c>
      <c r="DW38" s="2" t="s">
        <v>21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60088532</v>
      </c>
      <c r="EF38" s="2">
        <v>40</v>
      </c>
      <c r="EG38" s="2" t="s">
        <v>25</v>
      </c>
      <c r="EH38" s="2">
        <v>0</v>
      </c>
      <c r="EI38" s="2" t="s">
        <v>3</v>
      </c>
      <c r="EJ38" s="2">
        <v>2</v>
      </c>
      <c r="EK38" s="2">
        <v>68</v>
      </c>
      <c r="EL38" s="2" t="s">
        <v>46</v>
      </c>
      <c r="EM38" s="2" t="s">
        <v>47</v>
      </c>
      <c r="EN38" s="2"/>
      <c r="EO38" s="2" t="s">
        <v>28</v>
      </c>
      <c r="EP38" s="2"/>
      <c r="EQ38" s="2">
        <v>0</v>
      </c>
      <c r="ER38" s="2">
        <v>107.63</v>
      </c>
      <c r="ES38" s="2">
        <v>12.53</v>
      </c>
      <c r="ET38" s="2">
        <v>0.06</v>
      </c>
      <c r="EU38" s="2">
        <v>0.01</v>
      </c>
      <c r="EV38" s="2">
        <v>95.04</v>
      </c>
      <c r="EW38" s="2">
        <v>7.2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723018335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6"/>
        <v>0</v>
      </c>
      <c r="GM38" s="2">
        <f t="shared" si="37"/>
        <v>270.94</v>
      </c>
      <c r="GN38" s="2">
        <f t="shared" si="38"/>
        <v>0</v>
      </c>
      <c r="GO38" s="2">
        <f t="shared" si="39"/>
        <v>270.94</v>
      </c>
      <c r="GP38" s="2">
        <f t="shared" si="40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1"/>
        <v>0</v>
      </c>
      <c r="GW38" s="2">
        <v>1</v>
      </c>
      <c r="GX38" s="2">
        <f t="shared" si="42"/>
        <v>0</v>
      </c>
      <c r="GY38" s="2"/>
      <c r="GZ38" s="2"/>
      <c r="HA38" s="2">
        <v>0</v>
      </c>
      <c r="HB38" s="2">
        <v>0</v>
      </c>
      <c r="HC38" s="2">
        <f t="shared" si="43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ROW(SmtRes!A20)</f>
        <v>20</v>
      </c>
      <c r="D39" s="3">
        <f>ROW(EtalonRes!A26)</f>
        <v>26</v>
      </c>
      <c r="E39" s="3" t="s">
        <v>52</v>
      </c>
      <c r="F39" s="3" t="s">
        <v>53</v>
      </c>
      <c r="G39" s="3" t="s">
        <v>54</v>
      </c>
      <c r="H39" s="3" t="s">
        <v>21</v>
      </c>
      <c r="I39" s="3">
        <v>1</v>
      </c>
      <c r="J39" s="3">
        <v>0</v>
      </c>
      <c r="K39" s="3">
        <v>1</v>
      </c>
      <c r="O39" s="3">
        <f t="shared" si="21"/>
        <v>6144.36</v>
      </c>
      <c r="P39" s="3">
        <f>ROUND((ROUND((AC39*AW39*I39),2)*BC39),2)</f>
        <v>123.92</v>
      </c>
      <c r="Q39" s="3">
        <f>(ROUND((ROUND((((ET39*1.1))*AV39*I39),2)*BB39),2)+ROUND((ROUND(((AE39-((EU39*1.1)))*AV39*I39),2)*BS39),2))</f>
        <v>1.23</v>
      </c>
      <c r="R39" s="3">
        <f>(ROUND((ROUND((((EU39*1.1))*AV39*I39),2)*BS39),2)+ROUND((ROUND(((AE39-((EU39*1.1)))*AV39*I39),2)*BS39),2))</f>
        <v>0.55000000000000004</v>
      </c>
      <c r="S39" s="3">
        <f t="shared" si="22"/>
        <v>6019.21</v>
      </c>
      <c r="T39" s="3">
        <f t="shared" si="23"/>
        <v>0</v>
      </c>
      <c r="U39" s="3">
        <f t="shared" si="24"/>
        <v>8.2922399999999996</v>
      </c>
      <c r="V39" s="3">
        <f t="shared" si="25"/>
        <v>0</v>
      </c>
      <c r="W39" s="3">
        <f t="shared" si="26"/>
        <v>0</v>
      </c>
      <c r="X39" s="3">
        <f>(ROUND((((S39+ROUND((ROUND((((EU39*1.1))*AV39*I39),2)*BS39),2))*AT39)/100),2)+ROUND(((ROUND((ROUND(((AE39-((EU39*1.1)))*AV39*I39),2)*BS39),2)*AT39)/100),2))</f>
        <v>5417.78</v>
      </c>
      <c r="Y39" s="3">
        <f>(ROUND((((S39+ROUND((ROUND((((EU39*1.1))*AV39*I39),2)*BS39),2))*AU39)/100),2)+ROUND(((ROUND((ROUND(((AE39-((EU39*1.1)))*AV39*I39),2)*BS39),2)*AU39)/100),2))</f>
        <v>2769.09</v>
      </c>
      <c r="AA39" s="3">
        <v>60258618</v>
      </c>
      <c r="AB39" s="3">
        <f t="shared" si="27"/>
        <v>117.14</v>
      </c>
      <c r="AC39" s="3">
        <f>ROUND(((ES39*1)),6)</f>
        <v>12.53</v>
      </c>
      <c r="AD39" s="3">
        <f>ROUND(((((ET39*1.1))-((EU39*1.1)))+AE39),6)</f>
        <v>6.6000000000000003E-2</v>
      </c>
      <c r="AE39" s="3">
        <f>ROUND(((EU39*1.1)),6)</f>
        <v>1.0999999999999999E-2</v>
      </c>
      <c r="AF39" s="3">
        <f>ROUND(((EV39*1.1)),6)</f>
        <v>104.544</v>
      </c>
      <c r="AG39" s="3">
        <f t="shared" si="28"/>
        <v>0</v>
      </c>
      <c r="AH39" s="3">
        <f>((EW39*1.1))</f>
        <v>7.9200000000000008</v>
      </c>
      <c r="AI39" s="3">
        <f>((EX39*1.1))</f>
        <v>0</v>
      </c>
      <c r="AJ39" s="3">
        <f t="shared" si="29"/>
        <v>0</v>
      </c>
      <c r="AK39" s="3">
        <v>107.63</v>
      </c>
      <c r="AL39" s="3">
        <v>12.53</v>
      </c>
      <c r="AM39" s="3">
        <v>0.06</v>
      </c>
      <c r="AN39" s="3">
        <v>0.01</v>
      </c>
      <c r="AO39" s="3">
        <v>95.04</v>
      </c>
      <c r="AP39" s="3">
        <v>0</v>
      </c>
      <c r="AQ39" s="3">
        <v>7.2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54.99</v>
      </c>
      <c r="BB39" s="3">
        <v>17.5</v>
      </c>
      <c r="BC39" s="3">
        <v>9.89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55</v>
      </c>
      <c r="BM39" s="3">
        <v>68</v>
      </c>
      <c r="BN39" s="3">
        <v>58973116</v>
      </c>
      <c r="BO39" s="3" t="s">
        <v>53</v>
      </c>
      <c r="BP39" s="3">
        <v>1</v>
      </c>
      <c r="BQ39" s="3">
        <v>40</v>
      </c>
      <c r="BR39" s="3">
        <v>0</v>
      </c>
      <c r="BS39" s="3">
        <v>54.99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363</v>
      </c>
      <c r="CO39" s="3">
        <v>0</v>
      </c>
      <c r="CP39" s="3">
        <f t="shared" si="30"/>
        <v>6144.36</v>
      </c>
      <c r="CQ39" s="3">
        <f>ROUND((ROUND((AC39*AW39*1),2)*BC39),2)</f>
        <v>123.92</v>
      </c>
      <c r="CR39" s="3">
        <f>(ROUND((ROUND((((ET39*1.1))*AV39*1),2)*BB39),2)+ROUND((ROUND(((AE39-((EU39*1.1)))*AV39*1),2)*BS39),2))</f>
        <v>1.23</v>
      </c>
      <c r="CS39" s="3">
        <f>(ROUND((ROUND((((EU39*1.1))*AV39*1),2)*BS39),2)+ROUND((ROUND(((AE39-((EU39*1.1)))*AV39*1),2)*BS39),2))</f>
        <v>0.55000000000000004</v>
      </c>
      <c r="CT39" s="3">
        <f t="shared" si="31"/>
        <v>6019.21</v>
      </c>
      <c r="CU39" s="3">
        <f t="shared" si="32"/>
        <v>0</v>
      </c>
      <c r="CV39" s="3">
        <f t="shared" si="33"/>
        <v>8.2922399999999996</v>
      </c>
      <c r="CW39" s="3">
        <f t="shared" si="34"/>
        <v>0</v>
      </c>
      <c r="CX39" s="3">
        <f t="shared" si="35"/>
        <v>0</v>
      </c>
      <c r="CY39" s="3">
        <f>(ROUND((((S39+ROUND((ROUND((((EU39*1.1))*AV39*1),2)*BS39),2))*AT39)/100),2)+ROUND(((ROUND((ROUND(((AE39-((EU39*1.1)))*AV39*1),2)*BS39),2)*AT39)/100),2))</f>
        <v>5417.78</v>
      </c>
      <c r="CZ39" s="3">
        <f>(ROUND((((S39+ROUND((ROUND((((EU39*1.1))*AV39*1),2)*BS39),2))*AU39)/100),2)+ROUND(((ROUND((ROUND(((AE39-((EU39*1.1)))*AV39*1),2)*BS39),2)*AU39)/100),2))</f>
        <v>2769.09</v>
      </c>
      <c r="DB39" s="3">
        <v>6</v>
      </c>
      <c r="DC39" s="3" t="s">
        <v>3</v>
      </c>
      <c r="DD39" s="3" t="s">
        <v>23</v>
      </c>
      <c r="DE39" s="3" t="s">
        <v>24</v>
      </c>
      <c r="DF39" s="3" t="s">
        <v>24</v>
      </c>
      <c r="DG39" s="3" t="s">
        <v>24</v>
      </c>
      <c r="DH39" s="3" t="s">
        <v>3</v>
      </c>
      <c r="DI39" s="3" t="s">
        <v>24</v>
      </c>
      <c r="DJ39" s="3" t="s">
        <v>24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21</v>
      </c>
      <c r="DW39" s="3" t="s">
        <v>21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60088532</v>
      </c>
      <c r="EF39" s="3">
        <v>40</v>
      </c>
      <c r="EG39" s="3" t="s">
        <v>25</v>
      </c>
      <c r="EH39" s="3">
        <v>0</v>
      </c>
      <c r="EI39" s="3" t="s">
        <v>3</v>
      </c>
      <c r="EJ39" s="3">
        <v>2</v>
      </c>
      <c r="EK39" s="3">
        <v>68</v>
      </c>
      <c r="EL39" s="3" t="s">
        <v>46</v>
      </c>
      <c r="EM39" s="3" t="s">
        <v>47</v>
      </c>
      <c r="EO39" s="3" t="s">
        <v>28</v>
      </c>
      <c r="EQ39" s="3">
        <v>0</v>
      </c>
      <c r="ER39" s="3">
        <v>107.63</v>
      </c>
      <c r="ES39" s="3">
        <v>12.53</v>
      </c>
      <c r="ET39" s="3">
        <v>0.06</v>
      </c>
      <c r="EU39" s="3">
        <v>0.01</v>
      </c>
      <c r="EV39" s="3">
        <v>95.04</v>
      </c>
      <c r="EW39" s="3">
        <v>7.2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723018335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6"/>
        <v>0</v>
      </c>
      <c r="GM39" s="3">
        <f t="shared" si="37"/>
        <v>14331.23</v>
      </c>
      <c r="GN39" s="3">
        <f t="shared" si="38"/>
        <v>0</v>
      </c>
      <c r="GO39" s="3">
        <f t="shared" si="39"/>
        <v>14331.23</v>
      </c>
      <c r="GP39" s="3">
        <f t="shared" si="40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1"/>
        <v>0</v>
      </c>
      <c r="GW39" s="3">
        <v>1</v>
      </c>
      <c r="GX39" s="3">
        <f t="shared" si="42"/>
        <v>0</v>
      </c>
      <c r="HA39" s="3">
        <v>0</v>
      </c>
      <c r="HB39" s="3">
        <v>0</v>
      </c>
      <c r="HC39" s="3">
        <f t="shared" si="43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56</v>
      </c>
      <c r="F40" s="2" t="s">
        <v>57</v>
      </c>
      <c r="G40" s="2" t="s">
        <v>58</v>
      </c>
      <c r="H40" s="2" t="s">
        <v>32</v>
      </c>
      <c r="I40" s="2">
        <v>1</v>
      </c>
      <c r="J40" s="2">
        <v>0</v>
      </c>
      <c r="K40" s="2">
        <v>1</v>
      </c>
      <c r="L40" s="2"/>
      <c r="M40" s="2"/>
      <c r="N40" s="2"/>
      <c r="O40" s="2">
        <f t="shared" si="21"/>
        <v>9985.5400000000009</v>
      </c>
      <c r="P40" s="2">
        <f>ROUND((ROUND((AC40*I40),2)*BC40),2)</f>
        <v>9985.5400000000009</v>
      </c>
      <c r="Q40" s="2">
        <f>(ROUND((ROUND(((ET40)*AV40*I40),2)*BB40),2)+ROUND((ROUND(((AE40-(EU40))*AV40*I40),2)*BS40),2))</f>
        <v>0</v>
      </c>
      <c r="R40" s="2">
        <f>(ROUND((ROUND(((EU40)*AV40*I40),2)*BS40),2)+ROUND((ROUND(((AE40-(EU40))*AV40*I40),2)*BS40),2))</f>
        <v>0</v>
      </c>
      <c r="S40" s="2">
        <f t="shared" si="22"/>
        <v>0</v>
      </c>
      <c r="T40" s="2">
        <f t="shared" si="23"/>
        <v>0</v>
      </c>
      <c r="U40" s="2">
        <f t="shared" si="24"/>
        <v>0</v>
      </c>
      <c r="V40" s="2">
        <f t="shared" si="25"/>
        <v>0</v>
      </c>
      <c r="W40" s="2">
        <f t="shared" si="26"/>
        <v>0</v>
      </c>
      <c r="X40" s="2">
        <f>(ROUND((((S40+ROUND((ROUND(((EU40)*AV40*I40),2)*BS40),2))*AT40)/100),2)+ROUND(((ROUND((ROUND(((AE40-(EU40))*AV40*I40),2)*BS40),2)*AT40)/100),2))</f>
        <v>0</v>
      </c>
      <c r="Y40" s="2">
        <f>(ROUND((((S40+ROUND((ROUND(((EU40)*AV40*I40),2)*BS40),2))*AU40)/100),2)+ROUND(((ROUND((ROUND(((AE40-(EU40))*AV40*I40),2)*BS40),2)*AU40)/100),2))</f>
        <v>0</v>
      </c>
      <c r="Z40" s="2"/>
      <c r="AA40" s="2">
        <v>60258621</v>
      </c>
      <c r="AB40" s="2">
        <f t="shared" si="27"/>
        <v>9985.5400000000009</v>
      </c>
      <c r="AC40" s="2">
        <f>ROUND((ES40),6)</f>
        <v>9985.5400000000009</v>
      </c>
      <c r="AD40" s="2">
        <f>ROUND((((ET40)-(EU40))+AE40),6)</f>
        <v>0</v>
      </c>
      <c r="AE40" s="2">
        <f>ROUND((EU40),6)</f>
        <v>0</v>
      </c>
      <c r="AF40" s="2">
        <f>ROUND((EV40),6)</f>
        <v>0</v>
      </c>
      <c r="AG40" s="2">
        <f t="shared" si="28"/>
        <v>0</v>
      </c>
      <c r="AH40" s="2">
        <f>(EW40)</f>
        <v>0</v>
      </c>
      <c r="AI40" s="2">
        <f>(EX40)</f>
        <v>0</v>
      </c>
      <c r="AJ40" s="2">
        <f t="shared" si="29"/>
        <v>0</v>
      </c>
      <c r="AK40" s="2">
        <v>9985.5399999999991</v>
      </c>
      <c r="AL40" s="2">
        <v>9985.5399999999991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3</v>
      </c>
      <c r="BJ40" s="2" t="s">
        <v>3</v>
      </c>
      <c r="BK40" s="2"/>
      <c r="BL40" s="2"/>
      <c r="BM40" s="2">
        <v>746</v>
      </c>
      <c r="BN40" s="2">
        <v>0</v>
      </c>
      <c r="BO40" s="2" t="s">
        <v>3</v>
      </c>
      <c r="BP40" s="2">
        <v>0</v>
      </c>
      <c r="BQ40" s="2">
        <v>130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3</v>
      </c>
      <c r="CO40" s="2">
        <v>0</v>
      </c>
      <c r="CP40" s="2">
        <f t="shared" si="30"/>
        <v>9985.5400000000009</v>
      </c>
      <c r="CQ40" s="2">
        <f>ROUND((ROUND((AC40*1),2)*BC40),2)</f>
        <v>9985.5400000000009</v>
      </c>
      <c r="CR40" s="2">
        <f>(ROUND((ROUND(((ET40)*AV40*1),2)*BB40),2)+ROUND((ROUND(((AE40-(EU40))*AV40*1),2)*BS40),2))</f>
        <v>0</v>
      </c>
      <c r="CS40" s="2">
        <f>(ROUND((ROUND(((EU40)*AV40*1),2)*BS40),2)+ROUND((ROUND(((AE40-(EU40))*AV40*1),2)*BS40),2))</f>
        <v>0</v>
      </c>
      <c r="CT40" s="2">
        <f t="shared" si="31"/>
        <v>0</v>
      </c>
      <c r="CU40" s="2">
        <f t="shared" si="32"/>
        <v>0</v>
      </c>
      <c r="CV40" s="2">
        <f t="shared" si="33"/>
        <v>0</v>
      </c>
      <c r="CW40" s="2">
        <f t="shared" si="34"/>
        <v>0</v>
      </c>
      <c r="CX40" s="2">
        <f t="shared" si="35"/>
        <v>0</v>
      </c>
      <c r="CY40" s="2">
        <f>(ROUND((((S40+ROUND((ROUND(((EU40)*AV40*1),2)*BS40),2))*AT40)/100),2)+ROUND(((ROUND((ROUND(((AE40-(EU40))*AV40*1),2)*BS40),2)*AT40)/100),2))</f>
        <v>0</v>
      </c>
      <c r="CZ40" s="2">
        <f>(ROUND((((S40+ROUND((ROUND(((EU40)*AV40*1),2)*BS40),2))*AU40)/100),2)+ROUND(((ROUND((ROUND(((AE40-(EU40))*AV40*1),2)*BS40),2)*AU40)/100),2))</f>
        <v>0</v>
      </c>
      <c r="DA40" s="2"/>
      <c r="DB40" s="2"/>
      <c r="DC40" s="2" t="s">
        <v>3</v>
      </c>
      <c r="DD40" s="2" t="s">
        <v>3</v>
      </c>
      <c r="DE40" s="2" t="s">
        <v>3</v>
      </c>
      <c r="DF40" s="2" t="s">
        <v>3</v>
      </c>
      <c r="DG40" s="2" t="s">
        <v>3</v>
      </c>
      <c r="DH40" s="2" t="s">
        <v>3</v>
      </c>
      <c r="DI40" s="2" t="s">
        <v>3</v>
      </c>
      <c r="DJ40" s="2" t="s">
        <v>3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32</v>
      </c>
      <c r="DW40" s="2" t="s">
        <v>32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60088638</v>
      </c>
      <c r="EF40" s="2">
        <v>130</v>
      </c>
      <c r="EG40" s="2" t="s">
        <v>33</v>
      </c>
      <c r="EH40" s="2">
        <v>0</v>
      </c>
      <c r="EI40" s="2" t="s">
        <v>3</v>
      </c>
      <c r="EJ40" s="2">
        <v>3</v>
      </c>
      <c r="EK40" s="2">
        <v>746</v>
      </c>
      <c r="EL40" s="2" t="s">
        <v>34</v>
      </c>
      <c r="EM40" s="2" t="s">
        <v>35</v>
      </c>
      <c r="EN40" s="2"/>
      <c r="EO40" s="2" t="s">
        <v>3</v>
      </c>
      <c r="EP40" s="2"/>
      <c r="EQ40" s="2">
        <v>0</v>
      </c>
      <c r="ER40" s="2">
        <v>0</v>
      </c>
      <c r="ES40" s="2">
        <v>9985.5399999999991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f>P40</f>
        <v>9985.5400000000009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59</v>
      </c>
      <c r="GB40" s="2"/>
      <c r="GC40" s="2"/>
      <c r="GD40" s="2">
        <v>1</v>
      </c>
      <c r="GE40" s="2"/>
      <c r="GF40" s="2">
        <v>1190544240</v>
      </c>
      <c r="GG40" s="2">
        <v>2</v>
      </c>
      <c r="GH40" s="2">
        <v>4</v>
      </c>
      <c r="GI40" s="2">
        <v>-2</v>
      </c>
      <c r="GJ40" s="2">
        <v>0</v>
      </c>
      <c r="GK40" s="2">
        <v>0</v>
      </c>
      <c r="GL40" s="2">
        <f t="shared" si="36"/>
        <v>0</v>
      </c>
      <c r="GM40" s="2">
        <f t="shared" si="37"/>
        <v>9985.5400000000009</v>
      </c>
      <c r="GN40" s="2">
        <f t="shared" si="38"/>
        <v>0</v>
      </c>
      <c r="GO40" s="2">
        <f t="shared" si="39"/>
        <v>0</v>
      </c>
      <c r="GP40" s="2">
        <f t="shared" si="40"/>
        <v>0</v>
      </c>
      <c r="GQ40" s="2"/>
      <c r="GR40" s="2">
        <v>0</v>
      </c>
      <c r="GS40" s="2">
        <v>2</v>
      </c>
      <c r="GT40" s="2">
        <v>0</v>
      </c>
      <c r="GU40" s="2" t="s">
        <v>3</v>
      </c>
      <c r="GV40" s="2">
        <f t="shared" si="41"/>
        <v>0</v>
      </c>
      <c r="GW40" s="2">
        <v>1</v>
      </c>
      <c r="GX40" s="2">
        <f t="shared" si="42"/>
        <v>0</v>
      </c>
      <c r="GY40" s="2"/>
      <c r="GZ40" s="2"/>
      <c r="HA40" s="2">
        <v>0</v>
      </c>
      <c r="HB40" s="2">
        <v>0</v>
      </c>
      <c r="HC40" s="2">
        <f t="shared" si="43"/>
        <v>0</v>
      </c>
      <c r="HD40" s="2"/>
      <c r="HE40" s="2" t="s">
        <v>37</v>
      </c>
      <c r="HF40" s="2" t="s">
        <v>38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E41" s="3" t="s">
        <v>56</v>
      </c>
      <c r="F41" s="3" t="s">
        <v>57</v>
      </c>
      <c r="G41" s="3" t="s">
        <v>58</v>
      </c>
      <c r="H41" s="3" t="s">
        <v>32</v>
      </c>
      <c r="I41" s="3">
        <v>1</v>
      </c>
      <c r="J41" s="3">
        <v>0</v>
      </c>
      <c r="K41" s="3">
        <v>1</v>
      </c>
      <c r="O41" s="3">
        <f t="shared" si="21"/>
        <v>76489.240000000005</v>
      </c>
      <c r="P41" s="3">
        <f>ROUND((ROUND((AC41*I41),2)*BC41),2)</f>
        <v>76489.240000000005</v>
      </c>
      <c r="Q41" s="3">
        <f>(ROUND((ROUND(((ET41)*AV41*I41),2)*BB41),2)+ROUND((ROUND(((AE41-(EU41))*AV41*I41),2)*BS41),2))</f>
        <v>0</v>
      </c>
      <c r="R41" s="3">
        <f>(ROUND((ROUND(((EU41)*AV41*I41),2)*BS41),2)+ROUND((ROUND(((AE41-(EU41))*AV41*I41),2)*BS41),2))</f>
        <v>0</v>
      </c>
      <c r="S41" s="3">
        <f t="shared" si="22"/>
        <v>0</v>
      </c>
      <c r="T41" s="3">
        <f t="shared" si="23"/>
        <v>0</v>
      </c>
      <c r="U41" s="3">
        <f t="shared" si="24"/>
        <v>0</v>
      </c>
      <c r="V41" s="3">
        <f t="shared" si="25"/>
        <v>0</v>
      </c>
      <c r="W41" s="3">
        <f t="shared" si="26"/>
        <v>0</v>
      </c>
      <c r="X41" s="3">
        <f>(ROUND((((S41+ROUND((ROUND(((EU41)*AV41*I41),2)*BS41),2))*AT41)/100),2)+ROUND(((ROUND((ROUND(((AE41-(EU41))*AV41*I41),2)*BS41),2)*AT41)/100),2))</f>
        <v>0</v>
      </c>
      <c r="Y41" s="3">
        <f>(ROUND((((S41+ROUND((ROUND(((EU41)*AV41*I41),2)*BS41),2))*AU41)/100),2)+ROUND(((ROUND((ROUND(((AE41-(EU41))*AV41*I41),2)*BS41),2)*AU41)/100),2))</f>
        <v>0</v>
      </c>
      <c r="AA41" s="3">
        <v>60258618</v>
      </c>
      <c r="AB41" s="3">
        <f t="shared" si="27"/>
        <v>9985.5400000000009</v>
      </c>
      <c r="AC41" s="3">
        <f>ROUND((ES41),6)</f>
        <v>9985.5400000000009</v>
      </c>
      <c r="AD41" s="3">
        <f>ROUND((((ET41)-(EU41))+AE41),6)</f>
        <v>0</v>
      </c>
      <c r="AE41" s="3">
        <f>ROUND((EU41),6)</f>
        <v>0</v>
      </c>
      <c r="AF41" s="3">
        <f>ROUND((EV41),6)</f>
        <v>0</v>
      </c>
      <c r="AG41" s="3">
        <f t="shared" si="28"/>
        <v>0</v>
      </c>
      <c r="AH41" s="3">
        <f>(EW41)</f>
        <v>0</v>
      </c>
      <c r="AI41" s="3">
        <f>(EX41)</f>
        <v>0</v>
      </c>
      <c r="AJ41" s="3">
        <f t="shared" si="29"/>
        <v>0</v>
      </c>
      <c r="AK41" s="3">
        <v>9985.5399999999991</v>
      </c>
      <c r="AL41" s="3">
        <v>9985.5399999999991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1</v>
      </c>
      <c r="AW41" s="3">
        <v>1</v>
      </c>
      <c r="AZ41" s="3">
        <v>1</v>
      </c>
      <c r="BA41" s="3">
        <v>1</v>
      </c>
      <c r="BB41" s="3">
        <v>1</v>
      </c>
      <c r="BC41" s="3">
        <v>7.66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3</v>
      </c>
      <c r="BI41" s="3">
        <v>3</v>
      </c>
      <c r="BJ41" s="3" t="s">
        <v>3</v>
      </c>
      <c r="BM41" s="3">
        <v>746</v>
      </c>
      <c r="BN41" s="3">
        <v>0</v>
      </c>
      <c r="BO41" s="3" t="s">
        <v>3</v>
      </c>
      <c r="BP41" s="3">
        <v>0</v>
      </c>
      <c r="BQ41" s="3">
        <v>130</v>
      </c>
      <c r="BR41" s="3">
        <v>0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0</v>
      </c>
      <c r="CA41" s="3">
        <v>0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3</v>
      </c>
      <c r="CO41" s="3">
        <v>0</v>
      </c>
      <c r="CP41" s="3">
        <f t="shared" si="30"/>
        <v>76489.240000000005</v>
      </c>
      <c r="CQ41" s="3">
        <f>ROUND((ROUND((AC41*1),2)*BC41),2)</f>
        <v>76489.240000000005</v>
      </c>
      <c r="CR41" s="3">
        <f>(ROUND((ROUND(((ET41)*AV41*1),2)*BB41),2)+ROUND((ROUND(((AE41-(EU41))*AV41*1),2)*BS41),2))</f>
        <v>0</v>
      </c>
      <c r="CS41" s="3">
        <f>(ROUND((ROUND(((EU41)*AV41*1),2)*BS41),2)+ROUND((ROUND(((AE41-(EU41))*AV41*1),2)*BS41),2))</f>
        <v>0</v>
      </c>
      <c r="CT41" s="3">
        <f t="shared" si="31"/>
        <v>0</v>
      </c>
      <c r="CU41" s="3">
        <f t="shared" si="32"/>
        <v>0</v>
      </c>
      <c r="CV41" s="3">
        <f t="shared" si="33"/>
        <v>0</v>
      </c>
      <c r="CW41" s="3">
        <f t="shared" si="34"/>
        <v>0</v>
      </c>
      <c r="CX41" s="3">
        <f t="shared" si="35"/>
        <v>0</v>
      </c>
      <c r="CY41" s="3">
        <f>(ROUND((((S41+ROUND((ROUND(((EU41)*AV41*1),2)*BS41),2))*AT41)/100),2)+ROUND(((ROUND((ROUND(((AE41-(EU41))*AV41*1),2)*BS41),2)*AT41)/100),2))</f>
        <v>0</v>
      </c>
      <c r="CZ41" s="3">
        <f>(ROUND((((S41+ROUND((ROUND(((EU41)*AV41*1),2)*BS41),2))*AU41)/100),2)+ROUND(((ROUND((ROUND(((AE41-(EU41))*AV41*1),2)*BS41),2)*AU41)/100),2))</f>
        <v>0</v>
      </c>
      <c r="DC41" s="3" t="s">
        <v>3</v>
      </c>
      <c r="DD41" s="3" t="s">
        <v>3</v>
      </c>
      <c r="DE41" s="3" t="s">
        <v>3</v>
      </c>
      <c r="DF41" s="3" t="s">
        <v>3</v>
      </c>
      <c r="DG41" s="3" t="s">
        <v>3</v>
      </c>
      <c r="DH41" s="3" t="s">
        <v>3</v>
      </c>
      <c r="DI41" s="3" t="s">
        <v>3</v>
      </c>
      <c r="DJ41" s="3" t="s">
        <v>3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32</v>
      </c>
      <c r="DW41" s="3" t="s">
        <v>32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60088638</v>
      </c>
      <c r="EF41" s="3">
        <v>130</v>
      </c>
      <c r="EG41" s="3" t="s">
        <v>33</v>
      </c>
      <c r="EH41" s="3">
        <v>0</v>
      </c>
      <c r="EI41" s="3" t="s">
        <v>3</v>
      </c>
      <c r="EJ41" s="3">
        <v>3</v>
      </c>
      <c r="EK41" s="3">
        <v>746</v>
      </c>
      <c r="EL41" s="3" t="s">
        <v>34</v>
      </c>
      <c r="EM41" s="3" t="s">
        <v>35</v>
      </c>
      <c r="EO41" s="3" t="s">
        <v>3</v>
      </c>
      <c r="EQ41" s="3">
        <v>0</v>
      </c>
      <c r="ER41" s="3">
        <v>0</v>
      </c>
      <c r="ES41" s="3">
        <v>9985.5399999999991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5</v>
      </c>
      <c r="FC41" s="3">
        <v>1</v>
      </c>
      <c r="FD41" s="3">
        <v>18</v>
      </c>
      <c r="FF41" s="3">
        <v>88057</v>
      </c>
      <c r="FQ41" s="3">
        <v>0</v>
      </c>
      <c r="FR41" s="3">
        <f>P41</f>
        <v>76489.240000000005</v>
      </c>
      <c r="FS41" s="3">
        <v>0</v>
      </c>
      <c r="FX41" s="3">
        <v>0</v>
      </c>
      <c r="FY41" s="3">
        <v>0</v>
      </c>
      <c r="GA41" s="3" t="s">
        <v>59</v>
      </c>
      <c r="GD41" s="3">
        <v>1</v>
      </c>
      <c r="GF41" s="3">
        <v>1190544240</v>
      </c>
      <c r="GG41" s="3">
        <v>2</v>
      </c>
      <c r="GH41" s="3">
        <v>3</v>
      </c>
      <c r="GI41" s="3">
        <v>5</v>
      </c>
      <c r="GJ41" s="3">
        <v>0</v>
      </c>
      <c r="GK41" s="3">
        <v>0</v>
      </c>
      <c r="GL41" s="3">
        <f t="shared" si="36"/>
        <v>0</v>
      </c>
      <c r="GM41" s="3">
        <f t="shared" si="37"/>
        <v>76489.240000000005</v>
      </c>
      <c r="GN41" s="3">
        <f t="shared" si="38"/>
        <v>0</v>
      </c>
      <c r="GO41" s="3">
        <f t="shared" si="39"/>
        <v>0</v>
      </c>
      <c r="GP41" s="3">
        <f t="shared" si="40"/>
        <v>0</v>
      </c>
      <c r="GR41" s="3">
        <v>1</v>
      </c>
      <c r="GS41" s="3">
        <v>1</v>
      </c>
      <c r="GT41" s="3">
        <v>0</v>
      </c>
      <c r="GU41" s="3" t="s">
        <v>3</v>
      </c>
      <c r="GV41" s="3">
        <f t="shared" si="41"/>
        <v>0</v>
      </c>
      <c r="GW41" s="3">
        <v>1</v>
      </c>
      <c r="GX41" s="3">
        <f t="shared" si="42"/>
        <v>0</v>
      </c>
      <c r="HA41" s="3">
        <v>0</v>
      </c>
      <c r="HB41" s="3">
        <v>0</v>
      </c>
      <c r="HC41" s="3">
        <f t="shared" si="43"/>
        <v>0</v>
      </c>
      <c r="HE41" s="3" t="s">
        <v>37</v>
      </c>
      <c r="HF41" s="3" t="s">
        <v>38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ROW(SmtRes!A21)</f>
        <v>21</v>
      </c>
      <c r="D42" s="2">
        <f>ROW(EtalonRes!A27)</f>
        <v>27</v>
      </c>
      <c r="E42" s="2" t="s">
        <v>60</v>
      </c>
      <c r="F42" s="2" t="s">
        <v>61</v>
      </c>
      <c r="G42" s="2" t="s">
        <v>62</v>
      </c>
      <c r="H42" s="2" t="s">
        <v>21</v>
      </c>
      <c r="I42" s="2">
        <v>1</v>
      </c>
      <c r="J42" s="2">
        <v>0</v>
      </c>
      <c r="K42" s="2">
        <v>1</v>
      </c>
      <c r="L42" s="2"/>
      <c r="M42" s="2"/>
      <c r="N42" s="2"/>
      <c r="O42" s="2">
        <f t="shared" si="21"/>
        <v>20.53</v>
      </c>
      <c r="P42" s="2">
        <f>ROUND((ROUND((AC42*AW42*I42),2)*BC42),2)</f>
        <v>1.96</v>
      </c>
      <c r="Q42" s="2">
        <f>(ROUND((ROUND((((ET42*1.1))*AV42*I42),2)*BB42),2)+ROUND((ROUND(((AE42-((EU42*1.1)))*AV42*I42),2)*BS42),2))</f>
        <v>0.06</v>
      </c>
      <c r="R42" s="2">
        <f>(ROUND((ROUND((((EU42*1.1))*AV42*I42),2)*BS42),2)+ROUND((ROUND(((AE42-((EU42*1.1)))*AV42*I42),2)*BS42),2))</f>
        <v>0.01</v>
      </c>
      <c r="S42" s="2">
        <f t="shared" si="22"/>
        <v>18.510000000000002</v>
      </c>
      <c r="T42" s="2">
        <f t="shared" si="23"/>
        <v>0</v>
      </c>
      <c r="U42" s="2">
        <f t="shared" si="24"/>
        <v>1.3820399999999999</v>
      </c>
      <c r="V42" s="2">
        <f t="shared" si="25"/>
        <v>0</v>
      </c>
      <c r="W42" s="2">
        <f t="shared" si="26"/>
        <v>0</v>
      </c>
      <c r="X42" s="2">
        <f>(ROUND((((S42+ROUND((ROUND((((EU42*1.1))*AV42*I42),2)*BS42),2))*AT42)/100),2)+ROUND(((ROUND((ROUND(((AE42-((EU42*1.1)))*AV42*I42),2)*BS42),2)*AT42)/100),2))</f>
        <v>16.670000000000002</v>
      </c>
      <c r="Y42" s="2">
        <f>(ROUND((((S42+ROUND((ROUND((((EU42*1.1))*AV42*I42),2)*BS42),2))*AU42)/100),2)+ROUND(((ROUND((ROUND(((AE42-((EU42*1.1)))*AV42*I42),2)*BS42),2)*AU42)/100),2))</f>
        <v>8.52</v>
      </c>
      <c r="Z42" s="2"/>
      <c r="AA42" s="2">
        <v>60258621</v>
      </c>
      <c r="AB42" s="2">
        <f t="shared" si="27"/>
        <v>19.692</v>
      </c>
      <c r="AC42" s="2">
        <f>ROUND(((ES42*1)),6)</f>
        <v>1.96</v>
      </c>
      <c r="AD42" s="2">
        <f>ROUND(((((ET42*1.1))-((EU42*1.1)))+AE42),6)</f>
        <v>5.5E-2</v>
      </c>
      <c r="AE42" s="2">
        <f>ROUND(((EU42*1.1)),6)</f>
        <v>1.0999999999999999E-2</v>
      </c>
      <c r="AF42" s="2">
        <f>ROUND(((EV42*1.1)),6)</f>
        <v>17.677</v>
      </c>
      <c r="AG42" s="2">
        <f t="shared" si="28"/>
        <v>0</v>
      </c>
      <c r="AH42" s="2">
        <f>((EW42*1.1))</f>
        <v>1.32</v>
      </c>
      <c r="AI42" s="2">
        <f>((EX42*1.1))</f>
        <v>0</v>
      </c>
      <c r="AJ42" s="2">
        <f t="shared" si="29"/>
        <v>0</v>
      </c>
      <c r="AK42" s="2">
        <v>18.079999999999998</v>
      </c>
      <c r="AL42" s="2">
        <v>1.96</v>
      </c>
      <c r="AM42" s="2">
        <v>0.05</v>
      </c>
      <c r="AN42" s="2">
        <v>0.01</v>
      </c>
      <c r="AO42" s="2">
        <v>16.07</v>
      </c>
      <c r="AP42" s="2">
        <v>0</v>
      </c>
      <c r="AQ42" s="2">
        <v>1.2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63</v>
      </c>
      <c r="BK42" s="2"/>
      <c r="BL42" s="2"/>
      <c r="BM42" s="2">
        <v>68</v>
      </c>
      <c r="BN42" s="2">
        <v>58973116</v>
      </c>
      <c r="BO42" s="2" t="s">
        <v>61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363</v>
      </c>
      <c r="CO42" s="2">
        <v>0</v>
      </c>
      <c r="CP42" s="2">
        <f t="shared" si="30"/>
        <v>20.53</v>
      </c>
      <c r="CQ42" s="2">
        <f>ROUND((ROUND((AC42*AW42*1),2)*BC42),2)</f>
        <v>1.96</v>
      </c>
      <c r="CR42" s="2">
        <f>(ROUND((ROUND((((ET42*1.1))*AV42*1),2)*BB42),2)+ROUND((ROUND(((AE42-((EU42*1.1)))*AV42*1),2)*BS42),2))</f>
        <v>0.06</v>
      </c>
      <c r="CS42" s="2">
        <f>(ROUND((ROUND((((EU42*1.1))*AV42*1),2)*BS42),2)+ROUND((ROUND(((AE42-((EU42*1.1)))*AV42*1),2)*BS42),2))</f>
        <v>0.01</v>
      </c>
      <c r="CT42" s="2">
        <f t="shared" si="31"/>
        <v>18.510000000000002</v>
      </c>
      <c r="CU42" s="2">
        <f t="shared" si="32"/>
        <v>0</v>
      </c>
      <c r="CV42" s="2">
        <f t="shared" si="33"/>
        <v>1.3820399999999999</v>
      </c>
      <c r="CW42" s="2">
        <f t="shared" si="34"/>
        <v>0</v>
      </c>
      <c r="CX42" s="2">
        <f t="shared" si="35"/>
        <v>0</v>
      </c>
      <c r="CY42" s="2">
        <f>(ROUND((((S42+ROUND((ROUND((((EU42*1.1))*AV42*1),2)*BS42),2))*AT42)/100),2)+ROUND(((ROUND((ROUND(((AE42-((EU42*1.1)))*AV42*1),2)*BS42),2)*AT42)/100),2))</f>
        <v>16.670000000000002</v>
      </c>
      <c r="CZ42" s="2">
        <f>(ROUND((((S42+ROUND((ROUND((((EU42*1.1))*AV42*1),2)*BS42),2))*AU42)/100),2)+ROUND(((ROUND((ROUND(((AE42-((EU42*1.1)))*AV42*1),2)*BS42),2)*AU42)/100),2))</f>
        <v>8.52</v>
      </c>
      <c r="DA42" s="2"/>
      <c r="DB42" s="2">
        <v>7</v>
      </c>
      <c r="DC42" s="2" t="s">
        <v>3</v>
      </c>
      <c r="DD42" s="2" t="s">
        <v>23</v>
      </c>
      <c r="DE42" s="2" t="s">
        <v>24</v>
      </c>
      <c r="DF42" s="2" t="s">
        <v>24</v>
      </c>
      <c r="DG42" s="2" t="s">
        <v>24</v>
      </c>
      <c r="DH42" s="2" t="s">
        <v>3</v>
      </c>
      <c r="DI42" s="2" t="s">
        <v>24</v>
      </c>
      <c r="DJ42" s="2" t="s">
        <v>24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21</v>
      </c>
      <c r="DW42" s="2" t="s">
        <v>21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60088532</v>
      </c>
      <c r="EF42" s="2">
        <v>40</v>
      </c>
      <c r="EG42" s="2" t="s">
        <v>25</v>
      </c>
      <c r="EH42" s="2">
        <v>0</v>
      </c>
      <c r="EI42" s="2" t="s">
        <v>3</v>
      </c>
      <c r="EJ42" s="2">
        <v>2</v>
      </c>
      <c r="EK42" s="2">
        <v>68</v>
      </c>
      <c r="EL42" s="2" t="s">
        <v>46</v>
      </c>
      <c r="EM42" s="2" t="s">
        <v>47</v>
      </c>
      <c r="EN42" s="2"/>
      <c r="EO42" s="2" t="s">
        <v>28</v>
      </c>
      <c r="EP42" s="2"/>
      <c r="EQ42" s="2">
        <v>0</v>
      </c>
      <c r="ER42" s="2">
        <v>18.079999999999998</v>
      </c>
      <c r="ES42" s="2">
        <v>1.96</v>
      </c>
      <c r="ET42" s="2">
        <v>0.05</v>
      </c>
      <c r="EU42" s="2">
        <v>0.01</v>
      </c>
      <c r="EV42" s="2">
        <v>16.07</v>
      </c>
      <c r="EW42" s="2">
        <v>1.2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1665592289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6"/>
        <v>0</v>
      </c>
      <c r="GM42" s="2">
        <f t="shared" si="37"/>
        <v>45.72</v>
      </c>
      <c r="GN42" s="2">
        <f t="shared" si="38"/>
        <v>0</v>
      </c>
      <c r="GO42" s="2">
        <f t="shared" si="39"/>
        <v>45.72</v>
      </c>
      <c r="GP42" s="2">
        <f t="shared" si="40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1"/>
        <v>0</v>
      </c>
      <c r="GW42" s="2">
        <v>1</v>
      </c>
      <c r="GX42" s="2">
        <f t="shared" si="42"/>
        <v>0</v>
      </c>
      <c r="GY42" s="2"/>
      <c r="GZ42" s="2"/>
      <c r="HA42" s="2">
        <v>0</v>
      </c>
      <c r="HB42" s="2">
        <v>0</v>
      </c>
      <c r="HC42" s="2">
        <f t="shared" si="43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ROW(SmtRes!A22)</f>
        <v>22</v>
      </c>
      <c r="D43" s="3">
        <f>ROW(EtalonRes!A28)</f>
        <v>28</v>
      </c>
      <c r="E43" s="3" t="s">
        <v>60</v>
      </c>
      <c r="F43" s="3" t="s">
        <v>61</v>
      </c>
      <c r="G43" s="3" t="s">
        <v>62</v>
      </c>
      <c r="H43" s="3" t="s">
        <v>21</v>
      </c>
      <c r="I43" s="3">
        <v>1</v>
      </c>
      <c r="J43" s="3">
        <v>0</v>
      </c>
      <c r="K43" s="3">
        <v>1</v>
      </c>
      <c r="O43" s="3">
        <f t="shared" si="21"/>
        <v>1038.3800000000001</v>
      </c>
      <c r="P43" s="3">
        <f>ROUND((ROUND((AC43*AW43*I43),2)*BC43),2)</f>
        <v>19.38</v>
      </c>
      <c r="Q43" s="3">
        <f>(ROUND((ROUND((((ET43*1.1))*AV43*I43),2)*BB43),2)+ROUND((ROUND(((AE43-((EU43*1.1)))*AV43*I43),2)*BS43),2))</f>
        <v>1.1399999999999999</v>
      </c>
      <c r="R43" s="3">
        <f>(ROUND((ROUND((((EU43*1.1))*AV43*I43),2)*BS43),2)+ROUND((ROUND(((AE43-((EU43*1.1)))*AV43*I43),2)*BS43),2))</f>
        <v>0.55000000000000004</v>
      </c>
      <c r="S43" s="3">
        <f t="shared" si="22"/>
        <v>1017.86</v>
      </c>
      <c r="T43" s="3">
        <f t="shared" si="23"/>
        <v>0</v>
      </c>
      <c r="U43" s="3">
        <f t="shared" si="24"/>
        <v>1.3820399999999999</v>
      </c>
      <c r="V43" s="3">
        <f t="shared" si="25"/>
        <v>0</v>
      </c>
      <c r="W43" s="3">
        <f t="shared" si="26"/>
        <v>0</v>
      </c>
      <c r="X43" s="3">
        <f>(ROUND((((S43+ROUND((ROUND((((EU43*1.1))*AV43*I43),2)*BS43),2))*AT43)/100),2)+ROUND(((ROUND((ROUND(((AE43-((EU43*1.1)))*AV43*I43),2)*BS43),2)*AT43)/100),2))</f>
        <v>916.57</v>
      </c>
      <c r="Y43" s="3">
        <f>(ROUND((((S43+ROUND((ROUND((((EU43*1.1))*AV43*I43),2)*BS43),2))*AU43)/100),2)+ROUND(((ROUND((ROUND(((AE43-((EU43*1.1)))*AV43*I43),2)*BS43),2)*AU43)/100),2))</f>
        <v>468.47</v>
      </c>
      <c r="AA43" s="3">
        <v>60258618</v>
      </c>
      <c r="AB43" s="3">
        <f t="shared" si="27"/>
        <v>19.692</v>
      </c>
      <c r="AC43" s="3">
        <f>ROUND(((ES43*1)),6)</f>
        <v>1.96</v>
      </c>
      <c r="AD43" s="3">
        <f>ROUND(((((ET43*1.1))-((EU43*1.1)))+AE43),6)</f>
        <v>5.5E-2</v>
      </c>
      <c r="AE43" s="3">
        <f>ROUND(((EU43*1.1)),6)</f>
        <v>1.0999999999999999E-2</v>
      </c>
      <c r="AF43" s="3">
        <f>ROUND(((EV43*1.1)),6)</f>
        <v>17.677</v>
      </c>
      <c r="AG43" s="3">
        <f t="shared" si="28"/>
        <v>0</v>
      </c>
      <c r="AH43" s="3">
        <f>((EW43*1.1))</f>
        <v>1.32</v>
      </c>
      <c r="AI43" s="3">
        <f>((EX43*1.1))</f>
        <v>0</v>
      </c>
      <c r="AJ43" s="3">
        <f t="shared" si="29"/>
        <v>0</v>
      </c>
      <c r="AK43" s="3">
        <v>18.079999999999998</v>
      </c>
      <c r="AL43" s="3">
        <v>1.96</v>
      </c>
      <c r="AM43" s="3">
        <v>0.05</v>
      </c>
      <c r="AN43" s="3">
        <v>0.01</v>
      </c>
      <c r="AO43" s="3">
        <v>16.07</v>
      </c>
      <c r="AP43" s="3">
        <v>0</v>
      </c>
      <c r="AQ43" s="3">
        <v>1.2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54.99</v>
      </c>
      <c r="BB43" s="3">
        <v>19</v>
      </c>
      <c r="BC43" s="3">
        <v>9.89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63</v>
      </c>
      <c r="BM43" s="3">
        <v>68</v>
      </c>
      <c r="BN43" s="3">
        <v>58973116</v>
      </c>
      <c r="BO43" s="3" t="s">
        <v>61</v>
      </c>
      <c r="BP43" s="3">
        <v>1</v>
      </c>
      <c r="BQ43" s="3">
        <v>40</v>
      </c>
      <c r="BR43" s="3">
        <v>0</v>
      </c>
      <c r="BS43" s="3">
        <v>54.99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363</v>
      </c>
      <c r="CO43" s="3">
        <v>0</v>
      </c>
      <c r="CP43" s="3">
        <f t="shared" si="30"/>
        <v>1038.3800000000001</v>
      </c>
      <c r="CQ43" s="3">
        <f>ROUND((ROUND((AC43*AW43*1),2)*BC43),2)</f>
        <v>19.38</v>
      </c>
      <c r="CR43" s="3">
        <f>(ROUND((ROUND((((ET43*1.1))*AV43*1),2)*BB43),2)+ROUND((ROUND(((AE43-((EU43*1.1)))*AV43*1),2)*BS43),2))</f>
        <v>1.1399999999999999</v>
      </c>
      <c r="CS43" s="3">
        <f>(ROUND((ROUND((((EU43*1.1))*AV43*1),2)*BS43),2)+ROUND((ROUND(((AE43-((EU43*1.1)))*AV43*1),2)*BS43),2))</f>
        <v>0.55000000000000004</v>
      </c>
      <c r="CT43" s="3">
        <f t="shared" si="31"/>
        <v>1017.86</v>
      </c>
      <c r="CU43" s="3">
        <f t="shared" si="32"/>
        <v>0</v>
      </c>
      <c r="CV43" s="3">
        <f t="shared" si="33"/>
        <v>1.3820399999999999</v>
      </c>
      <c r="CW43" s="3">
        <f t="shared" si="34"/>
        <v>0</v>
      </c>
      <c r="CX43" s="3">
        <f t="shared" si="35"/>
        <v>0</v>
      </c>
      <c r="CY43" s="3">
        <f>(ROUND((((S43+ROUND((ROUND((((EU43*1.1))*AV43*1),2)*BS43),2))*AT43)/100),2)+ROUND(((ROUND((ROUND(((AE43-((EU43*1.1)))*AV43*1),2)*BS43),2)*AT43)/100),2))</f>
        <v>916.57</v>
      </c>
      <c r="CZ43" s="3">
        <f>(ROUND((((S43+ROUND((ROUND((((EU43*1.1))*AV43*1),2)*BS43),2))*AU43)/100),2)+ROUND(((ROUND((ROUND(((AE43-((EU43*1.1)))*AV43*1),2)*BS43),2)*AU43)/100),2))</f>
        <v>468.47</v>
      </c>
      <c r="DB43" s="3">
        <v>8</v>
      </c>
      <c r="DC43" s="3" t="s">
        <v>3</v>
      </c>
      <c r="DD43" s="3" t="s">
        <v>23</v>
      </c>
      <c r="DE43" s="3" t="s">
        <v>24</v>
      </c>
      <c r="DF43" s="3" t="s">
        <v>24</v>
      </c>
      <c r="DG43" s="3" t="s">
        <v>24</v>
      </c>
      <c r="DH43" s="3" t="s">
        <v>3</v>
      </c>
      <c r="DI43" s="3" t="s">
        <v>24</v>
      </c>
      <c r="DJ43" s="3" t="s">
        <v>24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21</v>
      </c>
      <c r="DW43" s="3" t="s">
        <v>21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60088532</v>
      </c>
      <c r="EF43" s="3">
        <v>40</v>
      </c>
      <c r="EG43" s="3" t="s">
        <v>25</v>
      </c>
      <c r="EH43" s="3">
        <v>0</v>
      </c>
      <c r="EI43" s="3" t="s">
        <v>3</v>
      </c>
      <c r="EJ43" s="3">
        <v>2</v>
      </c>
      <c r="EK43" s="3">
        <v>68</v>
      </c>
      <c r="EL43" s="3" t="s">
        <v>46</v>
      </c>
      <c r="EM43" s="3" t="s">
        <v>47</v>
      </c>
      <c r="EO43" s="3" t="s">
        <v>28</v>
      </c>
      <c r="EQ43" s="3">
        <v>0</v>
      </c>
      <c r="ER43" s="3">
        <v>18.079999999999998</v>
      </c>
      <c r="ES43" s="3">
        <v>1.96</v>
      </c>
      <c r="ET43" s="3">
        <v>0.05</v>
      </c>
      <c r="EU43" s="3">
        <v>0.01</v>
      </c>
      <c r="EV43" s="3">
        <v>16.07</v>
      </c>
      <c r="EW43" s="3">
        <v>1.2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1665592289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6"/>
        <v>0</v>
      </c>
      <c r="GM43" s="3">
        <f t="shared" si="37"/>
        <v>2423.42</v>
      </c>
      <c r="GN43" s="3">
        <f t="shared" si="38"/>
        <v>0</v>
      </c>
      <c r="GO43" s="3">
        <f t="shared" si="39"/>
        <v>2423.42</v>
      </c>
      <c r="GP43" s="3">
        <f t="shared" si="40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1"/>
        <v>0</v>
      </c>
      <c r="GW43" s="3">
        <v>1</v>
      </c>
      <c r="GX43" s="3">
        <f t="shared" si="42"/>
        <v>0</v>
      </c>
      <c r="HA43" s="3">
        <v>0</v>
      </c>
      <c r="HB43" s="3">
        <v>0</v>
      </c>
      <c r="HC43" s="3">
        <f t="shared" si="43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/>
      <c r="D44" s="2"/>
      <c r="E44" s="2" t="s">
        <v>64</v>
      </c>
      <c r="F44" s="2" t="s">
        <v>65</v>
      </c>
      <c r="G44" s="2" t="s">
        <v>66</v>
      </c>
      <c r="H44" s="2" t="s">
        <v>32</v>
      </c>
      <c r="I44" s="2">
        <v>1</v>
      </c>
      <c r="J44" s="2">
        <v>0</v>
      </c>
      <c r="K44" s="2">
        <v>1</v>
      </c>
      <c r="L44" s="2"/>
      <c r="M44" s="2"/>
      <c r="N44" s="2"/>
      <c r="O44" s="2">
        <f t="shared" si="21"/>
        <v>997.8</v>
      </c>
      <c r="P44" s="2">
        <f>ROUND((ROUND((AC44*I44),2)*BC44),2)</f>
        <v>997.8</v>
      </c>
      <c r="Q44" s="2">
        <f>(ROUND((ROUND(((ET44)*AV44*I44),2)*BB44),2)+ROUND((ROUND(((AE44-(EU44))*AV44*I44),2)*BS44),2))</f>
        <v>0</v>
      </c>
      <c r="R44" s="2">
        <f>(ROUND((ROUND(((EU44)*AV44*I44),2)*BS44),2)+ROUND((ROUND(((AE44-(EU44))*AV44*I44),2)*BS44),2))</f>
        <v>0</v>
      </c>
      <c r="S44" s="2">
        <f t="shared" si="22"/>
        <v>0</v>
      </c>
      <c r="T44" s="2">
        <f t="shared" si="23"/>
        <v>0</v>
      </c>
      <c r="U44" s="2">
        <f t="shared" si="24"/>
        <v>0</v>
      </c>
      <c r="V44" s="2">
        <f t="shared" si="25"/>
        <v>0</v>
      </c>
      <c r="W44" s="2">
        <f t="shared" si="26"/>
        <v>0</v>
      </c>
      <c r="X44" s="2">
        <f>(ROUND((((S44+ROUND((ROUND(((EU44)*AV44*I44),2)*BS44),2))*AT44)/100),2)+ROUND(((ROUND((ROUND(((AE44-(EU44))*AV44*I44),2)*BS44),2)*AT44)/100),2))</f>
        <v>0</v>
      </c>
      <c r="Y44" s="2">
        <f>(ROUND((((S44+ROUND((ROUND(((EU44)*AV44*I44),2)*BS44),2))*AU44)/100),2)+ROUND(((ROUND((ROUND(((AE44-(EU44))*AV44*I44),2)*BS44),2)*AU44)/100),2))</f>
        <v>0</v>
      </c>
      <c r="Z44" s="2"/>
      <c r="AA44" s="2">
        <v>60258621</v>
      </c>
      <c r="AB44" s="2">
        <f t="shared" si="27"/>
        <v>997.8</v>
      </c>
      <c r="AC44" s="2">
        <f>ROUND((ES44),6)</f>
        <v>997.8</v>
      </c>
      <c r="AD44" s="2">
        <f>ROUND((((ET44)-(EU44))+AE44),6)</f>
        <v>0</v>
      </c>
      <c r="AE44" s="2">
        <f>ROUND((EU44),6)</f>
        <v>0</v>
      </c>
      <c r="AF44" s="2">
        <f>ROUND((EV44),6)</f>
        <v>0</v>
      </c>
      <c r="AG44" s="2">
        <f t="shared" si="28"/>
        <v>0</v>
      </c>
      <c r="AH44" s="2">
        <f>(EW44)</f>
        <v>0</v>
      </c>
      <c r="AI44" s="2">
        <f>(EX44)</f>
        <v>0</v>
      </c>
      <c r="AJ44" s="2">
        <f t="shared" si="29"/>
        <v>0</v>
      </c>
      <c r="AK44" s="2">
        <v>997.80000000000007</v>
      </c>
      <c r="AL44" s="2">
        <v>997.80000000000007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3</v>
      </c>
      <c r="BI44" s="2">
        <v>3</v>
      </c>
      <c r="BJ44" s="2" t="s">
        <v>3</v>
      </c>
      <c r="BK44" s="2"/>
      <c r="BL44" s="2"/>
      <c r="BM44" s="2">
        <v>746</v>
      </c>
      <c r="BN44" s="2">
        <v>0</v>
      </c>
      <c r="BO44" s="2" t="s">
        <v>3</v>
      </c>
      <c r="BP44" s="2">
        <v>0</v>
      </c>
      <c r="BQ44" s="2">
        <v>130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0</v>
      </c>
      <c r="CA44" s="2">
        <v>0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3</v>
      </c>
      <c r="CO44" s="2">
        <v>0</v>
      </c>
      <c r="CP44" s="2">
        <f t="shared" si="30"/>
        <v>997.8</v>
      </c>
      <c r="CQ44" s="2">
        <f>ROUND((ROUND((AC44*1),2)*BC44),2)</f>
        <v>997.8</v>
      </c>
      <c r="CR44" s="2">
        <f>(ROUND((ROUND(((ET44)*AV44*1),2)*BB44),2)+ROUND((ROUND(((AE44-(EU44))*AV44*1),2)*BS44),2))</f>
        <v>0</v>
      </c>
      <c r="CS44" s="2">
        <f>(ROUND((ROUND(((EU44)*AV44*1),2)*BS44),2)+ROUND((ROUND(((AE44-(EU44))*AV44*1),2)*BS44),2))</f>
        <v>0</v>
      </c>
      <c r="CT44" s="2">
        <f t="shared" si="31"/>
        <v>0</v>
      </c>
      <c r="CU44" s="2">
        <f t="shared" si="32"/>
        <v>0</v>
      </c>
      <c r="CV44" s="2">
        <f t="shared" si="33"/>
        <v>0</v>
      </c>
      <c r="CW44" s="2">
        <f t="shared" si="34"/>
        <v>0</v>
      </c>
      <c r="CX44" s="2">
        <f t="shared" si="35"/>
        <v>0</v>
      </c>
      <c r="CY44" s="2">
        <f>(ROUND((((S44+ROUND((ROUND(((EU44)*AV44*1),2)*BS44),2))*AT44)/100),2)+ROUND(((ROUND((ROUND(((AE44-(EU44))*AV44*1),2)*BS44),2)*AT44)/100),2))</f>
        <v>0</v>
      </c>
      <c r="CZ44" s="2">
        <f>(ROUND((((S44+ROUND((ROUND(((EU44)*AV44*1),2)*BS44),2))*AU44)/100),2)+ROUND(((ROUND((ROUND(((AE44-(EU44))*AV44*1),2)*BS44),2)*AU44)/100),2))</f>
        <v>0</v>
      </c>
      <c r="DA44" s="2"/>
      <c r="DB44" s="2"/>
      <c r="DC44" s="2" t="s">
        <v>3</v>
      </c>
      <c r="DD44" s="2" t="s">
        <v>3</v>
      </c>
      <c r="DE44" s="2" t="s">
        <v>3</v>
      </c>
      <c r="DF44" s="2" t="s">
        <v>3</v>
      </c>
      <c r="DG44" s="2" t="s">
        <v>3</v>
      </c>
      <c r="DH44" s="2" t="s">
        <v>3</v>
      </c>
      <c r="DI44" s="2" t="s">
        <v>3</v>
      </c>
      <c r="DJ44" s="2" t="s">
        <v>3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32</v>
      </c>
      <c r="DW44" s="2" t="s">
        <v>32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60088638</v>
      </c>
      <c r="EF44" s="2">
        <v>130</v>
      </c>
      <c r="EG44" s="2" t="s">
        <v>33</v>
      </c>
      <c r="EH44" s="2">
        <v>0</v>
      </c>
      <c r="EI44" s="2" t="s">
        <v>3</v>
      </c>
      <c r="EJ44" s="2">
        <v>3</v>
      </c>
      <c r="EK44" s="2">
        <v>746</v>
      </c>
      <c r="EL44" s="2" t="s">
        <v>34</v>
      </c>
      <c r="EM44" s="2" t="s">
        <v>35</v>
      </c>
      <c r="EN44" s="2"/>
      <c r="EO44" s="2" t="s">
        <v>3</v>
      </c>
      <c r="EP44" s="2"/>
      <c r="EQ44" s="2">
        <v>0</v>
      </c>
      <c r="ER44" s="2">
        <v>0</v>
      </c>
      <c r="ES44" s="2">
        <v>997.80000000000007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f>P44</f>
        <v>997.8</v>
      </c>
      <c r="FS44" s="2">
        <v>0</v>
      </c>
      <c r="FT44" s="2"/>
      <c r="FU44" s="2"/>
      <c r="FV44" s="2"/>
      <c r="FW44" s="2"/>
      <c r="FX44" s="2">
        <v>0</v>
      </c>
      <c r="FY44" s="2">
        <v>0</v>
      </c>
      <c r="FZ44" s="2"/>
      <c r="GA44" s="2" t="s">
        <v>67</v>
      </c>
      <c r="GB44" s="2"/>
      <c r="GC44" s="2"/>
      <c r="GD44" s="2">
        <v>1</v>
      </c>
      <c r="GE44" s="2"/>
      <c r="GF44" s="2">
        <v>-1747575220</v>
      </c>
      <c r="GG44" s="2">
        <v>2</v>
      </c>
      <c r="GH44" s="2">
        <v>4</v>
      </c>
      <c r="GI44" s="2">
        <v>-2</v>
      </c>
      <c r="GJ44" s="2">
        <v>0</v>
      </c>
      <c r="GK44" s="2">
        <v>0</v>
      </c>
      <c r="GL44" s="2">
        <f t="shared" si="36"/>
        <v>0</v>
      </c>
      <c r="GM44" s="2">
        <f t="shared" si="37"/>
        <v>997.8</v>
      </c>
      <c r="GN44" s="2">
        <f t="shared" si="38"/>
        <v>0</v>
      </c>
      <c r="GO44" s="2">
        <f t="shared" si="39"/>
        <v>0</v>
      </c>
      <c r="GP44" s="2">
        <f t="shared" si="40"/>
        <v>0</v>
      </c>
      <c r="GQ44" s="2"/>
      <c r="GR44" s="2">
        <v>0</v>
      </c>
      <c r="GS44" s="2">
        <v>2</v>
      </c>
      <c r="GT44" s="2">
        <v>0</v>
      </c>
      <c r="GU44" s="2" t="s">
        <v>3</v>
      </c>
      <c r="GV44" s="2">
        <f t="shared" si="41"/>
        <v>0</v>
      </c>
      <c r="GW44" s="2">
        <v>1</v>
      </c>
      <c r="GX44" s="2">
        <f t="shared" si="42"/>
        <v>0</v>
      </c>
      <c r="GY44" s="2"/>
      <c r="GZ44" s="2"/>
      <c r="HA44" s="2">
        <v>0</v>
      </c>
      <c r="HB44" s="2">
        <v>0</v>
      </c>
      <c r="HC44" s="2">
        <f t="shared" si="43"/>
        <v>0</v>
      </c>
      <c r="HD44" s="2"/>
      <c r="HE44" s="2" t="s">
        <v>37</v>
      </c>
      <c r="HF44" s="2" t="s">
        <v>38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E45" s="3" t="s">
        <v>64</v>
      </c>
      <c r="F45" s="3" t="s">
        <v>65</v>
      </c>
      <c r="G45" s="3" t="s">
        <v>66</v>
      </c>
      <c r="H45" s="3" t="s">
        <v>32</v>
      </c>
      <c r="I45" s="3">
        <v>1</v>
      </c>
      <c r="J45" s="3">
        <v>0</v>
      </c>
      <c r="K45" s="3">
        <v>1</v>
      </c>
      <c r="O45" s="3">
        <f t="shared" si="21"/>
        <v>7643.15</v>
      </c>
      <c r="P45" s="3">
        <f>ROUND((ROUND((AC45*I45),2)*BC45),2)</f>
        <v>7643.15</v>
      </c>
      <c r="Q45" s="3">
        <f>(ROUND((ROUND(((ET45)*AV45*I45),2)*BB45),2)+ROUND((ROUND(((AE45-(EU45))*AV45*I45),2)*BS45),2))</f>
        <v>0</v>
      </c>
      <c r="R45" s="3">
        <f>(ROUND((ROUND(((EU45)*AV45*I45),2)*BS45),2)+ROUND((ROUND(((AE45-(EU45))*AV45*I45),2)*BS45),2))</f>
        <v>0</v>
      </c>
      <c r="S45" s="3">
        <f t="shared" si="22"/>
        <v>0</v>
      </c>
      <c r="T45" s="3">
        <f t="shared" si="23"/>
        <v>0</v>
      </c>
      <c r="U45" s="3">
        <f t="shared" si="24"/>
        <v>0</v>
      </c>
      <c r="V45" s="3">
        <f t="shared" si="25"/>
        <v>0</v>
      </c>
      <c r="W45" s="3">
        <f t="shared" si="26"/>
        <v>0</v>
      </c>
      <c r="X45" s="3">
        <f>(ROUND((((S45+ROUND((ROUND(((EU45)*AV45*I45),2)*BS45),2))*AT45)/100),2)+ROUND(((ROUND((ROUND(((AE45-(EU45))*AV45*I45),2)*BS45),2)*AT45)/100),2))</f>
        <v>0</v>
      </c>
      <c r="Y45" s="3">
        <f>(ROUND((((S45+ROUND((ROUND(((EU45)*AV45*I45),2)*BS45),2))*AU45)/100),2)+ROUND(((ROUND((ROUND(((AE45-(EU45))*AV45*I45),2)*BS45),2)*AU45)/100),2))</f>
        <v>0</v>
      </c>
      <c r="AA45" s="3">
        <v>60258618</v>
      </c>
      <c r="AB45" s="3">
        <f t="shared" si="27"/>
        <v>997.8</v>
      </c>
      <c r="AC45" s="3">
        <f>ROUND((ES45),6)</f>
        <v>997.8</v>
      </c>
      <c r="AD45" s="3">
        <f>ROUND((((ET45)-(EU45))+AE45),6)</f>
        <v>0</v>
      </c>
      <c r="AE45" s="3">
        <f>ROUND((EU45),6)</f>
        <v>0</v>
      </c>
      <c r="AF45" s="3">
        <f>ROUND((EV45),6)</f>
        <v>0</v>
      </c>
      <c r="AG45" s="3">
        <f t="shared" si="28"/>
        <v>0</v>
      </c>
      <c r="AH45" s="3">
        <f>(EW45)</f>
        <v>0</v>
      </c>
      <c r="AI45" s="3">
        <f>(EX45)</f>
        <v>0</v>
      </c>
      <c r="AJ45" s="3">
        <f t="shared" si="29"/>
        <v>0</v>
      </c>
      <c r="AK45" s="3">
        <v>997.80000000000007</v>
      </c>
      <c r="AL45" s="3">
        <v>997.80000000000007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1</v>
      </c>
      <c r="AW45" s="3">
        <v>1</v>
      </c>
      <c r="AZ45" s="3">
        <v>1</v>
      </c>
      <c r="BA45" s="3">
        <v>1</v>
      </c>
      <c r="BB45" s="3">
        <v>1</v>
      </c>
      <c r="BC45" s="3">
        <v>7.66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3</v>
      </c>
      <c r="BI45" s="3">
        <v>3</v>
      </c>
      <c r="BJ45" s="3" t="s">
        <v>3</v>
      </c>
      <c r="BM45" s="3">
        <v>746</v>
      </c>
      <c r="BN45" s="3">
        <v>0</v>
      </c>
      <c r="BO45" s="3" t="s">
        <v>3</v>
      </c>
      <c r="BP45" s="3">
        <v>0</v>
      </c>
      <c r="BQ45" s="3">
        <v>130</v>
      </c>
      <c r="BR45" s="3">
        <v>0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0</v>
      </c>
      <c r="CA45" s="3">
        <v>0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3</v>
      </c>
      <c r="CO45" s="3">
        <v>0</v>
      </c>
      <c r="CP45" s="3">
        <f t="shared" si="30"/>
        <v>7643.15</v>
      </c>
      <c r="CQ45" s="3">
        <f>ROUND((ROUND((AC45*1),2)*BC45),2)</f>
        <v>7643.15</v>
      </c>
      <c r="CR45" s="3">
        <f>(ROUND((ROUND(((ET45)*AV45*1),2)*BB45),2)+ROUND((ROUND(((AE45-(EU45))*AV45*1),2)*BS45),2))</f>
        <v>0</v>
      </c>
      <c r="CS45" s="3">
        <f>(ROUND((ROUND(((EU45)*AV45*1),2)*BS45),2)+ROUND((ROUND(((AE45-(EU45))*AV45*1),2)*BS45),2))</f>
        <v>0</v>
      </c>
      <c r="CT45" s="3">
        <f t="shared" si="31"/>
        <v>0</v>
      </c>
      <c r="CU45" s="3">
        <f t="shared" si="32"/>
        <v>0</v>
      </c>
      <c r="CV45" s="3">
        <f t="shared" si="33"/>
        <v>0</v>
      </c>
      <c r="CW45" s="3">
        <f t="shared" si="34"/>
        <v>0</v>
      </c>
      <c r="CX45" s="3">
        <f t="shared" si="35"/>
        <v>0</v>
      </c>
      <c r="CY45" s="3">
        <f>(ROUND((((S45+ROUND((ROUND(((EU45)*AV45*1),2)*BS45),2))*AT45)/100),2)+ROUND(((ROUND((ROUND(((AE45-(EU45))*AV45*1),2)*BS45),2)*AT45)/100),2))</f>
        <v>0</v>
      </c>
      <c r="CZ45" s="3">
        <f>(ROUND((((S45+ROUND((ROUND(((EU45)*AV45*1),2)*BS45),2))*AU45)/100),2)+ROUND(((ROUND((ROUND(((AE45-(EU45))*AV45*1),2)*BS45),2)*AU45)/100),2))</f>
        <v>0</v>
      </c>
      <c r="DC45" s="3" t="s">
        <v>3</v>
      </c>
      <c r="DD45" s="3" t="s">
        <v>3</v>
      </c>
      <c r="DE45" s="3" t="s">
        <v>3</v>
      </c>
      <c r="DF45" s="3" t="s">
        <v>3</v>
      </c>
      <c r="DG45" s="3" t="s">
        <v>3</v>
      </c>
      <c r="DH45" s="3" t="s">
        <v>3</v>
      </c>
      <c r="DI45" s="3" t="s">
        <v>3</v>
      </c>
      <c r="DJ45" s="3" t="s">
        <v>3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32</v>
      </c>
      <c r="DW45" s="3" t="s">
        <v>32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60088638</v>
      </c>
      <c r="EF45" s="3">
        <v>130</v>
      </c>
      <c r="EG45" s="3" t="s">
        <v>33</v>
      </c>
      <c r="EH45" s="3">
        <v>0</v>
      </c>
      <c r="EI45" s="3" t="s">
        <v>3</v>
      </c>
      <c r="EJ45" s="3">
        <v>3</v>
      </c>
      <c r="EK45" s="3">
        <v>746</v>
      </c>
      <c r="EL45" s="3" t="s">
        <v>34</v>
      </c>
      <c r="EM45" s="3" t="s">
        <v>35</v>
      </c>
      <c r="EO45" s="3" t="s">
        <v>3</v>
      </c>
      <c r="EQ45" s="3">
        <v>0</v>
      </c>
      <c r="ER45" s="3">
        <v>0</v>
      </c>
      <c r="ES45" s="3">
        <v>997.80000000000007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5</v>
      </c>
      <c r="FC45" s="3">
        <v>1</v>
      </c>
      <c r="FD45" s="3">
        <v>18</v>
      </c>
      <c r="FF45" s="3">
        <v>8799</v>
      </c>
      <c r="FQ45" s="3">
        <v>0</v>
      </c>
      <c r="FR45" s="3">
        <f>P45</f>
        <v>7643.15</v>
      </c>
      <c r="FS45" s="3">
        <v>0</v>
      </c>
      <c r="FX45" s="3">
        <v>0</v>
      </c>
      <c r="FY45" s="3">
        <v>0</v>
      </c>
      <c r="GA45" s="3" t="s">
        <v>67</v>
      </c>
      <c r="GD45" s="3">
        <v>1</v>
      </c>
      <c r="GF45" s="3">
        <v>-1747575220</v>
      </c>
      <c r="GG45" s="3">
        <v>2</v>
      </c>
      <c r="GH45" s="3">
        <v>3</v>
      </c>
      <c r="GI45" s="3">
        <v>5</v>
      </c>
      <c r="GJ45" s="3">
        <v>0</v>
      </c>
      <c r="GK45" s="3">
        <v>0</v>
      </c>
      <c r="GL45" s="3">
        <f t="shared" si="36"/>
        <v>0</v>
      </c>
      <c r="GM45" s="3">
        <f t="shared" si="37"/>
        <v>7643.15</v>
      </c>
      <c r="GN45" s="3">
        <f t="shared" si="38"/>
        <v>0</v>
      </c>
      <c r="GO45" s="3">
        <f t="shared" si="39"/>
        <v>0</v>
      </c>
      <c r="GP45" s="3">
        <f t="shared" si="40"/>
        <v>0</v>
      </c>
      <c r="GR45" s="3">
        <v>1</v>
      </c>
      <c r="GS45" s="3">
        <v>1</v>
      </c>
      <c r="GT45" s="3">
        <v>0</v>
      </c>
      <c r="GU45" s="3" t="s">
        <v>3</v>
      </c>
      <c r="GV45" s="3">
        <f t="shared" si="41"/>
        <v>0</v>
      </c>
      <c r="GW45" s="3">
        <v>1</v>
      </c>
      <c r="GX45" s="3">
        <f t="shared" si="42"/>
        <v>0</v>
      </c>
      <c r="HA45" s="3">
        <v>0</v>
      </c>
      <c r="HB45" s="3">
        <v>0</v>
      </c>
      <c r="HC45" s="3">
        <f t="shared" si="43"/>
        <v>0</v>
      </c>
      <c r="HE45" s="3" t="s">
        <v>37</v>
      </c>
      <c r="HF45" s="3" t="s">
        <v>38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ROW(SmtRes!A23)</f>
        <v>23</v>
      </c>
      <c r="D46" s="2">
        <f>ROW(EtalonRes!A29)</f>
        <v>29</v>
      </c>
      <c r="E46" s="2" t="s">
        <v>68</v>
      </c>
      <c r="F46" s="2" t="s">
        <v>69</v>
      </c>
      <c r="G46" s="2" t="s">
        <v>70</v>
      </c>
      <c r="H46" s="2" t="s">
        <v>21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93.97</v>
      </c>
      <c r="P46" s="2">
        <f>ROUND((ROUND((AC46*AW46*I46),2)*BC46),2)</f>
        <v>4.83</v>
      </c>
      <c r="Q46" s="2">
        <f>(ROUND((ROUND((((ET46*1.1))*AV46*I46),2)*BB46),2)+ROUND((ROUND(((AE46-((EU46*1.1)))*AV46*I46),2)*BS46),2))</f>
        <v>0.06</v>
      </c>
      <c r="R46" s="2">
        <f>(ROUND((ROUND((((EU46*1.1))*AV46*I46),2)*BS46),2)+ROUND((ROUND(((AE46-((EU46*1.1)))*AV46*I46),2)*BS46),2))</f>
        <v>0.01</v>
      </c>
      <c r="S46" s="2">
        <f t="shared" si="22"/>
        <v>89.08</v>
      </c>
      <c r="T46" s="2">
        <f t="shared" si="23"/>
        <v>0</v>
      </c>
      <c r="U46" s="2">
        <f t="shared" si="24"/>
        <v>6.5646899999999997</v>
      </c>
      <c r="V46" s="2">
        <f t="shared" si="25"/>
        <v>0</v>
      </c>
      <c r="W46" s="2">
        <f t="shared" si="26"/>
        <v>0</v>
      </c>
      <c r="X46" s="2">
        <f>(ROUND((((S46+ROUND((ROUND((((EU46*1.1))*AV46*I46),2)*BS46),2))*AT46)/100),2)+ROUND(((ROUND((ROUND(((AE46-((EU46*1.1)))*AV46*I46),2)*BS46),2)*AT46)/100),2))</f>
        <v>80.180000000000007</v>
      </c>
      <c r="Y46" s="2">
        <f>(ROUND((((S46+ROUND((ROUND((((EU46*1.1))*AV46*I46),2)*BS46),2))*AU46)/100),2)+ROUND(((ROUND((ROUND(((AE46-((EU46*1.1)))*AV46*I46),2)*BS46),2)*AU46)/100),2))</f>
        <v>40.98</v>
      </c>
      <c r="Z46" s="2"/>
      <c r="AA46" s="2">
        <v>60258621</v>
      </c>
      <c r="AB46" s="2">
        <f t="shared" si="27"/>
        <v>89.97</v>
      </c>
      <c r="AC46" s="2">
        <f>ROUND(((ES46*1)),6)</f>
        <v>4.83</v>
      </c>
      <c r="AD46" s="2">
        <f>ROUND(((((ET46*1.1))-((EU46*1.1)))+AE46),6)</f>
        <v>5.5E-2</v>
      </c>
      <c r="AE46" s="2">
        <f>ROUND(((EU46*1.1)),6)</f>
        <v>1.0999999999999999E-2</v>
      </c>
      <c r="AF46" s="2">
        <f>ROUND(((EV46*1.1)),6)</f>
        <v>85.084999999999994</v>
      </c>
      <c r="AG46" s="2">
        <f t="shared" si="28"/>
        <v>0</v>
      </c>
      <c r="AH46" s="2">
        <f>((EW46*1.1))</f>
        <v>6.2700000000000005</v>
      </c>
      <c r="AI46" s="2">
        <f>((EX46*1.1))</f>
        <v>0</v>
      </c>
      <c r="AJ46" s="2">
        <f t="shared" si="29"/>
        <v>0</v>
      </c>
      <c r="AK46" s="2">
        <v>82.23</v>
      </c>
      <c r="AL46" s="2">
        <v>4.83</v>
      </c>
      <c r="AM46" s="2">
        <v>0.05</v>
      </c>
      <c r="AN46" s="2">
        <v>0.01</v>
      </c>
      <c r="AO46" s="2">
        <v>77.349999999999994</v>
      </c>
      <c r="AP46" s="2">
        <v>0</v>
      </c>
      <c r="AQ46" s="2">
        <v>5.7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71</v>
      </c>
      <c r="BK46" s="2"/>
      <c r="BL46" s="2"/>
      <c r="BM46" s="2">
        <v>68</v>
      </c>
      <c r="BN46" s="2">
        <v>58973116</v>
      </c>
      <c r="BO46" s="2" t="s">
        <v>69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363</v>
      </c>
      <c r="CO46" s="2">
        <v>0</v>
      </c>
      <c r="CP46" s="2">
        <f t="shared" si="30"/>
        <v>93.97</v>
      </c>
      <c r="CQ46" s="2">
        <f>ROUND((ROUND((AC46*AW46*1),2)*BC46),2)</f>
        <v>4.83</v>
      </c>
      <c r="CR46" s="2">
        <f>(ROUND((ROUND((((ET46*1.1))*AV46*1),2)*BB46),2)+ROUND((ROUND(((AE46-((EU46*1.1)))*AV46*1),2)*BS46),2))</f>
        <v>0.06</v>
      </c>
      <c r="CS46" s="2">
        <f>(ROUND((ROUND((((EU46*1.1))*AV46*1),2)*BS46),2)+ROUND((ROUND(((AE46-((EU46*1.1)))*AV46*1),2)*BS46),2))</f>
        <v>0.01</v>
      </c>
      <c r="CT46" s="2">
        <f t="shared" si="31"/>
        <v>89.08</v>
      </c>
      <c r="CU46" s="2">
        <f t="shared" si="32"/>
        <v>0</v>
      </c>
      <c r="CV46" s="2">
        <f t="shared" si="33"/>
        <v>6.5646899999999997</v>
      </c>
      <c r="CW46" s="2">
        <f t="shared" si="34"/>
        <v>0</v>
      </c>
      <c r="CX46" s="2">
        <f t="shared" si="35"/>
        <v>0</v>
      </c>
      <c r="CY46" s="2">
        <f>(ROUND((((S46+ROUND((ROUND((((EU46*1.1))*AV46*1),2)*BS46),2))*AT46)/100),2)+ROUND(((ROUND((ROUND(((AE46-((EU46*1.1)))*AV46*1),2)*BS46),2)*AT46)/100),2))</f>
        <v>80.180000000000007</v>
      </c>
      <c r="CZ46" s="2">
        <f>(ROUND((((S46+ROUND((ROUND((((EU46*1.1))*AV46*1),2)*BS46),2))*AU46)/100),2)+ROUND(((ROUND((ROUND(((AE46-((EU46*1.1)))*AV46*1),2)*BS46),2)*AU46)/100),2))</f>
        <v>40.98</v>
      </c>
      <c r="DA46" s="2"/>
      <c r="DB46" s="2">
        <v>9</v>
      </c>
      <c r="DC46" s="2" t="s">
        <v>3</v>
      </c>
      <c r="DD46" s="2" t="s">
        <v>23</v>
      </c>
      <c r="DE46" s="2" t="s">
        <v>24</v>
      </c>
      <c r="DF46" s="2" t="s">
        <v>24</v>
      </c>
      <c r="DG46" s="2" t="s">
        <v>24</v>
      </c>
      <c r="DH46" s="2" t="s">
        <v>3</v>
      </c>
      <c r="DI46" s="2" t="s">
        <v>24</v>
      </c>
      <c r="DJ46" s="2" t="s">
        <v>24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21</v>
      </c>
      <c r="DW46" s="2" t="s">
        <v>21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60088532</v>
      </c>
      <c r="EF46" s="2">
        <v>40</v>
      </c>
      <c r="EG46" s="2" t="s">
        <v>25</v>
      </c>
      <c r="EH46" s="2">
        <v>0</v>
      </c>
      <c r="EI46" s="2" t="s">
        <v>3</v>
      </c>
      <c r="EJ46" s="2">
        <v>2</v>
      </c>
      <c r="EK46" s="2">
        <v>68</v>
      </c>
      <c r="EL46" s="2" t="s">
        <v>46</v>
      </c>
      <c r="EM46" s="2" t="s">
        <v>47</v>
      </c>
      <c r="EN46" s="2"/>
      <c r="EO46" s="2" t="s">
        <v>28</v>
      </c>
      <c r="EP46" s="2"/>
      <c r="EQ46" s="2">
        <v>0</v>
      </c>
      <c r="ER46" s="2">
        <v>82.23</v>
      </c>
      <c r="ES46" s="2">
        <v>4.83</v>
      </c>
      <c r="ET46" s="2">
        <v>0.05</v>
      </c>
      <c r="EU46" s="2">
        <v>0.01</v>
      </c>
      <c r="EV46" s="2">
        <v>77.349999999999994</v>
      </c>
      <c r="EW46" s="2">
        <v>5.7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1762388533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36"/>
        <v>0</v>
      </c>
      <c r="GM46" s="2">
        <f t="shared" si="37"/>
        <v>215.13</v>
      </c>
      <c r="GN46" s="2">
        <f t="shared" si="38"/>
        <v>0</v>
      </c>
      <c r="GO46" s="2">
        <f t="shared" si="39"/>
        <v>215.13</v>
      </c>
      <c r="GP46" s="2">
        <f t="shared" si="40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41"/>
        <v>0</v>
      </c>
      <c r="GW46" s="2">
        <v>1</v>
      </c>
      <c r="GX46" s="2">
        <f t="shared" si="42"/>
        <v>0</v>
      </c>
      <c r="GY46" s="2"/>
      <c r="GZ46" s="2"/>
      <c r="HA46" s="2">
        <v>0</v>
      </c>
      <c r="HB46" s="2">
        <v>0</v>
      </c>
      <c r="HC46" s="2">
        <f t="shared" si="43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ROW(SmtRes!A24)</f>
        <v>24</v>
      </c>
      <c r="D47" s="3">
        <f>ROW(EtalonRes!A30)</f>
        <v>30</v>
      </c>
      <c r="E47" s="3" t="s">
        <v>68</v>
      </c>
      <c r="F47" s="3" t="s">
        <v>69</v>
      </c>
      <c r="G47" s="3" t="s">
        <v>70</v>
      </c>
      <c r="H47" s="3" t="s">
        <v>21</v>
      </c>
      <c r="I47" s="3">
        <v>1</v>
      </c>
      <c r="J47" s="3">
        <v>0</v>
      </c>
      <c r="K47" s="3">
        <v>1</v>
      </c>
      <c r="O47" s="3">
        <f t="shared" si="21"/>
        <v>4947.42</v>
      </c>
      <c r="P47" s="3">
        <f>ROUND((ROUND((AC47*AW47*I47),2)*BC47),2)</f>
        <v>47.77</v>
      </c>
      <c r="Q47" s="3">
        <f>(ROUND((ROUND((((ET47*1.1))*AV47*I47),2)*BB47),2)+ROUND((ROUND(((AE47-((EU47*1.1)))*AV47*I47),2)*BS47),2))</f>
        <v>1.1399999999999999</v>
      </c>
      <c r="R47" s="3">
        <f>(ROUND((ROUND((((EU47*1.1))*AV47*I47),2)*BS47),2)+ROUND((ROUND(((AE47-((EU47*1.1)))*AV47*I47),2)*BS47),2))</f>
        <v>0.55000000000000004</v>
      </c>
      <c r="S47" s="3">
        <f t="shared" si="22"/>
        <v>4898.51</v>
      </c>
      <c r="T47" s="3">
        <f t="shared" si="23"/>
        <v>0</v>
      </c>
      <c r="U47" s="3">
        <f t="shared" si="24"/>
        <v>6.5646899999999997</v>
      </c>
      <c r="V47" s="3">
        <f t="shared" si="25"/>
        <v>0</v>
      </c>
      <c r="W47" s="3">
        <f t="shared" si="26"/>
        <v>0</v>
      </c>
      <c r="X47" s="3">
        <f>(ROUND((((S47+ROUND((ROUND((((EU47*1.1))*AV47*I47),2)*BS47),2))*AT47)/100),2)+ROUND(((ROUND((ROUND(((AE47-((EU47*1.1)))*AV47*I47),2)*BS47),2)*AT47)/100),2))</f>
        <v>4409.1499999999996</v>
      </c>
      <c r="Y47" s="3">
        <f>(ROUND((((S47+ROUND((ROUND((((EU47*1.1))*AV47*I47),2)*BS47),2))*AU47)/100),2)+ROUND(((ROUND((ROUND(((AE47-((EU47*1.1)))*AV47*I47),2)*BS47),2)*AU47)/100),2))</f>
        <v>2253.5700000000002</v>
      </c>
      <c r="AA47" s="3">
        <v>60258618</v>
      </c>
      <c r="AB47" s="3">
        <f t="shared" si="27"/>
        <v>89.97</v>
      </c>
      <c r="AC47" s="3">
        <f>ROUND(((ES47*1)),6)</f>
        <v>4.83</v>
      </c>
      <c r="AD47" s="3">
        <f>ROUND(((((ET47*1.1))-((EU47*1.1)))+AE47),6)</f>
        <v>5.5E-2</v>
      </c>
      <c r="AE47" s="3">
        <f>ROUND(((EU47*1.1)),6)</f>
        <v>1.0999999999999999E-2</v>
      </c>
      <c r="AF47" s="3">
        <f>ROUND(((EV47*1.1)),6)</f>
        <v>85.084999999999994</v>
      </c>
      <c r="AG47" s="3">
        <f t="shared" si="28"/>
        <v>0</v>
      </c>
      <c r="AH47" s="3">
        <f>((EW47*1.1))</f>
        <v>6.2700000000000005</v>
      </c>
      <c r="AI47" s="3">
        <f>((EX47*1.1))</f>
        <v>0</v>
      </c>
      <c r="AJ47" s="3">
        <f t="shared" si="29"/>
        <v>0</v>
      </c>
      <c r="AK47" s="3">
        <v>82.23</v>
      </c>
      <c r="AL47" s="3">
        <v>4.83</v>
      </c>
      <c r="AM47" s="3">
        <v>0.05</v>
      </c>
      <c r="AN47" s="3">
        <v>0.01</v>
      </c>
      <c r="AO47" s="3">
        <v>77.349999999999994</v>
      </c>
      <c r="AP47" s="3">
        <v>0</v>
      </c>
      <c r="AQ47" s="3">
        <v>5.7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54.99</v>
      </c>
      <c r="BB47" s="3">
        <v>19</v>
      </c>
      <c r="BC47" s="3">
        <v>9.89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71</v>
      </c>
      <c r="BM47" s="3">
        <v>68</v>
      </c>
      <c r="BN47" s="3">
        <v>58973116</v>
      </c>
      <c r="BO47" s="3" t="s">
        <v>69</v>
      </c>
      <c r="BP47" s="3">
        <v>1</v>
      </c>
      <c r="BQ47" s="3">
        <v>40</v>
      </c>
      <c r="BR47" s="3">
        <v>0</v>
      </c>
      <c r="BS47" s="3">
        <v>54.99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363</v>
      </c>
      <c r="CO47" s="3">
        <v>0</v>
      </c>
      <c r="CP47" s="3">
        <f t="shared" si="30"/>
        <v>4947.42</v>
      </c>
      <c r="CQ47" s="3">
        <f>ROUND((ROUND((AC47*AW47*1),2)*BC47),2)</f>
        <v>47.77</v>
      </c>
      <c r="CR47" s="3">
        <f>(ROUND((ROUND((((ET47*1.1))*AV47*1),2)*BB47),2)+ROUND((ROUND(((AE47-((EU47*1.1)))*AV47*1),2)*BS47),2))</f>
        <v>1.1399999999999999</v>
      </c>
      <c r="CS47" s="3">
        <f>(ROUND((ROUND((((EU47*1.1))*AV47*1),2)*BS47),2)+ROUND((ROUND(((AE47-((EU47*1.1)))*AV47*1),2)*BS47),2))</f>
        <v>0.55000000000000004</v>
      </c>
      <c r="CT47" s="3">
        <f t="shared" si="31"/>
        <v>4898.51</v>
      </c>
      <c r="CU47" s="3">
        <f t="shared" si="32"/>
        <v>0</v>
      </c>
      <c r="CV47" s="3">
        <f t="shared" si="33"/>
        <v>6.5646899999999997</v>
      </c>
      <c r="CW47" s="3">
        <f t="shared" si="34"/>
        <v>0</v>
      </c>
      <c r="CX47" s="3">
        <f t="shared" si="35"/>
        <v>0</v>
      </c>
      <c r="CY47" s="3">
        <f>(ROUND((((S47+ROUND((ROUND((((EU47*1.1))*AV47*1),2)*BS47),2))*AT47)/100),2)+ROUND(((ROUND((ROUND(((AE47-((EU47*1.1)))*AV47*1),2)*BS47),2)*AT47)/100),2))</f>
        <v>4409.1499999999996</v>
      </c>
      <c r="CZ47" s="3">
        <f>(ROUND((((S47+ROUND((ROUND((((EU47*1.1))*AV47*1),2)*BS47),2))*AU47)/100),2)+ROUND(((ROUND((ROUND(((AE47-((EU47*1.1)))*AV47*1),2)*BS47),2)*AU47)/100),2))</f>
        <v>2253.5700000000002</v>
      </c>
      <c r="DB47" s="3">
        <v>10</v>
      </c>
      <c r="DC47" s="3" t="s">
        <v>3</v>
      </c>
      <c r="DD47" s="3" t="s">
        <v>23</v>
      </c>
      <c r="DE47" s="3" t="s">
        <v>24</v>
      </c>
      <c r="DF47" s="3" t="s">
        <v>24</v>
      </c>
      <c r="DG47" s="3" t="s">
        <v>24</v>
      </c>
      <c r="DH47" s="3" t="s">
        <v>3</v>
      </c>
      <c r="DI47" s="3" t="s">
        <v>24</v>
      </c>
      <c r="DJ47" s="3" t="s">
        <v>24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21</v>
      </c>
      <c r="DW47" s="3" t="s">
        <v>21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60088532</v>
      </c>
      <c r="EF47" s="3">
        <v>40</v>
      </c>
      <c r="EG47" s="3" t="s">
        <v>25</v>
      </c>
      <c r="EH47" s="3">
        <v>0</v>
      </c>
      <c r="EI47" s="3" t="s">
        <v>3</v>
      </c>
      <c r="EJ47" s="3">
        <v>2</v>
      </c>
      <c r="EK47" s="3">
        <v>68</v>
      </c>
      <c r="EL47" s="3" t="s">
        <v>46</v>
      </c>
      <c r="EM47" s="3" t="s">
        <v>47</v>
      </c>
      <c r="EO47" s="3" t="s">
        <v>28</v>
      </c>
      <c r="EQ47" s="3">
        <v>0</v>
      </c>
      <c r="ER47" s="3">
        <v>82.23</v>
      </c>
      <c r="ES47" s="3">
        <v>4.83</v>
      </c>
      <c r="ET47" s="3">
        <v>0.05</v>
      </c>
      <c r="EU47" s="3">
        <v>0.01</v>
      </c>
      <c r="EV47" s="3">
        <v>77.349999999999994</v>
      </c>
      <c r="EW47" s="3">
        <v>5.7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1762388533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36"/>
        <v>0</v>
      </c>
      <c r="GM47" s="3">
        <f t="shared" si="37"/>
        <v>11610.14</v>
      </c>
      <c r="GN47" s="3">
        <f t="shared" si="38"/>
        <v>0</v>
      </c>
      <c r="GO47" s="3">
        <f t="shared" si="39"/>
        <v>11610.14</v>
      </c>
      <c r="GP47" s="3">
        <f t="shared" si="40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41"/>
        <v>0</v>
      </c>
      <c r="GW47" s="3">
        <v>1</v>
      </c>
      <c r="GX47" s="3">
        <f t="shared" si="42"/>
        <v>0</v>
      </c>
      <c r="HA47" s="3">
        <v>0</v>
      </c>
      <c r="HB47" s="3">
        <v>0</v>
      </c>
      <c r="HC47" s="3">
        <f t="shared" si="43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72</v>
      </c>
      <c r="F48" s="2" t="s">
        <v>73</v>
      </c>
      <c r="G48" s="2" t="s">
        <v>74</v>
      </c>
      <c r="H48" s="2" t="s">
        <v>32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2396.35</v>
      </c>
      <c r="P48" s="2">
        <f>ROUND((ROUND((AC48*I48),2)*BC48),2)</f>
        <v>2396.35</v>
      </c>
      <c r="Q48" s="2">
        <f>(ROUND((ROUND(((ET48)*AV48*I48),2)*BB48),2)+ROUND((ROUND(((AE48-(EU48))*AV48*I48),2)*BS48),2))</f>
        <v>0</v>
      </c>
      <c r="R48" s="2">
        <f>(ROUND((ROUND(((EU48)*AV48*I48),2)*BS48),2)+ROUND((ROUND(((AE48-(EU48))*AV48*I48),2)*BS48),2))</f>
        <v>0</v>
      </c>
      <c r="S48" s="2">
        <f t="shared" si="22"/>
        <v>0</v>
      </c>
      <c r="T48" s="2">
        <f t="shared" si="23"/>
        <v>0</v>
      </c>
      <c r="U48" s="2">
        <f t="shared" si="24"/>
        <v>0</v>
      </c>
      <c r="V48" s="2">
        <f t="shared" si="25"/>
        <v>0</v>
      </c>
      <c r="W48" s="2">
        <f t="shared" si="26"/>
        <v>0</v>
      </c>
      <c r="X48" s="2">
        <f>(ROUND((((S48+ROUND((ROUND(((EU48)*AV48*I48),2)*BS48),2))*AT48)/100),2)+ROUND(((ROUND((ROUND(((AE48-(EU48))*AV48*I48),2)*BS48),2)*AT48)/100),2))</f>
        <v>0</v>
      </c>
      <c r="Y48" s="2">
        <f>(ROUND((((S48+ROUND((ROUND(((EU48)*AV48*I48),2)*BS48),2))*AU48)/100),2)+ROUND(((ROUND((ROUND(((AE48-(EU48))*AV48*I48),2)*BS48),2)*AU48)/100),2))</f>
        <v>0</v>
      </c>
      <c r="Z48" s="2"/>
      <c r="AA48" s="2">
        <v>60258621</v>
      </c>
      <c r="AB48" s="2">
        <f t="shared" si="27"/>
        <v>2396.35</v>
      </c>
      <c r="AC48" s="2">
        <f>ROUND((ES48),6)</f>
        <v>2396.35</v>
      </c>
      <c r="AD48" s="2">
        <f>ROUND((((ET48)-(EU48))+AE48),6)</f>
        <v>0</v>
      </c>
      <c r="AE48" s="2">
        <f>ROUND((EU48),6)</f>
        <v>0</v>
      </c>
      <c r="AF48" s="2">
        <f>ROUND((EV48),6)</f>
        <v>0</v>
      </c>
      <c r="AG48" s="2">
        <f t="shared" si="28"/>
        <v>0</v>
      </c>
      <c r="AH48" s="2">
        <f>(EW48)</f>
        <v>0</v>
      </c>
      <c r="AI48" s="2">
        <f>(EX48)</f>
        <v>0</v>
      </c>
      <c r="AJ48" s="2">
        <f t="shared" si="29"/>
        <v>0</v>
      </c>
      <c r="AK48" s="2">
        <v>2396.35</v>
      </c>
      <c r="AL48" s="2">
        <v>2396.35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3</v>
      </c>
      <c r="BJ48" s="2" t="s">
        <v>3</v>
      </c>
      <c r="BK48" s="2"/>
      <c r="BL48" s="2"/>
      <c r="BM48" s="2">
        <v>746</v>
      </c>
      <c r="BN48" s="2">
        <v>0</v>
      </c>
      <c r="BO48" s="2" t="s">
        <v>3</v>
      </c>
      <c r="BP48" s="2">
        <v>0</v>
      </c>
      <c r="BQ48" s="2">
        <v>130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3</v>
      </c>
      <c r="CO48" s="2">
        <v>0</v>
      </c>
      <c r="CP48" s="2">
        <f t="shared" si="30"/>
        <v>2396.35</v>
      </c>
      <c r="CQ48" s="2">
        <f>ROUND((ROUND((AC48*1),2)*BC48),2)</f>
        <v>2396.35</v>
      </c>
      <c r="CR48" s="2">
        <f>(ROUND((ROUND(((ET48)*AV48*1),2)*BB48),2)+ROUND((ROUND(((AE48-(EU48))*AV48*1),2)*BS48),2))</f>
        <v>0</v>
      </c>
      <c r="CS48" s="2">
        <f>(ROUND((ROUND(((EU48)*AV48*1),2)*BS48),2)+ROUND((ROUND(((AE48-(EU48))*AV48*1),2)*BS48),2))</f>
        <v>0</v>
      </c>
      <c r="CT48" s="2">
        <f t="shared" si="31"/>
        <v>0</v>
      </c>
      <c r="CU48" s="2">
        <f t="shared" si="32"/>
        <v>0</v>
      </c>
      <c r="CV48" s="2">
        <f t="shared" si="33"/>
        <v>0</v>
      </c>
      <c r="CW48" s="2">
        <f t="shared" si="34"/>
        <v>0</v>
      </c>
      <c r="CX48" s="2">
        <f t="shared" si="35"/>
        <v>0</v>
      </c>
      <c r="CY48" s="2">
        <f>(ROUND((((S48+ROUND((ROUND(((EU48)*AV48*1),2)*BS48),2))*AT48)/100),2)+ROUND(((ROUND((ROUND(((AE48-(EU48))*AV48*1),2)*BS48),2)*AT48)/100),2))</f>
        <v>0</v>
      </c>
      <c r="CZ48" s="2">
        <f>(ROUND((((S48+ROUND((ROUND(((EU48)*AV48*1),2)*BS48),2))*AU48)/100),2)+ROUND(((ROUND((ROUND(((AE48-(EU48))*AV48*1),2)*BS48),2)*AU48)/100),2))</f>
        <v>0</v>
      </c>
      <c r="DA48" s="2"/>
      <c r="DB48" s="2"/>
      <c r="DC48" s="2" t="s">
        <v>3</v>
      </c>
      <c r="DD48" s="2" t="s">
        <v>3</v>
      </c>
      <c r="DE48" s="2" t="s">
        <v>3</v>
      </c>
      <c r="DF48" s="2" t="s">
        <v>3</v>
      </c>
      <c r="DG48" s="2" t="s">
        <v>3</v>
      </c>
      <c r="DH48" s="2" t="s">
        <v>3</v>
      </c>
      <c r="DI48" s="2" t="s">
        <v>3</v>
      </c>
      <c r="DJ48" s="2" t="s">
        <v>3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32</v>
      </c>
      <c r="DW48" s="2" t="s">
        <v>32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60088638</v>
      </c>
      <c r="EF48" s="2">
        <v>130</v>
      </c>
      <c r="EG48" s="2" t="s">
        <v>33</v>
      </c>
      <c r="EH48" s="2">
        <v>0</v>
      </c>
      <c r="EI48" s="2" t="s">
        <v>3</v>
      </c>
      <c r="EJ48" s="2">
        <v>3</v>
      </c>
      <c r="EK48" s="2">
        <v>746</v>
      </c>
      <c r="EL48" s="2" t="s">
        <v>34</v>
      </c>
      <c r="EM48" s="2" t="s">
        <v>35</v>
      </c>
      <c r="EN48" s="2"/>
      <c r="EO48" s="2" t="s">
        <v>3</v>
      </c>
      <c r="EP48" s="2"/>
      <c r="EQ48" s="2">
        <v>0</v>
      </c>
      <c r="ER48" s="2">
        <v>0</v>
      </c>
      <c r="ES48" s="2">
        <v>2396.35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f>P48</f>
        <v>2396.35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75</v>
      </c>
      <c r="GB48" s="2"/>
      <c r="GC48" s="2"/>
      <c r="GD48" s="2">
        <v>1</v>
      </c>
      <c r="GE48" s="2"/>
      <c r="GF48" s="2">
        <v>-1794690275</v>
      </c>
      <c r="GG48" s="2">
        <v>2</v>
      </c>
      <c r="GH48" s="2">
        <v>4</v>
      </c>
      <c r="GI48" s="2">
        <v>-2</v>
      </c>
      <c r="GJ48" s="2">
        <v>0</v>
      </c>
      <c r="GK48" s="2">
        <v>0</v>
      </c>
      <c r="GL48" s="2">
        <f t="shared" si="36"/>
        <v>0</v>
      </c>
      <c r="GM48" s="2">
        <f t="shared" si="37"/>
        <v>2396.35</v>
      </c>
      <c r="GN48" s="2">
        <f t="shared" si="38"/>
        <v>0</v>
      </c>
      <c r="GO48" s="2">
        <f t="shared" si="39"/>
        <v>0</v>
      </c>
      <c r="GP48" s="2">
        <f t="shared" si="40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41"/>
        <v>0</v>
      </c>
      <c r="GW48" s="2">
        <v>1</v>
      </c>
      <c r="GX48" s="2">
        <f t="shared" si="42"/>
        <v>0</v>
      </c>
      <c r="GY48" s="2"/>
      <c r="GZ48" s="2"/>
      <c r="HA48" s="2">
        <v>0</v>
      </c>
      <c r="HB48" s="2">
        <v>0</v>
      </c>
      <c r="HC48" s="2">
        <f t="shared" si="43"/>
        <v>0</v>
      </c>
      <c r="HD48" s="2"/>
      <c r="HE48" s="2" t="s">
        <v>37</v>
      </c>
      <c r="HF48" s="2" t="s">
        <v>38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E49" s="3" t="s">
        <v>72</v>
      </c>
      <c r="F49" s="3" t="s">
        <v>73</v>
      </c>
      <c r="G49" s="3" t="s">
        <v>74</v>
      </c>
      <c r="H49" s="3" t="s">
        <v>32</v>
      </c>
      <c r="I49" s="3">
        <v>1</v>
      </c>
      <c r="J49" s="3">
        <v>0</v>
      </c>
      <c r="K49" s="3">
        <v>1</v>
      </c>
      <c r="O49" s="3">
        <f t="shared" si="21"/>
        <v>18356.04</v>
      </c>
      <c r="P49" s="3">
        <f>ROUND((ROUND((AC49*I49),2)*BC49),2)</f>
        <v>18356.04</v>
      </c>
      <c r="Q49" s="3">
        <f>(ROUND((ROUND(((ET49)*AV49*I49),2)*BB49),2)+ROUND((ROUND(((AE49-(EU49))*AV49*I49),2)*BS49),2))</f>
        <v>0</v>
      </c>
      <c r="R49" s="3">
        <f>(ROUND((ROUND(((EU49)*AV49*I49),2)*BS49),2)+ROUND((ROUND(((AE49-(EU49))*AV49*I49),2)*BS49),2))</f>
        <v>0</v>
      </c>
      <c r="S49" s="3">
        <f t="shared" si="22"/>
        <v>0</v>
      </c>
      <c r="T49" s="3">
        <f t="shared" si="23"/>
        <v>0</v>
      </c>
      <c r="U49" s="3">
        <f t="shared" si="24"/>
        <v>0</v>
      </c>
      <c r="V49" s="3">
        <f t="shared" si="25"/>
        <v>0</v>
      </c>
      <c r="W49" s="3">
        <f t="shared" si="26"/>
        <v>0</v>
      </c>
      <c r="X49" s="3">
        <f>(ROUND((((S49+ROUND((ROUND(((EU49)*AV49*I49),2)*BS49),2))*AT49)/100),2)+ROUND(((ROUND((ROUND(((AE49-(EU49))*AV49*I49),2)*BS49),2)*AT49)/100),2))</f>
        <v>0</v>
      </c>
      <c r="Y49" s="3">
        <f>(ROUND((((S49+ROUND((ROUND(((EU49)*AV49*I49),2)*BS49),2))*AU49)/100),2)+ROUND(((ROUND((ROUND(((AE49-(EU49))*AV49*I49),2)*BS49),2)*AU49)/100),2))</f>
        <v>0</v>
      </c>
      <c r="AA49" s="3">
        <v>60258618</v>
      </c>
      <c r="AB49" s="3">
        <f t="shared" si="27"/>
        <v>2396.35</v>
      </c>
      <c r="AC49" s="3">
        <f>ROUND((ES49),6)</f>
        <v>2396.35</v>
      </c>
      <c r="AD49" s="3">
        <f>ROUND((((ET49)-(EU49))+AE49),6)</f>
        <v>0</v>
      </c>
      <c r="AE49" s="3">
        <f>ROUND((EU49),6)</f>
        <v>0</v>
      </c>
      <c r="AF49" s="3">
        <f>ROUND((EV49),6)</f>
        <v>0</v>
      </c>
      <c r="AG49" s="3">
        <f t="shared" si="28"/>
        <v>0</v>
      </c>
      <c r="AH49" s="3">
        <f>(EW49)</f>
        <v>0</v>
      </c>
      <c r="AI49" s="3">
        <f>(EX49)</f>
        <v>0</v>
      </c>
      <c r="AJ49" s="3">
        <f t="shared" si="29"/>
        <v>0</v>
      </c>
      <c r="AK49" s="3">
        <v>2396.35</v>
      </c>
      <c r="AL49" s="3">
        <v>2396.35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1</v>
      </c>
      <c r="AW49" s="3">
        <v>1</v>
      </c>
      <c r="AZ49" s="3">
        <v>1</v>
      </c>
      <c r="BA49" s="3">
        <v>1</v>
      </c>
      <c r="BB49" s="3">
        <v>1</v>
      </c>
      <c r="BC49" s="3">
        <v>7.66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3</v>
      </c>
      <c r="BI49" s="3">
        <v>3</v>
      </c>
      <c r="BJ49" s="3" t="s">
        <v>3</v>
      </c>
      <c r="BM49" s="3">
        <v>746</v>
      </c>
      <c r="BN49" s="3">
        <v>0</v>
      </c>
      <c r="BO49" s="3" t="s">
        <v>3</v>
      </c>
      <c r="BP49" s="3">
        <v>0</v>
      </c>
      <c r="BQ49" s="3">
        <v>130</v>
      </c>
      <c r="BR49" s="3">
        <v>0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0</v>
      </c>
      <c r="CA49" s="3">
        <v>0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3</v>
      </c>
      <c r="CO49" s="3">
        <v>0</v>
      </c>
      <c r="CP49" s="3">
        <f t="shared" si="30"/>
        <v>18356.04</v>
      </c>
      <c r="CQ49" s="3">
        <f>ROUND((ROUND((AC49*1),2)*BC49),2)</f>
        <v>18356.04</v>
      </c>
      <c r="CR49" s="3">
        <f>(ROUND((ROUND(((ET49)*AV49*1),2)*BB49),2)+ROUND((ROUND(((AE49-(EU49))*AV49*1),2)*BS49),2))</f>
        <v>0</v>
      </c>
      <c r="CS49" s="3">
        <f>(ROUND((ROUND(((EU49)*AV49*1),2)*BS49),2)+ROUND((ROUND(((AE49-(EU49))*AV49*1),2)*BS49),2))</f>
        <v>0</v>
      </c>
      <c r="CT49" s="3">
        <f t="shared" si="31"/>
        <v>0</v>
      </c>
      <c r="CU49" s="3">
        <f t="shared" si="32"/>
        <v>0</v>
      </c>
      <c r="CV49" s="3">
        <f t="shared" si="33"/>
        <v>0</v>
      </c>
      <c r="CW49" s="3">
        <f t="shared" si="34"/>
        <v>0</v>
      </c>
      <c r="CX49" s="3">
        <f t="shared" si="35"/>
        <v>0</v>
      </c>
      <c r="CY49" s="3">
        <f>(ROUND((((S49+ROUND((ROUND(((EU49)*AV49*1),2)*BS49),2))*AT49)/100),2)+ROUND(((ROUND((ROUND(((AE49-(EU49))*AV49*1),2)*BS49),2)*AT49)/100),2))</f>
        <v>0</v>
      </c>
      <c r="CZ49" s="3">
        <f>(ROUND((((S49+ROUND((ROUND(((EU49)*AV49*1),2)*BS49),2))*AU49)/100),2)+ROUND(((ROUND((ROUND(((AE49-(EU49))*AV49*1),2)*BS49),2)*AU49)/100),2))</f>
        <v>0</v>
      </c>
      <c r="DC49" s="3" t="s">
        <v>3</v>
      </c>
      <c r="DD49" s="3" t="s">
        <v>3</v>
      </c>
      <c r="DE49" s="3" t="s">
        <v>3</v>
      </c>
      <c r="DF49" s="3" t="s">
        <v>3</v>
      </c>
      <c r="DG49" s="3" t="s">
        <v>3</v>
      </c>
      <c r="DH49" s="3" t="s">
        <v>3</v>
      </c>
      <c r="DI49" s="3" t="s">
        <v>3</v>
      </c>
      <c r="DJ49" s="3" t="s">
        <v>3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32</v>
      </c>
      <c r="DW49" s="3" t="s">
        <v>32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60088638</v>
      </c>
      <c r="EF49" s="3">
        <v>130</v>
      </c>
      <c r="EG49" s="3" t="s">
        <v>33</v>
      </c>
      <c r="EH49" s="3">
        <v>0</v>
      </c>
      <c r="EI49" s="3" t="s">
        <v>3</v>
      </c>
      <c r="EJ49" s="3">
        <v>3</v>
      </c>
      <c r="EK49" s="3">
        <v>746</v>
      </c>
      <c r="EL49" s="3" t="s">
        <v>34</v>
      </c>
      <c r="EM49" s="3" t="s">
        <v>35</v>
      </c>
      <c r="EO49" s="3" t="s">
        <v>3</v>
      </c>
      <c r="EQ49" s="3">
        <v>0</v>
      </c>
      <c r="ER49" s="3">
        <v>0</v>
      </c>
      <c r="ES49" s="3">
        <v>2396.35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5</v>
      </c>
      <c r="FC49" s="3">
        <v>1</v>
      </c>
      <c r="FD49" s="3">
        <v>18</v>
      </c>
      <c r="FF49" s="3">
        <v>21132</v>
      </c>
      <c r="FQ49" s="3">
        <v>0</v>
      </c>
      <c r="FR49" s="3">
        <f>P49</f>
        <v>18356.04</v>
      </c>
      <c r="FS49" s="3">
        <v>0</v>
      </c>
      <c r="FX49" s="3">
        <v>0</v>
      </c>
      <c r="FY49" s="3">
        <v>0</v>
      </c>
      <c r="GA49" s="3" t="s">
        <v>75</v>
      </c>
      <c r="GD49" s="3">
        <v>1</v>
      </c>
      <c r="GF49" s="3">
        <v>-1794690275</v>
      </c>
      <c r="GG49" s="3">
        <v>2</v>
      </c>
      <c r="GH49" s="3">
        <v>3</v>
      </c>
      <c r="GI49" s="3">
        <v>5</v>
      </c>
      <c r="GJ49" s="3">
        <v>0</v>
      </c>
      <c r="GK49" s="3">
        <v>0</v>
      </c>
      <c r="GL49" s="3">
        <f t="shared" si="36"/>
        <v>0</v>
      </c>
      <c r="GM49" s="3">
        <f t="shared" si="37"/>
        <v>18356.04</v>
      </c>
      <c r="GN49" s="3">
        <f t="shared" si="38"/>
        <v>0</v>
      </c>
      <c r="GO49" s="3">
        <f t="shared" si="39"/>
        <v>0</v>
      </c>
      <c r="GP49" s="3">
        <f t="shared" si="40"/>
        <v>0</v>
      </c>
      <c r="GR49" s="3">
        <v>1</v>
      </c>
      <c r="GS49" s="3">
        <v>1</v>
      </c>
      <c r="GT49" s="3">
        <v>0</v>
      </c>
      <c r="GU49" s="3" t="s">
        <v>3</v>
      </c>
      <c r="GV49" s="3">
        <f t="shared" si="41"/>
        <v>0</v>
      </c>
      <c r="GW49" s="3">
        <v>1</v>
      </c>
      <c r="GX49" s="3">
        <f t="shared" si="42"/>
        <v>0</v>
      </c>
      <c r="HA49" s="3">
        <v>0</v>
      </c>
      <c r="HB49" s="3">
        <v>0</v>
      </c>
      <c r="HC49" s="3">
        <f t="shared" si="43"/>
        <v>0</v>
      </c>
      <c r="HE49" s="3" t="s">
        <v>37</v>
      </c>
      <c r="HF49" s="3" t="s">
        <v>38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ROW(SmtRes!A25)</f>
        <v>25</v>
      </c>
      <c r="D50" s="2">
        <f>ROW(EtalonRes!A31)</f>
        <v>31</v>
      </c>
      <c r="E50" s="2" t="s">
        <v>76</v>
      </c>
      <c r="F50" s="2" t="s">
        <v>77</v>
      </c>
      <c r="G50" s="2" t="s">
        <v>78</v>
      </c>
      <c r="H50" s="2" t="s">
        <v>21</v>
      </c>
      <c r="I50" s="2">
        <v>1</v>
      </c>
      <c r="J50" s="2">
        <v>0</v>
      </c>
      <c r="K50" s="2">
        <v>1</v>
      </c>
      <c r="L50" s="2"/>
      <c r="M50" s="2"/>
      <c r="N50" s="2"/>
      <c r="O50" s="2">
        <f t="shared" si="21"/>
        <v>58.93</v>
      </c>
      <c r="P50" s="2">
        <f>ROUND((ROUND((AC50*AW50*I50),2)*BC50),2)</f>
        <v>3.36</v>
      </c>
      <c r="Q50" s="2">
        <f>(ROUND((ROUND((((ET50*1.1))*AV50*I50),2)*BB50),2)+ROUND((ROUND(((AE50-((EU50*1.1)))*AV50*I50),2)*BS50),2))</f>
        <v>0.06</v>
      </c>
      <c r="R50" s="2">
        <f>(ROUND((ROUND((((EU50*1.1))*AV50*I50),2)*BS50),2)+ROUND((ROUND(((AE50-((EU50*1.1)))*AV50*I50),2)*BS50),2))</f>
        <v>0.01</v>
      </c>
      <c r="S50" s="2">
        <f t="shared" si="22"/>
        <v>55.51</v>
      </c>
      <c r="T50" s="2">
        <f t="shared" si="23"/>
        <v>0</v>
      </c>
      <c r="U50" s="2">
        <f t="shared" si="24"/>
        <v>4.1461199999999998</v>
      </c>
      <c r="V50" s="2">
        <f t="shared" si="25"/>
        <v>0</v>
      </c>
      <c r="W50" s="2">
        <f t="shared" si="26"/>
        <v>0</v>
      </c>
      <c r="X50" s="2">
        <f>(ROUND((((S50+ROUND((ROUND((((EU50*1.1))*AV50*I50),2)*BS50),2))*AT50)/100),2)+ROUND(((ROUND((ROUND(((AE50-((EU50*1.1)))*AV50*I50),2)*BS50),2)*AT50)/100),2))</f>
        <v>49.97</v>
      </c>
      <c r="Y50" s="2">
        <f>(ROUND((((S50+ROUND((ROUND((((EU50*1.1))*AV50*I50),2)*BS50),2))*AU50)/100),2)+ROUND(((ROUND((ROUND(((AE50-((EU50*1.1)))*AV50*I50),2)*BS50),2)*AU50)/100),2))</f>
        <v>25.54</v>
      </c>
      <c r="Z50" s="2"/>
      <c r="AA50" s="2">
        <v>60258621</v>
      </c>
      <c r="AB50" s="2">
        <f t="shared" si="27"/>
        <v>56.435000000000002</v>
      </c>
      <c r="AC50" s="2">
        <f>ROUND(((ES50*1)),6)</f>
        <v>3.36</v>
      </c>
      <c r="AD50" s="2">
        <f>ROUND(((((ET50*1.1))-((EU50*1.1)))+AE50),6)</f>
        <v>5.5E-2</v>
      </c>
      <c r="AE50" s="2">
        <f>ROUND(((EU50*1.1)),6)</f>
        <v>1.0999999999999999E-2</v>
      </c>
      <c r="AF50" s="2">
        <f>ROUND(((EV50*1.1)),6)</f>
        <v>53.02</v>
      </c>
      <c r="AG50" s="2">
        <f t="shared" si="28"/>
        <v>0</v>
      </c>
      <c r="AH50" s="2">
        <f>((EW50*1.1))</f>
        <v>3.9600000000000004</v>
      </c>
      <c r="AI50" s="2">
        <f>((EX50*1.1))</f>
        <v>0</v>
      </c>
      <c r="AJ50" s="2">
        <f t="shared" si="29"/>
        <v>0</v>
      </c>
      <c r="AK50" s="2">
        <v>51.61</v>
      </c>
      <c r="AL50" s="2">
        <v>3.36</v>
      </c>
      <c r="AM50" s="2">
        <v>0.05</v>
      </c>
      <c r="AN50" s="2">
        <v>0.01</v>
      </c>
      <c r="AO50" s="2">
        <v>48.2</v>
      </c>
      <c r="AP50" s="2">
        <v>0</v>
      </c>
      <c r="AQ50" s="2">
        <v>3.6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79</v>
      </c>
      <c r="BK50" s="2"/>
      <c r="BL50" s="2"/>
      <c r="BM50" s="2">
        <v>68</v>
      </c>
      <c r="BN50" s="2">
        <v>58973116</v>
      </c>
      <c r="BO50" s="2" t="s">
        <v>77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363</v>
      </c>
      <c r="CO50" s="2">
        <v>0</v>
      </c>
      <c r="CP50" s="2">
        <f t="shared" si="30"/>
        <v>58.93</v>
      </c>
      <c r="CQ50" s="2">
        <f>ROUND((ROUND((AC50*AW50*1),2)*BC50),2)</f>
        <v>3.36</v>
      </c>
      <c r="CR50" s="2">
        <f>(ROUND((ROUND((((ET50*1.1))*AV50*1),2)*BB50),2)+ROUND((ROUND(((AE50-((EU50*1.1)))*AV50*1),2)*BS50),2))</f>
        <v>0.06</v>
      </c>
      <c r="CS50" s="2">
        <f>(ROUND((ROUND((((EU50*1.1))*AV50*1),2)*BS50),2)+ROUND((ROUND(((AE50-((EU50*1.1)))*AV50*1),2)*BS50),2))</f>
        <v>0.01</v>
      </c>
      <c r="CT50" s="2">
        <f t="shared" si="31"/>
        <v>55.51</v>
      </c>
      <c r="CU50" s="2">
        <f t="shared" si="32"/>
        <v>0</v>
      </c>
      <c r="CV50" s="2">
        <f t="shared" si="33"/>
        <v>4.1461199999999998</v>
      </c>
      <c r="CW50" s="2">
        <f t="shared" si="34"/>
        <v>0</v>
      </c>
      <c r="CX50" s="2">
        <f t="shared" si="35"/>
        <v>0</v>
      </c>
      <c r="CY50" s="2">
        <f>(ROUND((((S50+ROUND((ROUND((((EU50*1.1))*AV50*1),2)*BS50),2))*AT50)/100),2)+ROUND(((ROUND((ROUND(((AE50-((EU50*1.1)))*AV50*1),2)*BS50),2)*AT50)/100),2))</f>
        <v>49.97</v>
      </c>
      <c r="CZ50" s="2">
        <f>(ROUND((((S50+ROUND((ROUND((((EU50*1.1))*AV50*1),2)*BS50),2))*AU50)/100),2)+ROUND(((ROUND((ROUND(((AE50-((EU50*1.1)))*AV50*1),2)*BS50),2)*AU50)/100),2))</f>
        <v>25.54</v>
      </c>
      <c r="DA50" s="2"/>
      <c r="DB50" s="2">
        <v>11</v>
      </c>
      <c r="DC50" s="2" t="s">
        <v>3</v>
      </c>
      <c r="DD50" s="2" t="s">
        <v>23</v>
      </c>
      <c r="DE50" s="2" t="s">
        <v>24</v>
      </c>
      <c r="DF50" s="2" t="s">
        <v>24</v>
      </c>
      <c r="DG50" s="2" t="s">
        <v>24</v>
      </c>
      <c r="DH50" s="2" t="s">
        <v>3</v>
      </c>
      <c r="DI50" s="2" t="s">
        <v>24</v>
      </c>
      <c r="DJ50" s="2" t="s">
        <v>24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21</v>
      </c>
      <c r="DW50" s="2" t="s">
        <v>21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60088532</v>
      </c>
      <c r="EF50" s="2">
        <v>40</v>
      </c>
      <c r="EG50" s="2" t="s">
        <v>25</v>
      </c>
      <c r="EH50" s="2">
        <v>0</v>
      </c>
      <c r="EI50" s="2" t="s">
        <v>3</v>
      </c>
      <c r="EJ50" s="2">
        <v>2</v>
      </c>
      <c r="EK50" s="2">
        <v>68</v>
      </c>
      <c r="EL50" s="2" t="s">
        <v>46</v>
      </c>
      <c r="EM50" s="2" t="s">
        <v>47</v>
      </c>
      <c r="EN50" s="2"/>
      <c r="EO50" s="2" t="s">
        <v>28</v>
      </c>
      <c r="EP50" s="2"/>
      <c r="EQ50" s="2">
        <v>0</v>
      </c>
      <c r="ER50" s="2">
        <v>51.61</v>
      </c>
      <c r="ES50" s="2">
        <v>3.36</v>
      </c>
      <c r="ET50" s="2">
        <v>0.05</v>
      </c>
      <c r="EU50" s="2">
        <v>0.01</v>
      </c>
      <c r="EV50" s="2">
        <v>48.2</v>
      </c>
      <c r="EW50" s="2">
        <v>3.6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743435106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36"/>
        <v>0</v>
      </c>
      <c r="GM50" s="2">
        <f t="shared" si="37"/>
        <v>134.44</v>
      </c>
      <c r="GN50" s="2">
        <f t="shared" si="38"/>
        <v>0</v>
      </c>
      <c r="GO50" s="2">
        <f t="shared" si="39"/>
        <v>134.44</v>
      </c>
      <c r="GP50" s="2">
        <f t="shared" si="40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41"/>
        <v>0</v>
      </c>
      <c r="GW50" s="2">
        <v>1</v>
      </c>
      <c r="GX50" s="2">
        <f t="shared" si="42"/>
        <v>0</v>
      </c>
      <c r="GY50" s="2"/>
      <c r="GZ50" s="2"/>
      <c r="HA50" s="2">
        <v>0</v>
      </c>
      <c r="HB50" s="2">
        <v>0</v>
      </c>
      <c r="HC50" s="2">
        <f t="shared" si="43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ROW(SmtRes!A26)</f>
        <v>26</v>
      </c>
      <c r="D51" s="3">
        <f>ROW(EtalonRes!A32)</f>
        <v>32</v>
      </c>
      <c r="E51" s="3" t="s">
        <v>76</v>
      </c>
      <c r="F51" s="3" t="s">
        <v>77</v>
      </c>
      <c r="G51" s="3" t="s">
        <v>78</v>
      </c>
      <c r="H51" s="3" t="s">
        <v>21</v>
      </c>
      <c r="I51" s="3">
        <v>1</v>
      </c>
      <c r="J51" s="3">
        <v>0</v>
      </c>
      <c r="K51" s="3">
        <v>1</v>
      </c>
      <c r="O51" s="3">
        <f t="shared" si="21"/>
        <v>3086.86</v>
      </c>
      <c r="P51" s="3">
        <f>ROUND((ROUND((AC51*AW51*I51),2)*BC51),2)</f>
        <v>33.229999999999997</v>
      </c>
      <c r="Q51" s="3">
        <f>(ROUND((ROUND((((ET51*1.1))*AV51*I51),2)*BB51),2)+ROUND((ROUND(((AE51-((EU51*1.1)))*AV51*I51),2)*BS51),2))</f>
        <v>1.1399999999999999</v>
      </c>
      <c r="R51" s="3">
        <f>(ROUND((ROUND((((EU51*1.1))*AV51*I51),2)*BS51),2)+ROUND((ROUND(((AE51-((EU51*1.1)))*AV51*I51),2)*BS51),2))</f>
        <v>0.55000000000000004</v>
      </c>
      <c r="S51" s="3">
        <f t="shared" si="22"/>
        <v>3052.49</v>
      </c>
      <c r="T51" s="3">
        <f t="shared" si="23"/>
        <v>0</v>
      </c>
      <c r="U51" s="3">
        <f t="shared" si="24"/>
        <v>4.1461199999999998</v>
      </c>
      <c r="V51" s="3">
        <f t="shared" si="25"/>
        <v>0</v>
      </c>
      <c r="W51" s="3">
        <f t="shared" si="26"/>
        <v>0</v>
      </c>
      <c r="X51" s="3">
        <f>(ROUND((((S51+ROUND((ROUND((((EU51*1.1))*AV51*I51),2)*BS51),2))*AT51)/100),2)+ROUND(((ROUND((ROUND(((AE51-((EU51*1.1)))*AV51*I51),2)*BS51),2)*AT51)/100),2))</f>
        <v>2747.74</v>
      </c>
      <c r="Y51" s="3">
        <f>(ROUND((((S51+ROUND((ROUND((((EU51*1.1))*AV51*I51),2)*BS51),2))*AU51)/100),2)+ROUND(((ROUND((ROUND(((AE51-((EU51*1.1)))*AV51*I51),2)*BS51),2)*AU51)/100),2))</f>
        <v>1404.4</v>
      </c>
      <c r="AA51" s="3">
        <v>60258618</v>
      </c>
      <c r="AB51" s="3">
        <f t="shared" si="27"/>
        <v>56.435000000000002</v>
      </c>
      <c r="AC51" s="3">
        <f>ROUND(((ES51*1)),6)</f>
        <v>3.36</v>
      </c>
      <c r="AD51" s="3">
        <f>ROUND(((((ET51*1.1))-((EU51*1.1)))+AE51),6)</f>
        <v>5.5E-2</v>
      </c>
      <c r="AE51" s="3">
        <f>ROUND(((EU51*1.1)),6)</f>
        <v>1.0999999999999999E-2</v>
      </c>
      <c r="AF51" s="3">
        <f>ROUND(((EV51*1.1)),6)</f>
        <v>53.02</v>
      </c>
      <c r="AG51" s="3">
        <f t="shared" si="28"/>
        <v>0</v>
      </c>
      <c r="AH51" s="3">
        <f>((EW51*1.1))</f>
        <v>3.9600000000000004</v>
      </c>
      <c r="AI51" s="3">
        <f>((EX51*1.1))</f>
        <v>0</v>
      </c>
      <c r="AJ51" s="3">
        <f t="shared" si="29"/>
        <v>0</v>
      </c>
      <c r="AK51" s="3">
        <v>51.61</v>
      </c>
      <c r="AL51" s="3">
        <v>3.36</v>
      </c>
      <c r="AM51" s="3">
        <v>0.05</v>
      </c>
      <c r="AN51" s="3">
        <v>0.01</v>
      </c>
      <c r="AO51" s="3">
        <v>48.2</v>
      </c>
      <c r="AP51" s="3">
        <v>0</v>
      </c>
      <c r="AQ51" s="3">
        <v>3.6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54.99</v>
      </c>
      <c r="BB51" s="3">
        <v>19</v>
      </c>
      <c r="BC51" s="3">
        <v>9.89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79</v>
      </c>
      <c r="BM51" s="3">
        <v>68</v>
      </c>
      <c r="BN51" s="3">
        <v>58973116</v>
      </c>
      <c r="BO51" s="3" t="s">
        <v>77</v>
      </c>
      <c r="BP51" s="3">
        <v>1</v>
      </c>
      <c r="BQ51" s="3">
        <v>40</v>
      </c>
      <c r="BR51" s="3">
        <v>0</v>
      </c>
      <c r="BS51" s="3">
        <v>54.99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363</v>
      </c>
      <c r="CO51" s="3">
        <v>0</v>
      </c>
      <c r="CP51" s="3">
        <f t="shared" si="30"/>
        <v>3086.8599999999997</v>
      </c>
      <c r="CQ51" s="3">
        <f>ROUND((ROUND((AC51*AW51*1),2)*BC51),2)</f>
        <v>33.229999999999997</v>
      </c>
      <c r="CR51" s="3">
        <f>(ROUND((ROUND((((ET51*1.1))*AV51*1),2)*BB51),2)+ROUND((ROUND(((AE51-((EU51*1.1)))*AV51*1),2)*BS51),2))</f>
        <v>1.1399999999999999</v>
      </c>
      <c r="CS51" s="3">
        <f>(ROUND((ROUND((((EU51*1.1))*AV51*1),2)*BS51),2)+ROUND((ROUND(((AE51-((EU51*1.1)))*AV51*1),2)*BS51),2))</f>
        <v>0.55000000000000004</v>
      </c>
      <c r="CT51" s="3">
        <f t="shared" si="31"/>
        <v>3052.49</v>
      </c>
      <c r="CU51" s="3">
        <f t="shared" si="32"/>
        <v>0</v>
      </c>
      <c r="CV51" s="3">
        <f t="shared" si="33"/>
        <v>4.1461199999999998</v>
      </c>
      <c r="CW51" s="3">
        <f t="shared" si="34"/>
        <v>0</v>
      </c>
      <c r="CX51" s="3">
        <f t="shared" si="35"/>
        <v>0</v>
      </c>
      <c r="CY51" s="3">
        <f>(ROUND((((S51+ROUND((ROUND((((EU51*1.1))*AV51*1),2)*BS51),2))*AT51)/100),2)+ROUND(((ROUND((ROUND(((AE51-((EU51*1.1)))*AV51*1),2)*BS51),2)*AT51)/100),2))</f>
        <v>2747.74</v>
      </c>
      <c r="CZ51" s="3">
        <f>(ROUND((((S51+ROUND((ROUND((((EU51*1.1))*AV51*1),2)*BS51),2))*AU51)/100),2)+ROUND(((ROUND((ROUND(((AE51-((EU51*1.1)))*AV51*1),2)*BS51),2)*AU51)/100),2))</f>
        <v>1404.4</v>
      </c>
      <c r="DB51" s="3">
        <v>12</v>
      </c>
      <c r="DC51" s="3" t="s">
        <v>3</v>
      </c>
      <c r="DD51" s="3" t="s">
        <v>23</v>
      </c>
      <c r="DE51" s="3" t="s">
        <v>24</v>
      </c>
      <c r="DF51" s="3" t="s">
        <v>24</v>
      </c>
      <c r="DG51" s="3" t="s">
        <v>24</v>
      </c>
      <c r="DH51" s="3" t="s">
        <v>3</v>
      </c>
      <c r="DI51" s="3" t="s">
        <v>24</v>
      </c>
      <c r="DJ51" s="3" t="s">
        <v>24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21</v>
      </c>
      <c r="DW51" s="3" t="s">
        <v>21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60088532</v>
      </c>
      <c r="EF51" s="3">
        <v>40</v>
      </c>
      <c r="EG51" s="3" t="s">
        <v>25</v>
      </c>
      <c r="EH51" s="3">
        <v>0</v>
      </c>
      <c r="EI51" s="3" t="s">
        <v>3</v>
      </c>
      <c r="EJ51" s="3">
        <v>2</v>
      </c>
      <c r="EK51" s="3">
        <v>68</v>
      </c>
      <c r="EL51" s="3" t="s">
        <v>46</v>
      </c>
      <c r="EM51" s="3" t="s">
        <v>47</v>
      </c>
      <c r="EO51" s="3" t="s">
        <v>28</v>
      </c>
      <c r="EQ51" s="3">
        <v>0</v>
      </c>
      <c r="ER51" s="3">
        <v>51.61</v>
      </c>
      <c r="ES51" s="3">
        <v>3.36</v>
      </c>
      <c r="ET51" s="3">
        <v>0.05</v>
      </c>
      <c r="EU51" s="3">
        <v>0.01</v>
      </c>
      <c r="EV51" s="3">
        <v>48.2</v>
      </c>
      <c r="EW51" s="3">
        <v>3.6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743435106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36"/>
        <v>0</v>
      </c>
      <c r="GM51" s="3">
        <f t="shared" si="37"/>
        <v>7239</v>
      </c>
      <c r="GN51" s="3">
        <f t="shared" si="38"/>
        <v>0</v>
      </c>
      <c r="GO51" s="3">
        <f t="shared" si="39"/>
        <v>7239</v>
      </c>
      <c r="GP51" s="3">
        <f t="shared" si="40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41"/>
        <v>0</v>
      </c>
      <c r="GW51" s="3">
        <v>1</v>
      </c>
      <c r="GX51" s="3">
        <f t="shared" si="42"/>
        <v>0</v>
      </c>
      <c r="HA51" s="3">
        <v>0</v>
      </c>
      <c r="HB51" s="3">
        <v>0</v>
      </c>
      <c r="HC51" s="3">
        <f t="shared" si="43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32</v>
      </c>
      <c r="I52" s="2">
        <v>1</v>
      </c>
      <c r="J52" s="2">
        <v>0</v>
      </c>
      <c r="K52" s="2">
        <v>1</v>
      </c>
      <c r="L52" s="2"/>
      <c r="M52" s="2"/>
      <c r="N52" s="2"/>
      <c r="O52" s="2">
        <f t="shared" si="21"/>
        <v>1829.8</v>
      </c>
      <c r="P52" s="2">
        <f>ROUND((ROUND((AC52*I52),2)*BC52),2)</f>
        <v>1829.8</v>
      </c>
      <c r="Q52" s="2">
        <f>(ROUND((ROUND(((ET52)*AV52*I52),2)*BB52),2)+ROUND((ROUND(((AE52-(EU52))*AV52*I52),2)*BS52),2))</f>
        <v>0</v>
      </c>
      <c r="R52" s="2">
        <f>(ROUND((ROUND(((EU52)*AV52*I52),2)*BS52),2)+ROUND((ROUND(((AE52-(EU52))*AV52*I52),2)*BS52),2))</f>
        <v>0</v>
      </c>
      <c r="S52" s="2">
        <f t="shared" si="22"/>
        <v>0</v>
      </c>
      <c r="T52" s="2">
        <f t="shared" si="23"/>
        <v>0</v>
      </c>
      <c r="U52" s="2">
        <f t="shared" si="24"/>
        <v>0</v>
      </c>
      <c r="V52" s="2">
        <f t="shared" si="25"/>
        <v>0</v>
      </c>
      <c r="W52" s="2">
        <f t="shared" si="26"/>
        <v>0</v>
      </c>
      <c r="X52" s="2">
        <f>(ROUND((((S52+ROUND((ROUND(((EU52)*AV52*I52),2)*BS52),2))*AT52)/100),2)+ROUND(((ROUND((ROUND(((AE52-(EU52))*AV52*I52),2)*BS52),2)*AT52)/100),2))</f>
        <v>0</v>
      </c>
      <c r="Y52" s="2">
        <f>(ROUND((((S52+ROUND((ROUND(((EU52)*AV52*I52),2)*BS52),2))*AU52)/100),2)+ROUND(((ROUND((ROUND(((AE52-(EU52))*AV52*I52),2)*BS52),2)*AU52)/100),2))</f>
        <v>0</v>
      </c>
      <c r="Z52" s="2"/>
      <c r="AA52" s="2">
        <v>60258621</v>
      </c>
      <c r="AB52" s="2">
        <f t="shared" si="27"/>
        <v>1829.8</v>
      </c>
      <c r="AC52" s="2">
        <f>ROUND((ES52),6)</f>
        <v>1829.8</v>
      </c>
      <c r="AD52" s="2">
        <f>ROUND((((ET52)-(EU52))+AE52),6)</f>
        <v>0</v>
      </c>
      <c r="AE52" s="2">
        <f>ROUND((EU52),6)</f>
        <v>0</v>
      </c>
      <c r="AF52" s="2">
        <f>ROUND((EV52),6)</f>
        <v>0</v>
      </c>
      <c r="AG52" s="2">
        <f t="shared" si="28"/>
        <v>0</v>
      </c>
      <c r="AH52" s="2">
        <f>(EW52)</f>
        <v>0</v>
      </c>
      <c r="AI52" s="2">
        <f>(EX52)</f>
        <v>0</v>
      </c>
      <c r="AJ52" s="2">
        <f t="shared" si="29"/>
        <v>0</v>
      </c>
      <c r="AK52" s="2">
        <v>1829.8000000000002</v>
      </c>
      <c r="AL52" s="2">
        <v>1829.8000000000002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3</v>
      </c>
      <c r="BJ52" s="2" t="s">
        <v>3</v>
      </c>
      <c r="BK52" s="2"/>
      <c r="BL52" s="2"/>
      <c r="BM52" s="2">
        <v>746</v>
      </c>
      <c r="BN52" s="2">
        <v>0</v>
      </c>
      <c r="BO52" s="2" t="s">
        <v>3</v>
      </c>
      <c r="BP52" s="2">
        <v>0</v>
      </c>
      <c r="BQ52" s="2">
        <v>130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3</v>
      </c>
      <c r="CO52" s="2">
        <v>0</v>
      </c>
      <c r="CP52" s="2">
        <f t="shared" si="30"/>
        <v>1829.8</v>
      </c>
      <c r="CQ52" s="2">
        <f>ROUND((ROUND((AC52*1),2)*BC52),2)</f>
        <v>1829.8</v>
      </c>
      <c r="CR52" s="2">
        <f>(ROUND((ROUND(((ET52)*AV52*1),2)*BB52),2)+ROUND((ROUND(((AE52-(EU52))*AV52*1),2)*BS52),2))</f>
        <v>0</v>
      </c>
      <c r="CS52" s="2">
        <f>(ROUND((ROUND(((EU52)*AV52*1),2)*BS52),2)+ROUND((ROUND(((AE52-(EU52))*AV52*1),2)*BS52),2))</f>
        <v>0</v>
      </c>
      <c r="CT52" s="2">
        <f t="shared" si="31"/>
        <v>0</v>
      </c>
      <c r="CU52" s="2">
        <f t="shared" si="32"/>
        <v>0</v>
      </c>
      <c r="CV52" s="2">
        <f t="shared" si="33"/>
        <v>0</v>
      </c>
      <c r="CW52" s="2">
        <f t="shared" si="34"/>
        <v>0</v>
      </c>
      <c r="CX52" s="2">
        <f t="shared" si="35"/>
        <v>0</v>
      </c>
      <c r="CY52" s="2">
        <f>(ROUND((((S52+ROUND((ROUND(((EU52)*AV52*1),2)*BS52),2))*AT52)/100),2)+ROUND(((ROUND((ROUND(((AE52-(EU52))*AV52*1),2)*BS52),2)*AT52)/100),2))</f>
        <v>0</v>
      </c>
      <c r="CZ52" s="2">
        <f>(ROUND((((S52+ROUND((ROUND(((EU52)*AV52*1),2)*BS52),2))*AU52)/100),2)+ROUND(((ROUND((ROUND(((AE52-(EU52))*AV52*1),2)*BS52),2)*AU52)/100),2))</f>
        <v>0</v>
      </c>
      <c r="DA52" s="2"/>
      <c r="DB52" s="2"/>
      <c r="DC52" s="2" t="s">
        <v>3</v>
      </c>
      <c r="DD52" s="2" t="s">
        <v>3</v>
      </c>
      <c r="DE52" s="2" t="s">
        <v>3</v>
      </c>
      <c r="DF52" s="2" t="s">
        <v>3</v>
      </c>
      <c r="DG52" s="2" t="s">
        <v>3</v>
      </c>
      <c r="DH52" s="2" t="s">
        <v>3</v>
      </c>
      <c r="DI52" s="2" t="s">
        <v>3</v>
      </c>
      <c r="DJ52" s="2" t="s">
        <v>3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32</v>
      </c>
      <c r="DW52" s="2" t="s">
        <v>32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60088638</v>
      </c>
      <c r="EF52" s="2">
        <v>130</v>
      </c>
      <c r="EG52" s="2" t="s">
        <v>33</v>
      </c>
      <c r="EH52" s="2">
        <v>0</v>
      </c>
      <c r="EI52" s="2" t="s">
        <v>3</v>
      </c>
      <c r="EJ52" s="2">
        <v>3</v>
      </c>
      <c r="EK52" s="2">
        <v>746</v>
      </c>
      <c r="EL52" s="2" t="s">
        <v>34</v>
      </c>
      <c r="EM52" s="2" t="s">
        <v>35</v>
      </c>
      <c r="EN52" s="2"/>
      <c r="EO52" s="2" t="s">
        <v>3</v>
      </c>
      <c r="EP52" s="2"/>
      <c r="EQ52" s="2">
        <v>0</v>
      </c>
      <c r="ER52" s="2">
        <v>0</v>
      </c>
      <c r="ES52" s="2">
        <v>1829.8000000000002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f>P52</f>
        <v>1829.8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83</v>
      </c>
      <c r="GB52" s="2"/>
      <c r="GC52" s="2"/>
      <c r="GD52" s="2">
        <v>1</v>
      </c>
      <c r="GE52" s="2"/>
      <c r="GF52" s="2">
        <v>1667450026</v>
      </c>
      <c r="GG52" s="2">
        <v>2</v>
      </c>
      <c r="GH52" s="2">
        <v>4</v>
      </c>
      <c r="GI52" s="2">
        <v>-2</v>
      </c>
      <c r="GJ52" s="2">
        <v>0</v>
      </c>
      <c r="GK52" s="2">
        <v>0</v>
      </c>
      <c r="GL52" s="2">
        <f t="shared" si="36"/>
        <v>0</v>
      </c>
      <c r="GM52" s="2">
        <f t="shared" si="37"/>
        <v>1829.8</v>
      </c>
      <c r="GN52" s="2">
        <f t="shared" si="38"/>
        <v>0</v>
      </c>
      <c r="GO52" s="2">
        <f t="shared" si="39"/>
        <v>0</v>
      </c>
      <c r="GP52" s="2">
        <f t="shared" si="40"/>
        <v>0</v>
      </c>
      <c r="GQ52" s="2"/>
      <c r="GR52" s="2">
        <v>0</v>
      </c>
      <c r="GS52" s="2">
        <v>2</v>
      </c>
      <c r="GT52" s="2">
        <v>0</v>
      </c>
      <c r="GU52" s="2" t="s">
        <v>3</v>
      </c>
      <c r="GV52" s="2">
        <f t="shared" si="41"/>
        <v>0</v>
      </c>
      <c r="GW52" s="2">
        <v>1</v>
      </c>
      <c r="GX52" s="2">
        <f t="shared" si="42"/>
        <v>0</v>
      </c>
      <c r="GY52" s="2"/>
      <c r="GZ52" s="2"/>
      <c r="HA52" s="2">
        <v>0</v>
      </c>
      <c r="HB52" s="2">
        <v>0</v>
      </c>
      <c r="HC52" s="2">
        <f t="shared" si="43"/>
        <v>0</v>
      </c>
      <c r="HD52" s="2"/>
      <c r="HE52" s="2" t="s">
        <v>37</v>
      </c>
      <c r="HF52" s="2" t="s">
        <v>38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E53" s="3" t="s">
        <v>80</v>
      </c>
      <c r="F53" s="3" t="s">
        <v>81</v>
      </c>
      <c r="G53" s="3" t="s">
        <v>82</v>
      </c>
      <c r="H53" s="3" t="s">
        <v>32</v>
      </c>
      <c r="I53" s="3">
        <v>1</v>
      </c>
      <c r="J53" s="3">
        <v>0</v>
      </c>
      <c r="K53" s="3">
        <v>1</v>
      </c>
      <c r="O53" s="3">
        <f t="shared" si="21"/>
        <v>14016.27</v>
      </c>
      <c r="P53" s="3">
        <f>ROUND((ROUND((AC53*I53),2)*BC53),2)</f>
        <v>14016.27</v>
      </c>
      <c r="Q53" s="3">
        <f>(ROUND((ROUND(((ET53)*AV53*I53),2)*BB53),2)+ROUND((ROUND(((AE53-(EU53))*AV53*I53),2)*BS53),2))</f>
        <v>0</v>
      </c>
      <c r="R53" s="3">
        <f>(ROUND((ROUND(((EU53)*AV53*I53),2)*BS53),2)+ROUND((ROUND(((AE53-(EU53))*AV53*I53),2)*BS53),2))</f>
        <v>0</v>
      </c>
      <c r="S53" s="3">
        <f t="shared" si="22"/>
        <v>0</v>
      </c>
      <c r="T53" s="3">
        <f t="shared" si="23"/>
        <v>0</v>
      </c>
      <c r="U53" s="3">
        <f t="shared" si="24"/>
        <v>0</v>
      </c>
      <c r="V53" s="3">
        <f t="shared" si="25"/>
        <v>0</v>
      </c>
      <c r="W53" s="3">
        <f t="shared" si="26"/>
        <v>0</v>
      </c>
      <c r="X53" s="3">
        <f>(ROUND((((S53+ROUND((ROUND(((EU53)*AV53*I53),2)*BS53),2))*AT53)/100),2)+ROUND(((ROUND((ROUND(((AE53-(EU53))*AV53*I53),2)*BS53),2)*AT53)/100),2))</f>
        <v>0</v>
      </c>
      <c r="Y53" s="3">
        <f>(ROUND((((S53+ROUND((ROUND(((EU53)*AV53*I53),2)*BS53),2))*AU53)/100),2)+ROUND(((ROUND((ROUND(((AE53-(EU53))*AV53*I53),2)*BS53),2)*AU53)/100),2))</f>
        <v>0</v>
      </c>
      <c r="AA53" s="3">
        <v>60258618</v>
      </c>
      <c r="AB53" s="3">
        <f t="shared" si="27"/>
        <v>1829.8</v>
      </c>
      <c r="AC53" s="3">
        <f>ROUND((ES53),6)</f>
        <v>1829.8</v>
      </c>
      <c r="AD53" s="3">
        <f>ROUND((((ET53)-(EU53))+AE53),6)</f>
        <v>0</v>
      </c>
      <c r="AE53" s="3">
        <f>ROUND((EU53),6)</f>
        <v>0</v>
      </c>
      <c r="AF53" s="3">
        <f>ROUND((EV53),6)</f>
        <v>0</v>
      </c>
      <c r="AG53" s="3">
        <f t="shared" si="28"/>
        <v>0</v>
      </c>
      <c r="AH53" s="3">
        <f>(EW53)</f>
        <v>0</v>
      </c>
      <c r="AI53" s="3">
        <f>(EX53)</f>
        <v>0</v>
      </c>
      <c r="AJ53" s="3">
        <f t="shared" si="29"/>
        <v>0</v>
      </c>
      <c r="AK53" s="3">
        <v>1829.8000000000002</v>
      </c>
      <c r="AL53" s="3">
        <v>1829.8000000000002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1</v>
      </c>
      <c r="AW53" s="3">
        <v>1</v>
      </c>
      <c r="AZ53" s="3">
        <v>1</v>
      </c>
      <c r="BA53" s="3">
        <v>1</v>
      </c>
      <c r="BB53" s="3">
        <v>1</v>
      </c>
      <c r="BC53" s="3">
        <v>7.66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3</v>
      </c>
      <c r="BI53" s="3">
        <v>3</v>
      </c>
      <c r="BJ53" s="3" t="s">
        <v>3</v>
      </c>
      <c r="BM53" s="3">
        <v>746</v>
      </c>
      <c r="BN53" s="3">
        <v>0</v>
      </c>
      <c r="BO53" s="3" t="s">
        <v>3</v>
      </c>
      <c r="BP53" s="3">
        <v>0</v>
      </c>
      <c r="BQ53" s="3">
        <v>130</v>
      </c>
      <c r="BR53" s="3">
        <v>0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0</v>
      </c>
      <c r="CA53" s="3">
        <v>0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3</v>
      </c>
      <c r="CO53" s="3">
        <v>0</v>
      </c>
      <c r="CP53" s="3">
        <f t="shared" si="30"/>
        <v>14016.27</v>
      </c>
      <c r="CQ53" s="3">
        <f>ROUND((ROUND((AC53*1),2)*BC53),2)</f>
        <v>14016.27</v>
      </c>
      <c r="CR53" s="3">
        <f>(ROUND((ROUND(((ET53)*AV53*1),2)*BB53),2)+ROUND((ROUND(((AE53-(EU53))*AV53*1),2)*BS53),2))</f>
        <v>0</v>
      </c>
      <c r="CS53" s="3">
        <f>(ROUND((ROUND(((EU53)*AV53*1),2)*BS53),2)+ROUND((ROUND(((AE53-(EU53))*AV53*1),2)*BS53),2))</f>
        <v>0</v>
      </c>
      <c r="CT53" s="3">
        <f t="shared" si="31"/>
        <v>0</v>
      </c>
      <c r="CU53" s="3">
        <f t="shared" si="32"/>
        <v>0</v>
      </c>
      <c r="CV53" s="3">
        <f t="shared" si="33"/>
        <v>0</v>
      </c>
      <c r="CW53" s="3">
        <f t="shared" si="34"/>
        <v>0</v>
      </c>
      <c r="CX53" s="3">
        <f t="shared" si="35"/>
        <v>0</v>
      </c>
      <c r="CY53" s="3">
        <f>(ROUND((((S53+ROUND((ROUND(((EU53)*AV53*1),2)*BS53),2))*AT53)/100),2)+ROUND(((ROUND((ROUND(((AE53-(EU53))*AV53*1),2)*BS53),2)*AT53)/100),2))</f>
        <v>0</v>
      </c>
      <c r="CZ53" s="3">
        <f>(ROUND((((S53+ROUND((ROUND(((EU53)*AV53*1),2)*BS53),2))*AU53)/100),2)+ROUND(((ROUND((ROUND(((AE53-(EU53))*AV53*1),2)*BS53),2)*AU53)/100),2))</f>
        <v>0</v>
      </c>
      <c r="DC53" s="3" t="s">
        <v>3</v>
      </c>
      <c r="DD53" s="3" t="s">
        <v>3</v>
      </c>
      <c r="DE53" s="3" t="s">
        <v>3</v>
      </c>
      <c r="DF53" s="3" t="s">
        <v>3</v>
      </c>
      <c r="DG53" s="3" t="s">
        <v>3</v>
      </c>
      <c r="DH53" s="3" t="s">
        <v>3</v>
      </c>
      <c r="DI53" s="3" t="s">
        <v>3</v>
      </c>
      <c r="DJ53" s="3" t="s">
        <v>3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32</v>
      </c>
      <c r="DW53" s="3" t="s">
        <v>32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60088638</v>
      </c>
      <c r="EF53" s="3">
        <v>130</v>
      </c>
      <c r="EG53" s="3" t="s">
        <v>33</v>
      </c>
      <c r="EH53" s="3">
        <v>0</v>
      </c>
      <c r="EI53" s="3" t="s">
        <v>3</v>
      </c>
      <c r="EJ53" s="3">
        <v>3</v>
      </c>
      <c r="EK53" s="3">
        <v>746</v>
      </c>
      <c r="EL53" s="3" t="s">
        <v>34</v>
      </c>
      <c r="EM53" s="3" t="s">
        <v>35</v>
      </c>
      <c r="EO53" s="3" t="s">
        <v>3</v>
      </c>
      <c r="EQ53" s="3">
        <v>0</v>
      </c>
      <c r="ER53" s="3">
        <v>0</v>
      </c>
      <c r="ES53" s="3">
        <v>1829.8000000000002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5</v>
      </c>
      <c r="FC53" s="3">
        <v>1</v>
      </c>
      <c r="FD53" s="3">
        <v>18</v>
      </c>
      <c r="FF53" s="3">
        <v>16136</v>
      </c>
      <c r="FQ53" s="3">
        <v>0</v>
      </c>
      <c r="FR53" s="3">
        <f>P53</f>
        <v>14016.27</v>
      </c>
      <c r="FS53" s="3">
        <v>0</v>
      </c>
      <c r="FX53" s="3">
        <v>0</v>
      </c>
      <c r="FY53" s="3">
        <v>0</v>
      </c>
      <c r="GA53" s="3" t="s">
        <v>83</v>
      </c>
      <c r="GD53" s="3">
        <v>1</v>
      </c>
      <c r="GF53" s="3">
        <v>1667450026</v>
      </c>
      <c r="GG53" s="3">
        <v>2</v>
      </c>
      <c r="GH53" s="3">
        <v>3</v>
      </c>
      <c r="GI53" s="3">
        <v>5</v>
      </c>
      <c r="GJ53" s="3">
        <v>0</v>
      </c>
      <c r="GK53" s="3">
        <v>0</v>
      </c>
      <c r="GL53" s="3">
        <f t="shared" si="36"/>
        <v>0</v>
      </c>
      <c r="GM53" s="3">
        <f t="shared" si="37"/>
        <v>14016.27</v>
      </c>
      <c r="GN53" s="3">
        <f t="shared" si="38"/>
        <v>0</v>
      </c>
      <c r="GO53" s="3">
        <f t="shared" si="39"/>
        <v>0</v>
      </c>
      <c r="GP53" s="3">
        <f t="shared" si="40"/>
        <v>0</v>
      </c>
      <c r="GR53" s="3">
        <v>1</v>
      </c>
      <c r="GS53" s="3">
        <v>1</v>
      </c>
      <c r="GT53" s="3">
        <v>0</v>
      </c>
      <c r="GU53" s="3" t="s">
        <v>3</v>
      </c>
      <c r="GV53" s="3">
        <f t="shared" si="41"/>
        <v>0</v>
      </c>
      <c r="GW53" s="3">
        <v>1</v>
      </c>
      <c r="GX53" s="3">
        <f t="shared" si="42"/>
        <v>0</v>
      </c>
      <c r="HA53" s="3">
        <v>0</v>
      </c>
      <c r="HB53" s="3">
        <v>0</v>
      </c>
      <c r="HC53" s="3">
        <f t="shared" si="43"/>
        <v>0</v>
      </c>
      <c r="HE53" s="3" t="s">
        <v>37</v>
      </c>
      <c r="HF53" s="3" t="s">
        <v>38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ROW(SmtRes!A30)</f>
        <v>30</v>
      </c>
      <c r="D54" s="2">
        <f>ROW(EtalonRes!A37)</f>
        <v>37</v>
      </c>
      <c r="E54" s="2" t="s">
        <v>84</v>
      </c>
      <c r="F54" s="2" t="s">
        <v>43</v>
      </c>
      <c r="G54" s="2" t="s">
        <v>44</v>
      </c>
      <c r="H54" s="2" t="s">
        <v>21</v>
      </c>
      <c r="I54" s="2">
        <v>3</v>
      </c>
      <c r="J54" s="2">
        <v>0</v>
      </c>
      <c r="K54" s="2">
        <v>3</v>
      </c>
      <c r="L54" s="2"/>
      <c r="M54" s="2"/>
      <c r="N54" s="2"/>
      <c r="O54" s="2">
        <f t="shared" si="21"/>
        <v>145.81</v>
      </c>
      <c r="P54" s="2">
        <f>ROUND((ROUND((AC54*AW54*I54),2)*BC54),2)</f>
        <v>7.02</v>
      </c>
      <c r="Q54" s="2">
        <f>(ROUND((ROUND((((ET54*1.1))*AV54*I54),2)*BB54),2)+ROUND((ROUND(((AE54-((EU54*1.1)))*AV54*I54),2)*BS54),2))</f>
        <v>0</v>
      </c>
      <c r="R54" s="2">
        <f>(ROUND((ROUND((((EU54*1.1))*AV54*I54),2)*BS54),2)+ROUND((ROUND(((AE54-((EU54*1.1)))*AV54*I54),2)*BS54),2))</f>
        <v>0</v>
      </c>
      <c r="S54" s="2">
        <f t="shared" si="22"/>
        <v>138.79</v>
      </c>
      <c r="T54" s="2">
        <f t="shared" si="23"/>
        <v>0</v>
      </c>
      <c r="U54" s="2">
        <f t="shared" si="24"/>
        <v>10.987218</v>
      </c>
      <c r="V54" s="2">
        <f t="shared" si="25"/>
        <v>0</v>
      </c>
      <c r="W54" s="2">
        <f t="shared" si="26"/>
        <v>0</v>
      </c>
      <c r="X54" s="2">
        <f>(ROUND((((S54+ROUND((ROUND((((EU54*1.1))*AV54*I54),2)*BS54),2))*AT54)/100),2)+ROUND(((ROUND((ROUND(((AE54-((EU54*1.1)))*AV54*I54),2)*BS54),2)*AT54)/100),2))</f>
        <v>124.91</v>
      </c>
      <c r="Y54" s="2">
        <f>(ROUND((((S54+ROUND((ROUND((((EU54*1.1))*AV54*I54),2)*BS54),2))*AU54)/100),2)+ROUND(((ROUND((ROUND(((AE54-((EU54*1.1)))*AV54*I54),2)*BS54),2)*AU54)/100),2))</f>
        <v>63.84</v>
      </c>
      <c r="Z54" s="2"/>
      <c r="AA54" s="2">
        <v>60258621</v>
      </c>
      <c r="AB54" s="2">
        <f t="shared" si="27"/>
        <v>46.527000000000001</v>
      </c>
      <c r="AC54" s="2">
        <f>ROUND(((ES54*1)),6)</f>
        <v>2.34</v>
      </c>
      <c r="AD54" s="2">
        <f>ROUND(((((ET54*1.1))-((EU54*1.1)))+AE54),6)</f>
        <v>0</v>
      </c>
      <c r="AE54" s="2">
        <f>ROUND(((EU54*1.1)),6)</f>
        <v>0</v>
      </c>
      <c r="AF54" s="2">
        <f>ROUND(((EV54*1.1)),6)</f>
        <v>44.186999999999998</v>
      </c>
      <c r="AG54" s="2">
        <f t="shared" si="28"/>
        <v>0</v>
      </c>
      <c r="AH54" s="2">
        <f>((EW54*1.1))</f>
        <v>3.4980000000000007</v>
      </c>
      <c r="AI54" s="2">
        <f>((EX54*1.1))</f>
        <v>0</v>
      </c>
      <c r="AJ54" s="2">
        <f t="shared" si="29"/>
        <v>0</v>
      </c>
      <c r="AK54" s="2">
        <v>42.51</v>
      </c>
      <c r="AL54" s="2">
        <v>2.34</v>
      </c>
      <c r="AM54" s="2">
        <v>0</v>
      </c>
      <c r="AN54" s="2">
        <v>0</v>
      </c>
      <c r="AO54" s="2">
        <v>40.17</v>
      </c>
      <c r="AP54" s="2">
        <v>0</v>
      </c>
      <c r="AQ54" s="2">
        <v>3.18</v>
      </c>
      <c r="AR54" s="2">
        <v>0</v>
      </c>
      <c r="AS54" s="2">
        <v>0</v>
      </c>
      <c r="AT54" s="2">
        <v>90</v>
      </c>
      <c r="AU54" s="2">
        <v>46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2</v>
      </c>
      <c r="BJ54" s="2" t="s">
        <v>45</v>
      </c>
      <c r="BK54" s="2"/>
      <c r="BL54" s="2"/>
      <c r="BM54" s="2">
        <v>68</v>
      </c>
      <c r="BN54" s="2">
        <v>58973116</v>
      </c>
      <c r="BO54" s="2" t="s">
        <v>43</v>
      </c>
      <c r="BP54" s="2">
        <v>1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363</v>
      </c>
      <c r="CO54" s="2">
        <v>0</v>
      </c>
      <c r="CP54" s="2">
        <f t="shared" si="30"/>
        <v>145.81</v>
      </c>
      <c r="CQ54" s="2">
        <f>ROUND((ROUND((AC54*AW54*1),2)*BC54),2)</f>
        <v>2.34</v>
      </c>
      <c r="CR54" s="2">
        <f>(ROUND((ROUND((((ET54*1.1))*AV54*1),2)*BB54),2)+ROUND((ROUND(((AE54-((EU54*1.1)))*AV54*1),2)*BS54),2))</f>
        <v>0</v>
      </c>
      <c r="CS54" s="2">
        <f>(ROUND((ROUND((((EU54*1.1))*AV54*1),2)*BS54),2)+ROUND((ROUND(((AE54-((EU54*1.1)))*AV54*1),2)*BS54),2))</f>
        <v>0</v>
      </c>
      <c r="CT54" s="2">
        <f t="shared" si="31"/>
        <v>46.26</v>
      </c>
      <c r="CU54" s="2">
        <f t="shared" si="32"/>
        <v>0</v>
      </c>
      <c r="CV54" s="2">
        <f t="shared" si="33"/>
        <v>3.6624060000000003</v>
      </c>
      <c r="CW54" s="2">
        <f t="shared" si="34"/>
        <v>0</v>
      </c>
      <c r="CX54" s="2">
        <f t="shared" si="35"/>
        <v>0</v>
      </c>
      <c r="CY54" s="2">
        <f>(ROUND((((S54+ROUND((ROUND((((EU54*1.1))*AV54*1),2)*BS54),2))*AT54)/100),2)+ROUND(((ROUND((ROUND(((AE54-((EU54*1.1)))*AV54*1),2)*BS54),2)*AT54)/100),2))</f>
        <v>124.91</v>
      </c>
      <c r="CZ54" s="2">
        <f>(ROUND((((S54+ROUND((ROUND((((EU54*1.1))*AV54*1),2)*BS54),2))*AU54)/100),2)+ROUND(((ROUND((ROUND(((AE54-((EU54*1.1)))*AV54*1),2)*BS54),2)*AU54)/100),2))</f>
        <v>63.84</v>
      </c>
      <c r="DA54" s="2"/>
      <c r="DB54" s="2">
        <v>13</v>
      </c>
      <c r="DC54" s="2" t="s">
        <v>3</v>
      </c>
      <c r="DD54" s="2" t="s">
        <v>23</v>
      </c>
      <c r="DE54" s="2" t="s">
        <v>24</v>
      </c>
      <c r="DF54" s="2" t="s">
        <v>24</v>
      </c>
      <c r="DG54" s="2" t="s">
        <v>24</v>
      </c>
      <c r="DH54" s="2" t="s">
        <v>3</v>
      </c>
      <c r="DI54" s="2" t="s">
        <v>24</v>
      </c>
      <c r="DJ54" s="2" t="s">
        <v>24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21</v>
      </c>
      <c r="DW54" s="2" t="s">
        <v>21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60088532</v>
      </c>
      <c r="EF54" s="2">
        <v>40</v>
      </c>
      <c r="EG54" s="2" t="s">
        <v>25</v>
      </c>
      <c r="EH54" s="2">
        <v>0</v>
      </c>
      <c r="EI54" s="2" t="s">
        <v>3</v>
      </c>
      <c r="EJ54" s="2">
        <v>2</v>
      </c>
      <c r="EK54" s="2">
        <v>68</v>
      </c>
      <c r="EL54" s="2" t="s">
        <v>46</v>
      </c>
      <c r="EM54" s="2" t="s">
        <v>47</v>
      </c>
      <c r="EN54" s="2"/>
      <c r="EO54" s="2" t="s">
        <v>28</v>
      </c>
      <c r="EP54" s="2"/>
      <c r="EQ54" s="2">
        <v>0</v>
      </c>
      <c r="ER54" s="2">
        <v>42.51</v>
      </c>
      <c r="ES54" s="2">
        <v>2.34</v>
      </c>
      <c r="ET54" s="2">
        <v>0</v>
      </c>
      <c r="EU54" s="2">
        <v>0</v>
      </c>
      <c r="EV54" s="2">
        <v>40.17</v>
      </c>
      <c r="EW54" s="2">
        <v>3.18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1548884140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36"/>
        <v>0</v>
      </c>
      <c r="GM54" s="2">
        <f t="shared" si="37"/>
        <v>334.56</v>
      </c>
      <c r="GN54" s="2">
        <f t="shared" si="38"/>
        <v>0</v>
      </c>
      <c r="GO54" s="2">
        <f t="shared" si="39"/>
        <v>334.56</v>
      </c>
      <c r="GP54" s="2">
        <f t="shared" si="40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1"/>
        <v>0</v>
      </c>
      <c r="GW54" s="2">
        <v>1</v>
      </c>
      <c r="GX54" s="2">
        <f t="shared" si="42"/>
        <v>0</v>
      </c>
      <c r="GY54" s="2"/>
      <c r="GZ54" s="2"/>
      <c r="HA54" s="2">
        <v>0</v>
      </c>
      <c r="HB54" s="2">
        <v>0</v>
      </c>
      <c r="HC54" s="2">
        <f t="shared" si="43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ROW(SmtRes!A34)</f>
        <v>34</v>
      </c>
      <c r="D55" s="3">
        <f>ROW(EtalonRes!A42)</f>
        <v>42</v>
      </c>
      <c r="E55" s="3" t="s">
        <v>84</v>
      </c>
      <c r="F55" s="3" t="s">
        <v>43</v>
      </c>
      <c r="G55" s="3" t="s">
        <v>44</v>
      </c>
      <c r="H55" s="3" t="s">
        <v>21</v>
      </c>
      <c r="I55" s="3">
        <v>3</v>
      </c>
      <c r="J55" s="3">
        <v>0</v>
      </c>
      <c r="K55" s="3">
        <v>3</v>
      </c>
      <c r="O55" s="3">
        <f t="shared" si="21"/>
        <v>7704.09</v>
      </c>
      <c r="P55" s="3">
        <f>ROUND((ROUND((AC55*AW55*I55),2)*BC55),2)</f>
        <v>72.03</v>
      </c>
      <c r="Q55" s="3">
        <f>(ROUND((ROUND((((ET55*1.1))*AV55*I55),2)*BB55),2)+ROUND((ROUND(((AE55-((EU55*1.1)))*AV55*I55),2)*BS55),2))</f>
        <v>0</v>
      </c>
      <c r="R55" s="3">
        <f>(ROUND((ROUND((((EU55*1.1))*AV55*I55),2)*BS55),2)+ROUND((ROUND(((AE55-((EU55*1.1)))*AV55*I55),2)*BS55),2))</f>
        <v>0</v>
      </c>
      <c r="S55" s="3">
        <f t="shared" si="22"/>
        <v>7632.06</v>
      </c>
      <c r="T55" s="3">
        <f t="shared" si="23"/>
        <v>0</v>
      </c>
      <c r="U55" s="3">
        <f t="shared" si="24"/>
        <v>10.987218</v>
      </c>
      <c r="V55" s="3">
        <f t="shared" si="25"/>
        <v>0</v>
      </c>
      <c r="W55" s="3">
        <f t="shared" si="26"/>
        <v>0</v>
      </c>
      <c r="X55" s="3">
        <f>(ROUND((((S55+ROUND((ROUND((((EU55*1.1))*AV55*I55),2)*BS55),2))*AT55)/100),2)+ROUND(((ROUND((ROUND(((AE55-((EU55*1.1)))*AV55*I55),2)*BS55),2)*AT55)/100),2))</f>
        <v>6868.85</v>
      </c>
      <c r="Y55" s="3">
        <f>(ROUND((((S55+ROUND((ROUND((((EU55*1.1))*AV55*I55),2)*BS55),2))*AU55)/100),2)+ROUND(((ROUND((ROUND(((AE55-((EU55*1.1)))*AV55*I55),2)*BS55),2)*AU55)/100),2))</f>
        <v>3510.75</v>
      </c>
      <c r="AA55" s="3">
        <v>60258618</v>
      </c>
      <c r="AB55" s="3">
        <f t="shared" si="27"/>
        <v>46.527000000000001</v>
      </c>
      <c r="AC55" s="3">
        <f>ROUND(((ES55*1)),6)</f>
        <v>2.34</v>
      </c>
      <c r="AD55" s="3">
        <f>ROUND(((((ET55*1.1))-((EU55*1.1)))+AE55),6)</f>
        <v>0</v>
      </c>
      <c r="AE55" s="3">
        <f>ROUND(((EU55*1.1)),6)</f>
        <v>0</v>
      </c>
      <c r="AF55" s="3">
        <f>ROUND(((EV55*1.1)),6)</f>
        <v>44.186999999999998</v>
      </c>
      <c r="AG55" s="3">
        <f t="shared" si="28"/>
        <v>0</v>
      </c>
      <c r="AH55" s="3">
        <f>((EW55*1.1))</f>
        <v>3.4980000000000007</v>
      </c>
      <c r="AI55" s="3">
        <f>((EX55*1.1))</f>
        <v>0</v>
      </c>
      <c r="AJ55" s="3">
        <f t="shared" si="29"/>
        <v>0</v>
      </c>
      <c r="AK55" s="3">
        <v>42.51</v>
      </c>
      <c r="AL55" s="3">
        <v>2.34</v>
      </c>
      <c r="AM55" s="3">
        <v>0</v>
      </c>
      <c r="AN55" s="3">
        <v>0</v>
      </c>
      <c r="AO55" s="3">
        <v>40.17</v>
      </c>
      <c r="AP55" s="3">
        <v>0</v>
      </c>
      <c r="AQ55" s="3">
        <v>3.18</v>
      </c>
      <c r="AR55" s="3">
        <v>0</v>
      </c>
      <c r="AS55" s="3">
        <v>0</v>
      </c>
      <c r="AT55" s="3">
        <v>90</v>
      </c>
      <c r="AU55" s="3">
        <v>46</v>
      </c>
      <c r="AV55" s="3">
        <v>1.0469999999999999</v>
      </c>
      <c r="AW55" s="3">
        <v>1</v>
      </c>
      <c r="AZ55" s="3">
        <v>1</v>
      </c>
      <c r="BA55" s="3">
        <v>54.99</v>
      </c>
      <c r="BB55" s="3">
        <v>1</v>
      </c>
      <c r="BC55" s="3">
        <v>10.26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2</v>
      </c>
      <c r="BJ55" s="3" t="s">
        <v>45</v>
      </c>
      <c r="BM55" s="3">
        <v>68</v>
      </c>
      <c r="BN55" s="3">
        <v>58973116</v>
      </c>
      <c r="BO55" s="3" t="s">
        <v>43</v>
      </c>
      <c r="BP55" s="3">
        <v>1</v>
      </c>
      <c r="BQ55" s="3">
        <v>40</v>
      </c>
      <c r="BR55" s="3">
        <v>0</v>
      </c>
      <c r="BS55" s="3">
        <v>54.99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363</v>
      </c>
      <c r="CO55" s="3">
        <v>0</v>
      </c>
      <c r="CP55" s="3">
        <f t="shared" si="30"/>
        <v>7704.09</v>
      </c>
      <c r="CQ55" s="3">
        <f>ROUND((ROUND((AC55*AW55*1),2)*BC55),2)</f>
        <v>24.01</v>
      </c>
      <c r="CR55" s="3">
        <f>(ROUND((ROUND((((ET55*1.1))*AV55*1),2)*BB55),2)+ROUND((ROUND(((AE55-((EU55*1.1)))*AV55*1),2)*BS55),2))</f>
        <v>0</v>
      </c>
      <c r="CS55" s="3">
        <f>(ROUND((ROUND((((EU55*1.1))*AV55*1),2)*BS55),2)+ROUND((ROUND(((AE55-((EU55*1.1)))*AV55*1),2)*BS55),2))</f>
        <v>0</v>
      </c>
      <c r="CT55" s="3">
        <f t="shared" si="31"/>
        <v>2543.84</v>
      </c>
      <c r="CU55" s="3">
        <f t="shared" si="32"/>
        <v>0</v>
      </c>
      <c r="CV55" s="3">
        <f t="shared" si="33"/>
        <v>3.6624060000000003</v>
      </c>
      <c r="CW55" s="3">
        <f t="shared" si="34"/>
        <v>0</v>
      </c>
      <c r="CX55" s="3">
        <f t="shared" si="35"/>
        <v>0</v>
      </c>
      <c r="CY55" s="3">
        <f>(ROUND((((S55+ROUND((ROUND((((EU55*1.1))*AV55*1),2)*BS55),2))*AT55)/100),2)+ROUND(((ROUND((ROUND(((AE55-((EU55*1.1)))*AV55*1),2)*BS55),2)*AT55)/100),2))</f>
        <v>6868.85</v>
      </c>
      <c r="CZ55" s="3">
        <f>(ROUND((((S55+ROUND((ROUND((((EU55*1.1))*AV55*1),2)*BS55),2))*AU55)/100),2)+ROUND(((ROUND((ROUND(((AE55-((EU55*1.1)))*AV55*1),2)*BS55),2)*AU55)/100),2))</f>
        <v>3510.75</v>
      </c>
      <c r="DB55" s="3">
        <v>14</v>
      </c>
      <c r="DC55" s="3" t="s">
        <v>3</v>
      </c>
      <c r="DD55" s="3" t="s">
        <v>23</v>
      </c>
      <c r="DE55" s="3" t="s">
        <v>24</v>
      </c>
      <c r="DF55" s="3" t="s">
        <v>24</v>
      </c>
      <c r="DG55" s="3" t="s">
        <v>24</v>
      </c>
      <c r="DH55" s="3" t="s">
        <v>3</v>
      </c>
      <c r="DI55" s="3" t="s">
        <v>24</v>
      </c>
      <c r="DJ55" s="3" t="s">
        <v>24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21</v>
      </c>
      <c r="DW55" s="3" t="s">
        <v>21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60088532</v>
      </c>
      <c r="EF55" s="3">
        <v>40</v>
      </c>
      <c r="EG55" s="3" t="s">
        <v>25</v>
      </c>
      <c r="EH55" s="3">
        <v>0</v>
      </c>
      <c r="EI55" s="3" t="s">
        <v>3</v>
      </c>
      <c r="EJ55" s="3">
        <v>2</v>
      </c>
      <c r="EK55" s="3">
        <v>68</v>
      </c>
      <c r="EL55" s="3" t="s">
        <v>46</v>
      </c>
      <c r="EM55" s="3" t="s">
        <v>47</v>
      </c>
      <c r="EO55" s="3" t="s">
        <v>28</v>
      </c>
      <c r="EQ55" s="3">
        <v>0</v>
      </c>
      <c r="ER55" s="3">
        <v>42.51</v>
      </c>
      <c r="ES55" s="3">
        <v>2.34</v>
      </c>
      <c r="ET55" s="3">
        <v>0</v>
      </c>
      <c r="EU55" s="3">
        <v>0</v>
      </c>
      <c r="EV55" s="3">
        <v>40.17</v>
      </c>
      <c r="EW55" s="3">
        <v>3.18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1548884140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36"/>
        <v>0</v>
      </c>
      <c r="GM55" s="3">
        <f t="shared" si="37"/>
        <v>18083.689999999999</v>
      </c>
      <c r="GN55" s="3">
        <f t="shared" si="38"/>
        <v>0</v>
      </c>
      <c r="GO55" s="3">
        <f t="shared" si="39"/>
        <v>18083.689999999999</v>
      </c>
      <c r="GP55" s="3">
        <f t="shared" si="40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41"/>
        <v>0</v>
      </c>
      <c r="GW55" s="3">
        <v>1</v>
      </c>
      <c r="GX55" s="3">
        <f t="shared" si="42"/>
        <v>0</v>
      </c>
      <c r="HA55" s="3">
        <v>0</v>
      </c>
      <c r="HB55" s="3">
        <v>0</v>
      </c>
      <c r="HC55" s="3">
        <f t="shared" si="43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85</v>
      </c>
      <c r="F56" s="2" t="s">
        <v>86</v>
      </c>
      <c r="G56" s="2" t="s">
        <v>87</v>
      </c>
      <c r="H56" s="2" t="s">
        <v>32</v>
      </c>
      <c r="I56" s="2">
        <v>3</v>
      </c>
      <c r="J56" s="2">
        <v>0</v>
      </c>
      <c r="K56" s="2">
        <v>3</v>
      </c>
      <c r="L56" s="2"/>
      <c r="M56" s="2"/>
      <c r="N56" s="2"/>
      <c r="O56" s="2">
        <f t="shared" si="21"/>
        <v>2523.75</v>
      </c>
      <c r="P56" s="2">
        <f>ROUND((ROUND((AC56*I56),2)*BC56),2)</f>
        <v>2523.75</v>
      </c>
      <c r="Q56" s="2">
        <f>(ROUND((ROUND(((ET56)*AV56*I56),2)*BB56),2)+ROUND((ROUND(((AE56-(EU56))*AV56*I56),2)*BS56),2))</f>
        <v>0</v>
      </c>
      <c r="R56" s="2">
        <f>(ROUND((ROUND(((EU56)*AV56*I56),2)*BS56),2)+ROUND((ROUND(((AE56-(EU56))*AV56*I56),2)*BS56),2))</f>
        <v>0</v>
      </c>
      <c r="S56" s="2">
        <f t="shared" si="22"/>
        <v>0</v>
      </c>
      <c r="T56" s="2">
        <f t="shared" si="23"/>
        <v>0</v>
      </c>
      <c r="U56" s="2">
        <f t="shared" si="24"/>
        <v>0</v>
      </c>
      <c r="V56" s="2">
        <f t="shared" si="25"/>
        <v>0</v>
      </c>
      <c r="W56" s="2">
        <f t="shared" si="26"/>
        <v>0</v>
      </c>
      <c r="X56" s="2">
        <f>(ROUND((((S56+ROUND((ROUND(((EU56)*AV56*I56),2)*BS56),2))*AT56)/100),2)+ROUND(((ROUND((ROUND(((AE56-(EU56))*AV56*I56),2)*BS56),2)*AT56)/100),2))</f>
        <v>0</v>
      </c>
      <c r="Y56" s="2">
        <f>(ROUND((((S56+ROUND((ROUND(((EU56)*AV56*I56),2)*BS56),2))*AU56)/100),2)+ROUND(((ROUND((ROUND(((AE56-(EU56))*AV56*I56),2)*BS56),2)*AU56)/100),2))</f>
        <v>0</v>
      </c>
      <c r="Z56" s="2"/>
      <c r="AA56" s="2">
        <v>60258621</v>
      </c>
      <c r="AB56" s="2">
        <f t="shared" si="27"/>
        <v>841.25</v>
      </c>
      <c r="AC56" s="2">
        <f>ROUND((ES56),6)</f>
        <v>841.25</v>
      </c>
      <c r="AD56" s="2">
        <f>ROUND((((ET56)-(EU56))+AE56),6)</f>
        <v>0</v>
      </c>
      <c r="AE56" s="2">
        <f t="shared" ref="AE56:AF59" si="46">ROUND((EU56),6)</f>
        <v>0</v>
      </c>
      <c r="AF56" s="2">
        <f t="shared" si="46"/>
        <v>0</v>
      </c>
      <c r="AG56" s="2">
        <f t="shared" si="28"/>
        <v>0</v>
      </c>
      <c r="AH56" s="2">
        <f t="shared" ref="AH56:AI59" si="47">(EW56)</f>
        <v>0</v>
      </c>
      <c r="AI56" s="2">
        <f t="shared" si="47"/>
        <v>0</v>
      </c>
      <c r="AJ56" s="2">
        <f t="shared" si="29"/>
        <v>0</v>
      </c>
      <c r="AK56" s="2">
        <v>841.25</v>
      </c>
      <c r="AL56" s="2">
        <v>841.25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3</v>
      </c>
      <c r="BJ56" s="2" t="s">
        <v>3</v>
      </c>
      <c r="BK56" s="2"/>
      <c r="BL56" s="2"/>
      <c r="BM56" s="2">
        <v>746</v>
      </c>
      <c r="BN56" s="2">
        <v>0</v>
      </c>
      <c r="BO56" s="2" t="s">
        <v>3</v>
      </c>
      <c r="BP56" s="2">
        <v>0</v>
      </c>
      <c r="BQ56" s="2">
        <v>130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3</v>
      </c>
      <c r="CO56" s="2">
        <v>0</v>
      </c>
      <c r="CP56" s="2">
        <f t="shared" si="30"/>
        <v>2523.75</v>
      </c>
      <c r="CQ56" s="2">
        <f>ROUND((ROUND((AC56*1),2)*BC56),2)</f>
        <v>841.25</v>
      </c>
      <c r="CR56" s="2">
        <f>(ROUND((ROUND(((ET56)*AV56*1),2)*BB56),2)+ROUND((ROUND(((AE56-(EU56))*AV56*1),2)*BS56),2))</f>
        <v>0</v>
      </c>
      <c r="CS56" s="2">
        <f>(ROUND((ROUND(((EU56)*AV56*1),2)*BS56),2)+ROUND((ROUND(((AE56-(EU56))*AV56*1),2)*BS56),2))</f>
        <v>0</v>
      </c>
      <c r="CT56" s="2">
        <f t="shared" si="31"/>
        <v>0</v>
      </c>
      <c r="CU56" s="2">
        <f t="shared" si="32"/>
        <v>0</v>
      </c>
      <c r="CV56" s="2">
        <f t="shared" si="33"/>
        <v>0</v>
      </c>
      <c r="CW56" s="2">
        <f t="shared" si="34"/>
        <v>0</v>
      </c>
      <c r="CX56" s="2">
        <f t="shared" si="35"/>
        <v>0</v>
      </c>
      <c r="CY56" s="2">
        <f>(ROUND((((S56+ROUND((ROUND(((EU56)*AV56*1),2)*BS56),2))*AT56)/100),2)+ROUND(((ROUND((ROUND(((AE56-(EU56))*AV56*1),2)*BS56),2)*AT56)/100),2))</f>
        <v>0</v>
      </c>
      <c r="CZ56" s="2">
        <f>(ROUND((((S56+ROUND((ROUND(((EU56)*AV56*1),2)*BS56),2))*AU56)/100),2)+ROUND(((ROUND((ROUND(((AE56-(EU56))*AV56*1),2)*BS56),2)*AU56)/100),2))</f>
        <v>0</v>
      </c>
      <c r="DA56" s="2"/>
      <c r="DB56" s="2"/>
      <c r="DC56" s="2" t="s">
        <v>3</v>
      </c>
      <c r="DD56" s="2" t="s">
        <v>3</v>
      </c>
      <c r="DE56" s="2" t="s">
        <v>3</v>
      </c>
      <c r="DF56" s="2" t="s">
        <v>3</v>
      </c>
      <c r="DG56" s="2" t="s">
        <v>3</v>
      </c>
      <c r="DH56" s="2" t="s">
        <v>3</v>
      </c>
      <c r="DI56" s="2" t="s">
        <v>3</v>
      </c>
      <c r="DJ56" s="2" t="s">
        <v>3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32</v>
      </c>
      <c r="DW56" s="2" t="s">
        <v>32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60088638</v>
      </c>
      <c r="EF56" s="2">
        <v>130</v>
      </c>
      <c r="EG56" s="2" t="s">
        <v>33</v>
      </c>
      <c r="EH56" s="2">
        <v>0</v>
      </c>
      <c r="EI56" s="2" t="s">
        <v>3</v>
      </c>
      <c r="EJ56" s="2">
        <v>3</v>
      </c>
      <c r="EK56" s="2">
        <v>746</v>
      </c>
      <c r="EL56" s="2" t="s">
        <v>34</v>
      </c>
      <c r="EM56" s="2" t="s">
        <v>35</v>
      </c>
      <c r="EN56" s="2"/>
      <c r="EO56" s="2" t="s">
        <v>3</v>
      </c>
      <c r="EP56" s="2"/>
      <c r="EQ56" s="2">
        <v>0</v>
      </c>
      <c r="ER56" s="2">
        <v>0</v>
      </c>
      <c r="ES56" s="2">
        <v>841.25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f>P56</f>
        <v>2523.75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88</v>
      </c>
      <c r="GB56" s="2"/>
      <c r="GC56" s="2"/>
      <c r="GD56" s="2">
        <v>1</v>
      </c>
      <c r="GE56" s="2"/>
      <c r="GF56" s="2">
        <v>-64086888</v>
      </c>
      <c r="GG56" s="2">
        <v>2</v>
      </c>
      <c r="GH56" s="2">
        <v>4</v>
      </c>
      <c r="GI56" s="2">
        <v>-2</v>
      </c>
      <c r="GJ56" s="2">
        <v>0</v>
      </c>
      <c r="GK56" s="2">
        <v>0</v>
      </c>
      <c r="GL56" s="2">
        <f t="shared" si="36"/>
        <v>0</v>
      </c>
      <c r="GM56" s="2">
        <f t="shared" si="37"/>
        <v>2523.75</v>
      </c>
      <c r="GN56" s="2">
        <f t="shared" si="38"/>
        <v>0</v>
      </c>
      <c r="GO56" s="2">
        <f t="shared" si="39"/>
        <v>0</v>
      </c>
      <c r="GP56" s="2">
        <f t="shared" si="40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41"/>
        <v>0</v>
      </c>
      <c r="GW56" s="2">
        <v>1</v>
      </c>
      <c r="GX56" s="2">
        <f t="shared" si="42"/>
        <v>0</v>
      </c>
      <c r="GY56" s="2"/>
      <c r="GZ56" s="2"/>
      <c r="HA56" s="2">
        <v>0</v>
      </c>
      <c r="HB56" s="2">
        <v>0</v>
      </c>
      <c r="HC56" s="2">
        <f t="shared" si="43"/>
        <v>0</v>
      </c>
      <c r="HD56" s="2"/>
      <c r="HE56" s="2" t="s">
        <v>37</v>
      </c>
      <c r="HF56" s="2" t="s">
        <v>38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E57" s="3" t="s">
        <v>85</v>
      </c>
      <c r="F57" s="3" t="s">
        <v>86</v>
      </c>
      <c r="G57" s="3" t="s">
        <v>87</v>
      </c>
      <c r="H57" s="3" t="s">
        <v>32</v>
      </c>
      <c r="I57" s="3">
        <v>3</v>
      </c>
      <c r="J57" s="3">
        <v>0</v>
      </c>
      <c r="K57" s="3">
        <v>3</v>
      </c>
      <c r="O57" s="3">
        <f t="shared" si="21"/>
        <v>19331.93</v>
      </c>
      <c r="P57" s="3">
        <f>ROUND((ROUND((AC57*I57),2)*BC57),2)</f>
        <v>19331.93</v>
      </c>
      <c r="Q57" s="3">
        <f>(ROUND((ROUND(((ET57)*AV57*I57),2)*BB57),2)+ROUND((ROUND(((AE57-(EU57))*AV57*I57),2)*BS57),2))</f>
        <v>0</v>
      </c>
      <c r="R57" s="3">
        <f>(ROUND((ROUND(((EU57)*AV57*I57),2)*BS57),2)+ROUND((ROUND(((AE57-(EU57))*AV57*I57),2)*BS57),2))</f>
        <v>0</v>
      </c>
      <c r="S57" s="3">
        <f t="shared" si="22"/>
        <v>0</v>
      </c>
      <c r="T57" s="3">
        <f t="shared" si="23"/>
        <v>0</v>
      </c>
      <c r="U57" s="3">
        <f t="shared" si="24"/>
        <v>0</v>
      </c>
      <c r="V57" s="3">
        <f t="shared" si="25"/>
        <v>0</v>
      </c>
      <c r="W57" s="3">
        <f t="shared" si="26"/>
        <v>0</v>
      </c>
      <c r="X57" s="3">
        <f>(ROUND((((S57+ROUND((ROUND(((EU57)*AV57*I57),2)*BS57),2))*AT57)/100),2)+ROUND(((ROUND((ROUND(((AE57-(EU57))*AV57*I57),2)*BS57),2)*AT57)/100),2))</f>
        <v>0</v>
      </c>
      <c r="Y57" s="3">
        <f>(ROUND((((S57+ROUND((ROUND(((EU57)*AV57*I57),2)*BS57),2))*AU57)/100),2)+ROUND(((ROUND((ROUND(((AE57-(EU57))*AV57*I57),2)*BS57),2)*AU57)/100),2))</f>
        <v>0</v>
      </c>
      <c r="AA57" s="3">
        <v>60258618</v>
      </c>
      <c r="AB57" s="3">
        <f t="shared" si="27"/>
        <v>841.25</v>
      </c>
      <c r="AC57" s="3">
        <f>ROUND((ES57),6)</f>
        <v>841.25</v>
      </c>
      <c r="AD57" s="3">
        <f>ROUND((((ET57)-(EU57))+AE57),6)</f>
        <v>0</v>
      </c>
      <c r="AE57" s="3">
        <f t="shared" si="46"/>
        <v>0</v>
      </c>
      <c r="AF57" s="3">
        <f t="shared" si="46"/>
        <v>0</v>
      </c>
      <c r="AG57" s="3">
        <f t="shared" si="28"/>
        <v>0</v>
      </c>
      <c r="AH57" s="3">
        <f t="shared" si="47"/>
        <v>0</v>
      </c>
      <c r="AI57" s="3">
        <f t="shared" si="47"/>
        <v>0</v>
      </c>
      <c r="AJ57" s="3">
        <f t="shared" si="29"/>
        <v>0</v>
      </c>
      <c r="AK57" s="3">
        <v>841.25</v>
      </c>
      <c r="AL57" s="3">
        <v>841.25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1</v>
      </c>
      <c r="AW57" s="3">
        <v>1</v>
      </c>
      <c r="AZ57" s="3">
        <v>1</v>
      </c>
      <c r="BA57" s="3">
        <v>1</v>
      </c>
      <c r="BB57" s="3">
        <v>1</v>
      </c>
      <c r="BC57" s="3">
        <v>7.66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3</v>
      </c>
      <c r="BI57" s="3">
        <v>3</v>
      </c>
      <c r="BJ57" s="3" t="s">
        <v>3</v>
      </c>
      <c r="BM57" s="3">
        <v>746</v>
      </c>
      <c r="BN57" s="3">
        <v>0</v>
      </c>
      <c r="BO57" s="3" t="s">
        <v>3</v>
      </c>
      <c r="BP57" s="3">
        <v>0</v>
      </c>
      <c r="BQ57" s="3">
        <v>130</v>
      </c>
      <c r="BR57" s="3">
        <v>0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0</v>
      </c>
      <c r="CA57" s="3">
        <v>0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3</v>
      </c>
      <c r="CO57" s="3">
        <v>0</v>
      </c>
      <c r="CP57" s="3">
        <f t="shared" si="30"/>
        <v>19331.93</v>
      </c>
      <c r="CQ57" s="3">
        <f>ROUND((ROUND((AC57*1),2)*BC57),2)</f>
        <v>6443.98</v>
      </c>
      <c r="CR57" s="3">
        <f>(ROUND((ROUND(((ET57)*AV57*1),2)*BB57),2)+ROUND((ROUND(((AE57-(EU57))*AV57*1),2)*BS57),2))</f>
        <v>0</v>
      </c>
      <c r="CS57" s="3">
        <f>(ROUND((ROUND(((EU57)*AV57*1),2)*BS57),2)+ROUND((ROUND(((AE57-(EU57))*AV57*1),2)*BS57),2))</f>
        <v>0</v>
      </c>
      <c r="CT57" s="3">
        <f t="shared" si="31"/>
        <v>0</v>
      </c>
      <c r="CU57" s="3">
        <f t="shared" si="32"/>
        <v>0</v>
      </c>
      <c r="CV57" s="3">
        <f t="shared" si="33"/>
        <v>0</v>
      </c>
      <c r="CW57" s="3">
        <f t="shared" si="34"/>
        <v>0</v>
      </c>
      <c r="CX57" s="3">
        <f t="shared" si="35"/>
        <v>0</v>
      </c>
      <c r="CY57" s="3">
        <f>(ROUND((((S57+ROUND((ROUND(((EU57)*AV57*1),2)*BS57),2))*AT57)/100),2)+ROUND(((ROUND((ROUND(((AE57-(EU57))*AV57*1),2)*BS57),2)*AT57)/100),2))</f>
        <v>0</v>
      </c>
      <c r="CZ57" s="3">
        <f>(ROUND((((S57+ROUND((ROUND(((EU57)*AV57*1),2)*BS57),2))*AU57)/100),2)+ROUND(((ROUND((ROUND(((AE57-(EU57))*AV57*1),2)*BS57),2)*AU57)/100),2))</f>
        <v>0</v>
      </c>
      <c r="DC57" s="3" t="s">
        <v>3</v>
      </c>
      <c r="DD57" s="3" t="s">
        <v>3</v>
      </c>
      <c r="DE57" s="3" t="s">
        <v>3</v>
      </c>
      <c r="DF57" s="3" t="s">
        <v>3</v>
      </c>
      <c r="DG57" s="3" t="s">
        <v>3</v>
      </c>
      <c r="DH57" s="3" t="s">
        <v>3</v>
      </c>
      <c r="DI57" s="3" t="s">
        <v>3</v>
      </c>
      <c r="DJ57" s="3" t="s">
        <v>3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32</v>
      </c>
      <c r="DW57" s="3" t="s">
        <v>32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60088638</v>
      </c>
      <c r="EF57" s="3">
        <v>130</v>
      </c>
      <c r="EG57" s="3" t="s">
        <v>33</v>
      </c>
      <c r="EH57" s="3">
        <v>0</v>
      </c>
      <c r="EI57" s="3" t="s">
        <v>3</v>
      </c>
      <c r="EJ57" s="3">
        <v>3</v>
      </c>
      <c r="EK57" s="3">
        <v>746</v>
      </c>
      <c r="EL57" s="3" t="s">
        <v>34</v>
      </c>
      <c r="EM57" s="3" t="s">
        <v>35</v>
      </c>
      <c r="EO57" s="3" t="s">
        <v>3</v>
      </c>
      <c r="EQ57" s="3">
        <v>0</v>
      </c>
      <c r="ER57" s="3">
        <v>0</v>
      </c>
      <c r="ES57" s="3">
        <v>841.25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5</v>
      </c>
      <c r="FC57" s="3">
        <v>1</v>
      </c>
      <c r="FD57" s="3">
        <v>18</v>
      </c>
      <c r="FF57" s="3">
        <v>7418.45</v>
      </c>
      <c r="FQ57" s="3">
        <v>0</v>
      </c>
      <c r="FR57" s="3">
        <f>P57</f>
        <v>19331.93</v>
      </c>
      <c r="FS57" s="3">
        <v>0</v>
      </c>
      <c r="FX57" s="3">
        <v>0</v>
      </c>
      <c r="FY57" s="3">
        <v>0</v>
      </c>
      <c r="GA57" s="3" t="s">
        <v>88</v>
      </c>
      <c r="GD57" s="3">
        <v>1</v>
      </c>
      <c r="GF57" s="3">
        <v>-64086888</v>
      </c>
      <c r="GG57" s="3">
        <v>2</v>
      </c>
      <c r="GH57" s="3">
        <v>3</v>
      </c>
      <c r="GI57" s="3">
        <v>5</v>
      </c>
      <c r="GJ57" s="3">
        <v>0</v>
      </c>
      <c r="GK57" s="3">
        <v>0</v>
      </c>
      <c r="GL57" s="3">
        <f t="shared" si="36"/>
        <v>0</v>
      </c>
      <c r="GM57" s="3">
        <f t="shared" si="37"/>
        <v>19331.93</v>
      </c>
      <c r="GN57" s="3">
        <f t="shared" si="38"/>
        <v>0</v>
      </c>
      <c r="GO57" s="3">
        <f t="shared" si="39"/>
        <v>0</v>
      </c>
      <c r="GP57" s="3">
        <f t="shared" si="40"/>
        <v>0</v>
      </c>
      <c r="GR57" s="3">
        <v>1</v>
      </c>
      <c r="GS57" s="3">
        <v>1</v>
      </c>
      <c r="GT57" s="3">
        <v>0</v>
      </c>
      <c r="GU57" s="3" t="s">
        <v>3</v>
      </c>
      <c r="GV57" s="3">
        <f t="shared" si="41"/>
        <v>0</v>
      </c>
      <c r="GW57" s="3">
        <v>1</v>
      </c>
      <c r="GX57" s="3">
        <f t="shared" si="42"/>
        <v>0</v>
      </c>
      <c r="HA57" s="3">
        <v>0</v>
      </c>
      <c r="HB57" s="3">
        <v>0</v>
      </c>
      <c r="HC57" s="3">
        <f t="shared" si="43"/>
        <v>0</v>
      </c>
      <c r="HE57" s="3" t="s">
        <v>37</v>
      </c>
      <c r="HF57" s="3" t="s">
        <v>38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/>
      <c r="D58" s="2"/>
      <c r="E58" s="2" t="s">
        <v>89</v>
      </c>
      <c r="F58" s="2" t="s">
        <v>90</v>
      </c>
      <c r="G58" s="2" t="s">
        <v>91</v>
      </c>
      <c r="H58" s="2" t="s">
        <v>32</v>
      </c>
      <c r="I58" s="2">
        <v>3</v>
      </c>
      <c r="J58" s="2">
        <v>0</v>
      </c>
      <c r="K58" s="2">
        <v>3</v>
      </c>
      <c r="L58" s="2"/>
      <c r="M58" s="2"/>
      <c r="N58" s="2"/>
      <c r="O58" s="2">
        <f t="shared" si="21"/>
        <v>479.67</v>
      </c>
      <c r="P58" s="2">
        <f>ROUND((ROUND((AC58*I58),2)*BC58),2)</f>
        <v>479.67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2"/>
        <v>0</v>
      </c>
      <c r="T58" s="2">
        <f t="shared" si="23"/>
        <v>0</v>
      </c>
      <c r="U58" s="2">
        <f t="shared" si="24"/>
        <v>0</v>
      </c>
      <c r="V58" s="2">
        <f t="shared" si="25"/>
        <v>0</v>
      </c>
      <c r="W58" s="2">
        <f t="shared" si="26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60258621</v>
      </c>
      <c r="AB58" s="2">
        <f t="shared" si="27"/>
        <v>159.88999999999999</v>
      </c>
      <c r="AC58" s="2">
        <f>ROUND((ES58),6)</f>
        <v>159.88999999999999</v>
      </c>
      <c r="AD58" s="2">
        <f>ROUND((((ET58)-(EU58))+AE58),6)</f>
        <v>0</v>
      </c>
      <c r="AE58" s="2">
        <f t="shared" si="46"/>
        <v>0</v>
      </c>
      <c r="AF58" s="2">
        <f t="shared" si="46"/>
        <v>0</v>
      </c>
      <c r="AG58" s="2">
        <f t="shared" si="28"/>
        <v>0</v>
      </c>
      <c r="AH58" s="2">
        <f t="shared" si="47"/>
        <v>0</v>
      </c>
      <c r="AI58" s="2">
        <f t="shared" si="47"/>
        <v>0</v>
      </c>
      <c r="AJ58" s="2">
        <f t="shared" si="29"/>
        <v>0</v>
      </c>
      <c r="AK58" s="2">
        <v>159.88999999999999</v>
      </c>
      <c r="AL58" s="2">
        <v>159.88999999999999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3</v>
      </c>
      <c r="BJ58" s="2" t="s">
        <v>3</v>
      </c>
      <c r="BK58" s="2"/>
      <c r="BL58" s="2"/>
      <c r="BM58" s="2">
        <v>746</v>
      </c>
      <c r="BN58" s="2">
        <v>0</v>
      </c>
      <c r="BO58" s="2" t="s">
        <v>3</v>
      </c>
      <c r="BP58" s="2">
        <v>0</v>
      </c>
      <c r="BQ58" s="2">
        <v>130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0</v>
      </c>
      <c r="CA58" s="2">
        <v>0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3</v>
      </c>
      <c r="CO58" s="2">
        <v>0</v>
      </c>
      <c r="CP58" s="2">
        <f t="shared" si="30"/>
        <v>479.67</v>
      </c>
      <c r="CQ58" s="2">
        <f>ROUND((ROUND((AC58*1),2)*BC58),2)</f>
        <v>159.88999999999999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1"/>
        <v>0</v>
      </c>
      <c r="CU58" s="2">
        <f t="shared" si="32"/>
        <v>0</v>
      </c>
      <c r="CV58" s="2">
        <f t="shared" si="33"/>
        <v>0</v>
      </c>
      <c r="CW58" s="2">
        <f t="shared" si="34"/>
        <v>0</v>
      </c>
      <c r="CX58" s="2">
        <f t="shared" si="35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32</v>
      </c>
      <c r="DW58" s="2" t="s">
        <v>32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60088638</v>
      </c>
      <c r="EF58" s="2">
        <v>130</v>
      </c>
      <c r="EG58" s="2" t="s">
        <v>33</v>
      </c>
      <c r="EH58" s="2">
        <v>0</v>
      </c>
      <c r="EI58" s="2" t="s">
        <v>3</v>
      </c>
      <c r="EJ58" s="2">
        <v>3</v>
      </c>
      <c r="EK58" s="2">
        <v>746</v>
      </c>
      <c r="EL58" s="2" t="s">
        <v>34</v>
      </c>
      <c r="EM58" s="2" t="s">
        <v>35</v>
      </c>
      <c r="EN58" s="2"/>
      <c r="EO58" s="2" t="s">
        <v>3</v>
      </c>
      <c r="EP58" s="2"/>
      <c r="EQ58" s="2">
        <v>0</v>
      </c>
      <c r="ER58" s="2">
        <v>0</v>
      </c>
      <c r="ES58" s="2">
        <v>159.88999999999999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f>P58</f>
        <v>479.67</v>
      </c>
      <c r="FS58" s="2">
        <v>0</v>
      </c>
      <c r="FT58" s="2"/>
      <c r="FU58" s="2"/>
      <c r="FV58" s="2"/>
      <c r="FW58" s="2"/>
      <c r="FX58" s="2">
        <v>0</v>
      </c>
      <c r="FY58" s="2">
        <v>0</v>
      </c>
      <c r="FZ58" s="2"/>
      <c r="GA58" s="2" t="s">
        <v>92</v>
      </c>
      <c r="GB58" s="2"/>
      <c r="GC58" s="2"/>
      <c r="GD58" s="2">
        <v>1</v>
      </c>
      <c r="GE58" s="2"/>
      <c r="GF58" s="2">
        <v>680371573</v>
      </c>
      <c r="GG58" s="2">
        <v>2</v>
      </c>
      <c r="GH58" s="2">
        <v>4</v>
      </c>
      <c r="GI58" s="2">
        <v>-2</v>
      </c>
      <c r="GJ58" s="2">
        <v>0</v>
      </c>
      <c r="GK58" s="2">
        <v>0</v>
      </c>
      <c r="GL58" s="2">
        <f t="shared" si="36"/>
        <v>0</v>
      </c>
      <c r="GM58" s="2">
        <f t="shared" si="37"/>
        <v>479.67</v>
      </c>
      <c r="GN58" s="2">
        <f t="shared" si="38"/>
        <v>0</v>
      </c>
      <c r="GO58" s="2">
        <f t="shared" si="39"/>
        <v>0</v>
      </c>
      <c r="GP58" s="2">
        <f t="shared" si="40"/>
        <v>0</v>
      </c>
      <c r="GQ58" s="2"/>
      <c r="GR58" s="2">
        <v>0</v>
      </c>
      <c r="GS58" s="2">
        <v>2</v>
      </c>
      <c r="GT58" s="2">
        <v>0</v>
      </c>
      <c r="GU58" s="2" t="s">
        <v>3</v>
      </c>
      <c r="GV58" s="2">
        <f t="shared" si="41"/>
        <v>0</v>
      </c>
      <c r="GW58" s="2">
        <v>1</v>
      </c>
      <c r="GX58" s="2">
        <f t="shared" si="42"/>
        <v>0</v>
      </c>
      <c r="GY58" s="2"/>
      <c r="GZ58" s="2"/>
      <c r="HA58" s="2">
        <v>0</v>
      </c>
      <c r="HB58" s="2">
        <v>0</v>
      </c>
      <c r="HC58" s="2">
        <f t="shared" si="43"/>
        <v>0</v>
      </c>
      <c r="HD58" s="2"/>
      <c r="HE58" s="2" t="s">
        <v>37</v>
      </c>
      <c r="HF58" s="2" t="s">
        <v>38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E59" s="3" t="s">
        <v>89</v>
      </c>
      <c r="F59" s="3" t="s">
        <v>90</v>
      </c>
      <c r="G59" s="3" t="s">
        <v>91</v>
      </c>
      <c r="H59" s="3" t="s">
        <v>32</v>
      </c>
      <c r="I59" s="3">
        <v>3</v>
      </c>
      <c r="J59" s="3">
        <v>0</v>
      </c>
      <c r="K59" s="3">
        <v>3</v>
      </c>
      <c r="O59" s="3">
        <f t="shared" si="21"/>
        <v>3674.27</v>
      </c>
      <c r="P59" s="3">
        <f>ROUND((ROUND((AC59*I59),2)*BC59),2)</f>
        <v>3674.27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2"/>
        <v>0</v>
      </c>
      <c r="T59" s="3">
        <f t="shared" si="23"/>
        <v>0</v>
      </c>
      <c r="U59" s="3">
        <f t="shared" si="24"/>
        <v>0</v>
      </c>
      <c r="V59" s="3">
        <f t="shared" si="25"/>
        <v>0</v>
      </c>
      <c r="W59" s="3">
        <f t="shared" si="26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60258618</v>
      </c>
      <c r="AB59" s="3">
        <f t="shared" si="27"/>
        <v>159.88999999999999</v>
      </c>
      <c r="AC59" s="3">
        <f>ROUND((ES59),6)</f>
        <v>159.88999999999999</v>
      </c>
      <c r="AD59" s="3">
        <f>ROUND((((ET59)-(EU59))+AE59),6)</f>
        <v>0</v>
      </c>
      <c r="AE59" s="3">
        <f t="shared" si="46"/>
        <v>0</v>
      </c>
      <c r="AF59" s="3">
        <f t="shared" si="46"/>
        <v>0</v>
      </c>
      <c r="AG59" s="3">
        <f t="shared" si="28"/>
        <v>0</v>
      </c>
      <c r="AH59" s="3">
        <f t="shared" si="47"/>
        <v>0</v>
      </c>
      <c r="AI59" s="3">
        <f t="shared" si="47"/>
        <v>0</v>
      </c>
      <c r="AJ59" s="3">
        <f t="shared" si="29"/>
        <v>0</v>
      </c>
      <c r="AK59" s="3">
        <v>159.88999999999999</v>
      </c>
      <c r="AL59" s="3">
        <v>159.88999999999999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7.66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3</v>
      </c>
      <c r="BJ59" s="3" t="s">
        <v>3</v>
      </c>
      <c r="BM59" s="3">
        <v>746</v>
      </c>
      <c r="BN59" s="3">
        <v>0</v>
      </c>
      <c r="BO59" s="3" t="s">
        <v>3</v>
      </c>
      <c r="BP59" s="3">
        <v>0</v>
      </c>
      <c r="BQ59" s="3">
        <v>130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0</v>
      </c>
      <c r="CA59" s="3">
        <v>0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3</v>
      </c>
      <c r="CO59" s="3">
        <v>0</v>
      </c>
      <c r="CP59" s="3">
        <f t="shared" si="30"/>
        <v>3674.27</v>
      </c>
      <c r="CQ59" s="3">
        <f>ROUND((ROUND((AC59*1),2)*BC59),2)</f>
        <v>1224.76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1"/>
        <v>0</v>
      </c>
      <c r="CU59" s="3">
        <f t="shared" si="32"/>
        <v>0</v>
      </c>
      <c r="CV59" s="3">
        <f t="shared" si="33"/>
        <v>0</v>
      </c>
      <c r="CW59" s="3">
        <f t="shared" si="34"/>
        <v>0</v>
      </c>
      <c r="CX59" s="3">
        <f t="shared" si="35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1013</v>
      </c>
      <c r="DV59" s="3" t="s">
        <v>32</v>
      </c>
      <c r="DW59" s="3" t="s">
        <v>32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60088638</v>
      </c>
      <c r="EF59" s="3">
        <v>130</v>
      </c>
      <c r="EG59" s="3" t="s">
        <v>33</v>
      </c>
      <c r="EH59" s="3">
        <v>0</v>
      </c>
      <c r="EI59" s="3" t="s">
        <v>3</v>
      </c>
      <c r="EJ59" s="3">
        <v>3</v>
      </c>
      <c r="EK59" s="3">
        <v>746</v>
      </c>
      <c r="EL59" s="3" t="s">
        <v>34</v>
      </c>
      <c r="EM59" s="3" t="s">
        <v>35</v>
      </c>
      <c r="EO59" s="3" t="s">
        <v>3</v>
      </c>
      <c r="EQ59" s="3">
        <v>0</v>
      </c>
      <c r="ER59" s="3">
        <v>159.88999999999999</v>
      </c>
      <c r="ES59" s="3">
        <v>159.88999999999999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5</v>
      </c>
      <c r="FC59" s="3">
        <v>1</v>
      </c>
      <c r="FD59" s="3">
        <v>18</v>
      </c>
      <c r="FF59" s="3">
        <v>1410</v>
      </c>
      <c r="FQ59" s="3">
        <v>0</v>
      </c>
      <c r="FR59" s="3">
        <f>P59</f>
        <v>3674.27</v>
      </c>
      <c r="FS59" s="3">
        <v>0</v>
      </c>
      <c r="FX59" s="3">
        <v>0</v>
      </c>
      <c r="FY59" s="3">
        <v>0</v>
      </c>
      <c r="GA59" s="3" t="s">
        <v>92</v>
      </c>
      <c r="GD59" s="3">
        <v>1</v>
      </c>
      <c r="GF59" s="3">
        <v>680371573</v>
      </c>
      <c r="GG59" s="3">
        <v>2</v>
      </c>
      <c r="GH59" s="3">
        <v>3</v>
      </c>
      <c r="GI59" s="3">
        <v>5</v>
      </c>
      <c r="GJ59" s="3">
        <v>0</v>
      </c>
      <c r="GK59" s="3">
        <v>0</v>
      </c>
      <c r="GL59" s="3">
        <f t="shared" si="36"/>
        <v>0</v>
      </c>
      <c r="GM59" s="3">
        <f t="shared" si="37"/>
        <v>3674.27</v>
      </c>
      <c r="GN59" s="3">
        <f t="shared" si="38"/>
        <v>0</v>
      </c>
      <c r="GO59" s="3">
        <f t="shared" si="39"/>
        <v>0</v>
      </c>
      <c r="GP59" s="3">
        <f t="shared" si="40"/>
        <v>0</v>
      </c>
      <c r="GR59" s="3">
        <v>1</v>
      </c>
      <c r="GS59" s="3">
        <v>1</v>
      </c>
      <c r="GT59" s="3">
        <v>0</v>
      </c>
      <c r="GU59" s="3" t="s">
        <v>3</v>
      </c>
      <c r="GV59" s="3">
        <f t="shared" si="41"/>
        <v>0</v>
      </c>
      <c r="GW59" s="3">
        <v>1</v>
      </c>
      <c r="GX59" s="3">
        <f t="shared" si="42"/>
        <v>0</v>
      </c>
      <c r="HA59" s="3">
        <v>0</v>
      </c>
      <c r="HB59" s="3">
        <v>0</v>
      </c>
      <c r="HC59" s="3">
        <f t="shared" si="43"/>
        <v>0</v>
      </c>
      <c r="HE59" s="3" t="s">
        <v>37</v>
      </c>
      <c r="HF59" s="3" t="s">
        <v>38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ROW(SmtRes!A35)</f>
        <v>35</v>
      </c>
      <c r="D60" s="2">
        <f>ROW(EtalonRes!A43)</f>
        <v>43</v>
      </c>
      <c r="E60" s="2" t="s">
        <v>93</v>
      </c>
      <c r="F60" s="2" t="s">
        <v>61</v>
      </c>
      <c r="G60" s="2" t="s">
        <v>62</v>
      </c>
      <c r="H60" s="2" t="s">
        <v>21</v>
      </c>
      <c r="I60" s="2">
        <v>1</v>
      </c>
      <c r="J60" s="2">
        <v>0</v>
      </c>
      <c r="K60" s="2">
        <v>1</v>
      </c>
      <c r="L60" s="2"/>
      <c r="M60" s="2"/>
      <c r="N60" s="2"/>
      <c r="O60" s="2">
        <f t="shared" ref="O60:O91" si="48">ROUND(CP60,2)</f>
        <v>20.53</v>
      </c>
      <c r="P60" s="2">
        <f>ROUND((ROUND((AC60*AW60*I60),2)*BC60),2)</f>
        <v>1.96</v>
      </c>
      <c r="Q60" s="2">
        <f>(ROUND((ROUND((((ET60*1.1))*AV60*I60),2)*BB60),2)+ROUND((ROUND(((AE60-((EU60*1.1)))*AV60*I60),2)*BS60),2))</f>
        <v>0.06</v>
      </c>
      <c r="R60" s="2">
        <f>(ROUND((ROUND((((EU60*1.1))*AV60*I60),2)*BS60),2)+ROUND((ROUND(((AE60-((EU60*1.1)))*AV60*I60),2)*BS60),2))</f>
        <v>0.01</v>
      </c>
      <c r="S60" s="2">
        <f t="shared" ref="S60:S91" si="49">ROUND((ROUND((AF60*AV60*I60),2)*BA60),2)</f>
        <v>18.510000000000002</v>
      </c>
      <c r="T60" s="2">
        <f t="shared" ref="T60:T91" si="50">ROUND(CU60*I60,2)</f>
        <v>0</v>
      </c>
      <c r="U60" s="2">
        <f t="shared" ref="U60:U91" si="51">CV60*I60</f>
        <v>1.3820399999999999</v>
      </c>
      <c r="V60" s="2">
        <f t="shared" ref="V60:V91" si="52">CW60*I60</f>
        <v>0</v>
      </c>
      <c r="W60" s="2">
        <f t="shared" ref="W60:W91" si="53">ROUND(CX60*I60,2)</f>
        <v>0</v>
      </c>
      <c r="X60" s="2">
        <f>(ROUND((((S60+ROUND((ROUND((((EU60*1.1))*AV60*I60),2)*BS60),2))*AT60)/100),2)+ROUND(((ROUND((ROUND(((AE60-((EU60*1.1)))*AV60*I60),2)*BS60),2)*AT60)/100),2))</f>
        <v>16.670000000000002</v>
      </c>
      <c r="Y60" s="2">
        <f>(ROUND((((S60+ROUND((ROUND((((EU60*1.1))*AV60*I60),2)*BS60),2))*AU60)/100),2)+ROUND(((ROUND((ROUND(((AE60-((EU60*1.1)))*AV60*I60),2)*BS60),2)*AU60)/100),2))</f>
        <v>8.52</v>
      </c>
      <c r="Z60" s="2"/>
      <c r="AA60" s="2">
        <v>60258621</v>
      </c>
      <c r="AB60" s="2">
        <f t="shared" ref="AB60:AB91" si="54">ROUND((AC60+AD60+AF60),6)</f>
        <v>19.692</v>
      </c>
      <c r="AC60" s="2">
        <f>ROUND(((ES60*1)),6)</f>
        <v>1.96</v>
      </c>
      <c r="AD60" s="2">
        <f>ROUND(((((ET60*1.1))-((EU60*1.1)))+AE60),6)</f>
        <v>5.5E-2</v>
      </c>
      <c r="AE60" s="2">
        <f>ROUND(((EU60*1.1)),6)</f>
        <v>1.0999999999999999E-2</v>
      </c>
      <c r="AF60" s="2">
        <f>ROUND(((EV60*1.1)),6)</f>
        <v>17.677</v>
      </c>
      <c r="AG60" s="2">
        <f t="shared" ref="AG60:AG91" si="55">ROUND((AP60),6)</f>
        <v>0</v>
      </c>
      <c r="AH60" s="2">
        <f>((EW60*1.1))</f>
        <v>1.32</v>
      </c>
      <c r="AI60" s="2">
        <f>((EX60*1.1))</f>
        <v>0</v>
      </c>
      <c r="AJ60" s="2">
        <f t="shared" ref="AJ60:AJ91" si="56">(AS60)</f>
        <v>0</v>
      </c>
      <c r="AK60" s="2">
        <v>18.079999999999998</v>
      </c>
      <c r="AL60" s="2">
        <v>1.96</v>
      </c>
      <c r="AM60" s="2">
        <v>0.05</v>
      </c>
      <c r="AN60" s="2">
        <v>0.01</v>
      </c>
      <c r="AO60" s="2">
        <v>16.07</v>
      </c>
      <c r="AP60" s="2">
        <v>0</v>
      </c>
      <c r="AQ60" s="2">
        <v>1.2</v>
      </c>
      <c r="AR60" s="2">
        <v>0</v>
      </c>
      <c r="AS60" s="2">
        <v>0</v>
      </c>
      <c r="AT60" s="2">
        <v>90</v>
      </c>
      <c r="AU60" s="2">
        <v>46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2</v>
      </c>
      <c r="BJ60" s="2" t="s">
        <v>63</v>
      </c>
      <c r="BK60" s="2"/>
      <c r="BL60" s="2"/>
      <c r="BM60" s="2">
        <v>68</v>
      </c>
      <c r="BN60" s="2">
        <v>58973116</v>
      </c>
      <c r="BO60" s="2" t="s">
        <v>61</v>
      </c>
      <c r="BP60" s="2">
        <v>1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363</v>
      </c>
      <c r="CO60" s="2">
        <v>0</v>
      </c>
      <c r="CP60" s="2">
        <f t="shared" ref="CP60:CP91" si="57">(P60+Q60+S60)</f>
        <v>20.53</v>
      </c>
      <c r="CQ60" s="2">
        <f>ROUND((ROUND((AC60*AW60*1),2)*BC60),2)</f>
        <v>1.96</v>
      </c>
      <c r="CR60" s="2">
        <f>(ROUND((ROUND((((ET60*1.1))*AV60*1),2)*BB60),2)+ROUND((ROUND(((AE60-((EU60*1.1)))*AV60*1),2)*BS60),2))</f>
        <v>0.06</v>
      </c>
      <c r="CS60" s="2">
        <f>(ROUND((ROUND((((EU60*1.1))*AV60*1),2)*BS60),2)+ROUND((ROUND(((AE60-((EU60*1.1)))*AV60*1),2)*BS60),2))</f>
        <v>0.01</v>
      </c>
      <c r="CT60" s="2">
        <f t="shared" ref="CT60:CT91" si="58">ROUND((ROUND((AF60*AV60*1),2)*BA60),2)</f>
        <v>18.510000000000002</v>
      </c>
      <c r="CU60" s="2">
        <f t="shared" ref="CU60:CU91" si="59">AG60</f>
        <v>0</v>
      </c>
      <c r="CV60" s="2">
        <f t="shared" ref="CV60:CV91" si="60">(AH60*AV60)</f>
        <v>1.3820399999999999</v>
      </c>
      <c r="CW60" s="2">
        <f t="shared" ref="CW60:CW91" si="61">AI60</f>
        <v>0</v>
      </c>
      <c r="CX60" s="2">
        <f t="shared" ref="CX60:CX91" si="62">AJ60</f>
        <v>0</v>
      </c>
      <c r="CY60" s="2">
        <f>(ROUND((((S60+ROUND((ROUND((((EU60*1.1))*AV60*1),2)*BS60),2))*AT60)/100),2)+ROUND(((ROUND((ROUND(((AE60-((EU60*1.1)))*AV60*1),2)*BS60),2)*AT60)/100),2))</f>
        <v>16.670000000000002</v>
      </c>
      <c r="CZ60" s="2">
        <f>(ROUND((((S60+ROUND((ROUND((((EU60*1.1))*AV60*1),2)*BS60),2))*AU60)/100),2)+ROUND(((ROUND((ROUND(((AE60-((EU60*1.1)))*AV60*1),2)*BS60),2)*AU60)/100),2))</f>
        <v>8.52</v>
      </c>
      <c r="DA60" s="2"/>
      <c r="DB60" s="2">
        <v>15</v>
      </c>
      <c r="DC60" s="2" t="s">
        <v>3</v>
      </c>
      <c r="DD60" s="2" t="s">
        <v>23</v>
      </c>
      <c r="DE60" s="2" t="s">
        <v>24</v>
      </c>
      <c r="DF60" s="2" t="s">
        <v>24</v>
      </c>
      <c r="DG60" s="2" t="s">
        <v>24</v>
      </c>
      <c r="DH60" s="2" t="s">
        <v>3</v>
      </c>
      <c r="DI60" s="2" t="s">
        <v>24</v>
      </c>
      <c r="DJ60" s="2" t="s">
        <v>24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1013</v>
      </c>
      <c r="DV60" s="2" t="s">
        <v>21</v>
      </c>
      <c r="DW60" s="2" t="s">
        <v>21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60088532</v>
      </c>
      <c r="EF60" s="2">
        <v>40</v>
      </c>
      <c r="EG60" s="2" t="s">
        <v>25</v>
      </c>
      <c r="EH60" s="2">
        <v>0</v>
      </c>
      <c r="EI60" s="2" t="s">
        <v>3</v>
      </c>
      <c r="EJ60" s="2">
        <v>2</v>
      </c>
      <c r="EK60" s="2">
        <v>68</v>
      </c>
      <c r="EL60" s="2" t="s">
        <v>46</v>
      </c>
      <c r="EM60" s="2" t="s">
        <v>47</v>
      </c>
      <c r="EN60" s="2"/>
      <c r="EO60" s="2" t="s">
        <v>28</v>
      </c>
      <c r="EP60" s="2"/>
      <c r="EQ60" s="2">
        <v>0</v>
      </c>
      <c r="ER60" s="2">
        <v>18.079999999999998</v>
      </c>
      <c r="ES60" s="2">
        <v>1.96</v>
      </c>
      <c r="ET60" s="2">
        <v>0.05</v>
      </c>
      <c r="EU60" s="2">
        <v>0.01</v>
      </c>
      <c r="EV60" s="2">
        <v>16.07</v>
      </c>
      <c r="EW60" s="2">
        <v>1.2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1665592289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ref="GL60:GL91" si="63">ROUND(IF(AND(BH60=3,BI60=3,FS60&lt;&gt;0),P60,0),2)</f>
        <v>0</v>
      </c>
      <c r="GM60" s="2">
        <f t="shared" ref="GM60:GM91" si="64">ROUND(O60+X60+Y60,2)+GX60</f>
        <v>45.72</v>
      </c>
      <c r="GN60" s="2">
        <f t="shared" ref="GN60:GN91" si="65">IF(OR(BI60=0,BI60=1),GM60-GX60,0)</f>
        <v>0</v>
      </c>
      <c r="GO60" s="2">
        <f t="shared" ref="GO60:GO91" si="66">IF(BI60=2,GM60-GX60,0)</f>
        <v>45.72</v>
      </c>
      <c r="GP60" s="2">
        <f t="shared" ref="GP60:GP91" si="67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68">ROUND((GT60),6)</f>
        <v>0</v>
      </c>
      <c r="GW60" s="2">
        <v>1</v>
      </c>
      <c r="GX60" s="2">
        <f t="shared" ref="GX60:GX91" si="69">ROUND(HC60*I60,2)</f>
        <v>0</v>
      </c>
      <c r="GY60" s="2"/>
      <c r="GZ60" s="2"/>
      <c r="HA60" s="2">
        <v>0</v>
      </c>
      <c r="HB60" s="2">
        <v>0</v>
      </c>
      <c r="HC60" s="2">
        <f t="shared" ref="HC60:HC91" si="70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ROW(SmtRes!A36)</f>
        <v>36</v>
      </c>
      <c r="D61" s="3">
        <f>ROW(EtalonRes!A44)</f>
        <v>44</v>
      </c>
      <c r="E61" s="3" t="s">
        <v>93</v>
      </c>
      <c r="F61" s="3" t="s">
        <v>61</v>
      </c>
      <c r="G61" s="3" t="s">
        <v>62</v>
      </c>
      <c r="H61" s="3" t="s">
        <v>21</v>
      </c>
      <c r="I61" s="3">
        <v>1</v>
      </c>
      <c r="J61" s="3">
        <v>0</v>
      </c>
      <c r="K61" s="3">
        <v>1</v>
      </c>
      <c r="O61" s="3">
        <f t="shared" si="48"/>
        <v>1038.3800000000001</v>
      </c>
      <c r="P61" s="3">
        <f>ROUND((ROUND((AC61*AW61*I61),2)*BC61),2)</f>
        <v>19.38</v>
      </c>
      <c r="Q61" s="3">
        <f>(ROUND((ROUND((((ET61*1.1))*AV61*I61),2)*BB61),2)+ROUND((ROUND(((AE61-((EU61*1.1)))*AV61*I61),2)*BS61),2))</f>
        <v>1.1399999999999999</v>
      </c>
      <c r="R61" s="3">
        <f>(ROUND((ROUND((((EU61*1.1))*AV61*I61),2)*BS61),2)+ROUND((ROUND(((AE61-((EU61*1.1)))*AV61*I61),2)*BS61),2))</f>
        <v>0.55000000000000004</v>
      </c>
      <c r="S61" s="3">
        <f t="shared" si="49"/>
        <v>1017.86</v>
      </c>
      <c r="T61" s="3">
        <f t="shared" si="50"/>
        <v>0</v>
      </c>
      <c r="U61" s="3">
        <f t="shared" si="51"/>
        <v>1.3820399999999999</v>
      </c>
      <c r="V61" s="3">
        <f t="shared" si="52"/>
        <v>0</v>
      </c>
      <c r="W61" s="3">
        <f t="shared" si="53"/>
        <v>0</v>
      </c>
      <c r="X61" s="3">
        <f>(ROUND((((S61+ROUND((ROUND((((EU61*1.1))*AV61*I61),2)*BS61),2))*AT61)/100),2)+ROUND(((ROUND((ROUND(((AE61-((EU61*1.1)))*AV61*I61),2)*BS61),2)*AT61)/100),2))</f>
        <v>916.57</v>
      </c>
      <c r="Y61" s="3">
        <f>(ROUND((((S61+ROUND((ROUND((((EU61*1.1))*AV61*I61),2)*BS61),2))*AU61)/100),2)+ROUND(((ROUND((ROUND(((AE61-((EU61*1.1)))*AV61*I61),2)*BS61),2)*AU61)/100),2))</f>
        <v>468.47</v>
      </c>
      <c r="AA61" s="3">
        <v>60258618</v>
      </c>
      <c r="AB61" s="3">
        <f t="shared" si="54"/>
        <v>19.692</v>
      </c>
      <c r="AC61" s="3">
        <f>ROUND(((ES61*1)),6)</f>
        <v>1.96</v>
      </c>
      <c r="AD61" s="3">
        <f>ROUND(((((ET61*1.1))-((EU61*1.1)))+AE61),6)</f>
        <v>5.5E-2</v>
      </c>
      <c r="AE61" s="3">
        <f>ROUND(((EU61*1.1)),6)</f>
        <v>1.0999999999999999E-2</v>
      </c>
      <c r="AF61" s="3">
        <f>ROUND(((EV61*1.1)),6)</f>
        <v>17.677</v>
      </c>
      <c r="AG61" s="3">
        <f t="shared" si="55"/>
        <v>0</v>
      </c>
      <c r="AH61" s="3">
        <f>((EW61*1.1))</f>
        <v>1.32</v>
      </c>
      <c r="AI61" s="3">
        <f>((EX61*1.1))</f>
        <v>0</v>
      </c>
      <c r="AJ61" s="3">
        <f t="shared" si="56"/>
        <v>0</v>
      </c>
      <c r="AK61" s="3">
        <v>18.079999999999998</v>
      </c>
      <c r="AL61" s="3">
        <v>1.96</v>
      </c>
      <c r="AM61" s="3">
        <v>0.05</v>
      </c>
      <c r="AN61" s="3">
        <v>0.01</v>
      </c>
      <c r="AO61" s="3">
        <v>16.07</v>
      </c>
      <c r="AP61" s="3">
        <v>0</v>
      </c>
      <c r="AQ61" s="3">
        <v>1.2</v>
      </c>
      <c r="AR61" s="3">
        <v>0</v>
      </c>
      <c r="AS61" s="3">
        <v>0</v>
      </c>
      <c r="AT61" s="3">
        <v>90</v>
      </c>
      <c r="AU61" s="3">
        <v>46</v>
      </c>
      <c r="AV61" s="3">
        <v>1.0469999999999999</v>
      </c>
      <c r="AW61" s="3">
        <v>1</v>
      </c>
      <c r="AZ61" s="3">
        <v>1</v>
      </c>
      <c r="BA61" s="3">
        <v>54.99</v>
      </c>
      <c r="BB61" s="3">
        <v>19</v>
      </c>
      <c r="BC61" s="3">
        <v>9.89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2</v>
      </c>
      <c r="BJ61" s="3" t="s">
        <v>63</v>
      </c>
      <c r="BM61" s="3">
        <v>68</v>
      </c>
      <c r="BN61" s="3">
        <v>58973116</v>
      </c>
      <c r="BO61" s="3" t="s">
        <v>61</v>
      </c>
      <c r="BP61" s="3">
        <v>1</v>
      </c>
      <c r="BQ61" s="3">
        <v>40</v>
      </c>
      <c r="BR61" s="3">
        <v>0</v>
      </c>
      <c r="BS61" s="3">
        <v>54.99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363</v>
      </c>
      <c r="CO61" s="3">
        <v>0</v>
      </c>
      <c r="CP61" s="3">
        <f t="shared" si="57"/>
        <v>1038.3800000000001</v>
      </c>
      <c r="CQ61" s="3">
        <f>ROUND((ROUND((AC61*AW61*1),2)*BC61),2)</f>
        <v>19.38</v>
      </c>
      <c r="CR61" s="3">
        <f>(ROUND((ROUND((((ET61*1.1))*AV61*1),2)*BB61),2)+ROUND((ROUND(((AE61-((EU61*1.1)))*AV61*1),2)*BS61),2))</f>
        <v>1.1399999999999999</v>
      </c>
      <c r="CS61" s="3">
        <f>(ROUND((ROUND((((EU61*1.1))*AV61*1),2)*BS61),2)+ROUND((ROUND(((AE61-((EU61*1.1)))*AV61*1),2)*BS61),2))</f>
        <v>0.55000000000000004</v>
      </c>
      <c r="CT61" s="3">
        <f t="shared" si="58"/>
        <v>1017.86</v>
      </c>
      <c r="CU61" s="3">
        <f t="shared" si="59"/>
        <v>0</v>
      </c>
      <c r="CV61" s="3">
        <f t="shared" si="60"/>
        <v>1.3820399999999999</v>
      </c>
      <c r="CW61" s="3">
        <f t="shared" si="61"/>
        <v>0</v>
      </c>
      <c r="CX61" s="3">
        <f t="shared" si="62"/>
        <v>0</v>
      </c>
      <c r="CY61" s="3">
        <f>(ROUND((((S61+ROUND((ROUND((((EU61*1.1))*AV61*1),2)*BS61),2))*AT61)/100),2)+ROUND(((ROUND((ROUND(((AE61-((EU61*1.1)))*AV61*1),2)*BS61),2)*AT61)/100),2))</f>
        <v>916.57</v>
      </c>
      <c r="CZ61" s="3">
        <f>(ROUND((((S61+ROUND((ROUND((((EU61*1.1))*AV61*1),2)*BS61),2))*AU61)/100),2)+ROUND(((ROUND((ROUND(((AE61-((EU61*1.1)))*AV61*1),2)*BS61),2)*AU61)/100),2))</f>
        <v>468.47</v>
      </c>
      <c r="DB61" s="3">
        <v>16</v>
      </c>
      <c r="DC61" s="3" t="s">
        <v>3</v>
      </c>
      <c r="DD61" s="3" t="s">
        <v>23</v>
      </c>
      <c r="DE61" s="3" t="s">
        <v>24</v>
      </c>
      <c r="DF61" s="3" t="s">
        <v>24</v>
      </c>
      <c r="DG61" s="3" t="s">
        <v>24</v>
      </c>
      <c r="DH61" s="3" t="s">
        <v>3</v>
      </c>
      <c r="DI61" s="3" t="s">
        <v>24</v>
      </c>
      <c r="DJ61" s="3" t="s">
        <v>24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1013</v>
      </c>
      <c r="DV61" s="3" t="s">
        <v>21</v>
      </c>
      <c r="DW61" s="3" t="s">
        <v>21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60088532</v>
      </c>
      <c r="EF61" s="3">
        <v>40</v>
      </c>
      <c r="EG61" s="3" t="s">
        <v>25</v>
      </c>
      <c r="EH61" s="3">
        <v>0</v>
      </c>
      <c r="EI61" s="3" t="s">
        <v>3</v>
      </c>
      <c r="EJ61" s="3">
        <v>2</v>
      </c>
      <c r="EK61" s="3">
        <v>68</v>
      </c>
      <c r="EL61" s="3" t="s">
        <v>46</v>
      </c>
      <c r="EM61" s="3" t="s">
        <v>47</v>
      </c>
      <c r="EO61" s="3" t="s">
        <v>28</v>
      </c>
      <c r="EQ61" s="3">
        <v>0</v>
      </c>
      <c r="ER61" s="3">
        <v>18.079999999999998</v>
      </c>
      <c r="ES61" s="3">
        <v>1.96</v>
      </c>
      <c r="ET61" s="3">
        <v>0.05</v>
      </c>
      <c r="EU61" s="3">
        <v>0.01</v>
      </c>
      <c r="EV61" s="3">
        <v>16.07</v>
      </c>
      <c r="EW61" s="3">
        <v>1.2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1665592289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63"/>
        <v>0</v>
      </c>
      <c r="GM61" s="3">
        <f t="shared" si="64"/>
        <v>2423.42</v>
      </c>
      <c r="GN61" s="3">
        <f t="shared" si="65"/>
        <v>0</v>
      </c>
      <c r="GO61" s="3">
        <f t="shared" si="66"/>
        <v>2423.42</v>
      </c>
      <c r="GP61" s="3">
        <f t="shared" si="67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68"/>
        <v>0</v>
      </c>
      <c r="GW61" s="3">
        <v>1</v>
      </c>
      <c r="GX61" s="3">
        <f t="shared" si="69"/>
        <v>0</v>
      </c>
      <c r="HA61" s="3">
        <v>0</v>
      </c>
      <c r="HB61" s="3">
        <v>0</v>
      </c>
      <c r="HC61" s="3">
        <f t="shared" si="70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17</v>
      </c>
      <c r="B62" s="2">
        <v>1</v>
      </c>
      <c r="C62" s="2"/>
      <c r="D62" s="2"/>
      <c r="E62" s="2" t="s">
        <v>94</v>
      </c>
      <c r="F62" s="2" t="s">
        <v>95</v>
      </c>
      <c r="G62" s="2" t="s">
        <v>96</v>
      </c>
      <c r="H62" s="2" t="s">
        <v>32</v>
      </c>
      <c r="I62" s="2">
        <v>1</v>
      </c>
      <c r="J62" s="2">
        <v>0</v>
      </c>
      <c r="K62" s="2">
        <v>1</v>
      </c>
      <c r="L62" s="2"/>
      <c r="M62" s="2"/>
      <c r="N62" s="2"/>
      <c r="O62" s="2">
        <f t="shared" si="48"/>
        <v>159.15</v>
      </c>
      <c r="P62" s="2">
        <f>ROUND((ROUND((AC62*I62),2)*BC62),2)</f>
        <v>159.15</v>
      </c>
      <c r="Q62" s="2">
        <f>(ROUND((ROUND(((ET62)*AV62*I62),2)*BB62),2)+ROUND((ROUND(((AE62-(EU62))*AV62*I62),2)*BS62),2))</f>
        <v>0</v>
      </c>
      <c r="R62" s="2">
        <f>(ROUND((ROUND(((EU62)*AV62*I62),2)*BS62),2)+ROUND((ROUND(((AE62-(EU62))*AV62*I62),2)*BS62),2))</f>
        <v>0</v>
      </c>
      <c r="S62" s="2">
        <f t="shared" si="49"/>
        <v>0</v>
      </c>
      <c r="T62" s="2">
        <f t="shared" si="50"/>
        <v>0</v>
      </c>
      <c r="U62" s="2">
        <f t="shared" si="51"/>
        <v>0</v>
      </c>
      <c r="V62" s="2">
        <f t="shared" si="52"/>
        <v>0</v>
      </c>
      <c r="W62" s="2">
        <f t="shared" si="53"/>
        <v>0</v>
      </c>
      <c r="X62" s="2">
        <f>(ROUND((((S62+ROUND((ROUND(((EU62)*AV62*I62),2)*BS62),2))*AT62)/100),2)+ROUND(((ROUND((ROUND(((AE62-(EU62))*AV62*I62),2)*BS62),2)*AT62)/100),2))</f>
        <v>0</v>
      </c>
      <c r="Y62" s="2">
        <f>(ROUND((((S62+ROUND((ROUND(((EU62)*AV62*I62),2)*BS62),2))*AU62)/100),2)+ROUND(((ROUND((ROUND(((AE62-(EU62))*AV62*I62),2)*BS62),2)*AU62)/100),2))</f>
        <v>0</v>
      </c>
      <c r="Z62" s="2"/>
      <c r="AA62" s="2">
        <v>60258621</v>
      </c>
      <c r="AB62" s="2">
        <f t="shared" si="54"/>
        <v>159.15</v>
      </c>
      <c r="AC62" s="2">
        <f>ROUND((ES62),6)</f>
        <v>159.15</v>
      </c>
      <c r="AD62" s="2">
        <f>ROUND((((ET62)-(EU62))+AE62),6)</f>
        <v>0</v>
      </c>
      <c r="AE62" s="2">
        <f>ROUND((EU62),6)</f>
        <v>0</v>
      </c>
      <c r="AF62" s="2">
        <f>ROUND((EV62),6)</f>
        <v>0</v>
      </c>
      <c r="AG62" s="2">
        <f t="shared" si="55"/>
        <v>0</v>
      </c>
      <c r="AH62" s="2">
        <f>(EW62)</f>
        <v>0</v>
      </c>
      <c r="AI62" s="2">
        <f>(EX62)</f>
        <v>0</v>
      </c>
      <c r="AJ62" s="2">
        <f t="shared" si="56"/>
        <v>0</v>
      </c>
      <c r="AK62" s="2">
        <v>159.15</v>
      </c>
      <c r="AL62" s="2">
        <v>159.15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1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3</v>
      </c>
      <c r="BI62" s="2">
        <v>3</v>
      </c>
      <c r="BJ62" s="2" t="s">
        <v>3</v>
      </c>
      <c r="BK62" s="2"/>
      <c r="BL62" s="2"/>
      <c r="BM62" s="2">
        <v>746</v>
      </c>
      <c r="BN62" s="2">
        <v>0</v>
      </c>
      <c r="BO62" s="2" t="s">
        <v>3</v>
      </c>
      <c r="BP62" s="2">
        <v>0</v>
      </c>
      <c r="BQ62" s="2">
        <v>130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0</v>
      </c>
      <c r="CA62" s="2">
        <v>0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3</v>
      </c>
      <c r="CO62" s="2">
        <v>0</v>
      </c>
      <c r="CP62" s="2">
        <f t="shared" si="57"/>
        <v>159.15</v>
      </c>
      <c r="CQ62" s="2">
        <f>ROUND((ROUND((AC62*1),2)*BC62),2)</f>
        <v>159.15</v>
      </c>
      <c r="CR62" s="2">
        <f>(ROUND((ROUND(((ET62)*AV62*1),2)*BB62),2)+ROUND((ROUND(((AE62-(EU62))*AV62*1),2)*BS62),2))</f>
        <v>0</v>
      </c>
      <c r="CS62" s="2">
        <f>(ROUND((ROUND(((EU62)*AV62*1),2)*BS62),2)+ROUND((ROUND(((AE62-(EU62))*AV62*1),2)*BS62),2))</f>
        <v>0</v>
      </c>
      <c r="CT62" s="2">
        <f t="shared" si="58"/>
        <v>0</v>
      </c>
      <c r="CU62" s="2">
        <f t="shared" si="59"/>
        <v>0</v>
      </c>
      <c r="CV62" s="2">
        <f t="shared" si="60"/>
        <v>0</v>
      </c>
      <c r="CW62" s="2">
        <f t="shared" si="61"/>
        <v>0</v>
      </c>
      <c r="CX62" s="2">
        <f t="shared" si="62"/>
        <v>0</v>
      </c>
      <c r="CY62" s="2">
        <f>(ROUND((((S62+ROUND((ROUND(((EU62)*AV62*1),2)*BS62),2))*AT62)/100),2)+ROUND(((ROUND((ROUND(((AE62-(EU62))*AV62*1),2)*BS62),2)*AT62)/100),2))</f>
        <v>0</v>
      </c>
      <c r="CZ62" s="2">
        <f>(ROUND((((S62+ROUND((ROUND(((EU62)*AV62*1),2)*BS62),2))*AU62)/100),2)+ROUND(((ROUND((ROUND(((AE62-(EU62))*AV62*1),2)*BS62),2)*AU62)/100),2))</f>
        <v>0</v>
      </c>
      <c r="DA62" s="2"/>
      <c r="DB62" s="2"/>
      <c r="DC62" s="2" t="s">
        <v>3</v>
      </c>
      <c r="DD62" s="2" t="s">
        <v>3</v>
      </c>
      <c r="DE62" s="2" t="s">
        <v>3</v>
      </c>
      <c r="DF62" s="2" t="s">
        <v>3</v>
      </c>
      <c r="DG62" s="2" t="s">
        <v>3</v>
      </c>
      <c r="DH62" s="2" t="s">
        <v>3</v>
      </c>
      <c r="DI62" s="2" t="s">
        <v>3</v>
      </c>
      <c r="DJ62" s="2" t="s">
        <v>3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32</v>
      </c>
      <c r="DW62" s="2" t="s">
        <v>32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60088638</v>
      </c>
      <c r="EF62" s="2">
        <v>130</v>
      </c>
      <c r="EG62" s="2" t="s">
        <v>33</v>
      </c>
      <c r="EH62" s="2">
        <v>0</v>
      </c>
      <c r="EI62" s="2" t="s">
        <v>3</v>
      </c>
      <c r="EJ62" s="2">
        <v>3</v>
      </c>
      <c r="EK62" s="2">
        <v>746</v>
      </c>
      <c r="EL62" s="2" t="s">
        <v>34</v>
      </c>
      <c r="EM62" s="2" t="s">
        <v>35</v>
      </c>
      <c r="EN62" s="2"/>
      <c r="EO62" s="2" t="s">
        <v>3</v>
      </c>
      <c r="EP62" s="2"/>
      <c r="EQ62" s="2">
        <v>0</v>
      </c>
      <c r="ER62" s="2">
        <v>0</v>
      </c>
      <c r="ES62" s="2">
        <v>159.15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f>P62</f>
        <v>159.15</v>
      </c>
      <c r="FS62" s="2">
        <v>0</v>
      </c>
      <c r="FT62" s="2"/>
      <c r="FU62" s="2"/>
      <c r="FV62" s="2"/>
      <c r="FW62" s="2"/>
      <c r="FX62" s="2">
        <v>0</v>
      </c>
      <c r="FY62" s="2">
        <v>0</v>
      </c>
      <c r="FZ62" s="2"/>
      <c r="GA62" s="2" t="s">
        <v>97</v>
      </c>
      <c r="GB62" s="2"/>
      <c r="GC62" s="2"/>
      <c r="GD62" s="2">
        <v>1</v>
      </c>
      <c r="GE62" s="2"/>
      <c r="GF62" s="2">
        <v>-568813654</v>
      </c>
      <c r="GG62" s="2">
        <v>2</v>
      </c>
      <c r="GH62" s="2">
        <v>4</v>
      </c>
      <c r="GI62" s="2">
        <v>-2</v>
      </c>
      <c r="GJ62" s="2">
        <v>0</v>
      </c>
      <c r="GK62" s="2">
        <v>0</v>
      </c>
      <c r="GL62" s="2">
        <f t="shared" si="63"/>
        <v>0</v>
      </c>
      <c r="GM62" s="2">
        <f t="shared" si="64"/>
        <v>159.15</v>
      </c>
      <c r="GN62" s="2">
        <f t="shared" si="65"/>
        <v>0</v>
      </c>
      <c r="GO62" s="2">
        <f t="shared" si="66"/>
        <v>0</v>
      </c>
      <c r="GP62" s="2">
        <f t="shared" si="67"/>
        <v>0</v>
      </c>
      <c r="GQ62" s="2"/>
      <c r="GR62" s="2">
        <v>0</v>
      </c>
      <c r="GS62" s="2">
        <v>2</v>
      </c>
      <c r="GT62" s="2">
        <v>0</v>
      </c>
      <c r="GU62" s="2" t="s">
        <v>3</v>
      </c>
      <c r="GV62" s="2">
        <f t="shared" si="68"/>
        <v>0</v>
      </c>
      <c r="GW62" s="2">
        <v>1</v>
      </c>
      <c r="GX62" s="2">
        <f t="shared" si="69"/>
        <v>0</v>
      </c>
      <c r="GY62" s="2"/>
      <c r="GZ62" s="2"/>
      <c r="HA62" s="2">
        <v>0</v>
      </c>
      <c r="HB62" s="2">
        <v>0</v>
      </c>
      <c r="HC62" s="2">
        <f t="shared" si="70"/>
        <v>0</v>
      </c>
      <c r="HD62" s="2"/>
      <c r="HE62" s="2" t="s">
        <v>37</v>
      </c>
      <c r="HF62" s="2" t="s">
        <v>38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17</v>
      </c>
      <c r="B63" s="3">
        <v>1</v>
      </c>
      <c r="E63" s="3" t="s">
        <v>94</v>
      </c>
      <c r="F63" s="3" t="s">
        <v>95</v>
      </c>
      <c r="G63" s="3" t="s">
        <v>96</v>
      </c>
      <c r="H63" s="3" t="s">
        <v>32</v>
      </c>
      <c r="I63" s="3">
        <v>1</v>
      </c>
      <c r="J63" s="3">
        <v>0</v>
      </c>
      <c r="K63" s="3">
        <v>1</v>
      </c>
      <c r="O63" s="3">
        <f t="shared" si="48"/>
        <v>1219.0899999999999</v>
      </c>
      <c r="P63" s="3">
        <f>ROUND((ROUND((AC63*I63),2)*BC63),2)</f>
        <v>1219.0899999999999</v>
      </c>
      <c r="Q63" s="3">
        <f>(ROUND((ROUND(((ET63)*AV63*I63),2)*BB63),2)+ROUND((ROUND(((AE63-(EU63))*AV63*I63),2)*BS63),2))</f>
        <v>0</v>
      </c>
      <c r="R63" s="3">
        <f>(ROUND((ROUND(((EU63)*AV63*I63),2)*BS63),2)+ROUND((ROUND(((AE63-(EU63))*AV63*I63),2)*BS63),2))</f>
        <v>0</v>
      </c>
      <c r="S63" s="3">
        <f t="shared" si="49"/>
        <v>0</v>
      </c>
      <c r="T63" s="3">
        <f t="shared" si="50"/>
        <v>0</v>
      </c>
      <c r="U63" s="3">
        <f t="shared" si="51"/>
        <v>0</v>
      </c>
      <c r="V63" s="3">
        <f t="shared" si="52"/>
        <v>0</v>
      </c>
      <c r="W63" s="3">
        <f t="shared" si="53"/>
        <v>0</v>
      </c>
      <c r="X63" s="3">
        <f>(ROUND((((S63+ROUND((ROUND(((EU63)*AV63*I63),2)*BS63),2))*AT63)/100),2)+ROUND(((ROUND((ROUND(((AE63-(EU63))*AV63*I63),2)*BS63),2)*AT63)/100),2))</f>
        <v>0</v>
      </c>
      <c r="Y63" s="3">
        <f>(ROUND((((S63+ROUND((ROUND(((EU63)*AV63*I63),2)*BS63),2))*AU63)/100),2)+ROUND(((ROUND((ROUND(((AE63-(EU63))*AV63*I63),2)*BS63),2)*AU63)/100),2))</f>
        <v>0</v>
      </c>
      <c r="AA63" s="3">
        <v>60258618</v>
      </c>
      <c r="AB63" s="3">
        <f t="shared" si="54"/>
        <v>159.15</v>
      </c>
      <c r="AC63" s="3">
        <f>ROUND((ES63),6)</f>
        <v>159.15</v>
      </c>
      <c r="AD63" s="3">
        <f>ROUND((((ET63)-(EU63))+AE63),6)</f>
        <v>0</v>
      </c>
      <c r="AE63" s="3">
        <f>ROUND((EU63),6)</f>
        <v>0</v>
      </c>
      <c r="AF63" s="3">
        <f>ROUND((EV63),6)</f>
        <v>0</v>
      </c>
      <c r="AG63" s="3">
        <f t="shared" si="55"/>
        <v>0</v>
      </c>
      <c r="AH63" s="3">
        <f>(EW63)</f>
        <v>0</v>
      </c>
      <c r="AI63" s="3">
        <f>(EX63)</f>
        <v>0</v>
      </c>
      <c r="AJ63" s="3">
        <f t="shared" si="56"/>
        <v>0</v>
      </c>
      <c r="AK63" s="3">
        <v>159.15</v>
      </c>
      <c r="AL63" s="3">
        <v>159.15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1</v>
      </c>
      <c r="AW63" s="3">
        <v>1</v>
      </c>
      <c r="AZ63" s="3">
        <v>1</v>
      </c>
      <c r="BA63" s="3">
        <v>1</v>
      </c>
      <c r="BB63" s="3">
        <v>1</v>
      </c>
      <c r="BC63" s="3">
        <v>7.66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3</v>
      </c>
      <c r="BI63" s="3">
        <v>3</v>
      </c>
      <c r="BJ63" s="3" t="s">
        <v>3</v>
      </c>
      <c r="BM63" s="3">
        <v>746</v>
      </c>
      <c r="BN63" s="3">
        <v>0</v>
      </c>
      <c r="BO63" s="3" t="s">
        <v>3</v>
      </c>
      <c r="BP63" s="3">
        <v>0</v>
      </c>
      <c r="BQ63" s="3">
        <v>130</v>
      </c>
      <c r="BR63" s="3">
        <v>0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0</v>
      </c>
      <c r="CA63" s="3">
        <v>0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3</v>
      </c>
      <c r="CO63" s="3">
        <v>0</v>
      </c>
      <c r="CP63" s="3">
        <f t="shared" si="57"/>
        <v>1219.0899999999999</v>
      </c>
      <c r="CQ63" s="3">
        <f>ROUND((ROUND((AC63*1),2)*BC63),2)</f>
        <v>1219.0899999999999</v>
      </c>
      <c r="CR63" s="3">
        <f>(ROUND((ROUND(((ET63)*AV63*1),2)*BB63),2)+ROUND((ROUND(((AE63-(EU63))*AV63*1),2)*BS63),2))</f>
        <v>0</v>
      </c>
      <c r="CS63" s="3">
        <f>(ROUND((ROUND(((EU63)*AV63*1),2)*BS63),2)+ROUND((ROUND(((AE63-(EU63))*AV63*1),2)*BS63),2))</f>
        <v>0</v>
      </c>
      <c r="CT63" s="3">
        <f t="shared" si="58"/>
        <v>0</v>
      </c>
      <c r="CU63" s="3">
        <f t="shared" si="59"/>
        <v>0</v>
      </c>
      <c r="CV63" s="3">
        <f t="shared" si="60"/>
        <v>0</v>
      </c>
      <c r="CW63" s="3">
        <f t="shared" si="61"/>
        <v>0</v>
      </c>
      <c r="CX63" s="3">
        <f t="shared" si="62"/>
        <v>0</v>
      </c>
      <c r="CY63" s="3">
        <f>(ROUND((((S63+ROUND((ROUND(((EU63)*AV63*1),2)*BS63),2))*AT63)/100),2)+ROUND(((ROUND((ROUND(((AE63-(EU63))*AV63*1),2)*BS63),2)*AT63)/100),2))</f>
        <v>0</v>
      </c>
      <c r="CZ63" s="3">
        <f>(ROUND((((S63+ROUND((ROUND(((EU63)*AV63*1),2)*BS63),2))*AU63)/100),2)+ROUND(((ROUND((ROUND(((AE63-(EU63))*AV63*1),2)*BS63),2)*AU63)/100),2))</f>
        <v>0</v>
      </c>
      <c r="DC63" s="3" t="s">
        <v>3</v>
      </c>
      <c r="DD63" s="3" t="s">
        <v>3</v>
      </c>
      <c r="DE63" s="3" t="s">
        <v>3</v>
      </c>
      <c r="DF63" s="3" t="s">
        <v>3</v>
      </c>
      <c r="DG63" s="3" t="s">
        <v>3</v>
      </c>
      <c r="DH63" s="3" t="s">
        <v>3</v>
      </c>
      <c r="DI63" s="3" t="s">
        <v>3</v>
      </c>
      <c r="DJ63" s="3" t="s">
        <v>3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32</v>
      </c>
      <c r="DW63" s="3" t="s">
        <v>32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60088638</v>
      </c>
      <c r="EF63" s="3">
        <v>130</v>
      </c>
      <c r="EG63" s="3" t="s">
        <v>33</v>
      </c>
      <c r="EH63" s="3">
        <v>0</v>
      </c>
      <c r="EI63" s="3" t="s">
        <v>3</v>
      </c>
      <c r="EJ63" s="3">
        <v>3</v>
      </c>
      <c r="EK63" s="3">
        <v>746</v>
      </c>
      <c r="EL63" s="3" t="s">
        <v>34</v>
      </c>
      <c r="EM63" s="3" t="s">
        <v>35</v>
      </c>
      <c r="EO63" s="3" t="s">
        <v>3</v>
      </c>
      <c r="EQ63" s="3">
        <v>0</v>
      </c>
      <c r="ER63" s="3">
        <v>0</v>
      </c>
      <c r="ES63" s="3">
        <v>159.15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5</v>
      </c>
      <c r="FC63" s="3">
        <v>1</v>
      </c>
      <c r="FD63" s="3">
        <v>18</v>
      </c>
      <c r="FF63" s="3">
        <v>1403.46</v>
      </c>
      <c r="FQ63" s="3">
        <v>0</v>
      </c>
      <c r="FR63" s="3">
        <f>P63</f>
        <v>1219.0899999999999</v>
      </c>
      <c r="FS63" s="3">
        <v>0</v>
      </c>
      <c r="FX63" s="3">
        <v>0</v>
      </c>
      <c r="FY63" s="3">
        <v>0</v>
      </c>
      <c r="GA63" s="3" t="s">
        <v>97</v>
      </c>
      <c r="GD63" s="3">
        <v>1</v>
      </c>
      <c r="GF63" s="3">
        <v>-568813654</v>
      </c>
      <c r="GG63" s="3">
        <v>2</v>
      </c>
      <c r="GH63" s="3">
        <v>3</v>
      </c>
      <c r="GI63" s="3">
        <v>5</v>
      </c>
      <c r="GJ63" s="3">
        <v>0</v>
      </c>
      <c r="GK63" s="3">
        <v>0</v>
      </c>
      <c r="GL63" s="3">
        <f t="shared" si="63"/>
        <v>0</v>
      </c>
      <c r="GM63" s="3">
        <f t="shared" si="64"/>
        <v>1219.0899999999999</v>
      </c>
      <c r="GN63" s="3">
        <f t="shared" si="65"/>
        <v>0</v>
      </c>
      <c r="GO63" s="3">
        <f t="shared" si="66"/>
        <v>0</v>
      </c>
      <c r="GP63" s="3">
        <f t="shared" si="67"/>
        <v>0</v>
      </c>
      <c r="GR63" s="3">
        <v>1</v>
      </c>
      <c r="GS63" s="3">
        <v>1</v>
      </c>
      <c r="GT63" s="3">
        <v>0</v>
      </c>
      <c r="GU63" s="3" t="s">
        <v>3</v>
      </c>
      <c r="GV63" s="3">
        <f t="shared" si="68"/>
        <v>0</v>
      </c>
      <c r="GW63" s="3">
        <v>1</v>
      </c>
      <c r="GX63" s="3">
        <f t="shared" si="69"/>
        <v>0</v>
      </c>
      <c r="HA63" s="3">
        <v>0</v>
      </c>
      <c r="HB63" s="3">
        <v>0</v>
      </c>
      <c r="HC63" s="3">
        <f t="shared" si="70"/>
        <v>0</v>
      </c>
      <c r="HE63" s="3" t="s">
        <v>37</v>
      </c>
      <c r="HF63" s="3" t="s">
        <v>38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17</v>
      </c>
      <c r="B64" s="2">
        <v>1</v>
      </c>
      <c r="C64" s="2">
        <f>ROW(SmtRes!A37)</f>
        <v>37</v>
      </c>
      <c r="D64" s="2">
        <f>ROW(EtalonRes!A45)</f>
        <v>45</v>
      </c>
      <c r="E64" s="2" t="s">
        <v>98</v>
      </c>
      <c r="F64" s="2" t="s">
        <v>61</v>
      </c>
      <c r="G64" s="2" t="s">
        <v>62</v>
      </c>
      <c r="H64" s="2" t="s">
        <v>21</v>
      </c>
      <c r="I64" s="2">
        <v>2</v>
      </c>
      <c r="J64" s="2">
        <v>0</v>
      </c>
      <c r="K64" s="2">
        <v>2</v>
      </c>
      <c r="L64" s="2"/>
      <c r="M64" s="2"/>
      <c r="N64" s="2"/>
      <c r="O64" s="2">
        <f t="shared" si="48"/>
        <v>41.06</v>
      </c>
      <c r="P64" s="2">
        <f>ROUND((ROUND((AC64*AW64*I64),2)*BC64),2)</f>
        <v>3.92</v>
      </c>
      <c r="Q64" s="2">
        <f>(ROUND((ROUND((((ET64*1.1))*AV64*I64),2)*BB64),2)+ROUND((ROUND(((AE64-((EU64*1.1)))*AV64*I64),2)*BS64),2))</f>
        <v>0.12</v>
      </c>
      <c r="R64" s="2">
        <f>(ROUND((ROUND((((EU64*1.1))*AV64*I64),2)*BS64),2)+ROUND((ROUND(((AE64-((EU64*1.1)))*AV64*I64),2)*BS64),2))</f>
        <v>0.02</v>
      </c>
      <c r="S64" s="2">
        <f t="shared" si="49"/>
        <v>37.020000000000003</v>
      </c>
      <c r="T64" s="2">
        <f t="shared" si="50"/>
        <v>0</v>
      </c>
      <c r="U64" s="2">
        <f t="shared" si="51"/>
        <v>2.7640799999999999</v>
      </c>
      <c r="V64" s="2">
        <f t="shared" si="52"/>
        <v>0</v>
      </c>
      <c r="W64" s="2">
        <f t="shared" si="53"/>
        <v>0</v>
      </c>
      <c r="X64" s="2">
        <f>(ROUND((((S64+ROUND((ROUND((((EU64*1.1))*AV64*I64),2)*BS64),2))*AT64)/100),2)+ROUND(((ROUND((ROUND(((AE64-((EU64*1.1)))*AV64*I64),2)*BS64),2)*AT64)/100),2))</f>
        <v>33.340000000000003</v>
      </c>
      <c r="Y64" s="2">
        <f>(ROUND((((S64+ROUND((ROUND((((EU64*1.1))*AV64*I64),2)*BS64),2))*AU64)/100),2)+ROUND(((ROUND((ROUND(((AE64-((EU64*1.1)))*AV64*I64),2)*BS64),2)*AU64)/100),2))</f>
        <v>17.04</v>
      </c>
      <c r="Z64" s="2"/>
      <c r="AA64" s="2">
        <v>60258621</v>
      </c>
      <c r="AB64" s="2">
        <f t="shared" si="54"/>
        <v>19.692</v>
      </c>
      <c r="AC64" s="2">
        <f>ROUND(((ES64*1)),6)</f>
        <v>1.96</v>
      </c>
      <c r="AD64" s="2">
        <f>ROUND(((((ET64*1.1))-((EU64*1.1)))+AE64),6)</f>
        <v>5.5E-2</v>
      </c>
      <c r="AE64" s="2">
        <f>ROUND(((EU64*1.1)),6)</f>
        <v>1.0999999999999999E-2</v>
      </c>
      <c r="AF64" s="2">
        <f>ROUND(((EV64*1.1)),6)</f>
        <v>17.677</v>
      </c>
      <c r="AG64" s="2">
        <f t="shared" si="55"/>
        <v>0</v>
      </c>
      <c r="AH64" s="2">
        <f>((EW64*1.1))</f>
        <v>1.32</v>
      </c>
      <c r="AI64" s="2">
        <f>((EX64*1.1))</f>
        <v>0</v>
      </c>
      <c r="AJ64" s="2">
        <f t="shared" si="56"/>
        <v>0</v>
      </c>
      <c r="AK64" s="2">
        <v>18.079999999999998</v>
      </c>
      <c r="AL64" s="2">
        <v>1.96</v>
      </c>
      <c r="AM64" s="2">
        <v>0.05</v>
      </c>
      <c r="AN64" s="2">
        <v>0.01</v>
      </c>
      <c r="AO64" s="2">
        <v>16.07</v>
      </c>
      <c r="AP64" s="2">
        <v>0</v>
      </c>
      <c r="AQ64" s="2">
        <v>1.2</v>
      </c>
      <c r="AR64" s="2">
        <v>0</v>
      </c>
      <c r="AS64" s="2">
        <v>0</v>
      </c>
      <c r="AT64" s="2">
        <v>90</v>
      </c>
      <c r="AU64" s="2">
        <v>46</v>
      </c>
      <c r="AV64" s="2">
        <v>1.0469999999999999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0</v>
      </c>
      <c r="BI64" s="2">
        <v>2</v>
      </c>
      <c r="BJ64" s="2" t="s">
        <v>63</v>
      </c>
      <c r="BK64" s="2"/>
      <c r="BL64" s="2"/>
      <c r="BM64" s="2">
        <v>68</v>
      </c>
      <c r="BN64" s="2">
        <v>58973116</v>
      </c>
      <c r="BO64" s="2" t="s">
        <v>61</v>
      </c>
      <c r="BP64" s="2">
        <v>1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90</v>
      </c>
      <c r="CA64" s="2">
        <v>46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363</v>
      </c>
      <c r="CO64" s="2">
        <v>0</v>
      </c>
      <c r="CP64" s="2">
        <f t="shared" si="57"/>
        <v>41.06</v>
      </c>
      <c r="CQ64" s="2">
        <f>ROUND((ROUND((AC64*AW64*1),2)*BC64),2)</f>
        <v>1.96</v>
      </c>
      <c r="CR64" s="2">
        <f>(ROUND((ROUND((((ET64*1.1))*AV64*1),2)*BB64),2)+ROUND((ROUND(((AE64-((EU64*1.1)))*AV64*1),2)*BS64),2))</f>
        <v>0.06</v>
      </c>
      <c r="CS64" s="2">
        <f>(ROUND((ROUND((((EU64*1.1))*AV64*1),2)*BS64),2)+ROUND((ROUND(((AE64-((EU64*1.1)))*AV64*1),2)*BS64),2))</f>
        <v>0.01</v>
      </c>
      <c r="CT64" s="2">
        <f t="shared" si="58"/>
        <v>18.510000000000002</v>
      </c>
      <c r="CU64" s="2">
        <f t="shared" si="59"/>
        <v>0</v>
      </c>
      <c r="CV64" s="2">
        <f t="shared" si="60"/>
        <v>1.3820399999999999</v>
      </c>
      <c r="CW64" s="2">
        <f t="shared" si="61"/>
        <v>0</v>
      </c>
      <c r="CX64" s="2">
        <f t="shared" si="62"/>
        <v>0</v>
      </c>
      <c r="CY64" s="2">
        <f>(ROUND((((S64+ROUND((ROUND((((EU64*1.1))*AV64*1),2)*BS64),2))*AT64)/100),2)+ROUND(((ROUND((ROUND(((AE64-((EU64*1.1)))*AV64*1),2)*BS64),2)*AT64)/100),2))</f>
        <v>33.33</v>
      </c>
      <c r="CZ64" s="2">
        <f>(ROUND((((S64+ROUND((ROUND((((EU64*1.1))*AV64*1),2)*BS64),2))*AU64)/100),2)+ROUND(((ROUND((ROUND(((AE64-((EU64*1.1)))*AV64*1),2)*BS64),2)*AU64)/100),2))</f>
        <v>17.03</v>
      </c>
      <c r="DA64" s="2"/>
      <c r="DB64" s="2">
        <v>17</v>
      </c>
      <c r="DC64" s="2" t="s">
        <v>3</v>
      </c>
      <c r="DD64" s="2" t="s">
        <v>23</v>
      </c>
      <c r="DE64" s="2" t="s">
        <v>24</v>
      </c>
      <c r="DF64" s="2" t="s">
        <v>24</v>
      </c>
      <c r="DG64" s="2" t="s">
        <v>24</v>
      </c>
      <c r="DH64" s="2" t="s">
        <v>3</v>
      </c>
      <c r="DI64" s="2" t="s">
        <v>24</v>
      </c>
      <c r="DJ64" s="2" t="s">
        <v>24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1013</v>
      </c>
      <c r="DV64" s="2" t="s">
        <v>21</v>
      </c>
      <c r="DW64" s="2" t="s">
        <v>21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60088532</v>
      </c>
      <c r="EF64" s="2">
        <v>40</v>
      </c>
      <c r="EG64" s="2" t="s">
        <v>25</v>
      </c>
      <c r="EH64" s="2">
        <v>0</v>
      </c>
      <c r="EI64" s="2" t="s">
        <v>3</v>
      </c>
      <c r="EJ64" s="2">
        <v>2</v>
      </c>
      <c r="EK64" s="2">
        <v>68</v>
      </c>
      <c r="EL64" s="2" t="s">
        <v>46</v>
      </c>
      <c r="EM64" s="2" t="s">
        <v>47</v>
      </c>
      <c r="EN64" s="2"/>
      <c r="EO64" s="2" t="s">
        <v>28</v>
      </c>
      <c r="EP64" s="2"/>
      <c r="EQ64" s="2">
        <v>0</v>
      </c>
      <c r="ER64" s="2">
        <v>18.079999999999998</v>
      </c>
      <c r="ES64" s="2">
        <v>1.96</v>
      </c>
      <c r="ET64" s="2">
        <v>0.05</v>
      </c>
      <c r="EU64" s="2">
        <v>0.01</v>
      </c>
      <c r="EV64" s="2">
        <v>16.07</v>
      </c>
      <c r="EW64" s="2">
        <v>1.2</v>
      </c>
      <c r="EX64" s="2">
        <v>0</v>
      </c>
      <c r="EY64" s="2">
        <v>0</v>
      </c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90</v>
      </c>
      <c r="FY64" s="2">
        <v>46</v>
      </c>
      <c r="FZ64" s="2"/>
      <c r="GA64" s="2" t="s">
        <v>3</v>
      </c>
      <c r="GB64" s="2"/>
      <c r="GC64" s="2"/>
      <c r="GD64" s="2">
        <v>1</v>
      </c>
      <c r="GE64" s="2"/>
      <c r="GF64" s="2">
        <v>1665592289</v>
      </c>
      <c r="GG64" s="2">
        <v>2</v>
      </c>
      <c r="GH64" s="2">
        <v>1</v>
      </c>
      <c r="GI64" s="2">
        <v>2</v>
      </c>
      <c r="GJ64" s="2">
        <v>0</v>
      </c>
      <c r="GK64" s="2">
        <v>0</v>
      </c>
      <c r="GL64" s="2">
        <f t="shared" si="63"/>
        <v>0</v>
      </c>
      <c r="GM64" s="2">
        <f t="shared" si="64"/>
        <v>91.44</v>
      </c>
      <c r="GN64" s="2">
        <f t="shared" si="65"/>
        <v>0</v>
      </c>
      <c r="GO64" s="2">
        <f t="shared" si="66"/>
        <v>91.44</v>
      </c>
      <c r="GP64" s="2">
        <f t="shared" si="67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68"/>
        <v>0</v>
      </c>
      <c r="GW64" s="2">
        <v>1</v>
      </c>
      <c r="GX64" s="2">
        <f t="shared" si="69"/>
        <v>0</v>
      </c>
      <c r="GY64" s="2"/>
      <c r="GZ64" s="2"/>
      <c r="HA64" s="2">
        <v>0</v>
      </c>
      <c r="HB64" s="2">
        <v>0</v>
      </c>
      <c r="HC64" s="2">
        <f t="shared" si="70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17</v>
      </c>
      <c r="B65" s="3">
        <v>1</v>
      </c>
      <c r="C65" s="3">
        <f>ROW(SmtRes!A38)</f>
        <v>38</v>
      </c>
      <c r="D65" s="3">
        <f>ROW(EtalonRes!A46)</f>
        <v>46</v>
      </c>
      <c r="E65" s="3" t="s">
        <v>98</v>
      </c>
      <c r="F65" s="3" t="s">
        <v>61</v>
      </c>
      <c r="G65" s="3" t="s">
        <v>62</v>
      </c>
      <c r="H65" s="3" t="s">
        <v>21</v>
      </c>
      <c r="I65" s="3">
        <v>2</v>
      </c>
      <c r="J65" s="3">
        <v>0</v>
      </c>
      <c r="K65" s="3">
        <v>2</v>
      </c>
      <c r="O65" s="3">
        <f t="shared" si="48"/>
        <v>2076.7800000000002</v>
      </c>
      <c r="P65" s="3">
        <f>ROUND((ROUND((AC65*AW65*I65),2)*BC65),2)</f>
        <v>38.770000000000003</v>
      </c>
      <c r="Q65" s="3">
        <f>(ROUND((ROUND((((ET65*1.1))*AV65*I65),2)*BB65),2)+ROUND((ROUND(((AE65-((EU65*1.1)))*AV65*I65),2)*BS65),2))</f>
        <v>2.2799999999999998</v>
      </c>
      <c r="R65" s="3">
        <f>(ROUND((ROUND((((EU65*1.1))*AV65*I65),2)*BS65),2)+ROUND((ROUND(((AE65-((EU65*1.1)))*AV65*I65),2)*BS65),2))</f>
        <v>1.1000000000000001</v>
      </c>
      <c r="S65" s="3">
        <f t="shared" si="49"/>
        <v>2035.73</v>
      </c>
      <c r="T65" s="3">
        <f t="shared" si="50"/>
        <v>0</v>
      </c>
      <c r="U65" s="3">
        <f t="shared" si="51"/>
        <v>2.7640799999999999</v>
      </c>
      <c r="V65" s="3">
        <f t="shared" si="52"/>
        <v>0</v>
      </c>
      <c r="W65" s="3">
        <f t="shared" si="53"/>
        <v>0</v>
      </c>
      <c r="X65" s="3">
        <f>(ROUND((((S65+ROUND((ROUND((((EU65*1.1))*AV65*I65),2)*BS65),2))*AT65)/100),2)+ROUND(((ROUND((ROUND(((AE65-((EU65*1.1)))*AV65*I65),2)*BS65),2)*AT65)/100),2))</f>
        <v>1833.15</v>
      </c>
      <c r="Y65" s="3">
        <f>(ROUND((((S65+ROUND((ROUND((((EU65*1.1))*AV65*I65),2)*BS65),2))*AU65)/100),2)+ROUND(((ROUND((ROUND(((AE65-((EU65*1.1)))*AV65*I65),2)*BS65),2)*AU65)/100),2))</f>
        <v>936.94</v>
      </c>
      <c r="AA65" s="3">
        <v>60258618</v>
      </c>
      <c r="AB65" s="3">
        <f t="shared" si="54"/>
        <v>19.692</v>
      </c>
      <c r="AC65" s="3">
        <f>ROUND(((ES65*1)),6)</f>
        <v>1.96</v>
      </c>
      <c r="AD65" s="3">
        <f>ROUND(((((ET65*1.1))-((EU65*1.1)))+AE65),6)</f>
        <v>5.5E-2</v>
      </c>
      <c r="AE65" s="3">
        <f>ROUND(((EU65*1.1)),6)</f>
        <v>1.0999999999999999E-2</v>
      </c>
      <c r="AF65" s="3">
        <f>ROUND(((EV65*1.1)),6)</f>
        <v>17.677</v>
      </c>
      <c r="AG65" s="3">
        <f t="shared" si="55"/>
        <v>0</v>
      </c>
      <c r="AH65" s="3">
        <f>((EW65*1.1))</f>
        <v>1.32</v>
      </c>
      <c r="AI65" s="3">
        <f>((EX65*1.1))</f>
        <v>0</v>
      </c>
      <c r="AJ65" s="3">
        <f t="shared" si="56"/>
        <v>0</v>
      </c>
      <c r="AK65" s="3">
        <v>18.079999999999998</v>
      </c>
      <c r="AL65" s="3">
        <v>1.96</v>
      </c>
      <c r="AM65" s="3">
        <v>0.05</v>
      </c>
      <c r="AN65" s="3">
        <v>0.01</v>
      </c>
      <c r="AO65" s="3">
        <v>16.07</v>
      </c>
      <c r="AP65" s="3">
        <v>0</v>
      </c>
      <c r="AQ65" s="3">
        <v>1.2</v>
      </c>
      <c r="AR65" s="3">
        <v>0</v>
      </c>
      <c r="AS65" s="3">
        <v>0</v>
      </c>
      <c r="AT65" s="3">
        <v>90</v>
      </c>
      <c r="AU65" s="3">
        <v>46</v>
      </c>
      <c r="AV65" s="3">
        <v>1.0469999999999999</v>
      </c>
      <c r="AW65" s="3">
        <v>1</v>
      </c>
      <c r="AZ65" s="3">
        <v>1</v>
      </c>
      <c r="BA65" s="3">
        <v>54.99</v>
      </c>
      <c r="BB65" s="3">
        <v>19</v>
      </c>
      <c r="BC65" s="3">
        <v>9.89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0</v>
      </c>
      <c r="BI65" s="3">
        <v>2</v>
      </c>
      <c r="BJ65" s="3" t="s">
        <v>63</v>
      </c>
      <c r="BM65" s="3">
        <v>68</v>
      </c>
      <c r="BN65" s="3">
        <v>58973116</v>
      </c>
      <c r="BO65" s="3" t="s">
        <v>61</v>
      </c>
      <c r="BP65" s="3">
        <v>1</v>
      </c>
      <c r="BQ65" s="3">
        <v>40</v>
      </c>
      <c r="BR65" s="3">
        <v>0</v>
      </c>
      <c r="BS65" s="3">
        <v>54.99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90</v>
      </c>
      <c r="CA65" s="3">
        <v>46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363</v>
      </c>
      <c r="CO65" s="3">
        <v>0</v>
      </c>
      <c r="CP65" s="3">
        <f t="shared" si="57"/>
        <v>2076.7800000000002</v>
      </c>
      <c r="CQ65" s="3">
        <f>ROUND((ROUND((AC65*AW65*1),2)*BC65),2)</f>
        <v>19.38</v>
      </c>
      <c r="CR65" s="3">
        <f>(ROUND((ROUND((((ET65*1.1))*AV65*1),2)*BB65),2)+ROUND((ROUND(((AE65-((EU65*1.1)))*AV65*1),2)*BS65),2))</f>
        <v>1.1399999999999999</v>
      </c>
      <c r="CS65" s="3">
        <f>(ROUND((ROUND((((EU65*1.1))*AV65*1),2)*BS65),2)+ROUND((ROUND(((AE65-((EU65*1.1)))*AV65*1),2)*BS65),2))</f>
        <v>0.55000000000000004</v>
      </c>
      <c r="CT65" s="3">
        <f t="shared" si="58"/>
        <v>1017.86</v>
      </c>
      <c r="CU65" s="3">
        <f t="shared" si="59"/>
        <v>0</v>
      </c>
      <c r="CV65" s="3">
        <f t="shared" si="60"/>
        <v>1.3820399999999999</v>
      </c>
      <c r="CW65" s="3">
        <f t="shared" si="61"/>
        <v>0</v>
      </c>
      <c r="CX65" s="3">
        <f t="shared" si="62"/>
        <v>0</v>
      </c>
      <c r="CY65" s="3">
        <f>(ROUND((((S65+ROUND((ROUND((((EU65*1.1))*AV65*1),2)*BS65),2))*AT65)/100),2)+ROUND(((ROUND((ROUND(((AE65-((EU65*1.1)))*AV65*1),2)*BS65),2)*AT65)/100),2))</f>
        <v>1832.65</v>
      </c>
      <c r="CZ65" s="3">
        <f>(ROUND((((S65+ROUND((ROUND((((EU65*1.1))*AV65*1),2)*BS65),2))*AU65)/100),2)+ROUND(((ROUND((ROUND(((AE65-((EU65*1.1)))*AV65*1),2)*BS65),2)*AU65)/100),2))</f>
        <v>936.69</v>
      </c>
      <c r="DB65" s="3">
        <v>18</v>
      </c>
      <c r="DC65" s="3" t="s">
        <v>3</v>
      </c>
      <c r="DD65" s="3" t="s">
        <v>23</v>
      </c>
      <c r="DE65" s="3" t="s">
        <v>24</v>
      </c>
      <c r="DF65" s="3" t="s">
        <v>24</v>
      </c>
      <c r="DG65" s="3" t="s">
        <v>24</v>
      </c>
      <c r="DH65" s="3" t="s">
        <v>3</v>
      </c>
      <c r="DI65" s="3" t="s">
        <v>24</v>
      </c>
      <c r="DJ65" s="3" t="s">
        <v>24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1013</v>
      </c>
      <c r="DV65" s="3" t="s">
        <v>21</v>
      </c>
      <c r="DW65" s="3" t="s">
        <v>21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60088532</v>
      </c>
      <c r="EF65" s="3">
        <v>40</v>
      </c>
      <c r="EG65" s="3" t="s">
        <v>25</v>
      </c>
      <c r="EH65" s="3">
        <v>0</v>
      </c>
      <c r="EI65" s="3" t="s">
        <v>3</v>
      </c>
      <c r="EJ65" s="3">
        <v>2</v>
      </c>
      <c r="EK65" s="3">
        <v>68</v>
      </c>
      <c r="EL65" s="3" t="s">
        <v>46</v>
      </c>
      <c r="EM65" s="3" t="s">
        <v>47</v>
      </c>
      <c r="EO65" s="3" t="s">
        <v>28</v>
      </c>
      <c r="EQ65" s="3">
        <v>0</v>
      </c>
      <c r="ER65" s="3">
        <v>18.079999999999998</v>
      </c>
      <c r="ES65" s="3">
        <v>1.96</v>
      </c>
      <c r="ET65" s="3">
        <v>0.05</v>
      </c>
      <c r="EU65" s="3">
        <v>0.01</v>
      </c>
      <c r="EV65" s="3">
        <v>16.07</v>
      </c>
      <c r="EW65" s="3">
        <v>1.2</v>
      </c>
      <c r="EX65" s="3">
        <v>0</v>
      </c>
      <c r="EY65" s="3">
        <v>0</v>
      </c>
      <c r="FQ65" s="3">
        <v>0</v>
      </c>
      <c r="FR65" s="3">
        <v>0</v>
      </c>
      <c r="FS65" s="3">
        <v>0</v>
      </c>
      <c r="FX65" s="3">
        <v>90</v>
      </c>
      <c r="FY65" s="3">
        <v>46</v>
      </c>
      <c r="GA65" s="3" t="s">
        <v>3</v>
      </c>
      <c r="GD65" s="3">
        <v>1</v>
      </c>
      <c r="GF65" s="3">
        <v>1665592289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63"/>
        <v>0</v>
      </c>
      <c r="GM65" s="3">
        <f t="shared" si="64"/>
        <v>4846.87</v>
      </c>
      <c r="GN65" s="3">
        <f t="shared" si="65"/>
        <v>0</v>
      </c>
      <c r="GO65" s="3">
        <f t="shared" si="66"/>
        <v>4846.87</v>
      </c>
      <c r="GP65" s="3">
        <f t="shared" si="67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68"/>
        <v>0</v>
      </c>
      <c r="GW65" s="3">
        <v>1</v>
      </c>
      <c r="GX65" s="3">
        <f t="shared" si="69"/>
        <v>0</v>
      </c>
      <c r="HA65" s="3">
        <v>0</v>
      </c>
      <c r="HB65" s="3">
        <v>0</v>
      </c>
      <c r="HC65" s="3">
        <f t="shared" si="70"/>
        <v>0</v>
      </c>
      <c r="HE65" s="3" t="s">
        <v>3</v>
      </c>
      <c r="HF65" s="3" t="s">
        <v>3</v>
      </c>
      <c r="HM65" s="3" t="s">
        <v>3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/>
      <c r="D66" s="2"/>
      <c r="E66" s="2" t="s">
        <v>99</v>
      </c>
      <c r="F66" s="2" t="s">
        <v>100</v>
      </c>
      <c r="G66" s="2" t="s">
        <v>101</v>
      </c>
      <c r="H66" s="2" t="s">
        <v>32</v>
      </c>
      <c r="I66" s="2">
        <v>2</v>
      </c>
      <c r="J66" s="2">
        <v>0</v>
      </c>
      <c r="K66" s="2">
        <v>2</v>
      </c>
      <c r="L66" s="2"/>
      <c r="M66" s="2"/>
      <c r="N66" s="2"/>
      <c r="O66" s="2">
        <f t="shared" si="48"/>
        <v>154.6</v>
      </c>
      <c r="P66" s="2">
        <f>ROUND((ROUND((AC66*I66),2)*BC66),2)</f>
        <v>154.6</v>
      </c>
      <c r="Q66" s="2">
        <f>(ROUND((ROUND(((ET66)*AV66*I66),2)*BB66),2)+ROUND((ROUND(((AE66-(EU66))*AV66*I66),2)*BS66),2))</f>
        <v>0</v>
      </c>
      <c r="R66" s="2">
        <f>(ROUND((ROUND(((EU66)*AV66*I66),2)*BS66),2)+ROUND((ROUND(((AE66-(EU66))*AV66*I66),2)*BS66),2))</f>
        <v>0</v>
      </c>
      <c r="S66" s="2">
        <f t="shared" si="49"/>
        <v>0</v>
      </c>
      <c r="T66" s="2">
        <f t="shared" si="50"/>
        <v>0</v>
      </c>
      <c r="U66" s="2">
        <f t="shared" si="51"/>
        <v>0</v>
      </c>
      <c r="V66" s="2">
        <f t="shared" si="52"/>
        <v>0</v>
      </c>
      <c r="W66" s="2">
        <f t="shared" si="53"/>
        <v>0</v>
      </c>
      <c r="X66" s="2">
        <f>(ROUND((((S66+ROUND((ROUND(((EU66)*AV66*I66),2)*BS66),2))*AT66)/100),2)+ROUND(((ROUND((ROUND(((AE66-(EU66))*AV66*I66),2)*BS66),2)*AT66)/100),2))</f>
        <v>0</v>
      </c>
      <c r="Y66" s="2">
        <f>(ROUND((((S66+ROUND((ROUND(((EU66)*AV66*I66),2)*BS66),2))*AU66)/100),2)+ROUND(((ROUND((ROUND(((AE66-(EU66))*AV66*I66),2)*BS66),2)*AU66)/100),2))</f>
        <v>0</v>
      </c>
      <c r="Z66" s="2"/>
      <c r="AA66" s="2">
        <v>60258621</v>
      </c>
      <c r="AB66" s="2">
        <f t="shared" si="54"/>
        <v>77.3</v>
      </c>
      <c r="AC66" s="2">
        <f>ROUND((ES66),6)</f>
        <v>77.3</v>
      </c>
      <c r="AD66" s="2">
        <f>ROUND((((ET66)-(EU66))+AE66),6)</f>
        <v>0</v>
      </c>
      <c r="AE66" s="2">
        <f>ROUND((EU66),6)</f>
        <v>0</v>
      </c>
      <c r="AF66" s="2">
        <f>ROUND((EV66),6)</f>
        <v>0</v>
      </c>
      <c r="AG66" s="2">
        <f t="shared" si="55"/>
        <v>0</v>
      </c>
      <c r="AH66" s="2">
        <f>(EW66)</f>
        <v>0</v>
      </c>
      <c r="AI66" s="2">
        <f>(EX66)</f>
        <v>0</v>
      </c>
      <c r="AJ66" s="2">
        <f t="shared" si="56"/>
        <v>0</v>
      </c>
      <c r="AK66" s="2">
        <v>77.3</v>
      </c>
      <c r="AL66" s="2">
        <v>77.3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1</v>
      </c>
      <c r="AW66" s="2">
        <v>1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3</v>
      </c>
      <c r="BI66" s="2">
        <v>3</v>
      </c>
      <c r="BJ66" s="2" t="s">
        <v>3</v>
      </c>
      <c r="BK66" s="2"/>
      <c r="BL66" s="2"/>
      <c r="BM66" s="2">
        <v>746</v>
      </c>
      <c r="BN66" s="2">
        <v>0</v>
      </c>
      <c r="BO66" s="2" t="s">
        <v>3</v>
      </c>
      <c r="BP66" s="2">
        <v>0</v>
      </c>
      <c r="BQ66" s="2">
        <v>130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0</v>
      </c>
      <c r="CA66" s="2">
        <v>0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3</v>
      </c>
      <c r="CO66" s="2">
        <v>0</v>
      </c>
      <c r="CP66" s="2">
        <f t="shared" si="57"/>
        <v>154.6</v>
      </c>
      <c r="CQ66" s="2">
        <f>ROUND((ROUND((AC66*1),2)*BC66),2)</f>
        <v>77.3</v>
      </c>
      <c r="CR66" s="2">
        <f>(ROUND((ROUND(((ET66)*AV66*1),2)*BB66),2)+ROUND((ROUND(((AE66-(EU66))*AV66*1),2)*BS66),2))</f>
        <v>0</v>
      </c>
      <c r="CS66" s="2">
        <f>(ROUND((ROUND(((EU66)*AV66*1),2)*BS66),2)+ROUND((ROUND(((AE66-(EU66))*AV66*1),2)*BS66),2))</f>
        <v>0</v>
      </c>
      <c r="CT66" s="2">
        <f t="shared" si="58"/>
        <v>0</v>
      </c>
      <c r="CU66" s="2">
        <f t="shared" si="59"/>
        <v>0</v>
      </c>
      <c r="CV66" s="2">
        <f t="shared" si="60"/>
        <v>0</v>
      </c>
      <c r="CW66" s="2">
        <f t="shared" si="61"/>
        <v>0</v>
      </c>
      <c r="CX66" s="2">
        <f t="shared" si="62"/>
        <v>0</v>
      </c>
      <c r="CY66" s="2">
        <f>(ROUND((((S66+ROUND((ROUND(((EU66)*AV66*1),2)*BS66),2))*AT66)/100),2)+ROUND(((ROUND((ROUND(((AE66-(EU66))*AV66*1),2)*BS66),2)*AT66)/100),2))</f>
        <v>0</v>
      </c>
      <c r="CZ66" s="2">
        <f>(ROUND((((S66+ROUND((ROUND(((EU66)*AV66*1),2)*BS66),2))*AU66)/100),2)+ROUND(((ROUND((ROUND(((AE66-(EU66))*AV66*1),2)*BS66),2)*AU66)/100),2))</f>
        <v>0</v>
      </c>
      <c r="DA66" s="2"/>
      <c r="DB66" s="2"/>
      <c r="DC66" s="2" t="s">
        <v>3</v>
      </c>
      <c r="DD66" s="2" t="s">
        <v>3</v>
      </c>
      <c r="DE66" s="2" t="s">
        <v>3</v>
      </c>
      <c r="DF66" s="2" t="s">
        <v>3</v>
      </c>
      <c r="DG66" s="2" t="s">
        <v>3</v>
      </c>
      <c r="DH66" s="2" t="s">
        <v>3</v>
      </c>
      <c r="DI66" s="2" t="s">
        <v>3</v>
      </c>
      <c r="DJ66" s="2" t="s">
        <v>3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32</v>
      </c>
      <c r="DW66" s="2" t="s">
        <v>32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60088638</v>
      </c>
      <c r="EF66" s="2">
        <v>130</v>
      </c>
      <c r="EG66" s="2" t="s">
        <v>33</v>
      </c>
      <c r="EH66" s="2">
        <v>0</v>
      </c>
      <c r="EI66" s="2" t="s">
        <v>3</v>
      </c>
      <c r="EJ66" s="2">
        <v>3</v>
      </c>
      <c r="EK66" s="2">
        <v>746</v>
      </c>
      <c r="EL66" s="2" t="s">
        <v>34</v>
      </c>
      <c r="EM66" s="2" t="s">
        <v>35</v>
      </c>
      <c r="EN66" s="2"/>
      <c r="EO66" s="2" t="s">
        <v>3</v>
      </c>
      <c r="EP66" s="2"/>
      <c r="EQ66" s="2">
        <v>0</v>
      </c>
      <c r="ER66" s="2">
        <v>0</v>
      </c>
      <c r="ES66" s="2">
        <v>77.3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f>P66</f>
        <v>154.6</v>
      </c>
      <c r="FS66" s="2">
        <v>0</v>
      </c>
      <c r="FT66" s="2"/>
      <c r="FU66" s="2"/>
      <c r="FV66" s="2"/>
      <c r="FW66" s="2"/>
      <c r="FX66" s="2">
        <v>0</v>
      </c>
      <c r="FY66" s="2">
        <v>0</v>
      </c>
      <c r="FZ66" s="2"/>
      <c r="GA66" s="2" t="s">
        <v>102</v>
      </c>
      <c r="GB66" s="2"/>
      <c r="GC66" s="2"/>
      <c r="GD66" s="2">
        <v>1</v>
      </c>
      <c r="GE66" s="2"/>
      <c r="GF66" s="2">
        <v>424247577</v>
      </c>
      <c r="GG66" s="2">
        <v>2</v>
      </c>
      <c r="GH66" s="2">
        <v>4</v>
      </c>
      <c r="GI66" s="2">
        <v>-2</v>
      </c>
      <c r="GJ66" s="2">
        <v>0</v>
      </c>
      <c r="GK66" s="2">
        <v>0</v>
      </c>
      <c r="GL66" s="2">
        <f t="shared" si="63"/>
        <v>0</v>
      </c>
      <c r="GM66" s="2">
        <f t="shared" si="64"/>
        <v>154.6</v>
      </c>
      <c r="GN66" s="2">
        <f t="shared" si="65"/>
        <v>0</v>
      </c>
      <c r="GO66" s="2">
        <f t="shared" si="66"/>
        <v>0</v>
      </c>
      <c r="GP66" s="2">
        <f t="shared" si="67"/>
        <v>0</v>
      </c>
      <c r="GQ66" s="2"/>
      <c r="GR66" s="2">
        <v>0</v>
      </c>
      <c r="GS66" s="2">
        <v>2</v>
      </c>
      <c r="GT66" s="2">
        <v>0</v>
      </c>
      <c r="GU66" s="2" t="s">
        <v>3</v>
      </c>
      <c r="GV66" s="2">
        <f t="shared" si="68"/>
        <v>0</v>
      </c>
      <c r="GW66" s="2">
        <v>1</v>
      </c>
      <c r="GX66" s="2">
        <f t="shared" si="69"/>
        <v>0</v>
      </c>
      <c r="GY66" s="2"/>
      <c r="GZ66" s="2"/>
      <c r="HA66" s="2">
        <v>0</v>
      </c>
      <c r="HB66" s="2">
        <v>0</v>
      </c>
      <c r="HC66" s="2">
        <f t="shared" si="70"/>
        <v>0</v>
      </c>
      <c r="HD66" s="2"/>
      <c r="HE66" s="2" t="s">
        <v>37</v>
      </c>
      <c r="HF66" s="2" t="s">
        <v>38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E67" s="3" t="s">
        <v>99</v>
      </c>
      <c r="F67" s="3" t="s">
        <v>100</v>
      </c>
      <c r="G67" s="3" t="s">
        <v>101</v>
      </c>
      <c r="H67" s="3" t="s">
        <v>32</v>
      </c>
      <c r="I67" s="3">
        <v>2</v>
      </c>
      <c r="J67" s="3">
        <v>0</v>
      </c>
      <c r="K67" s="3">
        <v>2</v>
      </c>
      <c r="O67" s="3">
        <f t="shared" si="48"/>
        <v>1184.24</v>
      </c>
      <c r="P67" s="3">
        <f>ROUND((ROUND((AC67*I67),2)*BC67),2)</f>
        <v>1184.24</v>
      </c>
      <c r="Q67" s="3">
        <f>(ROUND((ROUND(((ET67)*AV67*I67),2)*BB67),2)+ROUND((ROUND(((AE67-(EU67))*AV67*I67),2)*BS67),2))</f>
        <v>0</v>
      </c>
      <c r="R67" s="3">
        <f>(ROUND((ROUND(((EU67)*AV67*I67),2)*BS67),2)+ROUND((ROUND(((AE67-(EU67))*AV67*I67),2)*BS67),2))</f>
        <v>0</v>
      </c>
      <c r="S67" s="3">
        <f t="shared" si="49"/>
        <v>0</v>
      </c>
      <c r="T67" s="3">
        <f t="shared" si="50"/>
        <v>0</v>
      </c>
      <c r="U67" s="3">
        <f t="shared" si="51"/>
        <v>0</v>
      </c>
      <c r="V67" s="3">
        <f t="shared" si="52"/>
        <v>0</v>
      </c>
      <c r="W67" s="3">
        <f t="shared" si="53"/>
        <v>0</v>
      </c>
      <c r="X67" s="3">
        <f>(ROUND((((S67+ROUND((ROUND(((EU67)*AV67*I67),2)*BS67),2))*AT67)/100),2)+ROUND(((ROUND((ROUND(((AE67-(EU67))*AV67*I67),2)*BS67),2)*AT67)/100),2))</f>
        <v>0</v>
      </c>
      <c r="Y67" s="3">
        <f>(ROUND((((S67+ROUND((ROUND(((EU67)*AV67*I67),2)*BS67),2))*AU67)/100),2)+ROUND(((ROUND((ROUND(((AE67-(EU67))*AV67*I67),2)*BS67),2)*AU67)/100),2))</f>
        <v>0</v>
      </c>
      <c r="AA67" s="3">
        <v>60258618</v>
      </c>
      <c r="AB67" s="3">
        <f t="shared" si="54"/>
        <v>77.3</v>
      </c>
      <c r="AC67" s="3">
        <f>ROUND((ES67),6)</f>
        <v>77.3</v>
      </c>
      <c r="AD67" s="3">
        <f>ROUND((((ET67)-(EU67))+AE67),6)</f>
        <v>0</v>
      </c>
      <c r="AE67" s="3">
        <f>ROUND((EU67),6)</f>
        <v>0</v>
      </c>
      <c r="AF67" s="3">
        <f>ROUND((EV67),6)</f>
        <v>0</v>
      </c>
      <c r="AG67" s="3">
        <f t="shared" si="55"/>
        <v>0</v>
      </c>
      <c r="AH67" s="3">
        <f>(EW67)</f>
        <v>0</v>
      </c>
      <c r="AI67" s="3">
        <f>(EX67)</f>
        <v>0</v>
      </c>
      <c r="AJ67" s="3">
        <f t="shared" si="56"/>
        <v>0</v>
      </c>
      <c r="AK67" s="3">
        <v>77.3</v>
      </c>
      <c r="AL67" s="3">
        <v>77.3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1</v>
      </c>
      <c r="AW67" s="3">
        <v>1</v>
      </c>
      <c r="AZ67" s="3">
        <v>1</v>
      </c>
      <c r="BA67" s="3">
        <v>1</v>
      </c>
      <c r="BB67" s="3">
        <v>1</v>
      </c>
      <c r="BC67" s="3">
        <v>7.66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3</v>
      </c>
      <c r="BI67" s="3">
        <v>3</v>
      </c>
      <c r="BJ67" s="3" t="s">
        <v>3</v>
      </c>
      <c r="BM67" s="3">
        <v>746</v>
      </c>
      <c r="BN67" s="3">
        <v>0</v>
      </c>
      <c r="BO67" s="3" t="s">
        <v>3</v>
      </c>
      <c r="BP67" s="3">
        <v>0</v>
      </c>
      <c r="BQ67" s="3">
        <v>130</v>
      </c>
      <c r="BR67" s="3">
        <v>0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0</v>
      </c>
      <c r="CA67" s="3">
        <v>0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3</v>
      </c>
      <c r="CO67" s="3">
        <v>0</v>
      </c>
      <c r="CP67" s="3">
        <f t="shared" si="57"/>
        <v>1184.24</v>
      </c>
      <c r="CQ67" s="3">
        <f>ROUND((ROUND((AC67*1),2)*BC67),2)</f>
        <v>592.12</v>
      </c>
      <c r="CR67" s="3">
        <f>(ROUND((ROUND(((ET67)*AV67*1),2)*BB67),2)+ROUND((ROUND(((AE67-(EU67))*AV67*1),2)*BS67),2))</f>
        <v>0</v>
      </c>
      <c r="CS67" s="3">
        <f>(ROUND((ROUND(((EU67)*AV67*1),2)*BS67),2)+ROUND((ROUND(((AE67-(EU67))*AV67*1),2)*BS67),2))</f>
        <v>0</v>
      </c>
      <c r="CT67" s="3">
        <f t="shared" si="58"/>
        <v>0</v>
      </c>
      <c r="CU67" s="3">
        <f t="shared" si="59"/>
        <v>0</v>
      </c>
      <c r="CV67" s="3">
        <f t="shared" si="60"/>
        <v>0</v>
      </c>
      <c r="CW67" s="3">
        <f t="shared" si="61"/>
        <v>0</v>
      </c>
      <c r="CX67" s="3">
        <f t="shared" si="62"/>
        <v>0</v>
      </c>
      <c r="CY67" s="3">
        <f>(ROUND((((S67+ROUND((ROUND(((EU67)*AV67*1),2)*BS67),2))*AT67)/100),2)+ROUND(((ROUND((ROUND(((AE67-(EU67))*AV67*1),2)*BS67),2)*AT67)/100),2))</f>
        <v>0</v>
      </c>
      <c r="CZ67" s="3">
        <f>(ROUND((((S67+ROUND((ROUND(((EU67)*AV67*1),2)*BS67),2))*AU67)/100),2)+ROUND(((ROUND((ROUND(((AE67-(EU67))*AV67*1),2)*BS67),2)*AU67)/100),2))</f>
        <v>0</v>
      </c>
      <c r="DC67" s="3" t="s">
        <v>3</v>
      </c>
      <c r="DD67" s="3" t="s">
        <v>3</v>
      </c>
      <c r="DE67" s="3" t="s">
        <v>3</v>
      </c>
      <c r="DF67" s="3" t="s">
        <v>3</v>
      </c>
      <c r="DG67" s="3" t="s">
        <v>3</v>
      </c>
      <c r="DH67" s="3" t="s">
        <v>3</v>
      </c>
      <c r="DI67" s="3" t="s">
        <v>3</v>
      </c>
      <c r="DJ67" s="3" t="s">
        <v>3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32</v>
      </c>
      <c r="DW67" s="3" t="s">
        <v>32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60088638</v>
      </c>
      <c r="EF67" s="3">
        <v>130</v>
      </c>
      <c r="EG67" s="3" t="s">
        <v>33</v>
      </c>
      <c r="EH67" s="3">
        <v>0</v>
      </c>
      <c r="EI67" s="3" t="s">
        <v>3</v>
      </c>
      <c r="EJ67" s="3">
        <v>3</v>
      </c>
      <c r="EK67" s="3">
        <v>746</v>
      </c>
      <c r="EL67" s="3" t="s">
        <v>34</v>
      </c>
      <c r="EM67" s="3" t="s">
        <v>35</v>
      </c>
      <c r="EO67" s="3" t="s">
        <v>3</v>
      </c>
      <c r="EQ67" s="3">
        <v>0</v>
      </c>
      <c r="ER67" s="3">
        <v>0</v>
      </c>
      <c r="ES67" s="3">
        <v>77.3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5</v>
      </c>
      <c r="FC67" s="3">
        <v>1</v>
      </c>
      <c r="FD67" s="3">
        <v>18</v>
      </c>
      <c r="FF67" s="3">
        <v>681.72</v>
      </c>
      <c r="FQ67" s="3">
        <v>0</v>
      </c>
      <c r="FR67" s="3">
        <f>P67</f>
        <v>1184.24</v>
      </c>
      <c r="FS67" s="3">
        <v>0</v>
      </c>
      <c r="FX67" s="3">
        <v>0</v>
      </c>
      <c r="FY67" s="3">
        <v>0</v>
      </c>
      <c r="GA67" s="3" t="s">
        <v>102</v>
      </c>
      <c r="GD67" s="3">
        <v>1</v>
      </c>
      <c r="GF67" s="3">
        <v>424247577</v>
      </c>
      <c r="GG67" s="3">
        <v>2</v>
      </c>
      <c r="GH67" s="3">
        <v>3</v>
      </c>
      <c r="GI67" s="3">
        <v>5</v>
      </c>
      <c r="GJ67" s="3">
        <v>0</v>
      </c>
      <c r="GK67" s="3">
        <v>0</v>
      </c>
      <c r="GL67" s="3">
        <f t="shared" si="63"/>
        <v>0</v>
      </c>
      <c r="GM67" s="3">
        <f t="shared" si="64"/>
        <v>1184.24</v>
      </c>
      <c r="GN67" s="3">
        <f t="shared" si="65"/>
        <v>0</v>
      </c>
      <c r="GO67" s="3">
        <f t="shared" si="66"/>
        <v>0</v>
      </c>
      <c r="GP67" s="3">
        <f t="shared" si="67"/>
        <v>0</v>
      </c>
      <c r="GR67" s="3">
        <v>1</v>
      </c>
      <c r="GS67" s="3">
        <v>1</v>
      </c>
      <c r="GT67" s="3">
        <v>0</v>
      </c>
      <c r="GU67" s="3" t="s">
        <v>3</v>
      </c>
      <c r="GV67" s="3">
        <f t="shared" si="68"/>
        <v>0</v>
      </c>
      <c r="GW67" s="3">
        <v>1</v>
      </c>
      <c r="GX67" s="3">
        <f t="shared" si="69"/>
        <v>0</v>
      </c>
      <c r="HA67" s="3">
        <v>0</v>
      </c>
      <c r="HB67" s="3">
        <v>0</v>
      </c>
      <c r="HC67" s="3">
        <f t="shared" si="70"/>
        <v>0</v>
      </c>
      <c r="HE67" s="3" t="s">
        <v>37</v>
      </c>
      <c r="HF67" s="3" t="s">
        <v>38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17</v>
      </c>
      <c r="B68" s="2">
        <v>1</v>
      </c>
      <c r="C68" s="2">
        <f>ROW(SmtRes!A39)</f>
        <v>39</v>
      </c>
      <c r="D68" s="2">
        <f>ROW(EtalonRes!A47)</f>
        <v>47</v>
      </c>
      <c r="E68" s="2" t="s">
        <v>103</v>
      </c>
      <c r="F68" s="2" t="s">
        <v>104</v>
      </c>
      <c r="G68" s="2" t="s">
        <v>105</v>
      </c>
      <c r="H68" s="2" t="s">
        <v>21</v>
      </c>
      <c r="I68" s="2">
        <v>30</v>
      </c>
      <c r="J68" s="2">
        <v>0</v>
      </c>
      <c r="K68" s="2">
        <v>30</v>
      </c>
      <c r="L68" s="2"/>
      <c r="M68" s="2"/>
      <c r="N68" s="2"/>
      <c r="O68" s="2">
        <f t="shared" si="48"/>
        <v>1717.14</v>
      </c>
      <c r="P68" s="2">
        <f>ROUND((ROUND((AC68*AW68*I68),2)*BC68),2)</f>
        <v>50.4</v>
      </c>
      <c r="Q68" s="2">
        <f>(ROUND((ROUND((((ET68*1.1))*AV68*I68),2)*BB68),2)+ROUND((ROUND(((AE68-((EU68*1.1)))*AV68*I68),2)*BS68),2))</f>
        <v>1.38</v>
      </c>
      <c r="R68" s="2">
        <f>(ROUND((ROUND((((EU68*1.1))*AV68*I68),2)*BS68),2)+ROUND((ROUND(((AE68-((EU68*1.1)))*AV68*I68),2)*BS68),2))</f>
        <v>0</v>
      </c>
      <c r="S68" s="2">
        <f t="shared" si="49"/>
        <v>1665.36</v>
      </c>
      <c r="T68" s="2">
        <f t="shared" si="50"/>
        <v>0</v>
      </c>
      <c r="U68" s="2">
        <f t="shared" si="51"/>
        <v>124.3836</v>
      </c>
      <c r="V68" s="2">
        <f t="shared" si="52"/>
        <v>0</v>
      </c>
      <c r="W68" s="2">
        <f t="shared" si="53"/>
        <v>0</v>
      </c>
      <c r="X68" s="2">
        <f>(ROUND((((S68+ROUND((ROUND((((EU68*1.1))*AV68*I68),2)*BS68),2))*AT68)/100),2)+ROUND(((ROUND((ROUND(((AE68-((EU68*1.1)))*AV68*I68),2)*BS68),2)*AT68)/100),2))</f>
        <v>1498.82</v>
      </c>
      <c r="Y68" s="2">
        <f>(ROUND((((S68+ROUND((ROUND((((EU68*1.1))*AV68*I68),2)*BS68),2))*AU68)/100),2)+ROUND(((ROUND((ROUND(((AE68-((EU68*1.1)))*AV68*I68),2)*BS68),2)*AU68)/100),2))</f>
        <v>766.07</v>
      </c>
      <c r="Z68" s="2"/>
      <c r="AA68" s="2">
        <v>60258621</v>
      </c>
      <c r="AB68" s="2">
        <f t="shared" si="54"/>
        <v>54.744</v>
      </c>
      <c r="AC68" s="2">
        <f>ROUND(((ES68*1)),6)</f>
        <v>1.68</v>
      </c>
      <c r="AD68" s="2">
        <f>ROUND(((((ET68*1.1))-((EU68*1.1)))+AE68),6)</f>
        <v>4.3999999999999997E-2</v>
      </c>
      <c r="AE68" s="2">
        <f>ROUND(((EU68*1.1)),6)</f>
        <v>0</v>
      </c>
      <c r="AF68" s="2">
        <f>ROUND(((EV68*1.1)),6)</f>
        <v>53.02</v>
      </c>
      <c r="AG68" s="2">
        <f t="shared" si="55"/>
        <v>0</v>
      </c>
      <c r="AH68" s="2">
        <f>((EW68*1.1))</f>
        <v>3.9600000000000004</v>
      </c>
      <c r="AI68" s="2">
        <f>((EX68*1.1))</f>
        <v>0</v>
      </c>
      <c r="AJ68" s="2">
        <f t="shared" si="56"/>
        <v>0</v>
      </c>
      <c r="AK68" s="2">
        <v>49.92</v>
      </c>
      <c r="AL68" s="2">
        <v>1.68</v>
      </c>
      <c r="AM68" s="2">
        <v>0.04</v>
      </c>
      <c r="AN68" s="2">
        <v>0</v>
      </c>
      <c r="AO68" s="2">
        <v>48.2</v>
      </c>
      <c r="AP68" s="2">
        <v>0</v>
      </c>
      <c r="AQ68" s="2">
        <v>3.6</v>
      </c>
      <c r="AR68" s="2">
        <v>0</v>
      </c>
      <c r="AS68" s="2">
        <v>0</v>
      </c>
      <c r="AT68" s="2">
        <v>90</v>
      </c>
      <c r="AU68" s="2">
        <v>46</v>
      </c>
      <c r="AV68" s="2">
        <v>1.0469999999999999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0</v>
      </c>
      <c r="BI68" s="2">
        <v>2</v>
      </c>
      <c r="BJ68" s="2" t="s">
        <v>106</v>
      </c>
      <c r="BK68" s="2"/>
      <c r="BL68" s="2"/>
      <c r="BM68" s="2">
        <v>68</v>
      </c>
      <c r="BN68" s="2">
        <v>58973116</v>
      </c>
      <c r="BO68" s="2" t="s">
        <v>104</v>
      </c>
      <c r="BP68" s="2">
        <v>1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363</v>
      </c>
      <c r="CO68" s="2">
        <v>0</v>
      </c>
      <c r="CP68" s="2">
        <f t="shared" si="57"/>
        <v>1717.1399999999999</v>
      </c>
      <c r="CQ68" s="2">
        <f>ROUND((ROUND((AC68*AW68*1),2)*BC68),2)</f>
        <v>1.68</v>
      </c>
      <c r="CR68" s="2">
        <f>(ROUND((ROUND((((ET68*1.1))*AV68*1),2)*BB68),2)+ROUND((ROUND(((AE68-((EU68*1.1)))*AV68*1),2)*BS68),2))</f>
        <v>0.05</v>
      </c>
      <c r="CS68" s="2">
        <f>(ROUND((ROUND((((EU68*1.1))*AV68*1),2)*BS68),2)+ROUND((ROUND(((AE68-((EU68*1.1)))*AV68*1),2)*BS68),2))</f>
        <v>0</v>
      </c>
      <c r="CT68" s="2">
        <f t="shared" si="58"/>
        <v>55.51</v>
      </c>
      <c r="CU68" s="2">
        <f t="shared" si="59"/>
        <v>0</v>
      </c>
      <c r="CV68" s="2">
        <f t="shared" si="60"/>
        <v>4.1461199999999998</v>
      </c>
      <c r="CW68" s="2">
        <f t="shared" si="61"/>
        <v>0</v>
      </c>
      <c r="CX68" s="2">
        <f t="shared" si="62"/>
        <v>0</v>
      </c>
      <c r="CY68" s="2">
        <f>(ROUND((((S68+ROUND((ROUND((((EU68*1.1))*AV68*1),2)*BS68),2))*AT68)/100),2)+ROUND(((ROUND((ROUND(((AE68-((EU68*1.1)))*AV68*1),2)*BS68),2)*AT68)/100),2))</f>
        <v>1498.82</v>
      </c>
      <c r="CZ68" s="2">
        <f>(ROUND((((S68+ROUND((ROUND((((EU68*1.1))*AV68*1),2)*BS68),2))*AU68)/100),2)+ROUND(((ROUND((ROUND(((AE68-((EU68*1.1)))*AV68*1),2)*BS68),2)*AU68)/100),2))</f>
        <v>766.07</v>
      </c>
      <c r="DA68" s="2"/>
      <c r="DB68" s="2">
        <v>19</v>
      </c>
      <c r="DC68" s="2" t="s">
        <v>3</v>
      </c>
      <c r="DD68" s="2" t="s">
        <v>23</v>
      </c>
      <c r="DE68" s="2" t="s">
        <v>24</v>
      </c>
      <c r="DF68" s="2" t="s">
        <v>24</v>
      </c>
      <c r="DG68" s="2" t="s">
        <v>24</v>
      </c>
      <c r="DH68" s="2" t="s">
        <v>3</v>
      </c>
      <c r="DI68" s="2" t="s">
        <v>24</v>
      </c>
      <c r="DJ68" s="2" t="s">
        <v>24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1013</v>
      </c>
      <c r="DV68" s="2" t="s">
        <v>21</v>
      </c>
      <c r="DW68" s="2" t="s">
        <v>21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60088532</v>
      </c>
      <c r="EF68" s="2">
        <v>40</v>
      </c>
      <c r="EG68" s="2" t="s">
        <v>25</v>
      </c>
      <c r="EH68" s="2">
        <v>0</v>
      </c>
      <c r="EI68" s="2" t="s">
        <v>3</v>
      </c>
      <c r="EJ68" s="2">
        <v>2</v>
      </c>
      <c r="EK68" s="2">
        <v>68</v>
      </c>
      <c r="EL68" s="2" t="s">
        <v>46</v>
      </c>
      <c r="EM68" s="2" t="s">
        <v>47</v>
      </c>
      <c r="EN68" s="2"/>
      <c r="EO68" s="2" t="s">
        <v>28</v>
      </c>
      <c r="EP68" s="2"/>
      <c r="EQ68" s="2">
        <v>0</v>
      </c>
      <c r="ER68" s="2">
        <v>49.92</v>
      </c>
      <c r="ES68" s="2">
        <v>1.68</v>
      </c>
      <c r="ET68" s="2">
        <v>0.04</v>
      </c>
      <c r="EU68" s="2">
        <v>0</v>
      </c>
      <c r="EV68" s="2">
        <v>48.2</v>
      </c>
      <c r="EW68" s="2">
        <v>3.6</v>
      </c>
      <c r="EX68" s="2">
        <v>0</v>
      </c>
      <c r="EY68" s="2">
        <v>0</v>
      </c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3</v>
      </c>
      <c r="GB68" s="2"/>
      <c r="GC68" s="2"/>
      <c r="GD68" s="2">
        <v>1</v>
      </c>
      <c r="GE68" s="2"/>
      <c r="GF68" s="2">
        <v>-1118583181</v>
      </c>
      <c r="GG68" s="2">
        <v>2</v>
      </c>
      <c r="GH68" s="2">
        <v>1</v>
      </c>
      <c r="GI68" s="2">
        <v>2</v>
      </c>
      <c r="GJ68" s="2">
        <v>0</v>
      </c>
      <c r="GK68" s="2">
        <v>0</v>
      </c>
      <c r="GL68" s="2">
        <f t="shared" si="63"/>
        <v>0</v>
      </c>
      <c r="GM68" s="2">
        <f t="shared" si="64"/>
        <v>3982.03</v>
      </c>
      <c r="GN68" s="2">
        <f t="shared" si="65"/>
        <v>0</v>
      </c>
      <c r="GO68" s="2">
        <f t="shared" si="66"/>
        <v>3982.03</v>
      </c>
      <c r="GP68" s="2">
        <f t="shared" si="67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68"/>
        <v>0</v>
      </c>
      <c r="GW68" s="2">
        <v>1</v>
      </c>
      <c r="GX68" s="2">
        <f t="shared" si="69"/>
        <v>0</v>
      </c>
      <c r="GY68" s="2"/>
      <c r="GZ68" s="2"/>
      <c r="HA68" s="2">
        <v>0</v>
      </c>
      <c r="HB68" s="2">
        <v>0</v>
      </c>
      <c r="HC68" s="2">
        <f t="shared" si="70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17</v>
      </c>
      <c r="B69" s="3">
        <v>1</v>
      </c>
      <c r="C69" s="3">
        <f>ROW(SmtRes!A40)</f>
        <v>40</v>
      </c>
      <c r="D69" s="3">
        <f>ROW(EtalonRes!A48)</f>
        <v>48</v>
      </c>
      <c r="E69" s="3" t="s">
        <v>103</v>
      </c>
      <c r="F69" s="3" t="s">
        <v>104</v>
      </c>
      <c r="G69" s="3" t="s">
        <v>105</v>
      </c>
      <c r="H69" s="3" t="s">
        <v>21</v>
      </c>
      <c r="I69" s="3">
        <v>30</v>
      </c>
      <c r="J69" s="3">
        <v>0</v>
      </c>
      <c r="K69" s="3">
        <v>30</v>
      </c>
      <c r="O69" s="3">
        <f t="shared" si="48"/>
        <v>92090.41</v>
      </c>
      <c r="P69" s="3">
        <f>ROUND((ROUND((AC69*AW69*I69),2)*BC69),2)</f>
        <v>498.46</v>
      </c>
      <c r="Q69" s="3">
        <f>(ROUND((ROUND((((ET69*1.1))*AV69*I69),2)*BB69),2)+ROUND((ROUND(((AE69-((EU69*1.1)))*AV69*I69),2)*BS69),2))</f>
        <v>13.8</v>
      </c>
      <c r="R69" s="3">
        <f>(ROUND((ROUND((((EU69*1.1))*AV69*I69),2)*BS69),2)+ROUND((ROUND(((AE69-((EU69*1.1)))*AV69*I69),2)*BS69),2))</f>
        <v>0</v>
      </c>
      <c r="S69" s="3">
        <f t="shared" si="49"/>
        <v>91578.15</v>
      </c>
      <c r="T69" s="3">
        <f t="shared" si="50"/>
        <v>0</v>
      </c>
      <c r="U69" s="3">
        <f t="shared" si="51"/>
        <v>124.3836</v>
      </c>
      <c r="V69" s="3">
        <f t="shared" si="52"/>
        <v>0</v>
      </c>
      <c r="W69" s="3">
        <f t="shared" si="53"/>
        <v>0</v>
      </c>
      <c r="X69" s="3">
        <f>(ROUND((((S69+ROUND((ROUND((((EU69*1.1))*AV69*I69),2)*BS69),2))*AT69)/100),2)+ROUND(((ROUND((ROUND(((AE69-((EU69*1.1)))*AV69*I69),2)*BS69),2)*AT69)/100),2))</f>
        <v>82420.34</v>
      </c>
      <c r="Y69" s="3">
        <f>(ROUND((((S69+ROUND((ROUND((((EU69*1.1))*AV69*I69),2)*BS69),2))*AU69)/100),2)+ROUND(((ROUND((ROUND(((AE69-((EU69*1.1)))*AV69*I69),2)*BS69),2)*AU69)/100),2))</f>
        <v>42125.95</v>
      </c>
      <c r="AA69" s="3">
        <v>60258618</v>
      </c>
      <c r="AB69" s="3">
        <f t="shared" si="54"/>
        <v>54.744</v>
      </c>
      <c r="AC69" s="3">
        <f>ROUND(((ES69*1)),6)</f>
        <v>1.68</v>
      </c>
      <c r="AD69" s="3">
        <f>ROUND(((((ET69*1.1))-((EU69*1.1)))+AE69),6)</f>
        <v>4.3999999999999997E-2</v>
      </c>
      <c r="AE69" s="3">
        <f>ROUND(((EU69*1.1)),6)</f>
        <v>0</v>
      </c>
      <c r="AF69" s="3">
        <f>ROUND(((EV69*1.1)),6)</f>
        <v>53.02</v>
      </c>
      <c r="AG69" s="3">
        <f t="shared" si="55"/>
        <v>0</v>
      </c>
      <c r="AH69" s="3">
        <f>((EW69*1.1))</f>
        <v>3.9600000000000004</v>
      </c>
      <c r="AI69" s="3">
        <f>((EX69*1.1))</f>
        <v>0</v>
      </c>
      <c r="AJ69" s="3">
        <f t="shared" si="56"/>
        <v>0</v>
      </c>
      <c r="AK69" s="3">
        <v>49.92</v>
      </c>
      <c r="AL69" s="3">
        <v>1.68</v>
      </c>
      <c r="AM69" s="3">
        <v>0.04</v>
      </c>
      <c r="AN69" s="3">
        <v>0</v>
      </c>
      <c r="AO69" s="3">
        <v>48.2</v>
      </c>
      <c r="AP69" s="3">
        <v>0</v>
      </c>
      <c r="AQ69" s="3">
        <v>3.6</v>
      </c>
      <c r="AR69" s="3">
        <v>0</v>
      </c>
      <c r="AS69" s="3">
        <v>0</v>
      </c>
      <c r="AT69" s="3">
        <v>90</v>
      </c>
      <c r="AU69" s="3">
        <v>46</v>
      </c>
      <c r="AV69" s="3">
        <v>1.0469999999999999</v>
      </c>
      <c r="AW69" s="3">
        <v>1</v>
      </c>
      <c r="AZ69" s="3">
        <v>1</v>
      </c>
      <c r="BA69" s="3">
        <v>54.99</v>
      </c>
      <c r="BB69" s="3">
        <v>10</v>
      </c>
      <c r="BC69" s="3">
        <v>9.89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0</v>
      </c>
      <c r="BI69" s="3">
        <v>2</v>
      </c>
      <c r="BJ69" s="3" t="s">
        <v>106</v>
      </c>
      <c r="BM69" s="3">
        <v>68</v>
      </c>
      <c r="BN69" s="3">
        <v>58973116</v>
      </c>
      <c r="BO69" s="3" t="s">
        <v>104</v>
      </c>
      <c r="BP69" s="3">
        <v>1</v>
      </c>
      <c r="BQ69" s="3">
        <v>40</v>
      </c>
      <c r="BR69" s="3">
        <v>0</v>
      </c>
      <c r="BS69" s="3">
        <v>54.99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90</v>
      </c>
      <c r="CA69" s="3">
        <v>46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363</v>
      </c>
      <c r="CO69" s="3">
        <v>0</v>
      </c>
      <c r="CP69" s="3">
        <f t="shared" si="57"/>
        <v>92090.409999999989</v>
      </c>
      <c r="CQ69" s="3">
        <f>ROUND((ROUND((AC69*AW69*1),2)*BC69),2)</f>
        <v>16.62</v>
      </c>
      <c r="CR69" s="3">
        <f>(ROUND((ROUND((((ET69*1.1))*AV69*1),2)*BB69),2)+ROUND((ROUND(((AE69-((EU69*1.1)))*AV69*1),2)*BS69),2))</f>
        <v>0.5</v>
      </c>
      <c r="CS69" s="3">
        <f>(ROUND((ROUND((((EU69*1.1))*AV69*1),2)*BS69),2)+ROUND((ROUND(((AE69-((EU69*1.1)))*AV69*1),2)*BS69),2))</f>
        <v>0</v>
      </c>
      <c r="CT69" s="3">
        <f t="shared" si="58"/>
        <v>3052.49</v>
      </c>
      <c r="CU69" s="3">
        <f t="shared" si="59"/>
        <v>0</v>
      </c>
      <c r="CV69" s="3">
        <f t="shared" si="60"/>
        <v>4.1461199999999998</v>
      </c>
      <c r="CW69" s="3">
        <f t="shared" si="61"/>
        <v>0</v>
      </c>
      <c r="CX69" s="3">
        <f t="shared" si="62"/>
        <v>0</v>
      </c>
      <c r="CY69" s="3">
        <f>(ROUND((((S69+ROUND((ROUND((((EU69*1.1))*AV69*1),2)*BS69),2))*AT69)/100),2)+ROUND(((ROUND((ROUND(((AE69-((EU69*1.1)))*AV69*1),2)*BS69),2)*AT69)/100),2))</f>
        <v>82420.34</v>
      </c>
      <c r="CZ69" s="3">
        <f>(ROUND((((S69+ROUND((ROUND((((EU69*1.1))*AV69*1),2)*BS69),2))*AU69)/100),2)+ROUND(((ROUND((ROUND(((AE69-((EU69*1.1)))*AV69*1),2)*BS69),2)*AU69)/100),2))</f>
        <v>42125.95</v>
      </c>
      <c r="DB69" s="3">
        <v>20</v>
      </c>
      <c r="DC69" s="3" t="s">
        <v>3</v>
      </c>
      <c r="DD69" s="3" t="s">
        <v>23</v>
      </c>
      <c r="DE69" s="3" t="s">
        <v>24</v>
      </c>
      <c r="DF69" s="3" t="s">
        <v>24</v>
      </c>
      <c r="DG69" s="3" t="s">
        <v>24</v>
      </c>
      <c r="DH69" s="3" t="s">
        <v>3</v>
      </c>
      <c r="DI69" s="3" t="s">
        <v>24</v>
      </c>
      <c r="DJ69" s="3" t="s">
        <v>24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1013</v>
      </c>
      <c r="DV69" s="3" t="s">
        <v>21</v>
      </c>
      <c r="DW69" s="3" t="s">
        <v>21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60088532</v>
      </c>
      <c r="EF69" s="3">
        <v>40</v>
      </c>
      <c r="EG69" s="3" t="s">
        <v>25</v>
      </c>
      <c r="EH69" s="3">
        <v>0</v>
      </c>
      <c r="EI69" s="3" t="s">
        <v>3</v>
      </c>
      <c r="EJ69" s="3">
        <v>2</v>
      </c>
      <c r="EK69" s="3">
        <v>68</v>
      </c>
      <c r="EL69" s="3" t="s">
        <v>46</v>
      </c>
      <c r="EM69" s="3" t="s">
        <v>47</v>
      </c>
      <c r="EO69" s="3" t="s">
        <v>28</v>
      </c>
      <c r="EQ69" s="3">
        <v>0</v>
      </c>
      <c r="ER69" s="3">
        <v>49.92</v>
      </c>
      <c r="ES69" s="3">
        <v>1.68</v>
      </c>
      <c r="ET69" s="3">
        <v>0.04</v>
      </c>
      <c r="EU69" s="3">
        <v>0</v>
      </c>
      <c r="EV69" s="3">
        <v>48.2</v>
      </c>
      <c r="EW69" s="3">
        <v>3.6</v>
      </c>
      <c r="EX69" s="3">
        <v>0</v>
      </c>
      <c r="EY69" s="3">
        <v>0</v>
      </c>
      <c r="FQ69" s="3">
        <v>0</v>
      </c>
      <c r="FR69" s="3">
        <v>0</v>
      </c>
      <c r="FS69" s="3">
        <v>0</v>
      </c>
      <c r="FX69" s="3">
        <v>90</v>
      </c>
      <c r="FY69" s="3">
        <v>46</v>
      </c>
      <c r="GA69" s="3" t="s">
        <v>3</v>
      </c>
      <c r="GD69" s="3">
        <v>1</v>
      </c>
      <c r="GF69" s="3">
        <v>-1118583181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63"/>
        <v>0</v>
      </c>
      <c r="GM69" s="3">
        <f t="shared" si="64"/>
        <v>216636.7</v>
      </c>
      <c r="GN69" s="3">
        <f t="shared" si="65"/>
        <v>0</v>
      </c>
      <c r="GO69" s="3">
        <f t="shared" si="66"/>
        <v>216636.7</v>
      </c>
      <c r="GP69" s="3">
        <f t="shared" si="67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68"/>
        <v>0</v>
      </c>
      <c r="GW69" s="3">
        <v>1</v>
      </c>
      <c r="GX69" s="3">
        <f t="shared" si="69"/>
        <v>0</v>
      </c>
      <c r="HA69" s="3">
        <v>0</v>
      </c>
      <c r="HB69" s="3">
        <v>0</v>
      </c>
      <c r="HC69" s="3">
        <f t="shared" si="70"/>
        <v>0</v>
      </c>
      <c r="HE69" s="3" t="s">
        <v>3</v>
      </c>
      <c r="HF69" s="3" t="s">
        <v>3</v>
      </c>
      <c r="HM69" s="3" t="s">
        <v>3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17</v>
      </c>
      <c r="B70" s="2">
        <v>1</v>
      </c>
      <c r="C70" s="2"/>
      <c r="D70" s="2"/>
      <c r="E70" s="2" t="s">
        <v>107</v>
      </c>
      <c r="F70" s="2" t="s">
        <v>108</v>
      </c>
      <c r="G70" s="2" t="s">
        <v>109</v>
      </c>
      <c r="H70" s="2" t="s">
        <v>32</v>
      </c>
      <c r="I70" s="2">
        <v>30</v>
      </c>
      <c r="J70" s="2">
        <v>0</v>
      </c>
      <c r="K70" s="2">
        <v>30</v>
      </c>
      <c r="L70" s="2"/>
      <c r="M70" s="2"/>
      <c r="N70" s="2"/>
      <c r="O70" s="2">
        <f t="shared" si="48"/>
        <v>7202.1</v>
      </c>
      <c r="P70" s="2">
        <f>ROUND((ROUND((AC70*I70),2)*BC70),2)</f>
        <v>7202.1</v>
      </c>
      <c r="Q70" s="2">
        <f>(ROUND((ROUND(((ET70)*AV70*I70),2)*BB70),2)+ROUND((ROUND(((AE70-(EU70))*AV70*I70),2)*BS70),2))</f>
        <v>0</v>
      </c>
      <c r="R70" s="2">
        <f>(ROUND((ROUND(((EU70)*AV70*I70),2)*BS70),2)+ROUND((ROUND(((AE70-(EU70))*AV70*I70),2)*BS70),2))</f>
        <v>0</v>
      </c>
      <c r="S70" s="2">
        <f t="shared" si="49"/>
        <v>0</v>
      </c>
      <c r="T70" s="2">
        <f t="shared" si="50"/>
        <v>0</v>
      </c>
      <c r="U70" s="2">
        <f t="shared" si="51"/>
        <v>0</v>
      </c>
      <c r="V70" s="2">
        <f t="shared" si="52"/>
        <v>0</v>
      </c>
      <c r="W70" s="2">
        <f t="shared" si="53"/>
        <v>0</v>
      </c>
      <c r="X70" s="2">
        <f>(ROUND((((S70+ROUND((ROUND(((EU70)*AV70*I70),2)*BS70),2))*AT70)/100),2)+ROUND(((ROUND((ROUND(((AE70-(EU70))*AV70*I70),2)*BS70),2)*AT70)/100),2))</f>
        <v>0</v>
      </c>
      <c r="Y70" s="2">
        <f>(ROUND((((S70+ROUND((ROUND(((EU70)*AV70*I70),2)*BS70),2))*AU70)/100),2)+ROUND(((ROUND((ROUND(((AE70-(EU70))*AV70*I70),2)*BS70),2)*AU70)/100),2))</f>
        <v>0</v>
      </c>
      <c r="Z70" s="2"/>
      <c r="AA70" s="2">
        <v>60258621</v>
      </c>
      <c r="AB70" s="2">
        <f t="shared" si="54"/>
        <v>240.07</v>
      </c>
      <c r="AC70" s="2">
        <f>ROUND((ES70),6)</f>
        <v>240.07</v>
      </c>
      <c r="AD70" s="2">
        <f>ROUND((((ET70)-(EU70))+AE70),6)</f>
        <v>0</v>
      </c>
      <c r="AE70" s="2">
        <f>ROUND((EU70),6)</f>
        <v>0</v>
      </c>
      <c r="AF70" s="2">
        <f>ROUND((EV70),6)</f>
        <v>0</v>
      </c>
      <c r="AG70" s="2">
        <f t="shared" si="55"/>
        <v>0</v>
      </c>
      <c r="AH70" s="2">
        <f>(EW70)</f>
        <v>0</v>
      </c>
      <c r="AI70" s="2">
        <f>(EX70)</f>
        <v>0</v>
      </c>
      <c r="AJ70" s="2">
        <f t="shared" si="56"/>
        <v>0</v>
      </c>
      <c r="AK70" s="2">
        <v>240.07</v>
      </c>
      <c r="AL70" s="2">
        <v>240.07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3</v>
      </c>
      <c r="BJ70" s="2" t="s">
        <v>3</v>
      </c>
      <c r="BK70" s="2"/>
      <c r="BL70" s="2"/>
      <c r="BM70" s="2">
        <v>746</v>
      </c>
      <c r="BN70" s="2">
        <v>0</v>
      </c>
      <c r="BO70" s="2" t="s">
        <v>3</v>
      </c>
      <c r="BP70" s="2">
        <v>0</v>
      </c>
      <c r="BQ70" s="2">
        <v>130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0</v>
      </c>
      <c r="CA70" s="2">
        <v>0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3</v>
      </c>
      <c r="CO70" s="2">
        <v>0</v>
      </c>
      <c r="CP70" s="2">
        <f t="shared" si="57"/>
        <v>7202.1</v>
      </c>
      <c r="CQ70" s="2">
        <f>ROUND((ROUND((AC70*1),2)*BC70),2)</f>
        <v>240.07</v>
      </c>
      <c r="CR70" s="2">
        <f>(ROUND((ROUND(((ET70)*AV70*1),2)*BB70),2)+ROUND((ROUND(((AE70-(EU70))*AV70*1),2)*BS70),2))</f>
        <v>0</v>
      </c>
      <c r="CS70" s="2">
        <f>(ROUND((ROUND(((EU70)*AV70*1),2)*BS70),2)+ROUND((ROUND(((AE70-(EU70))*AV70*1),2)*BS70),2))</f>
        <v>0</v>
      </c>
      <c r="CT70" s="2">
        <f t="shared" si="58"/>
        <v>0</v>
      </c>
      <c r="CU70" s="2">
        <f t="shared" si="59"/>
        <v>0</v>
      </c>
      <c r="CV70" s="2">
        <f t="shared" si="60"/>
        <v>0</v>
      </c>
      <c r="CW70" s="2">
        <f t="shared" si="61"/>
        <v>0</v>
      </c>
      <c r="CX70" s="2">
        <f t="shared" si="62"/>
        <v>0</v>
      </c>
      <c r="CY70" s="2">
        <f>(ROUND((((S70+ROUND((ROUND(((EU70)*AV70*1),2)*BS70),2))*AT70)/100),2)+ROUND(((ROUND((ROUND(((AE70-(EU70))*AV70*1),2)*BS70),2)*AT70)/100),2))</f>
        <v>0</v>
      </c>
      <c r="CZ70" s="2">
        <f>(ROUND((((S70+ROUND((ROUND(((EU70)*AV70*1),2)*BS70),2))*AU70)/100),2)+ROUND(((ROUND((ROUND(((AE70-(EU70))*AV70*1),2)*BS70),2)*AU70)/100),2))</f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1013</v>
      </c>
      <c r="DV70" s="2" t="s">
        <v>32</v>
      </c>
      <c r="DW70" s="2" t="s">
        <v>32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60088638</v>
      </c>
      <c r="EF70" s="2">
        <v>130</v>
      </c>
      <c r="EG70" s="2" t="s">
        <v>33</v>
      </c>
      <c r="EH70" s="2">
        <v>0</v>
      </c>
      <c r="EI70" s="2" t="s">
        <v>3</v>
      </c>
      <c r="EJ70" s="2">
        <v>3</v>
      </c>
      <c r="EK70" s="2">
        <v>746</v>
      </c>
      <c r="EL70" s="2" t="s">
        <v>34</v>
      </c>
      <c r="EM70" s="2" t="s">
        <v>35</v>
      </c>
      <c r="EN70" s="2"/>
      <c r="EO70" s="2" t="s">
        <v>3</v>
      </c>
      <c r="EP70" s="2"/>
      <c r="EQ70" s="2">
        <v>0</v>
      </c>
      <c r="ER70" s="2">
        <v>0</v>
      </c>
      <c r="ES70" s="2">
        <v>240.07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f>P70</f>
        <v>7202.1</v>
      </c>
      <c r="FS70" s="2">
        <v>0</v>
      </c>
      <c r="FT70" s="2"/>
      <c r="FU70" s="2"/>
      <c r="FV70" s="2"/>
      <c r="FW70" s="2"/>
      <c r="FX70" s="2">
        <v>0</v>
      </c>
      <c r="FY70" s="2">
        <v>0</v>
      </c>
      <c r="FZ70" s="2"/>
      <c r="GA70" s="2" t="s">
        <v>110</v>
      </c>
      <c r="GB70" s="2"/>
      <c r="GC70" s="2"/>
      <c r="GD70" s="2">
        <v>1</v>
      </c>
      <c r="GE70" s="2"/>
      <c r="GF70" s="2">
        <v>1183657808</v>
      </c>
      <c r="GG70" s="2">
        <v>2</v>
      </c>
      <c r="GH70" s="2">
        <v>4</v>
      </c>
      <c r="GI70" s="2">
        <v>-2</v>
      </c>
      <c r="GJ70" s="2">
        <v>0</v>
      </c>
      <c r="GK70" s="2">
        <v>0</v>
      </c>
      <c r="GL70" s="2">
        <f t="shared" si="63"/>
        <v>0</v>
      </c>
      <c r="GM70" s="2">
        <f t="shared" si="64"/>
        <v>7202.1</v>
      </c>
      <c r="GN70" s="2">
        <f t="shared" si="65"/>
        <v>0</v>
      </c>
      <c r="GO70" s="2">
        <f t="shared" si="66"/>
        <v>0</v>
      </c>
      <c r="GP70" s="2">
        <f t="shared" si="67"/>
        <v>0</v>
      </c>
      <c r="GQ70" s="2"/>
      <c r="GR70" s="2">
        <v>0</v>
      </c>
      <c r="GS70" s="2">
        <v>2</v>
      </c>
      <c r="GT70" s="2">
        <v>0</v>
      </c>
      <c r="GU70" s="2" t="s">
        <v>3</v>
      </c>
      <c r="GV70" s="2">
        <f t="shared" si="68"/>
        <v>0</v>
      </c>
      <c r="GW70" s="2">
        <v>1</v>
      </c>
      <c r="GX70" s="2">
        <f t="shared" si="69"/>
        <v>0</v>
      </c>
      <c r="GY70" s="2"/>
      <c r="GZ70" s="2"/>
      <c r="HA70" s="2">
        <v>0</v>
      </c>
      <c r="HB70" s="2">
        <v>0</v>
      </c>
      <c r="HC70" s="2">
        <f t="shared" si="70"/>
        <v>0</v>
      </c>
      <c r="HD70" s="2"/>
      <c r="HE70" s="2" t="s">
        <v>37</v>
      </c>
      <c r="HF70" s="2" t="s">
        <v>38</v>
      </c>
      <c r="HG70" s="2"/>
      <c r="HH70" s="2"/>
      <c r="HI70" s="2"/>
      <c r="HJ70" s="2"/>
      <c r="HK70" s="2"/>
      <c r="HL70" s="2"/>
      <c r="HM70" s="2" t="s">
        <v>3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17</v>
      </c>
      <c r="B71" s="3">
        <v>1</v>
      </c>
      <c r="E71" s="3" t="s">
        <v>107</v>
      </c>
      <c r="F71" s="3" t="s">
        <v>108</v>
      </c>
      <c r="G71" s="3" t="s">
        <v>109</v>
      </c>
      <c r="H71" s="3" t="s">
        <v>32</v>
      </c>
      <c r="I71" s="3">
        <v>30</v>
      </c>
      <c r="J71" s="3">
        <v>0</v>
      </c>
      <c r="K71" s="3">
        <v>30</v>
      </c>
      <c r="O71" s="3">
        <f t="shared" si="48"/>
        <v>55168.09</v>
      </c>
      <c r="P71" s="3">
        <f>ROUND((ROUND((AC71*I71),2)*BC71),2)</f>
        <v>55168.09</v>
      </c>
      <c r="Q71" s="3">
        <f>(ROUND((ROUND(((ET71)*AV71*I71),2)*BB71),2)+ROUND((ROUND(((AE71-(EU71))*AV71*I71),2)*BS71),2))</f>
        <v>0</v>
      </c>
      <c r="R71" s="3">
        <f>(ROUND((ROUND(((EU71)*AV71*I71),2)*BS71),2)+ROUND((ROUND(((AE71-(EU71))*AV71*I71),2)*BS71),2))</f>
        <v>0</v>
      </c>
      <c r="S71" s="3">
        <f t="shared" si="49"/>
        <v>0</v>
      </c>
      <c r="T71" s="3">
        <f t="shared" si="50"/>
        <v>0</v>
      </c>
      <c r="U71" s="3">
        <f t="shared" si="51"/>
        <v>0</v>
      </c>
      <c r="V71" s="3">
        <f t="shared" si="52"/>
        <v>0</v>
      </c>
      <c r="W71" s="3">
        <f t="shared" si="53"/>
        <v>0</v>
      </c>
      <c r="X71" s="3">
        <f>(ROUND((((S71+ROUND((ROUND(((EU71)*AV71*I71),2)*BS71),2))*AT71)/100),2)+ROUND(((ROUND((ROUND(((AE71-(EU71))*AV71*I71),2)*BS71),2)*AT71)/100),2))</f>
        <v>0</v>
      </c>
      <c r="Y71" s="3">
        <f>(ROUND((((S71+ROUND((ROUND(((EU71)*AV71*I71),2)*BS71),2))*AU71)/100),2)+ROUND(((ROUND((ROUND(((AE71-(EU71))*AV71*I71),2)*BS71),2)*AU71)/100),2))</f>
        <v>0</v>
      </c>
      <c r="AA71" s="3">
        <v>60258618</v>
      </c>
      <c r="AB71" s="3">
        <f t="shared" si="54"/>
        <v>240.07</v>
      </c>
      <c r="AC71" s="3">
        <f>ROUND((ES71),6)</f>
        <v>240.07</v>
      </c>
      <c r="AD71" s="3">
        <f>ROUND((((ET71)-(EU71))+AE71),6)</f>
        <v>0</v>
      </c>
      <c r="AE71" s="3">
        <f>ROUND((EU71),6)</f>
        <v>0</v>
      </c>
      <c r="AF71" s="3">
        <f>ROUND((EV71),6)</f>
        <v>0</v>
      </c>
      <c r="AG71" s="3">
        <f t="shared" si="55"/>
        <v>0</v>
      </c>
      <c r="AH71" s="3">
        <f>(EW71)</f>
        <v>0</v>
      </c>
      <c r="AI71" s="3">
        <f>(EX71)</f>
        <v>0</v>
      </c>
      <c r="AJ71" s="3">
        <f t="shared" si="56"/>
        <v>0</v>
      </c>
      <c r="AK71" s="3">
        <v>240.07</v>
      </c>
      <c r="AL71" s="3">
        <v>240.07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7.66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3</v>
      </c>
      <c r="BJ71" s="3" t="s">
        <v>3</v>
      </c>
      <c r="BM71" s="3">
        <v>746</v>
      </c>
      <c r="BN71" s="3">
        <v>0</v>
      </c>
      <c r="BO71" s="3" t="s">
        <v>3</v>
      </c>
      <c r="BP71" s="3">
        <v>0</v>
      </c>
      <c r="BQ71" s="3">
        <v>130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0</v>
      </c>
      <c r="CA71" s="3">
        <v>0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3</v>
      </c>
      <c r="CO71" s="3">
        <v>0</v>
      </c>
      <c r="CP71" s="3">
        <f t="shared" si="57"/>
        <v>55168.09</v>
      </c>
      <c r="CQ71" s="3">
        <f>ROUND((ROUND((AC71*1),2)*BC71),2)</f>
        <v>1838.94</v>
      </c>
      <c r="CR71" s="3">
        <f>(ROUND((ROUND(((ET71)*AV71*1),2)*BB71),2)+ROUND((ROUND(((AE71-(EU71))*AV71*1),2)*BS71),2))</f>
        <v>0</v>
      </c>
      <c r="CS71" s="3">
        <f>(ROUND((ROUND(((EU71)*AV71*1),2)*BS71),2)+ROUND((ROUND(((AE71-(EU71))*AV71*1),2)*BS71),2))</f>
        <v>0</v>
      </c>
      <c r="CT71" s="3">
        <f t="shared" si="58"/>
        <v>0</v>
      </c>
      <c r="CU71" s="3">
        <f t="shared" si="59"/>
        <v>0</v>
      </c>
      <c r="CV71" s="3">
        <f t="shared" si="60"/>
        <v>0</v>
      </c>
      <c r="CW71" s="3">
        <f t="shared" si="61"/>
        <v>0</v>
      </c>
      <c r="CX71" s="3">
        <f t="shared" si="62"/>
        <v>0</v>
      </c>
      <c r="CY71" s="3">
        <f>(ROUND((((S71+ROUND((ROUND(((EU71)*AV71*1),2)*BS71),2))*AT71)/100),2)+ROUND(((ROUND((ROUND(((AE71-(EU71))*AV71*1),2)*BS71),2)*AT71)/100),2))</f>
        <v>0</v>
      </c>
      <c r="CZ71" s="3">
        <f>(ROUND((((S71+ROUND((ROUND(((EU71)*AV71*1),2)*BS71),2))*AU71)/100),2)+ROUND(((ROUND((ROUND(((AE71-(EU71))*AV71*1),2)*BS71),2)*AU71)/100),2))</f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1013</v>
      </c>
      <c r="DV71" s="3" t="s">
        <v>32</v>
      </c>
      <c r="DW71" s="3" t="s">
        <v>32</v>
      </c>
      <c r="DX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60088638</v>
      </c>
      <c r="EF71" s="3">
        <v>130</v>
      </c>
      <c r="EG71" s="3" t="s">
        <v>33</v>
      </c>
      <c r="EH71" s="3">
        <v>0</v>
      </c>
      <c r="EI71" s="3" t="s">
        <v>3</v>
      </c>
      <c r="EJ71" s="3">
        <v>3</v>
      </c>
      <c r="EK71" s="3">
        <v>746</v>
      </c>
      <c r="EL71" s="3" t="s">
        <v>34</v>
      </c>
      <c r="EM71" s="3" t="s">
        <v>35</v>
      </c>
      <c r="EO71" s="3" t="s">
        <v>3</v>
      </c>
      <c r="EQ71" s="3">
        <v>0</v>
      </c>
      <c r="ER71" s="3">
        <v>0</v>
      </c>
      <c r="ES71" s="3">
        <v>240.07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5</v>
      </c>
      <c r="FC71" s="3">
        <v>1</v>
      </c>
      <c r="FD71" s="3">
        <v>18</v>
      </c>
      <c r="FF71" s="3">
        <v>2117</v>
      </c>
      <c r="FQ71" s="3">
        <v>0</v>
      </c>
      <c r="FR71" s="3">
        <f>P71</f>
        <v>55168.09</v>
      </c>
      <c r="FS71" s="3">
        <v>0</v>
      </c>
      <c r="FX71" s="3">
        <v>0</v>
      </c>
      <c r="FY71" s="3">
        <v>0</v>
      </c>
      <c r="GA71" s="3" t="s">
        <v>110</v>
      </c>
      <c r="GD71" s="3">
        <v>1</v>
      </c>
      <c r="GF71" s="3">
        <v>1183657808</v>
      </c>
      <c r="GG71" s="3">
        <v>2</v>
      </c>
      <c r="GH71" s="3">
        <v>3</v>
      </c>
      <c r="GI71" s="3">
        <v>5</v>
      </c>
      <c r="GJ71" s="3">
        <v>0</v>
      </c>
      <c r="GK71" s="3">
        <v>0</v>
      </c>
      <c r="GL71" s="3">
        <f t="shared" si="63"/>
        <v>0</v>
      </c>
      <c r="GM71" s="3">
        <f t="shared" si="64"/>
        <v>55168.09</v>
      </c>
      <c r="GN71" s="3">
        <f t="shared" si="65"/>
        <v>0</v>
      </c>
      <c r="GO71" s="3">
        <f t="shared" si="66"/>
        <v>0</v>
      </c>
      <c r="GP71" s="3">
        <f t="shared" si="67"/>
        <v>0</v>
      </c>
      <c r="GR71" s="3">
        <v>1</v>
      </c>
      <c r="GS71" s="3">
        <v>1</v>
      </c>
      <c r="GT71" s="3">
        <v>0</v>
      </c>
      <c r="GU71" s="3" t="s">
        <v>3</v>
      </c>
      <c r="GV71" s="3">
        <f t="shared" si="68"/>
        <v>0</v>
      </c>
      <c r="GW71" s="3">
        <v>1</v>
      </c>
      <c r="GX71" s="3">
        <f t="shared" si="69"/>
        <v>0</v>
      </c>
      <c r="HA71" s="3">
        <v>0</v>
      </c>
      <c r="HB71" s="3">
        <v>0</v>
      </c>
      <c r="HC71" s="3">
        <f t="shared" si="70"/>
        <v>0</v>
      </c>
      <c r="HE71" s="3" t="s">
        <v>37</v>
      </c>
      <c r="HF71" s="3" t="s">
        <v>38</v>
      </c>
      <c r="HM71" s="3" t="s">
        <v>3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17</v>
      </c>
      <c r="B72" s="2">
        <v>1</v>
      </c>
      <c r="C72" s="2">
        <f>ROW(SmtRes!A41)</f>
        <v>41</v>
      </c>
      <c r="D72" s="2">
        <f>ROW(EtalonRes!A49)</f>
        <v>49</v>
      </c>
      <c r="E72" s="2" t="s">
        <v>111</v>
      </c>
      <c r="F72" s="2" t="s">
        <v>112</v>
      </c>
      <c r="G72" s="2" t="s">
        <v>113</v>
      </c>
      <c r="H72" s="2" t="s">
        <v>21</v>
      </c>
      <c r="I72" s="2">
        <v>86</v>
      </c>
      <c r="J72" s="2">
        <v>0</v>
      </c>
      <c r="K72" s="2">
        <v>86</v>
      </c>
      <c r="L72" s="2"/>
      <c r="M72" s="2"/>
      <c r="N72" s="2"/>
      <c r="O72" s="2">
        <f t="shared" si="48"/>
        <v>1140.19</v>
      </c>
      <c r="P72" s="2">
        <f>ROUND((ROUND((AC72*AW72*I72),2)*BC72),2)</f>
        <v>90.3</v>
      </c>
      <c r="Q72" s="2">
        <f>(ROUND((ROUND((((ET72*1.1))*AV72*I72),2)*BB72),2)+ROUND((ROUND(((AE72-((EU72*1.1)))*AV72*I72),2)*BS72),2))</f>
        <v>0</v>
      </c>
      <c r="R72" s="2">
        <f>(ROUND((ROUND((((EU72*1.1))*AV72*I72),2)*BS72),2)+ROUND((ROUND(((AE72-((EU72*1.1)))*AV72*I72),2)*BS72),2))</f>
        <v>0</v>
      </c>
      <c r="S72" s="2">
        <f t="shared" si="49"/>
        <v>1049.8900000000001</v>
      </c>
      <c r="T72" s="2">
        <f t="shared" si="50"/>
        <v>0</v>
      </c>
      <c r="U72" s="2">
        <f t="shared" si="51"/>
        <v>83.198808</v>
      </c>
      <c r="V72" s="2">
        <f t="shared" si="52"/>
        <v>0</v>
      </c>
      <c r="W72" s="2">
        <f t="shared" si="53"/>
        <v>0</v>
      </c>
      <c r="X72" s="2">
        <f>(ROUND((((S72+ROUND((ROUND((((EU72*1.1))*AV72*I72),2)*BS72),2))*AT72)/100),2)+ROUND(((ROUND((ROUND(((AE72-((EU72*1.1)))*AV72*I72),2)*BS72),2)*AT72)/100),2))</f>
        <v>944.9</v>
      </c>
      <c r="Y72" s="2">
        <f>(ROUND((((S72+ROUND((ROUND((((EU72*1.1))*AV72*I72),2)*BS72),2))*AU72)/100),2)+ROUND(((ROUND((ROUND(((AE72-((EU72*1.1)))*AV72*I72),2)*BS72),2)*AU72)/100),2))</f>
        <v>482.95</v>
      </c>
      <c r="Z72" s="2"/>
      <c r="AA72" s="2">
        <v>60258621</v>
      </c>
      <c r="AB72" s="2">
        <f t="shared" si="54"/>
        <v>12.71</v>
      </c>
      <c r="AC72" s="2">
        <f>ROUND(((ES72*1)),6)</f>
        <v>1.05</v>
      </c>
      <c r="AD72" s="2">
        <f>ROUND(((((ET72*1.1))-((EU72*1.1)))+AE72),6)</f>
        <v>0</v>
      </c>
      <c r="AE72" s="2">
        <f>ROUND(((EU72*1.1)),6)</f>
        <v>0</v>
      </c>
      <c r="AF72" s="2">
        <f>ROUND(((EV72*1.1)),6)</f>
        <v>11.66</v>
      </c>
      <c r="AG72" s="2">
        <f t="shared" si="55"/>
        <v>0</v>
      </c>
      <c r="AH72" s="2">
        <f>((EW72*1.1))</f>
        <v>0.92400000000000004</v>
      </c>
      <c r="AI72" s="2">
        <f>((EX72*1.1))</f>
        <v>0</v>
      </c>
      <c r="AJ72" s="2">
        <f t="shared" si="56"/>
        <v>0</v>
      </c>
      <c r="AK72" s="2">
        <v>11.65</v>
      </c>
      <c r="AL72" s="2">
        <v>1.05</v>
      </c>
      <c r="AM72" s="2">
        <v>0</v>
      </c>
      <c r="AN72" s="2">
        <v>0</v>
      </c>
      <c r="AO72" s="2">
        <v>10.6</v>
      </c>
      <c r="AP72" s="2">
        <v>0</v>
      </c>
      <c r="AQ72" s="2">
        <v>0.84</v>
      </c>
      <c r="AR72" s="2">
        <v>0</v>
      </c>
      <c r="AS72" s="2">
        <v>0</v>
      </c>
      <c r="AT72" s="2">
        <v>90</v>
      </c>
      <c r="AU72" s="2">
        <v>46</v>
      </c>
      <c r="AV72" s="2">
        <v>1.0469999999999999</v>
      </c>
      <c r="AW72" s="2">
        <v>1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114</v>
      </c>
      <c r="BK72" s="2"/>
      <c r="BL72" s="2"/>
      <c r="BM72" s="2">
        <v>68</v>
      </c>
      <c r="BN72" s="2">
        <v>58973116</v>
      </c>
      <c r="BO72" s="2" t="s">
        <v>112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363</v>
      </c>
      <c r="CO72" s="2">
        <v>0</v>
      </c>
      <c r="CP72" s="2">
        <f t="shared" si="57"/>
        <v>1140.19</v>
      </c>
      <c r="CQ72" s="2">
        <f>ROUND((ROUND((AC72*AW72*1),2)*BC72),2)</f>
        <v>1.05</v>
      </c>
      <c r="CR72" s="2">
        <f>(ROUND((ROUND((((ET72*1.1))*AV72*1),2)*BB72),2)+ROUND((ROUND(((AE72-((EU72*1.1)))*AV72*1),2)*BS72),2))</f>
        <v>0</v>
      </c>
      <c r="CS72" s="2">
        <f>(ROUND((ROUND((((EU72*1.1))*AV72*1),2)*BS72),2)+ROUND((ROUND(((AE72-((EU72*1.1)))*AV72*1),2)*BS72),2))</f>
        <v>0</v>
      </c>
      <c r="CT72" s="2">
        <f t="shared" si="58"/>
        <v>12.21</v>
      </c>
      <c r="CU72" s="2">
        <f t="shared" si="59"/>
        <v>0</v>
      </c>
      <c r="CV72" s="2">
        <f t="shared" si="60"/>
        <v>0.96742799999999995</v>
      </c>
      <c r="CW72" s="2">
        <f t="shared" si="61"/>
        <v>0</v>
      </c>
      <c r="CX72" s="2">
        <f t="shared" si="62"/>
        <v>0</v>
      </c>
      <c r="CY72" s="2">
        <f>(ROUND((((S72+ROUND((ROUND((((EU72*1.1))*AV72*1),2)*BS72),2))*AT72)/100),2)+ROUND(((ROUND((ROUND(((AE72-((EU72*1.1)))*AV72*1),2)*BS72),2)*AT72)/100),2))</f>
        <v>944.9</v>
      </c>
      <c r="CZ72" s="2">
        <f>(ROUND((((S72+ROUND((ROUND((((EU72*1.1))*AV72*1),2)*BS72),2))*AU72)/100),2)+ROUND(((ROUND((ROUND(((AE72-((EU72*1.1)))*AV72*1),2)*BS72),2)*AU72)/100),2))</f>
        <v>482.95</v>
      </c>
      <c r="DA72" s="2"/>
      <c r="DB72" s="2">
        <v>21</v>
      </c>
      <c r="DC72" s="2" t="s">
        <v>3</v>
      </c>
      <c r="DD72" s="2" t="s">
        <v>23</v>
      </c>
      <c r="DE72" s="2" t="s">
        <v>24</v>
      </c>
      <c r="DF72" s="2" t="s">
        <v>24</v>
      </c>
      <c r="DG72" s="2" t="s">
        <v>24</v>
      </c>
      <c r="DH72" s="2" t="s">
        <v>3</v>
      </c>
      <c r="DI72" s="2" t="s">
        <v>24</v>
      </c>
      <c r="DJ72" s="2" t="s">
        <v>24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21</v>
      </c>
      <c r="DW72" s="2" t="s">
        <v>21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60088532</v>
      </c>
      <c r="EF72" s="2">
        <v>40</v>
      </c>
      <c r="EG72" s="2" t="s">
        <v>25</v>
      </c>
      <c r="EH72" s="2">
        <v>0</v>
      </c>
      <c r="EI72" s="2" t="s">
        <v>3</v>
      </c>
      <c r="EJ72" s="2">
        <v>2</v>
      </c>
      <c r="EK72" s="2">
        <v>68</v>
      </c>
      <c r="EL72" s="2" t="s">
        <v>46</v>
      </c>
      <c r="EM72" s="2" t="s">
        <v>47</v>
      </c>
      <c r="EN72" s="2"/>
      <c r="EO72" s="2" t="s">
        <v>28</v>
      </c>
      <c r="EP72" s="2"/>
      <c r="EQ72" s="2">
        <v>0</v>
      </c>
      <c r="ER72" s="2">
        <v>11.65</v>
      </c>
      <c r="ES72" s="2">
        <v>1.05</v>
      </c>
      <c r="ET72" s="2">
        <v>0</v>
      </c>
      <c r="EU72" s="2">
        <v>0</v>
      </c>
      <c r="EV72" s="2">
        <v>10.6</v>
      </c>
      <c r="EW72" s="2">
        <v>0.84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0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1491178318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63"/>
        <v>0</v>
      </c>
      <c r="GM72" s="2">
        <f t="shared" si="64"/>
        <v>2568.04</v>
      </c>
      <c r="GN72" s="2">
        <f t="shared" si="65"/>
        <v>0</v>
      </c>
      <c r="GO72" s="2">
        <f t="shared" si="66"/>
        <v>2568.04</v>
      </c>
      <c r="GP72" s="2">
        <f t="shared" si="67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68"/>
        <v>0</v>
      </c>
      <c r="GW72" s="2">
        <v>1</v>
      </c>
      <c r="GX72" s="2">
        <f t="shared" si="69"/>
        <v>0</v>
      </c>
      <c r="GY72" s="2"/>
      <c r="GZ72" s="2"/>
      <c r="HA72" s="2">
        <v>0</v>
      </c>
      <c r="HB72" s="2">
        <v>0</v>
      </c>
      <c r="HC72" s="2">
        <f t="shared" si="70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17</v>
      </c>
      <c r="B73" s="3">
        <v>1</v>
      </c>
      <c r="C73" s="3">
        <f>ROW(SmtRes!A42)</f>
        <v>42</v>
      </c>
      <c r="D73" s="3">
        <f>ROW(EtalonRes!A50)</f>
        <v>50</v>
      </c>
      <c r="E73" s="3" t="s">
        <v>111</v>
      </c>
      <c r="F73" s="3" t="s">
        <v>112</v>
      </c>
      <c r="G73" s="3" t="s">
        <v>113</v>
      </c>
      <c r="H73" s="3" t="s">
        <v>21</v>
      </c>
      <c r="I73" s="3">
        <v>86</v>
      </c>
      <c r="J73" s="3">
        <v>0</v>
      </c>
      <c r="K73" s="3">
        <v>86</v>
      </c>
      <c r="O73" s="3">
        <f t="shared" si="48"/>
        <v>58626.52</v>
      </c>
      <c r="P73" s="3">
        <f>ROUND((ROUND((AC73*AW73*I73),2)*BC73),2)</f>
        <v>893.07</v>
      </c>
      <c r="Q73" s="3">
        <f>(ROUND((ROUND((((ET73*1.1))*AV73*I73),2)*BB73),2)+ROUND((ROUND(((AE73-((EU73*1.1)))*AV73*I73),2)*BS73),2))</f>
        <v>0</v>
      </c>
      <c r="R73" s="3">
        <f>(ROUND((ROUND((((EU73*1.1))*AV73*I73),2)*BS73),2)+ROUND((ROUND(((AE73-((EU73*1.1)))*AV73*I73),2)*BS73),2))</f>
        <v>0</v>
      </c>
      <c r="S73" s="3">
        <f t="shared" si="49"/>
        <v>57733.45</v>
      </c>
      <c r="T73" s="3">
        <f t="shared" si="50"/>
        <v>0</v>
      </c>
      <c r="U73" s="3">
        <f t="shared" si="51"/>
        <v>83.198808</v>
      </c>
      <c r="V73" s="3">
        <f t="shared" si="52"/>
        <v>0</v>
      </c>
      <c r="W73" s="3">
        <f t="shared" si="53"/>
        <v>0</v>
      </c>
      <c r="X73" s="3">
        <f>(ROUND((((S73+ROUND((ROUND((((EU73*1.1))*AV73*I73),2)*BS73),2))*AT73)/100),2)+ROUND(((ROUND((ROUND(((AE73-((EU73*1.1)))*AV73*I73),2)*BS73),2)*AT73)/100),2))</f>
        <v>51960.11</v>
      </c>
      <c r="Y73" s="3">
        <f>(ROUND((((S73+ROUND((ROUND((((EU73*1.1))*AV73*I73),2)*BS73),2))*AU73)/100),2)+ROUND(((ROUND((ROUND(((AE73-((EU73*1.1)))*AV73*I73),2)*BS73),2)*AU73)/100),2))</f>
        <v>26557.39</v>
      </c>
      <c r="AA73" s="3">
        <v>60258618</v>
      </c>
      <c r="AB73" s="3">
        <f t="shared" si="54"/>
        <v>12.71</v>
      </c>
      <c r="AC73" s="3">
        <f>ROUND(((ES73*1)),6)</f>
        <v>1.05</v>
      </c>
      <c r="AD73" s="3">
        <f>ROUND(((((ET73*1.1))-((EU73*1.1)))+AE73),6)</f>
        <v>0</v>
      </c>
      <c r="AE73" s="3">
        <f>ROUND(((EU73*1.1)),6)</f>
        <v>0</v>
      </c>
      <c r="AF73" s="3">
        <f>ROUND(((EV73*1.1)),6)</f>
        <v>11.66</v>
      </c>
      <c r="AG73" s="3">
        <f t="shared" si="55"/>
        <v>0</v>
      </c>
      <c r="AH73" s="3">
        <f>((EW73*1.1))</f>
        <v>0.92400000000000004</v>
      </c>
      <c r="AI73" s="3">
        <f>((EX73*1.1))</f>
        <v>0</v>
      </c>
      <c r="AJ73" s="3">
        <f t="shared" si="56"/>
        <v>0</v>
      </c>
      <c r="AK73" s="3">
        <v>11.65</v>
      </c>
      <c r="AL73" s="3">
        <v>1.05</v>
      </c>
      <c r="AM73" s="3">
        <v>0</v>
      </c>
      <c r="AN73" s="3">
        <v>0</v>
      </c>
      <c r="AO73" s="3">
        <v>10.6</v>
      </c>
      <c r="AP73" s="3">
        <v>0</v>
      </c>
      <c r="AQ73" s="3">
        <v>0.84</v>
      </c>
      <c r="AR73" s="3">
        <v>0</v>
      </c>
      <c r="AS73" s="3">
        <v>0</v>
      </c>
      <c r="AT73" s="3">
        <v>90</v>
      </c>
      <c r="AU73" s="3">
        <v>46</v>
      </c>
      <c r="AV73" s="3">
        <v>1.0469999999999999</v>
      </c>
      <c r="AW73" s="3">
        <v>1</v>
      </c>
      <c r="AZ73" s="3">
        <v>1</v>
      </c>
      <c r="BA73" s="3">
        <v>54.99</v>
      </c>
      <c r="BB73" s="3">
        <v>1</v>
      </c>
      <c r="BC73" s="3">
        <v>9.89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0</v>
      </c>
      <c r="BI73" s="3">
        <v>2</v>
      </c>
      <c r="BJ73" s="3" t="s">
        <v>114</v>
      </c>
      <c r="BM73" s="3">
        <v>68</v>
      </c>
      <c r="BN73" s="3">
        <v>58973116</v>
      </c>
      <c r="BO73" s="3" t="s">
        <v>112</v>
      </c>
      <c r="BP73" s="3">
        <v>1</v>
      </c>
      <c r="BQ73" s="3">
        <v>40</v>
      </c>
      <c r="BR73" s="3">
        <v>0</v>
      </c>
      <c r="BS73" s="3">
        <v>54.99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90</v>
      </c>
      <c r="CA73" s="3">
        <v>46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363</v>
      </c>
      <c r="CO73" s="3">
        <v>0</v>
      </c>
      <c r="CP73" s="3">
        <f t="shared" si="57"/>
        <v>58626.52</v>
      </c>
      <c r="CQ73" s="3">
        <f>ROUND((ROUND((AC73*AW73*1),2)*BC73),2)</f>
        <v>10.38</v>
      </c>
      <c r="CR73" s="3">
        <f>(ROUND((ROUND((((ET73*1.1))*AV73*1),2)*BB73),2)+ROUND((ROUND(((AE73-((EU73*1.1)))*AV73*1),2)*BS73),2))</f>
        <v>0</v>
      </c>
      <c r="CS73" s="3">
        <f>(ROUND((ROUND((((EU73*1.1))*AV73*1),2)*BS73),2)+ROUND((ROUND(((AE73-((EU73*1.1)))*AV73*1),2)*BS73),2))</f>
        <v>0</v>
      </c>
      <c r="CT73" s="3">
        <f t="shared" si="58"/>
        <v>671.43</v>
      </c>
      <c r="CU73" s="3">
        <f t="shared" si="59"/>
        <v>0</v>
      </c>
      <c r="CV73" s="3">
        <f t="shared" si="60"/>
        <v>0.96742799999999995</v>
      </c>
      <c r="CW73" s="3">
        <f t="shared" si="61"/>
        <v>0</v>
      </c>
      <c r="CX73" s="3">
        <f t="shared" si="62"/>
        <v>0</v>
      </c>
      <c r="CY73" s="3">
        <f>(ROUND((((S73+ROUND((ROUND((((EU73*1.1))*AV73*1),2)*BS73),2))*AT73)/100),2)+ROUND(((ROUND((ROUND(((AE73-((EU73*1.1)))*AV73*1),2)*BS73),2)*AT73)/100),2))</f>
        <v>51960.11</v>
      </c>
      <c r="CZ73" s="3">
        <f>(ROUND((((S73+ROUND((ROUND((((EU73*1.1))*AV73*1),2)*BS73),2))*AU73)/100),2)+ROUND(((ROUND((ROUND(((AE73-((EU73*1.1)))*AV73*1),2)*BS73),2)*AU73)/100),2))</f>
        <v>26557.39</v>
      </c>
      <c r="DB73" s="3">
        <v>22</v>
      </c>
      <c r="DC73" s="3" t="s">
        <v>3</v>
      </c>
      <c r="DD73" s="3" t="s">
        <v>23</v>
      </c>
      <c r="DE73" s="3" t="s">
        <v>24</v>
      </c>
      <c r="DF73" s="3" t="s">
        <v>24</v>
      </c>
      <c r="DG73" s="3" t="s">
        <v>24</v>
      </c>
      <c r="DH73" s="3" t="s">
        <v>3</v>
      </c>
      <c r="DI73" s="3" t="s">
        <v>24</v>
      </c>
      <c r="DJ73" s="3" t="s">
        <v>24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1013</v>
      </c>
      <c r="DV73" s="3" t="s">
        <v>21</v>
      </c>
      <c r="DW73" s="3" t="s">
        <v>21</v>
      </c>
      <c r="DX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60088532</v>
      </c>
      <c r="EF73" s="3">
        <v>40</v>
      </c>
      <c r="EG73" s="3" t="s">
        <v>25</v>
      </c>
      <c r="EH73" s="3">
        <v>0</v>
      </c>
      <c r="EI73" s="3" t="s">
        <v>3</v>
      </c>
      <c r="EJ73" s="3">
        <v>2</v>
      </c>
      <c r="EK73" s="3">
        <v>68</v>
      </c>
      <c r="EL73" s="3" t="s">
        <v>46</v>
      </c>
      <c r="EM73" s="3" t="s">
        <v>47</v>
      </c>
      <c r="EO73" s="3" t="s">
        <v>28</v>
      </c>
      <c r="EQ73" s="3">
        <v>0</v>
      </c>
      <c r="ER73" s="3">
        <v>11.65</v>
      </c>
      <c r="ES73" s="3">
        <v>1.05</v>
      </c>
      <c r="ET73" s="3">
        <v>0</v>
      </c>
      <c r="EU73" s="3">
        <v>0</v>
      </c>
      <c r="EV73" s="3">
        <v>10.6</v>
      </c>
      <c r="EW73" s="3">
        <v>0.84</v>
      </c>
      <c r="EX73" s="3">
        <v>0</v>
      </c>
      <c r="EY73" s="3">
        <v>0</v>
      </c>
      <c r="FQ73" s="3">
        <v>0</v>
      </c>
      <c r="FR73" s="3">
        <v>0</v>
      </c>
      <c r="FS73" s="3">
        <v>0</v>
      </c>
      <c r="FX73" s="3">
        <v>90</v>
      </c>
      <c r="FY73" s="3">
        <v>46</v>
      </c>
      <c r="GA73" s="3" t="s">
        <v>3</v>
      </c>
      <c r="GD73" s="3">
        <v>1</v>
      </c>
      <c r="GF73" s="3">
        <v>1491178318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63"/>
        <v>0</v>
      </c>
      <c r="GM73" s="3">
        <f t="shared" si="64"/>
        <v>137144.01999999999</v>
      </c>
      <c r="GN73" s="3">
        <f t="shared" si="65"/>
        <v>0</v>
      </c>
      <c r="GO73" s="3">
        <f t="shared" si="66"/>
        <v>137144.01999999999</v>
      </c>
      <c r="GP73" s="3">
        <f t="shared" si="67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68"/>
        <v>0</v>
      </c>
      <c r="GW73" s="3">
        <v>1</v>
      </c>
      <c r="GX73" s="3">
        <f t="shared" si="69"/>
        <v>0</v>
      </c>
      <c r="HA73" s="3">
        <v>0</v>
      </c>
      <c r="HB73" s="3">
        <v>0</v>
      </c>
      <c r="HC73" s="3">
        <f t="shared" si="70"/>
        <v>0</v>
      </c>
      <c r="HE73" s="3" t="s">
        <v>3</v>
      </c>
      <c r="HF73" s="3" t="s">
        <v>3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17</v>
      </c>
      <c r="B74" s="2">
        <v>1</v>
      </c>
      <c r="C74" s="2"/>
      <c r="D74" s="2"/>
      <c r="E74" s="2" t="s">
        <v>115</v>
      </c>
      <c r="F74" s="2" t="s">
        <v>116</v>
      </c>
      <c r="G74" s="2" t="s">
        <v>117</v>
      </c>
      <c r="H74" s="2" t="s">
        <v>32</v>
      </c>
      <c r="I74" s="2">
        <v>86</v>
      </c>
      <c r="J74" s="2">
        <v>0</v>
      </c>
      <c r="K74" s="2">
        <v>86</v>
      </c>
      <c r="L74" s="2"/>
      <c r="M74" s="2"/>
      <c r="N74" s="2"/>
      <c r="O74" s="2">
        <f t="shared" si="48"/>
        <v>20927.240000000002</v>
      </c>
      <c r="P74" s="2">
        <f>ROUND((ROUND((AC74*I74),2)*BC74),2)</f>
        <v>20927.240000000002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49"/>
        <v>0</v>
      </c>
      <c r="T74" s="2">
        <f t="shared" si="50"/>
        <v>0</v>
      </c>
      <c r="U74" s="2">
        <f t="shared" si="51"/>
        <v>0</v>
      </c>
      <c r="V74" s="2">
        <f t="shared" si="52"/>
        <v>0</v>
      </c>
      <c r="W74" s="2">
        <f t="shared" si="53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60258621</v>
      </c>
      <c r="AB74" s="2">
        <f t="shared" si="54"/>
        <v>243.34</v>
      </c>
      <c r="AC74" s="2">
        <f>ROUND((ES74),6)</f>
        <v>243.34</v>
      </c>
      <c r="AD74" s="2">
        <f>ROUND((((ET74)-(EU74))+AE74),6)</f>
        <v>0</v>
      </c>
      <c r="AE74" s="2">
        <f>ROUND((EU74),6)</f>
        <v>0</v>
      </c>
      <c r="AF74" s="2">
        <f>ROUND((EV74),6)</f>
        <v>0</v>
      </c>
      <c r="AG74" s="2">
        <f t="shared" si="55"/>
        <v>0</v>
      </c>
      <c r="AH74" s="2">
        <f>(EW74)</f>
        <v>0</v>
      </c>
      <c r="AI74" s="2">
        <f>(EX74)</f>
        <v>0</v>
      </c>
      <c r="AJ74" s="2">
        <f t="shared" si="56"/>
        <v>0</v>
      </c>
      <c r="AK74" s="2">
        <v>243.33999999999997</v>
      </c>
      <c r="AL74" s="2">
        <v>243.33999999999997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3</v>
      </c>
      <c r="BJ74" s="2" t="s">
        <v>3</v>
      </c>
      <c r="BK74" s="2"/>
      <c r="BL74" s="2"/>
      <c r="BM74" s="2">
        <v>746</v>
      </c>
      <c r="BN74" s="2">
        <v>0</v>
      </c>
      <c r="BO74" s="2" t="s">
        <v>3</v>
      </c>
      <c r="BP74" s="2">
        <v>0</v>
      </c>
      <c r="BQ74" s="2">
        <v>130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0</v>
      </c>
      <c r="CA74" s="2">
        <v>0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3</v>
      </c>
      <c r="CO74" s="2">
        <v>0</v>
      </c>
      <c r="CP74" s="2">
        <f t="shared" si="57"/>
        <v>20927.240000000002</v>
      </c>
      <c r="CQ74" s="2">
        <f>ROUND((ROUND((AC74*1),2)*BC74),2)</f>
        <v>243.34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58"/>
        <v>0</v>
      </c>
      <c r="CU74" s="2">
        <f t="shared" si="59"/>
        <v>0</v>
      </c>
      <c r="CV74" s="2">
        <f t="shared" si="60"/>
        <v>0</v>
      </c>
      <c r="CW74" s="2">
        <f t="shared" si="61"/>
        <v>0</v>
      </c>
      <c r="CX74" s="2">
        <f t="shared" si="62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1013</v>
      </c>
      <c r="DV74" s="2" t="s">
        <v>32</v>
      </c>
      <c r="DW74" s="2" t="s">
        <v>32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60088638</v>
      </c>
      <c r="EF74" s="2">
        <v>130</v>
      </c>
      <c r="EG74" s="2" t="s">
        <v>33</v>
      </c>
      <c r="EH74" s="2">
        <v>0</v>
      </c>
      <c r="EI74" s="2" t="s">
        <v>3</v>
      </c>
      <c r="EJ74" s="2">
        <v>3</v>
      </c>
      <c r="EK74" s="2">
        <v>746</v>
      </c>
      <c r="EL74" s="2" t="s">
        <v>34</v>
      </c>
      <c r="EM74" s="2" t="s">
        <v>35</v>
      </c>
      <c r="EN74" s="2"/>
      <c r="EO74" s="2" t="s">
        <v>3</v>
      </c>
      <c r="EP74" s="2"/>
      <c r="EQ74" s="2">
        <v>0</v>
      </c>
      <c r="ER74" s="2">
        <v>0</v>
      </c>
      <c r="ES74" s="2">
        <v>243.33999999999997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f>P74</f>
        <v>20927.240000000002</v>
      </c>
      <c r="FS74" s="2">
        <v>0</v>
      </c>
      <c r="FT74" s="2"/>
      <c r="FU74" s="2"/>
      <c r="FV74" s="2"/>
      <c r="FW74" s="2"/>
      <c r="FX74" s="2">
        <v>0</v>
      </c>
      <c r="FY74" s="2">
        <v>0</v>
      </c>
      <c r="FZ74" s="2"/>
      <c r="GA74" s="2" t="s">
        <v>118</v>
      </c>
      <c r="GB74" s="2"/>
      <c r="GC74" s="2"/>
      <c r="GD74" s="2">
        <v>1</v>
      </c>
      <c r="GE74" s="2"/>
      <c r="GF74" s="2">
        <v>1074458305</v>
      </c>
      <c r="GG74" s="2">
        <v>2</v>
      </c>
      <c r="GH74" s="2">
        <v>4</v>
      </c>
      <c r="GI74" s="2">
        <v>-2</v>
      </c>
      <c r="GJ74" s="2">
        <v>0</v>
      </c>
      <c r="GK74" s="2">
        <v>0</v>
      </c>
      <c r="GL74" s="2">
        <f t="shared" si="63"/>
        <v>0</v>
      </c>
      <c r="GM74" s="2">
        <f t="shared" si="64"/>
        <v>20927.240000000002</v>
      </c>
      <c r="GN74" s="2">
        <f t="shared" si="65"/>
        <v>0</v>
      </c>
      <c r="GO74" s="2">
        <f t="shared" si="66"/>
        <v>0</v>
      </c>
      <c r="GP74" s="2">
        <f t="shared" si="67"/>
        <v>0</v>
      </c>
      <c r="GQ74" s="2"/>
      <c r="GR74" s="2">
        <v>0</v>
      </c>
      <c r="GS74" s="2">
        <v>2</v>
      </c>
      <c r="GT74" s="2">
        <v>0</v>
      </c>
      <c r="GU74" s="2" t="s">
        <v>3</v>
      </c>
      <c r="GV74" s="2">
        <f t="shared" si="68"/>
        <v>0</v>
      </c>
      <c r="GW74" s="2">
        <v>1</v>
      </c>
      <c r="GX74" s="2">
        <f t="shared" si="69"/>
        <v>0</v>
      </c>
      <c r="GY74" s="2"/>
      <c r="GZ74" s="2"/>
      <c r="HA74" s="2">
        <v>0</v>
      </c>
      <c r="HB74" s="2">
        <v>0</v>
      </c>
      <c r="HC74" s="2">
        <f t="shared" si="70"/>
        <v>0</v>
      </c>
      <c r="HD74" s="2"/>
      <c r="HE74" s="2" t="s">
        <v>37</v>
      </c>
      <c r="HF74" s="2" t="s">
        <v>38</v>
      </c>
      <c r="HG74" s="2"/>
      <c r="HH74" s="2"/>
      <c r="HI74" s="2"/>
      <c r="HJ74" s="2"/>
      <c r="HK74" s="2"/>
      <c r="HL74" s="2"/>
      <c r="HM74" s="2" t="s">
        <v>3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17</v>
      </c>
      <c r="B75" s="3">
        <v>1</v>
      </c>
      <c r="E75" s="3" t="s">
        <v>115</v>
      </c>
      <c r="F75" s="3" t="s">
        <v>116</v>
      </c>
      <c r="G75" s="3" t="s">
        <v>117</v>
      </c>
      <c r="H75" s="3" t="s">
        <v>32</v>
      </c>
      <c r="I75" s="3">
        <v>86</v>
      </c>
      <c r="J75" s="3">
        <v>0</v>
      </c>
      <c r="K75" s="3">
        <v>86</v>
      </c>
      <c r="O75" s="3">
        <f t="shared" si="48"/>
        <v>160302.66</v>
      </c>
      <c r="P75" s="3">
        <f>ROUND((ROUND((AC75*I75),2)*BC75),2)</f>
        <v>160302.66</v>
      </c>
      <c r="Q75" s="3">
        <f>(ROUND((ROUND(((ET75)*AV75*I75),2)*BB75),2)+ROUND((ROUND(((AE75-(EU75))*AV75*I75),2)*BS75),2))</f>
        <v>0</v>
      </c>
      <c r="R75" s="3">
        <f>(ROUND((ROUND(((EU75)*AV75*I75),2)*BS75),2)+ROUND((ROUND(((AE75-(EU75))*AV75*I75),2)*BS75),2))</f>
        <v>0</v>
      </c>
      <c r="S75" s="3">
        <f t="shared" si="49"/>
        <v>0</v>
      </c>
      <c r="T75" s="3">
        <f t="shared" si="50"/>
        <v>0</v>
      </c>
      <c r="U75" s="3">
        <f t="shared" si="51"/>
        <v>0</v>
      </c>
      <c r="V75" s="3">
        <f t="shared" si="52"/>
        <v>0</v>
      </c>
      <c r="W75" s="3">
        <f t="shared" si="53"/>
        <v>0</v>
      </c>
      <c r="X75" s="3">
        <f>(ROUND((((S75+ROUND((ROUND(((EU75)*AV75*I75),2)*BS75),2))*AT75)/100),2)+ROUND(((ROUND((ROUND(((AE75-(EU75))*AV75*I75),2)*BS75),2)*AT75)/100),2))</f>
        <v>0</v>
      </c>
      <c r="Y75" s="3">
        <f>(ROUND((((S75+ROUND((ROUND(((EU75)*AV75*I75),2)*BS75),2))*AU75)/100),2)+ROUND(((ROUND((ROUND(((AE75-(EU75))*AV75*I75),2)*BS75),2)*AU75)/100),2))</f>
        <v>0</v>
      </c>
      <c r="AA75" s="3">
        <v>60258618</v>
      </c>
      <c r="AB75" s="3">
        <f t="shared" si="54"/>
        <v>243.34</v>
      </c>
      <c r="AC75" s="3">
        <f>ROUND((ES75),6)</f>
        <v>243.34</v>
      </c>
      <c r="AD75" s="3">
        <f>ROUND((((ET75)-(EU75))+AE75),6)</f>
        <v>0</v>
      </c>
      <c r="AE75" s="3">
        <f>ROUND((EU75),6)</f>
        <v>0</v>
      </c>
      <c r="AF75" s="3">
        <f>ROUND((EV75),6)</f>
        <v>0</v>
      </c>
      <c r="AG75" s="3">
        <f t="shared" si="55"/>
        <v>0</v>
      </c>
      <c r="AH75" s="3">
        <f>(EW75)</f>
        <v>0</v>
      </c>
      <c r="AI75" s="3">
        <f>(EX75)</f>
        <v>0</v>
      </c>
      <c r="AJ75" s="3">
        <f t="shared" si="56"/>
        <v>0</v>
      </c>
      <c r="AK75" s="3">
        <v>243.33999999999997</v>
      </c>
      <c r="AL75" s="3">
        <v>243.33999999999997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7.66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3</v>
      </c>
      <c r="BJ75" s="3" t="s">
        <v>3</v>
      </c>
      <c r="BM75" s="3">
        <v>746</v>
      </c>
      <c r="BN75" s="3">
        <v>0</v>
      </c>
      <c r="BO75" s="3" t="s">
        <v>3</v>
      </c>
      <c r="BP75" s="3">
        <v>0</v>
      </c>
      <c r="BQ75" s="3">
        <v>130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0</v>
      </c>
      <c r="CA75" s="3">
        <v>0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3</v>
      </c>
      <c r="CO75" s="3">
        <v>0</v>
      </c>
      <c r="CP75" s="3">
        <f t="shared" si="57"/>
        <v>160302.66</v>
      </c>
      <c r="CQ75" s="3">
        <f>ROUND((ROUND((AC75*1),2)*BC75),2)</f>
        <v>1863.98</v>
      </c>
      <c r="CR75" s="3">
        <f>(ROUND((ROUND(((ET75)*AV75*1),2)*BB75),2)+ROUND((ROUND(((AE75-(EU75))*AV75*1),2)*BS75),2))</f>
        <v>0</v>
      </c>
      <c r="CS75" s="3">
        <f>(ROUND((ROUND(((EU75)*AV75*1),2)*BS75),2)+ROUND((ROUND(((AE75-(EU75))*AV75*1),2)*BS75),2))</f>
        <v>0</v>
      </c>
      <c r="CT75" s="3">
        <f t="shared" si="58"/>
        <v>0</v>
      </c>
      <c r="CU75" s="3">
        <f t="shared" si="59"/>
        <v>0</v>
      </c>
      <c r="CV75" s="3">
        <f t="shared" si="60"/>
        <v>0</v>
      </c>
      <c r="CW75" s="3">
        <f t="shared" si="61"/>
        <v>0</v>
      </c>
      <c r="CX75" s="3">
        <f t="shared" si="62"/>
        <v>0</v>
      </c>
      <c r="CY75" s="3">
        <f>(ROUND((((S75+ROUND((ROUND(((EU75)*AV75*1),2)*BS75),2))*AT75)/100),2)+ROUND(((ROUND((ROUND(((AE75-(EU75))*AV75*1),2)*BS75),2)*AT75)/100),2))</f>
        <v>0</v>
      </c>
      <c r="CZ75" s="3">
        <f>(ROUND((((S75+ROUND((ROUND(((EU75)*AV75*1),2)*BS75),2))*AU75)/100),2)+ROUND(((ROUND((ROUND(((AE75-(EU75))*AV75*1),2)*BS75),2)*AU75)/100),2))</f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1013</v>
      </c>
      <c r="DV75" s="3" t="s">
        <v>32</v>
      </c>
      <c r="DW75" s="3" t="s">
        <v>32</v>
      </c>
      <c r="DX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60088638</v>
      </c>
      <c r="EF75" s="3">
        <v>130</v>
      </c>
      <c r="EG75" s="3" t="s">
        <v>33</v>
      </c>
      <c r="EH75" s="3">
        <v>0</v>
      </c>
      <c r="EI75" s="3" t="s">
        <v>3</v>
      </c>
      <c r="EJ75" s="3">
        <v>3</v>
      </c>
      <c r="EK75" s="3">
        <v>746</v>
      </c>
      <c r="EL75" s="3" t="s">
        <v>34</v>
      </c>
      <c r="EM75" s="3" t="s">
        <v>35</v>
      </c>
      <c r="EO75" s="3" t="s">
        <v>3</v>
      </c>
      <c r="EQ75" s="3">
        <v>0</v>
      </c>
      <c r="ER75" s="3">
        <v>243.33999999999997</v>
      </c>
      <c r="ES75" s="3">
        <v>243.33999999999997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5</v>
      </c>
      <c r="FC75" s="3">
        <v>1</v>
      </c>
      <c r="FD75" s="3">
        <v>18</v>
      </c>
      <c r="FF75" s="3">
        <v>2145.87</v>
      </c>
      <c r="FQ75" s="3">
        <v>0</v>
      </c>
      <c r="FR75" s="3">
        <f>P75</f>
        <v>160302.66</v>
      </c>
      <c r="FS75" s="3">
        <v>0</v>
      </c>
      <c r="FX75" s="3">
        <v>0</v>
      </c>
      <c r="FY75" s="3">
        <v>0</v>
      </c>
      <c r="GA75" s="3" t="s">
        <v>118</v>
      </c>
      <c r="GD75" s="3">
        <v>1</v>
      </c>
      <c r="GF75" s="3">
        <v>1074458305</v>
      </c>
      <c r="GG75" s="3">
        <v>2</v>
      </c>
      <c r="GH75" s="3">
        <v>3</v>
      </c>
      <c r="GI75" s="3">
        <v>5</v>
      </c>
      <c r="GJ75" s="3">
        <v>0</v>
      </c>
      <c r="GK75" s="3">
        <v>0</v>
      </c>
      <c r="GL75" s="3">
        <f t="shared" si="63"/>
        <v>0</v>
      </c>
      <c r="GM75" s="3">
        <f t="shared" si="64"/>
        <v>160302.66</v>
      </c>
      <c r="GN75" s="3">
        <f t="shared" si="65"/>
        <v>0</v>
      </c>
      <c r="GO75" s="3">
        <f t="shared" si="66"/>
        <v>0</v>
      </c>
      <c r="GP75" s="3">
        <f t="shared" si="67"/>
        <v>0</v>
      </c>
      <c r="GR75" s="3">
        <v>1</v>
      </c>
      <c r="GS75" s="3">
        <v>1</v>
      </c>
      <c r="GT75" s="3">
        <v>0</v>
      </c>
      <c r="GU75" s="3" t="s">
        <v>3</v>
      </c>
      <c r="GV75" s="3">
        <f t="shared" si="68"/>
        <v>0</v>
      </c>
      <c r="GW75" s="3">
        <v>1</v>
      </c>
      <c r="GX75" s="3">
        <f t="shared" si="69"/>
        <v>0</v>
      </c>
      <c r="HA75" s="3">
        <v>0</v>
      </c>
      <c r="HB75" s="3">
        <v>0</v>
      </c>
      <c r="HC75" s="3">
        <f t="shared" si="70"/>
        <v>0</v>
      </c>
      <c r="HE75" s="3" t="s">
        <v>37</v>
      </c>
      <c r="HF75" s="3" t="s">
        <v>38</v>
      </c>
      <c r="HM75" s="3" t="s">
        <v>3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17</v>
      </c>
      <c r="B76" s="2">
        <v>1</v>
      </c>
      <c r="C76" s="2">
        <f>ROW(SmtRes!A43)</f>
        <v>43</v>
      </c>
      <c r="D76" s="2">
        <f>ROW(EtalonRes!A51)</f>
        <v>51</v>
      </c>
      <c r="E76" s="2" t="s">
        <v>119</v>
      </c>
      <c r="F76" s="2" t="s">
        <v>112</v>
      </c>
      <c r="G76" s="2" t="s">
        <v>113</v>
      </c>
      <c r="H76" s="2" t="s">
        <v>21</v>
      </c>
      <c r="I76" s="2">
        <v>90</v>
      </c>
      <c r="J76" s="2">
        <v>0</v>
      </c>
      <c r="K76" s="2">
        <v>90</v>
      </c>
      <c r="L76" s="2"/>
      <c r="M76" s="2"/>
      <c r="N76" s="2"/>
      <c r="O76" s="2">
        <f t="shared" si="48"/>
        <v>1193.22</v>
      </c>
      <c r="P76" s="2">
        <f>ROUND((ROUND((AC76*AW76*I76),2)*BC76),2)</f>
        <v>94.5</v>
      </c>
      <c r="Q76" s="2">
        <f>(ROUND((ROUND((((ET76*1.1))*AV76*I76),2)*BB76),2)+ROUND((ROUND(((AE76-((EU76*1.1)))*AV76*I76),2)*BS76),2))</f>
        <v>0</v>
      </c>
      <c r="R76" s="2">
        <f>(ROUND((ROUND((((EU76*1.1))*AV76*I76),2)*BS76),2)+ROUND((ROUND(((AE76-((EU76*1.1)))*AV76*I76),2)*BS76),2))</f>
        <v>0</v>
      </c>
      <c r="S76" s="2">
        <f t="shared" si="49"/>
        <v>1098.72</v>
      </c>
      <c r="T76" s="2">
        <f t="shared" si="50"/>
        <v>0</v>
      </c>
      <c r="U76" s="2">
        <f t="shared" si="51"/>
        <v>87.068519999999992</v>
      </c>
      <c r="V76" s="2">
        <f t="shared" si="52"/>
        <v>0</v>
      </c>
      <c r="W76" s="2">
        <f t="shared" si="53"/>
        <v>0</v>
      </c>
      <c r="X76" s="2">
        <f>(ROUND((((S76+ROUND((ROUND((((EU76*1.1))*AV76*I76),2)*BS76),2))*AT76)/100),2)+ROUND(((ROUND((ROUND(((AE76-((EU76*1.1)))*AV76*I76),2)*BS76),2)*AT76)/100),2))</f>
        <v>988.85</v>
      </c>
      <c r="Y76" s="2">
        <f>(ROUND((((S76+ROUND((ROUND((((EU76*1.1))*AV76*I76),2)*BS76),2))*AU76)/100),2)+ROUND(((ROUND((ROUND(((AE76-((EU76*1.1)))*AV76*I76),2)*BS76),2)*AU76)/100),2))</f>
        <v>505.41</v>
      </c>
      <c r="Z76" s="2"/>
      <c r="AA76" s="2">
        <v>60258621</v>
      </c>
      <c r="AB76" s="2">
        <f t="shared" si="54"/>
        <v>12.71</v>
      </c>
      <c r="AC76" s="2">
        <f>ROUND(((ES76*1)),6)</f>
        <v>1.05</v>
      </c>
      <c r="AD76" s="2">
        <f>ROUND(((((ET76*1.1))-((EU76*1.1)))+AE76),6)</f>
        <v>0</v>
      </c>
      <c r="AE76" s="2">
        <f>ROUND(((EU76*1.1)),6)</f>
        <v>0</v>
      </c>
      <c r="AF76" s="2">
        <f>ROUND(((EV76*1.1)),6)</f>
        <v>11.66</v>
      </c>
      <c r="AG76" s="2">
        <f t="shared" si="55"/>
        <v>0</v>
      </c>
      <c r="AH76" s="2">
        <f>((EW76*1.1))</f>
        <v>0.92400000000000004</v>
      </c>
      <c r="AI76" s="2">
        <f>((EX76*1.1))</f>
        <v>0</v>
      </c>
      <c r="AJ76" s="2">
        <f t="shared" si="56"/>
        <v>0</v>
      </c>
      <c r="AK76" s="2">
        <v>11.65</v>
      </c>
      <c r="AL76" s="2">
        <v>1.05</v>
      </c>
      <c r="AM76" s="2">
        <v>0</v>
      </c>
      <c r="AN76" s="2">
        <v>0</v>
      </c>
      <c r="AO76" s="2">
        <v>10.6</v>
      </c>
      <c r="AP76" s="2">
        <v>0</v>
      </c>
      <c r="AQ76" s="2">
        <v>0.84</v>
      </c>
      <c r="AR76" s="2">
        <v>0</v>
      </c>
      <c r="AS76" s="2">
        <v>0</v>
      </c>
      <c r="AT76" s="2">
        <v>90</v>
      </c>
      <c r="AU76" s="2">
        <v>46</v>
      </c>
      <c r="AV76" s="2">
        <v>1.0469999999999999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0</v>
      </c>
      <c r="BI76" s="2">
        <v>2</v>
      </c>
      <c r="BJ76" s="2" t="s">
        <v>114</v>
      </c>
      <c r="BK76" s="2"/>
      <c r="BL76" s="2"/>
      <c r="BM76" s="2">
        <v>68</v>
      </c>
      <c r="BN76" s="2">
        <v>58973116</v>
      </c>
      <c r="BO76" s="2" t="s">
        <v>112</v>
      </c>
      <c r="BP76" s="2">
        <v>1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363</v>
      </c>
      <c r="CO76" s="2">
        <v>0</v>
      </c>
      <c r="CP76" s="2">
        <f t="shared" si="57"/>
        <v>1193.22</v>
      </c>
      <c r="CQ76" s="2">
        <f>ROUND((ROUND((AC76*AW76*1),2)*BC76),2)</f>
        <v>1.05</v>
      </c>
      <c r="CR76" s="2">
        <f>(ROUND((ROUND((((ET76*1.1))*AV76*1),2)*BB76),2)+ROUND((ROUND(((AE76-((EU76*1.1)))*AV76*1),2)*BS76),2))</f>
        <v>0</v>
      </c>
      <c r="CS76" s="2">
        <f>(ROUND((ROUND((((EU76*1.1))*AV76*1),2)*BS76),2)+ROUND((ROUND(((AE76-((EU76*1.1)))*AV76*1),2)*BS76),2))</f>
        <v>0</v>
      </c>
      <c r="CT76" s="2">
        <f t="shared" si="58"/>
        <v>12.21</v>
      </c>
      <c r="CU76" s="2">
        <f t="shared" si="59"/>
        <v>0</v>
      </c>
      <c r="CV76" s="2">
        <f t="shared" si="60"/>
        <v>0.96742799999999995</v>
      </c>
      <c r="CW76" s="2">
        <f t="shared" si="61"/>
        <v>0</v>
      </c>
      <c r="CX76" s="2">
        <f t="shared" si="62"/>
        <v>0</v>
      </c>
      <c r="CY76" s="2">
        <f>(ROUND((((S76+ROUND((ROUND((((EU76*1.1))*AV76*1),2)*BS76),2))*AT76)/100),2)+ROUND(((ROUND((ROUND(((AE76-((EU76*1.1)))*AV76*1),2)*BS76),2)*AT76)/100),2))</f>
        <v>988.85</v>
      </c>
      <c r="CZ76" s="2">
        <f>(ROUND((((S76+ROUND((ROUND((((EU76*1.1))*AV76*1),2)*BS76),2))*AU76)/100),2)+ROUND(((ROUND((ROUND(((AE76-((EU76*1.1)))*AV76*1),2)*BS76),2)*AU76)/100),2))</f>
        <v>505.41</v>
      </c>
      <c r="DA76" s="2"/>
      <c r="DB76" s="2">
        <v>23</v>
      </c>
      <c r="DC76" s="2" t="s">
        <v>3</v>
      </c>
      <c r="DD76" s="2" t="s">
        <v>23</v>
      </c>
      <c r="DE76" s="2" t="s">
        <v>24</v>
      </c>
      <c r="DF76" s="2" t="s">
        <v>24</v>
      </c>
      <c r="DG76" s="2" t="s">
        <v>24</v>
      </c>
      <c r="DH76" s="2" t="s">
        <v>3</v>
      </c>
      <c r="DI76" s="2" t="s">
        <v>24</v>
      </c>
      <c r="DJ76" s="2" t="s">
        <v>24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1013</v>
      </c>
      <c r="DV76" s="2" t="s">
        <v>21</v>
      </c>
      <c r="DW76" s="2" t="s">
        <v>21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60088532</v>
      </c>
      <c r="EF76" s="2">
        <v>40</v>
      </c>
      <c r="EG76" s="2" t="s">
        <v>25</v>
      </c>
      <c r="EH76" s="2">
        <v>0</v>
      </c>
      <c r="EI76" s="2" t="s">
        <v>3</v>
      </c>
      <c r="EJ76" s="2">
        <v>2</v>
      </c>
      <c r="EK76" s="2">
        <v>68</v>
      </c>
      <c r="EL76" s="2" t="s">
        <v>46</v>
      </c>
      <c r="EM76" s="2" t="s">
        <v>47</v>
      </c>
      <c r="EN76" s="2"/>
      <c r="EO76" s="2" t="s">
        <v>28</v>
      </c>
      <c r="EP76" s="2"/>
      <c r="EQ76" s="2">
        <v>0</v>
      </c>
      <c r="ER76" s="2">
        <v>11.65</v>
      </c>
      <c r="ES76" s="2">
        <v>1.05</v>
      </c>
      <c r="ET76" s="2">
        <v>0</v>
      </c>
      <c r="EU76" s="2">
        <v>0</v>
      </c>
      <c r="EV76" s="2">
        <v>10.6</v>
      </c>
      <c r="EW76" s="2">
        <v>0.84</v>
      </c>
      <c r="EX76" s="2">
        <v>0</v>
      </c>
      <c r="EY76" s="2">
        <v>0</v>
      </c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1491178318</v>
      </c>
      <c r="GG76" s="2">
        <v>2</v>
      </c>
      <c r="GH76" s="2">
        <v>1</v>
      </c>
      <c r="GI76" s="2">
        <v>2</v>
      </c>
      <c r="GJ76" s="2">
        <v>0</v>
      </c>
      <c r="GK76" s="2">
        <v>0</v>
      </c>
      <c r="GL76" s="2">
        <f t="shared" si="63"/>
        <v>0</v>
      </c>
      <c r="GM76" s="2">
        <f t="shared" si="64"/>
        <v>2687.48</v>
      </c>
      <c r="GN76" s="2">
        <f t="shared" si="65"/>
        <v>0</v>
      </c>
      <c r="GO76" s="2">
        <f t="shared" si="66"/>
        <v>2687.48</v>
      </c>
      <c r="GP76" s="2">
        <f t="shared" si="67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68"/>
        <v>0</v>
      </c>
      <c r="GW76" s="2">
        <v>1</v>
      </c>
      <c r="GX76" s="2">
        <f t="shared" si="69"/>
        <v>0</v>
      </c>
      <c r="GY76" s="2"/>
      <c r="GZ76" s="2"/>
      <c r="HA76" s="2">
        <v>0</v>
      </c>
      <c r="HB76" s="2">
        <v>0</v>
      </c>
      <c r="HC76" s="2">
        <f t="shared" si="70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17</v>
      </c>
      <c r="B77" s="3">
        <v>1</v>
      </c>
      <c r="C77" s="3">
        <f>ROW(SmtRes!A44)</f>
        <v>44</v>
      </c>
      <c r="D77" s="3">
        <f>ROW(EtalonRes!A52)</f>
        <v>52</v>
      </c>
      <c r="E77" s="3" t="s">
        <v>119</v>
      </c>
      <c r="F77" s="3" t="s">
        <v>112</v>
      </c>
      <c r="G77" s="3" t="s">
        <v>113</v>
      </c>
      <c r="H77" s="3" t="s">
        <v>21</v>
      </c>
      <c r="I77" s="3">
        <v>90</v>
      </c>
      <c r="J77" s="3">
        <v>0</v>
      </c>
      <c r="K77" s="3">
        <v>90</v>
      </c>
      <c r="O77" s="3">
        <f t="shared" si="48"/>
        <v>61353.22</v>
      </c>
      <c r="P77" s="3">
        <f>ROUND((ROUND((AC77*AW77*I77),2)*BC77),2)</f>
        <v>934.61</v>
      </c>
      <c r="Q77" s="3">
        <f>(ROUND((ROUND((((ET77*1.1))*AV77*I77),2)*BB77),2)+ROUND((ROUND(((AE77-((EU77*1.1)))*AV77*I77),2)*BS77),2))</f>
        <v>0</v>
      </c>
      <c r="R77" s="3">
        <f>(ROUND((ROUND((((EU77*1.1))*AV77*I77),2)*BS77),2)+ROUND((ROUND(((AE77-((EU77*1.1)))*AV77*I77),2)*BS77),2))</f>
        <v>0</v>
      </c>
      <c r="S77" s="3">
        <f t="shared" si="49"/>
        <v>60418.61</v>
      </c>
      <c r="T77" s="3">
        <f t="shared" si="50"/>
        <v>0</v>
      </c>
      <c r="U77" s="3">
        <f t="shared" si="51"/>
        <v>87.068519999999992</v>
      </c>
      <c r="V77" s="3">
        <f t="shared" si="52"/>
        <v>0</v>
      </c>
      <c r="W77" s="3">
        <f t="shared" si="53"/>
        <v>0</v>
      </c>
      <c r="X77" s="3">
        <f>(ROUND((((S77+ROUND((ROUND((((EU77*1.1))*AV77*I77),2)*BS77),2))*AT77)/100),2)+ROUND(((ROUND((ROUND(((AE77-((EU77*1.1)))*AV77*I77),2)*BS77),2)*AT77)/100),2))</f>
        <v>54376.75</v>
      </c>
      <c r="Y77" s="3">
        <f>(ROUND((((S77+ROUND((ROUND((((EU77*1.1))*AV77*I77),2)*BS77),2))*AU77)/100),2)+ROUND(((ROUND((ROUND(((AE77-((EU77*1.1)))*AV77*I77),2)*BS77),2)*AU77)/100),2))</f>
        <v>27792.560000000001</v>
      </c>
      <c r="AA77" s="3">
        <v>60258618</v>
      </c>
      <c r="AB77" s="3">
        <f t="shared" si="54"/>
        <v>12.71</v>
      </c>
      <c r="AC77" s="3">
        <f>ROUND(((ES77*1)),6)</f>
        <v>1.05</v>
      </c>
      <c r="AD77" s="3">
        <f>ROUND(((((ET77*1.1))-((EU77*1.1)))+AE77),6)</f>
        <v>0</v>
      </c>
      <c r="AE77" s="3">
        <f>ROUND(((EU77*1.1)),6)</f>
        <v>0</v>
      </c>
      <c r="AF77" s="3">
        <f>ROUND(((EV77*1.1)),6)</f>
        <v>11.66</v>
      </c>
      <c r="AG77" s="3">
        <f t="shared" si="55"/>
        <v>0</v>
      </c>
      <c r="AH77" s="3">
        <f>((EW77*1.1))</f>
        <v>0.92400000000000004</v>
      </c>
      <c r="AI77" s="3">
        <f>((EX77*1.1))</f>
        <v>0</v>
      </c>
      <c r="AJ77" s="3">
        <f t="shared" si="56"/>
        <v>0</v>
      </c>
      <c r="AK77" s="3">
        <v>11.65</v>
      </c>
      <c r="AL77" s="3">
        <v>1.05</v>
      </c>
      <c r="AM77" s="3">
        <v>0</v>
      </c>
      <c r="AN77" s="3">
        <v>0</v>
      </c>
      <c r="AO77" s="3">
        <v>10.6</v>
      </c>
      <c r="AP77" s="3">
        <v>0</v>
      </c>
      <c r="AQ77" s="3">
        <v>0.84</v>
      </c>
      <c r="AR77" s="3">
        <v>0</v>
      </c>
      <c r="AS77" s="3">
        <v>0</v>
      </c>
      <c r="AT77" s="3">
        <v>90</v>
      </c>
      <c r="AU77" s="3">
        <v>46</v>
      </c>
      <c r="AV77" s="3">
        <v>1.0469999999999999</v>
      </c>
      <c r="AW77" s="3">
        <v>1</v>
      </c>
      <c r="AZ77" s="3">
        <v>1</v>
      </c>
      <c r="BA77" s="3">
        <v>54.99</v>
      </c>
      <c r="BB77" s="3">
        <v>1</v>
      </c>
      <c r="BC77" s="3">
        <v>9.89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0</v>
      </c>
      <c r="BI77" s="3">
        <v>2</v>
      </c>
      <c r="BJ77" s="3" t="s">
        <v>114</v>
      </c>
      <c r="BM77" s="3">
        <v>68</v>
      </c>
      <c r="BN77" s="3">
        <v>58973116</v>
      </c>
      <c r="BO77" s="3" t="s">
        <v>112</v>
      </c>
      <c r="BP77" s="3">
        <v>1</v>
      </c>
      <c r="BQ77" s="3">
        <v>40</v>
      </c>
      <c r="BR77" s="3">
        <v>0</v>
      </c>
      <c r="BS77" s="3">
        <v>54.99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90</v>
      </c>
      <c r="CA77" s="3">
        <v>46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363</v>
      </c>
      <c r="CO77" s="3">
        <v>0</v>
      </c>
      <c r="CP77" s="3">
        <f t="shared" si="57"/>
        <v>61353.22</v>
      </c>
      <c r="CQ77" s="3">
        <f>ROUND((ROUND((AC77*AW77*1),2)*BC77),2)</f>
        <v>10.38</v>
      </c>
      <c r="CR77" s="3">
        <f>(ROUND((ROUND((((ET77*1.1))*AV77*1),2)*BB77),2)+ROUND((ROUND(((AE77-((EU77*1.1)))*AV77*1),2)*BS77),2))</f>
        <v>0</v>
      </c>
      <c r="CS77" s="3">
        <f>(ROUND((ROUND((((EU77*1.1))*AV77*1),2)*BS77),2)+ROUND((ROUND(((AE77-((EU77*1.1)))*AV77*1),2)*BS77),2))</f>
        <v>0</v>
      </c>
      <c r="CT77" s="3">
        <f t="shared" si="58"/>
        <v>671.43</v>
      </c>
      <c r="CU77" s="3">
        <f t="shared" si="59"/>
        <v>0</v>
      </c>
      <c r="CV77" s="3">
        <f t="shared" si="60"/>
        <v>0.96742799999999995</v>
      </c>
      <c r="CW77" s="3">
        <f t="shared" si="61"/>
        <v>0</v>
      </c>
      <c r="CX77" s="3">
        <f t="shared" si="62"/>
        <v>0</v>
      </c>
      <c r="CY77" s="3">
        <f>(ROUND((((S77+ROUND((ROUND((((EU77*1.1))*AV77*1),2)*BS77),2))*AT77)/100),2)+ROUND(((ROUND((ROUND(((AE77-((EU77*1.1)))*AV77*1),2)*BS77),2)*AT77)/100),2))</f>
        <v>54376.75</v>
      </c>
      <c r="CZ77" s="3">
        <f>(ROUND((((S77+ROUND((ROUND((((EU77*1.1))*AV77*1),2)*BS77),2))*AU77)/100),2)+ROUND(((ROUND((ROUND(((AE77-((EU77*1.1)))*AV77*1),2)*BS77),2)*AU77)/100),2))</f>
        <v>27792.560000000001</v>
      </c>
      <c r="DB77" s="3">
        <v>24</v>
      </c>
      <c r="DC77" s="3" t="s">
        <v>3</v>
      </c>
      <c r="DD77" s="3" t="s">
        <v>23</v>
      </c>
      <c r="DE77" s="3" t="s">
        <v>24</v>
      </c>
      <c r="DF77" s="3" t="s">
        <v>24</v>
      </c>
      <c r="DG77" s="3" t="s">
        <v>24</v>
      </c>
      <c r="DH77" s="3" t="s">
        <v>3</v>
      </c>
      <c r="DI77" s="3" t="s">
        <v>24</v>
      </c>
      <c r="DJ77" s="3" t="s">
        <v>24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1013</v>
      </c>
      <c r="DV77" s="3" t="s">
        <v>21</v>
      </c>
      <c r="DW77" s="3" t="s">
        <v>21</v>
      </c>
      <c r="DX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60088532</v>
      </c>
      <c r="EF77" s="3">
        <v>40</v>
      </c>
      <c r="EG77" s="3" t="s">
        <v>25</v>
      </c>
      <c r="EH77" s="3">
        <v>0</v>
      </c>
      <c r="EI77" s="3" t="s">
        <v>3</v>
      </c>
      <c r="EJ77" s="3">
        <v>2</v>
      </c>
      <c r="EK77" s="3">
        <v>68</v>
      </c>
      <c r="EL77" s="3" t="s">
        <v>46</v>
      </c>
      <c r="EM77" s="3" t="s">
        <v>47</v>
      </c>
      <c r="EO77" s="3" t="s">
        <v>28</v>
      </c>
      <c r="EQ77" s="3">
        <v>0</v>
      </c>
      <c r="ER77" s="3">
        <v>11.65</v>
      </c>
      <c r="ES77" s="3">
        <v>1.05</v>
      </c>
      <c r="ET77" s="3">
        <v>0</v>
      </c>
      <c r="EU77" s="3">
        <v>0</v>
      </c>
      <c r="EV77" s="3">
        <v>10.6</v>
      </c>
      <c r="EW77" s="3">
        <v>0.84</v>
      </c>
      <c r="EX77" s="3">
        <v>0</v>
      </c>
      <c r="EY77" s="3">
        <v>0</v>
      </c>
      <c r="FQ77" s="3">
        <v>0</v>
      </c>
      <c r="FR77" s="3">
        <v>0</v>
      </c>
      <c r="FS77" s="3">
        <v>0</v>
      </c>
      <c r="FX77" s="3">
        <v>90</v>
      </c>
      <c r="FY77" s="3">
        <v>46</v>
      </c>
      <c r="GA77" s="3" t="s">
        <v>3</v>
      </c>
      <c r="GD77" s="3">
        <v>1</v>
      </c>
      <c r="GF77" s="3">
        <v>1491178318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63"/>
        <v>0</v>
      </c>
      <c r="GM77" s="3">
        <f t="shared" si="64"/>
        <v>143522.53</v>
      </c>
      <c r="GN77" s="3">
        <f t="shared" si="65"/>
        <v>0</v>
      </c>
      <c r="GO77" s="3">
        <f t="shared" si="66"/>
        <v>143522.53</v>
      </c>
      <c r="GP77" s="3">
        <f t="shared" si="67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68"/>
        <v>0</v>
      </c>
      <c r="GW77" s="3">
        <v>1</v>
      </c>
      <c r="GX77" s="3">
        <f t="shared" si="69"/>
        <v>0</v>
      </c>
      <c r="HA77" s="3">
        <v>0</v>
      </c>
      <c r="HB77" s="3">
        <v>0</v>
      </c>
      <c r="HC77" s="3">
        <f t="shared" si="70"/>
        <v>0</v>
      </c>
      <c r="HE77" s="3" t="s">
        <v>3</v>
      </c>
      <c r="HF77" s="3" t="s">
        <v>3</v>
      </c>
      <c r="HM77" s="3" t="s">
        <v>3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17</v>
      </c>
      <c r="B78" s="2">
        <v>1</v>
      </c>
      <c r="C78" s="2"/>
      <c r="D78" s="2"/>
      <c r="E78" s="2" t="s">
        <v>120</v>
      </c>
      <c r="F78" s="2" t="s">
        <v>121</v>
      </c>
      <c r="G78" s="2" t="s">
        <v>122</v>
      </c>
      <c r="H78" s="2" t="s">
        <v>32</v>
      </c>
      <c r="I78" s="2">
        <v>90</v>
      </c>
      <c r="J78" s="2">
        <v>0</v>
      </c>
      <c r="K78" s="2">
        <v>90</v>
      </c>
      <c r="L78" s="2"/>
      <c r="M78" s="2"/>
      <c r="N78" s="2"/>
      <c r="O78" s="2">
        <f t="shared" si="48"/>
        <v>6419.7</v>
      </c>
      <c r="P78" s="2">
        <f>ROUND((ROUND((AC78*I78),2)*BC78),2)</f>
        <v>6419.7</v>
      </c>
      <c r="Q78" s="2">
        <f>(ROUND((ROUND(((ET78)*AV78*I78),2)*BB78),2)+ROUND((ROUND(((AE78-(EU78))*AV78*I78),2)*BS78),2))</f>
        <v>0</v>
      </c>
      <c r="R78" s="2">
        <f>(ROUND((ROUND(((EU78)*AV78*I78),2)*BS78),2)+ROUND((ROUND(((AE78-(EU78))*AV78*I78),2)*BS78),2))</f>
        <v>0</v>
      </c>
      <c r="S78" s="2">
        <f t="shared" si="49"/>
        <v>0</v>
      </c>
      <c r="T78" s="2">
        <f t="shared" si="50"/>
        <v>0</v>
      </c>
      <c r="U78" s="2">
        <f t="shared" si="51"/>
        <v>0</v>
      </c>
      <c r="V78" s="2">
        <f t="shared" si="52"/>
        <v>0</v>
      </c>
      <c r="W78" s="2">
        <f t="shared" si="53"/>
        <v>0</v>
      </c>
      <c r="X78" s="2">
        <f>(ROUND((((S78+ROUND((ROUND(((EU78)*AV78*I78),2)*BS78),2))*AT78)/100),2)+ROUND(((ROUND((ROUND(((AE78-(EU78))*AV78*I78),2)*BS78),2)*AT78)/100),2))</f>
        <v>0</v>
      </c>
      <c r="Y78" s="2">
        <f>(ROUND((((S78+ROUND((ROUND(((EU78)*AV78*I78),2)*BS78),2))*AU78)/100),2)+ROUND(((ROUND((ROUND(((AE78-(EU78))*AV78*I78),2)*BS78),2)*AU78)/100),2))</f>
        <v>0</v>
      </c>
      <c r="Z78" s="2"/>
      <c r="AA78" s="2">
        <v>60258621</v>
      </c>
      <c r="AB78" s="2">
        <f t="shared" si="54"/>
        <v>71.33</v>
      </c>
      <c r="AC78" s="2">
        <f>ROUND((ES78),6)</f>
        <v>71.33</v>
      </c>
      <c r="AD78" s="2">
        <f>ROUND((((ET78)-(EU78))+AE78),6)</f>
        <v>0</v>
      </c>
      <c r="AE78" s="2">
        <f>ROUND((EU78),6)</f>
        <v>0</v>
      </c>
      <c r="AF78" s="2">
        <f>ROUND((EV78),6)</f>
        <v>0</v>
      </c>
      <c r="AG78" s="2">
        <f t="shared" si="55"/>
        <v>0</v>
      </c>
      <c r="AH78" s="2">
        <f>(EW78)</f>
        <v>0</v>
      </c>
      <c r="AI78" s="2">
        <f>(EX78)</f>
        <v>0</v>
      </c>
      <c r="AJ78" s="2">
        <f t="shared" si="56"/>
        <v>0</v>
      </c>
      <c r="AK78" s="2">
        <v>71.33</v>
      </c>
      <c r="AL78" s="2">
        <v>71.33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  <c r="AW78" s="2">
        <v>1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3</v>
      </c>
      <c r="BI78" s="2">
        <v>3</v>
      </c>
      <c r="BJ78" s="2" t="s">
        <v>3</v>
      </c>
      <c r="BK78" s="2"/>
      <c r="BL78" s="2"/>
      <c r="BM78" s="2">
        <v>746</v>
      </c>
      <c r="BN78" s="2">
        <v>0</v>
      </c>
      <c r="BO78" s="2" t="s">
        <v>3</v>
      </c>
      <c r="BP78" s="2">
        <v>0</v>
      </c>
      <c r="BQ78" s="2">
        <v>130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0</v>
      </c>
      <c r="CA78" s="2">
        <v>0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3</v>
      </c>
      <c r="CO78" s="2">
        <v>0</v>
      </c>
      <c r="CP78" s="2">
        <f t="shared" si="57"/>
        <v>6419.7</v>
      </c>
      <c r="CQ78" s="2">
        <f>ROUND((ROUND((AC78*1),2)*BC78),2)</f>
        <v>71.33</v>
      </c>
      <c r="CR78" s="2">
        <f>(ROUND((ROUND(((ET78)*AV78*1),2)*BB78),2)+ROUND((ROUND(((AE78-(EU78))*AV78*1),2)*BS78),2))</f>
        <v>0</v>
      </c>
      <c r="CS78" s="2">
        <f>(ROUND((ROUND(((EU78)*AV78*1),2)*BS78),2)+ROUND((ROUND(((AE78-(EU78))*AV78*1),2)*BS78),2))</f>
        <v>0</v>
      </c>
      <c r="CT78" s="2">
        <f t="shared" si="58"/>
        <v>0</v>
      </c>
      <c r="CU78" s="2">
        <f t="shared" si="59"/>
        <v>0</v>
      </c>
      <c r="CV78" s="2">
        <f t="shared" si="60"/>
        <v>0</v>
      </c>
      <c r="CW78" s="2">
        <f t="shared" si="61"/>
        <v>0</v>
      </c>
      <c r="CX78" s="2">
        <f t="shared" si="62"/>
        <v>0</v>
      </c>
      <c r="CY78" s="2">
        <f>(ROUND((((S78+ROUND((ROUND(((EU78)*AV78*1),2)*BS78),2))*AT78)/100),2)+ROUND(((ROUND((ROUND(((AE78-(EU78))*AV78*1),2)*BS78),2)*AT78)/100),2))</f>
        <v>0</v>
      </c>
      <c r="CZ78" s="2">
        <f>(ROUND((((S78+ROUND((ROUND(((EU78)*AV78*1),2)*BS78),2))*AU78)/100),2)+ROUND(((ROUND((ROUND(((AE78-(EU78))*AV78*1),2)*BS78),2)*AU78)/100),2))</f>
        <v>0</v>
      </c>
      <c r="DA78" s="2"/>
      <c r="DB78" s="2"/>
      <c r="DC78" s="2" t="s">
        <v>3</v>
      </c>
      <c r="DD78" s="2" t="s">
        <v>3</v>
      </c>
      <c r="DE78" s="2" t="s">
        <v>3</v>
      </c>
      <c r="DF78" s="2" t="s">
        <v>3</v>
      </c>
      <c r="DG78" s="2" t="s">
        <v>3</v>
      </c>
      <c r="DH78" s="2" t="s">
        <v>3</v>
      </c>
      <c r="DI78" s="2" t="s">
        <v>3</v>
      </c>
      <c r="DJ78" s="2" t="s">
        <v>3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1013</v>
      </c>
      <c r="DV78" s="2" t="s">
        <v>32</v>
      </c>
      <c r="DW78" s="2" t="s">
        <v>32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60088638</v>
      </c>
      <c r="EF78" s="2">
        <v>130</v>
      </c>
      <c r="EG78" s="2" t="s">
        <v>33</v>
      </c>
      <c r="EH78" s="2">
        <v>0</v>
      </c>
      <c r="EI78" s="2" t="s">
        <v>3</v>
      </c>
      <c r="EJ78" s="2">
        <v>3</v>
      </c>
      <c r="EK78" s="2">
        <v>746</v>
      </c>
      <c r="EL78" s="2" t="s">
        <v>34</v>
      </c>
      <c r="EM78" s="2" t="s">
        <v>35</v>
      </c>
      <c r="EN78" s="2"/>
      <c r="EO78" s="2" t="s">
        <v>3</v>
      </c>
      <c r="EP78" s="2"/>
      <c r="EQ78" s="2">
        <v>0</v>
      </c>
      <c r="ER78" s="2">
        <v>0</v>
      </c>
      <c r="ES78" s="2">
        <v>71.33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f>P78</f>
        <v>6419.7</v>
      </c>
      <c r="FS78" s="2">
        <v>0</v>
      </c>
      <c r="FT78" s="2"/>
      <c r="FU78" s="2"/>
      <c r="FV78" s="2"/>
      <c r="FW78" s="2"/>
      <c r="FX78" s="2">
        <v>0</v>
      </c>
      <c r="FY78" s="2">
        <v>0</v>
      </c>
      <c r="FZ78" s="2"/>
      <c r="GA78" s="2" t="s">
        <v>123</v>
      </c>
      <c r="GB78" s="2"/>
      <c r="GC78" s="2"/>
      <c r="GD78" s="2">
        <v>1</v>
      </c>
      <c r="GE78" s="2"/>
      <c r="GF78" s="2">
        <v>-860310970</v>
      </c>
      <c r="GG78" s="2">
        <v>2</v>
      </c>
      <c r="GH78" s="2">
        <v>4</v>
      </c>
      <c r="GI78" s="2">
        <v>-2</v>
      </c>
      <c r="GJ78" s="2">
        <v>0</v>
      </c>
      <c r="GK78" s="2">
        <v>0</v>
      </c>
      <c r="GL78" s="2">
        <f t="shared" si="63"/>
        <v>0</v>
      </c>
      <c r="GM78" s="2">
        <f t="shared" si="64"/>
        <v>6419.7</v>
      </c>
      <c r="GN78" s="2">
        <f t="shared" si="65"/>
        <v>0</v>
      </c>
      <c r="GO78" s="2">
        <f t="shared" si="66"/>
        <v>0</v>
      </c>
      <c r="GP78" s="2">
        <f t="shared" si="67"/>
        <v>0</v>
      </c>
      <c r="GQ78" s="2"/>
      <c r="GR78" s="2">
        <v>0</v>
      </c>
      <c r="GS78" s="2">
        <v>2</v>
      </c>
      <c r="GT78" s="2">
        <v>0</v>
      </c>
      <c r="GU78" s="2" t="s">
        <v>3</v>
      </c>
      <c r="GV78" s="2">
        <f t="shared" si="68"/>
        <v>0</v>
      </c>
      <c r="GW78" s="2">
        <v>1</v>
      </c>
      <c r="GX78" s="2">
        <f t="shared" si="69"/>
        <v>0</v>
      </c>
      <c r="GY78" s="2"/>
      <c r="GZ78" s="2"/>
      <c r="HA78" s="2">
        <v>0</v>
      </c>
      <c r="HB78" s="2">
        <v>0</v>
      </c>
      <c r="HC78" s="2">
        <f t="shared" si="70"/>
        <v>0</v>
      </c>
      <c r="HD78" s="2"/>
      <c r="HE78" s="2" t="s">
        <v>37</v>
      </c>
      <c r="HF78" s="2" t="s">
        <v>38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17</v>
      </c>
      <c r="B79" s="3">
        <v>1</v>
      </c>
      <c r="E79" s="3" t="s">
        <v>120</v>
      </c>
      <c r="F79" s="3" t="s">
        <v>121</v>
      </c>
      <c r="G79" s="3" t="s">
        <v>122</v>
      </c>
      <c r="H79" s="3" t="s">
        <v>32</v>
      </c>
      <c r="I79" s="3">
        <v>90</v>
      </c>
      <c r="J79" s="3">
        <v>0</v>
      </c>
      <c r="K79" s="3">
        <v>90</v>
      </c>
      <c r="O79" s="3">
        <f t="shared" si="48"/>
        <v>49174.9</v>
      </c>
      <c r="P79" s="3">
        <f>ROUND((ROUND((AC79*I79),2)*BC79),2)</f>
        <v>49174.9</v>
      </c>
      <c r="Q79" s="3">
        <f>(ROUND((ROUND(((ET79)*AV79*I79),2)*BB79),2)+ROUND((ROUND(((AE79-(EU79))*AV79*I79),2)*BS79),2))</f>
        <v>0</v>
      </c>
      <c r="R79" s="3">
        <f>(ROUND((ROUND(((EU79)*AV79*I79),2)*BS79),2)+ROUND((ROUND(((AE79-(EU79))*AV79*I79),2)*BS79),2))</f>
        <v>0</v>
      </c>
      <c r="S79" s="3">
        <f t="shared" si="49"/>
        <v>0</v>
      </c>
      <c r="T79" s="3">
        <f t="shared" si="50"/>
        <v>0</v>
      </c>
      <c r="U79" s="3">
        <f t="shared" si="51"/>
        <v>0</v>
      </c>
      <c r="V79" s="3">
        <f t="shared" si="52"/>
        <v>0</v>
      </c>
      <c r="W79" s="3">
        <f t="shared" si="53"/>
        <v>0</v>
      </c>
      <c r="X79" s="3">
        <f>(ROUND((((S79+ROUND((ROUND(((EU79)*AV79*I79),2)*BS79),2))*AT79)/100),2)+ROUND(((ROUND((ROUND(((AE79-(EU79))*AV79*I79),2)*BS79),2)*AT79)/100),2))</f>
        <v>0</v>
      </c>
      <c r="Y79" s="3">
        <f>(ROUND((((S79+ROUND((ROUND(((EU79)*AV79*I79),2)*BS79),2))*AU79)/100),2)+ROUND(((ROUND((ROUND(((AE79-(EU79))*AV79*I79),2)*BS79),2)*AU79)/100),2))</f>
        <v>0</v>
      </c>
      <c r="AA79" s="3">
        <v>60258618</v>
      </c>
      <c r="AB79" s="3">
        <f t="shared" si="54"/>
        <v>71.33</v>
      </c>
      <c r="AC79" s="3">
        <f>ROUND((ES79),6)</f>
        <v>71.33</v>
      </c>
      <c r="AD79" s="3">
        <f>ROUND((((ET79)-(EU79))+AE79),6)</f>
        <v>0</v>
      </c>
      <c r="AE79" s="3">
        <f>ROUND((EU79),6)</f>
        <v>0</v>
      </c>
      <c r="AF79" s="3">
        <f>ROUND((EV79),6)</f>
        <v>0</v>
      </c>
      <c r="AG79" s="3">
        <f t="shared" si="55"/>
        <v>0</v>
      </c>
      <c r="AH79" s="3">
        <f>(EW79)</f>
        <v>0</v>
      </c>
      <c r="AI79" s="3">
        <f>(EX79)</f>
        <v>0</v>
      </c>
      <c r="AJ79" s="3">
        <f t="shared" si="56"/>
        <v>0</v>
      </c>
      <c r="AK79" s="3">
        <v>71.33</v>
      </c>
      <c r="AL79" s="3">
        <v>71.33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1</v>
      </c>
      <c r="AW79" s="3">
        <v>1</v>
      </c>
      <c r="AZ79" s="3">
        <v>1</v>
      </c>
      <c r="BA79" s="3">
        <v>1</v>
      </c>
      <c r="BB79" s="3">
        <v>1</v>
      </c>
      <c r="BC79" s="3">
        <v>7.66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3</v>
      </c>
      <c r="BI79" s="3">
        <v>3</v>
      </c>
      <c r="BJ79" s="3" t="s">
        <v>3</v>
      </c>
      <c r="BM79" s="3">
        <v>746</v>
      </c>
      <c r="BN79" s="3">
        <v>0</v>
      </c>
      <c r="BO79" s="3" t="s">
        <v>3</v>
      </c>
      <c r="BP79" s="3">
        <v>0</v>
      </c>
      <c r="BQ79" s="3">
        <v>130</v>
      </c>
      <c r="BR79" s="3">
        <v>0</v>
      </c>
      <c r="BS79" s="3">
        <v>1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0</v>
      </c>
      <c r="CA79" s="3">
        <v>0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3</v>
      </c>
      <c r="CO79" s="3">
        <v>0</v>
      </c>
      <c r="CP79" s="3">
        <f t="shared" si="57"/>
        <v>49174.9</v>
      </c>
      <c r="CQ79" s="3">
        <f>ROUND((ROUND((AC79*1),2)*BC79),2)</f>
        <v>546.39</v>
      </c>
      <c r="CR79" s="3">
        <f>(ROUND((ROUND(((ET79)*AV79*1),2)*BB79),2)+ROUND((ROUND(((AE79-(EU79))*AV79*1),2)*BS79),2))</f>
        <v>0</v>
      </c>
      <c r="CS79" s="3">
        <f>(ROUND((ROUND(((EU79)*AV79*1),2)*BS79),2)+ROUND((ROUND(((AE79-(EU79))*AV79*1),2)*BS79),2))</f>
        <v>0</v>
      </c>
      <c r="CT79" s="3">
        <f t="shared" si="58"/>
        <v>0</v>
      </c>
      <c r="CU79" s="3">
        <f t="shared" si="59"/>
        <v>0</v>
      </c>
      <c r="CV79" s="3">
        <f t="shared" si="60"/>
        <v>0</v>
      </c>
      <c r="CW79" s="3">
        <f t="shared" si="61"/>
        <v>0</v>
      </c>
      <c r="CX79" s="3">
        <f t="shared" si="62"/>
        <v>0</v>
      </c>
      <c r="CY79" s="3">
        <f>(ROUND((((S79+ROUND((ROUND(((EU79)*AV79*1),2)*BS79),2))*AT79)/100),2)+ROUND(((ROUND((ROUND(((AE79-(EU79))*AV79*1),2)*BS79),2)*AT79)/100),2))</f>
        <v>0</v>
      </c>
      <c r="CZ79" s="3">
        <f>(ROUND((((S79+ROUND((ROUND(((EU79)*AV79*1),2)*BS79),2))*AU79)/100),2)+ROUND(((ROUND((ROUND(((AE79-(EU79))*AV79*1),2)*BS79),2)*AU79)/100),2))</f>
        <v>0</v>
      </c>
      <c r="DC79" s="3" t="s">
        <v>3</v>
      </c>
      <c r="DD79" s="3" t="s">
        <v>3</v>
      </c>
      <c r="DE79" s="3" t="s">
        <v>3</v>
      </c>
      <c r="DF79" s="3" t="s">
        <v>3</v>
      </c>
      <c r="DG79" s="3" t="s">
        <v>3</v>
      </c>
      <c r="DH79" s="3" t="s">
        <v>3</v>
      </c>
      <c r="DI79" s="3" t="s">
        <v>3</v>
      </c>
      <c r="DJ79" s="3" t="s">
        <v>3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1013</v>
      </c>
      <c r="DV79" s="3" t="s">
        <v>32</v>
      </c>
      <c r="DW79" s="3" t="s">
        <v>32</v>
      </c>
      <c r="DX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60088638</v>
      </c>
      <c r="EF79" s="3">
        <v>130</v>
      </c>
      <c r="EG79" s="3" t="s">
        <v>33</v>
      </c>
      <c r="EH79" s="3">
        <v>0</v>
      </c>
      <c r="EI79" s="3" t="s">
        <v>3</v>
      </c>
      <c r="EJ79" s="3">
        <v>3</v>
      </c>
      <c r="EK79" s="3">
        <v>746</v>
      </c>
      <c r="EL79" s="3" t="s">
        <v>34</v>
      </c>
      <c r="EM79" s="3" t="s">
        <v>35</v>
      </c>
      <c r="EO79" s="3" t="s">
        <v>3</v>
      </c>
      <c r="EQ79" s="3">
        <v>0</v>
      </c>
      <c r="ER79" s="3">
        <v>71.33</v>
      </c>
      <c r="ES79" s="3">
        <v>71.33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5</v>
      </c>
      <c r="FC79" s="3">
        <v>1</v>
      </c>
      <c r="FD79" s="3">
        <v>18</v>
      </c>
      <c r="FF79" s="3">
        <v>629</v>
      </c>
      <c r="FQ79" s="3">
        <v>0</v>
      </c>
      <c r="FR79" s="3">
        <f>P79</f>
        <v>49174.9</v>
      </c>
      <c r="FS79" s="3">
        <v>0</v>
      </c>
      <c r="FX79" s="3">
        <v>0</v>
      </c>
      <c r="FY79" s="3">
        <v>0</v>
      </c>
      <c r="GA79" s="3" t="s">
        <v>123</v>
      </c>
      <c r="GD79" s="3">
        <v>1</v>
      </c>
      <c r="GF79" s="3">
        <v>-860310970</v>
      </c>
      <c r="GG79" s="3">
        <v>2</v>
      </c>
      <c r="GH79" s="3">
        <v>3</v>
      </c>
      <c r="GI79" s="3">
        <v>5</v>
      </c>
      <c r="GJ79" s="3">
        <v>0</v>
      </c>
      <c r="GK79" s="3">
        <v>0</v>
      </c>
      <c r="GL79" s="3">
        <f t="shared" si="63"/>
        <v>0</v>
      </c>
      <c r="GM79" s="3">
        <f t="shared" si="64"/>
        <v>49174.9</v>
      </c>
      <c r="GN79" s="3">
        <f t="shared" si="65"/>
        <v>0</v>
      </c>
      <c r="GO79" s="3">
        <f t="shared" si="66"/>
        <v>0</v>
      </c>
      <c r="GP79" s="3">
        <f t="shared" si="67"/>
        <v>0</v>
      </c>
      <c r="GR79" s="3">
        <v>1</v>
      </c>
      <c r="GS79" s="3">
        <v>1</v>
      </c>
      <c r="GT79" s="3">
        <v>0</v>
      </c>
      <c r="GU79" s="3" t="s">
        <v>3</v>
      </c>
      <c r="GV79" s="3">
        <f t="shared" si="68"/>
        <v>0</v>
      </c>
      <c r="GW79" s="3">
        <v>1</v>
      </c>
      <c r="GX79" s="3">
        <f t="shared" si="69"/>
        <v>0</v>
      </c>
      <c r="HA79" s="3">
        <v>0</v>
      </c>
      <c r="HB79" s="3">
        <v>0</v>
      </c>
      <c r="HC79" s="3">
        <f t="shared" si="70"/>
        <v>0</v>
      </c>
      <c r="HE79" s="3" t="s">
        <v>37</v>
      </c>
      <c r="HF79" s="3" t="s">
        <v>38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17</v>
      </c>
      <c r="B80" s="2">
        <v>1</v>
      </c>
      <c r="C80" s="2">
        <f>ROW(SmtRes!A45)</f>
        <v>45</v>
      </c>
      <c r="D80" s="2">
        <f>ROW(EtalonRes!A53)</f>
        <v>53</v>
      </c>
      <c r="E80" s="2" t="s">
        <v>124</v>
      </c>
      <c r="F80" s="2" t="s">
        <v>61</v>
      </c>
      <c r="G80" s="2" t="s">
        <v>62</v>
      </c>
      <c r="H80" s="2" t="s">
        <v>21</v>
      </c>
      <c r="I80" s="2">
        <v>9</v>
      </c>
      <c r="J80" s="2">
        <v>0</v>
      </c>
      <c r="K80" s="2">
        <v>9</v>
      </c>
      <c r="L80" s="2"/>
      <c r="M80" s="2"/>
      <c r="N80" s="2"/>
      <c r="O80" s="2">
        <f t="shared" si="48"/>
        <v>184.73</v>
      </c>
      <c r="P80" s="2">
        <f>ROUND((ROUND((AC80*AW80*I80),2)*BC80),2)</f>
        <v>17.64</v>
      </c>
      <c r="Q80" s="2">
        <f>(ROUND((ROUND((((ET80*1.1))*AV80*I80),2)*BB80),2)+ROUND((ROUND(((AE80-((EU80*1.1)))*AV80*I80),2)*BS80),2))</f>
        <v>0.52</v>
      </c>
      <c r="R80" s="2">
        <f>(ROUND((ROUND((((EU80*1.1))*AV80*I80),2)*BS80),2)+ROUND((ROUND(((AE80-((EU80*1.1)))*AV80*I80),2)*BS80),2))</f>
        <v>0.1</v>
      </c>
      <c r="S80" s="2">
        <f t="shared" si="49"/>
        <v>166.57</v>
      </c>
      <c r="T80" s="2">
        <f t="shared" si="50"/>
        <v>0</v>
      </c>
      <c r="U80" s="2">
        <f t="shared" si="51"/>
        <v>12.438359999999999</v>
      </c>
      <c r="V80" s="2">
        <f t="shared" si="52"/>
        <v>0</v>
      </c>
      <c r="W80" s="2">
        <f t="shared" si="53"/>
        <v>0</v>
      </c>
      <c r="X80" s="2">
        <f>(ROUND((((S80+ROUND((ROUND((((EU80*1.1))*AV80*I80),2)*BS80),2))*AT80)/100),2)+ROUND(((ROUND((ROUND(((AE80-((EU80*1.1)))*AV80*I80),2)*BS80),2)*AT80)/100),2))</f>
        <v>150</v>
      </c>
      <c r="Y80" s="2">
        <f>(ROUND((((S80+ROUND((ROUND((((EU80*1.1))*AV80*I80),2)*BS80),2))*AU80)/100),2)+ROUND(((ROUND((ROUND(((AE80-((EU80*1.1)))*AV80*I80),2)*BS80),2)*AU80)/100),2))</f>
        <v>76.67</v>
      </c>
      <c r="Z80" s="2"/>
      <c r="AA80" s="2">
        <v>60258621</v>
      </c>
      <c r="AB80" s="2">
        <f t="shared" si="54"/>
        <v>19.692</v>
      </c>
      <c r="AC80" s="2">
        <f>ROUND(((ES80*1)),6)</f>
        <v>1.96</v>
      </c>
      <c r="AD80" s="2">
        <f>ROUND(((((ET80*1.1))-((EU80*1.1)))+AE80),6)</f>
        <v>5.5E-2</v>
      </c>
      <c r="AE80" s="2">
        <f>ROUND(((EU80*1.1)),6)</f>
        <v>1.0999999999999999E-2</v>
      </c>
      <c r="AF80" s="2">
        <f>ROUND(((EV80*1.1)),6)</f>
        <v>17.677</v>
      </c>
      <c r="AG80" s="2">
        <f t="shared" si="55"/>
        <v>0</v>
      </c>
      <c r="AH80" s="2">
        <f>((EW80*1.1))</f>
        <v>1.32</v>
      </c>
      <c r="AI80" s="2">
        <f>((EX80*1.1))</f>
        <v>0</v>
      </c>
      <c r="AJ80" s="2">
        <f t="shared" si="56"/>
        <v>0</v>
      </c>
      <c r="AK80" s="2">
        <v>18.079999999999998</v>
      </c>
      <c r="AL80" s="2">
        <v>1.96</v>
      </c>
      <c r="AM80" s="2">
        <v>0.05</v>
      </c>
      <c r="AN80" s="2">
        <v>0.01</v>
      </c>
      <c r="AO80" s="2">
        <v>16.07</v>
      </c>
      <c r="AP80" s="2">
        <v>0</v>
      </c>
      <c r="AQ80" s="2">
        <v>1.2</v>
      </c>
      <c r="AR80" s="2">
        <v>0</v>
      </c>
      <c r="AS80" s="2">
        <v>0</v>
      </c>
      <c r="AT80" s="2">
        <v>90</v>
      </c>
      <c r="AU80" s="2">
        <v>46</v>
      </c>
      <c r="AV80" s="2">
        <v>1.0469999999999999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0</v>
      </c>
      <c r="BI80" s="2">
        <v>2</v>
      </c>
      <c r="BJ80" s="2" t="s">
        <v>63</v>
      </c>
      <c r="BK80" s="2"/>
      <c r="BL80" s="2"/>
      <c r="BM80" s="2">
        <v>68</v>
      </c>
      <c r="BN80" s="2">
        <v>58973116</v>
      </c>
      <c r="BO80" s="2" t="s">
        <v>61</v>
      </c>
      <c r="BP80" s="2">
        <v>1</v>
      </c>
      <c r="BQ80" s="2">
        <v>40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363</v>
      </c>
      <c r="CO80" s="2">
        <v>0</v>
      </c>
      <c r="CP80" s="2">
        <f t="shared" si="57"/>
        <v>184.73</v>
      </c>
      <c r="CQ80" s="2">
        <f>ROUND((ROUND((AC80*AW80*1),2)*BC80),2)</f>
        <v>1.96</v>
      </c>
      <c r="CR80" s="2">
        <f>(ROUND((ROUND((((ET80*1.1))*AV80*1),2)*BB80),2)+ROUND((ROUND(((AE80-((EU80*1.1)))*AV80*1),2)*BS80),2))</f>
        <v>0.06</v>
      </c>
      <c r="CS80" s="2">
        <f>(ROUND((ROUND((((EU80*1.1))*AV80*1),2)*BS80),2)+ROUND((ROUND(((AE80-((EU80*1.1)))*AV80*1),2)*BS80),2))</f>
        <v>0.01</v>
      </c>
      <c r="CT80" s="2">
        <f t="shared" si="58"/>
        <v>18.510000000000002</v>
      </c>
      <c r="CU80" s="2">
        <f t="shared" si="59"/>
        <v>0</v>
      </c>
      <c r="CV80" s="2">
        <f t="shared" si="60"/>
        <v>1.3820399999999999</v>
      </c>
      <c r="CW80" s="2">
        <f t="shared" si="61"/>
        <v>0</v>
      </c>
      <c r="CX80" s="2">
        <f t="shared" si="62"/>
        <v>0</v>
      </c>
      <c r="CY80" s="2">
        <f>(ROUND((((S80+ROUND((ROUND((((EU80*1.1))*AV80*1),2)*BS80),2))*AT80)/100),2)+ROUND(((ROUND((ROUND(((AE80-((EU80*1.1)))*AV80*1),2)*BS80),2)*AT80)/100),2))</f>
        <v>149.91999999999999</v>
      </c>
      <c r="CZ80" s="2">
        <f>(ROUND((((S80+ROUND((ROUND((((EU80*1.1))*AV80*1),2)*BS80),2))*AU80)/100),2)+ROUND(((ROUND((ROUND(((AE80-((EU80*1.1)))*AV80*1),2)*BS80),2)*AU80)/100),2))</f>
        <v>76.63</v>
      </c>
      <c r="DA80" s="2"/>
      <c r="DB80" s="2">
        <v>25</v>
      </c>
      <c r="DC80" s="2" t="s">
        <v>3</v>
      </c>
      <c r="DD80" s="2" t="s">
        <v>23</v>
      </c>
      <c r="DE80" s="2" t="s">
        <v>24</v>
      </c>
      <c r="DF80" s="2" t="s">
        <v>24</v>
      </c>
      <c r="DG80" s="2" t="s">
        <v>24</v>
      </c>
      <c r="DH80" s="2" t="s">
        <v>3</v>
      </c>
      <c r="DI80" s="2" t="s">
        <v>24</v>
      </c>
      <c r="DJ80" s="2" t="s">
        <v>24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1013</v>
      </c>
      <c r="DV80" s="2" t="s">
        <v>21</v>
      </c>
      <c r="DW80" s="2" t="s">
        <v>21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60088532</v>
      </c>
      <c r="EF80" s="2">
        <v>40</v>
      </c>
      <c r="EG80" s="2" t="s">
        <v>25</v>
      </c>
      <c r="EH80" s="2">
        <v>0</v>
      </c>
      <c r="EI80" s="2" t="s">
        <v>3</v>
      </c>
      <c r="EJ80" s="2">
        <v>2</v>
      </c>
      <c r="EK80" s="2">
        <v>68</v>
      </c>
      <c r="EL80" s="2" t="s">
        <v>46</v>
      </c>
      <c r="EM80" s="2" t="s">
        <v>47</v>
      </c>
      <c r="EN80" s="2"/>
      <c r="EO80" s="2" t="s">
        <v>28</v>
      </c>
      <c r="EP80" s="2"/>
      <c r="EQ80" s="2">
        <v>0</v>
      </c>
      <c r="ER80" s="2">
        <v>18.079999999999998</v>
      </c>
      <c r="ES80" s="2">
        <v>1.96</v>
      </c>
      <c r="ET80" s="2">
        <v>0.05</v>
      </c>
      <c r="EU80" s="2">
        <v>0.01</v>
      </c>
      <c r="EV80" s="2">
        <v>16.07</v>
      </c>
      <c r="EW80" s="2">
        <v>1.2</v>
      </c>
      <c r="EX80" s="2">
        <v>0</v>
      </c>
      <c r="EY80" s="2">
        <v>0</v>
      </c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3</v>
      </c>
      <c r="GB80" s="2"/>
      <c r="GC80" s="2"/>
      <c r="GD80" s="2">
        <v>1</v>
      </c>
      <c r="GE80" s="2"/>
      <c r="GF80" s="2">
        <v>1665592289</v>
      </c>
      <c r="GG80" s="2">
        <v>2</v>
      </c>
      <c r="GH80" s="2">
        <v>1</v>
      </c>
      <c r="GI80" s="2">
        <v>2</v>
      </c>
      <c r="GJ80" s="2">
        <v>0</v>
      </c>
      <c r="GK80" s="2">
        <v>0</v>
      </c>
      <c r="GL80" s="2">
        <f t="shared" si="63"/>
        <v>0</v>
      </c>
      <c r="GM80" s="2">
        <f t="shared" si="64"/>
        <v>411.4</v>
      </c>
      <c r="GN80" s="2">
        <f t="shared" si="65"/>
        <v>0</v>
      </c>
      <c r="GO80" s="2">
        <f t="shared" si="66"/>
        <v>411.4</v>
      </c>
      <c r="GP80" s="2">
        <f t="shared" si="67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68"/>
        <v>0</v>
      </c>
      <c r="GW80" s="2">
        <v>1</v>
      </c>
      <c r="GX80" s="2">
        <f t="shared" si="69"/>
        <v>0</v>
      </c>
      <c r="GY80" s="2"/>
      <c r="GZ80" s="2"/>
      <c r="HA80" s="2">
        <v>0</v>
      </c>
      <c r="HB80" s="2">
        <v>0</v>
      </c>
      <c r="HC80" s="2">
        <f t="shared" si="70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17</v>
      </c>
      <c r="B81" s="3">
        <v>1</v>
      </c>
      <c r="C81" s="3">
        <f>ROW(SmtRes!A46)</f>
        <v>46</v>
      </c>
      <c r="D81" s="3">
        <f>ROW(EtalonRes!A54)</f>
        <v>54</v>
      </c>
      <c r="E81" s="3" t="s">
        <v>124</v>
      </c>
      <c r="F81" s="3" t="s">
        <v>61</v>
      </c>
      <c r="G81" s="3" t="s">
        <v>62</v>
      </c>
      <c r="H81" s="3" t="s">
        <v>21</v>
      </c>
      <c r="I81" s="3">
        <v>9</v>
      </c>
      <c r="J81" s="3">
        <v>0</v>
      </c>
      <c r="K81" s="3">
        <v>9</v>
      </c>
      <c r="O81" s="3">
        <f t="shared" si="48"/>
        <v>9344.02</v>
      </c>
      <c r="P81" s="3">
        <f>ROUND((ROUND((AC81*AW81*I81),2)*BC81),2)</f>
        <v>174.46</v>
      </c>
      <c r="Q81" s="3">
        <f>(ROUND((ROUND((((ET81*1.1))*AV81*I81),2)*BB81),2)+ROUND((ROUND(((AE81-((EU81*1.1)))*AV81*I81),2)*BS81),2))</f>
        <v>9.8800000000000008</v>
      </c>
      <c r="R81" s="3">
        <f>(ROUND((ROUND((((EU81*1.1))*AV81*I81),2)*BS81),2)+ROUND((ROUND(((AE81-((EU81*1.1)))*AV81*I81),2)*BS81),2))</f>
        <v>5.5</v>
      </c>
      <c r="S81" s="3">
        <f t="shared" si="49"/>
        <v>9159.68</v>
      </c>
      <c r="T81" s="3">
        <f t="shared" si="50"/>
        <v>0</v>
      </c>
      <c r="U81" s="3">
        <f t="shared" si="51"/>
        <v>12.438359999999999</v>
      </c>
      <c r="V81" s="3">
        <f t="shared" si="52"/>
        <v>0</v>
      </c>
      <c r="W81" s="3">
        <f t="shared" si="53"/>
        <v>0</v>
      </c>
      <c r="X81" s="3">
        <f>(ROUND((((S81+ROUND((ROUND((((EU81*1.1))*AV81*I81),2)*BS81),2))*AT81)/100),2)+ROUND(((ROUND((ROUND(((AE81-((EU81*1.1)))*AV81*I81),2)*BS81),2)*AT81)/100),2))</f>
        <v>8248.66</v>
      </c>
      <c r="Y81" s="3">
        <f>(ROUND((((S81+ROUND((ROUND((((EU81*1.1))*AV81*I81),2)*BS81),2))*AU81)/100),2)+ROUND(((ROUND((ROUND(((AE81-((EU81*1.1)))*AV81*I81),2)*BS81),2)*AU81)/100),2))</f>
        <v>4215.9799999999996</v>
      </c>
      <c r="AA81" s="3">
        <v>60258618</v>
      </c>
      <c r="AB81" s="3">
        <f t="shared" si="54"/>
        <v>19.692</v>
      </c>
      <c r="AC81" s="3">
        <f>ROUND(((ES81*1)),6)</f>
        <v>1.96</v>
      </c>
      <c r="AD81" s="3">
        <f>ROUND(((((ET81*1.1))-((EU81*1.1)))+AE81),6)</f>
        <v>5.5E-2</v>
      </c>
      <c r="AE81" s="3">
        <f>ROUND(((EU81*1.1)),6)</f>
        <v>1.0999999999999999E-2</v>
      </c>
      <c r="AF81" s="3">
        <f>ROUND(((EV81*1.1)),6)</f>
        <v>17.677</v>
      </c>
      <c r="AG81" s="3">
        <f t="shared" si="55"/>
        <v>0</v>
      </c>
      <c r="AH81" s="3">
        <f>((EW81*1.1))</f>
        <v>1.32</v>
      </c>
      <c r="AI81" s="3">
        <f>((EX81*1.1))</f>
        <v>0</v>
      </c>
      <c r="AJ81" s="3">
        <f t="shared" si="56"/>
        <v>0</v>
      </c>
      <c r="AK81" s="3">
        <v>18.079999999999998</v>
      </c>
      <c r="AL81" s="3">
        <v>1.96</v>
      </c>
      <c r="AM81" s="3">
        <v>0.05</v>
      </c>
      <c r="AN81" s="3">
        <v>0.01</v>
      </c>
      <c r="AO81" s="3">
        <v>16.07</v>
      </c>
      <c r="AP81" s="3">
        <v>0</v>
      </c>
      <c r="AQ81" s="3">
        <v>1.2</v>
      </c>
      <c r="AR81" s="3">
        <v>0</v>
      </c>
      <c r="AS81" s="3">
        <v>0</v>
      </c>
      <c r="AT81" s="3">
        <v>90</v>
      </c>
      <c r="AU81" s="3">
        <v>46</v>
      </c>
      <c r="AV81" s="3">
        <v>1.0469999999999999</v>
      </c>
      <c r="AW81" s="3">
        <v>1</v>
      </c>
      <c r="AZ81" s="3">
        <v>1</v>
      </c>
      <c r="BA81" s="3">
        <v>54.99</v>
      </c>
      <c r="BB81" s="3">
        <v>19</v>
      </c>
      <c r="BC81" s="3">
        <v>9.89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0</v>
      </c>
      <c r="BI81" s="3">
        <v>2</v>
      </c>
      <c r="BJ81" s="3" t="s">
        <v>63</v>
      </c>
      <c r="BM81" s="3">
        <v>68</v>
      </c>
      <c r="BN81" s="3">
        <v>58973116</v>
      </c>
      <c r="BO81" s="3" t="s">
        <v>61</v>
      </c>
      <c r="BP81" s="3">
        <v>1</v>
      </c>
      <c r="BQ81" s="3">
        <v>40</v>
      </c>
      <c r="BR81" s="3">
        <v>0</v>
      </c>
      <c r="BS81" s="3">
        <v>54.99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90</v>
      </c>
      <c r="CA81" s="3">
        <v>46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363</v>
      </c>
      <c r="CO81" s="3">
        <v>0</v>
      </c>
      <c r="CP81" s="3">
        <f t="shared" si="57"/>
        <v>9344.02</v>
      </c>
      <c r="CQ81" s="3">
        <f>ROUND((ROUND((AC81*AW81*1),2)*BC81),2)</f>
        <v>19.38</v>
      </c>
      <c r="CR81" s="3">
        <f>(ROUND((ROUND((((ET81*1.1))*AV81*1),2)*BB81),2)+ROUND((ROUND(((AE81-((EU81*1.1)))*AV81*1),2)*BS81),2))</f>
        <v>1.1399999999999999</v>
      </c>
      <c r="CS81" s="3">
        <f>(ROUND((ROUND((((EU81*1.1))*AV81*1),2)*BS81),2)+ROUND((ROUND(((AE81-((EU81*1.1)))*AV81*1),2)*BS81),2))</f>
        <v>0.55000000000000004</v>
      </c>
      <c r="CT81" s="3">
        <f t="shared" si="58"/>
        <v>1017.86</v>
      </c>
      <c r="CU81" s="3">
        <f t="shared" si="59"/>
        <v>0</v>
      </c>
      <c r="CV81" s="3">
        <f t="shared" si="60"/>
        <v>1.3820399999999999</v>
      </c>
      <c r="CW81" s="3">
        <f t="shared" si="61"/>
        <v>0</v>
      </c>
      <c r="CX81" s="3">
        <f t="shared" si="62"/>
        <v>0</v>
      </c>
      <c r="CY81" s="3">
        <f>(ROUND((((S81+ROUND((ROUND((((EU81*1.1))*AV81*1),2)*BS81),2))*AT81)/100),2)+ROUND(((ROUND((ROUND(((AE81-((EU81*1.1)))*AV81*1),2)*BS81),2)*AT81)/100),2))</f>
        <v>8244.2099999999991</v>
      </c>
      <c r="CZ81" s="3">
        <f>(ROUND((((S81+ROUND((ROUND((((EU81*1.1))*AV81*1),2)*BS81),2))*AU81)/100),2)+ROUND(((ROUND((ROUND(((AE81-((EU81*1.1)))*AV81*1),2)*BS81),2)*AU81)/100),2))</f>
        <v>4213.71</v>
      </c>
      <c r="DB81" s="3">
        <v>26</v>
      </c>
      <c r="DC81" s="3" t="s">
        <v>3</v>
      </c>
      <c r="DD81" s="3" t="s">
        <v>23</v>
      </c>
      <c r="DE81" s="3" t="s">
        <v>24</v>
      </c>
      <c r="DF81" s="3" t="s">
        <v>24</v>
      </c>
      <c r="DG81" s="3" t="s">
        <v>24</v>
      </c>
      <c r="DH81" s="3" t="s">
        <v>3</v>
      </c>
      <c r="DI81" s="3" t="s">
        <v>24</v>
      </c>
      <c r="DJ81" s="3" t="s">
        <v>24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1013</v>
      </c>
      <c r="DV81" s="3" t="s">
        <v>21</v>
      </c>
      <c r="DW81" s="3" t="s">
        <v>21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60088532</v>
      </c>
      <c r="EF81" s="3">
        <v>40</v>
      </c>
      <c r="EG81" s="3" t="s">
        <v>25</v>
      </c>
      <c r="EH81" s="3">
        <v>0</v>
      </c>
      <c r="EI81" s="3" t="s">
        <v>3</v>
      </c>
      <c r="EJ81" s="3">
        <v>2</v>
      </c>
      <c r="EK81" s="3">
        <v>68</v>
      </c>
      <c r="EL81" s="3" t="s">
        <v>46</v>
      </c>
      <c r="EM81" s="3" t="s">
        <v>47</v>
      </c>
      <c r="EO81" s="3" t="s">
        <v>28</v>
      </c>
      <c r="EQ81" s="3">
        <v>0</v>
      </c>
      <c r="ER81" s="3">
        <v>18.079999999999998</v>
      </c>
      <c r="ES81" s="3">
        <v>1.96</v>
      </c>
      <c r="ET81" s="3">
        <v>0.05</v>
      </c>
      <c r="EU81" s="3">
        <v>0.01</v>
      </c>
      <c r="EV81" s="3">
        <v>16.07</v>
      </c>
      <c r="EW81" s="3">
        <v>1.2</v>
      </c>
      <c r="EX81" s="3">
        <v>0</v>
      </c>
      <c r="EY81" s="3">
        <v>0</v>
      </c>
      <c r="FQ81" s="3">
        <v>0</v>
      </c>
      <c r="FR81" s="3">
        <v>0</v>
      </c>
      <c r="FS81" s="3">
        <v>0</v>
      </c>
      <c r="FX81" s="3">
        <v>90</v>
      </c>
      <c r="FY81" s="3">
        <v>46</v>
      </c>
      <c r="GA81" s="3" t="s">
        <v>3</v>
      </c>
      <c r="GD81" s="3">
        <v>1</v>
      </c>
      <c r="GF81" s="3">
        <v>1665592289</v>
      </c>
      <c r="GG81" s="3">
        <v>2</v>
      </c>
      <c r="GH81" s="3">
        <v>1</v>
      </c>
      <c r="GI81" s="3">
        <v>2</v>
      </c>
      <c r="GJ81" s="3">
        <v>0</v>
      </c>
      <c r="GK81" s="3">
        <v>0</v>
      </c>
      <c r="GL81" s="3">
        <f t="shared" si="63"/>
        <v>0</v>
      </c>
      <c r="GM81" s="3">
        <f t="shared" si="64"/>
        <v>21808.66</v>
      </c>
      <c r="GN81" s="3">
        <f t="shared" si="65"/>
        <v>0</v>
      </c>
      <c r="GO81" s="3">
        <f t="shared" si="66"/>
        <v>21808.66</v>
      </c>
      <c r="GP81" s="3">
        <f t="shared" si="67"/>
        <v>0</v>
      </c>
      <c r="GR81" s="3">
        <v>0</v>
      </c>
      <c r="GS81" s="3">
        <v>3</v>
      </c>
      <c r="GT81" s="3">
        <v>0</v>
      </c>
      <c r="GU81" s="3" t="s">
        <v>3</v>
      </c>
      <c r="GV81" s="3">
        <f t="shared" si="68"/>
        <v>0</v>
      </c>
      <c r="GW81" s="3">
        <v>1</v>
      </c>
      <c r="GX81" s="3">
        <f t="shared" si="69"/>
        <v>0</v>
      </c>
      <c r="HA81" s="3">
        <v>0</v>
      </c>
      <c r="HB81" s="3">
        <v>0</v>
      </c>
      <c r="HC81" s="3">
        <f t="shared" si="70"/>
        <v>0</v>
      </c>
      <c r="HE81" s="3" t="s">
        <v>3</v>
      </c>
      <c r="HF81" s="3" t="s">
        <v>3</v>
      </c>
      <c r="HM81" s="3" t="s">
        <v>3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17</v>
      </c>
      <c r="B82" s="2">
        <v>1</v>
      </c>
      <c r="C82" s="2"/>
      <c r="D82" s="2"/>
      <c r="E82" s="2" t="s">
        <v>125</v>
      </c>
      <c r="F82" s="2" t="s">
        <v>126</v>
      </c>
      <c r="G82" s="2" t="s">
        <v>127</v>
      </c>
      <c r="H82" s="2" t="s">
        <v>32</v>
      </c>
      <c r="I82" s="2">
        <v>9</v>
      </c>
      <c r="J82" s="2">
        <v>0</v>
      </c>
      <c r="K82" s="2">
        <v>9</v>
      </c>
      <c r="L82" s="2"/>
      <c r="M82" s="2"/>
      <c r="N82" s="2"/>
      <c r="O82" s="2">
        <f t="shared" si="48"/>
        <v>1668.78</v>
      </c>
      <c r="P82" s="2">
        <f>ROUND((ROUND((AC82*I82),2)*BC82),2)</f>
        <v>1668.78</v>
      </c>
      <c r="Q82" s="2">
        <f>(ROUND((ROUND(((ET82)*AV82*I82),2)*BB82),2)+ROUND((ROUND(((AE82-(EU82))*AV82*I82),2)*BS82),2))</f>
        <v>0</v>
      </c>
      <c r="R82" s="2">
        <f>(ROUND((ROUND(((EU82)*AV82*I82),2)*BS82),2)+ROUND((ROUND(((AE82-(EU82))*AV82*I82),2)*BS82),2))</f>
        <v>0</v>
      </c>
      <c r="S82" s="2">
        <f t="shared" si="49"/>
        <v>0</v>
      </c>
      <c r="T82" s="2">
        <f t="shared" si="50"/>
        <v>0</v>
      </c>
      <c r="U82" s="2">
        <f t="shared" si="51"/>
        <v>0</v>
      </c>
      <c r="V82" s="2">
        <f t="shared" si="52"/>
        <v>0</v>
      </c>
      <c r="W82" s="2">
        <f t="shared" si="53"/>
        <v>0</v>
      </c>
      <c r="X82" s="2">
        <f>(ROUND((((S82+ROUND((ROUND(((EU82)*AV82*I82),2)*BS82),2))*AT82)/100),2)+ROUND(((ROUND((ROUND(((AE82-(EU82))*AV82*I82),2)*BS82),2)*AT82)/100),2))</f>
        <v>0</v>
      </c>
      <c r="Y82" s="2">
        <f>(ROUND((((S82+ROUND((ROUND(((EU82)*AV82*I82),2)*BS82),2))*AU82)/100),2)+ROUND(((ROUND((ROUND(((AE82-(EU82))*AV82*I82),2)*BS82),2)*AU82)/100),2))</f>
        <v>0</v>
      </c>
      <c r="Z82" s="2"/>
      <c r="AA82" s="2">
        <v>60258621</v>
      </c>
      <c r="AB82" s="2">
        <f t="shared" si="54"/>
        <v>185.42</v>
      </c>
      <c r="AC82" s="2">
        <f>ROUND((ES82),6)</f>
        <v>185.42</v>
      </c>
      <c r="AD82" s="2">
        <f>ROUND((((ET82)-(EU82))+AE82),6)</f>
        <v>0</v>
      </c>
      <c r="AE82" s="2">
        <f>ROUND((EU82),6)</f>
        <v>0</v>
      </c>
      <c r="AF82" s="2">
        <f>ROUND((EV82),6)</f>
        <v>0</v>
      </c>
      <c r="AG82" s="2">
        <f t="shared" si="55"/>
        <v>0</v>
      </c>
      <c r="AH82" s="2">
        <f>(EW82)</f>
        <v>0</v>
      </c>
      <c r="AI82" s="2">
        <f>(EX82)</f>
        <v>0</v>
      </c>
      <c r="AJ82" s="2">
        <f t="shared" si="56"/>
        <v>0</v>
      </c>
      <c r="AK82" s="2">
        <v>185.42</v>
      </c>
      <c r="AL82" s="2">
        <v>185.42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1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3</v>
      </c>
      <c r="BI82" s="2">
        <v>3</v>
      </c>
      <c r="BJ82" s="2" t="s">
        <v>3</v>
      </c>
      <c r="BK82" s="2"/>
      <c r="BL82" s="2"/>
      <c r="BM82" s="2">
        <v>746</v>
      </c>
      <c r="BN82" s="2">
        <v>0</v>
      </c>
      <c r="BO82" s="2" t="s">
        <v>3</v>
      </c>
      <c r="BP82" s="2">
        <v>0</v>
      </c>
      <c r="BQ82" s="2">
        <v>130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0</v>
      </c>
      <c r="CA82" s="2">
        <v>0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3</v>
      </c>
      <c r="CO82" s="2">
        <v>0</v>
      </c>
      <c r="CP82" s="2">
        <f t="shared" si="57"/>
        <v>1668.78</v>
      </c>
      <c r="CQ82" s="2">
        <f>ROUND((ROUND((AC82*1),2)*BC82),2)</f>
        <v>185.42</v>
      </c>
      <c r="CR82" s="2">
        <f>(ROUND((ROUND(((ET82)*AV82*1),2)*BB82),2)+ROUND((ROUND(((AE82-(EU82))*AV82*1),2)*BS82),2))</f>
        <v>0</v>
      </c>
      <c r="CS82" s="2">
        <f>(ROUND((ROUND(((EU82)*AV82*1),2)*BS82),2)+ROUND((ROUND(((AE82-(EU82))*AV82*1),2)*BS82),2))</f>
        <v>0</v>
      </c>
      <c r="CT82" s="2">
        <f t="shared" si="58"/>
        <v>0</v>
      </c>
      <c r="CU82" s="2">
        <f t="shared" si="59"/>
        <v>0</v>
      </c>
      <c r="CV82" s="2">
        <f t="shared" si="60"/>
        <v>0</v>
      </c>
      <c r="CW82" s="2">
        <f t="shared" si="61"/>
        <v>0</v>
      </c>
      <c r="CX82" s="2">
        <f t="shared" si="62"/>
        <v>0</v>
      </c>
      <c r="CY82" s="2">
        <f>(ROUND((((S82+ROUND((ROUND(((EU82)*AV82*1),2)*BS82),2))*AT82)/100),2)+ROUND(((ROUND((ROUND(((AE82-(EU82))*AV82*1),2)*BS82),2)*AT82)/100),2))</f>
        <v>0</v>
      </c>
      <c r="CZ82" s="2">
        <f>(ROUND((((S82+ROUND((ROUND(((EU82)*AV82*1),2)*BS82),2))*AU82)/100),2)+ROUND(((ROUND((ROUND(((AE82-(EU82))*AV82*1),2)*BS82),2)*AU82)/100),2))</f>
        <v>0</v>
      </c>
      <c r="DA82" s="2"/>
      <c r="DB82" s="2"/>
      <c r="DC82" s="2" t="s">
        <v>3</v>
      </c>
      <c r="DD82" s="2" t="s">
        <v>3</v>
      </c>
      <c r="DE82" s="2" t="s">
        <v>3</v>
      </c>
      <c r="DF82" s="2" t="s">
        <v>3</v>
      </c>
      <c r="DG82" s="2" t="s">
        <v>3</v>
      </c>
      <c r="DH82" s="2" t="s">
        <v>3</v>
      </c>
      <c r="DI82" s="2" t="s">
        <v>3</v>
      </c>
      <c r="DJ82" s="2" t="s">
        <v>3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32</v>
      </c>
      <c r="DW82" s="2" t="s">
        <v>32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60088638</v>
      </c>
      <c r="EF82" s="2">
        <v>130</v>
      </c>
      <c r="EG82" s="2" t="s">
        <v>33</v>
      </c>
      <c r="EH82" s="2">
        <v>0</v>
      </c>
      <c r="EI82" s="2" t="s">
        <v>3</v>
      </c>
      <c r="EJ82" s="2">
        <v>3</v>
      </c>
      <c r="EK82" s="2">
        <v>746</v>
      </c>
      <c r="EL82" s="2" t="s">
        <v>34</v>
      </c>
      <c r="EM82" s="2" t="s">
        <v>35</v>
      </c>
      <c r="EN82" s="2"/>
      <c r="EO82" s="2" t="s">
        <v>3</v>
      </c>
      <c r="EP82" s="2"/>
      <c r="EQ82" s="2">
        <v>0</v>
      </c>
      <c r="ER82" s="2">
        <v>0</v>
      </c>
      <c r="ES82" s="2">
        <v>185.42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f>P82</f>
        <v>1668.78</v>
      </c>
      <c r="FS82" s="2">
        <v>0</v>
      </c>
      <c r="FT82" s="2"/>
      <c r="FU82" s="2"/>
      <c r="FV82" s="2"/>
      <c r="FW82" s="2"/>
      <c r="FX82" s="2">
        <v>0</v>
      </c>
      <c r="FY82" s="2">
        <v>0</v>
      </c>
      <c r="FZ82" s="2"/>
      <c r="GA82" s="2" t="s">
        <v>128</v>
      </c>
      <c r="GB82" s="2"/>
      <c r="GC82" s="2"/>
      <c r="GD82" s="2">
        <v>1</v>
      </c>
      <c r="GE82" s="2"/>
      <c r="GF82" s="2">
        <v>2042603437</v>
      </c>
      <c r="GG82" s="2">
        <v>2</v>
      </c>
      <c r="GH82" s="2">
        <v>4</v>
      </c>
      <c r="GI82" s="2">
        <v>-2</v>
      </c>
      <c r="GJ82" s="2">
        <v>0</v>
      </c>
      <c r="GK82" s="2">
        <v>0</v>
      </c>
      <c r="GL82" s="2">
        <f t="shared" si="63"/>
        <v>0</v>
      </c>
      <c r="GM82" s="2">
        <f t="shared" si="64"/>
        <v>1668.78</v>
      </c>
      <c r="GN82" s="2">
        <f t="shared" si="65"/>
        <v>0</v>
      </c>
      <c r="GO82" s="2">
        <f t="shared" si="66"/>
        <v>0</v>
      </c>
      <c r="GP82" s="2">
        <f t="shared" si="67"/>
        <v>0</v>
      </c>
      <c r="GQ82" s="2"/>
      <c r="GR82" s="2">
        <v>0</v>
      </c>
      <c r="GS82" s="2">
        <v>2</v>
      </c>
      <c r="GT82" s="2">
        <v>0</v>
      </c>
      <c r="GU82" s="2" t="s">
        <v>3</v>
      </c>
      <c r="GV82" s="2">
        <f t="shared" si="68"/>
        <v>0</v>
      </c>
      <c r="GW82" s="2">
        <v>1</v>
      </c>
      <c r="GX82" s="2">
        <f t="shared" si="69"/>
        <v>0</v>
      </c>
      <c r="GY82" s="2"/>
      <c r="GZ82" s="2"/>
      <c r="HA82" s="2">
        <v>0</v>
      </c>
      <c r="HB82" s="2">
        <v>0</v>
      </c>
      <c r="HC82" s="2">
        <f t="shared" si="70"/>
        <v>0</v>
      </c>
      <c r="HD82" s="2"/>
      <c r="HE82" s="2" t="s">
        <v>37</v>
      </c>
      <c r="HF82" s="2" t="s">
        <v>38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17</v>
      </c>
      <c r="B83" s="3">
        <v>1</v>
      </c>
      <c r="E83" s="3" t="s">
        <v>125</v>
      </c>
      <c r="F83" s="3" t="s">
        <v>126</v>
      </c>
      <c r="G83" s="3" t="s">
        <v>127</v>
      </c>
      <c r="H83" s="3" t="s">
        <v>32</v>
      </c>
      <c r="I83" s="3">
        <v>9</v>
      </c>
      <c r="J83" s="3">
        <v>0</v>
      </c>
      <c r="K83" s="3">
        <v>9</v>
      </c>
      <c r="O83" s="3">
        <f t="shared" si="48"/>
        <v>12782.85</v>
      </c>
      <c r="P83" s="3">
        <f>ROUND((ROUND((AC83*I83),2)*BC83),2)</f>
        <v>12782.85</v>
      </c>
      <c r="Q83" s="3">
        <f>(ROUND((ROUND(((ET83)*AV83*I83),2)*BB83),2)+ROUND((ROUND(((AE83-(EU83))*AV83*I83),2)*BS83),2))</f>
        <v>0</v>
      </c>
      <c r="R83" s="3">
        <f>(ROUND((ROUND(((EU83)*AV83*I83),2)*BS83),2)+ROUND((ROUND(((AE83-(EU83))*AV83*I83),2)*BS83),2))</f>
        <v>0</v>
      </c>
      <c r="S83" s="3">
        <f t="shared" si="49"/>
        <v>0</v>
      </c>
      <c r="T83" s="3">
        <f t="shared" si="50"/>
        <v>0</v>
      </c>
      <c r="U83" s="3">
        <f t="shared" si="51"/>
        <v>0</v>
      </c>
      <c r="V83" s="3">
        <f t="shared" si="52"/>
        <v>0</v>
      </c>
      <c r="W83" s="3">
        <f t="shared" si="53"/>
        <v>0</v>
      </c>
      <c r="X83" s="3">
        <f>(ROUND((((S83+ROUND((ROUND(((EU83)*AV83*I83),2)*BS83),2))*AT83)/100),2)+ROUND(((ROUND((ROUND(((AE83-(EU83))*AV83*I83),2)*BS83),2)*AT83)/100),2))</f>
        <v>0</v>
      </c>
      <c r="Y83" s="3">
        <f>(ROUND((((S83+ROUND((ROUND(((EU83)*AV83*I83),2)*BS83),2))*AU83)/100),2)+ROUND(((ROUND((ROUND(((AE83-(EU83))*AV83*I83),2)*BS83),2)*AU83)/100),2))</f>
        <v>0</v>
      </c>
      <c r="AA83" s="3">
        <v>60258618</v>
      </c>
      <c r="AB83" s="3">
        <f t="shared" si="54"/>
        <v>185.42</v>
      </c>
      <c r="AC83" s="3">
        <f>ROUND((ES83),6)</f>
        <v>185.42</v>
      </c>
      <c r="AD83" s="3">
        <f>ROUND((((ET83)-(EU83))+AE83),6)</f>
        <v>0</v>
      </c>
      <c r="AE83" s="3">
        <f>ROUND((EU83),6)</f>
        <v>0</v>
      </c>
      <c r="AF83" s="3">
        <f>ROUND((EV83),6)</f>
        <v>0</v>
      </c>
      <c r="AG83" s="3">
        <f t="shared" si="55"/>
        <v>0</v>
      </c>
      <c r="AH83" s="3">
        <f>(EW83)</f>
        <v>0</v>
      </c>
      <c r="AI83" s="3">
        <f>(EX83)</f>
        <v>0</v>
      </c>
      <c r="AJ83" s="3">
        <f t="shared" si="56"/>
        <v>0</v>
      </c>
      <c r="AK83" s="3">
        <v>185.42</v>
      </c>
      <c r="AL83" s="3">
        <v>185.42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1</v>
      </c>
      <c r="AW83" s="3">
        <v>1</v>
      </c>
      <c r="AZ83" s="3">
        <v>1</v>
      </c>
      <c r="BA83" s="3">
        <v>1</v>
      </c>
      <c r="BB83" s="3">
        <v>1</v>
      </c>
      <c r="BC83" s="3">
        <v>7.66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3</v>
      </c>
      <c r="BI83" s="3">
        <v>3</v>
      </c>
      <c r="BJ83" s="3" t="s">
        <v>3</v>
      </c>
      <c r="BM83" s="3">
        <v>746</v>
      </c>
      <c r="BN83" s="3">
        <v>0</v>
      </c>
      <c r="BO83" s="3" t="s">
        <v>3</v>
      </c>
      <c r="BP83" s="3">
        <v>0</v>
      </c>
      <c r="BQ83" s="3">
        <v>130</v>
      </c>
      <c r="BR83" s="3">
        <v>0</v>
      </c>
      <c r="BS83" s="3">
        <v>1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0</v>
      </c>
      <c r="CA83" s="3">
        <v>0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3</v>
      </c>
      <c r="CO83" s="3">
        <v>0</v>
      </c>
      <c r="CP83" s="3">
        <f t="shared" si="57"/>
        <v>12782.85</v>
      </c>
      <c r="CQ83" s="3">
        <f>ROUND((ROUND((AC83*1),2)*BC83),2)</f>
        <v>1420.32</v>
      </c>
      <c r="CR83" s="3">
        <f>(ROUND((ROUND(((ET83)*AV83*1),2)*BB83),2)+ROUND((ROUND(((AE83-(EU83))*AV83*1),2)*BS83),2))</f>
        <v>0</v>
      </c>
      <c r="CS83" s="3">
        <f>(ROUND((ROUND(((EU83)*AV83*1),2)*BS83),2)+ROUND((ROUND(((AE83-(EU83))*AV83*1),2)*BS83),2))</f>
        <v>0</v>
      </c>
      <c r="CT83" s="3">
        <f t="shared" si="58"/>
        <v>0</v>
      </c>
      <c r="CU83" s="3">
        <f t="shared" si="59"/>
        <v>0</v>
      </c>
      <c r="CV83" s="3">
        <f t="shared" si="60"/>
        <v>0</v>
      </c>
      <c r="CW83" s="3">
        <f t="shared" si="61"/>
        <v>0</v>
      </c>
      <c r="CX83" s="3">
        <f t="shared" si="62"/>
        <v>0</v>
      </c>
      <c r="CY83" s="3">
        <f>(ROUND((((S83+ROUND((ROUND(((EU83)*AV83*1),2)*BS83),2))*AT83)/100),2)+ROUND(((ROUND((ROUND(((AE83-(EU83))*AV83*1),2)*BS83),2)*AT83)/100),2))</f>
        <v>0</v>
      </c>
      <c r="CZ83" s="3">
        <f>(ROUND((((S83+ROUND((ROUND(((EU83)*AV83*1),2)*BS83),2))*AU83)/100),2)+ROUND(((ROUND((ROUND(((AE83-(EU83))*AV83*1),2)*BS83),2)*AU83)/100),2))</f>
        <v>0</v>
      </c>
      <c r="DC83" s="3" t="s">
        <v>3</v>
      </c>
      <c r="DD83" s="3" t="s">
        <v>3</v>
      </c>
      <c r="DE83" s="3" t="s">
        <v>3</v>
      </c>
      <c r="DF83" s="3" t="s">
        <v>3</v>
      </c>
      <c r="DG83" s="3" t="s">
        <v>3</v>
      </c>
      <c r="DH83" s="3" t="s">
        <v>3</v>
      </c>
      <c r="DI83" s="3" t="s">
        <v>3</v>
      </c>
      <c r="DJ83" s="3" t="s">
        <v>3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32</v>
      </c>
      <c r="DW83" s="3" t="s">
        <v>32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60088638</v>
      </c>
      <c r="EF83" s="3">
        <v>130</v>
      </c>
      <c r="EG83" s="3" t="s">
        <v>33</v>
      </c>
      <c r="EH83" s="3">
        <v>0</v>
      </c>
      <c r="EI83" s="3" t="s">
        <v>3</v>
      </c>
      <c r="EJ83" s="3">
        <v>3</v>
      </c>
      <c r="EK83" s="3">
        <v>746</v>
      </c>
      <c r="EL83" s="3" t="s">
        <v>34</v>
      </c>
      <c r="EM83" s="3" t="s">
        <v>35</v>
      </c>
      <c r="EO83" s="3" t="s">
        <v>3</v>
      </c>
      <c r="EQ83" s="3">
        <v>0</v>
      </c>
      <c r="ER83" s="3">
        <v>0</v>
      </c>
      <c r="ES83" s="3">
        <v>185.42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5</v>
      </c>
      <c r="FC83" s="3">
        <v>1</v>
      </c>
      <c r="FD83" s="3">
        <v>18</v>
      </c>
      <c r="FF83" s="3">
        <v>1635.11</v>
      </c>
      <c r="FQ83" s="3">
        <v>0</v>
      </c>
      <c r="FR83" s="3">
        <f>P83</f>
        <v>12782.85</v>
      </c>
      <c r="FS83" s="3">
        <v>0</v>
      </c>
      <c r="FX83" s="3">
        <v>0</v>
      </c>
      <c r="FY83" s="3">
        <v>0</v>
      </c>
      <c r="GA83" s="3" t="s">
        <v>128</v>
      </c>
      <c r="GD83" s="3">
        <v>1</v>
      </c>
      <c r="GF83" s="3">
        <v>2042603437</v>
      </c>
      <c r="GG83" s="3">
        <v>2</v>
      </c>
      <c r="GH83" s="3">
        <v>3</v>
      </c>
      <c r="GI83" s="3">
        <v>5</v>
      </c>
      <c r="GJ83" s="3">
        <v>0</v>
      </c>
      <c r="GK83" s="3">
        <v>0</v>
      </c>
      <c r="GL83" s="3">
        <f t="shared" si="63"/>
        <v>0</v>
      </c>
      <c r="GM83" s="3">
        <f t="shared" si="64"/>
        <v>12782.85</v>
      </c>
      <c r="GN83" s="3">
        <f t="shared" si="65"/>
        <v>0</v>
      </c>
      <c r="GO83" s="3">
        <f t="shared" si="66"/>
        <v>0</v>
      </c>
      <c r="GP83" s="3">
        <f t="shared" si="67"/>
        <v>0</v>
      </c>
      <c r="GR83" s="3">
        <v>1</v>
      </c>
      <c r="GS83" s="3">
        <v>1</v>
      </c>
      <c r="GT83" s="3">
        <v>0</v>
      </c>
      <c r="GU83" s="3" t="s">
        <v>3</v>
      </c>
      <c r="GV83" s="3">
        <f t="shared" si="68"/>
        <v>0</v>
      </c>
      <c r="GW83" s="3">
        <v>1</v>
      </c>
      <c r="GX83" s="3">
        <f t="shared" si="69"/>
        <v>0</v>
      </c>
      <c r="HA83" s="3">
        <v>0</v>
      </c>
      <c r="HB83" s="3">
        <v>0</v>
      </c>
      <c r="HC83" s="3">
        <f t="shared" si="70"/>
        <v>0</v>
      </c>
      <c r="HE83" s="3" t="s">
        <v>37</v>
      </c>
      <c r="HF83" s="3" t="s">
        <v>38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17</v>
      </c>
      <c r="B84" s="2">
        <v>1</v>
      </c>
      <c r="C84" s="2">
        <f>ROW(SmtRes!A48)</f>
        <v>48</v>
      </c>
      <c r="D84" s="2">
        <f>ROW(EtalonRes!A57)</f>
        <v>57</v>
      </c>
      <c r="E84" s="2" t="s">
        <v>129</v>
      </c>
      <c r="F84" s="2" t="s">
        <v>130</v>
      </c>
      <c r="G84" s="2" t="s">
        <v>131</v>
      </c>
      <c r="H84" s="2" t="s">
        <v>21</v>
      </c>
      <c r="I84" s="2">
        <v>10</v>
      </c>
      <c r="J84" s="2">
        <v>0</v>
      </c>
      <c r="K84" s="2">
        <v>10</v>
      </c>
      <c r="L84" s="2"/>
      <c r="M84" s="2"/>
      <c r="N84" s="2"/>
      <c r="O84" s="2">
        <f t="shared" si="48"/>
        <v>123.23</v>
      </c>
      <c r="P84" s="2">
        <f>ROUND((ROUND((AC84*AW84*I84),2)*BC84),2)</f>
        <v>0</v>
      </c>
      <c r="Q84" s="2">
        <f>(ROUND((ROUND((((ET84*1.1))*AV84*I84),2)*BB84),2)+ROUND((ROUND(((AE84-((EU84*1.1)))*AV84*I84),2)*BS84),2))</f>
        <v>0</v>
      </c>
      <c r="R84" s="2">
        <f>(ROUND((ROUND((((EU84*1.1))*AV84*I84),2)*BS84),2)+ROUND((ROUND(((AE84-((EU84*1.1)))*AV84*I84),2)*BS84),2))</f>
        <v>0</v>
      </c>
      <c r="S84" s="2">
        <f t="shared" si="49"/>
        <v>123.23</v>
      </c>
      <c r="T84" s="2">
        <f t="shared" si="50"/>
        <v>0</v>
      </c>
      <c r="U84" s="2">
        <f t="shared" si="51"/>
        <v>11.516999999999999</v>
      </c>
      <c r="V84" s="2">
        <f t="shared" si="52"/>
        <v>0</v>
      </c>
      <c r="W84" s="2">
        <f t="shared" si="53"/>
        <v>0</v>
      </c>
      <c r="X84" s="2">
        <f>(ROUND((((S84+ROUND((ROUND((((EU84*1.1))*AV84*I84),2)*BS84),2))*AT84)/100),2)+ROUND(((ROUND((ROUND(((AE84-((EU84*1.1)))*AV84*I84),2)*BS84),2)*AT84)/100),2))</f>
        <v>117.07</v>
      </c>
      <c r="Y84" s="2">
        <f>(ROUND((((S84+ROUND((ROUND((((EU84*1.1))*AV84*I84),2)*BS84),2))*AU84)/100),2)+ROUND(((ROUND((ROUND(((AE84-((EU84*1.1)))*AV84*I84),2)*BS84),2)*AU84)/100),2))</f>
        <v>65.31</v>
      </c>
      <c r="Z84" s="2"/>
      <c r="AA84" s="2">
        <v>60258621</v>
      </c>
      <c r="AB84" s="2">
        <f t="shared" si="54"/>
        <v>11.77</v>
      </c>
      <c r="AC84" s="2">
        <f>ROUND(((ES84*1)),6)</f>
        <v>0</v>
      </c>
      <c r="AD84" s="2">
        <f>ROUND(((((ET84*1.1))-((EU84*1.1)))+AE84),6)</f>
        <v>0</v>
      </c>
      <c r="AE84" s="2">
        <f>ROUND(((EU84*1.1)),6)</f>
        <v>0</v>
      </c>
      <c r="AF84" s="2">
        <f>ROUND(((EV84*1.1)),6)</f>
        <v>11.77</v>
      </c>
      <c r="AG84" s="2">
        <f t="shared" si="55"/>
        <v>0</v>
      </c>
      <c r="AH84" s="2">
        <f>((EW84*1.1))</f>
        <v>1.1000000000000001</v>
      </c>
      <c r="AI84" s="2">
        <f>((EX84*1.1))</f>
        <v>0</v>
      </c>
      <c r="AJ84" s="2">
        <f t="shared" si="56"/>
        <v>0</v>
      </c>
      <c r="AK84" s="2">
        <v>10.7</v>
      </c>
      <c r="AL84" s="2">
        <v>0</v>
      </c>
      <c r="AM84" s="2">
        <v>0</v>
      </c>
      <c r="AN84" s="2">
        <v>0</v>
      </c>
      <c r="AO84" s="2">
        <v>10.7</v>
      </c>
      <c r="AP84" s="2">
        <v>0</v>
      </c>
      <c r="AQ84" s="2">
        <v>1</v>
      </c>
      <c r="AR84" s="2">
        <v>0</v>
      </c>
      <c r="AS84" s="2">
        <v>0</v>
      </c>
      <c r="AT84" s="2">
        <v>95</v>
      </c>
      <c r="AU84" s="2">
        <v>53</v>
      </c>
      <c r="AV84" s="2">
        <v>1.0469999999999999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0</v>
      </c>
      <c r="BI84" s="2">
        <v>2</v>
      </c>
      <c r="BJ84" s="2" t="s">
        <v>132</v>
      </c>
      <c r="BK84" s="2"/>
      <c r="BL84" s="2"/>
      <c r="BM84" s="2">
        <v>69</v>
      </c>
      <c r="BN84" s="2">
        <v>58973116</v>
      </c>
      <c r="BO84" s="2" t="s">
        <v>130</v>
      </c>
      <c r="BP84" s="2">
        <v>1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95</v>
      </c>
      <c r="CA84" s="2">
        <v>53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363</v>
      </c>
      <c r="CO84" s="2">
        <v>0</v>
      </c>
      <c r="CP84" s="2">
        <f t="shared" si="57"/>
        <v>123.23</v>
      </c>
      <c r="CQ84" s="2">
        <f>ROUND((ROUND((AC84*AW84*1),2)*BC84),2)</f>
        <v>0</v>
      </c>
      <c r="CR84" s="2">
        <f>(ROUND((ROUND((((ET84*1.1))*AV84*1),2)*BB84),2)+ROUND((ROUND(((AE84-((EU84*1.1)))*AV84*1),2)*BS84),2))</f>
        <v>0</v>
      </c>
      <c r="CS84" s="2">
        <f>(ROUND((ROUND((((EU84*1.1))*AV84*1),2)*BS84),2)+ROUND((ROUND(((AE84-((EU84*1.1)))*AV84*1),2)*BS84),2))</f>
        <v>0</v>
      </c>
      <c r="CT84" s="2">
        <f t="shared" si="58"/>
        <v>12.32</v>
      </c>
      <c r="CU84" s="2">
        <f t="shared" si="59"/>
        <v>0</v>
      </c>
      <c r="CV84" s="2">
        <f t="shared" si="60"/>
        <v>1.1516999999999999</v>
      </c>
      <c r="CW84" s="2">
        <f t="shared" si="61"/>
        <v>0</v>
      </c>
      <c r="CX84" s="2">
        <f t="shared" si="62"/>
        <v>0</v>
      </c>
      <c r="CY84" s="2">
        <f>(ROUND((((S84+ROUND((ROUND((((EU84*1.1))*AV84*1),2)*BS84),2))*AT84)/100),2)+ROUND(((ROUND((ROUND(((AE84-((EU84*1.1)))*AV84*1),2)*BS84),2)*AT84)/100),2))</f>
        <v>117.07</v>
      </c>
      <c r="CZ84" s="2">
        <f>(ROUND((((S84+ROUND((ROUND((((EU84*1.1))*AV84*1),2)*BS84),2))*AU84)/100),2)+ROUND(((ROUND((ROUND(((AE84-((EU84*1.1)))*AV84*1),2)*BS84),2)*AU84)/100),2))</f>
        <v>65.31</v>
      </c>
      <c r="DA84" s="2"/>
      <c r="DB84" s="2">
        <v>27</v>
      </c>
      <c r="DC84" s="2" t="s">
        <v>3</v>
      </c>
      <c r="DD84" s="2" t="s">
        <v>23</v>
      </c>
      <c r="DE84" s="2" t="s">
        <v>24</v>
      </c>
      <c r="DF84" s="2" t="s">
        <v>24</v>
      </c>
      <c r="DG84" s="2" t="s">
        <v>24</v>
      </c>
      <c r="DH84" s="2" t="s">
        <v>3</v>
      </c>
      <c r="DI84" s="2" t="s">
        <v>24</v>
      </c>
      <c r="DJ84" s="2" t="s">
        <v>24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1013</v>
      </c>
      <c r="DV84" s="2" t="s">
        <v>21</v>
      </c>
      <c r="DW84" s="2" t="s">
        <v>21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60088533</v>
      </c>
      <c r="EF84" s="2">
        <v>40</v>
      </c>
      <c r="EG84" s="2" t="s">
        <v>25</v>
      </c>
      <c r="EH84" s="2">
        <v>0</v>
      </c>
      <c r="EI84" s="2" t="s">
        <v>3</v>
      </c>
      <c r="EJ84" s="2">
        <v>2</v>
      </c>
      <c r="EK84" s="2">
        <v>69</v>
      </c>
      <c r="EL84" s="2" t="s">
        <v>26</v>
      </c>
      <c r="EM84" s="2" t="s">
        <v>27</v>
      </c>
      <c r="EN84" s="2"/>
      <c r="EO84" s="2" t="s">
        <v>28</v>
      </c>
      <c r="EP84" s="2"/>
      <c r="EQ84" s="2">
        <v>0</v>
      </c>
      <c r="ER84" s="2">
        <v>10.7</v>
      </c>
      <c r="ES84" s="2">
        <v>0</v>
      </c>
      <c r="ET84" s="2">
        <v>0</v>
      </c>
      <c r="EU84" s="2">
        <v>0</v>
      </c>
      <c r="EV84" s="2">
        <v>10.7</v>
      </c>
      <c r="EW84" s="2">
        <v>1</v>
      </c>
      <c r="EX84" s="2">
        <v>0</v>
      </c>
      <c r="EY84" s="2">
        <v>0</v>
      </c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95</v>
      </c>
      <c r="FY84" s="2">
        <v>53</v>
      </c>
      <c r="FZ84" s="2"/>
      <c r="GA84" s="2" t="s">
        <v>3</v>
      </c>
      <c r="GB84" s="2"/>
      <c r="GC84" s="2"/>
      <c r="GD84" s="2">
        <v>1</v>
      </c>
      <c r="GE84" s="2"/>
      <c r="GF84" s="2">
        <v>-1595364230</v>
      </c>
      <c r="GG84" s="2">
        <v>2</v>
      </c>
      <c r="GH84" s="2">
        <v>1</v>
      </c>
      <c r="GI84" s="2">
        <v>2</v>
      </c>
      <c r="GJ84" s="2">
        <v>0</v>
      </c>
      <c r="GK84" s="2">
        <v>0</v>
      </c>
      <c r="GL84" s="2">
        <f t="shared" si="63"/>
        <v>0</v>
      </c>
      <c r="GM84" s="2">
        <f t="shared" si="64"/>
        <v>305.61</v>
      </c>
      <c r="GN84" s="2">
        <f t="shared" si="65"/>
        <v>0</v>
      </c>
      <c r="GO84" s="2">
        <f t="shared" si="66"/>
        <v>305.61</v>
      </c>
      <c r="GP84" s="2">
        <f t="shared" si="67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68"/>
        <v>0</v>
      </c>
      <c r="GW84" s="2">
        <v>1</v>
      </c>
      <c r="GX84" s="2">
        <f t="shared" si="69"/>
        <v>0</v>
      </c>
      <c r="GY84" s="2"/>
      <c r="GZ84" s="2"/>
      <c r="HA84" s="2">
        <v>0</v>
      </c>
      <c r="HB84" s="2">
        <v>0</v>
      </c>
      <c r="HC84" s="2">
        <f t="shared" si="70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17</v>
      </c>
      <c r="B85" s="3">
        <v>1</v>
      </c>
      <c r="C85" s="3">
        <f>ROW(SmtRes!A50)</f>
        <v>50</v>
      </c>
      <c r="D85" s="3">
        <f>ROW(EtalonRes!A60)</f>
        <v>60</v>
      </c>
      <c r="E85" s="3" t="s">
        <v>129</v>
      </c>
      <c r="F85" s="3" t="s">
        <v>130</v>
      </c>
      <c r="G85" s="3" t="s">
        <v>131</v>
      </c>
      <c r="H85" s="3" t="s">
        <v>21</v>
      </c>
      <c r="I85" s="3">
        <v>10</v>
      </c>
      <c r="J85" s="3">
        <v>0</v>
      </c>
      <c r="K85" s="3">
        <v>10</v>
      </c>
      <c r="O85" s="3">
        <f t="shared" si="48"/>
        <v>6776.42</v>
      </c>
      <c r="P85" s="3">
        <f>ROUND((ROUND((AC85*AW85*I85),2)*BC85),2)</f>
        <v>0</v>
      </c>
      <c r="Q85" s="3">
        <f>(ROUND((ROUND((((ET85*1.1))*AV85*I85),2)*BB85),2)+ROUND((ROUND(((AE85-((EU85*1.1)))*AV85*I85),2)*BS85),2))</f>
        <v>0</v>
      </c>
      <c r="R85" s="3">
        <f>(ROUND((ROUND((((EU85*1.1))*AV85*I85),2)*BS85),2)+ROUND((ROUND(((AE85-((EU85*1.1)))*AV85*I85),2)*BS85),2))</f>
        <v>0</v>
      </c>
      <c r="S85" s="3">
        <f t="shared" si="49"/>
        <v>6776.42</v>
      </c>
      <c r="T85" s="3">
        <f t="shared" si="50"/>
        <v>0</v>
      </c>
      <c r="U85" s="3">
        <f t="shared" si="51"/>
        <v>11.516999999999999</v>
      </c>
      <c r="V85" s="3">
        <f t="shared" si="52"/>
        <v>0</v>
      </c>
      <c r="W85" s="3">
        <f t="shared" si="53"/>
        <v>0</v>
      </c>
      <c r="X85" s="3">
        <f>(ROUND((((S85+ROUND((ROUND((((EU85*1.1))*AV85*I85),2)*BS85),2))*AT85)/100),2)+ROUND(((ROUND((ROUND(((AE85-((EU85*1.1)))*AV85*I85),2)*BS85),2)*AT85)/100),2))</f>
        <v>6437.6</v>
      </c>
      <c r="Y85" s="3">
        <f>(ROUND((((S85+ROUND((ROUND((((EU85*1.1))*AV85*I85),2)*BS85),2))*AU85)/100),2)+ROUND(((ROUND((ROUND(((AE85-((EU85*1.1)))*AV85*I85),2)*BS85),2)*AU85)/100),2))</f>
        <v>3591.5</v>
      </c>
      <c r="AA85" s="3">
        <v>60258618</v>
      </c>
      <c r="AB85" s="3">
        <f t="shared" si="54"/>
        <v>11.77</v>
      </c>
      <c r="AC85" s="3">
        <f>ROUND(((ES85*1)),6)</f>
        <v>0</v>
      </c>
      <c r="AD85" s="3">
        <f>ROUND(((((ET85*1.1))-((EU85*1.1)))+AE85),6)</f>
        <v>0</v>
      </c>
      <c r="AE85" s="3">
        <f>ROUND(((EU85*1.1)),6)</f>
        <v>0</v>
      </c>
      <c r="AF85" s="3">
        <f>ROUND(((EV85*1.1)),6)</f>
        <v>11.77</v>
      </c>
      <c r="AG85" s="3">
        <f t="shared" si="55"/>
        <v>0</v>
      </c>
      <c r="AH85" s="3">
        <f>((EW85*1.1))</f>
        <v>1.1000000000000001</v>
      </c>
      <c r="AI85" s="3">
        <f>((EX85*1.1))</f>
        <v>0</v>
      </c>
      <c r="AJ85" s="3">
        <f t="shared" si="56"/>
        <v>0</v>
      </c>
      <c r="AK85" s="3">
        <v>10.7</v>
      </c>
      <c r="AL85" s="3">
        <v>0</v>
      </c>
      <c r="AM85" s="3">
        <v>0</v>
      </c>
      <c r="AN85" s="3">
        <v>0</v>
      </c>
      <c r="AO85" s="3">
        <v>10.7</v>
      </c>
      <c r="AP85" s="3">
        <v>0</v>
      </c>
      <c r="AQ85" s="3">
        <v>1</v>
      </c>
      <c r="AR85" s="3">
        <v>0</v>
      </c>
      <c r="AS85" s="3">
        <v>0</v>
      </c>
      <c r="AT85" s="3">
        <v>95</v>
      </c>
      <c r="AU85" s="3">
        <v>53</v>
      </c>
      <c r="AV85" s="3">
        <v>1.0469999999999999</v>
      </c>
      <c r="AW85" s="3">
        <v>1</v>
      </c>
      <c r="AZ85" s="3">
        <v>1</v>
      </c>
      <c r="BA85" s="3">
        <v>54.99</v>
      </c>
      <c r="BB85" s="3">
        <v>1</v>
      </c>
      <c r="BC85" s="3">
        <v>1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0</v>
      </c>
      <c r="BI85" s="3">
        <v>2</v>
      </c>
      <c r="BJ85" s="3" t="s">
        <v>132</v>
      </c>
      <c r="BM85" s="3">
        <v>69</v>
      </c>
      <c r="BN85" s="3">
        <v>58973116</v>
      </c>
      <c r="BO85" s="3" t="s">
        <v>130</v>
      </c>
      <c r="BP85" s="3">
        <v>1</v>
      </c>
      <c r="BQ85" s="3">
        <v>40</v>
      </c>
      <c r="BR85" s="3">
        <v>0</v>
      </c>
      <c r="BS85" s="3">
        <v>54.99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95</v>
      </c>
      <c r="CA85" s="3">
        <v>53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363</v>
      </c>
      <c r="CO85" s="3">
        <v>0</v>
      </c>
      <c r="CP85" s="3">
        <f t="shared" si="57"/>
        <v>6776.42</v>
      </c>
      <c r="CQ85" s="3">
        <f>ROUND((ROUND((AC85*AW85*1),2)*BC85),2)</f>
        <v>0</v>
      </c>
      <c r="CR85" s="3">
        <f>(ROUND((ROUND((((ET85*1.1))*AV85*1),2)*BB85),2)+ROUND((ROUND(((AE85-((EU85*1.1)))*AV85*1),2)*BS85),2))</f>
        <v>0</v>
      </c>
      <c r="CS85" s="3">
        <f>(ROUND((ROUND((((EU85*1.1))*AV85*1),2)*BS85),2)+ROUND((ROUND(((AE85-((EU85*1.1)))*AV85*1),2)*BS85),2))</f>
        <v>0</v>
      </c>
      <c r="CT85" s="3">
        <f t="shared" si="58"/>
        <v>677.48</v>
      </c>
      <c r="CU85" s="3">
        <f t="shared" si="59"/>
        <v>0</v>
      </c>
      <c r="CV85" s="3">
        <f t="shared" si="60"/>
        <v>1.1516999999999999</v>
      </c>
      <c r="CW85" s="3">
        <f t="shared" si="61"/>
        <v>0</v>
      </c>
      <c r="CX85" s="3">
        <f t="shared" si="62"/>
        <v>0</v>
      </c>
      <c r="CY85" s="3">
        <f>(ROUND((((S85+ROUND((ROUND((((EU85*1.1))*AV85*1),2)*BS85),2))*AT85)/100),2)+ROUND(((ROUND((ROUND(((AE85-((EU85*1.1)))*AV85*1),2)*BS85),2)*AT85)/100),2))</f>
        <v>6437.6</v>
      </c>
      <c r="CZ85" s="3">
        <f>(ROUND((((S85+ROUND((ROUND((((EU85*1.1))*AV85*1),2)*BS85),2))*AU85)/100),2)+ROUND(((ROUND((ROUND(((AE85-((EU85*1.1)))*AV85*1),2)*BS85),2)*AU85)/100),2))</f>
        <v>3591.5</v>
      </c>
      <c r="DB85" s="3">
        <v>28</v>
      </c>
      <c r="DC85" s="3" t="s">
        <v>3</v>
      </c>
      <c r="DD85" s="3" t="s">
        <v>23</v>
      </c>
      <c r="DE85" s="3" t="s">
        <v>24</v>
      </c>
      <c r="DF85" s="3" t="s">
        <v>24</v>
      </c>
      <c r="DG85" s="3" t="s">
        <v>24</v>
      </c>
      <c r="DH85" s="3" t="s">
        <v>3</v>
      </c>
      <c r="DI85" s="3" t="s">
        <v>24</v>
      </c>
      <c r="DJ85" s="3" t="s">
        <v>24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1013</v>
      </c>
      <c r="DV85" s="3" t="s">
        <v>21</v>
      </c>
      <c r="DW85" s="3" t="s">
        <v>21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60088533</v>
      </c>
      <c r="EF85" s="3">
        <v>40</v>
      </c>
      <c r="EG85" s="3" t="s">
        <v>25</v>
      </c>
      <c r="EH85" s="3">
        <v>0</v>
      </c>
      <c r="EI85" s="3" t="s">
        <v>3</v>
      </c>
      <c r="EJ85" s="3">
        <v>2</v>
      </c>
      <c r="EK85" s="3">
        <v>69</v>
      </c>
      <c r="EL85" s="3" t="s">
        <v>26</v>
      </c>
      <c r="EM85" s="3" t="s">
        <v>27</v>
      </c>
      <c r="EO85" s="3" t="s">
        <v>28</v>
      </c>
      <c r="EQ85" s="3">
        <v>0</v>
      </c>
      <c r="ER85" s="3">
        <v>10.7</v>
      </c>
      <c r="ES85" s="3">
        <v>0</v>
      </c>
      <c r="ET85" s="3">
        <v>0</v>
      </c>
      <c r="EU85" s="3">
        <v>0</v>
      </c>
      <c r="EV85" s="3">
        <v>10.7</v>
      </c>
      <c r="EW85" s="3">
        <v>1</v>
      </c>
      <c r="EX85" s="3">
        <v>0</v>
      </c>
      <c r="EY85" s="3">
        <v>0</v>
      </c>
      <c r="FQ85" s="3">
        <v>0</v>
      </c>
      <c r="FR85" s="3">
        <v>0</v>
      </c>
      <c r="FS85" s="3">
        <v>0</v>
      </c>
      <c r="FX85" s="3">
        <v>95</v>
      </c>
      <c r="FY85" s="3">
        <v>53</v>
      </c>
      <c r="GA85" s="3" t="s">
        <v>3</v>
      </c>
      <c r="GD85" s="3">
        <v>1</v>
      </c>
      <c r="GF85" s="3">
        <v>-1595364230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63"/>
        <v>0</v>
      </c>
      <c r="GM85" s="3">
        <f t="shared" si="64"/>
        <v>16805.52</v>
      </c>
      <c r="GN85" s="3">
        <f t="shared" si="65"/>
        <v>0</v>
      </c>
      <c r="GO85" s="3">
        <f t="shared" si="66"/>
        <v>16805.52</v>
      </c>
      <c r="GP85" s="3">
        <f t="shared" si="67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68"/>
        <v>0</v>
      </c>
      <c r="GW85" s="3">
        <v>1</v>
      </c>
      <c r="GX85" s="3">
        <f t="shared" si="69"/>
        <v>0</v>
      </c>
      <c r="HA85" s="3">
        <v>0</v>
      </c>
      <c r="HB85" s="3">
        <v>0</v>
      </c>
      <c r="HC85" s="3">
        <f t="shared" si="70"/>
        <v>0</v>
      </c>
      <c r="HE85" s="3" t="s">
        <v>3</v>
      </c>
      <c r="HF85" s="3" t="s">
        <v>3</v>
      </c>
      <c r="HM85" s="3" t="s">
        <v>3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17</v>
      </c>
      <c r="B86" s="2">
        <v>1</v>
      </c>
      <c r="C86" s="2"/>
      <c r="D86" s="2"/>
      <c r="E86" s="2" t="s">
        <v>133</v>
      </c>
      <c r="F86" s="2" t="s">
        <v>134</v>
      </c>
      <c r="G86" s="2" t="s">
        <v>135</v>
      </c>
      <c r="H86" s="2" t="s">
        <v>32</v>
      </c>
      <c r="I86" s="2">
        <v>10</v>
      </c>
      <c r="J86" s="2">
        <v>0</v>
      </c>
      <c r="K86" s="2">
        <v>10</v>
      </c>
      <c r="L86" s="2"/>
      <c r="M86" s="2"/>
      <c r="N86" s="2"/>
      <c r="O86" s="2">
        <f t="shared" si="48"/>
        <v>480.8</v>
      </c>
      <c r="P86" s="2">
        <f>ROUND((ROUND((AC86*I86),2)*BC86),2)</f>
        <v>480.8</v>
      </c>
      <c r="Q86" s="2">
        <f>(ROUND((ROUND(((ET86)*AV86*I86),2)*BB86),2)+ROUND((ROUND(((AE86-(EU86))*AV86*I86),2)*BS86),2))</f>
        <v>0</v>
      </c>
      <c r="R86" s="2">
        <f>(ROUND((ROUND(((EU86)*AV86*I86),2)*BS86),2)+ROUND((ROUND(((AE86-(EU86))*AV86*I86),2)*BS86),2))</f>
        <v>0</v>
      </c>
      <c r="S86" s="2">
        <f t="shared" si="49"/>
        <v>0</v>
      </c>
      <c r="T86" s="2">
        <f t="shared" si="50"/>
        <v>0</v>
      </c>
      <c r="U86" s="2">
        <f t="shared" si="51"/>
        <v>0</v>
      </c>
      <c r="V86" s="2">
        <f t="shared" si="52"/>
        <v>0</v>
      </c>
      <c r="W86" s="2">
        <f t="shared" si="53"/>
        <v>0</v>
      </c>
      <c r="X86" s="2">
        <f>(ROUND((((S86+ROUND((ROUND(((EU86)*AV86*I86),2)*BS86),2))*AT86)/100),2)+ROUND(((ROUND((ROUND(((AE86-(EU86))*AV86*I86),2)*BS86),2)*AT86)/100),2))</f>
        <v>0</v>
      </c>
      <c r="Y86" s="2">
        <f>(ROUND((((S86+ROUND((ROUND(((EU86)*AV86*I86),2)*BS86),2))*AU86)/100),2)+ROUND(((ROUND((ROUND(((AE86-(EU86))*AV86*I86),2)*BS86),2)*AU86)/100),2))</f>
        <v>0</v>
      </c>
      <c r="Z86" s="2"/>
      <c r="AA86" s="2">
        <v>60258621</v>
      </c>
      <c r="AB86" s="2">
        <f t="shared" si="54"/>
        <v>48.08</v>
      </c>
      <c r="AC86" s="2">
        <f>ROUND((ES86),6)</f>
        <v>48.08</v>
      </c>
      <c r="AD86" s="2">
        <f>ROUND((((ET86)-(EU86))+AE86),6)</f>
        <v>0</v>
      </c>
      <c r="AE86" s="2">
        <f>ROUND((EU86),6)</f>
        <v>0</v>
      </c>
      <c r="AF86" s="2">
        <f>ROUND((EV86),6)</f>
        <v>0</v>
      </c>
      <c r="AG86" s="2">
        <f t="shared" si="55"/>
        <v>0</v>
      </c>
      <c r="AH86" s="2">
        <f>(EW86)</f>
        <v>0</v>
      </c>
      <c r="AI86" s="2">
        <f>(EX86)</f>
        <v>0</v>
      </c>
      <c r="AJ86" s="2">
        <f t="shared" si="56"/>
        <v>0</v>
      </c>
      <c r="AK86" s="2">
        <v>48.080000000000005</v>
      </c>
      <c r="AL86" s="2">
        <v>48.080000000000005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3</v>
      </c>
      <c r="BJ86" s="2" t="s">
        <v>3</v>
      </c>
      <c r="BK86" s="2"/>
      <c r="BL86" s="2"/>
      <c r="BM86" s="2">
        <v>746</v>
      </c>
      <c r="BN86" s="2">
        <v>0</v>
      </c>
      <c r="BO86" s="2" t="s">
        <v>3</v>
      </c>
      <c r="BP86" s="2">
        <v>0</v>
      </c>
      <c r="BQ86" s="2">
        <v>130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0</v>
      </c>
      <c r="CA86" s="2">
        <v>0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3</v>
      </c>
      <c r="CO86" s="2">
        <v>0</v>
      </c>
      <c r="CP86" s="2">
        <f t="shared" si="57"/>
        <v>480.8</v>
      </c>
      <c r="CQ86" s="2">
        <f>ROUND((ROUND((AC86*1),2)*BC86),2)</f>
        <v>48.08</v>
      </c>
      <c r="CR86" s="2">
        <f>(ROUND((ROUND(((ET86)*AV86*1),2)*BB86),2)+ROUND((ROUND(((AE86-(EU86))*AV86*1),2)*BS86),2))</f>
        <v>0</v>
      </c>
      <c r="CS86" s="2">
        <f>(ROUND((ROUND(((EU86)*AV86*1),2)*BS86),2)+ROUND((ROUND(((AE86-(EU86))*AV86*1),2)*BS86),2))</f>
        <v>0</v>
      </c>
      <c r="CT86" s="2">
        <f t="shared" si="58"/>
        <v>0</v>
      </c>
      <c r="CU86" s="2">
        <f t="shared" si="59"/>
        <v>0</v>
      </c>
      <c r="CV86" s="2">
        <f t="shared" si="60"/>
        <v>0</v>
      </c>
      <c r="CW86" s="2">
        <f t="shared" si="61"/>
        <v>0</v>
      </c>
      <c r="CX86" s="2">
        <f t="shared" si="62"/>
        <v>0</v>
      </c>
      <c r="CY86" s="2">
        <f>(ROUND((((S86+ROUND((ROUND(((EU86)*AV86*1),2)*BS86),2))*AT86)/100),2)+ROUND(((ROUND((ROUND(((AE86-(EU86))*AV86*1),2)*BS86),2)*AT86)/100),2))</f>
        <v>0</v>
      </c>
      <c r="CZ86" s="2">
        <f>(ROUND((((S86+ROUND((ROUND(((EU86)*AV86*1),2)*BS86),2))*AU86)/100),2)+ROUND(((ROUND((ROUND(((AE86-(EU86))*AV86*1),2)*BS86),2)*AU86)/100),2))</f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1013</v>
      </c>
      <c r="DV86" s="2" t="s">
        <v>32</v>
      </c>
      <c r="DW86" s="2" t="s">
        <v>32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60088638</v>
      </c>
      <c r="EF86" s="2">
        <v>130</v>
      </c>
      <c r="EG86" s="2" t="s">
        <v>33</v>
      </c>
      <c r="EH86" s="2">
        <v>0</v>
      </c>
      <c r="EI86" s="2" t="s">
        <v>3</v>
      </c>
      <c r="EJ86" s="2">
        <v>3</v>
      </c>
      <c r="EK86" s="2">
        <v>746</v>
      </c>
      <c r="EL86" s="2" t="s">
        <v>34</v>
      </c>
      <c r="EM86" s="2" t="s">
        <v>35</v>
      </c>
      <c r="EN86" s="2"/>
      <c r="EO86" s="2" t="s">
        <v>3</v>
      </c>
      <c r="EP86" s="2"/>
      <c r="EQ86" s="2">
        <v>0</v>
      </c>
      <c r="ER86" s="2">
        <v>0</v>
      </c>
      <c r="ES86" s="2">
        <v>48.080000000000005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f>P86</f>
        <v>480.8</v>
      </c>
      <c r="FS86" s="2">
        <v>0</v>
      </c>
      <c r="FT86" s="2"/>
      <c r="FU86" s="2"/>
      <c r="FV86" s="2"/>
      <c r="FW86" s="2"/>
      <c r="FX86" s="2">
        <v>0</v>
      </c>
      <c r="FY86" s="2">
        <v>0</v>
      </c>
      <c r="FZ86" s="2"/>
      <c r="GA86" s="2" t="s">
        <v>136</v>
      </c>
      <c r="GB86" s="2"/>
      <c r="GC86" s="2"/>
      <c r="GD86" s="2">
        <v>1</v>
      </c>
      <c r="GE86" s="2"/>
      <c r="GF86" s="2">
        <v>-1318297422</v>
      </c>
      <c r="GG86" s="2">
        <v>2</v>
      </c>
      <c r="GH86" s="2">
        <v>4</v>
      </c>
      <c r="GI86" s="2">
        <v>-2</v>
      </c>
      <c r="GJ86" s="2">
        <v>0</v>
      </c>
      <c r="GK86" s="2">
        <v>0</v>
      </c>
      <c r="GL86" s="2">
        <f t="shared" si="63"/>
        <v>0</v>
      </c>
      <c r="GM86" s="2">
        <f t="shared" si="64"/>
        <v>480.8</v>
      </c>
      <c r="GN86" s="2">
        <f t="shared" si="65"/>
        <v>0</v>
      </c>
      <c r="GO86" s="2">
        <f t="shared" si="66"/>
        <v>0</v>
      </c>
      <c r="GP86" s="2">
        <f t="shared" si="67"/>
        <v>0</v>
      </c>
      <c r="GQ86" s="2"/>
      <c r="GR86" s="2">
        <v>0</v>
      </c>
      <c r="GS86" s="2">
        <v>2</v>
      </c>
      <c r="GT86" s="2">
        <v>0</v>
      </c>
      <c r="GU86" s="2" t="s">
        <v>3</v>
      </c>
      <c r="GV86" s="2">
        <f t="shared" si="68"/>
        <v>0</v>
      </c>
      <c r="GW86" s="2">
        <v>1</v>
      </c>
      <c r="GX86" s="2">
        <f t="shared" si="69"/>
        <v>0</v>
      </c>
      <c r="GY86" s="2"/>
      <c r="GZ86" s="2"/>
      <c r="HA86" s="2">
        <v>0</v>
      </c>
      <c r="HB86" s="2">
        <v>0</v>
      </c>
      <c r="HC86" s="2">
        <f t="shared" si="70"/>
        <v>0</v>
      </c>
      <c r="HD86" s="2"/>
      <c r="HE86" s="2" t="s">
        <v>37</v>
      </c>
      <c r="HF86" s="2" t="s">
        <v>38</v>
      </c>
      <c r="HG86" s="2"/>
      <c r="HH86" s="2"/>
      <c r="HI86" s="2"/>
      <c r="HJ86" s="2"/>
      <c r="HK86" s="2"/>
      <c r="HL86" s="2"/>
      <c r="HM86" s="2" t="s">
        <v>3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17</v>
      </c>
      <c r="B87" s="3">
        <v>1</v>
      </c>
      <c r="E87" s="3" t="s">
        <v>133</v>
      </c>
      <c r="F87" s="3" t="s">
        <v>134</v>
      </c>
      <c r="G87" s="3" t="s">
        <v>135</v>
      </c>
      <c r="H87" s="3" t="s">
        <v>32</v>
      </c>
      <c r="I87" s="3">
        <v>10</v>
      </c>
      <c r="J87" s="3">
        <v>0</v>
      </c>
      <c r="K87" s="3">
        <v>10</v>
      </c>
      <c r="O87" s="3">
        <f t="shared" si="48"/>
        <v>3682.93</v>
      </c>
      <c r="P87" s="3">
        <f>ROUND((ROUND((AC87*I87),2)*BC87),2)</f>
        <v>3682.93</v>
      </c>
      <c r="Q87" s="3">
        <f>(ROUND((ROUND(((ET87)*AV87*I87),2)*BB87),2)+ROUND((ROUND(((AE87-(EU87))*AV87*I87),2)*BS87),2))</f>
        <v>0</v>
      </c>
      <c r="R87" s="3">
        <f>(ROUND((ROUND(((EU87)*AV87*I87),2)*BS87),2)+ROUND((ROUND(((AE87-(EU87))*AV87*I87),2)*BS87),2))</f>
        <v>0</v>
      </c>
      <c r="S87" s="3">
        <f t="shared" si="49"/>
        <v>0</v>
      </c>
      <c r="T87" s="3">
        <f t="shared" si="50"/>
        <v>0</v>
      </c>
      <c r="U87" s="3">
        <f t="shared" si="51"/>
        <v>0</v>
      </c>
      <c r="V87" s="3">
        <f t="shared" si="52"/>
        <v>0</v>
      </c>
      <c r="W87" s="3">
        <f t="shared" si="53"/>
        <v>0</v>
      </c>
      <c r="X87" s="3">
        <f>(ROUND((((S87+ROUND((ROUND(((EU87)*AV87*I87),2)*BS87),2))*AT87)/100),2)+ROUND(((ROUND((ROUND(((AE87-(EU87))*AV87*I87),2)*BS87),2)*AT87)/100),2))</f>
        <v>0</v>
      </c>
      <c r="Y87" s="3">
        <f>(ROUND((((S87+ROUND((ROUND(((EU87)*AV87*I87),2)*BS87),2))*AU87)/100),2)+ROUND(((ROUND((ROUND(((AE87-(EU87))*AV87*I87),2)*BS87),2)*AU87)/100),2))</f>
        <v>0</v>
      </c>
      <c r="AA87" s="3">
        <v>60258618</v>
      </c>
      <c r="AB87" s="3">
        <f t="shared" si="54"/>
        <v>48.08</v>
      </c>
      <c r="AC87" s="3">
        <f>ROUND((ES87),6)</f>
        <v>48.08</v>
      </c>
      <c r="AD87" s="3">
        <f>ROUND((((ET87)-(EU87))+AE87),6)</f>
        <v>0</v>
      </c>
      <c r="AE87" s="3">
        <f>ROUND((EU87),6)</f>
        <v>0</v>
      </c>
      <c r="AF87" s="3">
        <f>ROUND((EV87),6)</f>
        <v>0</v>
      </c>
      <c r="AG87" s="3">
        <f t="shared" si="55"/>
        <v>0</v>
      </c>
      <c r="AH87" s="3">
        <f>(EW87)</f>
        <v>0</v>
      </c>
      <c r="AI87" s="3">
        <f>(EX87)</f>
        <v>0</v>
      </c>
      <c r="AJ87" s="3">
        <f t="shared" si="56"/>
        <v>0</v>
      </c>
      <c r="AK87" s="3">
        <v>48.080000000000005</v>
      </c>
      <c r="AL87" s="3">
        <v>48.080000000000005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7.66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3</v>
      </c>
      <c r="BJ87" s="3" t="s">
        <v>3</v>
      </c>
      <c r="BM87" s="3">
        <v>746</v>
      </c>
      <c r="BN87" s="3">
        <v>0</v>
      </c>
      <c r="BO87" s="3" t="s">
        <v>3</v>
      </c>
      <c r="BP87" s="3">
        <v>0</v>
      </c>
      <c r="BQ87" s="3">
        <v>130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0</v>
      </c>
      <c r="CA87" s="3">
        <v>0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3</v>
      </c>
      <c r="CO87" s="3">
        <v>0</v>
      </c>
      <c r="CP87" s="3">
        <f t="shared" si="57"/>
        <v>3682.93</v>
      </c>
      <c r="CQ87" s="3">
        <f>ROUND((ROUND((AC87*1),2)*BC87),2)</f>
        <v>368.29</v>
      </c>
      <c r="CR87" s="3">
        <f>(ROUND((ROUND(((ET87)*AV87*1),2)*BB87),2)+ROUND((ROUND(((AE87-(EU87))*AV87*1),2)*BS87),2))</f>
        <v>0</v>
      </c>
      <c r="CS87" s="3">
        <f>(ROUND((ROUND(((EU87)*AV87*1),2)*BS87),2)+ROUND((ROUND(((AE87-(EU87))*AV87*1),2)*BS87),2))</f>
        <v>0</v>
      </c>
      <c r="CT87" s="3">
        <f t="shared" si="58"/>
        <v>0</v>
      </c>
      <c r="CU87" s="3">
        <f t="shared" si="59"/>
        <v>0</v>
      </c>
      <c r="CV87" s="3">
        <f t="shared" si="60"/>
        <v>0</v>
      </c>
      <c r="CW87" s="3">
        <f t="shared" si="61"/>
        <v>0</v>
      </c>
      <c r="CX87" s="3">
        <f t="shared" si="62"/>
        <v>0</v>
      </c>
      <c r="CY87" s="3">
        <f>(ROUND((((S87+ROUND((ROUND(((EU87)*AV87*1),2)*BS87),2))*AT87)/100),2)+ROUND(((ROUND((ROUND(((AE87-(EU87))*AV87*1),2)*BS87),2)*AT87)/100),2))</f>
        <v>0</v>
      </c>
      <c r="CZ87" s="3">
        <f>(ROUND((((S87+ROUND((ROUND(((EU87)*AV87*1),2)*BS87),2))*AU87)/100),2)+ROUND(((ROUND((ROUND(((AE87-(EU87))*AV87*1),2)*BS87),2)*AU87)/100),2))</f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U87" s="3">
        <v>1013</v>
      </c>
      <c r="DV87" s="3" t="s">
        <v>32</v>
      </c>
      <c r="DW87" s="3" t="s">
        <v>32</v>
      </c>
      <c r="DX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60088638</v>
      </c>
      <c r="EF87" s="3">
        <v>130</v>
      </c>
      <c r="EG87" s="3" t="s">
        <v>33</v>
      </c>
      <c r="EH87" s="3">
        <v>0</v>
      </c>
      <c r="EI87" s="3" t="s">
        <v>3</v>
      </c>
      <c r="EJ87" s="3">
        <v>3</v>
      </c>
      <c r="EK87" s="3">
        <v>746</v>
      </c>
      <c r="EL87" s="3" t="s">
        <v>34</v>
      </c>
      <c r="EM87" s="3" t="s">
        <v>35</v>
      </c>
      <c r="EO87" s="3" t="s">
        <v>3</v>
      </c>
      <c r="EQ87" s="3">
        <v>0</v>
      </c>
      <c r="ER87" s="3">
        <v>48.080000000000005</v>
      </c>
      <c r="ES87" s="3">
        <v>48.080000000000005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5</v>
      </c>
      <c r="FC87" s="3">
        <v>1</v>
      </c>
      <c r="FD87" s="3">
        <v>18</v>
      </c>
      <c r="FF87" s="3">
        <v>424</v>
      </c>
      <c r="FQ87" s="3">
        <v>0</v>
      </c>
      <c r="FR87" s="3">
        <f>P87</f>
        <v>3682.93</v>
      </c>
      <c r="FS87" s="3">
        <v>0</v>
      </c>
      <c r="FX87" s="3">
        <v>0</v>
      </c>
      <c r="FY87" s="3">
        <v>0</v>
      </c>
      <c r="GA87" s="3" t="s">
        <v>136</v>
      </c>
      <c r="GD87" s="3">
        <v>1</v>
      </c>
      <c r="GF87" s="3">
        <v>-1318297422</v>
      </c>
      <c r="GG87" s="3">
        <v>2</v>
      </c>
      <c r="GH87" s="3">
        <v>3</v>
      </c>
      <c r="GI87" s="3">
        <v>5</v>
      </c>
      <c r="GJ87" s="3">
        <v>0</v>
      </c>
      <c r="GK87" s="3">
        <v>0</v>
      </c>
      <c r="GL87" s="3">
        <f t="shared" si="63"/>
        <v>0</v>
      </c>
      <c r="GM87" s="3">
        <f t="shared" si="64"/>
        <v>3682.93</v>
      </c>
      <c r="GN87" s="3">
        <f t="shared" si="65"/>
        <v>0</v>
      </c>
      <c r="GO87" s="3">
        <f t="shared" si="66"/>
        <v>0</v>
      </c>
      <c r="GP87" s="3">
        <f t="shared" si="67"/>
        <v>0</v>
      </c>
      <c r="GR87" s="3">
        <v>1</v>
      </c>
      <c r="GS87" s="3">
        <v>1</v>
      </c>
      <c r="GT87" s="3">
        <v>0</v>
      </c>
      <c r="GU87" s="3" t="s">
        <v>3</v>
      </c>
      <c r="GV87" s="3">
        <f t="shared" si="68"/>
        <v>0</v>
      </c>
      <c r="GW87" s="3">
        <v>1</v>
      </c>
      <c r="GX87" s="3">
        <f t="shared" si="69"/>
        <v>0</v>
      </c>
      <c r="HA87" s="3">
        <v>0</v>
      </c>
      <c r="HB87" s="3">
        <v>0</v>
      </c>
      <c r="HC87" s="3">
        <f t="shared" si="70"/>
        <v>0</v>
      </c>
      <c r="HE87" s="3" t="s">
        <v>37</v>
      </c>
      <c r="HF87" s="3" t="s">
        <v>38</v>
      </c>
      <c r="HM87" s="3" t="s">
        <v>3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>
        <f>ROW(SmtRes!A56)</f>
        <v>56</v>
      </c>
      <c r="D88" s="2">
        <f>ROW(EtalonRes!A68)</f>
        <v>68</v>
      </c>
      <c r="E88" s="2" t="s">
        <v>137</v>
      </c>
      <c r="F88" s="2" t="s">
        <v>138</v>
      </c>
      <c r="G88" s="2" t="s">
        <v>139</v>
      </c>
      <c r="H88" s="2" t="s">
        <v>140</v>
      </c>
      <c r="I88" s="2">
        <f>ROUND(1/100,9)</f>
        <v>0.01</v>
      </c>
      <c r="J88" s="2">
        <v>0</v>
      </c>
      <c r="K88" s="2">
        <f>ROUND(1/100,9)</f>
        <v>0.01</v>
      </c>
      <c r="L88" s="2"/>
      <c r="M88" s="2"/>
      <c r="N88" s="2"/>
      <c r="O88" s="2">
        <f t="shared" si="48"/>
        <v>14.55</v>
      </c>
      <c r="P88" s="2">
        <f>ROUND((ROUND((AC88*AW88*I88),2)*BC88),2)</f>
        <v>0.81</v>
      </c>
      <c r="Q88" s="2">
        <f>(ROUND((ROUND((((ET88*1.1))*AV88*I88),2)*BB88),2)+ROUND((ROUND(((AE88-((EU88*1.1)))*AV88*I88),2)*BS88),2))</f>
        <v>1.07</v>
      </c>
      <c r="R88" s="2">
        <f>(ROUND((ROUND((((EU88*1.1))*AV88*I88),2)*BS88),2)+ROUND((ROUND(((AE88-((EU88*1.1)))*AV88*I88),2)*BS88),2))</f>
        <v>0.15</v>
      </c>
      <c r="S88" s="2">
        <f t="shared" si="49"/>
        <v>12.67</v>
      </c>
      <c r="T88" s="2">
        <f t="shared" si="50"/>
        <v>0</v>
      </c>
      <c r="U88" s="2">
        <f t="shared" si="51"/>
        <v>0.97514439000000008</v>
      </c>
      <c r="V88" s="2">
        <f t="shared" si="52"/>
        <v>0</v>
      </c>
      <c r="W88" s="2">
        <f t="shared" si="53"/>
        <v>0</v>
      </c>
      <c r="X88" s="2">
        <f>(ROUND((((S88+ROUND((ROUND((((EU88*1.1))*AV88*I88),2)*BS88),2))*AT88)/100),2)+ROUND(((ROUND((ROUND(((AE88-((EU88*1.1)))*AV88*I88),2)*BS88),2)*AT88)/100),2))</f>
        <v>12.44</v>
      </c>
      <c r="Y88" s="2">
        <f>(ROUND((((S88+ROUND((ROUND((((EU88*1.1))*AV88*I88),2)*BS88),2))*AU88)/100),2)+ROUND(((ROUND((ROUND(((AE88-((EU88*1.1)))*AV88*I88),2)*BS88),2)*AU88)/100),2))</f>
        <v>6.54</v>
      </c>
      <c r="Z88" s="2"/>
      <c r="AA88" s="2">
        <v>60258621</v>
      </c>
      <c r="AB88" s="2">
        <f t="shared" si="54"/>
        <v>1393.8579999999999</v>
      </c>
      <c r="AC88" s="2">
        <f>ROUND(((ES88*1)),6)</f>
        <v>81.36</v>
      </c>
      <c r="AD88" s="2">
        <f>ROUND(((((ET88*1.1))-((EU88*1.1)))+AE88),6)</f>
        <v>102.652</v>
      </c>
      <c r="AE88" s="2">
        <f>ROUND(((EU88*1.1)),6)</f>
        <v>14.3</v>
      </c>
      <c r="AF88" s="2">
        <f>ROUND(((EV88*1.1)),6)</f>
        <v>1209.846</v>
      </c>
      <c r="AG88" s="2">
        <f t="shared" si="55"/>
        <v>0</v>
      </c>
      <c r="AH88" s="2">
        <f>((EW88*1.1))</f>
        <v>93.137000000000015</v>
      </c>
      <c r="AI88" s="2">
        <f>((EX88*1.1))</f>
        <v>0</v>
      </c>
      <c r="AJ88" s="2">
        <f t="shared" si="56"/>
        <v>0</v>
      </c>
      <c r="AK88" s="2">
        <v>1274.54</v>
      </c>
      <c r="AL88" s="2">
        <v>81.36</v>
      </c>
      <c r="AM88" s="2">
        <v>93.32</v>
      </c>
      <c r="AN88" s="2">
        <v>13</v>
      </c>
      <c r="AO88" s="2">
        <v>1099.8599999999999</v>
      </c>
      <c r="AP88" s="2">
        <v>0</v>
      </c>
      <c r="AQ88" s="2">
        <v>84.67</v>
      </c>
      <c r="AR88" s="2">
        <v>0</v>
      </c>
      <c r="AS88" s="2">
        <v>0</v>
      </c>
      <c r="AT88" s="2">
        <v>97</v>
      </c>
      <c r="AU88" s="2">
        <v>51</v>
      </c>
      <c r="AV88" s="2">
        <v>1.0469999999999999</v>
      </c>
      <c r="AW88" s="2">
        <v>1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2</v>
      </c>
      <c r="BJ88" s="2" t="s">
        <v>141</v>
      </c>
      <c r="BK88" s="2"/>
      <c r="BL88" s="2"/>
      <c r="BM88" s="2">
        <v>67</v>
      </c>
      <c r="BN88" s="2">
        <v>58973116</v>
      </c>
      <c r="BO88" s="2" t="s">
        <v>138</v>
      </c>
      <c r="BP88" s="2">
        <v>1</v>
      </c>
      <c r="BQ88" s="2">
        <v>40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97</v>
      </c>
      <c r="CA88" s="2">
        <v>51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363</v>
      </c>
      <c r="CO88" s="2">
        <v>0</v>
      </c>
      <c r="CP88" s="2">
        <f t="shared" si="57"/>
        <v>14.55</v>
      </c>
      <c r="CQ88" s="2">
        <f>ROUND((ROUND((AC88*AW88*1),2)*BC88),2)</f>
        <v>81.36</v>
      </c>
      <c r="CR88" s="2">
        <f>(ROUND((ROUND((((ET88*1.1))*AV88*1),2)*BB88),2)+ROUND((ROUND(((AE88-((EU88*1.1)))*AV88*1),2)*BS88),2))</f>
        <v>107.48</v>
      </c>
      <c r="CS88" s="2">
        <f>(ROUND((ROUND((((EU88*1.1))*AV88*1),2)*BS88),2)+ROUND((ROUND(((AE88-((EU88*1.1)))*AV88*1),2)*BS88),2))</f>
        <v>14.97</v>
      </c>
      <c r="CT88" s="2">
        <f t="shared" si="58"/>
        <v>1266.71</v>
      </c>
      <c r="CU88" s="2">
        <f t="shared" si="59"/>
        <v>0</v>
      </c>
      <c r="CV88" s="2">
        <f t="shared" si="60"/>
        <v>97.51443900000001</v>
      </c>
      <c r="CW88" s="2">
        <f t="shared" si="61"/>
        <v>0</v>
      </c>
      <c r="CX88" s="2">
        <f t="shared" si="62"/>
        <v>0</v>
      </c>
      <c r="CY88" s="2">
        <f>(ROUND((((S88+ROUND((ROUND((((EU88*1.1))*AV88*1),2)*BS88),2))*AT88)/100),2)+ROUND(((ROUND((ROUND(((AE88-((EU88*1.1)))*AV88*1),2)*BS88),2)*AT88)/100),2))</f>
        <v>26.81</v>
      </c>
      <c r="CZ88" s="2">
        <f>(ROUND((((S88+ROUND((ROUND((((EU88*1.1))*AV88*1),2)*BS88),2))*AU88)/100),2)+ROUND(((ROUND((ROUND(((AE88-((EU88*1.1)))*AV88*1),2)*BS88),2)*AU88)/100),2))</f>
        <v>14.1</v>
      </c>
      <c r="DA88" s="2"/>
      <c r="DB88" s="2">
        <v>29</v>
      </c>
      <c r="DC88" s="2" t="s">
        <v>3</v>
      </c>
      <c r="DD88" s="2" t="s">
        <v>23</v>
      </c>
      <c r="DE88" s="2" t="s">
        <v>24</v>
      </c>
      <c r="DF88" s="2" t="s">
        <v>24</v>
      </c>
      <c r="DG88" s="2" t="s">
        <v>24</v>
      </c>
      <c r="DH88" s="2" t="s">
        <v>3</v>
      </c>
      <c r="DI88" s="2" t="s">
        <v>24</v>
      </c>
      <c r="DJ88" s="2" t="s">
        <v>24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1010</v>
      </c>
      <c r="DV88" s="2" t="s">
        <v>140</v>
      </c>
      <c r="DW88" s="2" t="s">
        <v>140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60088531</v>
      </c>
      <c r="EF88" s="2">
        <v>40</v>
      </c>
      <c r="EG88" s="2" t="s">
        <v>25</v>
      </c>
      <c r="EH88" s="2">
        <v>0</v>
      </c>
      <c r="EI88" s="2" t="s">
        <v>3</v>
      </c>
      <c r="EJ88" s="2">
        <v>2</v>
      </c>
      <c r="EK88" s="2">
        <v>67</v>
      </c>
      <c r="EL88" s="2" t="s">
        <v>142</v>
      </c>
      <c r="EM88" s="2" t="s">
        <v>143</v>
      </c>
      <c r="EN88" s="2"/>
      <c r="EO88" s="2" t="s">
        <v>28</v>
      </c>
      <c r="EP88" s="2"/>
      <c r="EQ88" s="2">
        <v>0</v>
      </c>
      <c r="ER88" s="2">
        <v>1274.54</v>
      </c>
      <c r="ES88" s="2">
        <v>81.36</v>
      </c>
      <c r="ET88" s="2">
        <v>93.32</v>
      </c>
      <c r="EU88" s="2">
        <v>13</v>
      </c>
      <c r="EV88" s="2">
        <v>1099.8599999999999</v>
      </c>
      <c r="EW88" s="2">
        <v>84.67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0</v>
      </c>
      <c r="FT88" s="2"/>
      <c r="FU88" s="2"/>
      <c r="FV88" s="2"/>
      <c r="FW88" s="2"/>
      <c r="FX88" s="2">
        <v>97</v>
      </c>
      <c r="FY88" s="2">
        <v>51</v>
      </c>
      <c r="FZ88" s="2"/>
      <c r="GA88" s="2" t="s">
        <v>3</v>
      </c>
      <c r="GB88" s="2"/>
      <c r="GC88" s="2"/>
      <c r="GD88" s="2">
        <v>1</v>
      </c>
      <c r="GE88" s="2"/>
      <c r="GF88" s="2">
        <v>1425619810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63"/>
        <v>0</v>
      </c>
      <c r="GM88" s="2">
        <f t="shared" si="64"/>
        <v>33.53</v>
      </c>
      <c r="GN88" s="2">
        <f t="shared" si="65"/>
        <v>0</v>
      </c>
      <c r="GO88" s="2">
        <f t="shared" si="66"/>
        <v>33.53</v>
      </c>
      <c r="GP88" s="2">
        <f t="shared" si="67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68"/>
        <v>0</v>
      </c>
      <c r="GW88" s="2">
        <v>1</v>
      </c>
      <c r="GX88" s="2">
        <f t="shared" si="69"/>
        <v>0</v>
      </c>
      <c r="GY88" s="2"/>
      <c r="GZ88" s="2"/>
      <c r="HA88" s="2">
        <v>0</v>
      </c>
      <c r="HB88" s="2">
        <v>0</v>
      </c>
      <c r="HC88" s="2">
        <f t="shared" si="70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C89" s="3">
        <f>ROW(SmtRes!A62)</f>
        <v>62</v>
      </c>
      <c r="D89" s="3">
        <f>ROW(EtalonRes!A76)</f>
        <v>76</v>
      </c>
      <c r="E89" s="3" t="s">
        <v>137</v>
      </c>
      <c r="F89" s="3" t="s">
        <v>138</v>
      </c>
      <c r="G89" s="3" t="s">
        <v>139</v>
      </c>
      <c r="H89" s="3" t="s">
        <v>140</v>
      </c>
      <c r="I89" s="3">
        <f>ROUND(1/100,9)</f>
        <v>0.01</v>
      </c>
      <c r="J89" s="3">
        <v>0</v>
      </c>
      <c r="K89" s="3">
        <f>ROUND(1/100,9)</f>
        <v>0.01</v>
      </c>
      <c r="O89" s="3">
        <f t="shared" si="48"/>
        <v>722.1</v>
      </c>
      <c r="P89" s="3">
        <f>ROUND((ROUND((AC89*AW89*I89),2)*BC89),2)</f>
        <v>8.6300000000000008</v>
      </c>
      <c r="Q89" s="3">
        <f>(ROUND((ROUND((((ET89*1.1))*AV89*I89),2)*BB89),2)+ROUND((ROUND(((AE89-((EU89*1.1)))*AV89*I89),2)*BS89),2))</f>
        <v>16.75</v>
      </c>
      <c r="R89" s="3">
        <f>(ROUND((ROUND((((EU89*1.1))*AV89*I89),2)*BS89),2)+ROUND((ROUND(((AE89-((EU89*1.1)))*AV89*I89),2)*BS89),2))</f>
        <v>8.25</v>
      </c>
      <c r="S89" s="3">
        <f t="shared" si="49"/>
        <v>696.72</v>
      </c>
      <c r="T89" s="3">
        <f t="shared" si="50"/>
        <v>0</v>
      </c>
      <c r="U89" s="3">
        <f t="shared" si="51"/>
        <v>0.97514439000000008</v>
      </c>
      <c r="V89" s="3">
        <f t="shared" si="52"/>
        <v>0</v>
      </c>
      <c r="W89" s="3">
        <f t="shared" si="53"/>
        <v>0</v>
      </c>
      <c r="X89" s="3">
        <f>(ROUND((((S89+ROUND((ROUND((((EU89*1.1))*AV89*I89),2)*BS89),2))*AT89)/100),2)+ROUND(((ROUND((ROUND(((AE89-((EU89*1.1)))*AV89*I89),2)*BS89),2)*AT89)/100),2))</f>
        <v>683.82</v>
      </c>
      <c r="Y89" s="3">
        <f>(ROUND((((S89+ROUND((ROUND((((EU89*1.1))*AV89*I89),2)*BS89),2))*AU89)/100),2)+ROUND(((ROUND((ROUND(((AE89-((EU89*1.1)))*AV89*I89),2)*BS89),2)*AU89)/100),2))</f>
        <v>359.53</v>
      </c>
      <c r="AA89" s="3">
        <v>60258618</v>
      </c>
      <c r="AB89" s="3">
        <f t="shared" si="54"/>
        <v>1393.8579999999999</v>
      </c>
      <c r="AC89" s="3">
        <f>ROUND(((ES89*1)),6)</f>
        <v>81.36</v>
      </c>
      <c r="AD89" s="3">
        <f>ROUND(((((ET89*1.1))-((EU89*1.1)))+AE89),6)</f>
        <v>102.652</v>
      </c>
      <c r="AE89" s="3">
        <f>ROUND(((EU89*1.1)),6)</f>
        <v>14.3</v>
      </c>
      <c r="AF89" s="3">
        <f>ROUND(((EV89*1.1)),6)</f>
        <v>1209.846</v>
      </c>
      <c r="AG89" s="3">
        <f t="shared" si="55"/>
        <v>0</v>
      </c>
      <c r="AH89" s="3">
        <f>((EW89*1.1))</f>
        <v>93.137000000000015</v>
      </c>
      <c r="AI89" s="3">
        <f>((EX89*1.1))</f>
        <v>0</v>
      </c>
      <c r="AJ89" s="3">
        <f t="shared" si="56"/>
        <v>0</v>
      </c>
      <c r="AK89" s="3">
        <v>1274.54</v>
      </c>
      <c r="AL89" s="3">
        <v>81.36</v>
      </c>
      <c r="AM89" s="3">
        <v>93.32</v>
      </c>
      <c r="AN89" s="3">
        <v>13</v>
      </c>
      <c r="AO89" s="3">
        <v>1099.8599999999999</v>
      </c>
      <c r="AP89" s="3">
        <v>0</v>
      </c>
      <c r="AQ89" s="3">
        <v>84.67</v>
      </c>
      <c r="AR89" s="3">
        <v>0</v>
      </c>
      <c r="AS89" s="3">
        <v>0</v>
      </c>
      <c r="AT89" s="3">
        <v>97</v>
      </c>
      <c r="AU89" s="3">
        <v>51</v>
      </c>
      <c r="AV89" s="3">
        <v>1.0469999999999999</v>
      </c>
      <c r="AW89" s="3">
        <v>1</v>
      </c>
      <c r="AZ89" s="3">
        <v>1</v>
      </c>
      <c r="BA89" s="3">
        <v>54.99</v>
      </c>
      <c r="BB89" s="3">
        <v>15.65</v>
      </c>
      <c r="BC89" s="3">
        <v>10.65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2</v>
      </c>
      <c r="BJ89" s="3" t="s">
        <v>141</v>
      </c>
      <c r="BM89" s="3">
        <v>67</v>
      </c>
      <c r="BN89" s="3">
        <v>58973116</v>
      </c>
      <c r="BO89" s="3" t="s">
        <v>138</v>
      </c>
      <c r="BP89" s="3">
        <v>1</v>
      </c>
      <c r="BQ89" s="3">
        <v>40</v>
      </c>
      <c r="BR89" s="3">
        <v>0</v>
      </c>
      <c r="BS89" s="3">
        <v>54.99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97</v>
      </c>
      <c r="CA89" s="3">
        <v>51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363</v>
      </c>
      <c r="CO89" s="3">
        <v>0</v>
      </c>
      <c r="CP89" s="3">
        <f t="shared" si="57"/>
        <v>722.1</v>
      </c>
      <c r="CQ89" s="3">
        <f>ROUND((ROUND((AC89*AW89*1),2)*BC89),2)</f>
        <v>866.48</v>
      </c>
      <c r="CR89" s="3">
        <f>(ROUND((ROUND((((ET89*1.1))*AV89*1),2)*BB89),2)+ROUND((ROUND(((AE89-((EU89*1.1)))*AV89*1),2)*BS89),2))</f>
        <v>1682.06</v>
      </c>
      <c r="CS89" s="3">
        <f>(ROUND((ROUND((((EU89*1.1))*AV89*1),2)*BS89),2)+ROUND((ROUND(((AE89-((EU89*1.1)))*AV89*1),2)*BS89),2))</f>
        <v>823.2</v>
      </c>
      <c r="CT89" s="3">
        <f t="shared" si="58"/>
        <v>69656.38</v>
      </c>
      <c r="CU89" s="3">
        <f t="shared" si="59"/>
        <v>0</v>
      </c>
      <c r="CV89" s="3">
        <f t="shared" si="60"/>
        <v>97.51443900000001</v>
      </c>
      <c r="CW89" s="3">
        <f t="shared" si="61"/>
        <v>0</v>
      </c>
      <c r="CX89" s="3">
        <f t="shared" si="62"/>
        <v>0</v>
      </c>
      <c r="CY89" s="3">
        <f>(ROUND((((S89+ROUND((ROUND((((EU89*1.1))*AV89*1),2)*BS89),2))*AT89)/100),2)+ROUND(((ROUND((ROUND(((AE89-((EU89*1.1)))*AV89*1),2)*BS89),2)*AT89)/100),2))</f>
        <v>1474.32</v>
      </c>
      <c r="CZ89" s="3">
        <f>(ROUND((((S89+ROUND((ROUND((((EU89*1.1))*AV89*1),2)*BS89),2))*AU89)/100),2)+ROUND(((ROUND((ROUND(((AE89-((EU89*1.1)))*AV89*1),2)*BS89),2)*AU89)/100),2))</f>
        <v>775.16</v>
      </c>
      <c r="DB89" s="3">
        <v>30</v>
      </c>
      <c r="DC89" s="3" t="s">
        <v>3</v>
      </c>
      <c r="DD89" s="3" t="s">
        <v>23</v>
      </c>
      <c r="DE89" s="3" t="s">
        <v>24</v>
      </c>
      <c r="DF89" s="3" t="s">
        <v>24</v>
      </c>
      <c r="DG89" s="3" t="s">
        <v>24</v>
      </c>
      <c r="DH89" s="3" t="s">
        <v>3</v>
      </c>
      <c r="DI89" s="3" t="s">
        <v>24</v>
      </c>
      <c r="DJ89" s="3" t="s">
        <v>24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1010</v>
      </c>
      <c r="DV89" s="3" t="s">
        <v>140</v>
      </c>
      <c r="DW89" s="3" t="s">
        <v>140</v>
      </c>
      <c r="DX89" s="3">
        <v>100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60088531</v>
      </c>
      <c r="EF89" s="3">
        <v>40</v>
      </c>
      <c r="EG89" s="3" t="s">
        <v>25</v>
      </c>
      <c r="EH89" s="3">
        <v>0</v>
      </c>
      <c r="EI89" s="3" t="s">
        <v>3</v>
      </c>
      <c r="EJ89" s="3">
        <v>2</v>
      </c>
      <c r="EK89" s="3">
        <v>67</v>
      </c>
      <c r="EL89" s="3" t="s">
        <v>142</v>
      </c>
      <c r="EM89" s="3" t="s">
        <v>143</v>
      </c>
      <c r="EO89" s="3" t="s">
        <v>28</v>
      </c>
      <c r="EQ89" s="3">
        <v>0</v>
      </c>
      <c r="ER89" s="3">
        <v>1274.54</v>
      </c>
      <c r="ES89" s="3">
        <v>81.36</v>
      </c>
      <c r="ET89" s="3">
        <v>93.32</v>
      </c>
      <c r="EU89" s="3">
        <v>13</v>
      </c>
      <c r="EV89" s="3">
        <v>1099.8599999999999</v>
      </c>
      <c r="EW89" s="3">
        <v>84.67</v>
      </c>
      <c r="EX89" s="3">
        <v>0</v>
      </c>
      <c r="EY89" s="3">
        <v>0</v>
      </c>
      <c r="FQ89" s="3">
        <v>0</v>
      </c>
      <c r="FR89" s="3">
        <v>0</v>
      </c>
      <c r="FS89" s="3">
        <v>0</v>
      </c>
      <c r="FX89" s="3">
        <v>97</v>
      </c>
      <c r="FY89" s="3">
        <v>51</v>
      </c>
      <c r="GA89" s="3" t="s">
        <v>3</v>
      </c>
      <c r="GD89" s="3">
        <v>1</v>
      </c>
      <c r="GF89" s="3">
        <v>1425619810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63"/>
        <v>0</v>
      </c>
      <c r="GM89" s="3">
        <f t="shared" si="64"/>
        <v>1765.45</v>
      </c>
      <c r="GN89" s="3">
        <f t="shared" si="65"/>
        <v>0</v>
      </c>
      <c r="GO89" s="3">
        <f t="shared" si="66"/>
        <v>1765.45</v>
      </c>
      <c r="GP89" s="3">
        <f t="shared" si="67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68"/>
        <v>0</v>
      </c>
      <c r="GW89" s="3">
        <v>1</v>
      </c>
      <c r="GX89" s="3">
        <f t="shared" si="69"/>
        <v>0</v>
      </c>
      <c r="HA89" s="3">
        <v>0</v>
      </c>
      <c r="HB89" s="3">
        <v>0</v>
      </c>
      <c r="HC89" s="3">
        <f t="shared" si="70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17</v>
      </c>
      <c r="B90" s="2">
        <v>1</v>
      </c>
      <c r="C90" s="2"/>
      <c r="D90" s="2"/>
      <c r="E90" s="2" t="s">
        <v>144</v>
      </c>
      <c r="F90" s="2" t="s">
        <v>145</v>
      </c>
      <c r="G90" s="2" t="s">
        <v>146</v>
      </c>
      <c r="H90" s="2" t="s">
        <v>32</v>
      </c>
      <c r="I90" s="2">
        <v>1</v>
      </c>
      <c r="J90" s="2">
        <v>0</v>
      </c>
      <c r="K90" s="2">
        <v>1</v>
      </c>
      <c r="L90" s="2"/>
      <c r="M90" s="2"/>
      <c r="N90" s="2"/>
      <c r="O90" s="2">
        <f t="shared" si="48"/>
        <v>25.75</v>
      </c>
      <c r="P90" s="2">
        <f>ROUND((ROUND((AC90*I90),2)*BC90),2)</f>
        <v>25.75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49"/>
        <v>0</v>
      </c>
      <c r="T90" s="2">
        <f t="shared" si="50"/>
        <v>0</v>
      </c>
      <c r="U90" s="2">
        <f t="shared" si="51"/>
        <v>0</v>
      </c>
      <c r="V90" s="2">
        <f t="shared" si="52"/>
        <v>0</v>
      </c>
      <c r="W90" s="2">
        <f t="shared" si="53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60258621</v>
      </c>
      <c r="AB90" s="2">
        <f t="shared" si="54"/>
        <v>25.75</v>
      </c>
      <c r="AC90" s="2">
        <f>ROUND((ES90),6)</f>
        <v>25.75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55"/>
        <v>0</v>
      </c>
      <c r="AH90" s="2">
        <f>(EW90)</f>
        <v>0</v>
      </c>
      <c r="AI90" s="2">
        <f>(EX90)</f>
        <v>0</v>
      </c>
      <c r="AJ90" s="2">
        <f t="shared" si="56"/>
        <v>0</v>
      </c>
      <c r="AK90" s="2">
        <v>25.749999999999996</v>
      </c>
      <c r="AL90" s="2">
        <v>25.749999999999996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3</v>
      </c>
      <c r="BJ90" s="2" t="s">
        <v>3</v>
      </c>
      <c r="BK90" s="2"/>
      <c r="BL90" s="2"/>
      <c r="BM90" s="2">
        <v>746</v>
      </c>
      <c r="BN90" s="2">
        <v>0</v>
      </c>
      <c r="BO90" s="2" t="s">
        <v>3</v>
      </c>
      <c r="BP90" s="2">
        <v>0</v>
      </c>
      <c r="BQ90" s="2">
        <v>130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0</v>
      </c>
      <c r="CA90" s="2">
        <v>0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3</v>
      </c>
      <c r="CO90" s="2">
        <v>0</v>
      </c>
      <c r="CP90" s="2">
        <f t="shared" si="57"/>
        <v>25.75</v>
      </c>
      <c r="CQ90" s="2">
        <f>ROUND((ROUND((AC90*1),2)*BC90),2)</f>
        <v>25.75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58"/>
        <v>0</v>
      </c>
      <c r="CU90" s="2">
        <f t="shared" si="59"/>
        <v>0</v>
      </c>
      <c r="CV90" s="2">
        <f t="shared" si="60"/>
        <v>0</v>
      </c>
      <c r="CW90" s="2">
        <f t="shared" si="61"/>
        <v>0</v>
      </c>
      <c r="CX90" s="2">
        <f t="shared" si="62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1013</v>
      </c>
      <c r="DV90" s="2" t="s">
        <v>32</v>
      </c>
      <c r="DW90" s="2" t="s">
        <v>32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60088638</v>
      </c>
      <c r="EF90" s="2">
        <v>130</v>
      </c>
      <c r="EG90" s="2" t="s">
        <v>33</v>
      </c>
      <c r="EH90" s="2">
        <v>0</v>
      </c>
      <c r="EI90" s="2" t="s">
        <v>3</v>
      </c>
      <c r="EJ90" s="2">
        <v>3</v>
      </c>
      <c r="EK90" s="2">
        <v>746</v>
      </c>
      <c r="EL90" s="2" t="s">
        <v>34</v>
      </c>
      <c r="EM90" s="2" t="s">
        <v>35</v>
      </c>
      <c r="EN90" s="2"/>
      <c r="EO90" s="2" t="s">
        <v>3</v>
      </c>
      <c r="EP90" s="2"/>
      <c r="EQ90" s="2">
        <v>0</v>
      </c>
      <c r="ER90" s="2">
        <v>0</v>
      </c>
      <c r="ES90" s="2">
        <v>25.749999999999996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f>P90</f>
        <v>25.75</v>
      </c>
      <c r="FS90" s="2">
        <v>0</v>
      </c>
      <c r="FT90" s="2"/>
      <c r="FU90" s="2"/>
      <c r="FV90" s="2"/>
      <c r="FW90" s="2"/>
      <c r="FX90" s="2">
        <v>0</v>
      </c>
      <c r="FY90" s="2">
        <v>0</v>
      </c>
      <c r="FZ90" s="2"/>
      <c r="GA90" s="2" t="s">
        <v>147</v>
      </c>
      <c r="GB90" s="2"/>
      <c r="GC90" s="2"/>
      <c r="GD90" s="2">
        <v>1</v>
      </c>
      <c r="GE90" s="2"/>
      <c r="GF90" s="2">
        <v>-334592409</v>
      </c>
      <c r="GG90" s="2">
        <v>2</v>
      </c>
      <c r="GH90" s="2">
        <v>4</v>
      </c>
      <c r="GI90" s="2">
        <v>-2</v>
      </c>
      <c r="GJ90" s="2">
        <v>0</v>
      </c>
      <c r="GK90" s="2">
        <v>0</v>
      </c>
      <c r="GL90" s="2">
        <f t="shared" si="63"/>
        <v>0</v>
      </c>
      <c r="GM90" s="2">
        <f t="shared" si="64"/>
        <v>25.75</v>
      </c>
      <c r="GN90" s="2">
        <f t="shared" si="65"/>
        <v>0</v>
      </c>
      <c r="GO90" s="2">
        <f t="shared" si="66"/>
        <v>0</v>
      </c>
      <c r="GP90" s="2">
        <f t="shared" si="67"/>
        <v>0</v>
      </c>
      <c r="GQ90" s="2"/>
      <c r="GR90" s="2">
        <v>0</v>
      </c>
      <c r="GS90" s="2">
        <v>2</v>
      </c>
      <c r="GT90" s="2">
        <v>0</v>
      </c>
      <c r="GU90" s="2" t="s">
        <v>3</v>
      </c>
      <c r="GV90" s="2">
        <f t="shared" si="68"/>
        <v>0</v>
      </c>
      <c r="GW90" s="2">
        <v>1</v>
      </c>
      <c r="GX90" s="2">
        <f t="shared" si="69"/>
        <v>0</v>
      </c>
      <c r="GY90" s="2"/>
      <c r="GZ90" s="2"/>
      <c r="HA90" s="2">
        <v>0</v>
      </c>
      <c r="HB90" s="2">
        <v>0</v>
      </c>
      <c r="HC90" s="2">
        <f t="shared" si="70"/>
        <v>0</v>
      </c>
      <c r="HD90" s="2"/>
      <c r="HE90" s="2" t="s">
        <v>37</v>
      </c>
      <c r="HF90" s="2" t="s">
        <v>38</v>
      </c>
      <c r="HG90" s="2"/>
      <c r="HH90" s="2"/>
      <c r="HI90" s="2"/>
      <c r="HJ90" s="2"/>
      <c r="HK90" s="2"/>
      <c r="HL90" s="2"/>
      <c r="HM90" s="2" t="s">
        <v>3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17</v>
      </c>
      <c r="B91" s="3">
        <v>1</v>
      </c>
      <c r="E91" s="3" t="s">
        <v>144</v>
      </c>
      <c r="F91" s="3" t="s">
        <v>145</v>
      </c>
      <c r="G91" s="3" t="s">
        <v>146</v>
      </c>
      <c r="H91" s="3" t="s">
        <v>32</v>
      </c>
      <c r="I91" s="3">
        <v>1</v>
      </c>
      <c r="J91" s="3">
        <v>0</v>
      </c>
      <c r="K91" s="3">
        <v>1</v>
      </c>
      <c r="O91" s="3">
        <f t="shared" si="48"/>
        <v>197.25</v>
      </c>
      <c r="P91" s="3">
        <f>ROUND((ROUND((AC91*I91),2)*BC91),2)</f>
        <v>197.25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49"/>
        <v>0</v>
      </c>
      <c r="T91" s="3">
        <f t="shared" si="50"/>
        <v>0</v>
      </c>
      <c r="U91" s="3">
        <f t="shared" si="51"/>
        <v>0</v>
      </c>
      <c r="V91" s="3">
        <f t="shared" si="52"/>
        <v>0</v>
      </c>
      <c r="W91" s="3">
        <f t="shared" si="53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60258618</v>
      </c>
      <c r="AB91" s="3">
        <f t="shared" si="54"/>
        <v>25.75</v>
      </c>
      <c r="AC91" s="3">
        <f>ROUND((ES91),6)</f>
        <v>25.75</v>
      </c>
      <c r="AD91" s="3">
        <f>ROUND((((ET91)-(EU91))+AE91),6)</f>
        <v>0</v>
      </c>
      <c r="AE91" s="3">
        <f>ROUND((EU91),6)</f>
        <v>0</v>
      </c>
      <c r="AF91" s="3">
        <f>ROUND((EV91),6)</f>
        <v>0</v>
      </c>
      <c r="AG91" s="3">
        <f t="shared" si="55"/>
        <v>0</v>
      </c>
      <c r="AH91" s="3">
        <f>(EW91)</f>
        <v>0</v>
      </c>
      <c r="AI91" s="3">
        <f>(EX91)</f>
        <v>0</v>
      </c>
      <c r="AJ91" s="3">
        <f t="shared" si="56"/>
        <v>0</v>
      </c>
      <c r="AK91" s="3">
        <v>25.749999999999996</v>
      </c>
      <c r="AL91" s="3">
        <v>25.749999999999996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7.66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3</v>
      </c>
      <c r="BJ91" s="3" t="s">
        <v>3</v>
      </c>
      <c r="BM91" s="3">
        <v>746</v>
      </c>
      <c r="BN91" s="3">
        <v>0</v>
      </c>
      <c r="BO91" s="3" t="s">
        <v>3</v>
      </c>
      <c r="BP91" s="3">
        <v>0</v>
      </c>
      <c r="BQ91" s="3">
        <v>130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0</v>
      </c>
      <c r="CA91" s="3">
        <v>0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3</v>
      </c>
      <c r="CO91" s="3">
        <v>0</v>
      </c>
      <c r="CP91" s="3">
        <f t="shared" si="57"/>
        <v>197.25</v>
      </c>
      <c r="CQ91" s="3">
        <f>ROUND((ROUND((AC91*1),2)*BC91),2)</f>
        <v>197.25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58"/>
        <v>0</v>
      </c>
      <c r="CU91" s="3">
        <f t="shared" si="59"/>
        <v>0</v>
      </c>
      <c r="CV91" s="3">
        <f t="shared" si="60"/>
        <v>0</v>
      </c>
      <c r="CW91" s="3">
        <f t="shared" si="61"/>
        <v>0</v>
      </c>
      <c r="CX91" s="3">
        <f t="shared" si="62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1013</v>
      </c>
      <c r="DV91" s="3" t="s">
        <v>32</v>
      </c>
      <c r="DW91" s="3" t="s">
        <v>32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60088638</v>
      </c>
      <c r="EF91" s="3">
        <v>130</v>
      </c>
      <c r="EG91" s="3" t="s">
        <v>33</v>
      </c>
      <c r="EH91" s="3">
        <v>0</v>
      </c>
      <c r="EI91" s="3" t="s">
        <v>3</v>
      </c>
      <c r="EJ91" s="3">
        <v>3</v>
      </c>
      <c r="EK91" s="3">
        <v>746</v>
      </c>
      <c r="EL91" s="3" t="s">
        <v>34</v>
      </c>
      <c r="EM91" s="3" t="s">
        <v>35</v>
      </c>
      <c r="EO91" s="3" t="s">
        <v>3</v>
      </c>
      <c r="EQ91" s="3">
        <v>0</v>
      </c>
      <c r="ER91" s="3">
        <v>25.749999999999996</v>
      </c>
      <c r="ES91" s="3">
        <v>25.749999999999996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5</v>
      </c>
      <c r="FC91" s="3">
        <v>1</v>
      </c>
      <c r="FD91" s="3">
        <v>18</v>
      </c>
      <c r="FF91" s="3">
        <v>227</v>
      </c>
      <c r="FQ91" s="3">
        <v>0</v>
      </c>
      <c r="FR91" s="3">
        <f>P91</f>
        <v>197.25</v>
      </c>
      <c r="FS91" s="3">
        <v>0</v>
      </c>
      <c r="FX91" s="3">
        <v>0</v>
      </c>
      <c r="FY91" s="3">
        <v>0</v>
      </c>
      <c r="GA91" s="3" t="s">
        <v>147</v>
      </c>
      <c r="GD91" s="3">
        <v>1</v>
      </c>
      <c r="GF91" s="3">
        <v>-334592409</v>
      </c>
      <c r="GG91" s="3">
        <v>2</v>
      </c>
      <c r="GH91" s="3">
        <v>3</v>
      </c>
      <c r="GI91" s="3">
        <v>5</v>
      </c>
      <c r="GJ91" s="3">
        <v>0</v>
      </c>
      <c r="GK91" s="3">
        <v>0</v>
      </c>
      <c r="GL91" s="3">
        <f t="shared" si="63"/>
        <v>0</v>
      </c>
      <c r="GM91" s="3">
        <f t="shared" si="64"/>
        <v>197.25</v>
      </c>
      <c r="GN91" s="3">
        <f t="shared" si="65"/>
        <v>0</v>
      </c>
      <c r="GO91" s="3">
        <f t="shared" si="66"/>
        <v>0</v>
      </c>
      <c r="GP91" s="3">
        <f t="shared" si="67"/>
        <v>0</v>
      </c>
      <c r="GR91" s="3">
        <v>1</v>
      </c>
      <c r="GS91" s="3">
        <v>1</v>
      </c>
      <c r="GT91" s="3">
        <v>0</v>
      </c>
      <c r="GU91" s="3" t="s">
        <v>3</v>
      </c>
      <c r="GV91" s="3">
        <f t="shared" si="68"/>
        <v>0</v>
      </c>
      <c r="GW91" s="3">
        <v>1</v>
      </c>
      <c r="GX91" s="3">
        <f t="shared" si="69"/>
        <v>0</v>
      </c>
      <c r="HA91" s="3">
        <v>0</v>
      </c>
      <c r="HB91" s="3">
        <v>0</v>
      </c>
      <c r="HC91" s="3">
        <f t="shared" si="70"/>
        <v>0</v>
      </c>
      <c r="HE91" s="3" t="s">
        <v>37</v>
      </c>
      <c r="HF91" s="3" t="s">
        <v>38</v>
      </c>
      <c r="HM91" s="3" t="s">
        <v>3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3" spans="1:255" x14ac:dyDescent="0.2">
      <c r="A93" s="11">
        <v>51</v>
      </c>
      <c r="B93" s="11">
        <f>B24</f>
        <v>1</v>
      </c>
      <c r="C93" s="11">
        <f>A24</f>
        <v>4</v>
      </c>
      <c r="D93" s="11">
        <f>ROW(A24)</f>
        <v>24</v>
      </c>
      <c r="E93" s="11"/>
      <c r="F93" s="11" t="str">
        <f>IF(F24&lt;&gt;"",F24,"")</f>
        <v/>
      </c>
      <c r="G93" s="11" t="str">
        <f>IF(G24&lt;&gt;"",G24,"")</f>
        <v>Оборудование</v>
      </c>
      <c r="H93" s="11">
        <v>0</v>
      </c>
      <c r="I93" s="11"/>
      <c r="J93" s="11"/>
      <c r="K93" s="11"/>
      <c r="L93" s="11"/>
      <c r="M93" s="11"/>
      <c r="N93" s="11"/>
      <c r="O93" s="11">
        <f t="shared" ref="O93:T93" si="71">ROUND(AB93,2)</f>
        <v>71809.67</v>
      </c>
      <c r="P93" s="11">
        <f t="shared" si="71"/>
        <v>67074.95</v>
      </c>
      <c r="Q93" s="11">
        <f t="shared" si="71"/>
        <v>3.4</v>
      </c>
      <c r="R93" s="11">
        <f t="shared" si="71"/>
        <v>0.32</v>
      </c>
      <c r="S93" s="11">
        <f t="shared" si="71"/>
        <v>4731.32</v>
      </c>
      <c r="T93" s="11">
        <f t="shared" si="71"/>
        <v>0</v>
      </c>
      <c r="U93" s="11">
        <f>AH93</f>
        <v>366.82416639000002</v>
      </c>
      <c r="V93" s="11">
        <f>AI93</f>
        <v>0</v>
      </c>
      <c r="W93" s="11">
        <f>ROUND(AJ93,2)</f>
        <v>0</v>
      </c>
      <c r="X93" s="11">
        <f>ROUND(AK93,2)</f>
        <v>4270.62</v>
      </c>
      <c r="Y93" s="11">
        <f>ROUND(AL93,2)</f>
        <v>2192.9499999999998</v>
      </c>
      <c r="Z93" s="11"/>
      <c r="AA93" s="11"/>
      <c r="AB93" s="11">
        <f>ROUND(SUMIF(AA28:AA91,"=60258621",O28:O91),2)</f>
        <v>71809.67</v>
      </c>
      <c r="AC93" s="11">
        <f>ROUND(SUMIF(AA28:AA91,"=60258621",P28:P91),2)</f>
        <v>67074.95</v>
      </c>
      <c r="AD93" s="11">
        <f>ROUND(SUMIF(AA28:AA91,"=60258621",Q28:Q91),2)</f>
        <v>3.4</v>
      </c>
      <c r="AE93" s="11">
        <f>ROUND(SUMIF(AA28:AA91,"=60258621",R28:R91),2)</f>
        <v>0.32</v>
      </c>
      <c r="AF93" s="11">
        <f>ROUND(SUMIF(AA28:AA91,"=60258621",S28:S91),2)</f>
        <v>4731.32</v>
      </c>
      <c r="AG93" s="11">
        <f>ROUND(SUMIF(AA28:AA91,"=60258621",T28:T91),2)</f>
        <v>0</v>
      </c>
      <c r="AH93" s="11">
        <f>SUMIF(AA28:AA91,"=60258621",U28:U91)</f>
        <v>366.82416639000002</v>
      </c>
      <c r="AI93" s="11">
        <f>SUMIF(AA28:AA91,"=60258621",V28:V91)</f>
        <v>0</v>
      </c>
      <c r="AJ93" s="11">
        <f>ROUND(SUMIF(AA28:AA91,"=60258621",W28:W91),2)</f>
        <v>0</v>
      </c>
      <c r="AK93" s="11">
        <f>ROUND(SUMIF(AA28:AA91,"=60258621",X28:X91),2)</f>
        <v>4270.62</v>
      </c>
      <c r="AL93" s="11">
        <f>ROUND(SUMIF(AA28:AA91,"=60258621",Y28:Y91),2)</f>
        <v>2192.9499999999998</v>
      </c>
      <c r="AM93" s="11"/>
      <c r="AN93" s="11"/>
      <c r="AO93" s="11">
        <f t="shared" ref="AO93:BD93" si="72">ROUND(BX93,2)</f>
        <v>0</v>
      </c>
      <c r="AP93" s="11">
        <f t="shared" si="72"/>
        <v>66748.509999999995</v>
      </c>
      <c r="AQ93" s="11">
        <f t="shared" si="72"/>
        <v>0</v>
      </c>
      <c r="AR93" s="11">
        <f t="shared" si="72"/>
        <v>78273.240000000005</v>
      </c>
      <c r="AS93" s="11">
        <f t="shared" si="72"/>
        <v>0</v>
      </c>
      <c r="AT93" s="11">
        <f t="shared" si="72"/>
        <v>11524.73</v>
      </c>
      <c r="AU93" s="11">
        <f t="shared" si="72"/>
        <v>0</v>
      </c>
      <c r="AV93" s="11">
        <f t="shared" si="72"/>
        <v>67074.95</v>
      </c>
      <c r="AW93" s="11">
        <f t="shared" si="72"/>
        <v>326.44</v>
      </c>
      <c r="AX93" s="11">
        <f t="shared" si="72"/>
        <v>0</v>
      </c>
      <c r="AY93" s="11">
        <f t="shared" si="72"/>
        <v>326.44</v>
      </c>
      <c r="AZ93" s="11">
        <f t="shared" si="72"/>
        <v>66748.509999999995</v>
      </c>
      <c r="BA93" s="11">
        <f t="shared" si="72"/>
        <v>0</v>
      </c>
      <c r="BB93" s="11">
        <f t="shared" si="72"/>
        <v>0</v>
      </c>
      <c r="BC93" s="11">
        <f t="shared" si="72"/>
        <v>0</v>
      </c>
      <c r="BD93" s="11">
        <f t="shared" si="72"/>
        <v>0</v>
      </c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>
        <f>ROUND(SUMIF(AA28:AA91,"=60258621",FQ28:FQ91),2)</f>
        <v>0</v>
      </c>
      <c r="BY93" s="11">
        <f>ROUND(SUMIF(AA28:AA91,"=60258621",FR28:FR91),2)</f>
        <v>66748.509999999995</v>
      </c>
      <c r="BZ93" s="11">
        <f>ROUND(SUMIF(AA28:AA91,"=60258621",GL28:GL91),2)</f>
        <v>0</v>
      </c>
      <c r="CA93" s="11">
        <f>ROUND(SUMIF(AA28:AA91,"=60258621",GM28:GM91),2)</f>
        <v>78273.240000000005</v>
      </c>
      <c r="CB93" s="11">
        <f>ROUND(SUMIF(AA28:AA91,"=60258621",GN28:GN91),2)</f>
        <v>0</v>
      </c>
      <c r="CC93" s="11">
        <f>ROUND(SUMIF(AA28:AA91,"=60258621",GO28:GO91),2)</f>
        <v>11524.73</v>
      </c>
      <c r="CD93" s="11">
        <f>ROUND(SUMIF(AA28:AA91,"=60258621",GP28:GP91),2)</f>
        <v>0</v>
      </c>
      <c r="CE93" s="11">
        <f>AC93-BX93</f>
        <v>67074.95</v>
      </c>
      <c r="CF93" s="11">
        <f>AC93-BY93</f>
        <v>326.44000000000233</v>
      </c>
      <c r="CG93" s="11">
        <f>BX93-BZ93</f>
        <v>0</v>
      </c>
      <c r="CH93" s="11">
        <f>AC93-BX93-BY93+BZ93</f>
        <v>326.44000000000233</v>
      </c>
      <c r="CI93" s="11">
        <f>BY93-BZ93</f>
        <v>66748.509999999995</v>
      </c>
      <c r="CJ93" s="11">
        <f>ROUND(SUMIF(AA28:AA91,"=60258621",GX28:GX91),2)</f>
        <v>0</v>
      </c>
      <c r="CK93" s="11">
        <f>ROUND(SUMIF(AA28:AA91,"=60258621",GY28:GY91),2)</f>
        <v>0</v>
      </c>
      <c r="CL93" s="11">
        <f>ROUND(SUMIF(AA28:AA91,"=60258621",GZ28:GZ91),2)</f>
        <v>0</v>
      </c>
      <c r="CM93" s="11">
        <f>ROUND(SUMIF(AA28:AA91,"=60258621",HD28:HD91),2)</f>
        <v>0</v>
      </c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2">
        <f t="shared" ref="DG93:DL93" si="73">ROUND(DT93,2)</f>
        <v>774800.87</v>
      </c>
      <c r="DH93" s="12">
        <f t="shared" si="73"/>
        <v>514577.1</v>
      </c>
      <c r="DI93" s="12">
        <f t="shared" si="73"/>
        <v>48.5</v>
      </c>
      <c r="DJ93" s="12">
        <f t="shared" si="73"/>
        <v>17.600000000000001</v>
      </c>
      <c r="DK93" s="12">
        <f t="shared" si="73"/>
        <v>260175.27</v>
      </c>
      <c r="DL93" s="12">
        <f t="shared" si="73"/>
        <v>0</v>
      </c>
      <c r="DM93" s="12">
        <f>DZ93</f>
        <v>366.82416639000002</v>
      </c>
      <c r="DN93" s="12">
        <f>EA93</f>
        <v>0</v>
      </c>
      <c r="DO93" s="12">
        <f>ROUND(EB93,2)</f>
        <v>0</v>
      </c>
      <c r="DP93" s="12">
        <f>ROUND(EC93,2)</f>
        <v>234841.5</v>
      </c>
      <c r="DQ93" s="12">
        <f>ROUND(ED93,2)</f>
        <v>120589.95</v>
      </c>
      <c r="DR93" s="12"/>
      <c r="DS93" s="12"/>
      <c r="DT93" s="12">
        <f>ROUND(SUMIF(AA28:AA91,"=60258618",O28:O91),2)</f>
        <v>774800.87</v>
      </c>
      <c r="DU93" s="12">
        <f>ROUND(SUMIF(AA28:AA91,"=60258618",P28:P91),2)</f>
        <v>514577.1</v>
      </c>
      <c r="DV93" s="12">
        <f>ROUND(SUMIF(AA28:AA91,"=60258618",Q28:Q91),2)</f>
        <v>48.5</v>
      </c>
      <c r="DW93" s="12">
        <f>ROUND(SUMIF(AA28:AA91,"=60258618",R28:R91),2)</f>
        <v>17.600000000000001</v>
      </c>
      <c r="DX93" s="12">
        <f>ROUND(SUMIF(AA28:AA91,"=60258618",S28:S91),2)</f>
        <v>260175.27</v>
      </c>
      <c r="DY93" s="12">
        <f>ROUND(SUMIF(AA28:AA91,"=60258618",T28:T91),2)</f>
        <v>0</v>
      </c>
      <c r="DZ93" s="12">
        <f>SUMIF(AA28:AA91,"=60258618",U28:U91)</f>
        <v>366.82416639000002</v>
      </c>
      <c r="EA93" s="12">
        <f>SUMIF(AA28:AA91,"=60258618",V28:V91)</f>
        <v>0</v>
      </c>
      <c r="EB93" s="12">
        <f>ROUND(SUMIF(AA28:AA91,"=60258618",W28:W91),2)</f>
        <v>0</v>
      </c>
      <c r="EC93" s="12">
        <f>ROUND(SUMIF(AA28:AA91,"=60258618",X28:X91),2)</f>
        <v>234841.5</v>
      </c>
      <c r="ED93" s="12">
        <f>ROUND(SUMIF(AA28:AA91,"=60258618",Y28:Y91),2)</f>
        <v>120589.95</v>
      </c>
      <c r="EE93" s="12"/>
      <c r="EF93" s="12"/>
      <c r="EG93" s="12">
        <f t="shared" ref="EG93:EV93" si="74">ROUND(FP93,2)</f>
        <v>0</v>
      </c>
      <c r="EH93" s="12">
        <f t="shared" si="74"/>
        <v>511293.61</v>
      </c>
      <c r="EI93" s="12">
        <f t="shared" si="74"/>
        <v>0</v>
      </c>
      <c r="EJ93" s="12">
        <f t="shared" si="74"/>
        <v>1130232.3200000001</v>
      </c>
      <c r="EK93" s="12">
        <f t="shared" si="74"/>
        <v>0</v>
      </c>
      <c r="EL93" s="12">
        <f t="shared" si="74"/>
        <v>618938.71</v>
      </c>
      <c r="EM93" s="12">
        <f t="shared" si="74"/>
        <v>0</v>
      </c>
      <c r="EN93" s="12">
        <f t="shared" si="74"/>
        <v>514577.1</v>
      </c>
      <c r="EO93" s="12">
        <f t="shared" si="74"/>
        <v>3283.49</v>
      </c>
      <c r="EP93" s="12">
        <f t="shared" si="74"/>
        <v>0</v>
      </c>
      <c r="EQ93" s="12">
        <f t="shared" si="74"/>
        <v>3283.49</v>
      </c>
      <c r="ER93" s="12">
        <f t="shared" si="74"/>
        <v>511293.61</v>
      </c>
      <c r="ES93" s="12">
        <f t="shared" si="74"/>
        <v>0</v>
      </c>
      <c r="ET93" s="12">
        <f t="shared" si="74"/>
        <v>0</v>
      </c>
      <c r="EU93" s="12">
        <f t="shared" si="74"/>
        <v>0</v>
      </c>
      <c r="EV93" s="12">
        <f t="shared" si="74"/>
        <v>0</v>
      </c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>
        <f>ROUND(SUMIF(AA28:AA91,"=60258618",FQ28:FQ91),2)</f>
        <v>0</v>
      </c>
      <c r="FQ93" s="12">
        <f>ROUND(SUMIF(AA28:AA91,"=60258618",FR28:FR91),2)</f>
        <v>511293.61</v>
      </c>
      <c r="FR93" s="12">
        <f>ROUND(SUMIF(AA28:AA91,"=60258618",GL28:GL91),2)</f>
        <v>0</v>
      </c>
      <c r="FS93" s="12">
        <f>ROUND(SUMIF(AA28:AA91,"=60258618",GM28:GM91),2)</f>
        <v>1130232.3200000001</v>
      </c>
      <c r="FT93" s="12">
        <f>ROUND(SUMIF(AA28:AA91,"=60258618",GN28:GN91),2)</f>
        <v>0</v>
      </c>
      <c r="FU93" s="12">
        <f>ROUND(SUMIF(AA28:AA91,"=60258618",GO28:GO91),2)</f>
        <v>618938.71</v>
      </c>
      <c r="FV93" s="12">
        <f>ROUND(SUMIF(AA28:AA91,"=60258618",GP28:GP91),2)</f>
        <v>0</v>
      </c>
      <c r="FW93" s="12">
        <f>DU93-FP93</f>
        <v>514577.1</v>
      </c>
      <c r="FX93" s="12">
        <f>DU93-FQ93</f>
        <v>3283.4899999999907</v>
      </c>
      <c r="FY93" s="12">
        <f>FP93-FR93</f>
        <v>0</v>
      </c>
      <c r="FZ93" s="12">
        <f>DU93-FP93-FQ93+FR93</f>
        <v>3283.4899999999907</v>
      </c>
      <c r="GA93" s="12">
        <f>FQ93-FR93</f>
        <v>511293.61</v>
      </c>
      <c r="GB93" s="12">
        <f>ROUND(SUMIF(AA28:AA91,"=60258618",GX28:GX91),2)</f>
        <v>0</v>
      </c>
      <c r="GC93" s="12">
        <f>ROUND(SUMIF(AA28:AA91,"=60258618",GY28:GY91),2)</f>
        <v>0</v>
      </c>
      <c r="GD93" s="12">
        <f>ROUND(SUMIF(AA28:AA91,"=60258618",GZ28:GZ91),2)</f>
        <v>0</v>
      </c>
      <c r="GE93" s="12">
        <f>ROUND(SUMIF(AA28:AA91,"=60258618",HD28:HD91),2)</f>
        <v>0</v>
      </c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>
        <v>0</v>
      </c>
    </row>
    <row r="95" spans="1:255" x14ac:dyDescent="0.2">
      <c r="A95" s="13">
        <v>50</v>
      </c>
      <c r="B95" s="13">
        <v>0</v>
      </c>
      <c r="C95" s="13">
        <v>0</v>
      </c>
      <c r="D95" s="13">
        <v>1</v>
      </c>
      <c r="E95" s="13">
        <v>201</v>
      </c>
      <c r="F95" s="13">
        <f>ROUND(Source!O93,O95)</f>
        <v>71809.67</v>
      </c>
      <c r="G95" s="13" t="s">
        <v>148</v>
      </c>
      <c r="H95" s="13" t="s">
        <v>149</v>
      </c>
      <c r="I95" s="13"/>
      <c r="J95" s="13"/>
      <c r="K95" s="13">
        <v>201</v>
      </c>
      <c r="L95" s="13">
        <v>1</v>
      </c>
      <c r="M95" s="13">
        <v>3</v>
      </c>
      <c r="N95" s="13" t="s">
        <v>3</v>
      </c>
      <c r="O95" s="13">
        <v>2</v>
      </c>
      <c r="P95" s="13">
        <f>ROUND(Source!DG93,O95)</f>
        <v>774800.87</v>
      </c>
      <c r="Q95" s="13"/>
      <c r="R95" s="13"/>
      <c r="S95" s="13"/>
      <c r="T95" s="13"/>
      <c r="U95" s="13"/>
      <c r="V95" s="13"/>
      <c r="W95" s="13">
        <v>71809.67</v>
      </c>
      <c r="X95" s="13">
        <v>1</v>
      </c>
      <c r="Y95" s="13">
        <v>71809.67</v>
      </c>
      <c r="Z95" s="13">
        <v>774800.87</v>
      </c>
      <c r="AA95" s="13">
        <v>1</v>
      </c>
      <c r="AB95" s="13">
        <v>774800.87</v>
      </c>
    </row>
    <row r="96" spans="1:255" x14ac:dyDescent="0.2">
      <c r="A96" s="13">
        <v>50</v>
      </c>
      <c r="B96" s="13">
        <v>0</v>
      </c>
      <c r="C96" s="13">
        <v>0</v>
      </c>
      <c r="D96" s="13">
        <v>1</v>
      </c>
      <c r="E96" s="13">
        <v>202</v>
      </c>
      <c r="F96" s="13">
        <f>ROUND(Source!P93,O96)</f>
        <v>67074.95</v>
      </c>
      <c r="G96" s="13" t="s">
        <v>150</v>
      </c>
      <c r="H96" s="13" t="s">
        <v>151</v>
      </c>
      <c r="I96" s="13"/>
      <c r="J96" s="13"/>
      <c r="K96" s="13">
        <v>202</v>
      </c>
      <c r="L96" s="13">
        <v>2</v>
      </c>
      <c r="M96" s="13">
        <v>3</v>
      </c>
      <c r="N96" s="13" t="s">
        <v>3</v>
      </c>
      <c r="O96" s="13">
        <v>2</v>
      </c>
      <c r="P96" s="13">
        <f>ROUND(Source!DH93,O96)</f>
        <v>514577.1</v>
      </c>
      <c r="Q96" s="13"/>
      <c r="R96" s="13"/>
      <c r="S96" s="13"/>
      <c r="T96" s="13"/>
      <c r="U96" s="13"/>
      <c r="V96" s="13"/>
      <c r="W96" s="13">
        <v>67074.95</v>
      </c>
      <c r="X96" s="13">
        <v>1</v>
      </c>
      <c r="Y96" s="13">
        <v>67074.95</v>
      </c>
      <c r="Z96" s="13">
        <v>514577.1</v>
      </c>
      <c r="AA96" s="13">
        <v>1</v>
      </c>
      <c r="AB96" s="13">
        <v>514577.1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222</v>
      </c>
      <c r="F97" s="13">
        <f>ROUND(Source!AO93,O97)</f>
        <v>0</v>
      </c>
      <c r="G97" s="13" t="s">
        <v>152</v>
      </c>
      <c r="H97" s="13" t="s">
        <v>153</v>
      </c>
      <c r="I97" s="13"/>
      <c r="J97" s="13"/>
      <c r="K97" s="13">
        <v>222</v>
      </c>
      <c r="L97" s="13">
        <v>3</v>
      </c>
      <c r="M97" s="13">
        <v>3</v>
      </c>
      <c r="N97" s="13" t="s">
        <v>3</v>
      </c>
      <c r="O97" s="13">
        <v>2</v>
      </c>
      <c r="P97" s="13">
        <f>ROUND(Source!EG93,O97)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225</v>
      </c>
      <c r="F98" s="13">
        <f>ROUND(Source!AV93,O98)</f>
        <v>67074.95</v>
      </c>
      <c r="G98" s="13" t="s">
        <v>154</v>
      </c>
      <c r="H98" s="13" t="s">
        <v>155</v>
      </c>
      <c r="I98" s="13"/>
      <c r="J98" s="13"/>
      <c r="K98" s="13">
        <v>225</v>
      </c>
      <c r="L98" s="13">
        <v>4</v>
      </c>
      <c r="M98" s="13">
        <v>3</v>
      </c>
      <c r="N98" s="13" t="s">
        <v>3</v>
      </c>
      <c r="O98" s="13">
        <v>2</v>
      </c>
      <c r="P98" s="13">
        <f>ROUND(Source!EN93,O98)</f>
        <v>514577.1</v>
      </c>
      <c r="Q98" s="13"/>
      <c r="R98" s="13"/>
      <c r="S98" s="13"/>
      <c r="T98" s="13"/>
      <c r="U98" s="13"/>
      <c r="V98" s="13"/>
      <c r="W98" s="13">
        <v>67074.95</v>
      </c>
      <c r="X98" s="13">
        <v>1</v>
      </c>
      <c r="Y98" s="13">
        <v>67074.95</v>
      </c>
      <c r="Z98" s="13">
        <v>514577.1</v>
      </c>
      <c r="AA98" s="13">
        <v>1</v>
      </c>
      <c r="AB98" s="13">
        <v>514577.1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226</v>
      </c>
      <c r="F99" s="13">
        <f>ROUND(Source!AW93,O99)</f>
        <v>326.44</v>
      </c>
      <c r="G99" s="13" t="s">
        <v>156</v>
      </c>
      <c r="H99" s="13" t="s">
        <v>157</v>
      </c>
      <c r="I99" s="13"/>
      <c r="J99" s="13"/>
      <c r="K99" s="13">
        <v>226</v>
      </c>
      <c r="L99" s="13">
        <v>5</v>
      </c>
      <c r="M99" s="13">
        <v>3</v>
      </c>
      <c r="N99" s="13" t="s">
        <v>3</v>
      </c>
      <c r="O99" s="13">
        <v>2</v>
      </c>
      <c r="P99" s="13">
        <f>ROUND(Source!EO93,O99)</f>
        <v>3283.49</v>
      </c>
      <c r="Q99" s="13"/>
      <c r="R99" s="13"/>
      <c r="S99" s="13"/>
      <c r="T99" s="13"/>
      <c r="U99" s="13"/>
      <c r="V99" s="13"/>
      <c r="W99" s="13">
        <v>326.44</v>
      </c>
      <c r="X99" s="13">
        <v>1</v>
      </c>
      <c r="Y99" s="13">
        <v>326.44</v>
      </c>
      <c r="Z99" s="13">
        <v>3283.49</v>
      </c>
      <c r="AA99" s="13">
        <v>1</v>
      </c>
      <c r="AB99" s="13">
        <v>3283.49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227</v>
      </c>
      <c r="F100" s="13">
        <f>ROUND(Source!AX93,O100)</f>
        <v>0</v>
      </c>
      <c r="G100" s="13" t="s">
        <v>158</v>
      </c>
      <c r="H100" s="13" t="s">
        <v>159</v>
      </c>
      <c r="I100" s="13"/>
      <c r="J100" s="13"/>
      <c r="K100" s="13">
        <v>227</v>
      </c>
      <c r="L100" s="13">
        <v>6</v>
      </c>
      <c r="M100" s="13">
        <v>3</v>
      </c>
      <c r="N100" s="13" t="s">
        <v>3</v>
      </c>
      <c r="O100" s="13">
        <v>2</v>
      </c>
      <c r="P100" s="13">
        <f>ROUND(Source!EP93,O100)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228</v>
      </c>
      <c r="F101" s="13">
        <f>ROUND(Source!AY93,O101)</f>
        <v>326.44</v>
      </c>
      <c r="G101" s="13" t="s">
        <v>160</v>
      </c>
      <c r="H101" s="13" t="s">
        <v>161</v>
      </c>
      <c r="I101" s="13"/>
      <c r="J101" s="13"/>
      <c r="K101" s="13">
        <v>228</v>
      </c>
      <c r="L101" s="13">
        <v>7</v>
      </c>
      <c r="M101" s="13">
        <v>3</v>
      </c>
      <c r="N101" s="13" t="s">
        <v>3</v>
      </c>
      <c r="O101" s="13">
        <v>2</v>
      </c>
      <c r="P101" s="13">
        <f>ROUND(Source!EQ93,O101)</f>
        <v>3283.49</v>
      </c>
      <c r="Q101" s="13"/>
      <c r="R101" s="13"/>
      <c r="S101" s="13"/>
      <c r="T101" s="13"/>
      <c r="U101" s="13"/>
      <c r="V101" s="13"/>
      <c r="W101" s="13">
        <v>326.44</v>
      </c>
      <c r="X101" s="13">
        <v>1</v>
      </c>
      <c r="Y101" s="13">
        <v>326.44</v>
      </c>
      <c r="Z101" s="13">
        <v>3283.49</v>
      </c>
      <c r="AA101" s="13">
        <v>1</v>
      </c>
      <c r="AB101" s="13">
        <v>3283.49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216</v>
      </c>
      <c r="F102" s="13">
        <f>ROUND(Source!AP93,O102)</f>
        <v>66748.509999999995</v>
      </c>
      <c r="G102" s="13" t="s">
        <v>162</v>
      </c>
      <c r="H102" s="13" t="s">
        <v>163</v>
      </c>
      <c r="I102" s="13"/>
      <c r="J102" s="13"/>
      <c r="K102" s="13">
        <v>216</v>
      </c>
      <c r="L102" s="13">
        <v>8</v>
      </c>
      <c r="M102" s="13">
        <v>3</v>
      </c>
      <c r="N102" s="13" t="s">
        <v>3</v>
      </c>
      <c r="O102" s="13">
        <v>2</v>
      </c>
      <c r="P102" s="13">
        <f>ROUND(Source!EH93,O102)</f>
        <v>511293.61</v>
      </c>
      <c r="Q102" s="13"/>
      <c r="R102" s="13"/>
      <c r="S102" s="13"/>
      <c r="T102" s="13"/>
      <c r="U102" s="13"/>
      <c r="V102" s="13"/>
      <c r="W102" s="13">
        <v>66748.509999999995</v>
      </c>
      <c r="X102" s="13">
        <v>1</v>
      </c>
      <c r="Y102" s="13">
        <v>66748.509999999995</v>
      </c>
      <c r="Z102" s="13">
        <v>511293.61</v>
      </c>
      <c r="AA102" s="13">
        <v>1</v>
      </c>
      <c r="AB102" s="13">
        <v>511293.61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223</v>
      </c>
      <c r="F103" s="13">
        <f>ROUND(Source!AQ93,O103)</f>
        <v>0</v>
      </c>
      <c r="G103" s="13" t="s">
        <v>164</v>
      </c>
      <c r="H103" s="13" t="s">
        <v>165</v>
      </c>
      <c r="I103" s="13"/>
      <c r="J103" s="13"/>
      <c r="K103" s="13">
        <v>223</v>
      </c>
      <c r="L103" s="13">
        <v>9</v>
      </c>
      <c r="M103" s="13">
        <v>3</v>
      </c>
      <c r="N103" s="13" t="s">
        <v>3</v>
      </c>
      <c r="O103" s="13">
        <v>2</v>
      </c>
      <c r="P103" s="13">
        <f>ROUND(Source!EI93,O103)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229</v>
      </c>
      <c r="F104" s="13">
        <f>ROUND(Source!AZ93,O104)</f>
        <v>66748.509999999995</v>
      </c>
      <c r="G104" s="13" t="s">
        <v>166</v>
      </c>
      <c r="H104" s="13" t="s">
        <v>167</v>
      </c>
      <c r="I104" s="13"/>
      <c r="J104" s="13"/>
      <c r="K104" s="13">
        <v>229</v>
      </c>
      <c r="L104" s="13">
        <v>10</v>
      </c>
      <c r="M104" s="13">
        <v>3</v>
      </c>
      <c r="N104" s="13" t="s">
        <v>3</v>
      </c>
      <c r="O104" s="13">
        <v>2</v>
      </c>
      <c r="P104" s="13">
        <f>ROUND(Source!ER93,O104)</f>
        <v>511293.61</v>
      </c>
      <c r="Q104" s="13"/>
      <c r="R104" s="13"/>
      <c r="S104" s="13"/>
      <c r="T104" s="13"/>
      <c r="U104" s="13"/>
      <c r="V104" s="13"/>
      <c r="W104" s="13">
        <v>66748.509999999995</v>
      </c>
      <c r="X104" s="13">
        <v>1</v>
      </c>
      <c r="Y104" s="13">
        <v>66748.509999999995</v>
      </c>
      <c r="Z104" s="13">
        <v>511293.61</v>
      </c>
      <c r="AA104" s="13">
        <v>1</v>
      </c>
      <c r="AB104" s="13">
        <v>511293.61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203</v>
      </c>
      <c r="F105" s="13">
        <f>ROUND(Source!Q93,O105)</f>
        <v>3.4</v>
      </c>
      <c r="G105" s="13" t="s">
        <v>168</v>
      </c>
      <c r="H105" s="13" t="s">
        <v>169</v>
      </c>
      <c r="I105" s="13"/>
      <c r="J105" s="13"/>
      <c r="K105" s="13">
        <v>203</v>
      </c>
      <c r="L105" s="13">
        <v>11</v>
      </c>
      <c r="M105" s="13">
        <v>3</v>
      </c>
      <c r="N105" s="13" t="s">
        <v>3</v>
      </c>
      <c r="O105" s="13">
        <v>2</v>
      </c>
      <c r="P105" s="13">
        <f>ROUND(Source!DI93,O105)</f>
        <v>48.5</v>
      </c>
      <c r="Q105" s="13"/>
      <c r="R105" s="13"/>
      <c r="S105" s="13"/>
      <c r="T105" s="13"/>
      <c r="U105" s="13"/>
      <c r="V105" s="13"/>
      <c r="W105" s="13">
        <v>3.4</v>
      </c>
      <c r="X105" s="13">
        <v>1</v>
      </c>
      <c r="Y105" s="13">
        <v>3.4</v>
      </c>
      <c r="Z105" s="13">
        <v>48.5</v>
      </c>
      <c r="AA105" s="13">
        <v>1</v>
      </c>
      <c r="AB105" s="13">
        <v>48.5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231</v>
      </c>
      <c r="F106" s="13">
        <f>ROUND(Source!BB93,O106)</f>
        <v>0</v>
      </c>
      <c r="G106" s="13" t="s">
        <v>170</v>
      </c>
      <c r="H106" s="13" t="s">
        <v>171</v>
      </c>
      <c r="I106" s="13"/>
      <c r="J106" s="13"/>
      <c r="K106" s="13">
        <v>231</v>
      </c>
      <c r="L106" s="13">
        <v>12</v>
      </c>
      <c r="M106" s="13">
        <v>3</v>
      </c>
      <c r="N106" s="13" t="s">
        <v>3</v>
      </c>
      <c r="O106" s="13">
        <v>2</v>
      </c>
      <c r="P106" s="13">
        <f>ROUND(Source!ET93,O106)</f>
        <v>0</v>
      </c>
      <c r="Q106" s="13"/>
      <c r="R106" s="13"/>
      <c r="S106" s="13"/>
      <c r="T106" s="13"/>
      <c r="U106" s="13"/>
      <c r="V106" s="13"/>
      <c r="W106" s="13">
        <v>0</v>
      </c>
      <c r="X106" s="13">
        <v>1</v>
      </c>
      <c r="Y106" s="13">
        <v>0</v>
      </c>
      <c r="Z106" s="13">
        <v>0</v>
      </c>
      <c r="AA106" s="13">
        <v>1</v>
      </c>
      <c r="AB106" s="13">
        <v>0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204</v>
      </c>
      <c r="F107" s="13">
        <f>ROUND(Source!R93,O107)</f>
        <v>0.32</v>
      </c>
      <c r="G107" s="13" t="s">
        <v>172</v>
      </c>
      <c r="H107" s="13" t="s">
        <v>173</v>
      </c>
      <c r="I107" s="13"/>
      <c r="J107" s="13"/>
      <c r="K107" s="13">
        <v>204</v>
      </c>
      <c r="L107" s="13">
        <v>13</v>
      </c>
      <c r="M107" s="13">
        <v>3</v>
      </c>
      <c r="N107" s="13" t="s">
        <v>3</v>
      </c>
      <c r="O107" s="13">
        <v>2</v>
      </c>
      <c r="P107" s="13">
        <f>ROUND(Source!DJ93,O107)</f>
        <v>17.600000000000001</v>
      </c>
      <c r="Q107" s="13"/>
      <c r="R107" s="13"/>
      <c r="S107" s="13"/>
      <c r="T107" s="13"/>
      <c r="U107" s="13"/>
      <c r="V107" s="13"/>
      <c r="W107" s="13">
        <v>0.32</v>
      </c>
      <c r="X107" s="13">
        <v>1</v>
      </c>
      <c r="Y107" s="13">
        <v>0.32</v>
      </c>
      <c r="Z107" s="13">
        <v>17.600000000000001</v>
      </c>
      <c r="AA107" s="13">
        <v>1</v>
      </c>
      <c r="AB107" s="13">
        <v>17.600000000000001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205</v>
      </c>
      <c r="F108" s="13">
        <f>ROUND(Source!S93,O108)</f>
        <v>4731.32</v>
      </c>
      <c r="G108" s="13" t="s">
        <v>174</v>
      </c>
      <c r="H108" s="13" t="s">
        <v>175</v>
      </c>
      <c r="I108" s="13"/>
      <c r="J108" s="13"/>
      <c r="K108" s="13">
        <v>205</v>
      </c>
      <c r="L108" s="13">
        <v>14</v>
      </c>
      <c r="M108" s="13">
        <v>3</v>
      </c>
      <c r="N108" s="13" t="s">
        <v>3</v>
      </c>
      <c r="O108" s="13">
        <v>2</v>
      </c>
      <c r="P108" s="13">
        <f>ROUND(Source!DK93,O108)</f>
        <v>260175.27</v>
      </c>
      <c r="Q108" s="13"/>
      <c r="R108" s="13"/>
      <c r="S108" s="13"/>
      <c r="T108" s="13"/>
      <c r="U108" s="13"/>
      <c r="V108" s="13"/>
      <c r="W108" s="13">
        <v>4731.32</v>
      </c>
      <c r="X108" s="13">
        <v>1</v>
      </c>
      <c r="Y108" s="13">
        <v>4731.32</v>
      </c>
      <c r="Z108" s="13">
        <v>260175.27</v>
      </c>
      <c r="AA108" s="13">
        <v>1</v>
      </c>
      <c r="AB108" s="13">
        <v>260175.27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232</v>
      </c>
      <c r="F109" s="13">
        <f>ROUND(Source!BC93,O109)</f>
        <v>0</v>
      </c>
      <c r="G109" s="13" t="s">
        <v>176</v>
      </c>
      <c r="H109" s="13" t="s">
        <v>177</v>
      </c>
      <c r="I109" s="13"/>
      <c r="J109" s="13"/>
      <c r="K109" s="13">
        <v>232</v>
      </c>
      <c r="L109" s="13">
        <v>15</v>
      </c>
      <c r="M109" s="13">
        <v>3</v>
      </c>
      <c r="N109" s="13" t="s">
        <v>3</v>
      </c>
      <c r="O109" s="13">
        <v>2</v>
      </c>
      <c r="P109" s="13">
        <f>ROUND(Source!EU93,O109)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214</v>
      </c>
      <c r="F110" s="13">
        <f>ROUND(Source!AS93,O110)</f>
        <v>0</v>
      </c>
      <c r="G110" s="13" t="s">
        <v>178</v>
      </c>
      <c r="H110" s="13" t="s">
        <v>179</v>
      </c>
      <c r="I110" s="13"/>
      <c r="J110" s="13"/>
      <c r="K110" s="13">
        <v>214</v>
      </c>
      <c r="L110" s="13">
        <v>16</v>
      </c>
      <c r="M110" s="13">
        <v>3</v>
      </c>
      <c r="N110" s="13" t="s">
        <v>3</v>
      </c>
      <c r="O110" s="13">
        <v>2</v>
      </c>
      <c r="P110" s="13">
        <f>ROUND(Source!EK93,O110)</f>
        <v>0</v>
      </c>
      <c r="Q110" s="13"/>
      <c r="R110" s="13"/>
      <c r="S110" s="13"/>
      <c r="T110" s="13"/>
      <c r="U110" s="13"/>
      <c r="V110" s="13"/>
      <c r="W110" s="13">
        <v>0</v>
      </c>
      <c r="X110" s="13">
        <v>1</v>
      </c>
      <c r="Y110" s="13">
        <v>0</v>
      </c>
      <c r="Z110" s="13">
        <v>0</v>
      </c>
      <c r="AA110" s="13">
        <v>1</v>
      </c>
      <c r="AB110" s="13">
        <v>0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215</v>
      </c>
      <c r="F111" s="13">
        <f>ROUND(Source!AT93,O111)</f>
        <v>11524.73</v>
      </c>
      <c r="G111" s="13" t="s">
        <v>180</v>
      </c>
      <c r="H111" s="13" t="s">
        <v>181</v>
      </c>
      <c r="I111" s="13"/>
      <c r="J111" s="13"/>
      <c r="K111" s="13">
        <v>215</v>
      </c>
      <c r="L111" s="13">
        <v>17</v>
      </c>
      <c r="M111" s="13">
        <v>3</v>
      </c>
      <c r="N111" s="13" t="s">
        <v>3</v>
      </c>
      <c r="O111" s="13">
        <v>2</v>
      </c>
      <c r="P111" s="13">
        <f>ROUND(Source!EL93,O111)</f>
        <v>618938.71</v>
      </c>
      <c r="Q111" s="13"/>
      <c r="R111" s="13"/>
      <c r="S111" s="13"/>
      <c r="T111" s="13"/>
      <c r="U111" s="13"/>
      <c r="V111" s="13"/>
      <c r="W111" s="13">
        <v>11524.73</v>
      </c>
      <c r="X111" s="13">
        <v>1</v>
      </c>
      <c r="Y111" s="13">
        <v>11524.73</v>
      </c>
      <c r="Z111" s="13">
        <v>618938.71</v>
      </c>
      <c r="AA111" s="13">
        <v>1</v>
      </c>
      <c r="AB111" s="13">
        <v>618938.71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217</v>
      </c>
      <c r="F112" s="13">
        <f>ROUND(Source!AU93,O112)</f>
        <v>0</v>
      </c>
      <c r="G112" s="13" t="s">
        <v>182</v>
      </c>
      <c r="H112" s="13" t="s">
        <v>183</v>
      </c>
      <c r="I112" s="13"/>
      <c r="J112" s="13"/>
      <c r="K112" s="13">
        <v>217</v>
      </c>
      <c r="L112" s="13">
        <v>18</v>
      </c>
      <c r="M112" s="13">
        <v>3</v>
      </c>
      <c r="N112" s="13" t="s">
        <v>3</v>
      </c>
      <c r="O112" s="13">
        <v>2</v>
      </c>
      <c r="P112" s="13">
        <f>ROUND(Source!EM93,O112)</f>
        <v>0</v>
      </c>
      <c r="Q112" s="13"/>
      <c r="R112" s="13"/>
      <c r="S112" s="13"/>
      <c r="T112" s="13"/>
      <c r="U112" s="13"/>
      <c r="V112" s="13"/>
      <c r="W112" s="13">
        <v>0</v>
      </c>
      <c r="X112" s="13">
        <v>1</v>
      </c>
      <c r="Y112" s="13">
        <v>0</v>
      </c>
      <c r="Z112" s="13">
        <v>0</v>
      </c>
      <c r="AA112" s="13">
        <v>1</v>
      </c>
      <c r="AB112" s="13">
        <v>0</v>
      </c>
    </row>
    <row r="113" spans="1:255" x14ac:dyDescent="0.2">
      <c r="A113" s="13">
        <v>50</v>
      </c>
      <c r="B113" s="13">
        <v>0</v>
      </c>
      <c r="C113" s="13">
        <v>0</v>
      </c>
      <c r="D113" s="13">
        <v>1</v>
      </c>
      <c r="E113" s="13">
        <v>230</v>
      </c>
      <c r="F113" s="13">
        <f>ROUND(Source!BA93,O113)</f>
        <v>0</v>
      </c>
      <c r="G113" s="13" t="s">
        <v>184</v>
      </c>
      <c r="H113" s="13" t="s">
        <v>185</v>
      </c>
      <c r="I113" s="13"/>
      <c r="J113" s="13"/>
      <c r="K113" s="13">
        <v>230</v>
      </c>
      <c r="L113" s="13">
        <v>19</v>
      </c>
      <c r="M113" s="13">
        <v>3</v>
      </c>
      <c r="N113" s="13" t="s">
        <v>3</v>
      </c>
      <c r="O113" s="13">
        <v>2</v>
      </c>
      <c r="P113" s="13">
        <f>ROUND(Source!ES93,O113)</f>
        <v>0</v>
      </c>
      <c r="Q113" s="13"/>
      <c r="R113" s="13"/>
      <c r="S113" s="13"/>
      <c r="T113" s="13"/>
      <c r="U113" s="13"/>
      <c r="V113" s="13"/>
      <c r="W113" s="13">
        <v>0</v>
      </c>
      <c r="X113" s="13">
        <v>1</v>
      </c>
      <c r="Y113" s="13">
        <v>0</v>
      </c>
      <c r="Z113" s="13">
        <v>0</v>
      </c>
      <c r="AA113" s="13">
        <v>1</v>
      </c>
      <c r="AB113" s="13">
        <v>0</v>
      </c>
    </row>
    <row r="114" spans="1:255" x14ac:dyDescent="0.2">
      <c r="A114" s="13">
        <v>50</v>
      </c>
      <c r="B114" s="13">
        <v>0</v>
      </c>
      <c r="C114" s="13">
        <v>0</v>
      </c>
      <c r="D114" s="13">
        <v>1</v>
      </c>
      <c r="E114" s="13">
        <v>206</v>
      </c>
      <c r="F114" s="13">
        <f>ROUND(Source!T93,O114)</f>
        <v>0</v>
      </c>
      <c r="G114" s="13" t="s">
        <v>186</v>
      </c>
      <c r="H114" s="13" t="s">
        <v>187</v>
      </c>
      <c r="I114" s="13"/>
      <c r="J114" s="13"/>
      <c r="K114" s="13">
        <v>206</v>
      </c>
      <c r="L114" s="13">
        <v>20</v>
      </c>
      <c r="M114" s="13">
        <v>3</v>
      </c>
      <c r="N114" s="13" t="s">
        <v>3</v>
      </c>
      <c r="O114" s="13">
        <v>2</v>
      </c>
      <c r="P114" s="13">
        <f>ROUND(Source!DL93,O114)</f>
        <v>0</v>
      </c>
      <c r="Q114" s="13"/>
      <c r="R114" s="13"/>
      <c r="S114" s="13"/>
      <c r="T114" s="13"/>
      <c r="U114" s="13"/>
      <c r="V114" s="13"/>
      <c r="W114" s="13">
        <v>0</v>
      </c>
      <c r="X114" s="13">
        <v>1</v>
      </c>
      <c r="Y114" s="13">
        <v>0</v>
      </c>
      <c r="Z114" s="13">
        <v>0</v>
      </c>
      <c r="AA114" s="13">
        <v>1</v>
      </c>
      <c r="AB114" s="13">
        <v>0</v>
      </c>
    </row>
    <row r="115" spans="1:255" x14ac:dyDescent="0.2">
      <c r="A115" s="13">
        <v>50</v>
      </c>
      <c r="B115" s="13">
        <v>0</v>
      </c>
      <c r="C115" s="13">
        <v>0</v>
      </c>
      <c r="D115" s="13">
        <v>1</v>
      </c>
      <c r="E115" s="13">
        <v>207</v>
      </c>
      <c r="F115" s="13">
        <f>Source!U93</f>
        <v>366.82416639000002</v>
      </c>
      <c r="G115" s="13" t="s">
        <v>188</v>
      </c>
      <c r="H115" s="13" t="s">
        <v>189</v>
      </c>
      <c r="I115" s="13"/>
      <c r="J115" s="13"/>
      <c r="K115" s="13">
        <v>207</v>
      </c>
      <c r="L115" s="13">
        <v>21</v>
      </c>
      <c r="M115" s="13">
        <v>3</v>
      </c>
      <c r="N115" s="13" t="s">
        <v>3</v>
      </c>
      <c r="O115" s="13">
        <v>-1</v>
      </c>
      <c r="P115" s="13">
        <f>Source!DM93</f>
        <v>366.82416639000002</v>
      </c>
      <c r="Q115" s="13"/>
      <c r="R115" s="13"/>
      <c r="S115" s="13"/>
      <c r="T115" s="13"/>
      <c r="U115" s="13"/>
      <c r="V115" s="13"/>
      <c r="W115" s="13">
        <v>366.82416638999996</v>
      </c>
      <c r="X115" s="13">
        <v>1</v>
      </c>
      <c r="Y115" s="13">
        <v>366.82416638999996</v>
      </c>
      <c r="Z115" s="13">
        <v>366.82416638999996</v>
      </c>
      <c r="AA115" s="13">
        <v>1</v>
      </c>
      <c r="AB115" s="13">
        <v>366.82416638999996</v>
      </c>
    </row>
    <row r="116" spans="1:255" x14ac:dyDescent="0.2">
      <c r="A116" s="13">
        <v>50</v>
      </c>
      <c r="B116" s="13">
        <v>0</v>
      </c>
      <c r="C116" s="13">
        <v>0</v>
      </c>
      <c r="D116" s="13">
        <v>1</v>
      </c>
      <c r="E116" s="13">
        <v>208</v>
      </c>
      <c r="F116" s="13">
        <f>Source!V93</f>
        <v>0</v>
      </c>
      <c r="G116" s="13" t="s">
        <v>190</v>
      </c>
      <c r="H116" s="13" t="s">
        <v>191</v>
      </c>
      <c r="I116" s="13"/>
      <c r="J116" s="13"/>
      <c r="K116" s="13">
        <v>208</v>
      </c>
      <c r="L116" s="13">
        <v>22</v>
      </c>
      <c r="M116" s="13">
        <v>3</v>
      </c>
      <c r="N116" s="13" t="s">
        <v>3</v>
      </c>
      <c r="O116" s="13">
        <v>-1</v>
      </c>
      <c r="P116" s="13">
        <f>Source!DN93</f>
        <v>0</v>
      </c>
      <c r="Q116" s="13"/>
      <c r="R116" s="13"/>
      <c r="S116" s="13"/>
      <c r="T116" s="13"/>
      <c r="U116" s="13"/>
      <c r="V116" s="13"/>
      <c r="W116" s="13">
        <v>0</v>
      </c>
      <c r="X116" s="13">
        <v>1</v>
      </c>
      <c r="Y116" s="13">
        <v>0</v>
      </c>
      <c r="Z116" s="13">
        <v>0</v>
      </c>
      <c r="AA116" s="13">
        <v>1</v>
      </c>
      <c r="AB116" s="13">
        <v>0</v>
      </c>
    </row>
    <row r="117" spans="1:255" x14ac:dyDescent="0.2">
      <c r="A117" s="13">
        <v>50</v>
      </c>
      <c r="B117" s="13">
        <v>0</v>
      </c>
      <c r="C117" s="13">
        <v>0</v>
      </c>
      <c r="D117" s="13">
        <v>1</v>
      </c>
      <c r="E117" s="13">
        <v>209</v>
      </c>
      <c r="F117" s="13">
        <f>ROUND(Source!W93,O117)</f>
        <v>0</v>
      </c>
      <c r="G117" s="13" t="s">
        <v>192</v>
      </c>
      <c r="H117" s="13" t="s">
        <v>193</v>
      </c>
      <c r="I117" s="13"/>
      <c r="J117" s="13"/>
      <c r="K117" s="13">
        <v>209</v>
      </c>
      <c r="L117" s="13">
        <v>23</v>
      </c>
      <c r="M117" s="13">
        <v>3</v>
      </c>
      <c r="N117" s="13" t="s">
        <v>3</v>
      </c>
      <c r="O117" s="13">
        <v>2</v>
      </c>
      <c r="P117" s="13">
        <f>ROUND(Source!DO93,O117)</f>
        <v>0</v>
      </c>
      <c r="Q117" s="13"/>
      <c r="R117" s="13"/>
      <c r="S117" s="13"/>
      <c r="T117" s="13"/>
      <c r="U117" s="13"/>
      <c r="V117" s="13"/>
      <c r="W117" s="13">
        <v>0</v>
      </c>
      <c r="X117" s="13">
        <v>1</v>
      </c>
      <c r="Y117" s="13">
        <v>0</v>
      </c>
      <c r="Z117" s="13">
        <v>0</v>
      </c>
      <c r="AA117" s="13">
        <v>1</v>
      </c>
      <c r="AB117" s="13">
        <v>0</v>
      </c>
    </row>
    <row r="118" spans="1:255" x14ac:dyDescent="0.2">
      <c r="A118" s="13">
        <v>50</v>
      </c>
      <c r="B118" s="13">
        <v>0</v>
      </c>
      <c r="C118" s="13">
        <v>0</v>
      </c>
      <c r="D118" s="13">
        <v>1</v>
      </c>
      <c r="E118" s="13">
        <v>233</v>
      </c>
      <c r="F118" s="13">
        <f>ROUND(Source!BD93,O118)</f>
        <v>0</v>
      </c>
      <c r="G118" s="13" t="s">
        <v>194</v>
      </c>
      <c r="H118" s="13" t="s">
        <v>195</v>
      </c>
      <c r="I118" s="13"/>
      <c r="J118" s="13"/>
      <c r="K118" s="13">
        <v>233</v>
      </c>
      <c r="L118" s="13">
        <v>24</v>
      </c>
      <c r="M118" s="13">
        <v>3</v>
      </c>
      <c r="N118" s="13" t="s">
        <v>3</v>
      </c>
      <c r="O118" s="13">
        <v>2</v>
      </c>
      <c r="P118" s="13">
        <f>ROUND(Source!EV93,O118)</f>
        <v>0</v>
      </c>
      <c r="Q118" s="13"/>
      <c r="R118" s="13"/>
      <c r="S118" s="13"/>
      <c r="T118" s="13"/>
      <c r="U118" s="13"/>
      <c r="V118" s="13"/>
      <c r="W118" s="13">
        <v>0</v>
      </c>
      <c r="X118" s="13">
        <v>1</v>
      </c>
      <c r="Y118" s="13">
        <v>0</v>
      </c>
      <c r="Z118" s="13">
        <v>0</v>
      </c>
      <c r="AA118" s="13">
        <v>1</v>
      </c>
      <c r="AB118" s="13">
        <v>0</v>
      </c>
    </row>
    <row r="119" spans="1:255" x14ac:dyDescent="0.2">
      <c r="A119" s="13">
        <v>50</v>
      </c>
      <c r="B119" s="13">
        <v>0</v>
      </c>
      <c r="C119" s="13">
        <v>0</v>
      </c>
      <c r="D119" s="13">
        <v>1</v>
      </c>
      <c r="E119" s="13">
        <v>210</v>
      </c>
      <c r="F119" s="13">
        <f>ROUND(Source!X93,O119)</f>
        <v>4270.62</v>
      </c>
      <c r="G119" s="13" t="s">
        <v>196</v>
      </c>
      <c r="H119" s="13" t="s">
        <v>197</v>
      </c>
      <c r="I119" s="13"/>
      <c r="J119" s="13"/>
      <c r="K119" s="13">
        <v>210</v>
      </c>
      <c r="L119" s="13">
        <v>25</v>
      </c>
      <c r="M119" s="13">
        <v>3</v>
      </c>
      <c r="N119" s="13" t="s">
        <v>3</v>
      </c>
      <c r="O119" s="13">
        <v>2</v>
      </c>
      <c r="P119" s="13">
        <f>ROUND(Source!DP93,O119)</f>
        <v>234841.5</v>
      </c>
      <c r="Q119" s="13"/>
      <c r="R119" s="13"/>
      <c r="S119" s="13"/>
      <c r="T119" s="13"/>
      <c r="U119" s="13"/>
      <c r="V119" s="13"/>
      <c r="W119" s="13">
        <v>4270.62</v>
      </c>
      <c r="X119" s="13">
        <v>1</v>
      </c>
      <c r="Y119" s="13">
        <v>4270.62</v>
      </c>
      <c r="Z119" s="13">
        <v>234841.5</v>
      </c>
      <c r="AA119" s="13">
        <v>1</v>
      </c>
      <c r="AB119" s="13">
        <v>234841.5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211</v>
      </c>
      <c r="F120" s="13">
        <f>ROUND(Source!Y93,O120)</f>
        <v>2192.9499999999998</v>
      </c>
      <c r="G120" s="13" t="s">
        <v>198</v>
      </c>
      <c r="H120" s="13" t="s">
        <v>199</v>
      </c>
      <c r="I120" s="13"/>
      <c r="J120" s="13"/>
      <c r="K120" s="13">
        <v>211</v>
      </c>
      <c r="L120" s="13">
        <v>26</v>
      </c>
      <c r="M120" s="13">
        <v>3</v>
      </c>
      <c r="N120" s="13" t="s">
        <v>3</v>
      </c>
      <c r="O120" s="13">
        <v>2</v>
      </c>
      <c r="P120" s="13">
        <f>ROUND(Source!DQ93,O120)</f>
        <v>120589.95</v>
      </c>
      <c r="Q120" s="13"/>
      <c r="R120" s="13"/>
      <c r="S120" s="13"/>
      <c r="T120" s="13"/>
      <c r="U120" s="13"/>
      <c r="V120" s="13"/>
      <c r="W120" s="13">
        <v>2192.9499999999998</v>
      </c>
      <c r="X120" s="13">
        <v>1</v>
      </c>
      <c r="Y120" s="13">
        <v>2192.9499999999998</v>
      </c>
      <c r="Z120" s="13">
        <v>120589.95</v>
      </c>
      <c r="AA120" s="13">
        <v>1</v>
      </c>
      <c r="AB120" s="13">
        <v>120589.95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224</v>
      </c>
      <c r="F121" s="13">
        <f>ROUND(Source!AR93,O121)</f>
        <v>78273.240000000005</v>
      </c>
      <c r="G121" s="13" t="s">
        <v>200</v>
      </c>
      <c r="H121" s="13" t="s">
        <v>201</v>
      </c>
      <c r="I121" s="13"/>
      <c r="J121" s="13"/>
      <c r="K121" s="13">
        <v>224</v>
      </c>
      <c r="L121" s="13">
        <v>27</v>
      </c>
      <c r="M121" s="13">
        <v>3</v>
      </c>
      <c r="N121" s="13" t="s">
        <v>3</v>
      </c>
      <c r="O121" s="13">
        <v>2</v>
      </c>
      <c r="P121" s="13">
        <f>ROUND(Source!EJ93,O121)</f>
        <v>1130232.3200000001</v>
      </c>
      <c r="Q121" s="13"/>
      <c r="R121" s="13"/>
      <c r="S121" s="13"/>
      <c r="T121" s="13"/>
      <c r="U121" s="13"/>
      <c r="V121" s="13"/>
      <c r="W121" s="13">
        <v>78273.240000000005</v>
      </c>
      <c r="X121" s="13">
        <v>1</v>
      </c>
      <c r="Y121" s="13">
        <v>78273.240000000005</v>
      </c>
      <c r="Z121" s="13">
        <v>1130232.3200000001</v>
      </c>
      <c r="AA121" s="13">
        <v>1</v>
      </c>
      <c r="AB121" s="13">
        <v>1130232.3200000001</v>
      </c>
    </row>
    <row r="123" spans="1:255" x14ac:dyDescent="0.2">
      <c r="A123" s="10">
        <v>4</v>
      </c>
      <c r="B123" s="10">
        <v>1</v>
      </c>
      <c r="C123" s="10"/>
      <c r="D123" s="10">
        <f>ROW(A148)</f>
        <v>148</v>
      </c>
      <c r="E123" s="10"/>
      <c r="F123" s="10" t="s">
        <v>3</v>
      </c>
      <c r="G123" s="10" t="s">
        <v>202</v>
      </c>
      <c r="H123" s="10" t="s">
        <v>3</v>
      </c>
      <c r="I123" s="10">
        <v>0</v>
      </c>
      <c r="J123" s="10"/>
      <c r="K123" s="10">
        <v>-1</v>
      </c>
      <c r="L123" s="10"/>
      <c r="M123" s="10" t="s">
        <v>3</v>
      </c>
      <c r="N123" s="10"/>
      <c r="O123" s="10"/>
      <c r="P123" s="10"/>
      <c r="Q123" s="10"/>
      <c r="R123" s="10"/>
      <c r="S123" s="10">
        <v>0</v>
      </c>
      <c r="T123" s="10">
        <v>0</v>
      </c>
      <c r="U123" s="10" t="s">
        <v>3</v>
      </c>
      <c r="V123" s="10">
        <v>2</v>
      </c>
      <c r="W123" s="10"/>
      <c r="X123" s="10"/>
      <c r="Y123" s="10"/>
      <c r="Z123" s="10"/>
      <c r="AA123" s="10"/>
      <c r="AB123" s="10" t="s">
        <v>3</v>
      </c>
      <c r="AC123" s="10" t="s">
        <v>3</v>
      </c>
      <c r="AD123" s="10" t="s">
        <v>3</v>
      </c>
      <c r="AE123" s="10" t="s">
        <v>3</v>
      </c>
      <c r="AF123" s="10" t="s">
        <v>3</v>
      </c>
      <c r="AG123" s="10" t="s">
        <v>3</v>
      </c>
      <c r="AH123" s="10"/>
      <c r="AI123" s="10"/>
      <c r="AJ123" s="10"/>
      <c r="AK123" s="10"/>
      <c r="AL123" s="10"/>
      <c r="AM123" s="10"/>
      <c r="AN123" s="10"/>
      <c r="AO123" s="10"/>
      <c r="AP123" s="10" t="s">
        <v>3</v>
      </c>
      <c r="AQ123" s="10" t="s">
        <v>3</v>
      </c>
      <c r="AR123" s="10" t="s">
        <v>3</v>
      </c>
      <c r="AS123" s="10"/>
      <c r="AT123" s="10"/>
      <c r="AU123" s="10"/>
      <c r="AV123" s="10"/>
      <c r="AW123" s="10"/>
      <c r="AX123" s="10"/>
      <c r="AY123" s="10"/>
      <c r="AZ123" s="10" t="s">
        <v>3</v>
      </c>
      <c r="BA123" s="10"/>
      <c r="BB123" s="10" t="s">
        <v>3</v>
      </c>
      <c r="BC123" s="10" t="s">
        <v>3</v>
      </c>
      <c r="BD123" s="10" t="s">
        <v>3</v>
      </c>
      <c r="BE123" s="10" t="s">
        <v>3</v>
      </c>
      <c r="BF123" s="10" t="s">
        <v>3</v>
      </c>
      <c r="BG123" s="10" t="s">
        <v>3</v>
      </c>
      <c r="BH123" s="10" t="s">
        <v>3</v>
      </c>
      <c r="BI123" s="10" t="s">
        <v>3</v>
      </c>
      <c r="BJ123" s="10" t="s">
        <v>3</v>
      </c>
      <c r="BK123" s="10" t="s">
        <v>3</v>
      </c>
      <c r="BL123" s="10" t="s">
        <v>3</v>
      </c>
      <c r="BM123" s="10" t="s">
        <v>3</v>
      </c>
      <c r="BN123" s="10" t="s">
        <v>3</v>
      </c>
      <c r="BO123" s="10" t="s">
        <v>3</v>
      </c>
      <c r="BP123" s="10" t="s">
        <v>3</v>
      </c>
      <c r="BQ123" s="10"/>
      <c r="BR123" s="10"/>
      <c r="BS123" s="10"/>
      <c r="BT123" s="10"/>
      <c r="BU123" s="10"/>
      <c r="BV123" s="10"/>
      <c r="BW123" s="10"/>
      <c r="BX123" s="10">
        <v>0</v>
      </c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>
        <v>0</v>
      </c>
    </row>
    <row r="125" spans="1:255" x14ac:dyDescent="0.2">
      <c r="A125" s="11">
        <v>52</v>
      </c>
      <c r="B125" s="11">
        <f t="shared" ref="B125:G125" si="75">B148</f>
        <v>1</v>
      </c>
      <c r="C125" s="11">
        <f t="shared" si="75"/>
        <v>4</v>
      </c>
      <c r="D125" s="11">
        <f t="shared" si="75"/>
        <v>123</v>
      </c>
      <c r="E125" s="11">
        <f t="shared" si="75"/>
        <v>0</v>
      </c>
      <c r="F125" s="11" t="str">
        <f t="shared" si="75"/>
        <v/>
      </c>
      <c r="G125" s="11" t="str">
        <f t="shared" si="75"/>
        <v>Кабельные изделия СОТС</v>
      </c>
      <c r="H125" s="11"/>
      <c r="I125" s="11"/>
      <c r="J125" s="11"/>
      <c r="K125" s="11"/>
      <c r="L125" s="11"/>
      <c r="M125" s="11"/>
      <c r="N125" s="11"/>
      <c r="O125" s="11">
        <f t="shared" ref="O125:AT125" si="76">O148</f>
        <v>127347.98</v>
      </c>
      <c r="P125" s="11">
        <f t="shared" si="76"/>
        <v>116885.67</v>
      </c>
      <c r="Q125" s="11">
        <f t="shared" si="76"/>
        <v>145.96</v>
      </c>
      <c r="R125" s="11">
        <f t="shared" si="76"/>
        <v>0.69</v>
      </c>
      <c r="S125" s="11">
        <f t="shared" si="76"/>
        <v>10316.35</v>
      </c>
      <c r="T125" s="11">
        <f t="shared" si="76"/>
        <v>0</v>
      </c>
      <c r="U125" s="11">
        <f t="shared" si="76"/>
        <v>867.66774600000008</v>
      </c>
      <c r="V125" s="11">
        <f t="shared" si="76"/>
        <v>0</v>
      </c>
      <c r="W125" s="11">
        <f t="shared" si="76"/>
        <v>0</v>
      </c>
      <c r="X125" s="11">
        <f t="shared" si="76"/>
        <v>9295.9699999999993</v>
      </c>
      <c r="Y125" s="11">
        <f t="shared" si="76"/>
        <v>4753.43</v>
      </c>
      <c r="Z125" s="11">
        <f t="shared" si="76"/>
        <v>0</v>
      </c>
      <c r="AA125" s="11">
        <f t="shared" si="76"/>
        <v>0</v>
      </c>
      <c r="AB125" s="11">
        <f t="shared" si="76"/>
        <v>127347.98</v>
      </c>
      <c r="AC125" s="11">
        <f t="shared" si="76"/>
        <v>116885.67</v>
      </c>
      <c r="AD125" s="11">
        <f t="shared" si="76"/>
        <v>145.96</v>
      </c>
      <c r="AE125" s="11">
        <f t="shared" si="76"/>
        <v>0.69</v>
      </c>
      <c r="AF125" s="11">
        <f t="shared" si="76"/>
        <v>10316.35</v>
      </c>
      <c r="AG125" s="11">
        <f t="shared" si="76"/>
        <v>0</v>
      </c>
      <c r="AH125" s="11">
        <f t="shared" si="76"/>
        <v>867.66774600000008</v>
      </c>
      <c r="AI125" s="11">
        <f t="shared" si="76"/>
        <v>0</v>
      </c>
      <c r="AJ125" s="11">
        <f t="shared" si="76"/>
        <v>0</v>
      </c>
      <c r="AK125" s="11">
        <f t="shared" si="76"/>
        <v>9295.9699999999993</v>
      </c>
      <c r="AL125" s="11">
        <f t="shared" si="76"/>
        <v>4753.43</v>
      </c>
      <c r="AM125" s="11">
        <f t="shared" si="76"/>
        <v>0</v>
      </c>
      <c r="AN125" s="11">
        <f t="shared" si="76"/>
        <v>0</v>
      </c>
      <c r="AO125" s="11">
        <f t="shared" si="76"/>
        <v>0</v>
      </c>
      <c r="AP125" s="11">
        <f t="shared" si="76"/>
        <v>31.58</v>
      </c>
      <c r="AQ125" s="11">
        <f t="shared" si="76"/>
        <v>0</v>
      </c>
      <c r="AR125" s="11">
        <f t="shared" si="76"/>
        <v>141397.38</v>
      </c>
      <c r="AS125" s="11">
        <f t="shared" si="76"/>
        <v>0</v>
      </c>
      <c r="AT125" s="11">
        <f t="shared" si="76"/>
        <v>141365.79999999999</v>
      </c>
      <c r="AU125" s="11">
        <f t="shared" ref="AU125:BZ125" si="77">AU148</f>
        <v>0</v>
      </c>
      <c r="AV125" s="11">
        <f t="shared" si="77"/>
        <v>116885.67</v>
      </c>
      <c r="AW125" s="11">
        <f t="shared" si="77"/>
        <v>116854.09</v>
      </c>
      <c r="AX125" s="11">
        <f t="shared" si="77"/>
        <v>0</v>
      </c>
      <c r="AY125" s="11">
        <f t="shared" si="77"/>
        <v>116854.09</v>
      </c>
      <c r="AZ125" s="11">
        <f t="shared" si="77"/>
        <v>31.58</v>
      </c>
      <c r="BA125" s="11">
        <f t="shared" si="77"/>
        <v>0</v>
      </c>
      <c r="BB125" s="11">
        <f t="shared" si="77"/>
        <v>0</v>
      </c>
      <c r="BC125" s="11">
        <f t="shared" si="77"/>
        <v>0</v>
      </c>
      <c r="BD125" s="11">
        <f t="shared" si="77"/>
        <v>0</v>
      </c>
      <c r="BE125" s="11">
        <f t="shared" si="77"/>
        <v>0</v>
      </c>
      <c r="BF125" s="11">
        <f t="shared" si="77"/>
        <v>0</v>
      </c>
      <c r="BG125" s="11">
        <f t="shared" si="77"/>
        <v>0</v>
      </c>
      <c r="BH125" s="11">
        <f t="shared" si="77"/>
        <v>0</v>
      </c>
      <c r="BI125" s="11">
        <f t="shared" si="77"/>
        <v>0</v>
      </c>
      <c r="BJ125" s="11">
        <f t="shared" si="77"/>
        <v>0</v>
      </c>
      <c r="BK125" s="11">
        <f t="shared" si="77"/>
        <v>0</v>
      </c>
      <c r="BL125" s="11">
        <f t="shared" si="77"/>
        <v>0</v>
      </c>
      <c r="BM125" s="11">
        <f t="shared" si="77"/>
        <v>0</v>
      </c>
      <c r="BN125" s="11">
        <f t="shared" si="77"/>
        <v>0</v>
      </c>
      <c r="BO125" s="11">
        <f t="shared" si="77"/>
        <v>0</v>
      </c>
      <c r="BP125" s="11">
        <f t="shared" si="77"/>
        <v>0</v>
      </c>
      <c r="BQ125" s="11">
        <f t="shared" si="77"/>
        <v>0</v>
      </c>
      <c r="BR125" s="11">
        <f t="shared" si="77"/>
        <v>0</v>
      </c>
      <c r="BS125" s="11">
        <f t="shared" si="77"/>
        <v>0</v>
      </c>
      <c r="BT125" s="11">
        <f t="shared" si="77"/>
        <v>0</v>
      </c>
      <c r="BU125" s="11">
        <f t="shared" si="77"/>
        <v>0</v>
      </c>
      <c r="BV125" s="11">
        <f t="shared" si="77"/>
        <v>0</v>
      </c>
      <c r="BW125" s="11">
        <f t="shared" si="77"/>
        <v>0</v>
      </c>
      <c r="BX125" s="11">
        <f t="shared" si="77"/>
        <v>0</v>
      </c>
      <c r="BY125" s="11">
        <f t="shared" si="77"/>
        <v>31.58</v>
      </c>
      <c r="BZ125" s="11">
        <f t="shared" si="77"/>
        <v>0</v>
      </c>
      <c r="CA125" s="11">
        <f t="shared" ref="CA125:DF125" si="78">CA148</f>
        <v>141397.38</v>
      </c>
      <c r="CB125" s="11">
        <f t="shared" si="78"/>
        <v>0</v>
      </c>
      <c r="CC125" s="11">
        <f t="shared" si="78"/>
        <v>141365.79999999999</v>
      </c>
      <c r="CD125" s="11">
        <f t="shared" si="78"/>
        <v>0</v>
      </c>
      <c r="CE125" s="11">
        <f t="shared" si="78"/>
        <v>116885.67</v>
      </c>
      <c r="CF125" s="11">
        <f t="shared" si="78"/>
        <v>116854.09</v>
      </c>
      <c r="CG125" s="11">
        <f t="shared" si="78"/>
        <v>0</v>
      </c>
      <c r="CH125" s="11">
        <f t="shared" si="78"/>
        <v>116854.09</v>
      </c>
      <c r="CI125" s="11">
        <f t="shared" si="78"/>
        <v>31.58</v>
      </c>
      <c r="CJ125" s="11">
        <f t="shared" si="78"/>
        <v>0</v>
      </c>
      <c r="CK125" s="11">
        <f t="shared" si="78"/>
        <v>0</v>
      </c>
      <c r="CL125" s="11">
        <f t="shared" si="78"/>
        <v>0</v>
      </c>
      <c r="CM125" s="11">
        <f t="shared" si="78"/>
        <v>0</v>
      </c>
      <c r="CN125" s="11">
        <f t="shared" si="78"/>
        <v>0</v>
      </c>
      <c r="CO125" s="11">
        <f t="shared" si="78"/>
        <v>0</v>
      </c>
      <c r="CP125" s="11">
        <f t="shared" si="78"/>
        <v>0</v>
      </c>
      <c r="CQ125" s="11">
        <f t="shared" si="78"/>
        <v>0</v>
      </c>
      <c r="CR125" s="11">
        <f t="shared" si="78"/>
        <v>0</v>
      </c>
      <c r="CS125" s="11">
        <f t="shared" si="78"/>
        <v>0</v>
      </c>
      <c r="CT125" s="11">
        <f t="shared" si="78"/>
        <v>0</v>
      </c>
      <c r="CU125" s="11">
        <f t="shared" si="78"/>
        <v>0</v>
      </c>
      <c r="CV125" s="11">
        <f t="shared" si="78"/>
        <v>0</v>
      </c>
      <c r="CW125" s="11">
        <f t="shared" si="78"/>
        <v>0</v>
      </c>
      <c r="CX125" s="11">
        <f t="shared" si="78"/>
        <v>0</v>
      </c>
      <c r="CY125" s="11">
        <f t="shared" si="78"/>
        <v>0</v>
      </c>
      <c r="CZ125" s="11">
        <f t="shared" si="78"/>
        <v>0</v>
      </c>
      <c r="DA125" s="11">
        <f t="shared" si="78"/>
        <v>0</v>
      </c>
      <c r="DB125" s="11">
        <f t="shared" si="78"/>
        <v>0</v>
      </c>
      <c r="DC125" s="11">
        <f t="shared" si="78"/>
        <v>0</v>
      </c>
      <c r="DD125" s="11">
        <f t="shared" si="78"/>
        <v>0</v>
      </c>
      <c r="DE125" s="11">
        <f t="shared" si="78"/>
        <v>0</v>
      </c>
      <c r="DF125" s="11">
        <f t="shared" si="78"/>
        <v>0</v>
      </c>
      <c r="DG125" s="12">
        <f t="shared" ref="DG125:EL125" si="79">DG148</f>
        <v>1211414.83</v>
      </c>
      <c r="DH125" s="12">
        <f t="shared" si="79"/>
        <v>642810.68999999994</v>
      </c>
      <c r="DI125" s="12">
        <f t="shared" si="79"/>
        <v>1308.05</v>
      </c>
      <c r="DJ125" s="12">
        <f t="shared" si="79"/>
        <v>37.94</v>
      </c>
      <c r="DK125" s="12">
        <f t="shared" si="79"/>
        <v>567296.09</v>
      </c>
      <c r="DL125" s="12">
        <f t="shared" si="79"/>
        <v>0</v>
      </c>
      <c r="DM125" s="12">
        <f t="shared" si="79"/>
        <v>867.66774600000008</v>
      </c>
      <c r="DN125" s="12">
        <f t="shared" si="79"/>
        <v>0</v>
      </c>
      <c r="DO125" s="12">
        <f t="shared" si="79"/>
        <v>0</v>
      </c>
      <c r="DP125" s="12">
        <f t="shared" si="79"/>
        <v>511184.91</v>
      </c>
      <c r="DQ125" s="12">
        <f t="shared" si="79"/>
        <v>261391</v>
      </c>
      <c r="DR125" s="12">
        <f t="shared" si="79"/>
        <v>0</v>
      </c>
      <c r="DS125" s="12">
        <f t="shared" si="79"/>
        <v>0</v>
      </c>
      <c r="DT125" s="12">
        <f t="shared" si="79"/>
        <v>1211414.83</v>
      </c>
      <c r="DU125" s="12">
        <f t="shared" si="79"/>
        <v>642810.68999999994</v>
      </c>
      <c r="DV125" s="12">
        <f t="shared" si="79"/>
        <v>1308.05</v>
      </c>
      <c r="DW125" s="12">
        <f t="shared" si="79"/>
        <v>37.94</v>
      </c>
      <c r="DX125" s="12">
        <f t="shared" si="79"/>
        <v>567296.09</v>
      </c>
      <c r="DY125" s="12">
        <f t="shared" si="79"/>
        <v>0</v>
      </c>
      <c r="DZ125" s="12">
        <f t="shared" si="79"/>
        <v>867.66774600000008</v>
      </c>
      <c r="EA125" s="12">
        <f t="shared" si="79"/>
        <v>0</v>
      </c>
      <c r="EB125" s="12">
        <f t="shared" si="79"/>
        <v>0</v>
      </c>
      <c r="EC125" s="12">
        <f t="shared" si="79"/>
        <v>511184.91</v>
      </c>
      <c r="ED125" s="12">
        <f t="shared" si="79"/>
        <v>261391</v>
      </c>
      <c r="EE125" s="12">
        <f t="shared" si="79"/>
        <v>0</v>
      </c>
      <c r="EF125" s="12">
        <f t="shared" si="79"/>
        <v>0</v>
      </c>
      <c r="EG125" s="12">
        <f t="shared" si="79"/>
        <v>0</v>
      </c>
      <c r="EH125" s="12">
        <f t="shared" si="79"/>
        <v>215.69</v>
      </c>
      <c r="EI125" s="12">
        <f t="shared" si="79"/>
        <v>0</v>
      </c>
      <c r="EJ125" s="12">
        <f t="shared" si="79"/>
        <v>1983990.74</v>
      </c>
      <c r="EK125" s="12">
        <f t="shared" si="79"/>
        <v>0</v>
      </c>
      <c r="EL125" s="12">
        <f t="shared" si="79"/>
        <v>1983775.05</v>
      </c>
      <c r="EM125" s="12">
        <f t="shared" ref="EM125:FR125" si="80">EM148</f>
        <v>0</v>
      </c>
      <c r="EN125" s="12">
        <f t="shared" si="80"/>
        <v>642810.68999999994</v>
      </c>
      <c r="EO125" s="12">
        <f t="shared" si="80"/>
        <v>642595</v>
      </c>
      <c r="EP125" s="12">
        <f t="shared" si="80"/>
        <v>0</v>
      </c>
      <c r="EQ125" s="12">
        <f t="shared" si="80"/>
        <v>642595</v>
      </c>
      <c r="ER125" s="12">
        <f t="shared" si="80"/>
        <v>215.69</v>
      </c>
      <c r="ES125" s="12">
        <f t="shared" si="80"/>
        <v>0</v>
      </c>
      <c r="ET125" s="12">
        <f t="shared" si="80"/>
        <v>0</v>
      </c>
      <c r="EU125" s="12">
        <f t="shared" si="80"/>
        <v>0</v>
      </c>
      <c r="EV125" s="12">
        <f t="shared" si="80"/>
        <v>0</v>
      </c>
      <c r="EW125" s="12">
        <f t="shared" si="80"/>
        <v>0</v>
      </c>
      <c r="EX125" s="12">
        <f t="shared" si="80"/>
        <v>0</v>
      </c>
      <c r="EY125" s="12">
        <f t="shared" si="80"/>
        <v>0</v>
      </c>
      <c r="EZ125" s="12">
        <f t="shared" si="80"/>
        <v>0</v>
      </c>
      <c r="FA125" s="12">
        <f t="shared" si="80"/>
        <v>0</v>
      </c>
      <c r="FB125" s="12">
        <f t="shared" si="80"/>
        <v>0</v>
      </c>
      <c r="FC125" s="12">
        <f t="shared" si="80"/>
        <v>0</v>
      </c>
      <c r="FD125" s="12">
        <f t="shared" si="80"/>
        <v>0</v>
      </c>
      <c r="FE125" s="12">
        <f t="shared" si="80"/>
        <v>0</v>
      </c>
      <c r="FF125" s="12">
        <f t="shared" si="80"/>
        <v>0</v>
      </c>
      <c r="FG125" s="12">
        <f t="shared" si="80"/>
        <v>0</v>
      </c>
      <c r="FH125" s="12">
        <f t="shared" si="80"/>
        <v>0</v>
      </c>
      <c r="FI125" s="12">
        <f t="shared" si="80"/>
        <v>0</v>
      </c>
      <c r="FJ125" s="12">
        <f t="shared" si="80"/>
        <v>0</v>
      </c>
      <c r="FK125" s="12">
        <f t="shared" si="80"/>
        <v>0</v>
      </c>
      <c r="FL125" s="12">
        <f t="shared" si="80"/>
        <v>0</v>
      </c>
      <c r="FM125" s="12">
        <f t="shared" si="80"/>
        <v>0</v>
      </c>
      <c r="FN125" s="12">
        <f t="shared" si="80"/>
        <v>0</v>
      </c>
      <c r="FO125" s="12">
        <f t="shared" si="80"/>
        <v>0</v>
      </c>
      <c r="FP125" s="12">
        <f t="shared" si="80"/>
        <v>0</v>
      </c>
      <c r="FQ125" s="12">
        <f t="shared" si="80"/>
        <v>215.69</v>
      </c>
      <c r="FR125" s="12">
        <f t="shared" si="80"/>
        <v>0</v>
      </c>
      <c r="FS125" s="12">
        <f t="shared" ref="FS125:GX125" si="81">FS148</f>
        <v>1983990.74</v>
      </c>
      <c r="FT125" s="12">
        <f t="shared" si="81"/>
        <v>0</v>
      </c>
      <c r="FU125" s="12">
        <f t="shared" si="81"/>
        <v>1983775.05</v>
      </c>
      <c r="FV125" s="12">
        <f t="shared" si="81"/>
        <v>0</v>
      </c>
      <c r="FW125" s="12">
        <f t="shared" si="81"/>
        <v>642810.68999999994</v>
      </c>
      <c r="FX125" s="12">
        <f t="shared" si="81"/>
        <v>642595</v>
      </c>
      <c r="FY125" s="12">
        <f t="shared" si="81"/>
        <v>0</v>
      </c>
      <c r="FZ125" s="12">
        <f t="shared" si="81"/>
        <v>642595</v>
      </c>
      <c r="GA125" s="12">
        <f t="shared" si="81"/>
        <v>215.69</v>
      </c>
      <c r="GB125" s="12">
        <f t="shared" si="81"/>
        <v>0</v>
      </c>
      <c r="GC125" s="12">
        <f t="shared" si="81"/>
        <v>0</v>
      </c>
      <c r="GD125" s="12">
        <f t="shared" si="81"/>
        <v>0</v>
      </c>
      <c r="GE125" s="12">
        <f t="shared" si="81"/>
        <v>0</v>
      </c>
      <c r="GF125" s="12">
        <f t="shared" si="81"/>
        <v>0</v>
      </c>
      <c r="GG125" s="12">
        <f t="shared" si="81"/>
        <v>0</v>
      </c>
      <c r="GH125" s="12">
        <f t="shared" si="81"/>
        <v>0</v>
      </c>
      <c r="GI125" s="12">
        <f t="shared" si="81"/>
        <v>0</v>
      </c>
      <c r="GJ125" s="12">
        <f t="shared" si="81"/>
        <v>0</v>
      </c>
      <c r="GK125" s="12">
        <f t="shared" si="81"/>
        <v>0</v>
      </c>
      <c r="GL125" s="12">
        <f t="shared" si="81"/>
        <v>0</v>
      </c>
      <c r="GM125" s="12">
        <f t="shared" si="81"/>
        <v>0</v>
      </c>
      <c r="GN125" s="12">
        <f t="shared" si="81"/>
        <v>0</v>
      </c>
      <c r="GO125" s="12">
        <f t="shared" si="81"/>
        <v>0</v>
      </c>
      <c r="GP125" s="12">
        <f t="shared" si="81"/>
        <v>0</v>
      </c>
      <c r="GQ125" s="12">
        <f t="shared" si="81"/>
        <v>0</v>
      </c>
      <c r="GR125" s="12">
        <f t="shared" si="81"/>
        <v>0</v>
      </c>
      <c r="GS125" s="12">
        <f t="shared" si="81"/>
        <v>0</v>
      </c>
      <c r="GT125" s="12">
        <f t="shared" si="81"/>
        <v>0</v>
      </c>
      <c r="GU125" s="12">
        <f t="shared" si="81"/>
        <v>0</v>
      </c>
      <c r="GV125" s="12">
        <f t="shared" si="81"/>
        <v>0</v>
      </c>
      <c r="GW125" s="12">
        <f t="shared" si="81"/>
        <v>0</v>
      </c>
      <c r="GX125" s="12">
        <f t="shared" si="81"/>
        <v>0</v>
      </c>
    </row>
    <row r="127" spans="1:255" x14ac:dyDescent="0.2">
      <c r="A127" s="2">
        <v>17</v>
      </c>
      <c r="B127" s="2">
        <v>1</v>
      </c>
      <c r="C127" s="2">
        <f>ROW(SmtRes!A71)</f>
        <v>71</v>
      </c>
      <c r="D127" s="2">
        <f>ROW(EtalonRes!A86)</f>
        <v>86</v>
      </c>
      <c r="E127" s="2" t="s">
        <v>203</v>
      </c>
      <c r="F127" s="2" t="s">
        <v>204</v>
      </c>
      <c r="G127" s="2" t="s">
        <v>205</v>
      </c>
      <c r="H127" s="2" t="s">
        <v>206</v>
      </c>
      <c r="I127" s="2">
        <f>ROUND(3000/100,9)</f>
        <v>30</v>
      </c>
      <c r="J127" s="2">
        <v>0</v>
      </c>
      <c r="K127" s="2">
        <f>ROUND(3000/100,9)</f>
        <v>30</v>
      </c>
      <c r="L127" s="2"/>
      <c r="M127" s="2"/>
      <c r="N127" s="2"/>
      <c r="O127" s="2">
        <f t="shared" ref="O127:O146" si="82">ROUND(CP127,2)</f>
        <v>10887.78</v>
      </c>
      <c r="P127" s="2">
        <f t="shared" ref="P127:P144" si="83">ROUND((ROUND((AC127*AW127*I127),2)*BC127),2)</f>
        <v>582.6</v>
      </c>
      <c r="Q127" s="2">
        <f>(ROUND((ROUND((((ET127*1.1))*AV127*I127),2)*BB127),2)+ROUND((ROUND(((AE127-((EU127*1.1)))*AV127*I127),2)*BS127),2))</f>
        <v>139.93</v>
      </c>
      <c r="R127" s="2">
        <f>(ROUND((ROUND((((EU127*1.1))*AV127*I127),2)*BS127),2)+ROUND((ROUND(((AE127-((EU127*1.1)))*AV127*I127),2)*BS127),2))</f>
        <v>0</v>
      </c>
      <c r="S127" s="2">
        <f t="shared" ref="S127:S146" si="84">ROUND((ROUND((AF127*AV127*I127),2)*BA127),2)</f>
        <v>10165.25</v>
      </c>
      <c r="T127" s="2">
        <f t="shared" ref="T127:T146" si="85">ROUND(CU127*I127,2)</f>
        <v>0</v>
      </c>
      <c r="U127" s="2">
        <f t="shared" ref="U127:U146" si="86">CV127*I127</f>
        <v>855.4827600000001</v>
      </c>
      <c r="V127" s="2">
        <f t="shared" ref="V127:V146" si="87">CW127*I127</f>
        <v>0</v>
      </c>
      <c r="W127" s="2">
        <f t="shared" ref="W127:W146" si="88">ROUND(CX127*I127,2)</f>
        <v>0</v>
      </c>
      <c r="X127" s="2">
        <f>(ROUND((((S127+ROUND((ROUND((((EU127*1.1))*AV127*I127),2)*BS127),2))*AT127)/100),2)+ROUND(((ROUND((ROUND(((AE127-((EU127*1.1)))*AV127*I127),2)*BS127),2)*AT127)/100),2))</f>
        <v>9148.73</v>
      </c>
      <c r="Y127" s="2">
        <f>(ROUND((((S127+ROUND((ROUND((((EU127*1.1))*AV127*I127),2)*BS127),2))*AU127)/100),2)+ROUND(((ROUND((ROUND(((AE127-((EU127*1.1)))*AV127*I127),2)*BS127),2)*AU127)/100),2))</f>
        <v>4676.0200000000004</v>
      </c>
      <c r="Z127" s="2"/>
      <c r="AA127" s="2">
        <v>60258621</v>
      </c>
      <c r="AB127" s="2">
        <f t="shared" ref="AB127:AB146" si="89">ROUND((AC127+AD127+AF127),6)</f>
        <v>347.50599999999997</v>
      </c>
      <c r="AC127" s="2">
        <f t="shared" ref="AC127:AC146" si="90">ROUND((ES127),6)</f>
        <v>19.420000000000002</v>
      </c>
      <c r="AD127" s="2">
        <f>ROUND(((((ET127*1.1))-((EU127*1.1)))+AE127),6)</f>
        <v>4.4550000000000001</v>
      </c>
      <c r="AE127" s="2">
        <f>ROUND(((EU127*1.1)),6)</f>
        <v>0</v>
      </c>
      <c r="AF127" s="2">
        <f>ROUND(((EV127*1.1)),6)</f>
        <v>323.63099999999997</v>
      </c>
      <c r="AG127" s="2">
        <f t="shared" ref="AG127:AG146" si="91">ROUND((AP127),6)</f>
        <v>0</v>
      </c>
      <c r="AH127" s="2">
        <f>((EW127*1.1))</f>
        <v>27.236000000000004</v>
      </c>
      <c r="AI127" s="2">
        <f>((EX127*1.1))</f>
        <v>0</v>
      </c>
      <c r="AJ127" s="2">
        <f t="shared" ref="AJ127:AJ146" si="92">(AS127)</f>
        <v>0</v>
      </c>
      <c r="AK127" s="2">
        <v>317.68</v>
      </c>
      <c r="AL127" s="2">
        <v>19.420000000000002</v>
      </c>
      <c r="AM127" s="2">
        <v>4.05</v>
      </c>
      <c r="AN127" s="2">
        <v>0</v>
      </c>
      <c r="AO127" s="2">
        <v>294.20999999999998</v>
      </c>
      <c r="AP127" s="2">
        <v>0</v>
      </c>
      <c r="AQ127" s="2">
        <v>24.76</v>
      </c>
      <c r="AR127" s="2">
        <v>0</v>
      </c>
      <c r="AS127" s="2">
        <v>0</v>
      </c>
      <c r="AT127" s="2">
        <v>90</v>
      </c>
      <c r="AU127" s="2">
        <v>46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207</v>
      </c>
      <c r="BK127" s="2"/>
      <c r="BL127" s="2"/>
      <c r="BM127" s="2">
        <v>68</v>
      </c>
      <c r="BN127" s="2">
        <v>0</v>
      </c>
      <c r="BO127" s="2" t="s">
        <v>204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90</v>
      </c>
      <c r="CA127" s="2">
        <v>46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365</v>
      </c>
      <c r="CO127" s="2">
        <v>0</v>
      </c>
      <c r="CP127" s="2">
        <f t="shared" ref="CP127:CP146" si="93">(P127+Q127+S127)</f>
        <v>10887.78</v>
      </c>
      <c r="CQ127" s="2">
        <f t="shared" ref="CQ127:CQ144" si="94">ROUND((ROUND((AC127*AW127*1),2)*BC127),2)</f>
        <v>19.420000000000002</v>
      </c>
      <c r="CR127" s="2">
        <f>(ROUND((ROUND((((ET127*1.1))*AV127*1),2)*BB127),2)+ROUND((ROUND(((AE127-((EU127*1.1)))*AV127*1),2)*BS127),2))</f>
        <v>4.66</v>
      </c>
      <c r="CS127" s="2">
        <f>(ROUND((ROUND((((EU127*1.1))*AV127*1),2)*BS127),2)+ROUND((ROUND(((AE127-((EU127*1.1)))*AV127*1),2)*BS127),2))</f>
        <v>0</v>
      </c>
      <c r="CT127" s="2">
        <f t="shared" ref="CT127:CT146" si="95">ROUND((ROUND((AF127*AV127*1),2)*BA127),2)</f>
        <v>338.84</v>
      </c>
      <c r="CU127" s="2">
        <f t="shared" ref="CU127:CU146" si="96">AG127</f>
        <v>0</v>
      </c>
      <c r="CV127" s="2">
        <f t="shared" ref="CV127:CV146" si="97">(AH127*AV127)</f>
        <v>28.516092000000004</v>
      </c>
      <c r="CW127" s="2">
        <f t="shared" ref="CW127:CW146" si="98">AI127</f>
        <v>0</v>
      </c>
      <c r="CX127" s="2">
        <f t="shared" ref="CX127:CX146" si="99">AJ127</f>
        <v>0</v>
      </c>
      <c r="CY127" s="2">
        <f>(ROUND((((S127+ROUND((ROUND((((EU127*1.1))*AV127*1),2)*BS127),2))*AT127)/100),2)+ROUND(((ROUND((ROUND(((AE127-((EU127*1.1)))*AV127*1),2)*BS127),2)*AT127)/100),2))</f>
        <v>9148.73</v>
      </c>
      <c r="CZ127" s="2">
        <f>(ROUND((((S127+ROUND((ROUND((((EU127*1.1))*AV127*1),2)*BS127),2))*AU127)/100),2)+ROUND(((ROUND((ROUND(((AE127-((EU127*1.1)))*AV127*1),2)*BS127),2)*AU127)/100),2))</f>
        <v>4676.0200000000004</v>
      </c>
      <c r="DA127" s="2"/>
      <c r="DB127" s="2">
        <v>31</v>
      </c>
      <c r="DC127" s="2" t="s">
        <v>3</v>
      </c>
      <c r="DD127" s="2" t="s">
        <v>3</v>
      </c>
      <c r="DE127" s="2" t="s">
        <v>24</v>
      </c>
      <c r="DF127" s="2" t="s">
        <v>24</v>
      </c>
      <c r="DG127" s="2" t="s">
        <v>24</v>
      </c>
      <c r="DH127" s="2" t="s">
        <v>3</v>
      </c>
      <c r="DI127" s="2" t="s">
        <v>24</v>
      </c>
      <c r="DJ127" s="2" t="s">
        <v>24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1003</v>
      </c>
      <c r="DV127" s="2" t="s">
        <v>206</v>
      </c>
      <c r="DW127" s="2" t="s">
        <v>206</v>
      </c>
      <c r="DX127" s="2">
        <v>100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60088532</v>
      </c>
      <c r="EF127" s="2">
        <v>40</v>
      </c>
      <c r="EG127" s="2" t="s">
        <v>25</v>
      </c>
      <c r="EH127" s="2">
        <v>0</v>
      </c>
      <c r="EI127" s="2" t="s">
        <v>3</v>
      </c>
      <c r="EJ127" s="2">
        <v>2</v>
      </c>
      <c r="EK127" s="2">
        <v>68</v>
      </c>
      <c r="EL127" s="2" t="s">
        <v>46</v>
      </c>
      <c r="EM127" s="2" t="s">
        <v>47</v>
      </c>
      <c r="EN127" s="2"/>
      <c r="EO127" s="2" t="s">
        <v>208</v>
      </c>
      <c r="EP127" s="2"/>
      <c r="EQ127" s="2">
        <v>0</v>
      </c>
      <c r="ER127" s="2">
        <v>317.68</v>
      </c>
      <c r="ES127" s="2">
        <v>19.420000000000002</v>
      </c>
      <c r="ET127" s="2">
        <v>4.05</v>
      </c>
      <c r="EU127" s="2">
        <v>0</v>
      </c>
      <c r="EV127" s="2">
        <v>294.20999999999998</v>
      </c>
      <c r="EW127" s="2">
        <v>24.76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90</v>
      </c>
      <c r="FY127" s="2">
        <v>46</v>
      </c>
      <c r="FZ127" s="2"/>
      <c r="GA127" s="2" t="s">
        <v>3</v>
      </c>
      <c r="GB127" s="2"/>
      <c r="GC127" s="2"/>
      <c r="GD127" s="2">
        <v>1</v>
      </c>
      <c r="GE127" s="2"/>
      <c r="GF127" s="2">
        <v>-670664398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ref="GL127:GL146" si="100">ROUND(IF(AND(BH127=3,BI127=3,FS127&lt;&gt;0),P127,0),2)</f>
        <v>0</v>
      </c>
      <c r="GM127" s="2">
        <f t="shared" ref="GM127:GM146" si="101">ROUND(O127+X127+Y127,2)+GX127</f>
        <v>24712.53</v>
      </c>
      <c r="GN127" s="2">
        <f t="shared" ref="GN127:GN146" si="102">IF(OR(BI127=0,BI127=1),GM127-GX127,0)</f>
        <v>0</v>
      </c>
      <c r="GO127" s="2">
        <f t="shared" ref="GO127:GO146" si="103">IF(BI127=2,GM127-GX127,0)</f>
        <v>24712.53</v>
      </c>
      <c r="GP127" s="2">
        <f t="shared" ref="GP127:GP146" si="104">IF(BI127=4,GM127-GX127,0)</f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ref="GV127:GV146" si="105">ROUND((GT127),6)</f>
        <v>0</v>
      </c>
      <c r="GW127" s="2">
        <v>1</v>
      </c>
      <c r="GX127" s="2">
        <f t="shared" ref="GX127:GX146" si="106">ROUND(HC127*I127,2)</f>
        <v>0</v>
      </c>
      <c r="GY127" s="2"/>
      <c r="GZ127" s="2"/>
      <c r="HA127" s="2">
        <v>0</v>
      </c>
      <c r="HB127" s="2">
        <v>0</v>
      </c>
      <c r="HC127" s="2">
        <f t="shared" ref="HC127:HC146" si="107">GV127*GW127</f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17</v>
      </c>
      <c r="B128" s="3">
        <v>1</v>
      </c>
      <c r="C128" s="3">
        <f>ROW(SmtRes!A80)</f>
        <v>80</v>
      </c>
      <c r="D128" s="3">
        <f>ROW(EtalonRes!A96)</f>
        <v>96</v>
      </c>
      <c r="E128" s="3" t="s">
        <v>203</v>
      </c>
      <c r="F128" s="3" t="s">
        <v>204</v>
      </c>
      <c r="G128" s="3" t="s">
        <v>205</v>
      </c>
      <c r="H128" s="3" t="s">
        <v>206</v>
      </c>
      <c r="I128" s="3">
        <f>ROUND(3000/100,9)</f>
        <v>30</v>
      </c>
      <c r="J128" s="3">
        <v>0</v>
      </c>
      <c r="K128" s="3">
        <f>ROUND(3000/100,9)</f>
        <v>30</v>
      </c>
      <c r="O128" s="3">
        <f t="shared" si="82"/>
        <v>564087.41</v>
      </c>
      <c r="P128" s="3">
        <f t="shared" si="83"/>
        <v>3880.12</v>
      </c>
      <c r="Q128" s="3">
        <f>(ROUND((ROUND((((ET128*1.1))*AV128*I128),2)*BB128),2)+ROUND((ROUND(((AE128-((EU128*1.1)))*AV128*I128),2)*BS128),2))</f>
        <v>1220.19</v>
      </c>
      <c r="R128" s="3">
        <f>(ROUND((ROUND((((EU128*1.1))*AV128*I128),2)*BS128),2)+ROUND((ROUND(((AE128-((EU128*1.1)))*AV128*I128),2)*BS128),2))</f>
        <v>0</v>
      </c>
      <c r="S128" s="3">
        <f t="shared" si="84"/>
        <v>558987.1</v>
      </c>
      <c r="T128" s="3">
        <f t="shared" si="85"/>
        <v>0</v>
      </c>
      <c r="U128" s="3">
        <f t="shared" si="86"/>
        <v>855.4827600000001</v>
      </c>
      <c r="V128" s="3">
        <f t="shared" si="87"/>
        <v>0</v>
      </c>
      <c r="W128" s="3">
        <f t="shared" si="88"/>
        <v>0</v>
      </c>
      <c r="X128" s="3">
        <f>(ROUND((((S128+ROUND((ROUND((((EU128*1.1))*AV128*I128),2)*BS128),2))*AT128)/100),2)+ROUND(((ROUND((ROUND(((AE128-((EU128*1.1)))*AV128*I128),2)*BS128),2)*AT128)/100),2))</f>
        <v>503088.39</v>
      </c>
      <c r="Y128" s="3">
        <f>(ROUND((((S128+ROUND((ROUND((((EU128*1.1))*AV128*I128),2)*BS128),2))*AU128)/100),2)+ROUND(((ROUND((ROUND(((AE128-((EU128*1.1)))*AV128*I128),2)*BS128),2)*AU128)/100),2))</f>
        <v>257134.07</v>
      </c>
      <c r="AA128" s="3">
        <v>60258618</v>
      </c>
      <c r="AB128" s="3">
        <f t="shared" si="89"/>
        <v>347.50599999999997</v>
      </c>
      <c r="AC128" s="3">
        <f t="shared" si="90"/>
        <v>19.420000000000002</v>
      </c>
      <c r="AD128" s="3">
        <f>ROUND(((((ET128*1.1))-((EU128*1.1)))+AE128),6)</f>
        <v>4.4550000000000001</v>
      </c>
      <c r="AE128" s="3">
        <f>ROUND(((EU128*1.1)),6)</f>
        <v>0</v>
      </c>
      <c r="AF128" s="3">
        <f>ROUND(((EV128*1.1)),6)</f>
        <v>323.63099999999997</v>
      </c>
      <c r="AG128" s="3">
        <f t="shared" si="91"/>
        <v>0</v>
      </c>
      <c r="AH128" s="3">
        <f>((EW128*1.1))</f>
        <v>27.236000000000004</v>
      </c>
      <c r="AI128" s="3">
        <f>((EX128*1.1))</f>
        <v>0</v>
      </c>
      <c r="AJ128" s="3">
        <f t="shared" si="92"/>
        <v>0</v>
      </c>
      <c r="AK128" s="3">
        <v>317.68</v>
      </c>
      <c r="AL128" s="3">
        <v>19.420000000000002</v>
      </c>
      <c r="AM128" s="3">
        <v>4.05</v>
      </c>
      <c r="AN128" s="3">
        <v>0</v>
      </c>
      <c r="AO128" s="3">
        <v>294.20999999999998</v>
      </c>
      <c r="AP128" s="3">
        <v>0</v>
      </c>
      <c r="AQ128" s="3">
        <v>24.76</v>
      </c>
      <c r="AR128" s="3">
        <v>0</v>
      </c>
      <c r="AS128" s="3">
        <v>0</v>
      </c>
      <c r="AT128" s="3">
        <v>90</v>
      </c>
      <c r="AU128" s="3">
        <v>46</v>
      </c>
      <c r="AV128" s="3">
        <v>1.0469999999999999</v>
      </c>
      <c r="AW128" s="3">
        <v>1</v>
      </c>
      <c r="AZ128" s="3">
        <v>1</v>
      </c>
      <c r="BA128" s="3">
        <v>54.99</v>
      </c>
      <c r="BB128" s="3">
        <v>8.7200000000000006</v>
      </c>
      <c r="BC128" s="3">
        <v>6.66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207</v>
      </c>
      <c r="BM128" s="3">
        <v>68</v>
      </c>
      <c r="BN128" s="3">
        <v>0</v>
      </c>
      <c r="BO128" s="3" t="s">
        <v>204</v>
      </c>
      <c r="BP128" s="3">
        <v>1</v>
      </c>
      <c r="BQ128" s="3">
        <v>40</v>
      </c>
      <c r="BR128" s="3">
        <v>0</v>
      </c>
      <c r="BS128" s="3">
        <v>54.99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90</v>
      </c>
      <c r="CA128" s="3">
        <v>46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365</v>
      </c>
      <c r="CO128" s="3">
        <v>0</v>
      </c>
      <c r="CP128" s="3">
        <f t="shared" si="93"/>
        <v>564087.41</v>
      </c>
      <c r="CQ128" s="3">
        <f t="shared" si="94"/>
        <v>129.34</v>
      </c>
      <c r="CR128" s="3">
        <f>(ROUND((ROUND((((ET128*1.1))*AV128*1),2)*BB128),2)+ROUND((ROUND(((AE128-((EU128*1.1)))*AV128*1),2)*BS128),2))</f>
        <v>40.64</v>
      </c>
      <c r="CS128" s="3">
        <f>(ROUND((ROUND((((EU128*1.1))*AV128*1),2)*BS128),2)+ROUND((ROUND(((AE128-((EU128*1.1)))*AV128*1),2)*BS128),2))</f>
        <v>0</v>
      </c>
      <c r="CT128" s="3">
        <f t="shared" si="95"/>
        <v>18632.810000000001</v>
      </c>
      <c r="CU128" s="3">
        <f t="shared" si="96"/>
        <v>0</v>
      </c>
      <c r="CV128" s="3">
        <f t="shared" si="97"/>
        <v>28.516092000000004</v>
      </c>
      <c r="CW128" s="3">
        <f t="shared" si="98"/>
        <v>0</v>
      </c>
      <c r="CX128" s="3">
        <f t="shared" si="99"/>
        <v>0</v>
      </c>
      <c r="CY128" s="3">
        <f>(ROUND((((S128+ROUND((ROUND((((EU128*1.1))*AV128*1),2)*BS128),2))*AT128)/100),2)+ROUND(((ROUND((ROUND(((AE128-((EU128*1.1)))*AV128*1),2)*BS128),2)*AT128)/100),2))</f>
        <v>503088.39</v>
      </c>
      <c r="CZ128" s="3">
        <f>(ROUND((((S128+ROUND((ROUND((((EU128*1.1))*AV128*1),2)*BS128),2))*AU128)/100),2)+ROUND(((ROUND((ROUND(((AE128-((EU128*1.1)))*AV128*1),2)*BS128),2)*AU128)/100),2))</f>
        <v>257134.07</v>
      </c>
      <c r="DB128" s="3">
        <v>32</v>
      </c>
      <c r="DC128" s="3" t="s">
        <v>3</v>
      </c>
      <c r="DD128" s="3" t="s">
        <v>3</v>
      </c>
      <c r="DE128" s="3" t="s">
        <v>24</v>
      </c>
      <c r="DF128" s="3" t="s">
        <v>24</v>
      </c>
      <c r="DG128" s="3" t="s">
        <v>24</v>
      </c>
      <c r="DH128" s="3" t="s">
        <v>3</v>
      </c>
      <c r="DI128" s="3" t="s">
        <v>24</v>
      </c>
      <c r="DJ128" s="3" t="s">
        <v>24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1003</v>
      </c>
      <c r="DV128" s="3" t="s">
        <v>206</v>
      </c>
      <c r="DW128" s="3" t="s">
        <v>206</v>
      </c>
      <c r="DX128" s="3">
        <v>100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60088532</v>
      </c>
      <c r="EF128" s="3">
        <v>40</v>
      </c>
      <c r="EG128" s="3" t="s">
        <v>25</v>
      </c>
      <c r="EH128" s="3">
        <v>0</v>
      </c>
      <c r="EI128" s="3" t="s">
        <v>3</v>
      </c>
      <c r="EJ128" s="3">
        <v>2</v>
      </c>
      <c r="EK128" s="3">
        <v>68</v>
      </c>
      <c r="EL128" s="3" t="s">
        <v>46</v>
      </c>
      <c r="EM128" s="3" t="s">
        <v>47</v>
      </c>
      <c r="EO128" s="3" t="s">
        <v>208</v>
      </c>
      <c r="EQ128" s="3">
        <v>0</v>
      </c>
      <c r="ER128" s="3">
        <v>317.68</v>
      </c>
      <c r="ES128" s="3">
        <v>19.420000000000002</v>
      </c>
      <c r="ET128" s="3">
        <v>4.05</v>
      </c>
      <c r="EU128" s="3">
        <v>0</v>
      </c>
      <c r="EV128" s="3">
        <v>294.20999999999998</v>
      </c>
      <c r="EW128" s="3">
        <v>24.76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90</v>
      </c>
      <c r="FY128" s="3">
        <v>46</v>
      </c>
      <c r="GA128" s="3" t="s">
        <v>3</v>
      </c>
      <c r="GD128" s="3">
        <v>1</v>
      </c>
      <c r="GF128" s="3">
        <v>-670664398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00"/>
        <v>0</v>
      </c>
      <c r="GM128" s="3">
        <f t="shared" si="101"/>
        <v>1324309.8700000001</v>
      </c>
      <c r="GN128" s="3">
        <f t="shared" si="102"/>
        <v>0</v>
      </c>
      <c r="GO128" s="3">
        <f t="shared" si="103"/>
        <v>1324309.8700000001</v>
      </c>
      <c r="GP128" s="3">
        <f t="shared" si="104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05"/>
        <v>0</v>
      </c>
      <c r="GW128" s="3">
        <v>1</v>
      </c>
      <c r="GX128" s="3">
        <f t="shared" si="106"/>
        <v>0</v>
      </c>
      <c r="HA128" s="3">
        <v>0</v>
      </c>
      <c r="HB128" s="3">
        <v>0</v>
      </c>
      <c r="HC128" s="3">
        <f t="shared" si="107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18</v>
      </c>
      <c r="B129" s="2">
        <v>1</v>
      </c>
      <c r="C129" s="2">
        <v>66</v>
      </c>
      <c r="D129" s="2"/>
      <c r="E129" s="2" t="s">
        <v>209</v>
      </c>
      <c r="F129" s="2" t="s">
        <v>210</v>
      </c>
      <c r="G129" s="2" t="s">
        <v>211</v>
      </c>
      <c r="H129" s="2" t="s">
        <v>212</v>
      </c>
      <c r="I129" s="2">
        <f>I127*J129</f>
        <v>3060</v>
      </c>
      <c r="J129" s="2">
        <v>102</v>
      </c>
      <c r="K129" s="2">
        <v>102</v>
      </c>
      <c r="L129" s="2"/>
      <c r="M129" s="2"/>
      <c r="N129" s="2"/>
      <c r="O129" s="2">
        <f t="shared" si="82"/>
        <v>8170.2</v>
      </c>
      <c r="P129" s="2">
        <f t="shared" si="83"/>
        <v>8170.2</v>
      </c>
      <c r="Q129" s="2">
        <f t="shared" ref="Q129:Q134" si="108">(ROUND((ROUND(((ET129)*AV129*I129),2)*BB129),2)+ROUND((ROUND(((AE129-(EU129))*AV129*I129),2)*BS129),2))</f>
        <v>0</v>
      </c>
      <c r="R129" s="2">
        <f t="shared" ref="R129:R134" si="109">(ROUND((ROUND(((EU129)*AV129*I129),2)*BS129),2)+ROUND((ROUND(((AE129-(EU129))*AV129*I129),2)*BS129),2))</f>
        <v>0</v>
      </c>
      <c r="S129" s="2">
        <f t="shared" si="84"/>
        <v>0</v>
      </c>
      <c r="T129" s="2">
        <f t="shared" si="85"/>
        <v>0</v>
      </c>
      <c r="U129" s="2">
        <f t="shared" si="86"/>
        <v>0</v>
      </c>
      <c r="V129" s="2">
        <f t="shared" si="87"/>
        <v>0</v>
      </c>
      <c r="W129" s="2">
        <f t="shared" si="88"/>
        <v>0</v>
      </c>
      <c r="X129" s="2">
        <f t="shared" ref="X129:X134" si="110">(ROUND((((S129+ROUND((ROUND(((EU129)*AV129*I129),2)*BS129),2))*AT129)/100),2)+ROUND(((ROUND((ROUND(((AE129-(EU129))*AV129*I129),2)*BS129),2)*AT129)/100),2))</f>
        <v>0</v>
      </c>
      <c r="Y129" s="2">
        <f t="shared" ref="Y129:Y134" si="111">(ROUND((((S129+ROUND((ROUND(((EU129)*AV129*I129),2)*BS129),2))*AU129)/100),2)+ROUND(((ROUND((ROUND(((AE129-(EU129))*AV129*I129),2)*BS129),2)*AU129)/100),2))</f>
        <v>0</v>
      </c>
      <c r="Z129" s="2"/>
      <c r="AA129" s="2">
        <v>60258621</v>
      </c>
      <c r="AB129" s="2">
        <f t="shared" si="89"/>
        <v>2.67</v>
      </c>
      <c r="AC129" s="2">
        <f t="shared" si="90"/>
        <v>2.67</v>
      </c>
      <c r="AD129" s="2">
        <f t="shared" ref="AD129:AD134" si="112">ROUND((((ET129)-(EU129))+AE129),6)</f>
        <v>0</v>
      </c>
      <c r="AE129" s="2">
        <f t="shared" ref="AE129:AF134" si="113">ROUND((EU129),6)</f>
        <v>0</v>
      </c>
      <c r="AF129" s="2">
        <f t="shared" si="113"/>
        <v>0</v>
      </c>
      <c r="AG129" s="2">
        <f t="shared" si="91"/>
        <v>0</v>
      </c>
      <c r="AH129" s="2">
        <f t="shared" ref="AH129:AI134" si="114">(EW129)</f>
        <v>0</v>
      </c>
      <c r="AI129" s="2">
        <f t="shared" si="114"/>
        <v>0</v>
      </c>
      <c r="AJ129" s="2">
        <f t="shared" si="92"/>
        <v>0</v>
      </c>
      <c r="AK129" s="2">
        <v>2.67</v>
      </c>
      <c r="AL129" s="2">
        <v>2.67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90</v>
      </c>
      <c r="AU129" s="2">
        <v>46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2</v>
      </c>
      <c r="BJ129" s="2" t="s">
        <v>213</v>
      </c>
      <c r="BK129" s="2"/>
      <c r="BL129" s="2"/>
      <c r="BM129" s="2">
        <v>68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90</v>
      </c>
      <c r="CA129" s="2">
        <v>46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93"/>
        <v>8170.2</v>
      </c>
      <c r="CQ129" s="2">
        <f t="shared" si="94"/>
        <v>2.67</v>
      </c>
      <c r="CR129" s="2">
        <f t="shared" ref="CR129:CR134" si="115">(ROUND((ROUND(((ET129)*AV129*1),2)*BB129),2)+ROUND((ROUND(((AE129-(EU129))*AV129*1),2)*BS129),2))</f>
        <v>0</v>
      </c>
      <c r="CS129" s="2">
        <f t="shared" ref="CS129:CS134" si="116">(ROUND((ROUND(((EU129)*AV129*1),2)*BS129),2)+ROUND((ROUND(((AE129-(EU129))*AV129*1),2)*BS129),2))</f>
        <v>0</v>
      </c>
      <c r="CT129" s="2">
        <f t="shared" si="95"/>
        <v>0</v>
      </c>
      <c r="CU129" s="2">
        <f t="shared" si="96"/>
        <v>0</v>
      </c>
      <c r="CV129" s="2">
        <f t="shared" si="97"/>
        <v>0</v>
      </c>
      <c r="CW129" s="2">
        <f t="shared" si="98"/>
        <v>0</v>
      </c>
      <c r="CX129" s="2">
        <f t="shared" si="99"/>
        <v>0</v>
      </c>
      <c r="CY129" s="2">
        <f t="shared" ref="CY129:CY134" si="117">(ROUND((((S129+ROUND((ROUND(((EU129)*AV129*1),2)*BS129),2))*AT129)/100),2)+ROUND(((ROUND((ROUND(((AE129-(EU129))*AV129*1),2)*BS129),2)*AT129)/100),2))</f>
        <v>0</v>
      </c>
      <c r="CZ129" s="2">
        <f t="shared" ref="CZ129:CZ134" si="118"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1003</v>
      </c>
      <c r="DV129" s="2" t="s">
        <v>212</v>
      </c>
      <c r="DW129" s="2" t="s">
        <v>212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60088532</v>
      </c>
      <c r="EF129" s="2">
        <v>40</v>
      </c>
      <c r="EG129" s="2" t="s">
        <v>25</v>
      </c>
      <c r="EH129" s="2">
        <v>0</v>
      </c>
      <c r="EI129" s="2" t="s">
        <v>3</v>
      </c>
      <c r="EJ129" s="2">
        <v>2</v>
      </c>
      <c r="EK129" s="2">
        <v>68</v>
      </c>
      <c r="EL129" s="2" t="s">
        <v>46</v>
      </c>
      <c r="EM129" s="2" t="s">
        <v>47</v>
      </c>
      <c r="EN129" s="2"/>
      <c r="EO129" s="2" t="s">
        <v>3</v>
      </c>
      <c r="EP129" s="2"/>
      <c r="EQ129" s="2">
        <v>0</v>
      </c>
      <c r="ER129" s="2">
        <v>2.67</v>
      </c>
      <c r="ES129" s="2">
        <v>2.67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90</v>
      </c>
      <c r="FY129" s="2">
        <v>46</v>
      </c>
      <c r="FZ129" s="2"/>
      <c r="GA129" s="2" t="s">
        <v>3</v>
      </c>
      <c r="GB129" s="2"/>
      <c r="GC129" s="2"/>
      <c r="GD129" s="2">
        <v>1</v>
      </c>
      <c r="GE129" s="2"/>
      <c r="GF129" s="2">
        <v>1184991115</v>
      </c>
      <c r="GG129" s="2">
        <v>2</v>
      </c>
      <c r="GH129" s="2">
        <v>1</v>
      </c>
      <c r="GI129" s="2">
        <v>-2</v>
      </c>
      <c r="GJ129" s="2">
        <v>0</v>
      </c>
      <c r="GK129" s="2">
        <v>0</v>
      </c>
      <c r="GL129" s="2">
        <f t="shared" si="100"/>
        <v>0</v>
      </c>
      <c r="GM129" s="2">
        <f t="shared" si="101"/>
        <v>8170.2</v>
      </c>
      <c r="GN129" s="2">
        <f t="shared" si="102"/>
        <v>0</v>
      </c>
      <c r="GO129" s="2">
        <f t="shared" si="103"/>
        <v>8170.2</v>
      </c>
      <c r="GP129" s="2">
        <f t="shared" si="104"/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si="105"/>
        <v>0</v>
      </c>
      <c r="GW129" s="2">
        <v>1</v>
      </c>
      <c r="GX129" s="2">
        <f t="shared" si="106"/>
        <v>0</v>
      </c>
      <c r="GY129" s="2"/>
      <c r="GZ129" s="2"/>
      <c r="HA129" s="2">
        <v>0</v>
      </c>
      <c r="HB129" s="2">
        <v>0</v>
      </c>
      <c r="HC129" s="2">
        <f t="shared" si="107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18</v>
      </c>
      <c r="B130" s="3">
        <v>1</v>
      </c>
      <c r="C130" s="3">
        <v>75</v>
      </c>
      <c r="E130" s="3" t="s">
        <v>209</v>
      </c>
      <c r="F130" s="3" t="s">
        <v>210</v>
      </c>
      <c r="G130" s="3" t="s">
        <v>211</v>
      </c>
      <c r="H130" s="3" t="s">
        <v>212</v>
      </c>
      <c r="I130" s="3">
        <f>I128*J130</f>
        <v>3060</v>
      </c>
      <c r="J130" s="3">
        <v>102</v>
      </c>
      <c r="K130" s="3">
        <v>102</v>
      </c>
      <c r="O130" s="3">
        <f t="shared" si="82"/>
        <v>31291.87</v>
      </c>
      <c r="P130" s="3">
        <f t="shared" si="83"/>
        <v>31291.87</v>
      </c>
      <c r="Q130" s="3">
        <f t="shared" si="108"/>
        <v>0</v>
      </c>
      <c r="R130" s="3">
        <f t="shared" si="109"/>
        <v>0</v>
      </c>
      <c r="S130" s="3">
        <f t="shared" si="84"/>
        <v>0</v>
      </c>
      <c r="T130" s="3">
        <f t="shared" si="85"/>
        <v>0</v>
      </c>
      <c r="U130" s="3">
        <f t="shared" si="86"/>
        <v>0</v>
      </c>
      <c r="V130" s="3">
        <f t="shared" si="87"/>
        <v>0</v>
      </c>
      <c r="W130" s="3">
        <f t="shared" si="88"/>
        <v>0</v>
      </c>
      <c r="X130" s="3">
        <f t="shared" si="110"/>
        <v>0</v>
      </c>
      <c r="Y130" s="3">
        <f t="shared" si="111"/>
        <v>0</v>
      </c>
      <c r="AA130" s="3">
        <v>60258618</v>
      </c>
      <c r="AB130" s="3">
        <f t="shared" si="89"/>
        <v>2.67</v>
      </c>
      <c r="AC130" s="3">
        <f t="shared" si="90"/>
        <v>2.67</v>
      </c>
      <c r="AD130" s="3">
        <f t="shared" si="112"/>
        <v>0</v>
      </c>
      <c r="AE130" s="3">
        <f t="shared" si="113"/>
        <v>0</v>
      </c>
      <c r="AF130" s="3">
        <f t="shared" si="113"/>
        <v>0</v>
      </c>
      <c r="AG130" s="3">
        <f t="shared" si="91"/>
        <v>0</v>
      </c>
      <c r="AH130" s="3">
        <f t="shared" si="114"/>
        <v>0</v>
      </c>
      <c r="AI130" s="3">
        <f t="shared" si="114"/>
        <v>0</v>
      </c>
      <c r="AJ130" s="3">
        <f t="shared" si="92"/>
        <v>0</v>
      </c>
      <c r="AK130" s="3">
        <v>2.67</v>
      </c>
      <c r="AL130" s="3">
        <v>2.67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90</v>
      </c>
      <c r="AU130" s="3">
        <v>46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3.83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2</v>
      </c>
      <c r="BJ130" s="3" t="s">
        <v>213</v>
      </c>
      <c r="BM130" s="3">
        <v>68</v>
      </c>
      <c r="BN130" s="3">
        <v>0</v>
      </c>
      <c r="BO130" s="3" t="s">
        <v>210</v>
      </c>
      <c r="BP130" s="3">
        <v>1</v>
      </c>
      <c r="BQ130" s="3">
        <v>40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90</v>
      </c>
      <c r="CA130" s="3">
        <v>46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93"/>
        <v>31291.87</v>
      </c>
      <c r="CQ130" s="3">
        <f t="shared" si="94"/>
        <v>10.23</v>
      </c>
      <c r="CR130" s="3">
        <f t="shared" si="115"/>
        <v>0</v>
      </c>
      <c r="CS130" s="3">
        <f t="shared" si="116"/>
        <v>0</v>
      </c>
      <c r="CT130" s="3">
        <f t="shared" si="95"/>
        <v>0</v>
      </c>
      <c r="CU130" s="3">
        <f t="shared" si="96"/>
        <v>0</v>
      </c>
      <c r="CV130" s="3">
        <f t="shared" si="97"/>
        <v>0</v>
      </c>
      <c r="CW130" s="3">
        <f t="shared" si="98"/>
        <v>0</v>
      </c>
      <c r="CX130" s="3">
        <f t="shared" si="99"/>
        <v>0</v>
      </c>
      <c r="CY130" s="3">
        <f t="shared" si="117"/>
        <v>0</v>
      </c>
      <c r="CZ130" s="3">
        <f t="shared" si="118"/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1003</v>
      </c>
      <c r="DV130" s="3" t="s">
        <v>212</v>
      </c>
      <c r="DW130" s="3" t="s">
        <v>212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60088532</v>
      </c>
      <c r="EF130" s="3">
        <v>40</v>
      </c>
      <c r="EG130" s="3" t="s">
        <v>25</v>
      </c>
      <c r="EH130" s="3">
        <v>0</v>
      </c>
      <c r="EI130" s="3" t="s">
        <v>3</v>
      </c>
      <c r="EJ130" s="3">
        <v>2</v>
      </c>
      <c r="EK130" s="3">
        <v>68</v>
      </c>
      <c r="EL130" s="3" t="s">
        <v>46</v>
      </c>
      <c r="EM130" s="3" t="s">
        <v>47</v>
      </c>
      <c r="EO130" s="3" t="s">
        <v>3</v>
      </c>
      <c r="EQ130" s="3">
        <v>0</v>
      </c>
      <c r="ER130" s="3">
        <v>2.67</v>
      </c>
      <c r="ES130" s="3">
        <v>2.67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FQ130" s="3">
        <v>0</v>
      </c>
      <c r="FR130" s="3">
        <v>0</v>
      </c>
      <c r="FS130" s="3">
        <v>0</v>
      </c>
      <c r="FX130" s="3">
        <v>90</v>
      </c>
      <c r="FY130" s="3">
        <v>46</v>
      </c>
      <c r="GA130" s="3" t="s">
        <v>3</v>
      </c>
      <c r="GD130" s="3">
        <v>1</v>
      </c>
      <c r="GF130" s="3">
        <v>1184991115</v>
      </c>
      <c r="GG130" s="3">
        <v>2</v>
      </c>
      <c r="GH130" s="3">
        <v>1</v>
      </c>
      <c r="GI130" s="3">
        <v>2</v>
      </c>
      <c r="GJ130" s="3">
        <v>0</v>
      </c>
      <c r="GK130" s="3">
        <v>0</v>
      </c>
      <c r="GL130" s="3">
        <f t="shared" si="100"/>
        <v>0</v>
      </c>
      <c r="GM130" s="3">
        <f t="shared" si="101"/>
        <v>31291.87</v>
      </c>
      <c r="GN130" s="3">
        <f t="shared" si="102"/>
        <v>0</v>
      </c>
      <c r="GO130" s="3">
        <f t="shared" si="103"/>
        <v>31291.87</v>
      </c>
      <c r="GP130" s="3">
        <f t="shared" si="104"/>
        <v>0</v>
      </c>
      <c r="GR130" s="3">
        <v>0</v>
      </c>
      <c r="GS130" s="3">
        <v>3</v>
      </c>
      <c r="GT130" s="3">
        <v>0</v>
      </c>
      <c r="GU130" s="3" t="s">
        <v>3</v>
      </c>
      <c r="GV130" s="3">
        <f t="shared" si="105"/>
        <v>0</v>
      </c>
      <c r="GW130" s="3">
        <v>1</v>
      </c>
      <c r="GX130" s="3">
        <f t="shared" si="106"/>
        <v>0</v>
      </c>
      <c r="HA130" s="3">
        <v>0</v>
      </c>
      <c r="HB130" s="3">
        <v>0</v>
      </c>
      <c r="HC130" s="3">
        <f t="shared" si="107"/>
        <v>0</v>
      </c>
      <c r="HE130" s="3" t="s">
        <v>3</v>
      </c>
      <c r="HF130" s="3" t="s">
        <v>3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18</v>
      </c>
      <c r="B131" s="2">
        <v>1</v>
      </c>
      <c r="C131" s="2">
        <v>67</v>
      </c>
      <c r="D131" s="2"/>
      <c r="E131" s="2" t="s">
        <v>214</v>
      </c>
      <c r="F131" s="2" t="s">
        <v>215</v>
      </c>
      <c r="G131" s="2" t="s">
        <v>216</v>
      </c>
      <c r="H131" s="2" t="s">
        <v>140</v>
      </c>
      <c r="I131" s="2">
        <f>I127*J131</f>
        <v>71.400000000000006</v>
      </c>
      <c r="J131" s="2">
        <v>2.3800000000000003</v>
      </c>
      <c r="K131" s="2">
        <v>2.38</v>
      </c>
      <c r="L131" s="2"/>
      <c r="M131" s="2"/>
      <c r="N131" s="2"/>
      <c r="O131" s="2">
        <f t="shared" si="82"/>
        <v>3329.38</v>
      </c>
      <c r="P131" s="2">
        <f t="shared" si="83"/>
        <v>3329.38</v>
      </c>
      <c r="Q131" s="2">
        <f t="shared" si="108"/>
        <v>0</v>
      </c>
      <c r="R131" s="2">
        <f t="shared" si="109"/>
        <v>0</v>
      </c>
      <c r="S131" s="2">
        <f t="shared" si="84"/>
        <v>0</v>
      </c>
      <c r="T131" s="2">
        <f t="shared" si="85"/>
        <v>0</v>
      </c>
      <c r="U131" s="2">
        <f t="shared" si="86"/>
        <v>0</v>
      </c>
      <c r="V131" s="2">
        <f t="shared" si="87"/>
        <v>0</v>
      </c>
      <c r="W131" s="2">
        <f t="shared" si="88"/>
        <v>0</v>
      </c>
      <c r="X131" s="2">
        <f t="shared" si="110"/>
        <v>0</v>
      </c>
      <c r="Y131" s="2">
        <f t="shared" si="111"/>
        <v>0</v>
      </c>
      <c r="Z131" s="2"/>
      <c r="AA131" s="2">
        <v>60258621</v>
      </c>
      <c r="AB131" s="2">
        <f t="shared" si="89"/>
        <v>46.63</v>
      </c>
      <c r="AC131" s="2">
        <f t="shared" si="90"/>
        <v>46.63</v>
      </c>
      <c r="AD131" s="2">
        <f t="shared" si="112"/>
        <v>0</v>
      </c>
      <c r="AE131" s="2">
        <f t="shared" si="113"/>
        <v>0</v>
      </c>
      <c r="AF131" s="2">
        <f t="shared" si="113"/>
        <v>0</v>
      </c>
      <c r="AG131" s="2">
        <f t="shared" si="91"/>
        <v>0</v>
      </c>
      <c r="AH131" s="2">
        <f t="shared" si="114"/>
        <v>0</v>
      </c>
      <c r="AI131" s="2">
        <f t="shared" si="114"/>
        <v>0</v>
      </c>
      <c r="AJ131" s="2">
        <f t="shared" si="92"/>
        <v>0</v>
      </c>
      <c r="AK131" s="2">
        <v>46.63</v>
      </c>
      <c r="AL131" s="2">
        <v>46.63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90</v>
      </c>
      <c r="AU131" s="2">
        <v>46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2</v>
      </c>
      <c r="BJ131" s="2" t="s">
        <v>217</v>
      </c>
      <c r="BK131" s="2"/>
      <c r="BL131" s="2"/>
      <c r="BM131" s="2">
        <v>68</v>
      </c>
      <c r="BN131" s="2">
        <v>0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93"/>
        <v>3329.38</v>
      </c>
      <c r="CQ131" s="2">
        <f t="shared" si="94"/>
        <v>46.63</v>
      </c>
      <c r="CR131" s="2">
        <f t="shared" si="115"/>
        <v>0</v>
      </c>
      <c r="CS131" s="2">
        <f t="shared" si="116"/>
        <v>0</v>
      </c>
      <c r="CT131" s="2">
        <f t="shared" si="95"/>
        <v>0</v>
      </c>
      <c r="CU131" s="2">
        <f t="shared" si="96"/>
        <v>0</v>
      </c>
      <c r="CV131" s="2">
        <f t="shared" si="97"/>
        <v>0</v>
      </c>
      <c r="CW131" s="2">
        <f t="shared" si="98"/>
        <v>0</v>
      </c>
      <c r="CX131" s="2">
        <f t="shared" si="99"/>
        <v>0</v>
      </c>
      <c r="CY131" s="2">
        <f t="shared" si="117"/>
        <v>0</v>
      </c>
      <c r="CZ131" s="2">
        <f t="shared" si="118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140</v>
      </c>
      <c r="DW131" s="2" t="s">
        <v>140</v>
      </c>
      <c r="DX131" s="2">
        <v>100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60088532</v>
      </c>
      <c r="EF131" s="2">
        <v>40</v>
      </c>
      <c r="EG131" s="2" t="s">
        <v>25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46</v>
      </c>
      <c r="EM131" s="2" t="s">
        <v>47</v>
      </c>
      <c r="EN131" s="2"/>
      <c r="EO131" s="2" t="s">
        <v>3</v>
      </c>
      <c r="EP131" s="2"/>
      <c r="EQ131" s="2">
        <v>0</v>
      </c>
      <c r="ER131" s="2">
        <v>46.63</v>
      </c>
      <c r="ES131" s="2">
        <v>46.63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-1288220709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00"/>
        <v>0</v>
      </c>
      <c r="GM131" s="2">
        <f t="shared" si="101"/>
        <v>3329.38</v>
      </c>
      <c r="GN131" s="2">
        <f t="shared" si="102"/>
        <v>0</v>
      </c>
      <c r="GO131" s="2">
        <f t="shared" si="103"/>
        <v>3329.38</v>
      </c>
      <c r="GP131" s="2">
        <f t="shared" si="104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05"/>
        <v>0</v>
      </c>
      <c r="GW131" s="2">
        <v>1</v>
      </c>
      <c r="GX131" s="2">
        <f t="shared" si="106"/>
        <v>0</v>
      </c>
      <c r="GY131" s="2"/>
      <c r="GZ131" s="2"/>
      <c r="HA131" s="2">
        <v>0</v>
      </c>
      <c r="HB131" s="2">
        <v>0</v>
      </c>
      <c r="HC131" s="2">
        <f t="shared" si="107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18</v>
      </c>
      <c r="B132" s="3">
        <v>1</v>
      </c>
      <c r="C132" s="3">
        <v>76</v>
      </c>
      <c r="E132" s="3" t="s">
        <v>214</v>
      </c>
      <c r="F132" s="3" t="s">
        <v>215</v>
      </c>
      <c r="G132" s="3" t="s">
        <v>216</v>
      </c>
      <c r="H132" s="3" t="s">
        <v>140</v>
      </c>
      <c r="I132" s="3">
        <f>I128*J132</f>
        <v>71.400000000000006</v>
      </c>
      <c r="J132" s="3">
        <v>2.3800000000000003</v>
      </c>
      <c r="K132" s="3">
        <v>2.38</v>
      </c>
      <c r="O132" s="3">
        <f t="shared" si="82"/>
        <v>3595.73</v>
      </c>
      <c r="P132" s="3">
        <f t="shared" si="83"/>
        <v>3595.73</v>
      </c>
      <c r="Q132" s="3">
        <f t="shared" si="108"/>
        <v>0</v>
      </c>
      <c r="R132" s="3">
        <f t="shared" si="109"/>
        <v>0</v>
      </c>
      <c r="S132" s="3">
        <f t="shared" si="84"/>
        <v>0</v>
      </c>
      <c r="T132" s="3">
        <f t="shared" si="85"/>
        <v>0</v>
      </c>
      <c r="U132" s="3">
        <f t="shared" si="86"/>
        <v>0</v>
      </c>
      <c r="V132" s="3">
        <f t="shared" si="87"/>
        <v>0</v>
      </c>
      <c r="W132" s="3">
        <f t="shared" si="88"/>
        <v>0</v>
      </c>
      <c r="X132" s="3">
        <f t="shared" si="110"/>
        <v>0</v>
      </c>
      <c r="Y132" s="3">
        <f t="shared" si="111"/>
        <v>0</v>
      </c>
      <c r="AA132" s="3">
        <v>60258618</v>
      </c>
      <c r="AB132" s="3">
        <f t="shared" si="89"/>
        <v>46.63</v>
      </c>
      <c r="AC132" s="3">
        <f t="shared" si="90"/>
        <v>46.63</v>
      </c>
      <c r="AD132" s="3">
        <f t="shared" si="112"/>
        <v>0</v>
      </c>
      <c r="AE132" s="3">
        <f t="shared" si="113"/>
        <v>0</v>
      </c>
      <c r="AF132" s="3">
        <f t="shared" si="113"/>
        <v>0</v>
      </c>
      <c r="AG132" s="3">
        <f t="shared" si="91"/>
        <v>0</v>
      </c>
      <c r="AH132" s="3">
        <f t="shared" si="114"/>
        <v>0</v>
      </c>
      <c r="AI132" s="3">
        <f t="shared" si="114"/>
        <v>0</v>
      </c>
      <c r="AJ132" s="3">
        <f t="shared" si="92"/>
        <v>0</v>
      </c>
      <c r="AK132" s="3">
        <v>46.63</v>
      </c>
      <c r="AL132" s="3">
        <v>46.63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90</v>
      </c>
      <c r="AU132" s="3">
        <v>46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1.08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2</v>
      </c>
      <c r="BJ132" s="3" t="s">
        <v>217</v>
      </c>
      <c r="BM132" s="3">
        <v>68</v>
      </c>
      <c r="BN132" s="3">
        <v>0</v>
      </c>
      <c r="BO132" s="3" t="s">
        <v>215</v>
      </c>
      <c r="BP132" s="3">
        <v>1</v>
      </c>
      <c r="BQ132" s="3">
        <v>40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</v>
      </c>
      <c r="CO132" s="3">
        <v>0</v>
      </c>
      <c r="CP132" s="3">
        <f t="shared" si="93"/>
        <v>3595.73</v>
      </c>
      <c r="CQ132" s="3">
        <f t="shared" si="94"/>
        <v>50.36</v>
      </c>
      <c r="CR132" s="3">
        <f t="shared" si="115"/>
        <v>0</v>
      </c>
      <c r="CS132" s="3">
        <f t="shared" si="116"/>
        <v>0</v>
      </c>
      <c r="CT132" s="3">
        <f t="shared" si="95"/>
        <v>0</v>
      </c>
      <c r="CU132" s="3">
        <f t="shared" si="96"/>
        <v>0</v>
      </c>
      <c r="CV132" s="3">
        <f t="shared" si="97"/>
        <v>0</v>
      </c>
      <c r="CW132" s="3">
        <f t="shared" si="98"/>
        <v>0</v>
      </c>
      <c r="CX132" s="3">
        <f t="shared" si="99"/>
        <v>0</v>
      </c>
      <c r="CY132" s="3">
        <f t="shared" si="117"/>
        <v>0</v>
      </c>
      <c r="CZ132" s="3">
        <f t="shared" si="118"/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1010</v>
      </c>
      <c r="DV132" s="3" t="s">
        <v>140</v>
      </c>
      <c r="DW132" s="3" t="s">
        <v>140</v>
      </c>
      <c r="DX132" s="3">
        <v>100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60088532</v>
      </c>
      <c r="EF132" s="3">
        <v>40</v>
      </c>
      <c r="EG132" s="3" t="s">
        <v>25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46</v>
      </c>
      <c r="EM132" s="3" t="s">
        <v>47</v>
      </c>
      <c r="EO132" s="3" t="s">
        <v>3</v>
      </c>
      <c r="EQ132" s="3">
        <v>0</v>
      </c>
      <c r="ER132" s="3">
        <v>46.63</v>
      </c>
      <c r="ES132" s="3">
        <v>46.63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-1288220709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00"/>
        <v>0</v>
      </c>
      <c r="GM132" s="3">
        <f t="shared" si="101"/>
        <v>3595.73</v>
      </c>
      <c r="GN132" s="3">
        <f t="shared" si="102"/>
        <v>0</v>
      </c>
      <c r="GO132" s="3">
        <f t="shared" si="103"/>
        <v>3595.73</v>
      </c>
      <c r="GP132" s="3">
        <f t="shared" si="104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05"/>
        <v>0</v>
      </c>
      <c r="GW132" s="3">
        <v>1</v>
      </c>
      <c r="GX132" s="3">
        <f t="shared" si="106"/>
        <v>0</v>
      </c>
      <c r="HA132" s="3">
        <v>0</v>
      </c>
      <c r="HB132" s="3">
        <v>0</v>
      </c>
      <c r="HC132" s="3">
        <f t="shared" si="107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18</v>
      </c>
      <c r="B133" s="2">
        <v>1</v>
      </c>
      <c r="C133" s="2">
        <v>71</v>
      </c>
      <c r="D133" s="2"/>
      <c r="E133" s="2" t="s">
        <v>218</v>
      </c>
      <c r="F133" s="2" t="s">
        <v>219</v>
      </c>
      <c r="G133" s="2" t="s">
        <v>220</v>
      </c>
      <c r="H133" s="2" t="s">
        <v>140</v>
      </c>
      <c r="I133" s="2">
        <f>I127*J133</f>
        <v>70.8</v>
      </c>
      <c r="J133" s="2">
        <v>2.36</v>
      </c>
      <c r="K133" s="2">
        <v>2.36</v>
      </c>
      <c r="L133" s="2"/>
      <c r="M133" s="2"/>
      <c r="N133" s="2"/>
      <c r="O133" s="2">
        <f t="shared" si="82"/>
        <v>91843.88</v>
      </c>
      <c r="P133" s="2">
        <f t="shared" si="83"/>
        <v>91843.88</v>
      </c>
      <c r="Q133" s="2">
        <f t="shared" si="108"/>
        <v>0</v>
      </c>
      <c r="R133" s="2">
        <f t="shared" si="109"/>
        <v>0</v>
      </c>
      <c r="S133" s="2">
        <f t="shared" si="84"/>
        <v>0</v>
      </c>
      <c r="T133" s="2">
        <f t="shared" si="85"/>
        <v>0</v>
      </c>
      <c r="U133" s="2">
        <f t="shared" si="86"/>
        <v>0</v>
      </c>
      <c r="V133" s="2">
        <f t="shared" si="87"/>
        <v>0</v>
      </c>
      <c r="W133" s="2">
        <f t="shared" si="88"/>
        <v>0</v>
      </c>
      <c r="X133" s="2">
        <f t="shared" si="110"/>
        <v>0</v>
      </c>
      <c r="Y133" s="2">
        <f t="shared" si="111"/>
        <v>0</v>
      </c>
      <c r="Z133" s="2"/>
      <c r="AA133" s="2">
        <v>60258621</v>
      </c>
      <c r="AB133" s="2">
        <f t="shared" si="89"/>
        <v>1297.23</v>
      </c>
      <c r="AC133" s="2">
        <f t="shared" si="90"/>
        <v>1297.23</v>
      </c>
      <c r="AD133" s="2">
        <f t="shared" si="112"/>
        <v>0</v>
      </c>
      <c r="AE133" s="2">
        <f t="shared" si="113"/>
        <v>0</v>
      </c>
      <c r="AF133" s="2">
        <f t="shared" si="113"/>
        <v>0</v>
      </c>
      <c r="AG133" s="2">
        <f t="shared" si="91"/>
        <v>0</v>
      </c>
      <c r="AH133" s="2">
        <f t="shared" si="114"/>
        <v>0</v>
      </c>
      <c r="AI133" s="2">
        <f t="shared" si="114"/>
        <v>0</v>
      </c>
      <c r="AJ133" s="2">
        <f t="shared" si="92"/>
        <v>0</v>
      </c>
      <c r="AK133" s="2">
        <v>1297.23</v>
      </c>
      <c r="AL133" s="2">
        <v>1297.23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90</v>
      </c>
      <c r="AU133" s="2">
        <v>46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2</v>
      </c>
      <c r="BJ133" s="2" t="s">
        <v>221</v>
      </c>
      <c r="BK133" s="2"/>
      <c r="BL133" s="2"/>
      <c r="BM133" s="2">
        <v>68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90</v>
      </c>
      <c r="CA133" s="2">
        <v>46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93"/>
        <v>91843.88</v>
      </c>
      <c r="CQ133" s="2">
        <f t="shared" si="94"/>
        <v>1297.23</v>
      </c>
      <c r="CR133" s="2">
        <f t="shared" si="115"/>
        <v>0</v>
      </c>
      <c r="CS133" s="2">
        <f t="shared" si="116"/>
        <v>0</v>
      </c>
      <c r="CT133" s="2">
        <f t="shared" si="95"/>
        <v>0</v>
      </c>
      <c r="CU133" s="2">
        <f t="shared" si="96"/>
        <v>0</v>
      </c>
      <c r="CV133" s="2">
        <f t="shared" si="97"/>
        <v>0</v>
      </c>
      <c r="CW133" s="2">
        <f t="shared" si="98"/>
        <v>0</v>
      </c>
      <c r="CX133" s="2">
        <f t="shared" si="99"/>
        <v>0</v>
      </c>
      <c r="CY133" s="2">
        <f t="shared" si="117"/>
        <v>0</v>
      </c>
      <c r="CZ133" s="2">
        <f t="shared" si="118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140</v>
      </c>
      <c r="DW133" s="2" t="s">
        <v>140</v>
      </c>
      <c r="DX133" s="2">
        <v>100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60088532</v>
      </c>
      <c r="EF133" s="2">
        <v>40</v>
      </c>
      <c r="EG133" s="2" t="s">
        <v>25</v>
      </c>
      <c r="EH133" s="2">
        <v>0</v>
      </c>
      <c r="EI133" s="2" t="s">
        <v>3</v>
      </c>
      <c r="EJ133" s="2">
        <v>2</v>
      </c>
      <c r="EK133" s="2">
        <v>68</v>
      </c>
      <c r="EL133" s="2" t="s">
        <v>46</v>
      </c>
      <c r="EM133" s="2" t="s">
        <v>47</v>
      </c>
      <c r="EN133" s="2"/>
      <c r="EO133" s="2" t="s">
        <v>3</v>
      </c>
      <c r="EP133" s="2"/>
      <c r="EQ133" s="2">
        <v>0</v>
      </c>
      <c r="ER133" s="2">
        <v>1297.23</v>
      </c>
      <c r="ES133" s="2">
        <v>1297.23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90</v>
      </c>
      <c r="FY133" s="2">
        <v>46</v>
      </c>
      <c r="FZ133" s="2"/>
      <c r="GA133" s="2" t="s">
        <v>3</v>
      </c>
      <c r="GB133" s="2"/>
      <c r="GC133" s="2"/>
      <c r="GD133" s="2">
        <v>1</v>
      </c>
      <c r="GE133" s="2"/>
      <c r="GF133" s="2">
        <v>1852901932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si="100"/>
        <v>0</v>
      </c>
      <c r="GM133" s="2">
        <f t="shared" si="101"/>
        <v>91843.88</v>
      </c>
      <c r="GN133" s="2">
        <f t="shared" si="102"/>
        <v>0</v>
      </c>
      <c r="GO133" s="2">
        <f t="shared" si="103"/>
        <v>91843.88</v>
      </c>
      <c r="GP133" s="2">
        <f t="shared" si="104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05"/>
        <v>0</v>
      </c>
      <c r="GW133" s="2">
        <v>1</v>
      </c>
      <c r="GX133" s="2">
        <f t="shared" si="106"/>
        <v>0</v>
      </c>
      <c r="GY133" s="2"/>
      <c r="GZ133" s="2"/>
      <c r="HA133" s="2">
        <v>0</v>
      </c>
      <c r="HB133" s="2">
        <v>0</v>
      </c>
      <c r="HC133" s="2">
        <f t="shared" si="107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18</v>
      </c>
      <c r="B134" s="3">
        <v>1</v>
      </c>
      <c r="C134" s="3">
        <v>80</v>
      </c>
      <c r="E134" s="3" t="s">
        <v>218</v>
      </c>
      <c r="F134" s="3" t="s">
        <v>219</v>
      </c>
      <c r="G134" s="3" t="s">
        <v>220</v>
      </c>
      <c r="H134" s="3" t="s">
        <v>140</v>
      </c>
      <c r="I134" s="3">
        <f>I128*J134</f>
        <v>70.8</v>
      </c>
      <c r="J134" s="3">
        <v>2.36</v>
      </c>
      <c r="K134" s="3">
        <v>2.36</v>
      </c>
      <c r="O134" s="3">
        <f t="shared" si="82"/>
        <v>477588.18</v>
      </c>
      <c r="P134" s="3">
        <f t="shared" si="83"/>
        <v>477588.18</v>
      </c>
      <c r="Q134" s="3">
        <f t="shared" si="108"/>
        <v>0</v>
      </c>
      <c r="R134" s="3">
        <f t="shared" si="109"/>
        <v>0</v>
      </c>
      <c r="S134" s="3">
        <f t="shared" si="84"/>
        <v>0</v>
      </c>
      <c r="T134" s="3">
        <f t="shared" si="85"/>
        <v>0</v>
      </c>
      <c r="U134" s="3">
        <f t="shared" si="86"/>
        <v>0</v>
      </c>
      <c r="V134" s="3">
        <f t="shared" si="87"/>
        <v>0</v>
      </c>
      <c r="W134" s="3">
        <f t="shared" si="88"/>
        <v>0</v>
      </c>
      <c r="X134" s="3">
        <f t="shared" si="110"/>
        <v>0</v>
      </c>
      <c r="Y134" s="3">
        <f t="shared" si="111"/>
        <v>0</v>
      </c>
      <c r="AA134" s="3">
        <v>60258618</v>
      </c>
      <c r="AB134" s="3">
        <f t="shared" si="89"/>
        <v>1297.23</v>
      </c>
      <c r="AC134" s="3">
        <f t="shared" si="90"/>
        <v>1297.23</v>
      </c>
      <c r="AD134" s="3">
        <f t="shared" si="112"/>
        <v>0</v>
      </c>
      <c r="AE134" s="3">
        <f t="shared" si="113"/>
        <v>0</v>
      </c>
      <c r="AF134" s="3">
        <f t="shared" si="113"/>
        <v>0</v>
      </c>
      <c r="AG134" s="3">
        <f t="shared" si="91"/>
        <v>0</v>
      </c>
      <c r="AH134" s="3">
        <f t="shared" si="114"/>
        <v>0</v>
      </c>
      <c r="AI134" s="3">
        <f t="shared" si="114"/>
        <v>0</v>
      </c>
      <c r="AJ134" s="3">
        <f t="shared" si="92"/>
        <v>0</v>
      </c>
      <c r="AK134" s="3">
        <v>1297.23</v>
      </c>
      <c r="AL134" s="3">
        <v>1297.23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90</v>
      </c>
      <c r="AU134" s="3">
        <v>46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5.2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2</v>
      </c>
      <c r="BJ134" s="3" t="s">
        <v>221</v>
      </c>
      <c r="BM134" s="3">
        <v>68</v>
      </c>
      <c r="BN134" s="3">
        <v>0</v>
      </c>
      <c r="BO134" s="3" t="s">
        <v>219</v>
      </c>
      <c r="BP134" s="3">
        <v>1</v>
      </c>
      <c r="BQ134" s="3">
        <v>40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90</v>
      </c>
      <c r="CA134" s="3">
        <v>46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93"/>
        <v>477588.18</v>
      </c>
      <c r="CQ134" s="3">
        <f t="shared" si="94"/>
        <v>6745.6</v>
      </c>
      <c r="CR134" s="3">
        <f t="shared" si="115"/>
        <v>0</v>
      </c>
      <c r="CS134" s="3">
        <f t="shared" si="116"/>
        <v>0</v>
      </c>
      <c r="CT134" s="3">
        <f t="shared" si="95"/>
        <v>0</v>
      </c>
      <c r="CU134" s="3">
        <f t="shared" si="96"/>
        <v>0</v>
      </c>
      <c r="CV134" s="3">
        <f t="shared" si="97"/>
        <v>0</v>
      </c>
      <c r="CW134" s="3">
        <f t="shared" si="98"/>
        <v>0</v>
      </c>
      <c r="CX134" s="3">
        <f t="shared" si="99"/>
        <v>0</v>
      </c>
      <c r="CY134" s="3">
        <f t="shared" si="117"/>
        <v>0</v>
      </c>
      <c r="CZ134" s="3">
        <f t="shared" si="118"/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140</v>
      </c>
      <c r="DW134" s="3" t="s">
        <v>140</v>
      </c>
      <c r="DX134" s="3">
        <v>100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60088532</v>
      </c>
      <c r="EF134" s="3">
        <v>40</v>
      </c>
      <c r="EG134" s="3" t="s">
        <v>25</v>
      </c>
      <c r="EH134" s="3">
        <v>0</v>
      </c>
      <c r="EI134" s="3" t="s">
        <v>3</v>
      </c>
      <c r="EJ134" s="3">
        <v>2</v>
      </c>
      <c r="EK134" s="3">
        <v>68</v>
      </c>
      <c r="EL134" s="3" t="s">
        <v>46</v>
      </c>
      <c r="EM134" s="3" t="s">
        <v>47</v>
      </c>
      <c r="EO134" s="3" t="s">
        <v>3</v>
      </c>
      <c r="EQ134" s="3">
        <v>0</v>
      </c>
      <c r="ER134" s="3">
        <v>1297.23</v>
      </c>
      <c r="ES134" s="3">
        <v>1297.23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FQ134" s="3">
        <v>0</v>
      </c>
      <c r="FR134" s="3">
        <v>0</v>
      </c>
      <c r="FS134" s="3">
        <v>0</v>
      </c>
      <c r="FX134" s="3">
        <v>90</v>
      </c>
      <c r="FY134" s="3">
        <v>46</v>
      </c>
      <c r="GA134" s="3" t="s">
        <v>3</v>
      </c>
      <c r="GD134" s="3">
        <v>1</v>
      </c>
      <c r="GF134" s="3">
        <v>1852901932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00"/>
        <v>0</v>
      </c>
      <c r="GM134" s="3">
        <f t="shared" si="101"/>
        <v>477588.18</v>
      </c>
      <c r="GN134" s="3">
        <f t="shared" si="102"/>
        <v>0</v>
      </c>
      <c r="GO134" s="3">
        <f t="shared" si="103"/>
        <v>477588.18</v>
      </c>
      <c r="GP134" s="3">
        <f t="shared" si="104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05"/>
        <v>0</v>
      </c>
      <c r="GW134" s="3">
        <v>1</v>
      </c>
      <c r="GX134" s="3">
        <f t="shared" si="106"/>
        <v>0</v>
      </c>
      <c r="HA134" s="3">
        <v>0</v>
      </c>
      <c r="HB134" s="3">
        <v>0</v>
      </c>
      <c r="HC134" s="3">
        <f t="shared" si="107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>
        <f>ROW(SmtRes!A85)</f>
        <v>85</v>
      </c>
      <c r="D135" s="2">
        <f>ROW(EtalonRes!A102)</f>
        <v>102</v>
      </c>
      <c r="E135" s="2" t="s">
        <v>222</v>
      </c>
      <c r="F135" s="2" t="s">
        <v>223</v>
      </c>
      <c r="G135" s="2" t="s">
        <v>224</v>
      </c>
      <c r="H135" s="2" t="s">
        <v>206</v>
      </c>
      <c r="I135" s="2">
        <f>ROUND(200/100,9)</f>
        <v>2</v>
      </c>
      <c r="J135" s="2">
        <v>0</v>
      </c>
      <c r="K135" s="2">
        <f>ROUND(200/100,9)</f>
        <v>2</v>
      </c>
      <c r="L135" s="2"/>
      <c r="M135" s="2"/>
      <c r="N135" s="2"/>
      <c r="O135" s="2">
        <f t="shared" si="82"/>
        <v>408.79</v>
      </c>
      <c r="P135" s="2">
        <f t="shared" si="83"/>
        <v>251.66</v>
      </c>
      <c r="Q135" s="2">
        <f>(ROUND((ROUND((((ET135*1.1))*AV135*I135),2)*BB135),2)+ROUND((ROUND(((AE135-((EU135*1.1)))*AV135*I135),2)*BS135),2))</f>
        <v>6.03</v>
      </c>
      <c r="R135" s="2">
        <f>(ROUND((ROUND((((EU135*1.1))*AV135*I135),2)*BS135),2)+ROUND((ROUND(((AE135-((EU135*1.1)))*AV135*I135),2)*BS135),2))</f>
        <v>0.69</v>
      </c>
      <c r="S135" s="2">
        <f t="shared" si="84"/>
        <v>151.1</v>
      </c>
      <c r="T135" s="2">
        <f t="shared" si="85"/>
        <v>0</v>
      </c>
      <c r="U135" s="2">
        <f t="shared" si="86"/>
        <v>12.184986</v>
      </c>
      <c r="V135" s="2">
        <f t="shared" si="87"/>
        <v>0</v>
      </c>
      <c r="W135" s="2">
        <f t="shared" si="88"/>
        <v>0</v>
      </c>
      <c r="X135" s="2">
        <f>(ROUND((((S135+ROUND((ROUND((((EU135*1.1))*AV135*I135),2)*BS135),2))*AT135)/100),2)+ROUND(((ROUND((ROUND(((AE135-((EU135*1.1)))*AV135*I135),2)*BS135),2)*AT135)/100),2))</f>
        <v>147.24</v>
      </c>
      <c r="Y135" s="2">
        <f>(ROUND((((S135+ROUND((ROUND((((EU135*1.1))*AV135*I135),2)*BS135),2))*AU135)/100),2)+ROUND(((ROUND((ROUND(((AE135-((EU135*1.1)))*AV135*I135),2)*BS135),2)*AU135)/100),2))</f>
        <v>77.41</v>
      </c>
      <c r="Z135" s="2"/>
      <c r="AA135" s="2">
        <v>60258621</v>
      </c>
      <c r="AB135" s="2">
        <f t="shared" si="89"/>
        <v>200.87200000000001</v>
      </c>
      <c r="AC135" s="2">
        <f t="shared" si="90"/>
        <v>125.83</v>
      </c>
      <c r="AD135" s="2">
        <f>ROUND(((((ET135*1.1))-((EU135*1.1)))+AE135),6)</f>
        <v>2.8820000000000001</v>
      </c>
      <c r="AE135" s="2">
        <f>ROUND(((EU135*1.1)),6)</f>
        <v>0.33</v>
      </c>
      <c r="AF135" s="2">
        <f>ROUND(((EV135*1.1)),6)</f>
        <v>72.16</v>
      </c>
      <c r="AG135" s="2">
        <f t="shared" si="91"/>
        <v>0</v>
      </c>
      <c r="AH135" s="2">
        <f>((EW135*1.1))</f>
        <v>5.8190000000000008</v>
      </c>
      <c r="AI135" s="2">
        <f>((EX135*1.1))</f>
        <v>0</v>
      </c>
      <c r="AJ135" s="2">
        <f t="shared" si="92"/>
        <v>0</v>
      </c>
      <c r="AK135" s="2">
        <v>194.05</v>
      </c>
      <c r="AL135" s="2">
        <v>125.83</v>
      </c>
      <c r="AM135" s="2">
        <v>2.62</v>
      </c>
      <c r="AN135" s="2">
        <v>0.3</v>
      </c>
      <c r="AO135" s="2">
        <v>65.599999999999994</v>
      </c>
      <c r="AP135" s="2">
        <v>0</v>
      </c>
      <c r="AQ135" s="2">
        <v>5.29</v>
      </c>
      <c r="AR135" s="2">
        <v>0</v>
      </c>
      <c r="AS135" s="2">
        <v>0</v>
      </c>
      <c r="AT135" s="2">
        <v>97</v>
      </c>
      <c r="AU135" s="2">
        <v>51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225</v>
      </c>
      <c r="BK135" s="2"/>
      <c r="BL135" s="2"/>
      <c r="BM135" s="2">
        <v>67</v>
      </c>
      <c r="BN135" s="2">
        <v>0</v>
      </c>
      <c r="BO135" s="2" t="s">
        <v>223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97</v>
      </c>
      <c r="CA135" s="2">
        <v>51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365</v>
      </c>
      <c r="CO135" s="2">
        <v>0</v>
      </c>
      <c r="CP135" s="2">
        <f t="shared" si="93"/>
        <v>408.78999999999996</v>
      </c>
      <c r="CQ135" s="2">
        <f t="shared" si="94"/>
        <v>125.83</v>
      </c>
      <c r="CR135" s="2">
        <f>(ROUND((ROUND((((ET135*1.1))*AV135*1),2)*BB135),2)+ROUND((ROUND(((AE135-((EU135*1.1)))*AV135*1),2)*BS135),2))</f>
        <v>3.02</v>
      </c>
      <c r="CS135" s="2">
        <f>(ROUND((ROUND((((EU135*1.1))*AV135*1),2)*BS135),2)+ROUND((ROUND(((AE135-((EU135*1.1)))*AV135*1),2)*BS135),2))</f>
        <v>0.35</v>
      </c>
      <c r="CT135" s="2">
        <f t="shared" si="95"/>
        <v>75.55</v>
      </c>
      <c r="CU135" s="2">
        <f t="shared" si="96"/>
        <v>0</v>
      </c>
      <c r="CV135" s="2">
        <f t="shared" si="97"/>
        <v>6.0924930000000002</v>
      </c>
      <c r="CW135" s="2">
        <f t="shared" si="98"/>
        <v>0</v>
      </c>
      <c r="CX135" s="2">
        <f t="shared" si="99"/>
        <v>0</v>
      </c>
      <c r="CY135" s="2">
        <f>(ROUND((((S135+ROUND((ROUND((((EU135*1.1))*AV135*1),2)*BS135),2))*AT135)/100),2)+ROUND(((ROUND((ROUND(((AE135-((EU135*1.1)))*AV135*1),2)*BS135),2)*AT135)/100),2))</f>
        <v>146.91</v>
      </c>
      <c r="CZ135" s="2">
        <f>(ROUND((((S135+ROUND((ROUND((((EU135*1.1))*AV135*1),2)*BS135),2))*AU135)/100),2)+ROUND(((ROUND((ROUND(((AE135-((EU135*1.1)))*AV135*1),2)*BS135),2)*AU135)/100),2))</f>
        <v>77.239999999999995</v>
      </c>
      <c r="DA135" s="2"/>
      <c r="DB135" s="2">
        <v>33</v>
      </c>
      <c r="DC135" s="2" t="s">
        <v>3</v>
      </c>
      <c r="DD135" s="2" t="s">
        <v>3</v>
      </c>
      <c r="DE135" s="2" t="s">
        <v>24</v>
      </c>
      <c r="DF135" s="2" t="s">
        <v>24</v>
      </c>
      <c r="DG135" s="2" t="s">
        <v>24</v>
      </c>
      <c r="DH135" s="2" t="s">
        <v>3</v>
      </c>
      <c r="DI135" s="2" t="s">
        <v>24</v>
      </c>
      <c r="DJ135" s="2" t="s">
        <v>24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1003</v>
      </c>
      <c r="DV135" s="2" t="s">
        <v>206</v>
      </c>
      <c r="DW135" s="2" t="s">
        <v>206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60088531</v>
      </c>
      <c r="EF135" s="2">
        <v>40</v>
      </c>
      <c r="EG135" s="2" t="s">
        <v>25</v>
      </c>
      <c r="EH135" s="2">
        <v>0</v>
      </c>
      <c r="EI135" s="2" t="s">
        <v>3</v>
      </c>
      <c r="EJ135" s="2">
        <v>2</v>
      </c>
      <c r="EK135" s="2">
        <v>67</v>
      </c>
      <c r="EL135" s="2" t="s">
        <v>142</v>
      </c>
      <c r="EM135" s="2" t="s">
        <v>143</v>
      </c>
      <c r="EN135" s="2"/>
      <c r="EO135" s="2" t="s">
        <v>208</v>
      </c>
      <c r="EP135" s="2"/>
      <c r="EQ135" s="2">
        <v>0</v>
      </c>
      <c r="ER135" s="2">
        <v>194.05</v>
      </c>
      <c r="ES135" s="2">
        <v>125.83</v>
      </c>
      <c r="ET135" s="2">
        <v>2.62</v>
      </c>
      <c r="EU135" s="2">
        <v>0.3</v>
      </c>
      <c r="EV135" s="2">
        <v>65.599999999999994</v>
      </c>
      <c r="EW135" s="2">
        <v>5.29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97</v>
      </c>
      <c r="FY135" s="2">
        <v>51</v>
      </c>
      <c r="FZ135" s="2"/>
      <c r="GA135" s="2" t="s">
        <v>3</v>
      </c>
      <c r="GB135" s="2"/>
      <c r="GC135" s="2"/>
      <c r="GD135" s="2">
        <v>1</v>
      </c>
      <c r="GE135" s="2"/>
      <c r="GF135" s="2">
        <v>-261515912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00"/>
        <v>0</v>
      </c>
      <c r="GM135" s="2">
        <f t="shared" si="101"/>
        <v>633.44000000000005</v>
      </c>
      <c r="GN135" s="2">
        <f t="shared" si="102"/>
        <v>0</v>
      </c>
      <c r="GO135" s="2">
        <f t="shared" si="103"/>
        <v>633.44000000000005</v>
      </c>
      <c r="GP135" s="2">
        <f t="shared" si="104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05"/>
        <v>0</v>
      </c>
      <c r="GW135" s="2">
        <v>1</v>
      </c>
      <c r="GX135" s="2">
        <f t="shared" si="106"/>
        <v>0</v>
      </c>
      <c r="GY135" s="2"/>
      <c r="GZ135" s="2"/>
      <c r="HA135" s="2">
        <v>0</v>
      </c>
      <c r="HB135" s="2">
        <v>0</v>
      </c>
      <c r="HC135" s="2">
        <f t="shared" si="107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C136" s="3">
        <f>ROW(SmtRes!A90)</f>
        <v>90</v>
      </c>
      <c r="D136" s="3">
        <f>ROW(EtalonRes!A108)</f>
        <v>108</v>
      </c>
      <c r="E136" s="3" t="s">
        <v>222</v>
      </c>
      <c r="F136" s="3" t="s">
        <v>223</v>
      </c>
      <c r="G136" s="3" t="s">
        <v>224</v>
      </c>
      <c r="H136" s="3" t="s">
        <v>206</v>
      </c>
      <c r="I136" s="3">
        <f>ROUND(200/100,9)</f>
        <v>2</v>
      </c>
      <c r="J136" s="3">
        <v>0</v>
      </c>
      <c r="K136" s="3">
        <f>ROUND(200/100,9)</f>
        <v>2</v>
      </c>
      <c r="O136" s="3">
        <f t="shared" si="82"/>
        <v>9393.42</v>
      </c>
      <c r="P136" s="3">
        <f t="shared" si="83"/>
        <v>996.57</v>
      </c>
      <c r="Q136" s="3">
        <f>(ROUND((ROUND((((ET136*1.1))*AV136*I136),2)*BB136),2)+ROUND((ROUND(((AE136-((EU136*1.1)))*AV136*I136),2)*BS136),2))</f>
        <v>87.86</v>
      </c>
      <c r="R136" s="3">
        <f>(ROUND((ROUND((((EU136*1.1))*AV136*I136),2)*BS136),2)+ROUND((ROUND(((AE136-((EU136*1.1)))*AV136*I136),2)*BS136),2))</f>
        <v>37.94</v>
      </c>
      <c r="S136" s="3">
        <f t="shared" si="84"/>
        <v>8308.99</v>
      </c>
      <c r="T136" s="3">
        <f t="shared" si="85"/>
        <v>0</v>
      </c>
      <c r="U136" s="3">
        <f t="shared" si="86"/>
        <v>12.184986</v>
      </c>
      <c r="V136" s="3">
        <f t="shared" si="87"/>
        <v>0</v>
      </c>
      <c r="W136" s="3">
        <f t="shared" si="88"/>
        <v>0</v>
      </c>
      <c r="X136" s="3">
        <f>(ROUND((((S136+ROUND((ROUND((((EU136*1.1))*AV136*I136),2)*BS136),2))*AT136)/100),2)+ROUND(((ROUND((ROUND(((AE136-((EU136*1.1)))*AV136*I136),2)*BS136),2)*AT136)/100),2))</f>
        <v>8096.52</v>
      </c>
      <c r="Y136" s="3">
        <f>(ROUND((((S136+ROUND((ROUND((((EU136*1.1))*AV136*I136),2)*BS136),2))*AU136)/100),2)+ROUND(((ROUND((ROUND(((AE136-((EU136*1.1)))*AV136*I136),2)*BS136),2)*AU136)/100),2))</f>
        <v>4256.93</v>
      </c>
      <c r="AA136" s="3">
        <v>60258618</v>
      </c>
      <c r="AB136" s="3">
        <f t="shared" si="89"/>
        <v>200.87200000000001</v>
      </c>
      <c r="AC136" s="3">
        <f t="shared" si="90"/>
        <v>125.83</v>
      </c>
      <c r="AD136" s="3">
        <f>ROUND(((((ET136*1.1))-((EU136*1.1)))+AE136),6)</f>
        <v>2.8820000000000001</v>
      </c>
      <c r="AE136" s="3">
        <f>ROUND(((EU136*1.1)),6)</f>
        <v>0.33</v>
      </c>
      <c r="AF136" s="3">
        <f>ROUND(((EV136*1.1)),6)</f>
        <v>72.16</v>
      </c>
      <c r="AG136" s="3">
        <f t="shared" si="91"/>
        <v>0</v>
      </c>
      <c r="AH136" s="3">
        <f>((EW136*1.1))</f>
        <v>5.8190000000000008</v>
      </c>
      <c r="AI136" s="3">
        <f>((EX136*1.1))</f>
        <v>0</v>
      </c>
      <c r="AJ136" s="3">
        <f t="shared" si="92"/>
        <v>0</v>
      </c>
      <c r="AK136" s="3">
        <v>194.05</v>
      </c>
      <c r="AL136" s="3">
        <v>125.83</v>
      </c>
      <c r="AM136" s="3">
        <v>2.62</v>
      </c>
      <c r="AN136" s="3">
        <v>0.3</v>
      </c>
      <c r="AO136" s="3">
        <v>65.599999999999994</v>
      </c>
      <c r="AP136" s="3">
        <v>0</v>
      </c>
      <c r="AQ136" s="3">
        <v>5.29</v>
      </c>
      <c r="AR136" s="3">
        <v>0</v>
      </c>
      <c r="AS136" s="3">
        <v>0</v>
      </c>
      <c r="AT136" s="3">
        <v>97</v>
      </c>
      <c r="AU136" s="3">
        <v>51</v>
      </c>
      <c r="AV136" s="3">
        <v>1.0469999999999999</v>
      </c>
      <c r="AW136" s="3">
        <v>1</v>
      </c>
      <c r="AZ136" s="3">
        <v>1</v>
      </c>
      <c r="BA136" s="3">
        <v>54.99</v>
      </c>
      <c r="BB136" s="3">
        <v>14.57</v>
      </c>
      <c r="BC136" s="3">
        <v>3.96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0</v>
      </c>
      <c r="BI136" s="3">
        <v>2</v>
      </c>
      <c r="BJ136" s="3" t="s">
        <v>225</v>
      </c>
      <c r="BM136" s="3">
        <v>67</v>
      </c>
      <c r="BN136" s="3">
        <v>0</v>
      </c>
      <c r="BO136" s="3" t="s">
        <v>223</v>
      </c>
      <c r="BP136" s="3">
        <v>1</v>
      </c>
      <c r="BQ136" s="3">
        <v>40</v>
      </c>
      <c r="BR136" s="3">
        <v>0</v>
      </c>
      <c r="BS136" s="3">
        <v>54.99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97</v>
      </c>
      <c r="CA136" s="3">
        <v>51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365</v>
      </c>
      <c r="CO136" s="3">
        <v>0</v>
      </c>
      <c r="CP136" s="3">
        <f t="shared" si="93"/>
        <v>9393.42</v>
      </c>
      <c r="CQ136" s="3">
        <f t="shared" si="94"/>
        <v>498.29</v>
      </c>
      <c r="CR136" s="3">
        <f>(ROUND((ROUND((((ET136*1.1))*AV136*1),2)*BB136),2)+ROUND((ROUND(((AE136-((EU136*1.1)))*AV136*1),2)*BS136),2))</f>
        <v>44</v>
      </c>
      <c r="CS136" s="3">
        <f>(ROUND((ROUND((((EU136*1.1))*AV136*1),2)*BS136),2)+ROUND((ROUND(((AE136-((EU136*1.1)))*AV136*1),2)*BS136),2))</f>
        <v>19.25</v>
      </c>
      <c r="CT136" s="3">
        <f t="shared" si="95"/>
        <v>4154.49</v>
      </c>
      <c r="CU136" s="3">
        <f t="shared" si="96"/>
        <v>0</v>
      </c>
      <c r="CV136" s="3">
        <f t="shared" si="97"/>
        <v>6.0924930000000002</v>
      </c>
      <c r="CW136" s="3">
        <f t="shared" si="98"/>
        <v>0</v>
      </c>
      <c r="CX136" s="3">
        <f t="shared" si="99"/>
        <v>0</v>
      </c>
      <c r="CY136" s="3">
        <f>(ROUND((((S136+ROUND((ROUND((((EU136*1.1))*AV136*1),2)*BS136),2))*AT136)/100),2)+ROUND(((ROUND((ROUND(((AE136-((EU136*1.1)))*AV136*1),2)*BS136),2)*AT136)/100),2))</f>
        <v>8078.39</v>
      </c>
      <c r="CZ136" s="3">
        <f>(ROUND((((S136+ROUND((ROUND((((EU136*1.1))*AV136*1),2)*BS136),2))*AU136)/100),2)+ROUND(((ROUND((ROUND(((AE136-((EU136*1.1)))*AV136*1),2)*BS136),2)*AU136)/100),2))</f>
        <v>4247.3999999999996</v>
      </c>
      <c r="DB136" s="3">
        <v>34</v>
      </c>
      <c r="DC136" s="3" t="s">
        <v>3</v>
      </c>
      <c r="DD136" s="3" t="s">
        <v>3</v>
      </c>
      <c r="DE136" s="3" t="s">
        <v>24</v>
      </c>
      <c r="DF136" s="3" t="s">
        <v>24</v>
      </c>
      <c r="DG136" s="3" t="s">
        <v>24</v>
      </c>
      <c r="DH136" s="3" t="s">
        <v>3</v>
      </c>
      <c r="DI136" s="3" t="s">
        <v>24</v>
      </c>
      <c r="DJ136" s="3" t="s">
        <v>24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1003</v>
      </c>
      <c r="DV136" s="3" t="s">
        <v>206</v>
      </c>
      <c r="DW136" s="3" t="s">
        <v>206</v>
      </c>
      <c r="DX136" s="3">
        <v>100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60088531</v>
      </c>
      <c r="EF136" s="3">
        <v>40</v>
      </c>
      <c r="EG136" s="3" t="s">
        <v>25</v>
      </c>
      <c r="EH136" s="3">
        <v>0</v>
      </c>
      <c r="EI136" s="3" t="s">
        <v>3</v>
      </c>
      <c r="EJ136" s="3">
        <v>2</v>
      </c>
      <c r="EK136" s="3">
        <v>67</v>
      </c>
      <c r="EL136" s="3" t="s">
        <v>142</v>
      </c>
      <c r="EM136" s="3" t="s">
        <v>143</v>
      </c>
      <c r="EO136" s="3" t="s">
        <v>208</v>
      </c>
      <c r="EQ136" s="3">
        <v>0</v>
      </c>
      <c r="ER136" s="3">
        <v>194.05</v>
      </c>
      <c r="ES136" s="3">
        <v>125.83</v>
      </c>
      <c r="ET136" s="3">
        <v>2.62</v>
      </c>
      <c r="EU136" s="3">
        <v>0.3</v>
      </c>
      <c r="EV136" s="3">
        <v>65.599999999999994</v>
      </c>
      <c r="EW136" s="3">
        <v>5.29</v>
      </c>
      <c r="EX136" s="3">
        <v>0</v>
      </c>
      <c r="EY136" s="3">
        <v>0</v>
      </c>
      <c r="FQ136" s="3">
        <v>0</v>
      </c>
      <c r="FR136" s="3">
        <v>0</v>
      </c>
      <c r="FS136" s="3">
        <v>0</v>
      </c>
      <c r="FX136" s="3">
        <v>97</v>
      </c>
      <c r="FY136" s="3">
        <v>51</v>
      </c>
      <c r="GA136" s="3" t="s">
        <v>3</v>
      </c>
      <c r="GD136" s="3">
        <v>1</v>
      </c>
      <c r="GF136" s="3">
        <v>-261515912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00"/>
        <v>0</v>
      </c>
      <c r="GM136" s="3">
        <f t="shared" si="101"/>
        <v>21746.87</v>
      </c>
      <c r="GN136" s="3">
        <f t="shared" si="102"/>
        <v>0</v>
      </c>
      <c r="GO136" s="3">
        <f t="shared" si="103"/>
        <v>21746.87</v>
      </c>
      <c r="GP136" s="3">
        <f t="shared" si="104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05"/>
        <v>0</v>
      </c>
      <c r="GW136" s="3">
        <v>1</v>
      </c>
      <c r="GX136" s="3">
        <f t="shared" si="106"/>
        <v>0</v>
      </c>
      <c r="HA136" s="3">
        <v>0</v>
      </c>
      <c r="HB136" s="3">
        <v>0</v>
      </c>
      <c r="HC136" s="3">
        <f t="shared" si="107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226</v>
      </c>
      <c r="F137" s="2" t="s">
        <v>227</v>
      </c>
      <c r="G137" s="2" t="s">
        <v>228</v>
      </c>
      <c r="H137" s="2" t="s">
        <v>229</v>
      </c>
      <c r="I137" s="2">
        <f>ROUND((100*1.02)/1000,9)</f>
        <v>0.10199999999999999</v>
      </c>
      <c r="J137" s="2">
        <v>0</v>
      </c>
      <c r="K137" s="2">
        <f>ROUND((100*1.02)/1000,9)</f>
        <v>0.10199999999999999</v>
      </c>
      <c r="L137" s="2"/>
      <c r="M137" s="2"/>
      <c r="N137" s="2"/>
      <c r="O137" s="2">
        <f t="shared" si="82"/>
        <v>720.28</v>
      </c>
      <c r="P137" s="2">
        <f t="shared" si="83"/>
        <v>720.28</v>
      </c>
      <c r="Q137" s="2">
        <f t="shared" ref="Q137:Q146" si="119">(ROUND((ROUND(((ET137)*AV137*I137),2)*BB137),2)+ROUND((ROUND(((AE137-(EU137))*AV137*I137),2)*BS137),2))</f>
        <v>0</v>
      </c>
      <c r="R137" s="2">
        <f t="shared" ref="R137:R146" si="120">(ROUND((ROUND(((EU137)*AV137*I137),2)*BS137),2)+ROUND((ROUND(((AE137-(EU137))*AV137*I137),2)*BS137),2))</f>
        <v>0</v>
      </c>
      <c r="S137" s="2">
        <f t="shared" si="84"/>
        <v>0</v>
      </c>
      <c r="T137" s="2">
        <f t="shared" si="85"/>
        <v>0</v>
      </c>
      <c r="U137" s="2">
        <f t="shared" si="86"/>
        <v>0</v>
      </c>
      <c r="V137" s="2">
        <f t="shared" si="87"/>
        <v>0</v>
      </c>
      <c r="W137" s="2">
        <f t="shared" si="88"/>
        <v>0</v>
      </c>
      <c r="X137" s="2">
        <f t="shared" ref="X137:X146" si="121">(ROUND((((S137+ROUND((ROUND(((EU137)*AV137*I137),2)*BS137),2))*AT137)/100),2)+ROUND(((ROUND((ROUND(((AE137-(EU137))*AV137*I137),2)*BS137),2)*AT137)/100),2))</f>
        <v>0</v>
      </c>
      <c r="Y137" s="2">
        <f t="shared" ref="Y137:Y146" si="122">(ROUND((((S137+ROUND((ROUND(((EU137)*AV137*I137),2)*BS137),2))*AU137)/100),2)+ROUND(((ROUND((ROUND(((AE137-(EU137))*AV137*I137),2)*BS137),2)*AU137)/100),2))</f>
        <v>0</v>
      </c>
      <c r="Z137" s="2"/>
      <c r="AA137" s="2">
        <v>60258621</v>
      </c>
      <c r="AB137" s="2">
        <f t="shared" si="89"/>
        <v>7061.54</v>
      </c>
      <c r="AC137" s="2">
        <f t="shared" si="90"/>
        <v>7061.54</v>
      </c>
      <c r="AD137" s="2">
        <f t="shared" ref="AD137:AD146" si="123">ROUND((((ET137)-(EU137))+AE137),6)</f>
        <v>0</v>
      </c>
      <c r="AE137" s="2">
        <f t="shared" ref="AE137:AE146" si="124">ROUND((EU137),6)</f>
        <v>0</v>
      </c>
      <c r="AF137" s="2">
        <f t="shared" ref="AF137:AF146" si="125">ROUND((EV137),6)</f>
        <v>0</v>
      </c>
      <c r="AG137" s="2">
        <f t="shared" si="91"/>
        <v>0</v>
      </c>
      <c r="AH137" s="2">
        <f t="shared" ref="AH137:AH146" si="126">(EW137)</f>
        <v>0</v>
      </c>
      <c r="AI137" s="2">
        <f t="shared" ref="AI137:AI146" si="127">(EX137)</f>
        <v>0</v>
      </c>
      <c r="AJ137" s="2">
        <f t="shared" si="92"/>
        <v>0</v>
      </c>
      <c r="AK137" s="2">
        <v>7061.54</v>
      </c>
      <c r="AL137" s="2">
        <v>7061.54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2</v>
      </c>
      <c r="BJ137" s="2" t="s">
        <v>3</v>
      </c>
      <c r="BK137" s="2"/>
      <c r="BL137" s="2"/>
      <c r="BM137" s="2">
        <v>400002</v>
      </c>
      <c r="BN137" s="2">
        <v>0</v>
      </c>
      <c r="BO137" s="2" t="s">
        <v>3</v>
      </c>
      <c r="BP137" s="2">
        <v>0</v>
      </c>
      <c r="BQ137" s="2">
        <v>202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93"/>
        <v>720.28</v>
      </c>
      <c r="CQ137" s="2">
        <f t="shared" si="94"/>
        <v>7061.54</v>
      </c>
      <c r="CR137" s="2">
        <f t="shared" ref="CR137:CR146" si="128">(ROUND((ROUND(((ET137)*AV137*1),2)*BB137),2)+ROUND((ROUND(((AE137-(EU137))*AV137*1),2)*BS137),2))</f>
        <v>0</v>
      </c>
      <c r="CS137" s="2">
        <f t="shared" ref="CS137:CS146" si="129">(ROUND((ROUND(((EU137)*AV137*1),2)*BS137),2)+ROUND((ROUND(((AE137-(EU137))*AV137*1),2)*BS137),2))</f>
        <v>0</v>
      </c>
      <c r="CT137" s="2">
        <f t="shared" si="95"/>
        <v>0</v>
      </c>
      <c r="CU137" s="2">
        <f t="shared" si="96"/>
        <v>0</v>
      </c>
      <c r="CV137" s="2">
        <f t="shared" si="97"/>
        <v>0</v>
      </c>
      <c r="CW137" s="2">
        <f t="shared" si="98"/>
        <v>0</v>
      </c>
      <c r="CX137" s="2">
        <f t="shared" si="99"/>
        <v>0</v>
      </c>
      <c r="CY137" s="2">
        <f t="shared" ref="CY137:CY146" si="130">(ROUND((((S137+ROUND((ROUND(((EU137)*AV137*1),2)*BS137),2))*AT137)/100),2)+ROUND(((ROUND((ROUND(((AE137-(EU137))*AV137*1),2)*BS137),2)*AT137)/100),2))</f>
        <v>0</v>
      </c>
      <c r="CZ137" s="2">
        <f t="shared" ref="CZ137:CZ146" si="131"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1003</v>
      </c>
      <c r="DV137" s="2" t="s">
        <v>229</v>
      </c>
      <c r="DW137" s="2" t="s">
        <v>229</v>
      </c>
      <c r="DX137" s="2">
        <v>1000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60088644</v>
      </c>
      <c r="EF137" s="2">
        <v>202</v>
      </c>
      <c r="EG137" s="2" t="s">
        <v>230</v>
      </c>
      <c r="EH137" s="2">
        <v>0</v>
      </c>
      <c r="EI137" s="2" t="s">
        <v>3</v>
      </c>
      <c r="EJ137" s="2">
        <v>1</v>
      </c>
      <c r="EK137" s="2">
        <v>400002</v>
      </c>
      <c r="EL137" s="2" t="s">
        <v>231</v>
      </c>
      <c r="EM137" s="2" t="s">
        <v>230</v>
      </c>
      <c r="EN137" s="2"/>
      <c r="EO137" s="2" t="s">
        <v>3</v>
      </c>
      <c r="EP137" s="2"/>
      <c r="EQ137" s="2">
        <v>0</v>
      </c>
      <c r="ER137" s="2">
        <v>0</v>
      </c>
      <c r="ES137" s="2">
        <v>7061.54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232</v>
      </c>
      <c r="GB137" s="2"/>
      <c r="GC137" s="2"/>
      <c r="GD137" s="2">
        <v>1</v>
      </c>
      <c r="GE137" s="2"/>
      <c r="GF137" s="2">
        <v>2088615534</v>
      </c>
      <c r="GG137" s="2">
        <v>2</v>
      </c>
      <c r="GH137" s="2">
        <v>4</v>
      </c>
      <c r="GI137" s="2">
        <v>-2</v>
      </c>
      <c r="GJ137" s="2">
        <v>0</v>
      </c>
      <c r="GK137" s="2">
        <v>0</v>
      </c>
      <c r="GL137" s="2">
        <f t="shared" si="100"/>
        <v>0</v>
      </c>
      <c r="GM137" s="2">
        <f t="shared" si="101"/>
        <v>720.28</v>
      </c>
      <c r="GN137" s="2">
        <f t="shared" si="102"/>
        <v>0</v>
      </c>
      <c r="GO137" s="2">
        <f t="shared" si="103"/>
        <v>720.28</v>
      </c>
      <c r="GP137" s="2">
        <f t="shared" si="104"/>
        <v>0</v>
      </c>
      <c r="GQ137" s="2"/>
      <c r="GR137" s="2">
        <v>0</v>
      </c>
      <c r="GS137" s="2">
        <v>2</v>
      </c>
      <c r="GT137" s="2">
        <v>0</v>
      </c>
      <c r="GU137" s="2" t="s">
        <v>3</v>
      </c>
      <c r="GV137" s="2">
        <f t="shared" si="105"/>
        <v>0</v>
      </c>
      <c r="GW137" s="2">
        <v>1</v>
      </c>
      <c r="GX137" s="2">
        <f t="shared" si="106"/>
        <v>0</v>
      </c>
      <c r="GY137" s="2"/>
      <c r="GZ137" s="2"/>
      <c r="HA137" s="2">
        <v>0</v>
      </c>
      <c r="HB137" s="2">
        <v>0</v>
      </c>
      <c r="HC137" s="2">
        <f t="shared" si="107"/>
        <v>0</v>
      </c>
      <c r="HD137" s="2"/>
      <c r="HE137" s="2" t="s">
        <v>233</v>
      </c>
      <c r="HF137" s="2" t="s">
        <v>29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17</v>
      </c>
      <c r="B138" s="3">
        <v>1</v>
      </c>
      <c r="E138" s="3" t="s">
        <v>226</v>
      </c>
      <c r="F138" s="3" t="s">
        <v>227</v>
      </c>
      <c r="G138" s="3" t="s">
        <v>228</v>
      </c>
      <c r="H138" s="3" t="s">
        <v>229</v>
      </c>
      <c r="I138" s="3">
        <f>ROUND((100*1.02)/1000,9)</f>
        <v>0.10199999999999999</v>
      </c>
      <c r="J138" s="3">
        <v>0</v>
      </c>
      <c r="K138" s="3">
        <f>ROUND((100*1.02)/1000,9)</f>
        <v>0.10199999999999999</v>
      </c>
      <c r="O138" s="3">
        <f t="shared" si="82"/>
        <v>7116.37</v>
      </c>
      <c r="P138" s="3">
        <f t="shared" si="83"/>
        <v>7116.37</v>
      </c>
      <c r="Q138" s="3">
        <f t="shared" si="119"/>
        <v>0</v>
      </c>
      <c r="R138" s="3">
        <f t="shared" si="120"/>
        <v>0</v>
      </c>
      <c r="S138" s="3">
        <f t="shared" si="84"/>
        <v>0</v>
      </c>
      <c r="T138" s="3">
        <f t="shared" si="85"/>
        <v>0</v>
      </c>
      <c r="U138" s="3">
        <f t="shared" si="86"/>
        <v>0</v>
      </c>
      <c r="V138" s="3">
        <f t="shared" si="87"/>
        <v>0</v>
      </c>
      <c r="W138" s="3">
        <f t="shared" si="88"/>
        <v>0</v>
      </c>
      <c r="X138" s="3">
        <f t="shared" si="121"/>
        <v>0</v>
      </c>
      <c r="Y138" s="3">
        <f t="shared" si="122"/>
        <v>0</v>
      </c>
      <c r="AA138" s="3">
        <v>60258618</v>
      </c>
      <c r="AB138" s="3">
        <f t="shared" si="89"/>
        <v>7061.54</v>
      </c>
      <c r="AC138" s="3">
        <f t="shared" si="90"/>
        <v>7061.54</v>
      </c>
      <c r="AD138" s="3">
        <f t="shared" si="123"/>
        <v>0</v>
      </c>
      <c r="AE138" s="3">
        <f t="shared" si="124"/>
        <v>0</v>
      </c>
      <c r="AF138" s="3">
        <f t="shared" si="125"/>
        <v>0</v>
      </c>
      <c r="AG138" s="3">
        <f t="shared" si="91"/>
        <v>0</v>
      </c>
      <c r="AH138" s="3">
        <f t="shared" si="126"/>
        <v>0</v>
      </c>
      <c r="AI138" s="3">
        <f t="shared" si="127"/>
        <v>0</v>
      </c>
      <c r="AJ138" s="3">
        <f t="shared" si="92"/>
        <v>0</v>
      </c>
      <c r="AK138" s="3">
        <v>7061.54</v>
      </c>
      <c r="AL138" s="3">
        <v>7061.54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9.8800000000000008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2</v>
      </c>
      <c r="BJ138" s="3" t="s">
        <v>3</v>
      </c>
      <c r="BM138" s="3">
        <v>400002</v>
      </c>
      <c r="BN138" s="3">
        <v>0</v>
      </c>
      <c r="BO138" s="3" t="s">
        <v>3</v>
      </c>
      <c r="BP138" s="3">
        <v>0</v>
      </c>
      <c r="BQ138" s="3">
        <v>202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93"/>
        <v>7116.37</v>
      </c>
      <c r="CQ138" s="3">
        <f t="shared" si="94"/>
        <v>69768.02</v>
      </c>
      <c r="CR138" s="3">
        <f t="shared" si="128"/>
        <v>0</v>
      </c>
      <c r="CS138" s="3">
        <f t="shared" si="129"/>
        <v>0</v>
      </c>
      <c r="CT138" s="3">
        <f t="shared" si="95"/>
        <v>0</v>
      </c>
      <c r="CU138" s="3">
        <f t="shared" si="96"/>
        <v>0</v>
      </c>
      <c r="CV138" s="3">
        <f t="shared" si="97"/>
        <v>0</v>
      </c>
      <c r="CW138" s="3">
        <f t="shared" si="98"/>
        <v>0</v>
      </c>
      <c r="CX138" s="3">
        <f t="shared" si="99"/>
        <v>0</v>
      </c>
      <c r="CY138" s="3">
        <f t="shared" si="130"/>
        <v>0</v>
      </c>
      <c r="CZ138" s="3">
        <f t="shared" si="131"/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1003</v>
      </c>
      <c r="DV138" s="3" t="s">
        <v>229</v>
      </c>
      <c r="DW138" s="3" t="s">
        <v>229</v>
      </c>
      <c r="DX138" s="3">
        <v>1000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60088644</v>
      </c>
      <c r="EF138" s="3">
        <v>202</v>
      </c>
      <c r="EG138" s="3" t="s">
        <v>230</v>
      </c>
      <c r="EH138" s="3">
        <v>0</v>
      </c>
      <c r="EI138" s="3" t="s">
        <v>3</v>
      </c>
      <c r="EJ138" s="3">
        <v>1</v>
      </c>
      <c r="EK138" s="3">
        <v>400002</v>
      </c>
      <c r="EL138" s="3" t="s">
        <v>231</v>
      </c>
      <c r="EM138" s="3" t="s">
        <v>230</v>
      </c>
      <c r="EO138" s="3" t="s">
        <v>3</v>
      </c>
      <c r="EQ138" s="3">
        <v>0</v>
      </c>
      <c r="ER138" s="3">
        <v>0</v>
      </c>
      <c r="ES138" s="3">
        <v>7061.54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5</v>
      </c>
      <c r="FC138" s="3">
        <v>1</v>
      </c>
      <c r="FD138" s="3">
        <v>18</v>
      </c>
      <c r="FF138" s="3">
        <v>82080</v>
      </c>
      <c r="FQ138" s="3">
        <v>0</v>
      </c>
      <c r="FR138" s="3">
        <v>0</v>
      </c>
      <c r="FS138" s="3">
        <v>0</v>
      </c>
      <c r="FX138" s="3">
        <v>0</v>
      </c>
      <c r="FY138" s="3">
        <v>0</v>
      </c>
      <c r="GA138" s="3" t="s">
        <v>232</v>
      </c>
      <c r="GD138" s="3">
        <v>1</v>
      </c>
      <c r="GF138" s="3">
        <v>2088615534</v>
      </c>
      <c r="GG138" s="3">
        <v>2</v>
      </c>
      <c r="GH138" s="3">
        <v>3</v>
      </c>
      <c r="GI138" s="3">
        <v>5</v>
      </c>
      <c r="GJ138" s="3">
        <v>0</v>
      </c>
      <c r="GK138" s="3">
        <v>0</v>
      </c>
      <c r="GL138" s="3">
        <f t="shared" si="100"/>
        <v>0</v>
      </c>
      <c r="GM138" s="3">
        <f t="shared" si="101"/>
        <v>7116.37</v>
      </c>
      <c r="GN138" s="3">
        <f t="shared" si="102"/>
        <v>0</v>
      </c>
      <c r="GO138" s="3">
        <f t="shared" si="103"/>
        <v>7116.37</v>
      </c>
      <c r="GP138" s="3">
        <f t="shared" si="104"/>
        <v>0</v>
      </c>
      <c r="GR138" s="3">
        <v>1</v>
      </c>
      <c r="GS138" s="3">
        <v>1</v>
      </c>
      <c r="GT138" s="3">
        <v>0</v>
      </c>
      <c r="GU138" s="3" t="s">
        <v>3</v>
      </c>
      <c r="GV138" s="3">
        <f t="shared" si="105"/>
        <v>0</v>
      </c>
      <c r="GW138" s="3">
        <v>1</v>
      </c>
      <c r="GX138" s="3">
        <f t="shared" si="106"/>
        <v>0</v>
      </c>
      <c r="HA138" s="3">
        <v>0</v>
      </c>
      <c r="HB138" s="3">
        <v>0</v>
      </c>
      <c r="HC138" s="3">
        <f t="shared" si="107"/>
        <v>0</v>
      </c>
      <c r="HE138" s="3" t="s">
        <v>233</v>
      </c>
      <c r="HF138" s="3" t="s">
        <v>29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">
      <c r="A139" s="2">
        <v>17</v>
      </c>
      <c r="B139" s="2">
        <v>1</v>
      </c>
      <c r="C139" s="2"/>
      <c r="D139" s="2"/>
      <c r="E139" s="2" t="s">
        <v>234</v>
      </c>
      <c r="F139" s="2" t="s">
        <v>235</v>
      </c>
      <c r="G139" s="2" t="s">
        <v>236</v>
      </c>
      <c r="H139" s="2" t="s">
        <v>229</v>
      </c>
      <c r="I139" s="2">
        <f>ROUND((100*1.02)/1000,9)</f>
        <v>0.10199999999999999</v>
      </c>
      <c r="J139" s="2">
        <v>0</v>
      </c>
      <c r="K139" s="2">
        <f>ROUND((100*1.02)/1000,9)</f>
        <v>0.10199999999999999</v>
      </c>
      <c r="L139" s="2"/>
      <c r="M139" s="2"/>
      <c r="N139" s="2"/>
      <c r="O139" s="2">
        <f t="shared" si="82"/>
        <v>421.83</v>
      </c>
      <c r="P139" s="2">
        <f t="shared" si="83"/>
        <v>421.83</v>
      </c>
      <c r="Q139" s="2">
        <f t="shared" si="119"/>
        <v>0</v>
      </c>
      <c r="R139" s="2">
        <f t="shared" si="120"/>
        <v>0</v>
      </c>
      <c r="S139" s="2">
        <f t="shared" si="84"/>
        <v>0</v>
      </c>
      <c r="T139" s="2">
        <f t="shared" si="85"/>
        <v>0</v>
      </c>
      <c r="U139" s="2">
        <f t="shared" si="86"/>
        <v>0</v>
      </c>
      <c r="V139" s="2">
        <f t="shared" si="87"/>
        <v>0</v>
      </c>
      <c r="W139" s="2">
        <f t="shared" si="88"/>
        <v>0</v>
      </c>
      <c r="X139" s="2">
        <f t="shared" si="121"/>
        <v>0</v>
      </c>
      <c r="Y139" s="2">
        <f t="shared" si="122"/>
        <v>0</v>
      </c>
      <c r="Z139" s="2"/>
      <c r="AA139" s="2">
        <v>60258621</v>
      </c>
      <c r="AB139" s="2">
        <f t="shared" si="89"/>
        <v>4135.58</v>
      </c>
      <c r="AC139" s="2">
        <f t="shared" si="90"/>
        <v>4135.58</v>
      </c>
      <c r="AD139" s="2">
        <f t="shared" si="123"/>
        <v>0</v>
      </c>
      <c r="AE139" s="2">
        <f t="shared" si="124"/>
        <v>0</v>
      </c>
      <c r="AF139" s="2">
        <f t="shared" si="125"/>
        <v>0</v>
      </c>
      <c r="AG139" s="2">
        <f t="shared" si="91"/>
        <v>0</v>
      </c>
      <c r="AH139" s="2">
        <f t="shared" si="126"/>
        <v>0</v>
      </c>
      <c r="AI139" s="2">
        <f t="shared" si="127"/>
        <v>0</v>
      </c>
      <c r="AJ139" s="2">
        <f t="shared" si="92"/>
        <v>0</v>
      </c>
      <c r="AK139" s="2">
        <v>4135.58</v>
      </c>
      <c r="AL139" s="2">
        <v>4135.58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2</v>
      </c>
      <c r="BJ139" s="2" t="s">
        <v>3</v>
      </c>
      <c r="BK139" s="2"/>
      <c r="BL139" s="2"/>
      <c r="BM139" s="2">
        <v>400002</v>
      </c>
      <c r="BN139" s="2">
        <v>0</v>
      </c>
      <c r="BO139" s="2" t="s">
        <v>3</v>
      </c>
      <c r="BP139" s="2">
        <v>0</v>
      </c>
      <c r="BQ139" s="2">
        <v>202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93"/>
        <v>421.83</v>
      </c>
      <c r="CQ139" s="2">
        <f t="shared" si="94"/>
        <v>4135.58</v>
      </c>
      <c r="CR139" s="2">
        <f t="shared" si="128"/>
        <v>0</v>
      </c>
      <c r="CS139" s="2">
        <f t="shared" si="129"/>
        <v>0</v>
      </c>
      <c r="CT139" s="2">
        <f t="shared" si="95"/>
        <v>0</v>
      </c>
      <c r="CU139" s="2">
        <f t="shared" si="96"/>
        <v>0</v>
      </c>
      <c r="CV139" s="2">
        <f t="shared" si="97"/>
        <v>0</v>
      </c>
      <c r="CW139" s="2">
        <f t="shared" si="98"/>
        <v>0</v>
      </c>
      <c r="CX139" s="2">
        <f t="shared" si="99"/>
        <v>0</v>
      </c>
      <c r="CY139" s="2">
        <f t="shared" si="130"/>
        <v>0</v>
      </c>
      <c r="CZ139" s="2">
        <f t="shared" si="131"/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229</v>
      </c>
      <c r="DW139" s="2" t="s">
        <v>229</v>
      </c>
      <c r="DX139" s="2">
        <v>1000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60088644</v>
      </c>
      <c r="EF139" s="2">
        <v>202</v>
      </c>
      <c r="EG139" s="2" t="s">
        <v>230</v>
      </c>
      <c r="EH139" s="2">
        <v>0</v>
      </c>
      <c r="EI139" s="2" t="s">
        <v>3</v>
      </c>
      <c r="EJ139" s="2">
        <v>1</v>
      </c>
      <c r="EK139" s="2">
        <v>400002</v>
      </c>
      <c r="EL139" s="2" t="s">
        <v>231</v>
      </c>
      <c r="EM139" s="2" t="s">
        <v>230</v>
      </c>
      <c r="EN139" s="2"/>
      <c r="EO139" s="2" t="s">
        <v>3</v>
      </c>
      <c r="EP139" s="2"/>
      <c r="EQ139" s="2">
        <v>0</v>
      </c>
      <c r="ER139" s="2">
        <v>0</v>
      </c>
      <c r="ES139" s="2">
        <v>4135.58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237</v>
      </c>
      <c r="GB139" s="2"/>
      <c r="GC139" s="2"/>
      <c r="GD139" s="2">
        <v>1</v>
      </c>
      <c r="GE139" s="2"/>
      <c r="GF139" s="2">
        <v>-1378975296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00"/>
        <v>0</v>
      </c>
      <c r="GM139" s="2">
        <f t="shared" si="101"/>
        <v>421.83</v>
      </c>
      <c r="GN139" s="2">
        <f t="shared" si="102"/>
        <v>0</v>
      </c>
      <c r="GO139" s="2">
        <f t="shared" si="103"/>
        <v>421.83</v>
      </c>
      <c r="GP139" s="2">
        <f t="shared" si="104"/>
        <v>0</v>
      </c>
      <c r="GQ139" s="2"/>
      <c r="GR139" s="2">
        <v>0</v>
      </c>
      <c r="GS139" s="2">
        <v>2</v>
      </c>
      <c r="GT139" s="2">
        <v>0</v>
      </c>
      <c r="GU139" s="2" t="s">
        <v>3</v>
      </c>
      <c r="GV139" s="2">
        <f t="shared" si="105"/>
        <v>0</v>
      </c>
      <c r="GW139" s="2">
        <v>1</v>
      </c>
      <c r="GX139" s="2">
        <f t="shared" si="106"/>
        <v>0</v>
      </c>
      <c r="GY139" s="2"/>
      <c r="GZ139" s="2"/>
      <c r="HA139" s="2">
        <v>0</v>
      </c>
      <c r="HB139" s="2">
        <v>0</v>
      </c>
      <c r="HC139" s="2">
        <f t="shared" si="107"/>
        <v>0</v>
      </c>
      <c r="HD139" s="2"/>
      <c r="HE139" s="2" t="s">
        <v>233</v>
      </c>
      <c r="HF139" s="2" t="s">
        <v>29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3">
        <v>17</v>
      </c>
      <c r="B140" s="3">
        <v>1</v>
      </c>
      <c r="E140" s="3" t="s">
        <v>234</v>
      </c>
      <c r="F140" s="3" t="s">
        <v>235</v>
      </c>
      <c r="G140" s="3" t="s">
        <v>236</v>
      </c>
      <c r="H140" s="3" t="s">
        <v>229</v>
      </c>
      <c r="I140" s="3">
        <f>ROUND((100*1.02)/1000,9)</f>
        <v>0.10199999999999999</v>
      </c>
      <c r="J140" s="3">
        <v>0</v>
      </c>
      <c r="K140" s="3">
        <f>ROUND((100*1.02)/1000,9)</f>
        <v>0.10199999999999999</v>
      </c>
      <c r="O140" s="3">
        <f t="shared" si="82"/>
        <v>4167.68</v>
      </c>
      <c r="P140" s="3">
        <f t="shared" si="83"/>
        <v>4167.68</v>
      </c>
      <c r="Q140" s="3">
        <f t="shared" si="119"/>
        <v>0</v>
      </c>
      <c r="R140" s="3">
        <f t="shared" si="120"/>
        <v>0</v>
      </c>
      <c r="S140" s="3">
        <f t="shared" si="84"/>
        <v>0</v>
      </c>
      <c r="T140" s="3">
        <f t="shared" si="85"/>
        <v>0</v>
      </c>
      <c r="U140" s="3">
        <f t="shared" si="86"/>
        <v>0</v>
      </c>
      <c r="V140" s="3">
        <f t="shared" si="87"/>
        <v>0</v>
      </c>
      <c r="W140" s="3">
        <f t="shared" si="88"/>
        <v>0</v>
      </c>
      <c r="X140" s="3">
        <f t="shared" si="121"/>
        <v>0</v>
      </c>
      <c r="Y140" s="3">
        <f t="shared" si="122"/>
        <v>0</v>
      </c>
      <c r="AA140" s="3">
        <v>60258618</v>
      </c>
      <c r="AB140" s="3">
        <f t="shared" si="89"/>
        <v>4135.58</v>
      </c>
      <c r="AC140" s="3">
        <f t="shared" si="90"/>
        <v>4135.58</v>
      </c>
      <c r="AD140" s="3">
        <f t="shared" si="123"/>
        <v>0</v>
      </c>
      <c r="AE140" s="3">
        <f t="shared" si="124"/>
        <v>0</v>
      </c>
      <c r="AF140" s="3">
        <f t="shared" si="125"/>
        <v>0</v>
      </c>
      <c r="AG140" s="3">
        <f t="shared" si="91"/>
        <v>0</v>
      </c>
      <c r="AH140" s="3">
        <f t="shared" si="126"/>
        <v>0</v>
      </c>
      <c r="AI140" s="3">
        <f t="shared" si="127"/>
        <v>0</v>
      </c>
      <c r="AJ140" s="3">
        <f t="shared" si="92"/>
        <v>0</v>
      </c>
      <c r="AK140" s="3">
        <v>4135.58</v>
      </c>
      <c r="AL140" s="3">
        <v>4135.58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9.8800000000000008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2</v>
      </c>
      <c r="BJ140" s="3" t="s">
        <v>3</v>
      </c>
      <c r="BM140" s="3">
        <v>400002</v>
      </c>
      <c r="BN140" s="3">
        <v>0</v>
      </c>
      <c r="BO140" s="3" t="s">
        <v>3</v>
      </c>
      <c r="BP140" s="3">
        <v>0</v>
      </c>
      <c r="BQ140" s="3">
        <v>202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93"/>
        <v>4167.68</v>
      </c>
      <c r="CQ140" s="3">
        <f t="shared" si="94"/>
        <v>40859.53</v>
      </c>
      <c r="CR140" s="3">
        <f t="shared" si="128"/>
        <v>0</v>
      </c>
      <c r="CS140" s="3">
        <f t="shared" si="129"/>
        <v>0</v>
      </c>
      <c r="CT140" s="3">
        <f t="shared" si="95"/>
        <v>0</v>
      </c>
      <c r="CU140" s="3">
        <f t="shared" si="96"/>
        <v>0</v>
      </c>
      <c r="CV140" s="3">
        <f t="shared" si="97"/>
        <v>0</v>
      </c>
      <c r="CW140" s="3">
        <f t="shared" si="98"/>
        <v>0</v>
      </c>
      <c r="CX140" s="3">
        <f t="shared" si="99"/>
        <v>0</v>
      </c>
      <c r="CY140" s="3">
        <f t="shared" si="130"/>
        <v>0</v>
      </c>
      <c r="CZ140" s="3">
        <f t="shared" si="131"/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1003</v>
      </c>
      <c r="DV140" s="3" t="s">
        <v>229</v>
      </c>
      <c r="DW140" s="3" t="s">
        <v>229</v>
      </c>
      <c r="DX140" s="3">
        <v>1000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60088644</v>
      </c>
      <c r="EF140" s="3">
        <v>202</v>
      </c>
      <c r="EG140" s="3" t="s">
        <v>230</v>
      </c>
      <c r="EH140" s="3">
        <v>0</v>
      </c>
      <c r="EI140" s="3" t="s">
        <v>3</v>
      </c>
      <c r="EJ140" s="3">
        <v>1</v>
      </c>
      <c r="EK140" s="3">
        <v>400002</v>
      </c>
      <c r="EL140" s="3" t="s">
        <v>231</v>
      </c>
      <c r="EM140" s="3" t="s">
        <v>230</v>
      </c>
      <c r="EO140" s="3" t="s">
        <v>3</v>
      </c>
      <c r="EQ140" s="3">
        <v>0</v>
      </c>
      <c r="ER140" s="3">
        <v>0</v>
      </c>
      <c r="ES140" s="3">
        <v>4135.58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48070</v>
      </c>
      <c r="FQ140" s="3">
        <v>0</v>
      </c>
      <c r="FR140" s="3">
        <v>0</v>
      </c>
      <c r="FS140" s="3">
        <v>0</v>
      </c>
      <c r="FX140" s="3">
        <v>0</v>
      </c>
      <c r="FY140" s="3">
        <v>0</v>
      </c>
      <c r="GA140" s="3" t="s">
        <v>237</v>
      </c>
      <c r="GD140" s="3">
        <v>1</v>
      </c>
      <c r="GF140" s="3">
        <v>-1378975296</v>
      </c>
      <c r="GG140" s="3">
        <v>2</v>
      </c>
      <c r="GH140" s="3">
        <v>3</v>
      </c>
      <c r="GI140" s="3">
        <v>5</v>
      </c>
      <c r="GJ140" s="3">
        <v>0</v>
      </c>
      <c r="GK140" s="3">
        <v>0</v>
      </c>
      <c r="GL140" s="3">
        <f t="shared" si="100"/>
        <v>0</v>
      </c>
      <c r="GM140" s="3">
        <f t="shared" si="101"/>
        <v>4167.68</v>
      </c>
      <c r="GN140" s="3">
        <f t="shared" si="102"/>
        <v>0</v>
      </c>
      <c r="GO140" s="3">
        <f t="shared" si="103"/>
        <v>4167.68</v>
      </c>
      <c r="GP140" s="3">
        <f t="shared" si="104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05"/>
        <v>0</v>
      </c>
      <c r="GW140" s="3">
        <v>1</v>
      </c>
      <c r="GX140" s="3">
        <f t="shared" si="106"/>
        <v>0</v>
      </c>
      <c r="HA140" s="3">
        <v>0</v>
      </c>
      <c r="HB140" s="3">
        <v>0</v>
      </c>
      <c r="HC140" s="3">
        <f t="shared" si="107"/>
        <v>0</v>
      </c>
      <c r="HE140" s="3" t="s">
        <v>233</v>
      </c>
      <c r="HF140" s="3" t="s">
        <v>29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">
      <c r="A141" s="2">
        <v>17</v>
      </c>
      <c r="B141" s="2">
        <v>1</v>
      </c>
      <c r="C141" s="2"/>
      <c r="D141" s="2"/>
      <c r="E141" s="2" t="s">
        <v>238</v>
      </c>
      <c r="F141" s="2" t="s">
        <v>239</v>
      </c>
      <c r="G141" s="2" t="s">
        <v>240</v>
      </c>
      <c r="H141" s="2" t="s">
        <v>229</v>
      </c>
      <c r="I141" s="2">
        <f>ROUND((2500*1.02)/1000,9)</f>
        <v>2.5499999999999998</v>
      </c>
      <c r="J141" s="2">
        <v>0</v>
      </c>
      <c r="K141" s="2">
        <f>ROUND((2500*1.02)/1000,9)</f>
        <v>2.5499999999999998</v>
      </c>
      <c r="L141" s="2"/>
      <c r="M141" s="2"/>
      <c r="N141" s="2"/>
      <c r="O141" s="2">
        <f t="shared" si="82"/>
        <v>7522.63</v>
      </c>
      <c r="P141" s="2">
        <f t="shared" si="83"/>
        <v>7522.63</v>
      </c>
      <c r="Q141" s="2">
        <f t="shared" si="119"/>
        <v>0</v>
      </c>
      <c r="R141" s="2">
        <f t="shared" si="120"/>
        <v>0</v>
      </c>
      <c r="S141" s="2">
        <f t="shared" si="84"/>
        <v>0</v>
      </c>
      <c r="T141" s="2">
        <f t="shared" si="85"/>
        <v>0</v>
      </c>
      <c r="U141" s="2">
        <f t="shared" si="86"/>
        <v>0</v>
      </c>
      <c r="V141" s="2">
        <f t="shared" si="87"/>
        <v>0</v>
      </c>
      <c r="W141" s="2">
        <f t="shared" si="88"/>
        <v>0</v>
      </c>
      <c r="X141" s="2">
        <f t="shared" si="121"/>
        <v>0</v>
      </c>
      <c r="Y141" s="2">
        <f t="shared" si="122"/>
        <v>0</v>
      </c>
      <c r="Z141" s="2"/>
      <c r="AA141" s="2">
        <v>60258621</v>
      </c>
      <c r="AB141" s="2">
        <f t="shared" si="89"/>
        <v>2950.05</v>
      </c>
      <c r="AC141" s="2">
        <f t="shared" si="90"/>
        <v>2950.05</v>
      </c>
      <c r="AD141" s="2">
        <f t="shared" si="123"/>
        <v>0</v>
      </c>
      <c r="AE141" s="2">
        <f t="shared" si="124"/>
        <v>0</v>
      </c>
      <c r="AF141" s="2">
        <f t="shared" si="125"/>
        <v>0</v>
      </c>
      <c r="AG141" s="2">
        <f t="shared" si="91"/>
        <v>0</v>
      </c>
      <c r="AH141" s="2">
        <f t="shared" si="126"/>
        <v>0</v>
      </c>
      <c r="AI141" s="2">
        <f t="shared" si="127"/>
        <v>0</v>
      </c>
      <c r="AJ141" s="2">
        <f t="shared" si="92"/>
        <v>0</v>
      </c>
      <c r="AK141" s="2">
        <v>2950.05</v>
      </c>
      <c r="AL141" s="2">
        <v>2950.05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2</v>
      </c>
      <c r="BJ141" s="2" t="s">
        <v>3</v>
      </c>
      <c r="BK141" s="2"/>
      <c r="BL141" s="2"/>
      <c r="BM141" s="2">
        <v>400002</v>
      </c>
      <c r="BN141" s="2">
        <v>0</v>
      </c>
      <c r="BO141" s="2" t="s">
        <v>3</v>
      </c>
      <c r="BP141" s="2">
        <v>0</v>
      </c>
      <c r="BQ141" s="2">
        <v>202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0</v>
      </c>
      <c r="CA141" s="2">
        <v>0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3</v>
      </c>
      <c r="CO141" s="2">
        <v>0</v>
      </c>
      <c r="CP141" s="2">
        <f t="shared" si="93"/>
        <v>7522.63</v>
      </c>
      <c r="CQ141" s="2">
        <f t="shared" si="94"/>
        <v>2950.05</v>
      </c>
      <c r="CR141" s="2">
        <f t="shared" si="128"/>
        <v>0</v>
      </c>
      <c r="CS141" s="2">
        <f t="shared" si="129"/>
        <v>0</v>
      </c>
      <c r="CT141" s="2">
        <f t="shared" si="95"/>
        <v>0</v>
      </c>
      <c r="CU141" s="2">
        <f t="shared" si="96"/>
        <v>0</v>
      </c>
      <c r="CV141" s="2">
        <f t="shared" si="97"/>
        <v>0</v>
      </c>
      <c r="CW141" s="2">
        <f t="shared" si="98"/>
        <v>0</v>
      </c>
      <c r="CX141" s="2">
        <f t="shared" si="99"/>
        <v>0</v>
      </c>
      <c r="CY141" s="2">
        <f t="shared" si="130"/>
        <v>0</v>
      </c>
      <c r="CZ141" s="2">
        <f t="shared" si="131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1003</v>
      </c>
      <c r="DV141" s="2" t="s">
        <v>229</v>
      </c>
      <c r="DW141" s="2" t="s">
        <v>229</v>
      </c>
      <c r="DX141" s="2">
        <v>1000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60088644</v>
      </c>
      <c r="EF141" s="2">
        <v>202</v>
      </c>
      <c r="EG141" s="2" t="s">
        <v>230</v>
      </c>
      <c r="EH141" s="2">
        <v>0</v>
      </c>
      <c r="EI141" s="2" t="s">
        <v>3</v>
      </c>
      <c r="EJ141" s="2">
        <v>1</v>
      </c>
      <c r="EK141" s="2">
        <v>400002</v>
      </c>
      <c r="EL141" s="2" t="s">
        <v>231</v>
      </c>
      <c r="EM141" s="2" t="s">
        <v>230</v>
      </c>
      <c r="EN141" s="2"/>
      <c r="EO141" s="2" t="s">
        <v>3</v>
      </c>
      <c r="EP141" s="2"/>
      <c r="EQ141" s="2">
        <v>0</v>
      </c>
      <c r="ER141" s="2">
        <v>0</v>
      </c>
      <c r="ES141" s="2">
        <v>2950.05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0</v>
      </c>
      <c r="FY141" s="2">
        <v>0</v>
      </c>
      <c r="FZ141" s="2"/>
      <c r="GA141" s="2" t="s">
        <v>241</v>
      </c>
      <c r="GB141" s="2"/>
      <c r="GC141" s="2"/>
      <c r="GD141" s="2">
        <v>1</v>
      </c>
      <c r="GE141" s="2"/>
      <c r="GF141" s="2">
        <v>-1561409297</v>
      </c>
      <c r="GG141" s="2">
        <v>2</v>
      </c>
      <c r="GH141" s="2">
        <v>4</v>
      </c>
      <c r="GI141" s="2">
        <v>-2</v>
      </c>
      <c r="GJ141" s="2">
        <v>0</v>
      </c>
      <c r="GK141" s="2">
        <v>0</v>
      </c>
      <c r="GL141" s="2">
        <f t="shared" si="100"/>
        <v>0</v>
      </c>
      <c r="GM141" s="2">
        <f t="shared" si="101"/>
        <v>7522.63</v>
      </c>
      <c r="GN141" s="2">
        <f t="shared" si="102"/>
        <v>0</v>
      </c>
      <c r="GO141" s="2">
        <f t="shared" si="103"/>
        <v>7522.63</v>
      </c>
      <c r="GP141" s="2">
        <f t="shared" si="104"/>
        <v>0</v>
      </c>
      <c r="GQ141" s="2"/>
      <c r="GR141" s="2">
        <v>0</v>
      </c>
      <c r="GS141" s="2">
        <v>2</v>
      </c>
      <c r="GT141" s="2">
        <v>0</v>
      </c>
      <c r="GU141" s="2" t="s">
        <v>3</v>
      </c>
      <c r="GV141" s="2">
        <f t="shared" si="105"/>
        <v>0</v>
      </c>
      <c r="GW141" s="2">
        <v>1</v>
      </c>
      <c r="GX141" s="2">
        <f t="shared" si="106"/>
        <v>0</v>
      </c>
      <c r="GY141" s="2"/>
      <c r="GZ141" s="2"/>
      <c r="HA141" s="2">
        <v>0</v>
      </c>
      <c r="HB141" s="2">
        <v>0</v>
      </c>
      <c r="HC141" s="2">
        <f t="shared" si="107"/>
        <v>0</v>
      </c>
      <c r="HD141" s="2"/>
      <c r="HE141" s="2" t="s">
        <v>233</v>
      </c>
      <c r="HF141" s="2" t="s">
        <v>29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3">
        <v>17</v>
      </c>
      <c r="B142" s="3">
        <v>1</v>
      </c>
      <c r="E142" s="3" t="s">
        <v>238</v>
      </c>
      <c r="F142" s="3" t="s">
        <v>239</v>
      </c>
      <c r="G142" s="3" t="s">
        <v>240</v>
      </c>
      <c r="H142" s="3" t="s">
        <v>229</v>
      </c>
      <c r="I142" s="3">
        <f>ROUND((2500*1.02)/1000,9)</f>
        <v>2.5499999999999998</v>
      </c>
      <c r="J142" s="3">
        <v>0</v>
      </c>
      <c r="K142" s="3">
        <f>ROUND((2500*1.02)/1000,9)</f>
        <v>2.5499999999999998</v>
      </c>
      <c r="O142" s="3">
        <f t="shared" si="82"/>
        <v>74323.58</v>
      </c>
      <c r="P142" s="3">
        <f t="shared" si="83"/>
        <v>74323.58</v>
      </c>
      <c r="Q142" s="3">
        <f t="shared" si="119"/>
        <v>0</v>
      </c>
      <c r="R142" s="3">
        <f t="shared" si="120"/>
        <v>0</v>
      </c>
      <c r="S142" s="3">
        <f t="shared" si="84"/>
        <v>0</v>
      </c>
      <c r="T142" s="3">
        <f t="shared" si="85"/>
        <v>0</v>
      </c>
      <c r="U142" s="3">
        <f t="shared" si="86"/>
        <v>0</v>
      </c>
      <c r="V142" s="3">
        <f t="shared" si="87"/>
        <v>0</v>
      </c>
      <c r="W142" s="3">
        <f t="shared" si="88"/>
        <v>0</v>
      </c>
      <c r="X142" s="3">
        <f t="shared" si="121"/>
        <v>0</v>
      </c>
      <c r="Y142" s="3">
        <f t="shared" si="122"/>
        <v>0</v>
      </c>
      <c r="AA142" s="3">
        <v>60258618</v>
      </c>
      <c r="AB142" s="3">
        <f t="shared" si="89"/>
        <v>2950.05</v>
      </c>
      <c r="AC142" s="3">
        <f t="shared" si="90"/>
        <v>2950.05</v>
      </c>
      <c r="AD142" s="3">
        <f t="shared" si="123"/>
        <v>0</v>
      </c>
      <c r="AE142" s="3">
        <f t="shared" si="124"/>
        <v>0</v>
      </c>
      <c r="AF142" s="3">
        <f t="shared" si="125"/>
        <v>0</v>
      </c>
      <c r="AG142" s="3">
        <f t="shared" si="91"/>
        <v>0</v>
      </c>
      <c r="AH142" s="3">
        <f t="shared" si="126"/>
        <v>0</v>
      </c>
      <c r="AI142" s="3">
        <f t="shared" si="127"/>
        <v>0</v>
      </c>
      <c r="AJ142" s="3">
        <f t="shared" si="92"/>
        <v>0</v>
      </c>
      <c r="AK142" s="3">
        <v>2950.05</v>
      </c>
      <c r="AL142" s="3">
        <v>2950.05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1</v>
      </c>
      <c r="AW142" s="3">
        <v>1</v>
      </c>
      <c r="AZ142" s="3">
        <v>1</v>
      </c>
      <c r="BA142" s="3">
        <v>1</v>
      </c>
      <c r="BB142" s="3">
        <v>1</v>
      </c>
      <c r="BC142" s="3">
        <v>9.8800000000000008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3</v>
      </c>
      <c r="BI142" s="3">
        <v>2</v>
      </c>
      <c r="BJ142" s="3" t="s">
        <v>3</v>
      </c>
      <c r="BM142" s="3">
        <v>400002</v>
      </c>
      <c r="BN142" s="3">
        <v>0</v>
      </c>
      <c r="BO142" s="3" t="s">
        <v>3</v>
      </c>
      <c r="BP142" s="3">
        <v>0</v>
      </c>
      <c r="BQ142" s="3">
        <v>202</v>
      </c>
      <c r="BR142" s="3">
        <v>0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0</v>
      </c>
      <c r="CA142" s="3">
        <v>0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3</v>
      </c>
      <c r="CO142" s="3">
        <v>0</v>
      </c>
      <c r="CP142" s="3">
        <f t="shared" si="93"/>
        <v>74323.58</v>
      </c>
      <c r="CQ142" s="3">
        <f t="shared" si="94"/>
        <v>29146.49</v>
      </c>
      <c r="CR142" s="3">
        <f t="shared" si="128"/>
        <v>0</v>
      </c>
      <c r="CS142" s="3">
        <f t="shared" si="129"/>
        <v>0</v>
      </c>
      <c r="CT142" s="3">
        <f t="shared" si="95"/>
        <v>0</v>
      </c>
      <c r="CU142" s="3">
        <f t="shared" si="96"/>
        <v>0</v>
      </c>
      <c r="CV142" s="3">
        <f t="shared" si="97"/>
        <v>0</v>
      </c>
      <c r="CW142" s="3">
        <f t="shared" si="98"/>
        <v>0</v>
      </c>
      <c r="CX142" s="3">
        <f t="shared" si="99"/>
        <v>0</v>
      </c>
      <c r="CY142" s="3">
        <f t="shared" si="130"/>
        <v>0</v>
      </c>
      <c r="CZ142" s="3">
        <f t="shared" si="131"/>
        <v>0</v>
      </c>
      <c r="DC142" s="3" t="s">
        <v>3</v>
      </c>
      <c r="DD142" s="3" t="s">
        <v>3</v>
      </c>
      <c r="DE142" s="3" t="s">
        <v>3</v>
      </c>
      <c r="DF142" s="3" t="s">
        <v>3</v>
      </c>
      <c r="DG142" s="3" t="s">
        <v>3</v>
      </c>
      <c r="DH142" s="3" t="s">
        <v>3</v>
      </c>
      <c r="DI142" s="3" t="s">
        <v>3</v>
      </c>
      <c r="DJ142" s="3" t="s">
        <v>3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1003</v>
      </c>
      <c r="DV142" s="3" t="s">
        <v>229</v>
      </c>
      <c r="DW142" s="3" t="s">
        <v>229</v>
      </c>
      <c r="DX142" s="3">
        <v>1000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60088644</v>
      </c>
      <c r="EF142" s="3">
        <v>202</v>
      </c>
      <c r="EG142" s="3" t="s">
        <v>230</v>
      </c>
      <c r="EH142" s="3">
        <v>0</v>
      </c>
      <c r="EI142" s="3" t="s">
        <v>3</v>
      </c>
      <c r="EJ142" s="3">
        <v>1</v>
      </c>
      <c r="EK142" s="3">
        <v>400002</v>
      </c>
      <c r="EL142" s="3" t="s">
        <v>231</v>
      </c>
      <c r="EM142" s="3" t="s">
        <v>230</v>
      </c>
      <c r="EO142" s="3" t="s">
        <v>3</v>
      </c>
      <c r="EQ142" s="3">
        <v>0</v>
      </c>
      <c r="ER142" s="3">
        <v>0</v>
      </c>
      <c r="ES142" s="3">
        <v>2950.05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5</v>
      </c>
      <c r="FC142" s="3">
        <v>1</v>
      </c>
      <c r="FD142" s="3">
        <v>18</v>
      </c>
      <c r="FF142" s="3">
        <v>34290</v>
      </c>
      <c r="FQ142" s="3">
        <v>0</v>
      </c>
      <c r="FR142" s="3">
        <v>0</v>
      </c>
      <c r="FS142" s="3">
        <v>0</v>
      </c>
      <c r="FX142" s="3">
        <v>0</v>
      </c>
      <c r="FY142" s="3">
        <v>0</v>
      </c>
      <c r="GA142" s="3" t="s">
        <v>241</v>
      </c>
      <c r="GD142" s="3">
        <v>1</v>
      </c>
      <c r="GF142" s="3">
        <v>-1561409297</v>
      </c>
      <c r="GG142" s="3">
        <v>2</v>
      </c>
      <c r="GH142" s="3">
        <v>3</v>
      </c>
      <c r="GI142" s="3">
        <v>5</v>
      </c>
      <c r="GJ142" s="3">
        <v>0</v>
      </c>
      <c r="GK142" s="3">
        <v>0</v>
      </c>
      <c r="GL142" s="3">
        <f t="shared" si="100"/>
        <v>0</v>
      </c>
      <c r="GM142" s="3">
        <f t="shared" si="101"/>
        <v>74323.58</v>
      </c>
      <c r="GN142" s="3">
        <f t="shared" si="102"/>
        <v>0</v>
      </c>
      <c r="GO142" s="3">
        <f t="shared" si="103"/>
        <v>74323.58</v>
      </c>
      <c r="GP142" s="3">
        <f t="shared" si="104"/>
        <v>0</v>
      </c>
      <c r="GR142" s="3">
        <v>1</v>
      </c>
      <c r="GS142" s="3">
        <v>1</v>
      </c>
      <c r="GT142" s="3">
        <v>0</v>
      </c>
      <c r="GU142" s="3" t="s">
        <v>3</v>
      </c>
      <c r="GV142" s="3">
        <f t="shared" si="105"/>
        <v>0</v>
      </c>
      <c r="GW142" s="3">
        <v>1</v>
      </c>
      <c r="GX142" s="3">
        <f t="shared" si="106"/>
        <v>0</v>
      </c>
      <c r="HA142" s="3">
        <v>0</v>
      </c>
      <c r="HB142" s="3">
        <v>0</v>
      </c>
      <c r="HC142" s="3">
        <f t="shared" si="107"/>
        <v>0</v>
      </c>
      <c r="HE142" s="3" t="s">
        <v>233</v>
      </c>
      <c r="HF142" s="3" t="s">
        <v>29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">
      <c r="A143" s="2">
        <v>17</v>
      </c>
      <c r="B143" s="2">
        <v>1</v>
      </c>
      <c r="C143" s="2"/>
      <c r="D143" s="2"/>
      <c r="E143" s="2" t="s">
        <v>242</v>
      </c>
      <c r="F143" s="2" t="s">
        <v>243</v>
      </c>
      <c r="G143" s="2" t="s">
        <v>244</v>
      </c>
      <c r="H143" s="2" t="s">
        <v>229</v>
      </c>
      <c r="I143" s="2">
        <f>ROUND((500*1.02)/1000,9)</f>
        <v>0.51</v>
      </c>
      <c r="J143" s="2">
        <v>0</v>
      </c>
      <c r="K143" s="2">
        <f>ROUND((500*1.02)/1000,9)</f>
        <v>0.51</v>
      </c>
      <c r="L143" s="2"/>
      <c r="M143" s="2"/>
      <c r="N143" s="2"/>
      <c r="O143" s="2">
        <f t="shared" si="82"/>
        <v>4011.63</v>
      </c>
      <c r="P143" s="2">
        <f t="shared" si="83"/>
        <v>4011.63</v>
      </c>
      <c r="Q143" s="2">
        <f t="shared" si="119"/>
        <v>0</v>
      </c>
      <c r="R143" s="2">
        <f t="shared" si="120"/>
        <v>0</v>
      </c>
      <c r="S143" s="2">
        <f t="shared" si="84"/>
        <v>0</v>
      </c>
      <c r="T143" s="2">
        <f t="shared" si="85"/>
        <v>0</v>
      </c>
      <c r="U143" s="2">
        <f t="shared" si="86"/>
        <v>0</v>
      </c>
      <c r="V143" s="2">
        <f t="shared" si="87"/>
        <v>0</v>
      </c>
      <c r="W143" s="2">
        <f t="shared" si="88"/>
        <v>0</v>
      </c>
      <c r="X143" s="2">
        <f t="shared" si="121"/>
        <v>0</v>
      </c>
      <c r="Y143" s="2">
        <f t="shared" si="122"/>
        <v>0</v>
      </c>
      <c r="Z143" s="2"/>
      <c r="AA143" s="2">
        <v>60258621</v>
      </c>
      <c r="AB143" s="2">
        <f t="shared" si="89"/>
        <v>7865.94</v>
      </c>
      <c r="AC143" s="2">
        <f t="shared" si="90"/>
        <v>7865.94</v>
      </c>
      <c r="AD143" s="2">
        <f t="shared" si="123"/>
        <v>0</v>
      </c>
      <c r="AE143" s="2">
        <f t="shared" si="124"/>
        <v>0</v>
      </c>
      <c r="AF143" s="2">
        <f t="shared" si="125"/>
        <v>0</v>
      </c>
      <c r="AG143" s="2">
        <f t="shared" si="91"/>
        <v>0</v>
      </c>
      <c r="AH143" s="2">
        <f t="shared" si="126"/>
        <v>0</v>
      </c>
      <c r="AI143" s="2">
        <f t="shared" si="127"/>
        <v>0</v>
      </c>
      <c r="AJ143" s="2">
        <f t="shared" si="92"/>
        <v>0</v>
      </c>
      <c r="AK143" s="2">
        <v>7865.94</v>
      </c>
      <c r="AL143" s="2">
        <v>7865.94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2</v>
      </c>
      <c r="BJ143" s="2" t="s">
        <v>3</v>
      </c>
      <c r="BK143" s="2"/>
      <c r="BL143" s="2"/>
      <c r="BM143" s="2">
        <v>400002</v>
      </c>
      <c r="BN143" s="2">
        <v>0</v>
      </c>
      <c r="BO143" s="2" t="s">
        <v>3</v>
      </c>
      <c r="BP143" s="2">
        <v>0</v>
      </c>
      <c r="BQ143" s="2">
        <v>202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93"/>
        <v>4011.63</v>
      </c>
      <c r="CQ143" s="2">
        <f t="shared" si="94"/>
        <v>7865.94</v>
      </c>
      <c r="CR143" s="2">
        <f t="shared" si="128"/>
        <v>0</v>
      </c>
      <c r="CS143" s="2">
        <f t="shared" si="129"/>
        <v>0</v>
      </c>
      <c r="CT143" s="2">
        <f t="shared" si="95"/>
        <v>0</v>
      </c>
      <c r="CU143" s="2">
        <f t="shared" si="96"/>
        <v>0</v>
      </c>
      <c r="CV143" s="2">
        <f t="shared" si="97"/>
        <v>0</v>
      </c>
      <c r="CW143" s="2">
        <f t="shared" si="98"/>
        <v>0</v>
      </c>
      <c r="CX143" s="2">
        <f t="shared" si="99"/>
        <v>0</v>
      </c>
      <c r="CY143" s="2">
        <f t="shared" si="130"/>
        <v>0</v>
      </c>
      <c r="CZ143" s="2">
        <f t="shared" si="131"/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1003</v>
      </c>
      <c r="DV143" s="2" t="s">
        <v>229</v>
      </c>
      <c r="DW143" s="2" t="s">
        <v>229</v>
      </c>
      <c r="DX143" s="2">
        <v>1000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60088644</v>
      </c>
      <c r="EF143" s="2">
        <v>202</v>
      </c>
      <c r="EG143" s="2" t="s">
        <v>230</v>
      </c>
      <c r="EH143" s="2">
        <v>0</v>
      </c>
      <c r="EI143" s="2" t="s">
        <v>3</v>
      </c>
      <c r="EJ143" s="2">
        <v>1</v>
      </c>
      <c r="EK143" s="2">
        <v>400002</v>
      </c>
      <c r="EL143" s="2" t="s">
        <v>231</v>
      </c>
      <c r="EM143" s="2" t="s">
        <v>230</v>
      </c>
      <c r="EN143" s="2"/>
      <c r="EO143" s="2" t="s">
        <v>3</v>
      </c>
      <c r="EP143" s="2"/>
      <c r="EQ143" s="2">
        <v>0</v>
      </c>
      <c r="ER143" s="2">
        <v>0</v>
      </c>
      <c r="ES143" s="2">
        <v>7865.94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245</v>
      </c>
      <c r="GB143" s="2"/>
      <c r="GC143" s="2"/>
      <c r="GD143" s="2">
        <v>1</v>
      </c>
      <c r="GE143" s="2"/>
      <c r="GF143" s="2">
        <v>1569574846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00"/>
        <v>0</v>
      </c>
      <c r="GM143" s="2">
        <f t="shared" si="101"/>
        <v>4011.63</v>
      </c>
      <c r="GN143" s="2">
        <f t="shared" si="102"/>
        <v>0</v>
      </c>
      <c r="GO143" s="2">
        <f t="shared" si="103"/>
        <v>4011.63</v>
      </c>
      <c r="GP143" s="2">
        <f t="shared" si="104"/>
        <v>0</v>
      </c>
      <c r="GQ143" s="2"/>
      <c r="GR143" s="2">
        <v>0</v>
      </c>
      <c r="GS143" s="2">
        <v>2</v>
      </c>
      <c r="GT143" s="2">
        <v>0</v>
      </c>
      <c r="GU143" s="2" t="s">
        <v>3</v>
      </c>
      <c r="GV143" s="2">
        <f t="shared" si="105"/>
        <v>0</v>
      </c>
      <c r="GW143" s="2">
        <v>1</v>
      </c>
      <c r="GX143" s="2">
        <f t="shared" si="106"/>
        <v>0</v>
      </c>
      <c r="GY143" s="2"/>
      <c r="GZ143" s="2"/>
      <c r="HA143" s="2">
        <v>0</v>
      </c>
      <c r="HB143" s="2">
        <v>0</v>
      </c>
      <c r="HC143" s="2">
        <f t="shared" si="107"/>
        <v>0</v>
      </c>
      <c r="HD143" s="2"/>
      <c r="HE143" s="2" t="s">
        <v>233</v>
      </c>
      <c r="HF143" s="2" t="s">
        <v>29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3">
        <v>17</v>
      </c>
      <c r="B144" s="3">
        <v>1</v>
      </c>
      <c r="E144" s="3" t="s">
        <v>242</v>
      </c>
      <c r="F144" s="3" t="s">
        <v>243</v>
      </c>
      <c r="G144" s="3" t="s">
        <v>244</v>
      </c>
      <c r="H144" s="3" t="s">
        <v>229</v>
      </c>
      <c r="I144" s="3">
        <f>ROUND((500*1.02)/1000,9)</f>
        <v>0.51</v>
      </c>
      <c r="J144" s="3">
        <v>0</v>
      </c>
      <c r="K144" s="3">
        <f>ROUND((500*1.02)/1000,9)</f>
        <v>0.51</v>
      </c>
      <c r="O144" s="3">
        <f t="shared" si="82"/>
        <v>39634.9</v>
      </c>
      <c r="P144" s="3">
        <f t="shared" si="83"/>
        <v>39634.9</v>
      </c>
      <c r="Q144" s="3">
        <f t="shared" si="119"/>
        <v>0</v>
      </c>
      <c r="R144" s="3">
        <f t="shared" si="120"/>
        <v>0</v>
      </c>
      <c r="S144" s="3">
        <f t="shared" si="84"/>
        <v>0</v>
      </c>
      <c r="T144" s="3">
        <f t="shared" si="85"/>
        <v>0</v>
      </c>
      <c r="U144" s="3">
        <f t="shared" si="86"/>
        <v>0</v>
      </c>
      <c r="V144" s="3">
        <f t="shared" si="87"/>
        <v>0</v>
      </c>
      <c r="W144" s="3">
        <f t="shared" si="88"/>
        <v>0</v>
      </c>
      <c r="X144" s="3">
        <f t="shared" si="121"/>
        <v>0</v>
      </c>
      <c r="Y144" s="3">
        <f t="shared" si="122"/>
        <v>0</v>
      </c>
      <c r="AA144" s="3">
        <v>60258618</v>
      </c>
      <c r="AB144" s="3">
        <f t="shared" si="89"/>
        <v>7865.94</v>
      </c>
      <c r="AC144" s="3">
        <f t="shared" si="90"/>
        <v>7865.94</v>
      </c>
      <c r="AD144" s="3">
        <f t="shared" si="123"/>
        <v>0</v>
      </c>
      <c r="AE144" s="3">
        <f t="shared" si="124"/>
        <v>0</v>
      </c>
      <c r="AF144" s="3">
        <f t="shared" si="125"/>
        <v>0</v>
      </c>
      <c r="AG144" s="3">
        <f t="shared" si="91"/>
        <v>0</v>
      </c>
      <c r="AH144" s="3">
        <f t="shared" si="126"/>
        <v>0</v>
      </c>
      <c r="AI144" s="3">
        <f t="shared" si="127"/>
        <v>0</v>
      </c>
      <c r="AJ144" s="3">
        <f t="shared" si="92"/>
        <v>0</v>
      </c>
      <c r="AK144" s="3">
        <v>7865.94</v>
      </c>
      <c r="AL144" s="3">
        <v>7865.94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9.8800000000000008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2</v>
      </c>
      <c r="BJ144" s="3" t="s">
        <v>3</v>
      </c>
      <c r="BM144" s="3">
        <v>400002</v>
      </c>
      <c r="BN144" s="3">
        <v>0</v>
      </c>
      <c r="BO144" s="3" t="s">
        <v>3</v>
      </c>
      <c r="BP144" s="3">
        <v>0</v>
      </c>
      <c r="BQ144" s="3">
        <v>202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0</v>
      </c>
      <c r="CA144" s="3">
        <v>0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93"/>
        <v>39634.9</v>
      </c>
      <c r="CQ144" s="3">
        <f t="shared" si="94"/>
        <v>77715.490000000005</v>
      </c>
      <c r="CR144" s="3">
        <f t="shared" si="128"/>
        <v>0</v>
      </c>
      <c r="CS144" s="3">
        <f t="shared" si="129"/>
        <v>0</v>
      </c>
      <c r="CT144" s="3">
        <f t="shared" si="95"/>
        <v>0</v>
      </c>
      <c r="CU144" s="3">
        <f t="shared" si="96"/>
        <v>0</v>
      </c>
      <c r="CV144" s="3">
        <f t="shared" si="97"/>
        <v>0</v>
      </c>
      <c r="CW144" s="3">
        <f t="shared" si="98"/>
        <v>0</v>
      </c>
      <c r="CX144" s="3">
        <f t="shared" si="99"/>
        <v>0</v>
      </c>
      <c r="CY144" s="3">
        <f t="shared" si="130"/>
        <v>0</v>
      </c>
      <c r="CZ144" s="3">
        <f t="shared" si="131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1003</v>
      </c>
      <c r="DV144" s="3" t="s">
        <v>229</v>
      </c>
      <c r="DW144" s="3" t="s">
        <v>229</v>
      </c>
      <c r="DX144" s="3">
        <v>1000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60088644</v>
      </c>
      <c r="EF144" s="3">
        <v>202</v>
      </c>
      <c r="EG144" s="3" t="s">
        <v>230</v>
      </c>
      <c r="EH144" s="3">
        <v>0</v>
      </c>
      <c r="EI144" s="3" t="s">
        <v>3</v>
      </c>
      <c r="EJ144" s="3">
        <v>1</v>
      </c>
      <c r="EK144" s="3">
        <v>400002</v>
      </c>
      <c r="EL144" s="3" t="s">
        <v>231</v>
      </c>
      <c r="EM144" s="3" t="s">
        <v>230</v>
      </c>
      <c r="EO144" s="3" t="s">
        <v>3</v>
      </c>
      <c r="EQ144" s="3">
        <v>0</v>
      </c>
      <c r="ER144" s="3">
        <v>7865.94</v>
      </c>
      <c r="ES144" s="3">
        <v>7865.94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5</v>
      </c>
      <c r="FC144" s="3">
        <v>1</v>
      </c>
      <c r="FD144" s="3">
        <v>18</v>
      </c>
      <c r="FF144" s="3">
        <v>91430</v>
      </c>
      <c r="FQ144" s="3">
        <v>0</v>
      </c>
      <c r="FR144" s="3">
        <v>0</v>
      </c>
      <c r="FS144" s="3">
        <v>0</v>
      </c>
      <c r="FX144" s="3">
        <v>0</v>
      </c>
      <c r="FY144" s="3">
        <v>0</v>
      </c>
      <c r="GA144" s="3" t="s">
        <v>245</v>
      </c>
      <c r="GD144" s="3">
        <v>1</v>
      </c>
      <c r="GF144" s="3">
        <v>1569574846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00"/>
        <v>0</v>
      </c>
      <c r="GM144" s="3">
        <f t="shared" si="101"/>
        <v>39634.9</v>
      </c>
      <c r="GN144" s="3">
        <f t="shared" si="102"/>
        <v>0</v>
      </c>
      <c r="GO144" s="3">
        <f t="shared" si="103"/>
        <v>39634.9</v>
      </c>
      <c r="GP144" s="3">
        <f t="shared" si="104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05"/>
        <v>0</v>
      </c>
      <c r="GW144" s="3">
        <v>1</v>
      </c>
      <c r="GX144" s="3">
        <f t="shared" si="106"/>
        <v>0</v>
      </c>
      <c r="HA144" s="3">
        <v>0</v>
      </c>
      <c r="HB144" s="3">
        <v>0</v>
      </c>
      <c r="HC144" s="3">
        <f t="shared" si="107"/>
        <v>0</v>
      </c>
      <c r="HE144" s="3" t="s">
        <v>233</v>
      </c>
      <c r="HF144" s="3" t="s">
        <v>29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246</v>
      </c>
      <c r="F145" s="2" t="s">
        <v>247</v>
      </c>
      <c r="G145" s="2" t="s">
        <v>248</v>
      </c>
      <c r="H145" s="2" t="s">
        <v>249</v>
      </c>
      <c r="I145" s="2">
        <v>2</v>
      </c>
      <c r="J145" s="2">
        <v>0</v>
      </c>
      <c r="K145" s="2">
        <v>2</v>
      </c>
      <c r="L145" s="2"/>
      <c r="M145" s="2"/>
      <c r="N145" s="2"/>
      <c r="O145" s="2">
        <f t="shared" si="82"/>
        <v>31.58</v>
      </c>
      <c r="P145" s="2">
        <f>ROUND((ROUND((AC145*I145),2)*BC145),2)</f>
        <v>31.58</v>
      </c>
      <c r="Q145" s="2">
        <f t="shared" si="119"/>
        <v>0</v>
      </c>
      <c r="R145" s="2">
        <f t="shared" si="120"/>
        <v>0</v>
      </c>
      <c r="S145" s="2">
        <f t="shared" si="84"/>
        <v>0</v>
      </c>
      <c r="T145" s="2">
        <f t="shared" si="85"/>
        <v>0</v>
      </c>
      <c r="U145" s="2">
        <f t="shared" si="86"/>
        <v>0</v>
      </c>
      <c r="V145" s="2">
        <f t="shared" si="87"/>
        <v>0</v>
      </c>
      <c r="W145" s="2">
        <f t="shared" si="88"/>
        <v>0</v>
      </c>
      <c r="X145" s="2">
        <f t="shared" si="121"/>
        <v>0</v>
      </c>
      <c r="Y145" s="2">
        <f t="shared" si="122"/>
        <v>0</v>
      </c>
      <c r="Z145" s="2"/>
      <c r="AA145" s="2">
        <v>60258621</v>
      </c>
      <c r="AB145" s="2">
        <f t="shared" si="89"/>
        <v>15.79</v>
      </c>
      <c r="AC145" s="2">
        <f t="shared" si="90"/>
        <v>15.79</v>
      </c>
      <c r="AD145" s="2">
        <f t="shared" si="123"/>
        <v>0</v>
      </c>
      <c r="AE145" s="2">
        <f t="shared" si="124"/>
        <v>0</v>
      </c>
      <c r="AF145" s="2">
        <f t="shared" si="125"/>
        <v>0</v>
      </c>
      <c r="AG145" s="2">
        <f t="shared" si="91"/>
        <v>0</v>
      </c>
      <c r="AH145" s="2">
        <f t="shared" si="126"/>
        <v>0</v>
      </c>
      <c r="AI145" s="2">
        <f t="shared" si="127"/>
        <v>0</v>
      </c>
      <c r="AJ145" s="2">
        <f t="shared" si="92"/>
        <v>0</v>
      </c>
      <c r="AK145" s="2">
        <v>15.79</v>
      </c>
      <c r="AL145" s="2">
        <v>15.79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3</v>
      </c>
      <c r="BK145" s="2"/>
      <c r="BL145" s="2"/>
      <c r="BM145" s="2">
        <v>746</v>
      </c>
      <c r="BN145" s="2">
        <v>0</v>
      </c>
      <c r="BO145" s="2" t="s">
        <v>3</v>
      </c>
      <c r="BP145" s="2">
        <v>0</v>
      </c>
      <c r="BQ145" s="2">
        <v>130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93"/>
        <v>31.58</v>
      </c>
      <c r="CQ145" s="2">
        <f>ROUND((ROUND((AC145*1),2)*BC145),2)</f>
        <v>15.79</v>
      </c>
      <c r="CR145" s="2">
        <f t="shared" si="128"/>
        <v>0</v>
      </c>
      <c r="CS145" s="2">
        <f t="shared" si="129"/>
        <v>0</v>
      </c>
      <c r="CT145" s="2">
        <f t="shared" si="95"/>
        <v>0</v>
      </c>
      <c r="CU145" s="2">
        <f t="shared" si="96"/>
        <v>0</v>
      </c>
      <c r="CV145" s="2">
        <f t="shared" si="97"/>
        <v>0</v>
      </c>
      <c r="CW145" s="2">
        <f t="shared" si="98"/>
        <v>0</v>
      </c>
      <c r="CX145" s="2">
        <f t="shared" si="99"/>
        <v>0</v>
      </c>
      <c r="CY145" s="2">
        <f t="shared" si="130"/>
        <v>0</v>
      </c>
      <c r="CZ145" s="2">
        <f t="shared" si="131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249</v>
      </c>
      <c r="DW145" s="2" t="s">
        <v>249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60088638</v>
      </c>
      <c r="EF145" s="2">
        <v>130</v>
      </c>
      <c r="EG145" s="2" t="s">
        <v>33</v>
      </c>
      <c r="EH145" s="2">
        <v>0</v>
      </c>
      <c r="EI145" s="2" t="s">
        <v>3</v>
      </c>
      <c r="EJ145" s="2">
        <v>3</v>
      </c>
      <c r="EK145" s="2">
        <v>746</v>
      </c>
      <c r="EL145" s="2" t="s">
        <v>34</v>
      </c>
      <c r="EM145" s="2" t="s">
        <v>35</v>
      </c>
      <c r="EN145" s="2"/>
      <c r="EO145" s="2" t="s">
        <v>3</v>
      </c>
      <c r="EP145" s="2"/>
      <c r="EQ145" s="2">
        <v>0</v>
      </c>
      <c r="ER145" s="2">
        <v>15.79</v>
      </c>
      <c r="ES145" s="2">
        <v>15.79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>P145</f>
        <v>31.58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3</v>
      </c>
      <c r="GB145" s="2"/>
      <c r="GC145" s="2"/>
      <c r="GD145" s="2">
        <v>1</v>
      </c>
      <c r="GE145" s="2"/>
      <c r="GF145" s="2">
        <v>621879152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00"/>
        <v>0</v>
      </c>
      <c r="GM145" s="2">
        <f t="shared" si="101"/>
        <v>31.58</v>
      </c>
      <c r="GN145" s="2">
        <f t="shared" si="102"/>
        <v>0</v>
      </c>
      <c r="GO145" s="2">
        <f t="shared" si="103"/>
        <v>0</v>
      </c>
      <c r="GP145" s="2">
        <f t="shared" si="104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05"/>
        <v>0</v>
      </c>
      <c r="GW145" s="2">
        <v>1</v>
      </c>
      <c r="GX145" s="2">
        <f t="shared" si="106"/>
        <v>0</v>
      </c>
      <c r="GY145" s="2"/>
      <c r="GZ145" s="2"/>
      <c r="HA145" s="2">
        <v>0</v>
      </c>
      <c r="HB145" s="2">
        <v>0</v>
      </c>
      <c r="HC145" s="2">
        <f t="shared" si="107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3">
        <v>17</v>
      </c>
      <c r="B146" s="3">
        <v>1</v>
      </c>
      <c r="E146" s="3" t="s">
        <v>246</v>
      </c>
      <c r="F146" s="3" t="s">
        <v>247</v>
      </c>
      <c r="G146" s="3" t="s">
        <v>248</v>
      </c>
      <c r="H146" s="3" t="s">
        <v>249</v>
      </c>
      <c r="I146" s="3">
        <v>2</v>
      </c>
      <c r="J146" s="3">
        <v>0</v>
      </c>
      <c r="K146" s="3">
        <v>2</v>
      </c>
      <c r="O146" s="3">
        <f t="shared" si="82"/>
        <v>215.69</v>
      </c>
      <c r="P146" s="3">
        <f>ROUND((ROUND((AC146*I146),2)*BC146),2)</f>
        <v>215.69</v>
      </c>
      <c r="Q146" s="3">
        <f t="shared" si="119"/>
        <v>0</v>
      </c>
      <c r="R146" s="3">
        <f t="shared" si="120"/>
        <v>0</v>
      </c>
      <c r="S146" s="3">
        <f t="shared" si="84"/>
        <v>0</v>
      </c>
      <c r="T146" s="3">
        <f t="shared" si="85"/>
        <v>0</v>
      </c>
      <c r="U146" s="3">
        <f t="shared" si="86"/>
        <v>0</v>
      </c>
      <c r="V146" s="3">
        <f t="shared" si="87"/>
        <v>0</v>
      </c>
      <c r="W146" s="3">
        <f t="shared" si="88"/>
        <v>0</v>
      </c>
      <c r="X146" s="3">
        <f t="shared" si="121"/>
        <v>0</v>
      </c>
      <c r="Y146" s="3">
        <f t="shared" si="122"/>
        <v>0</v>
      </c>
      <c r="AA146" s="3">
        <v>60258618</v>
      </c>
      <c r="AB146" s="3">
        <f t="shared" si="89"/>
        <v>15.79</v>
      </c>
      <c r="AC146" s="3">
        <f t="shared" si="90"/>
        <v>15.79</v>
      </c>
      <c r="AD146" s="3">
        <f t="shared" si="123"/>
        <v>0</v>
      </c>
      <c r="AE146" s="3">
        <f t="shared" si="124"/>
        <v>0</v>
      </c>
      <c r="AF146" s="3">
        <f t="shared" si="125"/>
        <v>0</v>
      </c>
      <c r="AG146" s="3">
        <f t="shared" si="91"/>
        <v>0</v>
      </c>
      <c r="AH146" s="3">
        <f t="shared" si="126"/>
        <v>0</v>
      </c>
      <c r="AI146" s="3">
        <f t="shared" si="127"/>
        <v>0</v>
      </c>
      <c r="AJ146" s="3">
        <f t="shared" si="92"/>
        <v>0</v>
      </c>
      <c r="AK146" s="3">
        <v>15.79</v>
      </c>
      <c r="AL146" s="3">
        <v>15.79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6.83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3</v>
      </c>
      <c r="BM146" s="3">
        <v>746</v>
      </c>
      <c r="BN146" s="3">
        <v>0</v>
      </c>
      <c r="BO146" s="3" t="s">
        <v>3</v>
      </c>
      <c r="BP146" s="3">
        <v>0</v>
      </c>
      <c r="BQ146" s="3">
        <v>130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93"/>
        <v>215.69</v>
      </c>
      <c r="CQ146" s="3">
        <f>ROUND((ROUND((AC146*1),2)*BC146),2)</f>
        <v>107.85</v>
      </c>
      <c r="CR146" s="3">
        <f t="shared" si="128"/>
        <v>0</v>
      </c>
      <c r="CS146" s="3">
        <f t="shared" si="129"/>
        <v>0</v>
      </c>
      <c r="CT146" s="3">
        <f t="shared" si="95"/>
        <v>0</v>
      </c>
      <c r="CU146" s="3">
        <f t="shared" si="96"/>
        <v>0</v>
      </c>
      <c r="CV146" s="3">
        <f t="shared" si="97"/>
        <v>0</v>
      </c>
      <c r="CW146" s="3">
        <f t="shared" si="98"/>
        <v>0</v>
      </c>
      <c r="CX146" s="3">
        <f t="shared" si="99"/>
        <v>0</v>
      </c>
      <c r="CY146" s="3">
        <f t="shared" si="130"/>
        <v>0</v>
      </c>
      <c r="CZ146" s="3">
        <f t="shared" si="131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1010</v>
      </c>
      <c r="DV146" s="3" t="s">
        <v>249</v>
      </c>
      <c r="DW146" s="3" t="s">
        <v>249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60088638</v>
      </c>
      <c r="EF146" s="3">
        <v>130</v>
      </c>
      <c r="EG146" s="3" t="s">
        <v>33</v>
      </c>
      <c r="EH146" s="3">
        <v>0</v>
      </c>
      <c r="EI146" s="3" t="s">
        <v>3</v>
      </c>
      <c r="EJ146" s="3">
        <v>3</v>
      </c>
      <c r="EK146" s="3">
        <v>746</v>
      </c>
      <c r="EL146" s="3" t="s">
        <v>34</v>
      </c>
      <c r="EM146" s="3" t="s">
        <v>35</v>
      </c>
      <c r="EO146" s="3" t="s">
        <v>3</v>
      </c>
      <c r="EQ146" s="3">
        <v>0</v>
      </c>
      <c r="ER146" s="3">
        <v>15.79</v>
      </c>
      <c r="ES146" s="3">
        <v>15.79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FQ146" s="3">
        <v>0</v>
      </c>
      <c r="FR146" s="3">
        <f>P146</f>
        <v>215.69</v>
      </c>
      <c r="FS146" s="3">
        <v>0</v>
      </c>
      <c r="FX146" s="3">
        <v>0</v>
      </c>
      <c r="FY146" s="3">
        <v>0</v>
      </c>
      <c r="GA146" s="3" t="s">
        <v>3</v>
      </c>
      <c r="GD146" s="3">
        <v>1</v>
      </c>
      <c r="GF146" s="3">
        <v>621879152</v>
      </c>
      <c r="GG146" s="3">
        <v>2</v>
      </c>
      <c r="GH146" s="3">
        <v>1</v>
      </c>
      <c r="GI146" s="3">
        <v>2</v>
      </c>
      <c r="GJ146" s="3">
        <v>0</v>
      </c>
      <c r="GK146" s="3">
        <v>0</v>
      </c>
      <c r="GL146" s="3">
        <f t="shared" si="100"/>
        <v>0</v>
      </c>
      <c r="GM146" s="3">
        <f t="shared" si="101"/>
        <v>215.69</v>
      </c>
      <c r="GN146" s="3">
        <f t="shared" si="102"/>
        <v>0</v>
      </c>
      <c r="GO146" s="3">
        <f t="shared" si="103"/>
        <v>0</v>
      </c>
      <c r="GP146" s="3">
        <f t="shared" si="104"/>
        <v>0</v>
      </c>
      <c r="GR146" s="3">
        <v>0</v>
      </c>
      <c r="GS146" s="3">
        <v>3</v>
      </c>
      <c r="GT146" s="3">
        <v>0</v>
      </c>
      <c r="GU146" s="3" t="s">
        <v>3</v>
      </c>
      <c r="GV146" s="3">
        <f t="shared" si="105"/>
        <v>0</v>
      </c>
      <c r="GW146" s="3">
        <v>1</v>
      </c>
      <c r="GX146" s="3">
        <f t="shared" si="106"/>
        <v>0</v>
      </c>
      <c r="HA146" s="3">
        <v>0</v>
      </c>
      <c r="HB146" s="3">
        <v>0</v>
      </c>
      <c r="HC146" s="3">
        <f t="shared" si="107"/>
        <v>0</v>
      </c>
      <c r="HE146" s="3" t="s">
        <v>3</v>
      </c>
      <c r="HF146" s="3" t="s">
        <v>3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8" spans="1:255" x14ac:dyDescent="0.2">
      <c r="A148" s="11">
        <v>51</v>
      </c>
      <c r="B148" s="11">
        <f>B123</f>
        <v>1</v>
      </c>
      <c r="C148" s="11">
        <f>A123</f>
        <v>4</v>
      </c>
      <c r="D148" s="11">
        <f>ROW(A123)</f>
        <v>123</v>
      </c>
      <c r="E148" s="11"/>
      <c r="F148" s="11" t="str">
        <f>IF(F123&lt;&gt;"",F123,"")</f>
        <v/>
      </c>
      <c r="G148" s="11" t="str">
        <f>IF(G123&lt;&gt;"",G123,"")</f>
        <v>Кабельные изделия СОТС</v>
      </c>
      <c r="H148" s="11">
        <v>0</v>
      </c>
      <c r="I148" s="11"/>
      <c r="J148" s="11"/>
      <c r="K148" s="11"/>
      <c r="L148" s="11"/>
      <c r="M148" s="11"/>
      <c r="N148" s="11"/>
      <c r="O148" s="11">
        <f t="shared" ref="O148:T148" si="132">ROUND(AB148,2)</f>
        <v>127347.98</v>
      </c>
      <c r="P148" s="11">
        <f t="shared" si="132"/>
        <v>116885.67</v>
      </c>
      <c r="Q148" s="11">
        <f t="shared" si="132"/>
        <v>145.96</v>
      </c>
      <c r="R148" s="11">
        <f t="shared" si="132"/>
        <v>0.69</v>
      </c>
      <c r="S148" s="11">
        <f t="shared" si="132"/>
        <v>10316.35</v>
      </c>
      <c r="T148" s="11">
        <f t="shared" si="132"/>
        <v>0</v>
      </c>
      <c r="U148" s="11">
        <f>AH148</f>
        <v>867.66774600000008</v>
      </c>
      <c r="V148" s="11">
        <f>AI148</f>
        <v>0</v>
      </c>
      <c r="W148" s="11">
        <f>ROUND(AJ148,2)</f>
        <v>0</v>
      </c>
      <c r="X148" s="11">
        <f>ROUND(AK148,2)</f>
        <v>9295.9699999999993</v>
      </c>
      <c r="Y148" s="11">
        <f>ROUND(AL148,2)</f>
        <v>4753.43</v>
      </c>
      <c r="Z148" s="11"/>
      <c r="AA148" s="11"/>
      <c r="AB148" s="11">
        <f>ROUND(SUMIF(AA127:AA146,"=60258621",O127:O146),2)</f>
        <v>127347.98</v>
      </c>
      <c r="AC148" s="11">
        <f>ROUND(SUMIF(AA127:AA146,"=60258621",P127:P146),2)</f>
        <v>116885.67</v>
      </c>
      <c r="AD148" s="11">
        <f>ROUND(SUMIF(AA127:AA146,"=60258621",Q127:Q146),2)</f>
        <v>145.96</v>
      </c>
      <c r="AE148" s="11">
        <f>ROUND(SUMIF(AA127:AA146,"=60258621",R127:R146),2)</f>
        <v>0.69</v>
      </c>
      <c r="AF148" s="11">
        <f>ROUND(SUMIF(AA127:AA146,"=60258621",S127:S146),2)</f>
        <v>10316.35</v>
      </c>
      <c r="AG148" s="11">
        <f>ROUND(SUMIF(AA127:AA146,"=60258621",T127:T146),2)</f>
        <v>0</v>
      </c>
      <c r="AH148" s="11">
        <f>SUMIF(AA127:AA146,"=60258621",U127:U146)</f>
        <v>867.66774600000008</v>
      </c>
      <c r="AI148" s="11">
        <f>SUMIF(AA127:AA146,"=60258621",V127:V146)</f>
        <v>0</v>
      </c>
      <c r="AJ148" s="11">
        <f>ROUND(SUMIF(AA127:AA146,"=60258621",W127:W146),2)</f>
        <v>0</v>
      </c>
      <c r="AK148" s="11">
        <f>ROUND(SUMIF(AA127:AA146,"=60258621",X127:X146),2)</f>
        <v>9295.9699999999993</v>
      </c>
      <c r="AL148" s="11">
        <f>ROUND(SUMIF(AA127:AA146,"=60258621",Y127:Y146),2)</f>
        <v>4753.43</v>
      </c>
      <c r="AM148" s="11"/>
      <c r="AN148" s="11"/>
      <c r="AO148" s="11">
        <f t="shared" ref="AO148:BD148" si="133">ROUND(BX148,2)</f>
        <v>0</v>
      </c>
      <c r="AP148" s="11">
        <f t="shared" si="133"/>
        <v>31.58</v>
      </c>
      <c r="AQ148" s="11">
        <f t="shared" si="133"/>
        <v>0</v>
      </c>
      <c r="AR148" s="11">
        <f t="shared" si="133"/>
        <v>141397.38</v>
      </c>
      <c r="AS148" s="11">
        <f t="shared" si="133"/>
        <v>0</v>
      </c>
      <c r="AT148" s="11">
        <f t="shared" si="133"/>
        <v>141365.79999999999</v>
      </c>
      <c r="AU148" s="11">
        <f t="shared" si="133"/>
        <v>0</v>
      </c>
      <c r="AV148" s="11">
        <f t="shared" si="133"/>
        <v>116885.67</v>
      </c>
      <c r="AW148" s="11">
        <f t="shared" si="133"/>
        <v>116854.09</v>
      </c>
      <c r="AX148" s="11">
        <f t="shared" si="133"/>
        <v>0</v>
      </c>
      <c r="AY148" s="11">
        <f t="shared" si="133"/>
        <v>116854.09</v>
      </c>
      <c r="AZ148" s="11">
        <f t="shared" si="133"/>
        <v>31.58</v>
      </c>
      <c r="BA148" s="11">
        <f t="shared" si="133"/>
        <v>0</v>
      </c>
      <c r="BB148" s="11">
        <f t="shared" si="133"/>
        <v>0</v>
      </c>
      <c r="BC148" s="11">
        <f t="shared" si="133"/>
        <v>0</v>
      </c>
      <c r="BD148" s="11">
        <f t="shared" si="133"/>
        <v>0</v>
      </c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>
        <f>ROUND(SUMIF(AA127:AA146,"=60258621",FQ127:FQ146),2)</f>
        <v>0</v>
      </c>
      <c r="BY148" s="11">
        <f>ROUND(SUMIF(AA127:AA146,"=60258621",FR127:FR146),2)</f>
        <v>31.58</v>
      </c>
      <c r="BZ148" s="11">
        <f>ROUND(SUMIF(AA127:AA146,"=60258621",GL127:GL146),2)</f>
        <v>0</v>
      </c>
      <c r="CA148" s="11">
        <f>ROUND(SUMIF(AA127:AA146,"=60258621",GM127:GM146),2)</f>
        <v>141397.38</v>
      </c>
      <c r="CB148" s="11">
        <f>ROUND(SUMIF(AA127:AA146,"=60258621",GN127:GN146),2)</f>
        <v>0</v>
      </c>
      <c r="CC148" s="11">
        <f>ROUND(SUMIF(AA127:AA146,"=60258621",GO127:GO146),2)</f>
        <v>141365.79999999999</v>
      </c>
      <c r="CD148" s="11">
        <f>ROUND(SUMIF(AA127:AA146,"=60258621",GP127:GP146),2)</f>
        <v>0</v>
      </c>
      <c r="CE148" s="11">
        <f>AC148-BX148</f>
        <v>116885.67</v>
      </c>
      <c r="CF148" s="11">
        <f>AC148-BY148</f>
        <v>116854.09</v>
      </c>
      <c r="CG148" s="11">
        <f>BX148-BZ148</f>
        <v>0</v>
      </c>
      <c r="CH148" s="11">
        <f>AC148-BX148-BY148+BZ148</f>
        <v>116854.09</v>
      </c>
      <c r="CI148" s="11">
        <f>BY148-BZ148</f>
        <v>31.58</v>
      </c>
      <c r="CJ148" s="11">
        <f>ROUND(SUMIF(AA127:AA146,"=60258621",GX127:GX146),2)</f>
        <v>0</v>
      </c>
      <c r="CK148" s="11">
        <f>ROUND(SUMIF(AA127:AA146,"=60258621",GY127:GY146),2)</f>
        <v>0</v>
      </c>
      <c r="CL148" s="11">
        <f>ROUND(SUMIF(AA127:AA146,"=60258621",GZ127:GZ146),2)</f>
        <v>0</v>
      </c>
      <c r="CM148" s="11">
        <f>ROUND(SUMIF(AA127:AA146,"=60258621",HD127:HD146),2)</f>
        <v>0</v>
      </c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2">
        <f t="shared" ref="DG148:DL148" si="134">ROUND(DT148,2)</f>
        <v>1211414.83</v>
      </c>
      <c r="DH148" s="12">
        <f t="shared" si="134"/>
        <v>642810.68999999994</v>
      </c>
      <c r="DI148" s="12">
        <f t="shared" si="134"/>
        <v>1308.05</v>
      </c>
      <c r="DJ148" s="12">
        <f t="shared" si="134"/>
        <v>37.94</v>
      </c>
      <c r="DK148" s="12">
        <f t="shared" si="134"/>
        <v>567296.09</v>
      </c>
      <c r="DL148" s="12">
        <f t="shared" si="134"/>
        <v>0</v>
      </c>
      <c r="DM148" s="12">
        <f>DZ148</f>
        <v>867.66774600000008</v>
      </c>
      <c r="DN148" s="12">
        <f>EA148</f>
        <v>0</v>
      </c>
      <c r="DO148" s="12">
        <f>ROUND(EB148,2)</f>
        <v>0</v>
      </c>
      <c r="DP148" s="12">
        <f>ROUND(EC148,2)</f>
        <v>511184.91</v>
      </c>
      <c r="DQ148" s="12">
        <f>ROUND(ED148,2)</f>
        <v>261391</v>
      </c>
      <c r="DR148" s="12"/>
      <c r="DS148" s="12"/>
      <c r="DT148" s="12">
        <f>ROUND(SUMIF(AA127:AA146,"=60258618",O127:O146),2)</f>
        <v>1211414.83</v>
      </c>
      <c r="DU148" s="12">
        <f>ROUND(SUMIF(AA127:AA146,"=60258618",P127:P146),2)</f>
        <v>642810.68999999994</v>
      </c>
      <c r="DV148" s="12">
        <f>ROUND(SUMIF(AA127:AA146,"=60258618",Q127:Q146),2)</f>
        <v>1308.05</v>
      </c>
      <c r="DW148" s="12">
        <f>ROUND(SUMIF(AA127:AA146,"=60258618",R127:R146),2)</f>
        <v>37.94</v>
      </c>
      <c r="DX148" s="12">
        <f>ROUND(SUMIF(AA127:AA146,"=60258618",S127:S146),2)</f>
        <v>567296.09</v>
      </c>
      <c r="DY148" s="12">
        <f>ROUND(SUMIF(AA127:AA146,"=60258618",T127:T146),2)</f>
        <v>0</v>
      </c>
      <c r="DZ148" s="12">
        <f>SUMIF(AA127:AA146,"=60258618",U127:U146)</f>
        <v>867.66774600000008</v>
      </c>
      <c r="EA148" s="12">
        <f>SUMIF(AA127:AA146,"=60258618",V127:V146)</f>
        <v>0</v>
      </c>
      <c r="EB148" s="12">
        <f>ROUND(SUMIF(AA127:AA146,"=60258618",W127:W146),2)</f>
        <v>0</v>
      </c>
      <c r="EC148" s="12">
        <f>ROUND(SUMIF(AA127:AA146,"=60258618",X127:X146),2)</f>
        <v>511184.91</v>
      </c>
      <c r="ED148" s="12">
        <f>ROUND(SUMIF(AA127:AA146,"=60258618",Y127:Y146),2)</f>
        <v>261391</v>
      </c>
      <c r="EE148" s="12"/>
      <c r="EF148" s="12"/>
      <c r="EG148" s="12">
        <f t="shared" ref="EG148:EV148" si="135">ROUND(FP148,2)</f>
        <v>0</v>
      </c>
      <c r="EH148" s="12">
        <f t="shared" si="135"/>
        <v>215.69</v>
      </c>
      <c r="EI148" s="12">
        <f t="shared" si="135"/>
        <v>0</v>
      </c>
      <c r="EJ148" s="12">
        <f t="shared" si="135"/>
        <v>1983990.74</v>
      </c>
      <c r="EK148" s="12">
        <f t="shared" si="135"/>
        <v>0</v>
      </c>
      <c r="EL148" s="12">
        <f t="shared" si="135"/>
        <v>1983775.05</v>
      </c>
      <c r="EM148" s="12">
        <f t="shared" si="135"/>
        <v>0</v>
      </c>
      <c r="EN148" s="12">
        <f t="shared" si="135"/>
        <v>642810.68999999994</v>
      </c>
      <c r="EO148" s="12">
        <f t="shared" si="135"/>
        <v>642595</v>
      </c>
      <c r="EP148" s="12">
        <f t="shared" si="135"/>
        <v>0</v>
      </c>
      <c r="EQ148" s="12">
        <f t="shared" si="135"/>
        <v>642595</v>
      </c>
      <c r="ER148" s="12">
        <f t="shared" si="135"/>
        <v>215.69</v>
      </c>
      <c r="ES148" s="12">
        <f t="shared" si="135"/>
        <v>0</v>
      </c>
      <c r="ET148" s="12">
        <f t="shared" si="135"/>
        <v>0</v>
      </c>
      <c r="EU148" s="12">
        <f t="shared" si="135"/>
        <v>0</v>
      </c>
      <c r="EV148" s="12">
        <f t="shared" si="135"/>
        <v>0</v>
      </c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>
        <f>ROUND(SUMIF(AA127:AA146,"=60258618",FQ127:FQ146),2)</f>
        <v>0</v>
      </c>
      <c r="FQ148" s="12">
        <f>ROUND(SUMIF(AA127:AA146,"=60258618",FR127:FR146),2)</f>
        <v>215.69</v>
      </c>
      <c r="FR148" s="12">
        <f>ROUND(SUMIF(AA127:AA146,"=60258618",GL127:GL146),2)</f>
        <v>0</v>
      </c>
      <c r="FS148" s="12">
        <f>ROUND(SUMIF(AA127:AA146,"=60258618",GM127:GM146),2)</f>
        <v>1983990.74</v>
      </c>
      <c r="FT148" s="12">
        <f>ROUND(SUMIF(AA127:AA146,"=60258618",GN127:GN146),2)</f>
        <v>0</v>
      </c>
      <c r="FU148" s="12">
        <f>ROUND(SUMIF(AA127:AA146,"=60258618",GO127:GO146),2)</f>
        <v>1983775.05</v>
      </c>
      <c r="FV148" s="12">
        <f>ROUND(SUMIF(AA127:AA146,"=60258618",GP127:GP146),2)</f>
        <v>0</v>
      </c>
      <c r="FW148" s="12">
        <f>DU148-FP148</f>
        <v>642810.68999999994</v>
      </c>
      <c r="FX148" s="12">
        <f>DU148-FQ148</f>
        <v>642595</v>
      </c>
      <c r="FY148" s="12">
        <f>FP148-FR148</f>
        <v>0</v>
      </c>
      <c r="FZ148" s="12">
        <f>DU148-FP148-FQ148+FR148</f>
        <v>642595</v>
      </c>
      <c r="GA148" s="12">
        <f>FQ148-FR148</f>
        <v>215.69</v>
      </c>
      <c r="GB148" s="12">
        <f>ROUND(SUMIF(AA127:AA146,"=60258618",GX127:GX146),2)</f>
        <v>0</v>
      </c>
      <c r="GC148" s="12">
        <f>ROUND(SUMIF(AA127:AA146,"=60258618",GY127:GY146),2)</f>
        <v>0</v>
      </c>
      <c r="GD148" s="12">
        <f>ROUND(SUMIF(AA127:AA146,"=60258618",GZ127:GZ146),2)</f>
        <v>0</v>
      </c>
      <c r="GE148" s="12">
        <f>ROUND(SUMIF(AA127:AA146,"=60258618",HD127:HD146),2)</f>
        <v>0</v>
      </c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>
        <v>0</v>
      </c>
    </row>
    <row r="150" spans="1:255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201</v>
      </c>
      <c r="F150" s="13">
        <f>ROUND(Source!O148,O150)</f>
        <v>127347.98</v>
      </c>
      <c r="G150" s="13" t="s">
        <v>148</v>
      </c>
      <c r="H150" s="13" t="s">
        <v>149</v>
      </c>
      <c r="I150" s="13"/>
      <c r="J150" s="13"/>
      <c r="K150" s="13">
        <v>201</v>
      </c>
      <c r="L150" s="13">
        <v>1</v>
      </c>
      <c r="M150" s="13">
        <v>3</v>
      </c>
      <c r="N150" s="13" t="s">
        <v>3</v>
      </c>
      <c r="O150" s="13">
        <v>2</v>
      </c>
      <c r="P150" s="13">
        <f>ROUND(Source!DG148,O150)</f>
        <v>1211414.83</v>
      </c>
      <c r="Q150" s="13"/>
      <c r="R150" s="13"/>
      <c r="S150" s="13"/>
      <c r="T150" s="13"/>
      <c r="U150" s="13"/>
      <c r="V150" s="13"/>
      <c r="W150" s="13">
        <v>127347.98</v>
      </c>
      <c r="X150" s="13">
        <v>1</v>
      </c>
      <c r="Y150" s="13">
        <v>127347.98</v>
      </c>
      <c r="Z150" s="13">
        <v>1211414.83</v>
      </c>
      <c r="AA150" s="13">
        <v>1</v>
      </c>
      <c r="AB150" s="13">
        <v>1211414.83</v>
      </c>
    </row>
    <row r="151" spans="1:255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202</v>
      </c>
      <c r="F151" s="13">
        <f>ROUND(Source!P148,O151)</f>
        <v>116885.67</v>
      </c>
      <c r="G151" s="13" t="s">
        <v>150</v>
      </c>
      <c r="H151" s="13" t="s">
        <v>151</v>
      </c>
      <c r="I151" s="13"/>
      <c r="J151" s="13"/>
      <c r="K151" s="13">
        <v>202</v>
      </c>
      <c r="L151" s="13">
        <v>2</v>
      </c>
      <c r="M151" s="13">
        <v>3</v>
      </c>
      <c r="N151" s="13" t="s">
        <v>3</v>
      </c>
      <c r="O151" s="13">
        <v>2</v>
      </c>
      <c r="P151" s="13">
        <f>ROUND(Source!DH148,O151)</f>
        <v>642810.68999999994</v>
      </c>
      <c r="Q151" s="13"/>
      <c r="R151" s="13"/>
      <c r="S151" s="13"/>
      <c r="T151" s="13"/>
      <c r="U151" s="13"/>
      <c r="V151" s="13"/>
      <c r="W151" s="13">
        <v>116885.67</v>
      </c>
      <c r="X151" s="13">
        <v>1</v>
      </c>
      <c r="Y151" s="13">
        <v>116885.67</v>
      </c>
      <c r="Z151" s="13">
        <v>642810.68999999994</v>
      </c>
      <c r="AA151" s="13">
        <v>1</v>
      </c>
      <c r="AB151" s="13">
        <v>642810.68999999994</v>
      </c>
    </row>
    <row r="152" spans="1:255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222</v>
      </c>
      <c r="F152" s="13">
        <f>ROUND(Source!AO148,O152)</f>
        <v>0</v>
      </c>
      <c r="G152" s="13" t="s">
        <v>152</v>
      </c>
      <c r="H152" s="13" t="s">
        <v>153</v>
      </c>
      <c r="I152" s="13"/>
      <c r="J152" s="13"/>
      <c r="K152" s="13">
        <v>222</v>
      </c>
      <c r="L152" s="13">
        <v>3</v>
      </c>
      <c r="M152" s="13">
        <v>3</v>
      </c>
      <c r="N152" s="13" t="s">
        <v>3</v>
      </c>
      <c r="O152" s="13">
        <v>2</v>
      </c>
      <c r="P152" s="13">
        <f>ROUND(Source!EG148,O152)</f>
        <v>0</v>
      </c>
      <c r="Q152" s="13"/>
      <c r="R152" s="13"/>
      <c r="S152" s="13"/>
      <c r="T152" s="13"/>
      <c r="U152" s="13"/>
      <c r="V152" s="13"/>
      <c r="W152" s="13">
        <v>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</row>
    <row r="153" spans="1:255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225</v>
      </c>
      <c r="F153" s="13">
        <f>ROUND(Source!AV148,O153)</f>
        <v>116885.67</v>
      </c>
      <c r="G153" s="13" t="s">
        <v>154</v>
      </c>
      <c r="H153" s="13" t="s">
        <v>155</v>
      </c>
      <c r="I153" s="13"/>
      <c r="J153" s="13"/>
      <c r="K153" s="13">
        <v>225</v>
      </c>
      <c r="L153" s="13">
        <v>4</v>
      </c>
      <c r="M153" s="13">
        <v>3</v>
      </c>
      <c r="N153" s="13" t="s">
        <v>3</v>
      </c>
      <c r="O153" s="13">
        <v>2</v>
      </c>
      <c r="P153" s="13">
        <f>ROUND(Source!EN148,O153)</f>
        <v>642810.68999999994</v>
      </c>
      <c r="Q153" s="13"/>
      <c r="R153" s="13"/>
      <c r="S153" s="13"/>
      <c r="T153" s="13"/>
      <c r="U153" s="13"/>
      <c r="V153" s="13"/>
      <c r="W153" s="13">
        <v>116885.67</v>
      </c>
      <c r="X153" s="13">
        <v>1</v>
      </c>
      <c r="Y153" s="13">
        <v>116885.67</v>
      </c>
      <c r="Z153" s="13">
        <v>642810.68999999994</v>
      </c>
      <c r="AA153" s="13">
        <v>1</v>
      </c>
      <c r="AB153" s="13">
        <v>642810.68999999994</v>
      </c>
    </row>
    <row r="154" spans="1:255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226</v>
      </c>
      <c r="F154" s="13">
        <f>ROUND(Source!AW148,O154)</f>
        <v>116854.09</v>
      </c>
      <c r="G154" s="13" t="s">
        <v>156</v>
      </c>
      <c r="H154" s="13" t="s">
        <v>157</v>
      </c>
      <c r="I154" s="13"/>
      <c r="J154" s="13"/>
      <c r="K154" s="13">
        <v>226</v>
      </c>
      <c r="L154" s="13">
        <v>5</v>
      </c>
      <c r="M154" s="13">
        <v>3</v>
      </c>
      <c r="N154" s="13" t="s">
        <v>3</v>
      </c>
      <c r="O154" s="13">
        <v>2</v>
      </c>
      <c r="P154" s="13">
        <f>ROUND(Source!EO148,O154)</f>
        <v>642595</v>
      </c>
      <c r="Q154" s="13"/>
      <c r="R154" s="13"/>
      <c r="S154" s="13"/>
      <c r="T154" s="13"/>
      <c r="U154" s="13"/>
      <c r="V154" s="13"/>
      <c r="W154" s="13">
        <v>116854.09</v>
      </c>
      <c r="X154" s="13">
        <v>1</v>
      </c>
      <c r="Y154" s="13">
        <v>116854.09</v>
      </c>
      <c r="Z154" s="13">
        <v>642595</v>
      </c>
      <c r="AA154" s="13">
        <v>1</v>
      </c>
      <c r="AB154" s="13">
        <v>642595</v>
      </c>
    </row>
    <row r="155" spans="1:255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227</v>
      </c>
      <c r="F155" s="13">
        <f>ROUND(Source!AX148,O155)</f>
        <v>0</v>
      </c>
      <c r="G155" s="13" t="s">
        <v>158</v>
      </c>
      <c r="H155" s="13" t="s">
        <v>159</v>
      </c>
      <c r="I155" s="13"/>
      <c r="J155" s="13"/>
      <c r="K155" s="13">
        <v>227</v>
      </c>
      <c r="L155" s="13">
        <v>6</v>
      </c>
      <c r="M155" s="13">
        <v>3</v>
      </c>
      <c r="N155" s="13" t="s">
        <v>3</v>
      </c>
      <c r="O155" s="13">
        <v>2</v>
      </c>
      <c r="P155" s="13">
        <f>ROUND(Source!EP148,O155)</f>
        <v>0</v>
      </c>
      <c r="Q155" s="13"/>
      <c r="R155" s="13"/>
      <c r="S155" s="13"/>
      <c r="T155" s="13"/>
      <c r="U155" s="13"/>
      <c r="V155" s="13"/>
      <c r="W155" s="13">
        <v>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</row>
    <row r="156" spans="1:255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228</v>
      </c>
      <c r="F156" s="13">
        <f>ROUND(Source!AY148,O156)</f>
        <v>116854.09</v>
      </c>
      <c r="G156" s="13" t="s">
        <v>160</v>
      </c>
      <c r="H156" s="13" t="s">
        <v>161</v>
      </c>
      <c r="I156" s="13"/>
      <c r="J156" s="13"/>
      <c r="K156" s="13">
        <v>228</v>
      </c>
      <c r="L156" s="13">
        <v>7</v>
      </c>
      <c r="M156" s="13">
        <v>3</v>
      </c>
      <c r="N156" s="13" t="s">
        <v>3</v>
      </c>
      <c r="O156" s="13">
        <v>2</v>
      </c>
      <c r="P156" s="13">
        <f>ROUND(Source!EQ148,O156)</f>
        <v>642595</v>
      </c>
      <c r="Q156" s="13"/>
      <c r="R156" s="13"/>
      <c r="S156" s="13"/>
      <c r="T156" s="13"/>
      <c r="U156" s="13"/>
      <c r="V156" s="13"/>
      <c r="W156" s="13">
        <v>116854.09</v>
      </c>
      <c r="X156" s="13">
        <v>1</v>
      </c>
      <c r="Y156" s="13">
        <v>116854.09</v>
      </c>
      <c r="Z156" s="13">
        <v>642595</v>
      </c>
      <c r="AA156" s="13">
        <v>1</v>
      </c>
      <c r="AB156" s="13">
        <v>642595</v>
      </c>
    </row>
    <row r="157" spans="1:255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216</v>
      </c>
      <c r="F157" s="13">
        <f>ROUND(Source!AP148,O157)</f>
        <v>31.58</v>
      </c>
      <c r="G157" s="13" t="s">
        <v>162</v>
      </c>
      <c r="H157" s="13" t="s">
        <v>163</v>
      </c>
      <c r="I157" s="13"/>
      <c r="J157" s="13"/>
      <c r="K157" s="13">
        <v>216</v>
      </c>
      <c r="L157" s="13">
        <v>8</v>
      </c>
      <c r="M157" s="13">
        <v>3</v>
      </c>
      <c r="N157" s="13" t="s">
        <v>3</v>
      </c>
      <c r="O157" s="13">
        <v>2</v>
      </c>
      <c r="P157" s="13">
        <f>ROUND(Source!EH148,O157)</f>
        <v>215.69</v>
      </c>
      <c r="Q157" s="13"/>
      <c r="R157" s="13"/>
      <c r="S157" s="13"/>
      <c r="T157" s="13"/>
      <c r="U157" s="13"/>
      <c r="V157" s="13"/>
      <c r="W157" s="13">
        <v>31.58</v>
      </c>
      <c r="X157" s="13">
        <v>1</v>
      </c>
      <c r="Y157" s="13">
        <v>31.58</v>
      </c>
      <c r="Z157" s="13">
        <v>215.69</v>
      </c>
      <c r="AA157" s="13">
        <v>1</v>
      </c>
      <c r="AB157" s="13">
        <v>215.69</v>
      </c>
    </row>
    <row r="158" spans="1:255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223</v>
      </c>
      <c r="F158" s="13">
        <f>ROUND(Source!AQ148,O158)</f>
        <v>0</v>
      </c>
      <c r="G158" s="13" t="s">
        <v>164</v>
      </c>
      <c r="H158" s="13" t="s">
        <v>165</v>
      </c>
      <c r="I158" s="13"/>
      <c r="J158" s="13"/>
      <c r="K158" s="13">
        <v>223</v>
      </c>
      <c r="L158" s="13">
        <v>9</v>
      </c>
      <c r="M158" s="13">
        <v>3</v>
      </c>
      <c r="N158" s="13" t="s">
        <v>3</v>
      </c>
      <c r="O158" s="13">
        <v>2</v>
      </c>
      <c r="P158" s="13">
        <f>ROUND(Source!EI148,O158)</f>
        <v>0</v>
      </c>
      <c r="Q158" s="13"/>
      <c r="R158" s="13"/>
      <c r="S158" s="13"/>
      <c r="T158" s="13"/>
      <c r="U158" s="13"/>
      <c r="V158" s="13"/>
      <c r="W158" s="13">
        <v>0</v>
      </c>
      <c r="X158" s="13">
        <v>1</v>
      </c>
      <c r="Y158" s="13">
        <v>0</v>
      </c>
      <c r="Z158" s="13">
        <v>0</v>
      </c>
      <c r="AA158" s="13">
        <v>1</v>
      </c>
      <c r="AB158" s="13">
        <v>0</v>
      </c>
    </row>
    <row r="159" spans="1:255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229</v>
      </c>
      <c r="F159" s="13">
        <f>ROUND(Source!AZ148,O159)</f>
        <v>31.58</v>
      </c>
      <c r="G159" s="13" t="s">
        <v>166</v>
      </c>
      <c r="H159" s="13" t="s">
        <v>167</v>
      </c>
      <c r="I159" s="13"/>
      <c r="J159" s="13"/>
      <c r="K159" s="13">
        <v>229</v>
      </c>
      <c r="L159" s="13">
        <v>10</v>
      </c>
      <c r="M159" s="13">
        <v>3</v>
      </c>
      <c r="N159" s="13" t="s">
        <v>3</v>
      </c>
      <c r="O159" s="13">
        <v>2</v>
      </c>
      <c r="P159" s="13">
        <f>ROUND(Source!ER148,O159)</f>
        <v>215.69</v>
      </c>
      <c r="Q159" s="13"/>
      <c r="R159" s="13"/>
      <c r="S159" s="13"/>
      <c r="T159" s="13"/>
      <c r="U159" s="13"/>
      <c r="V159" s="13"/>
      <c r="W159" s="13">
        <v>31.58</v>
      </c>
      <c r="X159" s="13">
        <v>1</v>
      </c>
      <c r="Y159" s="13">
        <v>31.58</v>
      </c>
      <c r="Z159" s="13">
        <v>215.69</v>
      </c>
      <c r="AA159" s="13">
        <v>1</v>
      </c>
      <c r="AB159" s="13">
        <v>215.69</v>
      </c>
    </row>
    <row r="160" spans="1:255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203</v>
      </c>
      <c r="F160" s="13">
        <f>ROUND(Source!Q148,O160)</f>
        <v>145.96</v>
      </c>
      <c r="G160" s="13" t="s">
        <v>168</v>
      </c>
      <c r="H160" s="13" t="s">
        <v>169</v>
      </c>
      <c r="I160" s="13"/>
      <c r="J160" s="13"/>
      <c r="K160" s="13">
        <v>203</v>
      </c>
      <c r="L160" s="13">
        <v>11</v>
      </c>
      <c r="M160" s="13">
        <v>3</v>
      </c>
      <c r="N160" s="13" t="s">
        <v>3</v>
      </c>
      <c r="O160" s="13">
        <v>2</v>
      </c>
      <c r="P160" s="13">
        <f>ROUND(Source!DI148,O160)</f>
        <v>1308.05</v>
      </c>
      <c r="Q160" s="13"/>
      <c r="R160" s="13"/>
      <c r="S160" s="13"/>
      <c r="T160" s="13"/>
      <c r="U160" s="13"/>
      <c r="V160" s="13"/>
      <c r="W160" s="13">
        <v>145.96</v>
      </c>
      <c r="X160" s="13">
        <v>1</v>
      </c>
      <c r="Y160" s="13">
        <v>145.96</v>
      </c>
      <c r="Z160" s="13">
        <v>1308.05</v>
      </c>
      <c r="AA160" s="13">
        <v>1</v>
      </c>
      <c r="AB160" s="13">
        <v>1308.05</v>
      </c>
    </row>
    <row r="161" spans="1:28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231</v>
      </c>
      <c r="F161" s="13">
        <f>ROUND(Source!BB148,O161)</f>
        <v>0</v>
      </c>
      <c r="G161" s="13" t="s">
        <v>170</v>
      </c>
      <c r="H161" s="13" t="s">
        <v>171</v>
      </c>
      <c r="I161" s="13"/>
      <c r="J161" s="13"/>
      <c r="K161" s="13">
        <v>231</v>
      </c>
      <c r="L161" s="13">
        <v>12</v>
      </c>
      <c r="M161" s="13">
        <v>3</v>
      </c>
      <c r="N161" s="13" t="s">
        <v>3</v>
      </c>
      <c r="O161" s="13">
        <v>2</v>
      </c>
      <c r="P161" s="13">
        <f>ROUND(Source!ET148,O161)</f>
        <v>0</v>
      </c>
      <c r="Q161" s="13"/>
      <c r="R161" s="13"/>
      <c r="S161" s="13"/>
      <c r="T161" s="13"/>
      <c r="U161" s="13"/>
      <c r="V161" s="13"/>
      <c r="W161" s="13">
        <v>0</v>
      </c>
      <c r="X161" s="13">
        <v>1</v>
      </c>
      <c r="Y161" s="13">
        <v>0</v>
      </c>
      <c r="Z161" s="13">
        <v>0</v>
      </c>
      <c r="AA161" s="13">
        <v>1</v>
      </c>
      <c r="AB161" s="13">
        <v>0</v>
      </c>
    </row>
    <row r="162" spans="1:28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204</v>
      </c>
      <c r="F162" s="13">
        <f>ROUND(Source!R148,O162)</f>
        <v>0.69</v>
      </c>
      <c r="G162" s="13" t="s">
        <v>172</v>
      </c>
      <c r="H162" s="13" t="s">
        <v>173</v>
      </c>
      <c r="I162" s="13"/>
      <c r="J162" s="13"/>
      <c r="K162" s="13">
        <v>204</v>
      </c>
      <c r="L162" s="13">
        <v>13</v>
      </c>
      <c r="M162" s="13">
        <v>3</v>
      </c>
      <c r="N162" s="13" t="s">
        <v>3</v>
      </c>
      <c r="O162" s="13">
        <v>2</v>
      </c>
      <c r="P162" s="13">
        <f>ROUND(Source!DJ148,O162)</f>
        <v>37.94</v>
      </c>
      <c r="Q162" s="13"/>
      <c r="R162" s="13"/>
      <c r="S162" s="13"/>
      <c r="T162" s="13"/>
      <c r="U162" s="13"/>
      <c r="V162" s="13"/>
      <c r="W162" s="13">
        <v>0.69</v>
      </c>
      <c r="X162" s="13">
        <v>1</v>
      </c>
      <c r="Y162" s="13">
        <v>0.69</v>
      </c>
      <c r="Z162" s="13">
        <v>37.94</v>
      </c>
      <c r="AA162" s="13">
        <v>1</v>
      </c>
      <c r="AB162" s="13">
        <v>37.94</v>
      </c>
    </row>
    <row r="163" spans="1:28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205</v>
      </c>
      <c r="F163" s="13">
        <f>ROUND(Source!S148,O163)</f>
        <v>10316.35</v>
      </c>
      <c r="G163" s="13" t="s">
        <v>174</v>
      </c>
      <c r="H163" s="13" t="s">
        <v>175</v>
      </c>
      <c r="I163" s="13"/>
      <c r="J163" s="13"/>
      <c r="K163" s="13">
        <v>205</v>
      </c>
      <c r="L163" s="13">
        <v>14</v>
      </c>
      <c r="M163" s="13">
        <v>3</v>
      </c>
      <c r="N163" s="13" t="s">
        <v>3</v>
      </c>
      <c r="O163" s="13">
        <v>2</v>
      </c>
      <c r="P163" s="13">
        <f>ROUND(Source!DK148,O163)</f>
        <v>567296.09</v>
      </c>
      <c r="Q163" s="13"/>
      <c r="R163" s="13"/>
      <c r="S163" s="13"/>
      <c r="T163" s="13"/>
      <c r="U163" s="13"/>
      <c r="V163" s="13"/>
      <c r="W163" s="13">
        <v>10316.35</v>
      </c>
      <c r="X163" s="13">
        <v>1</v>
      </c>
      <c r="Y163" s="13">
        <v>10316.35</v>
      </c>
      <c r="Z163" s="13">
        <v>567296.09</v>
      </c>
      <c r="AA163" s="13">
        <v>1</v>
      </c>
      <c r="AB163" s="13">
        <v>567296.09</v>
      </c>
    </row>
    <row r="164" spans="1:28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232</v>
      </c>
      <c r="F164" s="13">
        <f>ROUND(Source!BC148,O164)</f>
        <v>0</v>
      </c>
      <c r="G164" s="13" t="s">
        <v>176</v>
      </c>
      <c r="H164" s="13" t="s">
        <v>177</v>
      </c>
      <c r="I164" s="13"/>
      <c r="J164" s="13"/>
      <c r="K164" s="13">
        <v>232</v>
      </c>
      <c r="L164" s="13">
        <v>15</v>
      </c>
      <c r="M164" s="13">
        <v>3</v>
      </c>
      <c r="N164" s="13" t="s">
        <v>3</v>
      </c>
      <c r="O164" s="13">
        <v>2</v>
      </c>
      <c r="P164" s="13">
        <f>ROUND(Source!EU148,O164)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8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214</v>
      </c>
      <c r="F165" s="13">
        <f>ROUND(Source!AS148,O165)</f>
        <v>0</v>
      </c>
      <c r="G165" s="13" t="s">
        <v>178</v>
      </c>
      <c r="H165" s="13" t="s">
        <v>179</v>
      </c>
      <c r="I165" s="13"/>
      <c r="J165" s="13"/>
      <c r="K165" s="13">
        <v>214</v>
      </c>
      <c r="L165" s="13">
        <v>16</v>
      </c>
      <c r="M165" s="13">
        <v>3</v>
      </c>
      <c r="N165" s="13" t="s">
        <v>3</v>
      </c>
      <c r="O165" s="13">
        <v>2</v>
      </c>
      <c r="P165" s="13">
        <f>ROUND(Source!EK148,O165)</f>
        <v>0</v>
      </c>
      <c r="Q165" s="13"/>
      <c r="R165" s="13"/>
      <c r="S165" s="13"/>
      <c r="T165" s="13"/>
      <c r="U165" s="13"/>
      <c r="V165" s="13"/>
      <c r="W165" s="13">
        <v>0</v>
      </c>
      <c r="X165" s="13">
        <v>1</v>
      </c>
      <c r="Y165" s="13">
        <v>0</v>
      </c>
      <c r="Z165" s="13">
        <v>0</v>
      </c>
      <c r="AA165" s="13">
        <v>1</v>
      </c>
      <c r="AB165" s="13">
        <v>0</v>
      </c>
    </row>
    <row r="166" spans="1:28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215</v>
      </c>
      <c r="F166" s="13">
        <f>ROUND(Source!AT148,O166)</f>
        <v>141365.79999999999</v>
      </c>
      <c r="G166" s="13" t="s">
        <v>180</v>
      </c>
      <c r="H166" s="13" t="s">
        <v>181</v>
      </c>
      <c r="I166" s="13"/>
      <c r="J166" s="13"/>
      <c r="K166" s="13">
        <v>215</v>
      </c>
      <c r="L166" s="13">
        <v>17</v>
      </c>
      <c r="M166" s="13">
        <v>3</v>
      </c>
      <c r="N166" s="13" t="s">
        <v>3</v>
      </c>
      <c r="O166" s="13">
        <v>2</v>
      </c>
      <c r="P166" s="13">
        <f>ROUND(Source!EL148,O166)</f>
        <v>1983775.05</v>
      </c>
      <c r="Q166" s="13"/>
      <c r="R166" s="13"/>
      <c r="S166" s="13"/>
      <c r="T166" s="13"/>
      <c r="U166" s="13"/>
      <c r="V166" s="13"/>
      <c r="W166" s="13">
        <v>141365.79999999999</v>
      </c>
      <c r="X166" s="13">
        <v>1</v>
      </c>
      <c r="Y166" s="13">
        <v>141365.79999999999</v>
      </c>
      <c r="Z166" s="13">
        <v>1983775.05</v>
      </c>
      <c r="AA166" s="13">
        <v>1</v>
      </c>
      <c r="AB166" s="13">
        <v>1983775.05</v>
      </c>
    </row>
    <row r="167" spans="1:28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217</v>
      </c>
      <c r="F167" s="13">
        <f>ROUND(Source!AU148,O167)</f>
        <v>0</v>
      </c>
      <c r="G167" s="13" t="s">
        <v>182</v>
      </c>
      <c r="H167" s="13" t="s">
        <v>183</v>
      </c>
      <c r="I167" s="13"/>
      <c r="J167" s="13"/>
      <c r="K167" s="13">
        <v>217</v>
      </c>
      <c r="L167" s="13">
        <v>18</v>
      </c>
      <c r="M167" s="13">
        <v>3</v>
      </c>
      <c r="N167" s="13" t="s">
        <v>3</v>
      </c>
      <c r="O167" s="13">
        <v>2</v>
      </c>
      <c r="P167" s="13">
        <f>ROUND(Source!EM148,O167)</f>
        <v>0</v>
      </c>
      <c r="Q167" s="13"/>
      <c r="R167" s="13"/>
      <c r="S167" s="13"/>
      <c r="T167" s="13"/>
      <c r="U167" s="13"/>
      <c r="V167" s="13"/>
      <c r="W167" s="13">
        <v>0</v>
      </c>
      <c r="X167" s="13">
        <v>1</v>
      </c>
      <c r="Y167" s="13">
        <v>0</v>
      </c>
      <c r="Z167" s="13">
        <v>0</v>
      </c>
      <c r="AA167" s="13">
        <v>1</v>
      </c>
      <c r="AB167" s="13">
        <v>0</v>
      </c>
    </row>
    <row r="168" spans="1:28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230</v>
      </c>
      <c r="F168" s="13">
        <f>ROUND(Source!BA148,O168)</f>
        <v>0</v>
      </c>
      <c r="G168" s="13" t="s">
        <v>184</v>
      </c>
      <c r="H168" s="13" t="s">
        <v>185</v>
      </c>
      <c r="I168" s="13"/>
      <c r="J168" s="13"/>
      <c r="K168" s="13">
        <v>230</v>
      </c>
      <c r="L168" s="13">
        <v>19</v>
      </c>
      <c r="M168" s="13">
        <v>3</v>
      </c>
      <c r="N168" s="13" t="s">
        <v>3</v>
      </c>
      <c r="O168" s="13">
        <v>2</v>
      </c>
      <c r="P168" s="13">
        <f>ROUND(Source!ES148,O168)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8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206</v>
      </c>
      <c r="F169" s="13">
        <f>ROUND(Source!T148,O169)</f>
        <v>0</v>
      </c>
      <c r="G169" s="13" t="s">
        <v>186</v>
      </c>
      <c r="H169" s="13" t="s">
        <v>187</v>
      </c>
      <c r="I169" s="13"/>
      <c r="J169" s="13"/>
      <c r="K169" s="13">
        <v>206</v>
      </c>
      <c r="L169" s="13">
        <v>20</v>
      </c>
      <c r="M169" s="13">
        <v>3</v>
      </c>
      <c r="N169" s="13" t="s">
        <v>3</v>
      </c>
      <c r="O169" s="13">
        <v>2</v>
      </c>
      <c r="P169" s="13">
        <f>ROUND(Source!DL148,O169)</f>
        <v>0</v>
      </c>
      <c r="Q169" s="13"/>
      <c r="R169" s="13"/>
      <c r="S169" s="13"/>
      <c r="T169" s="13"/>
      <c r="U169" s="13"/>
      <c r="V169" s="13"/>
      <c r="W169" s="13">
        <v>0</v>
      </c>
      <c r="X169" s="13">
        <v>1</v>
      </c>
      <c r="Y169" s="13">
        <v>0</v>
      </c>
      <c r="Z169" s="13">
        <v>0</v>
      </c>
      <c r="AA169" s="13">
        <v>1</v>
      </c>
      <c r="AB169" s="13">
        <v>0</v>
      </c>
    </row>
    <row r="170" spans="1:28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207</v>
      </c>
      <c r="F170" s="13">
        <f>Source!U148</f>
        <v>867.66774600000008</v>
      </c>
      <c r="G170" s="13" t="s">
        <v>188</v>
      </c>
      <c r="H170" s="13" t="s">
        <v>189</v>
      </c>
      <c r="I170" s="13"/>
      <c r="J170" s="13"/>
      <c r="K170" s="13">
        <v>207</v>
      </c>
      <c r="L170" s="13">
        <v>21</v>
      </c>
      <c r="M170" s="13">
        <v>3</v>
      </c>
      <c r="N170" s="13" t="s">
        <v>3</v>
      </c>
      <c r="O170" s="13">
        <v>-1</v>
      </c>
      <c r="P170" s="13">
        <f>Source!DM148</f>
        <v>867.66774600000008</v>
      </c>
      <c r="Q170" s="13"/>
      <c r="R170" s="13"/>
      <c r="S170" s="13"/>
      <c r="T170" s="13"/>
      <c r="U170" s="13"/>
      <c r="V170" s="13"/>
      <c r="W170" s="13">
        <v>867.66774599999997</v>
      </c>
      <c r="X170" s="13">
        <v>1</v>
      </c>
      <c r="Y170" s="13">
        <v>867.66774599999997</v>
      </c>
      <c r="Z170" s="13">
        <v>867.66774599999997</v>
      </c>
      <c r="AA170" s="13">
        <v>1</v>
      </c>
      <c r="AB170" s="13">
        <v>867.66774599999997</v>
      </c>
    </row>
    <row r="171" spans="1:28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208</v>
      </c>
      <c r="F171" s="13">
        <f>Source!V148</f>
        <v>0</v>
      </c>
      <c r="G171" s="13" t="s">
        <v>190</v>
      </c>
      <c r="H171" s="13" t="s">
        <v>191</v>
      </c>
      <c r="I171" s="13"/>
      <c r="J171" s="13"/>
      <c r="K171" s="13">
        <v>208</v>
      </c>
      <c r="L171" s="13">
        <v>22</v>
      </c>
      <c r="M171" s="13">
        <v>3</v>
      </c>
      <c r="N171" s="13" t="s">
        <v>3</v>
      </c>
      <c r="O171" s="13">
        <v>-1</v>
      </c>
      <c r="P171" s="13">
        <f>Source!DN148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8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209</v>
      </c>
      <c r="F172" s="13">
        <f>ROUND(Source!W148,O172)</f>
        <v>0</v>
      </c>
      <c r="G172" s="13" t="s">
        <v>192</v>
      </c>
      <c r="H172" s="13" t="s">
        <v>193</v>
      </c>
      <c r="I172" s="13"/>
      <c r="J172" s="13"/>
      <c r="K172" s="13">
        <v>209</v>
      </c>
      <c r="L172" s="13">
        <v>23</v>
      </c>
      <c r="M172" s="13">
        <v>3</v>
      </c>
      <c r="N172" s="13" t="s">
        <v>3</v>
      </c>
      <c r="O172" s="13">
        <v>2</v>
      </c>
      <c r="P172" s="13">
        <f>ROUND(Source!DO148,O172)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8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233</v>
      </c>
      <c r="F173" s="13">
        <f>ROUND(Source!BD148,O173)</f>
        <v>0</v>
      </c>
      <c r="G173" s="13" t="s">
        <v>194</v>
      </c>
      <c r="H173" s="13" t="s">
        <v>195</v>
      </c>
      <c r="I173" s="13"/>
      <c r="J173" s="13"/>
      <c r="K173" s="13">
        <v>233</v>
      </c>
      <c r="L173" s="13">
        <v>24</v>
      </c>
      <c r="M173" s="13">
        <v>3</v>
      </c>
      <c r="N173" s="13" t="s">
        <v>3</v>
      </c>
      <c r="O173" s="13">
        <v>2</v>
      </c>
      <c r="P173" s="13">
        <f>ROUND(Source!EV148,O173)</f>
        <v>0</v>
      </c>
      <c r="Q173" s="13"/>
      <c r="R173" s="13"/>
      <c r="S173" s="13"/>
      <c r="T173" s="13"/>
      <c r="U173" s="13"/>
      <c r="V173" s="13"/>
      <c r="W173" s="13">
        <v>0</v>
      </c>
      <c r="X173" s="13">
        <v>1</v>
      </c>
      <c r="Y173" s="13">
        <v>0</v>
      </c>
      <c r="Z173" s="13">
        <v>0</v>
      </c>
      <c r="AA173" s="13">
        <v>1</v>
      </c>
      <c r="AB173" s="13">
        <v>0</v>
      </c>
    </row>
    <row r="174" spans="1:28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210</v>
      </c>
      <c r="F174" s="13">
        <f>ROUND(Source!X148,O174)</f>
        <v>9295.9699999999993</v>
      </c>
      <c r="G174" s="13" t="s">
        <v>196</v>
      </c>
      <c r="H174" s="13" t="s">
        <v>197</v>
      </c>
      <c r="I174" s="13"/>
      <c r="J174" s="13"/>
      <c r="K174" s="13">
        <v>210</v>
      </c>
      <c r="L174" s="13">
        <v>25</v>
      </c>
      <c r="M174" s="13">
        <v>3</v>
      </c>
      <c r="N174" s="13" t="s">
        <v>3</v>
      </c>
      <c r="O174" s="13">
        <v>2</v>
      </c>
      <c r="P174" s="13">
        <f>ROUND(Source!DP148,O174)</f>
        <v>511184.91</v>
      </c>
      <c r="Q174" s="13"/>
      <c r="R174" s="13"/>
      <c r="S174" s="13"/>
      <c r="T174" s="13"/>
      <c r="U174" s="13"/>
      <c r="V174" s="13"/>
      <c r="W174" s="13">
        <v>9295.9699999999993</v>
      </c>
      <c r="X174" s="13">
        <v>1</v>
      </c>
      <c r="Y174" s="13">
        <v>9295.9699999999993</v>
      </c>
      <c r="Z174" s="13">
        <v>511184.91</v>
      </c>
      <c r="AA174" s="13">
        <v>1</v>
      </c>
      <c r="AB174" s="13">
        <v>511184.91</v>
      </c>
    </row>
    <row r="175" spans="1:28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211</v>
      </c>
      <c r="F175" s="13">
        <f>ROUND(Source!Y148,O175)</f>
        <v>4753.43</v>
      </c>
      <c r="G175" s="13" t="s">
        <v>198</v>
      </c>
      <c r="H175" s="13" t="s">
        <v>199</v>
      </c>
      <c r="I175" s="13"/>
      <c r="J175" s="13"/>
      <c r="K175" s="13">
        <v>211</v>
      </c>
      <c r="L175" s="13">
        <v>26</v>
      </c>
      <c r="M175" s="13">
        <v>3</v>
      </c>
      <c r="N175" s="13" t="s">
        <v>3</v>
      </c>
      <c r="O175" s="13">
        <v>2</v>
      </c>
      <c r="P175" s="13">
        <f>ROUND(Source!DQ148,O175)</f>
        <v>261391</v>
      </c>
      <c r="Q175" s="13"/>
      <c r="R175" s="13"/>
      <c r="S175" s="13"/>
      <c r="T175" s="13"/>
      <c r="U175" s="13"/>
      <c r="V175" s="13"/>
      <c r="W175" s="13">
        <v>4753.43</v>
      </c>
      <c r="X175" s="13">
        <v>1</v>
      </c>
      <c r="Y175" s="13">
        <v>4753.43</v>
      </c>
      <c r="Z175" s="13">
        <v>261391</v>
      </c>
      <c r="AA175" s="13">
        <v>1</v>
      </c>
      <c r="AB175" s="13">
        <v>261391</v>
      </c>
    </row>
    <row r="176" spans="1:28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224</v>
      </c>
      <c r="F176" s="13">
        <f>ROUND(Source!AR148,O176)</f>
        <v>141397.38</v>
      </c>
      <c r="G176" s="13" t="s">
        <v>200</v>
      </c>
      <c r="H176" s="13" t="s">
        <v>201</v>
      </c>
      <c r="I176" s="13"/>
      <c r="J176" s="13"/>
      <c r="K176" s="13">
        <v>224</v>
      </c>
      <c r="L176" s="13">
        <v>27</v>
      </c>
      <c r="M176" s="13">
        <v>3</v>
      </c>
      <c r="N176" s="13" t="s">
        <v>3</v>
      </c>
      <c r="O176" s="13">
        <v>2</v>
      </c>
      <c r="P176" s="13">
        <f>ROUND(Source!EJ148,O176)</f>
        <v>1983990.74</v>
      </c>
      <c r="Q176" s="13"/>
      <c r="R176" s="13"/>
      <c r="S176" s="13"/>
      <c r="T176" s="13"/>
      <c r="U176" s="13"/>
      <c r="V176" s="13"/>
      <c r="W176" s="13">
        <v>141397.38</v>
      </c>
      <c r="X176" s="13">
        <v>1</v>
      </c>
      <c r="Y176" s="13">
        <v>141397.38</v>
      </c>
      <c r="Z176" s="13">
        <v>1983990.74</v>
      </c>
      <c r="AA176" s="13">
        <v>1</v>
      </c>
      <c r="AB176" s="13">
        <v>1983990.74</v>
      </c>
    </row>
    <row r="178" spans="1:206" x14ac:dyDescent="0.2">
      <c r="A178" s="11">
        <v>51</v>
      </c>
      <c r="B178" s="11">
        <f>B20</f>
        <v>1</v>
      </c>
      <c r="C178" s="11">
        <f>A20</f>
        <v>3</v>
      </c>
      <c r="D178" s="11">
        <f>ROW(A20)</f>
        <v>20</v>
      </c>
      <c r="E178" s="11"/>
      <c r="F178" s="11" t="str">
        <f>IF(F20&lt;&gt;"",F20,"")</f>
        <v>02-01-16</v>
      </c>
      <c r="G178" s="11" t="str">
        <f>IF(G20&lt;&gt;"",G20,"")</f>
        <v>Система охранно-тревожной сигнализации</v>
      </c>
      <c r="H178" s="11">
        <v>0</v>
      </c>
      <c r="I178" s="11"/>
      <c r="J178" s="11"/>
      <c r="K178" s="11"/>
      <c r="L178" s="11"/>
      <c r="M178" s="11"/>
      <c r="N178" s="11"/>
      <c r="O178" s="11">
        <f t="shared" ref="O178:T178" si="136">ROUND(O93+O148+AB178,2)</f>
        <v>199157.65</v>
      </c>
      <c r="P178" s="11">
        <f t="shared" si="136"/>
        <v>183960.62</v>
      </c>
      <c r="Q178" s="11">
        <f t="shared" si="136"/>
        <v>149.36000000000001</v>
      </c>
      <c r="R178" s="11">
        <f t="shared" si="136"/>
        <v>1.01</v>
      </c>
      <c r="S178" s="11">
        <f t="shared" si="136"/>
        <v>15047.67</v>
      </c>
      <c r="T178" s="11">
        <f t="shared" si="136"/>
        <v>0</v>
      </c>
      <c r="U178" s="11">
        <f>U93+U148+AH178</f>
        <v>1234.4919123900002</v>
      </c>
      <c r="V178" s="11">
        <f>V93+V148+AI178</f>
        <v>0</v>
      </c>
      <c r="W178" s="11">
        <f>ROUND(W93+W148+AJ178,2)</f>
        <v>0</v>
      </c>
      <c r="X178" s="11">
        <f>ROUND(X93+X148+AK178,2)</f>
        <v>13566.59</v>
      </c>
      <c r="Y178" s="11">
        <f>ROUND(Y93+Y148+AL178,2)</f>
        <v>6946.38</v>
      </c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>
        <f t="shared" ref="AO178:BD178" si="137">ROUND(AO93+AO148+BX178,2)</f>
        <v>0</v>
      </c>
      <c r="AP178" s="11">
        <f t="shared" si="137"/>
        <v>66780.09</v>
      </c>
      <c r="AQ178" s="11">
        <f t="shared" si="137"/>
        <v>0</v>
      </c>
      <c r="AR178" s="11">
        <f t="shared" si="137"/>
        <v>219670.62</v>
      </c>
      <c r="AS178" s="11">
        <f t="shared" si="137"/>
        <v>0</v>
      </c>
      <c r="AT178" s="11">
        <f t="shared" si="137"/>
        <v>152890.53</v>
      </c>
      <c r="AU178" s="11">
        <f t="shared" si="137"/>
        <v>0</v>
      </c>
      <c r="AV178" s="11">
        <f t="shared" si="137"/>
        <v>183960.62</v>
      </c>
      <c r="AW178" s="11">
        <f t="shared" si="137"/>
        <v>117180.53</v>
      </c>
      <c r="AX178" s="11">
        <f t="shared" si="137"/>
        <v>0</v>
      </c>
      <c r="AY178" s="11">
        <f t="shared" si="137"/>
        <v>117180.53</v>
      </c>
      <c r="AZ178" s="11">
        <f t="shared" si="137"/>
        <v>66780.09</v>
      </c>
      <c r="BA178" s="11">
        <f t="shared" si="137"/>
        <v>0</v>
      </c>
      <c r="BB178" s="11">
        <f t="shared" si="137"/>
        <v>0</v>
      </c>
      <c r="BC178" s="11">
        <f t="shared" si="137"/>
        <v>0</v>
      </c>
      <c r="BD178" s="11">
        <f t="shared" si="137"/>
        <v>0</v>
      </c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2">
        <f t="shared" ref="DG178:DL178" si="138">ROUND(DG93+DG148+DT178,2)</f>
        <v>1986215.7</v>
      </c>
      <c r="DH178" s="12">
        <f t="shared" si="138"/>
        <v>1157387.79</v>
      </c>
      <c r="DI178" s="12">
        <f t="shared" si="138"/>
        <v>1356.55</v>
      </c>
      <c r="DJ178" s="12">
        <f t="shared" si="138"/>
        <v>55.54</v>
      </c>
      <c r="DK178" s="12">
        <f t="shared" si="138"/>
        <v>827471.35999999999</v>
      </c>
      <c r="DL178" s="12">
        <f t="shared" si="138"/>
        <v>0</v>
      </c>
      <c r="DM178" s="12">
        <f>DM93+DM148+DZ178</f>
        <v>1234.4919123900002</v>
      </c>
      <c r="DN178" s="12">
        <f>DN93+DN148+EA178</f>
        <v>0</v>
      </c>
      <c r="DO178" s="12">
        <f>ROUND(DO93+DO148+EB178,2)</f>
        <v>0</v>
      </c>
      <c r="DP178" s="12">
        <f>ROUND(DP93+DP148+EC178,2)</f>
        <v>746026.41</v>
      </c>
      <c r="DQ178" s="12">
        <f>ROUND(DQ93+DQ148+ED178,2)</f>
        <v>381980.95</v>
      </c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>
        <f t="shared" ref="EG178:EV178" si="139">ROUND(EG93+EG148+FP178,2)</f>
        <v>0</v>
      </c>
      <c r="EH178" s="12">
        <f t="shared" si="139"/>
        <v>511509.3</v>
      </c>
      <c r="EI178" s="12">
        <f t="shared" si="139"/>
        <v>0</v>
      </c>
      <c r="EJ178" s="12">
        <f t="shared" si="139"/>
        <v>3114223.06</v>
      </c>
      <c r="EK178" s="12">
        <f t="shared" si="139"/>
        <v>0</v>
      </c>
      <c r="EL178" s="12">
        <f t="shared" si="139"/>
        <v>2602713.7599999998</v>
      </c>
      <c r="EM178" s="12">
        <f t="shared" si="139"/>
        <v>0</v>
      </c>
      <c r="EN178" s="12">
        <f t="shared" si="139"/>
        <v>1157387.79</v>
      </c>
      <c r="EO178" s="12">
        <f t="shared" si="139"/>
        <v>645878.49</v>
      </c>
      <c r="EP178" s="12">
        <f t="shared" si="139"/>
        <v>0</v>
      </c>
      <c r="EQ178" s="12">
        <f t="shared" si="139"/>
        <v>645878.49</v>
      </c>
      <c r="ER178" s="12">
        <f t="shared" si="139"/>
        <v>511509.3</v>
      </c>
      <c r="ES178" s="12">
        <f t="shared" si="139"/>
        <v>0</v>
      </c>
      <c r="ET178" s="12">
        <f t="shared" si="139"/>
        <v>0</v>
      </c>
      <c r="EU178" s="12">
        <f t="shared" si="139"/>
        <v>0</v>
      </c>
      <c r="EV178" s="12">
        <f t="shared" si="139"/>
        <v>0</v>
      </c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>
        <v>0</v>
      </c>
    </row>
    <row r="180" spans="1:206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201</v>
      </c>
      <c r="F180" s="13">
        <f>ROUND(Source!O178,O180)</f>
        <v>199157.65</v>
      </c>
      <c r="G180" s="13" t="s">
        <v>148</v>
      </c>
      <c r="H180" s="13" t="s">
        <v>149</v>
      </c>
      <c r="I180" s="13"/>
      <c r="J180" s="13"/>
      <c r="K180" s="13">
        <v>201</v>
      </c>
      <c r="L180" s="13">
        <v>1</v>
      </c>
      <c r="M180" s="13">
        <v>3</v>
      </c>
      <c r="N180" s="13" t="s">
        <v>3</v>
      </c>
      <c r="O180" s="13">
        <v>2</v>
      </c>
      <c r="P180" s="13">
        <f>ROUND(Source!DG178,O180)</f>
        <v>1986215.7</v>
      </c>
      <c r="Q180" s="13"/>
      <c r="R180" s="13"/>
      <c r="S180" s="13"/>
      <c r="T180" s="13"/>
      <c r="U180" s="13"/>
      <c r="V180" s="13"/>
      <c r="W180" s="13">
        <v>199157.65</v>
      </c>
      <c r="X180" s="13">
        <v>1</v>
      </c>
      <c r="Y180" s="13">
        <v>199157.65</v>
      </c>
      <c r="Z180" s="13">
        <v>1986215.7</v>
      </c>
      <c r="AA180" s="13">
        <v>1</v>
      </c>
      <c r="AB180" s="13">
        <v>1986215.7</v>
      </c>
    </row>
    <row r="181" spans="1:206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202</v>
      </c>
      <c r="F181" s="13">
        <f>ROUND(Source!P178,O181)</f>
        <v>183960.62</v>
      </c>
      <c r="G181" s="13" t="s">
        <v>150</v>
      </c>
      <c r="H181" s="13" t="s">
        <v>151</v>
      </c>
      <c r="I181" s="13"/>
      <c r="J181" s="13"/>
      <c r="K181" s="13">
        <v>202</v>
      </c>
      <c r="L181" s="13">
        <v>2</v>
      </c>
      <c r="M181" s="13">
        <v>3</v>
      </c>
      <c r="N181" s="13" t="s">
        <v>3</v>
      </c>
      <c r="O181" s="13">
        <v>2</v>
      </c>
      <c r="P181" s="13">
        <f>ROUND(Source!DH178,O181)</f>
        <v>1157387.79</v>
      </c>
      <c r="Q181" s="13"/>
      <c r="R181" s="13"/>
      <c r="S181" s="13"/>
      <c r="T181" s="13"/>
      <c r="U181" s="13"/>
      <c r="V181" s="13"/>
      <c r="W181" s="13">
        <v>183960.62</v>
      </c>
      <c r="X181" s="13">
        <v>1</v>
      </c>
      <c r="Y181" s="13">
        <v>183960.62</v>
      </c>
      <c r="Z181" s="13">
        <v>1157387.79</v>
      </c>
      <c r="AA181" s="13">
        <v>1</v>
      </c>
      <c r="AB181" s="13">
        <v>1157387.79</v>
      </c>
    </row>
    <row r="182" spans="1:206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222</v>
      </c>
      <c r="F182" s="13">
        <f>ROUND(Source!AO178,O182)</f>
        <v>0</v>
      </c>
      <c r="G182" s="13" t="s">
        <v>152</v>
      </c>
      <c r="H182" s="13" t="s">
        <v>153</v>
      </c>
      <c r="I182" s="13"/>
      <c r="J182" s="13"/>
      <c r="K182" s="13">
        <v>222</v>
      </c>
      <c r="L182" s="13">
        <v>3</v>
      </c>
      <c r="M182" s="13">
        <v>3</v>
      </c>
      <c r="N182" s="13" t="s">
        <v>3</v>
      </c>
      <c r="O182" s="13">
        <v>2</v>
      </c>
      <c r="P182" s="13">
        <f>ROUND(Source!EG178,O182)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06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225</v>
      </c>
      <c r="F183" s="13">
        <f>ROUND(Source!AV178,O183)</f>
        <v>183960.62</v>
      </c>
      <c r="G183" s="13" t="s">
        <v>154</v>
      </c>
      <c r="H183" s="13" t="s">
        <v>155</v>
      </c>
      <c r="I183" s="13"/>
      <c r="J183" s="13"/>
      <c r="K183" s="13">
        <v>225</v>
      </c>
      <c r="L183" s="13">
        <v>4</v>
      </c>
      <c r="M183" s="13">
        <v>3</v>
      </c>
      <c r="N183" s="13" t="s">
        <v>3</v>
      </c>
      <c r="O183" s="13">
        <v>2</v>
      </c>
      <c r="P183" s="13">
        <f>ROUND(Source!EN178,O183)</f>
        <v>1157387.79</v>
      </c>
      <c r="Q183" s="13"/>
      <c r="R183" s="13"/>
      <c r="S183" s="13"/>
      <c r="T183" s="13"/>
      <c r="U183" s="13"/>
      <c r="V183" s="13"/>
      <c r="W183" s="13">
        <v>183960.62</v>
      </c>
      <c r="X183" s="13">
        <v>1</v>
      </c>
      <c r="Y183" s="13">
        <v>183960.62</v>
      </c>
      <c r="Z183" s="13">
        <v>1157387.79</v>
      </c>
      <c r="AA183" s="13">
        <v>1</v>
      </c>
      <c r="AB183" s="13">
        <v>1157387.79</v>
      </c>
    </row>
    <row r="184" spans="1:206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226</v>
      </c>
      <c r="F184" s="13">
        <f>ROUND(Source!AW178,O184)</f>
        <v>117180.53</v>
      </c>
      <c r="G184" s="13" t="s">
        <v>156</v>
      </c>
      <c r="H184" s="13" t="s">
        <v>157</v>
      </c>
      <c r="I184" s="13"/>
      <c r="J184" s="13"/>
      <c r="K184" s="13">
        <v>226</v>
      </c>
      <c r="L184" s="13">
        <v>5</v>
      </c>
      <c r="M184" s="13">
        <v>3</v>
      </c>
      <c r="N184" s="13" t="s">
        <v>3</v>
      </c>
      <c r="O184" s="13">
        <v>2</v>
      </c>
      <c r="P184" s="13">
        <f>ROUND(Source!EO178,O184)</f>
        <v>645878.49</v>
      </c>
      <c r="Q184" s="13"/>
      <c r="R184" s="13"/>
      <c r="S184" s="13"/>
      <c r="T184" s="13"/>
      <c r="U184" s="13"/>
      <c r="V184" s="13"/>
      <c r="W184" s="13">
        <v>117180.53</v>
      </c>
      <c r="X184" s="13">
        <v>1</v>
      </c>
      <c r="Y184" s="13">
        <v>117180.53</v>
      </c>
      <c r="Z184" s="13">
        <v>645878.49</v>
      </c>
      <c r="AA184" s="13">
        <v>1</v>
      </c>
      <c r="AB184" s="13">
        <v>645878.49</v>
      </c>
    </row>
    <row r="185" spans="1:206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227</v>
      </c>
      <c r="F185" s="13">
        <f>ROUND(Source!AX178,O185)</f>
        <v>0</v>
      </c>
      <c r="G185" s="13" t="s">
        <v>158</v>
      </c>
      <c r="H185" s="13" t="s">
        <v>159</v>
      </c>
      <c r="I185" s="13"/>
      <c r="J185" s="13"/>
      <c r="K185" s="13">
        <v>227</v>
      </c>
      <c r="L185" s="13">
        <v>6</v>
      </c>
      <c r="M185" s="13">
        <v>3</v>
      </c>
      <c r="N185" s="13" t="s">
        <v>3</v>
      </c>
      <c r="O185" s="13">
        <v>2</v>
      </c>
      <c r="P185" s="13">
        <f>ROUND(Source!EP178,O185)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06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228</v>
      </c>
      <c r="F186" s="13">
        <f>ROUND(Source!AY178,O186)</f>
        <v>117180.53</v>
      </c>
      <c r="G186" s="13" t="s">
        <v>160</v>
      </c>
      <c r="H186" s="13" t="s">
        <v>161</v>
      </c>
      <c r="I186" s="13"/>
      <c r="J186" s="13"/>
      <c r="K186" s="13">
        <v>228</v>
      </c>
      <c r="L186" s="13">
        <v>7</v>
      </c>
      <c r="M186" s="13">
        <v>3</v>
      </c>
      <c r="N186" s="13" t="s">
        <v>3</v>
      </c>
      <c r="O186" s="13">
        <v>2</v>
      </c>
      <c r="P186" s="13">
        <f>ROUND(Source!EQ178,O186)</f>
        <v>645878.49</v>
      </c>
      <c r="Q186" s="13"/>
      <c r="R186" s="13"/>
      <c r="S186" s="13"/>
      <c r="T186" s="13"/>
      <c r="U186" s="13"/>
      <c r="V186" s="13"/>
      <c r="W186" s="13">
        <v>117180.53</v>
      </c>
      <c r="X186" s="13">
        <v>1</v>
      </c>
      <c r="Y186" s="13">
        <v>117180.53</v>
      </c>
      <c r="Z186" s="13">
        <v>645878.49</v>
      </c>
      <c r="AA186" s="13">
        <v>1</v>
      </c>
      <c r="AB186" s="13">
        <v>645878.49</v>
      </c>
    </row>
    <row r="187" spans="1:206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216</v>
      </c>
      <c r="F187" s="13">
        <f>ROUND(Source!AP178,O187)</f>
        <v>66780.09</v>
      </c>
      <c r="G187" s="13" t="s">
        <v>162</v>
      </c>
      <c r="H187" s="13" t="s">
        <v>163</v>
      </c>
      <c r="I187" s="13"/>
      <c r="J187" s="13"/>
      <c r="K187" s="13">
        <v>216</v>
      </c>
      <c r="L187" s="13">
        <v>8</v>
      </c>
      <c r="M187" s="13">
        <v>3</v>
      </c>
      <c r="N187" s="13" t="s">
        <v>3</v>
      </c>
      <c r="O187" s="13">
        <v>2</v>
      </c>
      <c r="P187" s="13">
        <f>ROUND(Source!EH178,O187)</f>
        <v>511509.3</v>
      </c>
      <c r="Q187" s="13"/>
      <c r="R187" s="13"/>
      <c r="S187" s="13"/>
      <c r="T187" s="13"/>
      <c r="U187" s="13"/>
      <c r="V187" s="13"/>
      <c r="W187" s="13">
        <v>66780.09</v>
      </c>
      <c r="X187" s="13">
        <v>1</v>
      </c>
      <c r="Y187" s="13">
        <v>66780.09</v>
      </c>
      <c r="Z187" s="13">
        <v>511509.3</v>
      </c>
      <c r="AA187" s="13">
        <v>1</v>
      </c>
      <c r="AB187" s="13">
        <v>511509.3</v>
      </c>
    </row>
    <row r="188" spans="1:206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223</v>
      </c>
      <c r="F188" s="13">
        <f>ROUND(Source!AQ178,O188)</f>
        <v>0</v>
      </c>
      <c r="G188" s="13" t="s">
        <v>164</v>
      </c>
      <c r="H188" s="13" t="s">
        <v>165</v>
      </c>
      <c r="I188" s="13"/>
      <c r="J188" s="13"/>
      <c r="K188" s="13">
        <v>223</v>
      </c>
      <c r="L188" s="13">
        <v>9</v>
      </c>
      <c r="M188" s="13">
        <v>3</v>
      </c>
      <c r="N188" s="13" t="s">
        <v>3</v>
      </c>
      <c r="O188" s="13">
        <v>2</v>
      </c>
      <c r="P188" s="13">
        <f>ROUND(Source!EI178,O188)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06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229</v>
      </c>
      <c r="F189" s="13">
        <f>ROUND(Source!AZ178,O189)</f>
        <v>66780.09</v>
      </c>
      <c r="G189" s="13" t="s">
        <v>166</v>
      </c>
      <c r="H189" s="13" t="s">
        <v>167</v>
      </c>
      <c r="I189" s="13"/>
      <c r="J189" s="13"/>
      <c r="K189" s="13">
        <v>229</v>
      </c>
      <c r="L189" s="13">
        <v>10</v>
      </c>
      <c r="M189" s="13">
        <v>3</v>
      </c>
      <c r="N189" s="13" t="s">
        <v>3</v>
      </c>
      <c r="O189" s="13">
        <v>2</v>
      </c>
      <c r="P189" s="13">
        <f>ROUND(Source!ER178,O189)</f>
        <v>511509.3</v>
      </c>
      <c r="Q189" s="13"/>
      <c r="R189" s="13"/>
      <c r="S189" s="13"/>
      <c r="T189" s="13"/>
      <c r="U189" s="13"/>
      <c r="V189" s="13"/>
      <c r="W189" s="13">
        <v>66780.09</v>
      </c>
      <c r="X189" s="13">
        <v>1</v>
      </c>
      <c r="Y189" s="13">
        <v>66780.09</v>
      </c>
      <c r="Z189" s="13">
        <v>511509.3</v>
      </c>
      <c r="AA189" s="13">
        <v>1</v>
      </c>
      <c r="AB189" s="13">
        <v>511509.3</v>
      </c>
    </row>
    <row r="190" spans="1:206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203</v>
      </c>
      <c r="F190" s="13">
        <f>ROUND(Source!Q178,O190)</f>
        <v>149.36000000000001</v>
      </c>
      <c r="G190" s="13" t="s">
        <v>168</v>
      </c>
      <c r="H190" s="13" t="s">
        <v>169</v>
      </c>
      <c r="I190" s="13"/>
      <c r="J190" s="13"/>
      <c r="K190" s="13">
        <v>203</v>
      </c>
      <c r="L190" s="13">
        <v>11</v>
      </c>
      <c r="M190" s="13">
        <v>3</v>
      </c>
      <c r="N190" s="13" t="s">
        <v>3</v>
      </c>
      <c r="O190" s="13">
        <v>2</v>
      </c>
      <c r="P190" s="13">
        <f>ROUND(Source!DI178,O190)</f>
        <v>1356.55</v>
      </c>
      <c r="Q190" s="13"/>
      <c r="R190" s="13"/>
      <c r="S190" s="13"/>
      <c r="T190" s="13"/>
      <c r="U190" s="13"/>
      <c r="V190" s="13"/>
      <c r="W190" s="13">
        <v>149.36000000000001</v>
      </c>
      <c r="X190" s="13">
        <v>1</v>
      </c>
      <c r="Y190" s="13">
        <v>149.36000000000001</v>
      </c>
      <c r="Z190" s="13">
        <v>1356.55</v>
      </c>
      <c r="AA190" s="13">
        <v>1</v>
      </c>
      <c r="AB190" s="13">
        <v>1356.55</v>
      </c>
    </row>
    <row r="191" spans="1:206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231</v>
      </c>
      <c r="F191" s="13">
        <f>ROUND(Source!BB178,O191)</f>
        <v>0</v>
      </c>
      <c r="G191" s="13" t="s">
        <v>170</v>
      </c>
      <c r="H191" s="13" t="s">
        <v>171</v>
      </c>
      <c r="I191" s="13"/>
      <c r="J191" s="13"/>
      <c r="K191" s="13">
        <v>231</v>
      </c>
      <c r="L191" s="13">
        <v>12</v>
      </c>
      <c r="M191" s="13">
        <v>3</v>
      </c>
      <c r="N191" s="13" t="s">
        <v>3</v>
      </c>
      <c r="O191" s="13">
        <v>2</v>
      </c>
      <c r="P191" s="13">
        <f>ROUND(Source!ET178,O191)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06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204</v>
      </c>
      <c r="F192" s="13">
        <f>ROUND(Source!R178,O192)</f>
        <v>1.01</v>
      </c>
      <c r="G192" s="13" t="s">
        <v>172</v>
      </c>
      <c r="H192" s="13" t="s">
        <v>173</v>
      </c>
      <c r="I192" s="13"/>
      <c r="J192" s="13"/>
      <c r="K192" s="13">
        <v>204</v>
      </c>
      <c r="L192" s="13">
        <v>13</v>
      </c>
      <c r="M192" s="13">
        <v>3</v>
      </c>
      <c r="N192" s="13" t="s">
        <v>3</v>
      </c>
      <c r="O192" s="13">
        <v>2</v>
      </c>
      <c r="P192" s="13">
        <f>ROUND(Source!DJ178,O192)</f>
        <v>55.54</v>
      </c>
      <c r="Q192" s="13"/>
      <c r="R192" s="13"/>
      <c r="S192" s="13"/>
      <c r="T192" s="13"/>
      <c r="U192" s="13"/>
      <c r="V192" s="13"/>
      <c r="W192" s="13">
        <v>1.01</v>
      </c>
      <c r="X192" s="13">
        <v>1</v>
      </c>
      <c r="Y192" s="13">
        <v>1.01</v>
      </c>
      <c r="Z192" s="13">
        <v>55.54</v>
      </c>
      <c r="AA192" s="13">
        <v>1</v>
      </c>
      <c r="AB192" s="13">
        <v>55.54</v>
      </c>
    </row>
    <row r="193" spans="1:206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205</v>
      </c>
      <c r="F193" s="13">
        <f>ROUND(Source!S178,O193)</f>
        <v>15047.67</v>
      </c>
      <c r="G193" s="13" t="s">
        <v>174</v>
      </c>
      <c r="H193" s="13" t="s">
        <v>175</v>
      </c>
      <c r="I193" s="13"/>
      <c r="J193" s="13"/>
      <c r="K193" s="13">
        <v>205</v>
      </c>
      <c r="L193" s="13">
        <v>14</v>
      </c>
      <c r="M193" s="13">
        <v>3</v>
      </c>
      <c r="N193" s="13" t="s">
        <v>3</v>
      </c>
      <c r="O193" s="13">
        <v>2</v>
      </c>
      <c r="P193" s="13">
        <f>ROUND(Source!DK178,O193)</f>
        <v>827471.35999999999</v>
      </c>
      <c r="Q193" s="13"/>
      <c r="R193" s="13"/>
      <c r="S193" s="13"/>
      <c r="T193" s="13"/>
      <c r="U193" s="13"/>
      <c r="V193" s="13"/>
      <c r="W193" s="13">
        <v>15047.67</v>
      </c>
      <c r="X193" s="13">
        <v>1</v>
      </c>
      <c r="Y193" s="13">
        <v>15047.67</v>
      </c>
      <c r="Z193" s="13">
        <v>827471.35999999999</v>
      </c>
      <c r="AA193" s="13">
        <v>1</v>
      </c>
      <c r="AB193" s="13">
        <v>827471.35999999999</v>
      </c>
    </row>
    <row r="194" spans="1:206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232</v>
      </c>
      <c r="F194" s="13">
        <f>ROUND(Source!BC178,O194)</f>
        <v>0</v>
      </c>
      <c r="G194" s="13" t="s">
        <v>176</v>
      </c>
      <c r="H194" s="13" t="s">
        <v>177</v>
      </c>
      <c r="I194" s="13"/>
      <c r="J194" s="13"/>
      <c r="K194" s="13">
        <v>232</v>
      </c>
      <c r="L194" s="13">
        <v>15</v>
      </c>
      <c r="M194" s="13">
        <v>3</v>
      </c>
      <c r="N194" s="13" t="s">
        <v>3</v>
      </c>
      <c r="O194" s="13">
        <v>2</v>
      </c>
      <c r="P194" s="13">
        <f>ROUND(Source!EU178,O194)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06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214</v>
      </c>
      <c r="F195" s="13">
        <f>ROUND(Source!AS178,O195)</f>
        <v>0</v>
      </c>
      <c r="G195" s="13" t="s">
        <v>178</v>
      </c>
      <c r="H195" s="13" t="s">
        <v>179</v>
      </c>
      <c r="I195" s="13"/>
      <c r="J195" s="13"/>
      <c r="K195" s="13">
        <v>214</v>
      </c>
      <c r="L195" s="13">
        <v>16</v>
      </c>
      <c r="M195" s="13">
        <v>3</v>
      </c>
      <c r="N195" s="13" t="s">
        <v>3</v>
      </c>
      <c r="O195" s="13">
        <v>2</v>
      </c>
      <c r="P195" s="13">
        <f>ROUND(Source!EK178,O195)</f>
        <v>0</v>
      </c>
      <c r="Q195" s="13"/>
      <c r="R195" s="13"/>
      <c r="S195" s="13"/>
      <c r="T195" s="13"/>
      <c r="U195" s="13"/>
      <c r="V195" s="13"/>
      <c r="W195" s="13">
        <v>0</v>
      </c>
      <c r="X195" s="13">
        <v>1</v>
      </c>
      <c r="Y195" s="13">
        <v>0</v>
      </c>
      <c r="Z195" s="13">
        <v>0</v>
      </c>
      <c r="AA195" s="13">
        <v>1</v>
      </c>
      <c r="AB195" s="13">
        <v>0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215</v>
      </c>
      <c r="F196" s="13">
        <f>ROUND(Source!AT178,O196)</f>
        <v>152890.53</v>
      </c>
      <c r="G196" s="13" t="s">
        <v>180</v>
      </c>
      <c r="H196" s="13" t="s">
        <v>181</v>
      </c>
      <c r="I196" s="13"/>
      <c r="J196" s="13"/>
      <c r="K196" s="13">
        <v>215</v>
      </c>
      <c r="L196" s="13">
        <v>17</v>
      </c>
      <c r="M196" s="13">
        <v>3</v>
      </c>
      <c r="N196" s="13" t="s">
        <v>3</v>
      </c>
      <c r="O196" s="13">
        <v>2</v>
      </c>
      <c r="P196" s="13">
        <f>ROUND(Source!EL178,O196)</f>
        <v>2602713.7599999998</v>
      </c>
      <c r="Q196" s="13"/>
      <c r="R196" s="13"/>
      <c r="S196" s="13"/>
      <c r="T196" s="13"/>
      <c r="U196" s="13"/>
      <c r="V196" s="13"/>
      <c r="W196" s="13">
        <v>152890.53</v>
      </c>
      <c r="X196" s="13">
        <v>1</v>
      </c>
      <c r="Y196" s="13">
        <v>152890.53</v>
      </c>
      <c r="Z196" s="13">
        <v>2602713.7599999998</v>
      </c>
      <c r="AA196" s="13">
        <v>1</v>
      </c>
      <c r="AB196" s="13">
        <v>2602713.7599999998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217</v>
      </c>
      <c r="F197" s="13">
        <f>ROUND(Source!AU178,O197)</f>
        <v>0</v>
      </c>
      <c r="G197" s="13" t="s">
        <v>182</v>
      </c>
      <c r="H197" s="13" t="s">
        <v>183</v>
      </c>
      <c r="I197" s="13"/>
      <c r="J197" s="13"/>
      <c r="K197" s="13">
        <v>217</v>
      </c>
      <c r="L197" s="13">
        <v>18</v>
      </c>
      <c r="M197" s="13">
        <v>3</v>
      </c>
      <c r="N197" s="13" t="s">
        <v>3</v>
      </c>
      <c r="O197" s="13">
        <v>2</v>
      </c>
      <c r="P197" s="13">
        <f>ROUND(Source!EM178,O197)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230</v>
      </c>
      <c r="F198" s="13">
        <f>ROUND(Source!BA178,O198)</f>
        <v>0</v>
      </c>
      <c r="G198" s="13" t="s">
        <v>184</v>
      </c>
      <c r="H198" s="13" t="s">
        <v>185</v>
      </c>
      <c r="I198" s="13"/>
      <c r="J198" s="13"/>
      <c r="K198" s="13">
        <v>230</v>
      </c>
      <c r="L198" s="13">
        <v>19</v>
      </c>
      <c r="M198" s="13">
        <v>3</v>
      </c>
      <c r="N198" s="13" t="s">
        <v>3</v>
      </c>
      <c r="O198" s="13">
        <v>2</v>
      </c>
      <c r="P198" s="13">
        <f>ROUND(Source!ES178,O198)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206</v>
      </c>
      <c r="F199" s="13">
        <f>ROUND(Source!T178,O199)</f>
        <v>0</v>
      </c>
      <c r="G199" s="13" t="s">
        <v>186</v>
      </c>
      <c r="H199" s="13" t="s">
        <v>187</v>
      </c>
      <c r="I199" s="13"/>
      <c r="J199" s="13"/>
      <c r="K199" s="13">
        <v>206</v>
      </c>
      <c r="L199" s="13">
        <v>20</v>
      </c>
      <c r="M199" s="13">
        <v>3</v>
      </c>
      <c r="N199" s="13" t="s">
        <v>3</v>
      </c>
      <c r="O199" s="13">
        <v>2</v>
      </c>
      <c r="P199" s="13">
        <f>ROUND(Source!DL178,O199)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207</v>
      </c>
      <c r="F200" s="13">
        <f>Source!U178</f>
        <v>1234.4919123900002</v>
      </c>
      <c r="G200" s="13" t="s">
        <v>188</v>
      </c>
      <c r="H200" s="13" t="s">
        <v>189</v>
      </c>
      <c r="I200" s="13"/>
      <c r="J200" s="13"/>
      <c r="K200" s="13">
        <v>207</v>
      </c>
      <c r="L200" s="13">
        <v>21</v>
      </c>
      <c r="M200" s="13">
        <v>3</v>
      </c>
      <c r="N200" s="13" t="s">
        <v>3</v>
      </c>
      <c r="O200" s="13">
        <v>-1</v>
      </c>
      <c r="P200" s="13">
        <f>Source!DM178</f>
        <v>1234.4919123900002</v>
      </c>
      <c r="Q200" s="13"/>
      <c r="R200" s="13"/>
      <c r="S200" s="13"/>
      <c r="T200" s="13"/>
      <c r="U200" s="13"/>
      <c r="V200" s="13"/>
      <c r="W200" s="13">
        <v>1234.4919123899999</v>
      </c>
      <c r="X200" s="13">
        <v>1</v>
      </c>
      <c r="Y200" s="13">
        <v>1234.4919123899999</v>
      </c>
      <c r="Z200" s="13">
        <v>1234.4919123899999</v>
      </c>
      <c r="AA200" s="13">
        <v>1</v>
      </c>
      <c r="AB200" s="13">
        <v>1234.4919123899999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208</v>
      </c>
      <c r="F201" s="13">
        <f>Source!V178</f>
        <v>0</v>
      </c>
      <c r="G201" s="13" t="s">
        <v>190</v>
      </c>
      <c r="H201" s="13" t="s">
        <v>191</v>
      </c>
      <c r="I201" s="13"/>
      <c r="J201" s="13"/>
      <c r="K201" s="13">
        <v>208</v>
      </c>
      <c r="L201" s="13">
        <v>22</v>
      </c>
      <c r="M201" s="13">
        <v>3</v>
      </c>
      <c r="N201" s="13" t="s">
        <v>3</v>
      </c>
      <c r="O201" s="13">
        <v>-1</v>
      </c>
      <c r="P201" s="13">
        <f>Source!DN178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209</v>
      </c>
      <c r="F202" s="13">
        <f>ROUND(Source!W178,O202)</f>
        <v>0</v>
      </c>
      <c r="G202" s="13" t="s">
        <v>192</v>
      </c>
      <c r="H202" s="13" t="s">
        <v>193</v>
      </c>
      <c r="I202" s="13"/>
      <c r="J202" s="13"/>
      <c r="K202" s="13">
        <v>209</v>
      </c>
      <c r="L202" s="13">
        <v>23</v>
      </c>
      <c r="M202" s="13">
        <v>3</v>
      </c>
      <c r="N202" s="13" t="s">
        <v>3</v>
      </c>
      <c r="O202" s="13">
        <v>2</v>
      </c>
      <c r="P202" s="13">
        <f>ROUND(Source!DO178,O202)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233</v>
      </c>
      <c r="F203" s="13">
        <f>ROUND(Source!BD178,O203)</f>
        <v>0</v>
      </c>
      <c r="G203" s="13" t="s">
        <v>194</v>
      </c>
      <c r="H203" s="13" t="s">
        <v>195</v>
      </c>
      <c r="I203" s="13"/>
      <c r="J203" s="13"/>
      <c r="K203" s="13">
        <v>233</v>
      </c>
      <c r="L203" s="13">
        <v>24</v>
      </c>
      <c r="M203" s="13">
        <v>3</v>
      </c>
      <c r="N203" s="13" t="s">
        <v>3</v>
      </c>
      <c r="O203" s="13">
        <v>2</v>
      </c>
      <c r="P203" s="13">
        <f>ROUND(Source!EV178,O203)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06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210</v>
      </c>
      <c r="F204" s="13">
        <f>ROUND(Source!X178,O204)</f>
        <v>13566.59</v>
      </c>
      <c r="G204" s="13" t="s">
        <v>196</v>
      </c>
      <c r="H204" s="13" t="s">
        <v>197</v>
      </c>
      <c r="I204" s="13"/>
      <c r="J204" s="13"/>
      <c r="K204" s="13">
        <v>210</v>
      </c>
      <c r="L204" s="13">
        <v>25</v>
      </c>
      <c r="M204" s="13">
        <v>3</v>
      </c>
      <c r="N204" s="13" t="s">
        <v>3</v>
      </c>
      <c r="O204" s="13">
        <v>2</v>
      </c>
      <c r="P204" s="13">
        <f>ROUND(Source!DP178,O204)</f>
        <v>746026.41</v>
      </c>
      <c r="Q204" s="13"/>
      <c r="R204" s="13"/>
      <c r="S204" s="13"/>
      <c r="T204" s="13"/>
      <c r="U204" s="13"/>
      <c r="V204" s="13"/>
      <c r="W204" s="13">
        <v>13566.59</v>
      </c>
      <c r="X204" s="13">
        <v>1</v>
      </c>
      <c r="Y204" s="13">
        <v>13566.59</v>
      </c>
      <c r="Z204" s="13">
        <v>746026.41</v>
      </c>
      <c r="AA204" s="13">
        <v>1</v>
      </c>
      <c r="AB204" s="13">
        <v>746026.41</v>
      </c>
    </row>
    <row r="205" spans="1:206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211</v>
      </c>
      <c r="F205" s="13">
        <f>ROUND(Source!Y178,O205)</f>
        <v>6946.38</v>
      </c>
      <c r="G205" s="13" t="s">
        <v>198</v>
      </c>
      <c r="H205" s="13" t="s">
        <v>199</v>
      </c>
      <c r="I205" s="13"/>
      <c r="J205" s="13"/>
      <c r="K205" s="13">
        <v>211</v>
      </c>
      <c r="L205" s="13">
        <v>26</v>
      </c>
      <c r="M205" s="13">
        <v>3</v>
      </c>
      <c r="N205" s="13" t="s">
        <v>3</v>
      </c>
      <c r="O205" s="13">
        <v>2</v>
      </c>
      <c r="P205" s="13">
        <f>ROUND(Source!DQ178,O205)</f>
        <v>381980.95</v>
      </c>
      <c r="Q205" s="13"/>
      <c r="R205" s="13"/>
      <c r="S205" s="13"/>
      <c r="T205" s="13"/>
      <c r="U205" s="13"/>
      <c r="V205" s="13"/>
      <c r="W205" s="13">
        <v>6946.38</v>
      </c>
      <c r="X205" s="13">
        <v>1</v>
      </c>
      <c r="Y205" s="13">
        <v>6946.38</v>
      </c>
      <c r="Z205" s="13">
        <v>381980.95</v>
      </c>
      <c r="AA205" s="13">
        <v>1</v>
      </c>
      <c r="AB205" s="13">
        <v>381980.95</v>
      </c>
    </row>
    <row r="206" spans="1:206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224</v>
      </c>
      <c r="F206" s="13">
        <f>ROUND(Source!AR178,O206)</f>
        <v>219670.62</v>
      </c>
      <c r="G206" s="13" t="s">
        <v>200</v>
      </c>
      <c r="H206" s="13" t="s">
        <v>201</v>
      </c>
      <c r="I206" s="13"/>
      <c r="J206" s="13"/>
      <c r="K206" s="13">
        <v>224</v>
      </c>
      <c r="L206" s="13">
        <v>27</v>
      </c>
      <c r="M206" s="13">
        <v>3</v>
      </c>
      <c r="N206" s="13" t="s">
        <v>3</v>
      </c>
      <c r="O206" s="13">
        <v>2</v>
      </c>
      <c r="P206" s="13">
        <f>ROUND(Source!EJ178,O206)</f>
        <v>3114223.06</v>
      </c>
      <c r="Q206" s="13"/>
      <c r="R206" s="13"/>
      <c r="S206" s="13"/>
      <c r="T206" s="13"/>
      <c r="U206" s="13"/>
      <c r="V206" s="13"/>
      <c r="W206" s="13">
        <v>219670.62</v>
      </c>
      <c r="X206" s="13">
        <v>1</v>
      </c>
      <c r="Y206" s="13">
        <v>219670.62</v>
      </c>
      <c r="Z206" s="13">
        <v>3114223.06</v>
      </c>
      <c r="AA206" s="13">
        <v>1</v>
      </c>
      <c r="AB206" s="13">
        <v>3114223.06</v>
      </c>
    </row>
    <row r="208" spans="1:206" x14ac:dyDescent="0.2">
      <c r="A208" s="11">
        <v>51</v>
      </c>
      <c r="B208" s="11">
        <f>B12</f>
        <v>247</v>
      </c>
      <c r="C208" s="11">
        <f>A12</f>
        <v>1</v>
      </c>
      <c r="D208" s="11">
        <f>ROW(A12)</f>
        <v>12</v>
      </c>
      <c r="E208" s="11"/>
      <c r="F208" s="11" t="str">
        <f>IF(F12&lt;&gt;"",F12,"")</f>
        <v/>
      </c>
      <c r="G208" s="11" t="str">
        <f>IF(G12&lt;&gt;"",G12,"")</f>
        <v>02-01-16 СОС</v>
      </c>
      <c r="H208" s="11">
        <v>0</v>
      </c>
      <c r="I208" s="11"/>
      <c r="J208" s="11"/>
      <c r="K208" s="11"/>
      <c r="L208" s="11"/>
      <c r="M208" s="11"/>
      <c r="N208" s="11"/>
      <c r="O208" s="11">
        <f t="shared" ref="O208:T208" si="140">ROUND(O178,2)</f>
        <v>199157.65</v>
      </c>
      <c r="P208" s="11">
        <f t="shared" si="140"/>
        <v>183960.62</v>
      </c>
      <c r="Q208" s="11">
        <f t="shared" si="140"/>
        <v>149.36000000000001</v>
      </c>
      <c r="R208" s="11">
        <f t="shared" si="140"/>
        <v>1.01</v>
      </c>
      <c r="S208" s="11">
        <f t="shared" si="140"/>
        <v>15047.67</v>
      </c>
      <c r="T208" s="11">
        <f t="shared" si="140"/>
        <v>0</v>
      </c>
      <c r="U208" s="11">
        <f>U178</f>
        <v>1234.4919123900002</v>
      </c>
      <c r="V208" s="11">
        <f>V178</f>
        <v>0</v>
      </c>
      <c r="W208" s="11">
        <f>ROUND(W178,2)</f>
        <v>0</v>
      </c>
      <c r="X208" s="11">
        <f>ROUND(X178,2)</f>
        <v>13566.59</v>
      </c>
      <c r="Y208" s="11">
        <f>ROUND(Y178,2)</f>
        <v>6946.38</v>
      </c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>
        <f t="shared" ref="AO208:BD208" si="141">ROUND(AO178,2)</f>
        <v>0</v>
      </c>
      <c r="AP208" s="11">
        <f t="shared" si="141"/>
        <v>66780.09</v>
      </c>
      <c r="AQ208" s="11">
        <f t="shared" si="141"/>
        <v>0</v>
      </c>
      <c r="AR208" s="11">
        <f t="shared" si="141"/>
        <v>219670.62</v>
      </c>
      <c r="AS208" s="11">
        <f t="shared" si="141"/>
        <v>0</v>
      </c>
      <c r="AT208" s="11">
        <f t="shared" si="141"/>
        <v>152890.53</v>
      </c>
      <c r="AU208" s="11">
        <f t="shared" si="141"/>
        <v>0</v>
      </c>
      <c r="AV208" s="11">
        <f t="shared" si="141"/>
        <v>183960.62</v>
      </c>
      <c r="AW208" s="11">
        <f t="shared" si="141"/>
        <v>117180.53</v>
      </c>
      <c r="AX208" s="11">
        <f t="shared" si="141"/>
        <v>0</v>
      </c>
      <c r="AY208" s="11">
        <f t="shared" si="141"/>
        <v>117180.53</v>
      </c>
      <c r="AZ208" s="11">
        <f t="shared" si="141"/>
        <v>66780.09</v>
      </c>
      <c r="BA208" s="11">
        <f t="shared" si="141"/>
        <v>0</v>
      </c>
      <c r="BB208" s="11">
        <f t="shared" si="141"/>
        <v>0</v>
      </c>
      <c r="BC208" s="11">
        <f t="shared" si="141"/>
        <v>0</v>
      </c>
      <c r="BD208" s="11">
        <f t="shared" si="141"/>
        <v>0</v>
      </c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2">
        <f t="shared" ref="DG208:DL208" si="142">ROUND(DG178,2)</f>
        <v>1986215.7</v>
      </c>
      <c r="DH208" s="12">
        <f t="shared" si="142"/>
        <v>1157387.79</v>
      </c>
      <c r="DI208" s="12">
        <f t="shared" si="142"/>
        <v>1356.55</v>
      </c>
      <c r="DJ208" s="12">
        <f t="shared" si="142"/>
        <v>55.54</v>
      </c>
      <c r="DK208" s="12">
        <f t="shared" si="142"/>
        <v>827471.35999999999</v>
      </c>
      <c r="DL208" s="12">
        <f t="shared" si="142"/>
        <v>0</v>
      </c>
      <c r="DM208" s="12">
        <f>DM178</f>
        <v>1234.4919123900002</v>
      </c>
      <c r="DN208" s="12">
        <f>DN178</f>
        <v>0</v>
      </c>
      <c r="DO208" s="12">
        <f>ROUND(DO178,2)</f>
        <v>0</v>
      </c>
      <c r="DP208" s="12">
        <f>ROUND(DP178,2)</f>
        <v>746026.41</v>
      </c>
      <c r="DQ208" s="12">
        <f>ROUND(DQ178,2)</f>
        <v>381980.95</v>
      </c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>
        <f t="shared" ref="EG208:EV208" si="143">ROUND(EG178,2)</f>
        <v>0</v>
      </c>
      <c r="EH208" s="12">
        <f t="shared" si="143"/>
        <v>511509.3</v>
      </c>
      <c r="EI208" s="12">
        <f t="shared" si="143"/>
        <v>0</v>
      </c>
      <c r="EJ208" s="12">
        <f t="shared" si="143"/>
        <v>3114223.06</v>
      </c>
      <c r="EK208" s="12">
        <f t="shared" si="143"/>
        <v>0</v>
      </c>
      <c r="EL208" s="12">
        <f t="shared" si="143"/>
        <v>2602713.7599999998</v>
      </c>
      <c r="EM208" s="12">
        <f t="shared" si="143"/>
        <v>0</v>
      </c>
      <c r="EN208" s="12">
        <f t="shared" si="143"/>
        <v>1157387.79</v>
      </c>
      <c r="EO208" s="12">
        <f t="shared" si="143"/>
        <v>645878.49</v>
      </c>
      <c r="EP208" s="12">
        <f t="shared" si="143"/>
        <v>0</v>
      </c>
      <c r="EQ208" s="12">
        <f t="shared" si="143"/>
        <v>645878.49</v>
      </c>
      <c r="ER208" s="12">
        <f t="shared" si="143"/>
        <v>511509.3</v>
      </c>
      <c r="ES208" s="12">
        <f t="shared" si="143"/>
        <v>0</v>
      </c>
      <c r="ET208" s="12">
        <f t="shared" si="143"/>
        <v>0</v>
      </c>
      <c r="EU208" s="12">
        <f t="shared" si="143"/>
        <v>0</v>
      </c>
      <c r="EV208" s="12">
        <f t="shared" si="143"/>
        <v>0</v>
      </c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>
        <v>0</v>
      </c>
    </row>
    <row r="210" spans="1:28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201</v>
      </c>
      <c r="F210" s="13">
        <f>ROUND(Source!O208,O210)</f>
        <v>199157.65</v>
      </c>
      <c r="G210" s="13" t="s">
        <v>148</v>
      </c>
      <c r="H210" s="13" t="s">
        <v>149</v>
      </c>
      <c r="I210" s="13"/>
      <c r="J210" s="13"/>
      <c r="K210" s="13">
        <v>201</v>
      </c>
      <c r="L210" s="13">
        <v>1</v>
      </c>
      <c r="M210" s="13">
        <v>3</v>
      </c>
      <c r="N210" s="13" t="s">
        <v>3</v>
      </c>
      <c r="O210" s="13">
        <v>2</v>
      </c>
      <c r="P210" s="13">
        <f>ROUND(Source!DG208,O210)</f>
        <v>1986215.7</v>
      </c>
      <c r="Q210" s="13"/>
      <c r="R210" s="13"/>
      <c r="S210" s="13"/>
      <c r="T210" s="13"/>
      <c r="U210" s="13"/>
      <c r="V210" s="13"/>
      <c r="W210" s="13">
        <v>199157.65</v>
      </c>
      <c r="X210" s="13">
        <v>1</v>
      </c>
      <c r="Y210" s="13">
        <v>199157.65</v>
      </c>
      <c r="Z210" s="13">
        <v>1986215.7</v>
      </c>
      <c r="AA210" s="13">
        <v>1</v>
      </c>
      <c r="AB210" s="13">
        <v>1986215.7</v>
      </c>
    </row>
    <row r="211" spans="1:28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202</v>
      </c>
      <c r="F211" s="13">
        <f>ROUND(Source!P208,O211)</f>
        <v>183960.62</v>
      </c>
      <c r="G211" s="13" t="s">
        <v>150</v>
      </c>
      <c r="H211" s="13" t="s">
        <v>151</v>
      </c>
      <c r="I211" s="13"/>
      <c r="J211" s="13"/>
      <c r="K211" s="13">
        <v>202</v>
      </c>
      <c r="L211" s="13">
        <v>2</v>
      </c>
      <c r="M211" s="13">
        <v>3</v>
      </c>
      <c r="N211" s="13" t="s">
        <v>3</v>
      </c>
      <c r="O211" s="13">
        <v>2</v>
      </c>
      <c r="P211" s="13">
        <f>ROUND(Source!DH208,O211)</f>
        <v>1157387.79</v>
      </c>
      <c r="Q211" s="13"/>
      <c r="R211" s="13"/>
      <c r="S211" s="13"/>
      <c r="T211" s="13"/>
      <c r="U211" s="13"/>
      <c r="V211" s="13"/>
      <c r="W211" s="13">
        <v>183960.62</v>
      </c>
      <c r="X211" s="13">
        <v>1</v>
      </c>
      <c r="Y211" s="13">
        <v>183960.62</v>
      </c>
      <c r="Z211" s="13">
        <v>1157387.79</v>
      </c>
      <c r="AA211" s="13">
        <v>1</v>
      </c>
      <c r="AB211" s="13">
        <v>1157387.79</v>
      </c>
    </row>
    <row r="212" spans="1:28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222</v>
      </c>
      <c r="F212" s="13">
        <f>ROUND(Source!AO208,O212)</f>
        <v>0</v>
      </c>
      <c r="G212" s="13" t="s">
        <v>152</v>
      </c>
      <c r="H212" s="13" t="s">
        <v>153</v>
      </c>
      <c r="I212" s="13"/>
      <c r="J212" s="13"/>
      <c r="K212" s="13">
        <v>222</v>
      </c>
      <c r="L212" s="13">
        <v>3</v>
      </c>
      <c r="M212" s="13">
        <v>3</v>
      </c>
      <c r="N212" s="13" t="s">
        <v>3</v>
      </c>
      <c r="O212" s="13">
        <v>2</v>
      </c>
      <c r="P212" s="13">
        <f>ROUND(Source!EG208,O212)</f>
        <v>0</v>
      </c>
      <c r="Q212" s="13"/>
      <c r="R212" s="13"/>
      <c r="S212" s="13"/>
      <c r="T212" s="13"/>
      <c r="U212" s="13"/>
      <c r="V212" s="13"/>
      <c r="W212" s="13">
        <v>0</v>
      </c>
      <c r="X212" s="13">
        <v>1</v>
      </c>
      <c r="Y212" s="13">
        <v>0</v>
      </c>
      <c r="Z212" s="13">
        <v>0</v>
      </c>
      <c r="AA212" s="13">
        <v>1</v>
      </c>
      <c r="AB212" s="13">
        <v>0</v>
      </c>
    </row>
    <row r="213" spans="1:28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225</v>
      </c>
      <c r="F213" s="13">
        <f>ROUND(Source!AV208,O213)</f>
        <v>183960.62</v>
      </c>
      <c r="G213" s="13" t="s">
        <v>154</v>
      </c>
      <c r="H213" s="13" t="s">
        <v>155</v>
      </c>
      <c r="I213" s="13"/>
      <c r="J213" s="13"/>
      <c r="K213" s="13">
        <v>225</v>
      </c>
      <c r="L213" s="13">
        <v>4</v>
      </c>
      <c r="M213" s="13">
        <v>3</v>
      </c>
      <c r="N213" s="13" t="s">
        <v>3</v>
      </c>
      <c r="O213" s="13">
        <v>2</v>
      </c>
      <c r="P213" s="13">
        <f>ROUND(Source!EN208,O213)</f>
        <v>1157387.79</v>
      </c>
      <c r="Q213" s="13"/>
      <c r="R213" s="13"/>
      <c r="S213" s="13"/>
      <c r="T213" s="13"/>
      <c r="U213" s="13"/>
      <c r="V213" s="13"/>
      <c r="W213" s="13">
        <v>183960.62</v>
      </c>
      <c r="X213" s="13">
        <v>1</v>
      </c>
      <c r="Y213" s="13">
        <v>183960.62</v>
      </c>
      <c r="Z213" s="13">
        <v>1157387.79</v>
      </c>
      <c r="AA213" s="13">
        <v>1</v>
      </c>
      <c r="AB213" s="13">
        <v>1157387.79</v>
      </c>
    </row>
    <row r="214" spans="1:28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226</v>
      </c>
      <c r="F214" s="13">
        <f>ROUND(Source!AW208,O214)</f>
        <v>117180.53</v>
      </c>
      <c r="G214" s="13" t="s">
        <v>156</v>
      </c>
      <c r="H214" s="13" t="s">
        <v>157</v>
      </c>
      <c r="I214" s="13"/>
      <c r="J214" s="13"/>
      <c r="K214" s="13">
        <v>226</v>
      </c>
      <c r="L214" s="13">
        <v>5</v>
      </c>
      <c r="M214" s="13">
        <v>3</v>
      </c>
      <c r="N214" s="13" t="s">
        <v>3</v>
      </c>
      <c r="O214" s="13">
        <v>2</v>
      </c>
      <c r="P214" s="13">
        <f>ROUND(Source!EO208,O214)</f>
        <v>645878.49</v>
      </c>
      <c r="Q214" s="13"/>
      <c r="R214" s="13"/>
      <c r="S214" s="13"/>
      <c r="T214" s="13"/>
      <c r="U214" s="13"/>
      <c r="V214" s="13"/>
      <c r="W214" s="13">
        <v>117180.53</v>
      </c>
      <c r="X214" s="13">
        <v>1</v>
      </c>
      <c r="Y214" s="13">
        <v>117180.53</v>
      </c>
      <c r="Z214" s="13">
        <v>645878.49</v>
      </c>
      <c r="AA214" s="13">
        <v>1</v>
      </c>
      <c r="AB214" s="13">
        <v>645878.49</v>
      </c>
    </row>
    <row r="215" spans="1:28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227</v>
      </c>
      <c r="F215" s="13">
        <f>ROUND(Source!AX208,O215)</f>
        <v>0</v>
      </c>
      <c r="G215" s="13" t="s">
        <v>158</v>
      </c>
      <c r="H215" s="13" t="s">
        <v>159</v>
      </c>
      <c r="I215" s="13"/>
      <c r="J215" s="13"/>
      <c r="K215" s="13">
        <v>227</v>
      </c>
      <c r="L215" s="13">
        <v>6</v>
      </c>
      <c r="M215" s="13">
        <v>3</v>
      </c>
      <c r="N215" s="13" t="s">
        <v>3</v>
      </c>
      <c r="O215" s="13">
        <v>2</v>
      </c>
      <c r="P215" s="13">
        <f>ROUND(Source!EP208,O215)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8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228</v>
      </c>
      <c r="F216" s="13">
        <f>ROUND(Source!AY208,O216)</f>
        <v>117180.53</v>
      </c>
      <c r="G216" s="13" t="s">
        <v>160</v>
      </c>
      <c r="H216" s="13" t="s">
        <v>161</v>
      </c>
      <c r="I216" s="13"/>
      <c r="J216" s="13"/>
      <c r="K216" s="13">
        <v>228</v>
      </c>
      <c r="L216" s="13">
        <v>7</v>
      </c>
      <c r="M216" s="13">
        <v>3</v>
      </c>
      <c r="N216" s="13" t="s">
        <v>3</v>
      </c>
      <c r="O216" s="13">
        <v>2</v>
      </c>
      <c r="P216" s="13">
        <f>ROUND(Source!EQ208,O216)</f>
        <v>645878.49</v>
      </c>
      <c r="Q216" s="13"/>
      <c r="R216" s="13"/>
      <c r="S216" s="13"/>
      <c r="T216" s="13"/>
      <c r="U216" s="13"/>
      <c r="V216" s="13"/>
      <c r="W216" s="13">
        <v>117180.53</v>
      </c>
      <c r="X216" s="13">
        <v>1</v>
      </c>
      <c r="Y216" s="13">
        <v>117180.53</v>
      </c>
      <c r="Z216" s="13">
        <v>645878.49</v>
      </c>
      <c r="AA216" s="13">
        <v>1</v>
      </c>
      <c r="AB216" s="13">
        <v>645878.49</v>
      </c>
    </row>
    <row r="217" spans="1:28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216</v>
      </c>
      <c r="F217" s="13">
        <f>ROUND(Source!AP208,O217)</f>
        <v>66780.09</v>
      </c>
      <c r="G217" s="13" t="s">
        <v>162</v>
      </c>
      <c r="H217" s="13" t="s">
        <v>163</v>
      </c>
      <c r="I217" s="13"/>
      <c r="J217" s="13"/>
      <c r="K217" s="13">
        <v>216</v>
      </c>
      <c r="L217" s="13">
        <v>8</v>
      </c>
      <c r="M217" s="13">
        <v>3</v>
      </c>
      <c r="N217" s="13" t="s">
        <v>3</v>
      </c>
      <c r="O217" s="13">
        <v>2</v>
      </c>
      <c r="P217" s="13">
        <f>ROUND(Source!EH208,O217)</f>
        <v>511509.3</v>
      </c>
      <c r="Q217" s="13"/>
      <c r="R217" s="13"/>
      <c r="S217" s="13"/>
      <c r="T217" s="13"/>
      <c r="U217" s="13"/>
      <c r="V217" s="13"/>
      <c r="W217" s="13">
        <v>66780.09</v>
      </c>
      <c r="X217" s="13">
        <v>1</v>
      </c>
      <c r="Y217" s="13">
        <v>66780.09</v>
      </c>
      <c r="Z217" s="13">
        <v>511509.3</v>
      </c>
      <c r="AA217" s="13">
        <v>1</v>
      </c>
      <c r="AB217" s="13">
        <v>511509.3</v>
      </c>
    </row>
    <row r="218" spans="1:28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223</v>
      </c>
      <c r="F218" s="13">
        <f>ROUND(Source!AQ208,O218)</f>
        <v>0</v>
      </c>
      <c r="G218" s="13" t="s">
        <v>164</v>
      </c>
      <c r="H218" s="13" t="s">
        <v>165</v>
      </c>
      <c r="I218" s="13"/>
      <c r="J218" s="13"/>
      <c r="K218" s="13">
        <v>223</v>
      </c>
      <c r="L218" s="13">
        <v>9</v>
      </c>
      <c r="M218" s="13">
        <v>3</v>
      </c>
      <c r="N218" s="13" t="s">
        <v>3</v>
      </c>
      <c r="O218" s="13">
        <v>2</v>
      </c>
      <c r="P218" s="13">
        <f>ROUND(Source!EI208,O218)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8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229</v>
      </c>
      <c r="F219" s="13">
        <f>ROUND(Source!AZ208,O219)</f>
        <v>66780.09</v>
      </c>
      <c r="G219" s="13" t="s">
        <v>166</v>
      </c>
      <c r="H219" s="13" t="s">
        <v>167</v>
      </c>
      <c r="I219" s="13"/>
      <c r="J219" s="13"/>
      <c r="K219" s="13">
        <v>229</v>
      </c>
      <c r="L219" s="13">
        <v>10</v>
      </c>
      <c r="M219" s="13">
        <v>3</v>
      </c>
      <c r="N219" s="13" t="s">
        <v>3</v>
      </c>
      <c r="O219" s="13">
        <v>2</v>
      </c>
      <c r="P219" s="13">
        <f>ROUND(Source!ER208,O219)</f>
        <v>511509.3</v>
      </c>
      <c r="Q219" s="13"/>
      <c r="R219" s="13"/>
      <c r="S219" s="13"/>
      <c r="T219" s="13"/>
      <c r="U219" s="13"/>
      <c r="V219" s="13"/>
      <c r="W219" s="13">
        <v>66780.09</v>
      </c>
      <c r="X219" s="13">
        <v>1</v>
      </c>
      <c r="Y219" s="13">
        <v>66780.09</v>
      </c>
      <c r="Z219" s="13">
        <v>511509.3</v>
      </c>
      <c r="AA219" s="13">
        <v>1</v>
      </c>
      <c r="AB219" s="13">
        <v>511509.3</v>
      </c>
    </row>
    <row r="220" spans="1:28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203</v>
      </c>
      <c r="F220" s="13">
        <f>ROUND(Source!Q208,O220)</f>
        <v>149.36000000000001</v>
      </c>
      <c r="G220" s="13" t="s">
        <v>168</v>
      </c>
      <c r="H220" s="13" t="s">
        <v>169</v>
      </c>
      <c r="I220" s="13"/>
      <c r="J220" s="13"/>
      <c r="K220" s="13">
        <v>203</v>
      </c>
      <c r="L220" s="13">
        <v>11</v>
      </c>
      <c r="M220" s="13">
        <v>3</v>
      </c>
      <c r="N220" s="13" t="s">
        <v>3</v>
      </c>
      <c r="O220" s="13">
        <v>2</v>
      </c>
      <c r="P220" s="13">
        <f>ROUND(Source!DI208,O220)</f>
        <v>1356.55</v>
      </c>
      <c r="Q220" s="13"/>
      <c r="R220" s="13"/>
      <c r="S220" s="13"/>
      <c r="T220" s="13"/>
      <c r="U220" s="13"/>
      <c r="V220" s="13"/>
      <c r="W220" s="13">
        <v>149.36000000000001</v>
      </c>
      <c r="X220" s="13">
        <v>1</v>
      </c>
      <c r="Y220" s="13">
        <v>149.36000000000001</v>
      </c>
      <c r="Z220" s="13">
        <v>1356.55</v>
      </c>
      <c r="AA220" s="13">
        <v>1</v>
      </c>
      <c r="AB220" s="13">
        <v>1356.55</v>
      </c>
    </row>
    <row r="221" spans="1:28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231</v>
      </c>
      <c r="F221" s="13">
        <f>ROUND(Source!BB208,O221)</f>
        <v>0</v>
      </c>
      <c r="G221" s="13" t="s">
        <v>170</v>
      </c>
      <c r="H221" s="13" t="s">
        <v>171</v>
      </c>
      <c r="I221" s="13"/>
      <c r="J221" s="13"/>
      <c r="K221" s="13">
        <v>231</v>
      </c>
      <c r="L221" s="13">
        <v>12</v>
      </c>
      <c r="M221" s="13">
        <v>3</v>
      </c>
      <c r="N221" s="13" t="s">
        <v>3</v>
      </c>
      <c r="O221" s="13">
        <v>2</v>
      </c>
      <c r="P221" s="13">
        <f>ROUND(Source!ET208,O221)</f>
        <v>0</v>
      </c>
      <c r="Q221" s="13"/>
      <c r="R221" s="13"/>
      <c r="S221" s="13"/>
      <c r="T221" s="13"/>
      <c r="U221" s="13"/>
      <c r="V221" s="13"/>
      <c r="W221" s="13">
        <v>0</v>
      </c>
      <c r="X221" s="13">
        <v>1</v>
      </c>
      <c r="Y221" s="13">
        <v>0</v>
      </c>
      <c r="Z221" s="13">
        <v>0</v>
      </c>
      <c r="AA221" s="13">
        <v>1</v>
      </c>
      <c r="AB221" s="13">
        <v>0</v>
      </c>
    </row>
    <row r="222" spans="1:28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204</v>
      </c>
      <c r="F222" s="13">
        <f>ROUND(Source!R208,O222)</f>
        <v>1.01</v>
      </c>
      <c r="G222" s="13" t="s">
        <v>172</v>
      </c>
      <c r="H222" s="13" t="s">
        <v>173</v>
      </c>
      <c r="I222" s="13"/>
      <c r="J222" s="13"/>
      <c r="K222" s="13">
        <v>204</v>
      </c>
      <c r="L222" s="13">
        <v>13</v>
      </c>
      <c r="M222" s="13">
        <v>3</v>
      </c>
      <c r="N222" s="13" t="s">
        <v>3</v>
      </c>
      <c r="O222" s="13">
        <v>2</v>
      </c>
      <c r="P222" s="13">
        <f>ROUND(Source!DJ208,O222)</f>
        <v>55.54</v>
      </c>
      <c r="Q222" s="13"/>
      <c r="R222" s="13"/>
      <c r="S222" s="13"/>
      <c r="T222" s="13"/>
      <c r="U222" s="13"/>
      <c r="V222" s="13"/>
      <c r="W222" s="13">
        <v>1.01</v>
      </c>
      <c r="X222" s="13">
        <v>1</v>
      </c>
      <c r="Y222" s="13">
        <v>1.01</v>
      </c>
      <c r="Z222" s="13">
        <v>55.54</v>
      </c>
      <c r="AA222" s="13">
        <v>1</v>
      </c>
      <c r="AB222" s="13">
        <v>55.54</v>
      </c>
    </row>
    <row r="223" spans="1:28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205</v>
      </c>
      <c r="F223" s="13">
        <f>ROUND(Source!S208,O223)</f>
        <v>15047.67</v>
      </c>
      <c r="G223" s="13" t="s">
        <v>174</v>
      </c>
      <c r="H223" s="13" t="s">
        <v>175</v>
      </c>
      <c r="I223" s="13"/>
      <c r="J223" s="13"/>
      <c r="K223" s="13">
        <v>205</v>
      </c>
      <c r="L223" s="13">
        <v>14</v>
      </c>
      <c r="M223" s="13">
        <v>3</v>
      </c>
      <c r="N223" s="13" t="s">
        <v>3</v>
      </c>
      <c r="O223" s="13">
        <v>2</v>
      </c>
      <c r="P223" s="13">
        <f>ROUND(Source!DK208,O223)</f>
        <v>827471.35999999999</v>
      </c>
      <c r="Q223" s="13"/>
      <c r="R223" s="13"/>
      <c r="S223" s="13"/>
      <c r="T223" s="13"/>
      <c r="U223" s="13"/>
      <c r="V223" s="13"/>
      <c r="W223" s="13">
        <v>15047.67</v>
      </c>
      <c r="X223" s="13">
        <v>1</v>
      </c>
      <c r="Y223" s="13">
        <v>15047.67</v>
      </c>
      <c r="Z223" s="13">
        <v>827471.35999999999</v>
      </c>
      <c r="AA223" s="13">
        <v>1</v>
      </c>
      <c r="AB223" s="13">
        <v>827471.35999999999</v>
      </c>
    </row>
    <row r="224" spans="1:28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232</v>
      </c>
      <c r="F224" s="13">
        <f>ROUND(Source!BC208,O224)</f>
        <v>0</v>
      </c>
      <c r="G224" s="13" t="s">
        <v>176</v>
      </c>
      <c r="H224" s="13" t="s">
        <v>177</v>
      </c>
      <c r="I224" s="13"/>
      <c r="J224" s="13"/>
      <c r="K224" s="13">
        <v>232</v>
      </c>
      <c r="L224" s="13">
        <v>15</v>
      </c>
      <c r="M224" s="13">
        <v>3</v>
      </c>
      <c r="N224" s="13" t="s">
        <v>3</v>
      </c>
      <c r="O224" s="13">
        <v>2</v>
      </c>
      <c r="P224" s="13">
        <f>ROUND(Source!EU208,O224)</f>
        <v>0</v>
      </c>
      <c r="Q224" s="13"/>
      <c r="R224" s="13"/>
      <c r="S224" s="13"/>
      <c r="T224" s="13"/>
      <c r="U224" s="13"/>
      <c r="V224" s="13"/>
      <c r="W224" s="13">
        <v>0</v>
      </c>
      <c r="X224" s="13">
        <v>1</v>
      </c>
      <c r="Y224" s="13">
        <v>0</v>
      </c>
      <c r="Z224" s="13">
        <v>0</v>
      </c>
      <c r="AA224" s="13">
        <v>1</v>
      </c>
      <c r="AB224" s="13">
        <v>0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214</v>
      </c>
      <c r="F225" s="13">
        <f>ROUND(Source!AS208,O225)</f>
        <v>0</v>
      </c>
      <c r="G225" s="13" t="s">
        <v>178</v>
      </c>
      <c r="H225" s="13" t="s">
        <v>179</v>
      </c>
      <c r="I225" s="13"/>
      <c r="J225" s="13"/>
      <c r="K225" s="13">
        <v>214</v>
      </c>
      <c r="L225" s="13">
        <v>16</v>
      </c>
      <c r="M225" s="13">
        <v>3</v>
      </c>
      <c r="N225" s="13" t="s">
        <v>3</v>
      </c>
      <c r="O225" s="13">
        <v>2</v>
      </c>
      <c r="P225" s="13">
        <f>ROUND(Source!EK208,O225)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215</v>
      </c>
      <c r="F226" s="13">
        <f>ROUND(Source!AT208,O226)</f>
        <v>152890.53</v>
      </c>
      <c r="G226" s="13" t="s">
        <v>180</v>
      </c>
      <c r="H226" s="13" t="s">
        <v>181</v>
      </c>
      <c r="I226" s="13"/>
      <c r="J226" s="13"/>
      <c r="K226" s="13">
        <v>215</v>
      </c>
      <c r="L226" s="13">
        <v>17</v>
      </c>
      <c r="M226" s="13">
        <v>3</v>
      </c>
      <c r="N226" s="13" t="s">
        <v>3</v>
      </c>
      <c r="O226" s="13">
        <v>2</v>
      </c>
      <c r="P226" s="13">
        <f>ROUND(Source!EL208,O226)</f>
        <v>2602713.7599999998</v>
      </c>
      <c r="Q226" s="13"/>
      <c r="R226" s="13"/>
      <c r="S226" s="13"/>
      <c r="T226" s="13"/>
      <c r="U226" s="13"/>
      <c r="V226" s="13"/>
      <c r="W226" s="13">
        <v>152890.53</v>
      </c>
      <c r="X226" s="13">
        <v>1</v>
      </c>
      <c r="Y226" s="13">
        <v>152890.53</v>
      </c>
      <c r="Z226" s="13">
        <v>2602713.7599999998</v>
      </c>
      <c r="AA226" s="13">
        <v>1</v>
      </c>
      <c r="AB226" s="13">
        <v>2602713.7599999998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217</v>
      </c>
      <c r="F227" s="13">
        <f>ROUND(Source!AU208,O227)</f>
        <v>0</v>
      </c>
      <c r="G227" s="13" t="s">
        <v>182</v>
      </c>
      <c r="H227" s="13" t="s">
        <v>183</v>
      </c>
      <c r="I227" s="13"/>
      <c r="J227" s="13"/>
      <c r="K227" s="13">
        <v>217</v>
      </c>
      <c r="L227" s="13">
        <v>18</v>
      </c>
      <c r="M227" s="13">
        <v>3</v>
      </c>
      <c r="N227" s="13" t="s">
        <v>3</v>
      </c>
      <c r="O227" s="13">
        <v>2</v>
      </c>
      <c r="P227" s="13">
        <f>ROUND(Source!EM208,O227)</f>
        <v>0</v>
      </c>
      <c r="Q227" s="13"/>
      <c r="R227" s="13"/>
      <c r="S227" s="13"/>
      <c r="T227" s="13"/>
      <c r="U227" s="13"/>
      <c r="V227" s="13"/>
      <c r="W227" s="13">
        <v>0</v>
      </c>
      <c r="X227" s="13">
        <v>1</v>
      </c>
      <c r="Y227" s="13">
        <v>0</v>
      </c>
      <c r="Z227" s="13">
        <v>0</v>
      </c>
      <c r="AA227" s="13">
        <v>1</v>
      </c>
      <c r="AB227" s="13">
        <v>0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230</v>
      </c>
      <c r="F228" s="13">
        <f>ROUND(Source!BA208,O228)</f>
        <v>0</v>
      </c>
      <c r="G228" s="13" t="s">
        <v>184</v>
      </c>
      <c r="H228" s="13" t="s">
        <v>185</v>
      </c>
      <c r="I228" s="13"/>
      <c r="J228" s="13"/>
      <c r="K228" s="13">
        <v>230</v>
      </c>
      <c r="L228" s="13">
        <v>19</v>
      </c>
      <c r="M228" s="13">
        <v>3</v>
      </c>
      <c r="N228" s="13" t="s">
        <v>3</v>
      </c>
      <c r="O228" s="13">
        <v>2</v>
      </c>
      <c r="P228" s="13">
        <f>ROUND(Source!ES208,O228)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206</v>
      </c>
      <c r="F229" s="13">
        <f>ROUND(Source!T208,O229)</f>
        <v>0</v>
      </c>
      <c r="G229" s="13" t="s">
        <v>186</v>
      </c>
      <c r="H229" s="13" t="s">
        <v>187</v>
      </c>
      <c r="I229" s="13"/>
      <c r="J229" s="13"/>
      <c r="K229" s="13">
        <v>206</v>
      </c>
      <c r="L229" s="13">
        <v>20</v>
      </c>
      <c r="M229" s="13">
        <v>3</v>
      </c>
      <c r="N229" s="13" t="s">
        <v>3</v>
      </c>
      <c r="O229" s="13">
        <v>2</v>
      </c>
      <c r="P229" s="13">
        <f>ROUND(Source!DL208,O229)</f>
        <v>0</v>
      </c>
      <c r="Q229" s="13"/>
      <c r="R229" s="13"/>
      <c r="S229" s="13"/>
      <c r="T229" s="13"/>
      <c r="U229" s="13"/>
      <c r="V229" s="13"/>
      <c r="W229" s="13">
        <v>0</v>
      </c>
      <c r="X229" s="13">
        <v>1</v>
      </c>
      <c r="Y229" s="13">
        <v>0</v>
      </c>
      <c r="Z229" s="13">
        <v>0</v>
      </c>
      <c r="AA229" s="13">
        <v>1</v>
      </c>
      <c r="AB229" s="13">
        <v>0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207</v>
      </c>
      <c r="F230" s="13">
        <f>Source!U208</f>
        <v>1234.4919123900002</v>
      </c>
      <c r="G230" s="13" t="s">
        <v>188</v>
      </c>
      <c r="H230" s="13" t="s">
        <v>189</v>
      </c>
      <c r="I230" s="13"/>
      <c r="J230" s="13"/>
      <c r="K230" s="13">
        <v>207</v>
      </c>
      <c r="L230" s="13">
        <v>21</v>
      </c>
      <c r="M230" s="13">
        <v>3</v>
      </c>
      <c r="N230" s="13" t="s">
        <v>3</v>
      </c>
      <c r="O230" s="13">
        <v>-1</v>
      </c>
      <c r="P230" s="13">
        <f>Source!DM208</f>
        <v>1234.4919123900002</v>
      </c>
      <c r="Q230" s="13"/>
      <c r="R230" s="13"/>
      <c r="S230" s="13"/>
      <c r="T230" s="13"/>
      <c r="U230" s="13"/>
      <c r="V230" s="13"/>
      <c r="W230" s="13">
        <v>1234.4919123899999</v>
      </c>
      <c r="X230" s="13">
        <v>1</v>
      </c>
      <c r="Y230" s="13">
        <v>1234.4919123899999</v>
      </c>
      <c r="Z230" s="13">
        <v>1234.4919123899999</v>
      </c>
      <c r="AA230" s="13">
        <v>1</v>
      </c>
      <c r="AB230" s="13">
        <v>1234.4919123899999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208</v>
      </c>
      <c r="F231" s="13">
        <f>Source!V208</f>
        <v>0</v>
      </c>
      <c r="G231" s="13" t="s">
        <v>190</v>
      </c>
      <c r="H231" s="13" t="s">
        <v>191</v>
      </c>
      <c r="I231" s="13"/>
      <c r="J231" s="13"/>
      <c r="K231" s="13">
        <v>208</v>
      </c>
      <c r="L231" s="13">
        <v>22</v>
      </c>
      <c r="M231" s="13">
        <v>3</v>
      </c>
      <c r="N231" s="13" t="s">
        <v>3</v>
      </c>
      <c r="O231" s="13">
        <v>-1</v>
      </c>
      <c r="P231" s="13">
        <f>Source!DN208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209</v>
      </c>
      <c r="F232" s="13">
        <f>ROUND(Source!W208,O232)</f>
        <v>0</v>
      </c>
      <c r="G232" s="13" t="s">
        <v>192</v>
      </c>
      <c r="H232" s="13" t="s">
        <v>193</v>
      </c>
      <c r="I232" s="13"/>
      <c r="J232" s="13"/>
      <c r="K232" s="13">
        <v>209</v>
      </c>
      <c r="L232" s="13">
        <v>23</v>
      </c>
      <c r="M232" s="13">
        <v>3</v>
      </c>
      <c r="N232" s="13" t="s">
        <v>3</v>
      </c>
      <c r="O232" s="13">
        <v>2</v>
      </c>
      <c r="P232" s="13">
        <f>ROUND(Source!DO208,O232)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233</v>
      </c>
      <c r="F233" s="13">
        <f>ROUND(Source!BD208,O233)</f>
        <v>0</v>
      </c>
      <c r="G233" s="13" t="s">
        <v>194</v>
      </c>
      <c r="H233" s="13" t="s">
        <v>195</v>
      </c>
      <c r="I233" s="13"/>
      <c r="J233" s="13"/>
      <c r="K233" s="13">
        <v>233</v>
      </c>
      <c r="L233" s="13">
        <v>24</v>
      </c>
      <c r="M233" s="13">
        <v>3</v>
      </c>
      <c r="N233" s="13" t="s">
        <v>3</v>
      </c>
      <c r="O233" s="13">
        <v>2</v>
      </c>
      <c r="P233" s="13">
        <f>ROUND(Source!EV208,O233)</f>
        <v>0</v>
      </c>
      <c r="Q233" s="13"/>
      <c r="R233" s="13"/>
      <c r="S233" s="13"/>
      <c r="T233" s="13"/>
      <c r="U233" s="13"/>
      <c r="V233" s="13"/>
      <c r="W233" s="13">
        <v>0</v>
      </c>
      <c r="X233" s="13">
        <v>1</v>
      </c>
      <c r="Y233" s="13">
        <v>0</v>
      </c>
      <c r="Z233" s="13">
        <v>0</v>
      </c>
      <c r="AA233" s="13">
        <v>1</v>
      </c>
      <c r="AB233" s="13">
        <v>0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210</v>
      </c>
      <c r="F234" s="13">
        <f>ROUND(Source!X208,O234)</f>
        <v>13566.59</v>
      </c>
      <c r="G234" s="13" t="s">
        <v>196</v>
      </c>
      <c r="H234" s="13" t="s">
        <v>197</v>
      </c>
      <c r="I234" s="13"/>
      <c r="J234" s="13"/>
      <c r="K234" s="13">
        <v>210</v>
      </c>
      <c r="L234" s="13">
        <v>25</v>
      </c>
      <c r="M234" s="13">
        <v>3</v>
      </c>
      <c r="N234" s="13" t="s">
        <v>3</v>
      </c>
      <c r="O234" s="13">
        <v>2</v>
      </c>
      <c r="P234" s="13">
        <f>ROUND(Source!DP208,O234)</f>
        <v>746026.41</v>
      </c>
      <c r="Q234" s="13"/>
      <c r="R234" s="13"/>
      <c r="S234" s="13"/>
      <c r="T234" s="13"/>
      <c r="U234" s="13"/>
      <c r="V234" s="13"/>
      <c r="W234" s="13">
        <v>13566.59</v>
      </c>
      <c r="X234" s="13">
        <v>1</v>
      </c>
      <c r="Y234" s="13">
        <v>13566.59</v>
      </c>
      <c r="Z234" s="13">
        <v>746026.41</v>
      </c>
      <c r="AA234" s="13">
        <v>1</v>
      </c>
      <c r="AB234" s="13">
        <v>746026.41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211</v>
      </c>
      <c r="F235" s="13">
        <f>ROUND(Source!Y208,O235)</f>
        <v>6946.38</v>
      </c>
      <c r="G235" s="13" t="s">
        <v>198</v>
      </c>
      <c r="H235" s="13" t="s">
        <v>199</v>
      </c>
      <c r="I235" s="13"/>
      <c r="J235" s="13"/>
      <c r="K235" s="13">
        <v>211</v>
      </c>
      <c r="L235" s="13">
        <v>26</v>
      </c>
      <c r="M235" s="13">
        <v>3</v>
      </c>
      <c r="N235" s="13" t="s">
        <v>3</v>
      </c>
      <c r="O235" s="13">
        <v>2</v>
      </c>
      <c r="P235" s="13">
        <f>ROUND(Source!DQ208,O235)</f>
        <v>381980.95</v>
      </c>
      <c r="Q235" s="13"/>
      <c r="R235" s="13"/>
      <c r="S235" s="13"/>
      <c r="T235" s="13"/>
      <c r="U235" s="13"/>
      <c r="V235" s="13"/>
      <c r="W235" s="13">
        <v>6946.38</v>
      </c>
      <c r="X235" s="13">
        <v>1</v>
      </c>
      <c r="Y235" s="13">
        <v>6946.38</v>
      </c>
      <c r="Z235" s="13">
        <v>381980.95</v>
      </c>
      <c r="AA235" s="13">
        <v>1</v>
      </c>
      <c r="AB235" s="13">
        <v>381980.95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224</v>
      </c>
      <c r="F236" s="13">
        <f>ROUND(Source!AR208,O236)</f>
        <v>219670.62</v>
      </c>
      <c r="G236" s="13" t="s">
        <v>200</v>
      </c>
      <c r="H236" s="13" t="s">
        <v>201</v>
      </c>
      <c r="I236" s="13"/>
      <c r="J236" s="13"/>
      <c r="K236" s="13">
        <v>224</v>
      </c>
      <c r="L236" s="13">
        <v>27</v>
      </c>
      <c r="M236" s="13">
        <v>3</v>
      </c>
      <c r="N236" s="13" t="s">
        <v>3</v>
      </c>
      <c r="O236" s="13">
        <v>2</v>
      </c>
      <c r="P236" s="13">
        <f>ROUND(Source!EJ208,O236)</f>
        <v>3114223.06</v>
      </c>
      <c r="Q236" s="13"/>
      <c r="R236" s="13"/>
      <c r="S236" s="13"/>
      <c r="T236" s="13"/>
      <c r="U236" s="13"/>
      <c r="V236" s="13"/>
      <c r="W236" s="13">
        <v>219670.62</v>
      </c>
      <c r="X236" s="13">
        <v>1</v>
      </c>
      <c r="Y236" s="13">
        <v>219670.62</v>
      </c>
      <c r="Z236" s="13">
        <v>3114223.06</v>
      </c>
      <c r="AA236" s="13">
        <v>1</v>
      </c>
      <c r="AB236" s="13">
        <v>3114223.06</v>
      </c>
    </row>
    <row r="239" spans="1:28" x14ac:dyDescent="0.2">
      <c r="A239" s="3">
        <v>70</v>
      </c>
      <c r="B239" s="3">
        <v>1</v>
      </c>
      <c r="D239" s="3">
        <v>1</v>
      </c>
      <c r="E239" s="3" t="s">
        <v>250</v>
      </c>
      <c r="F239" s="3" t="s">
        <v>251</v>
      </c>
      <c r="G239" s="3">
        <v>0</v>
      </c>
      <c r="H239" s="3">
        <v>0</v>
      </c>
      <c r="I239" s="3" t="s">
        <v>3</v>
      </c>
      <c r="J239" s="3">
        <v>1</v>
      </c>
      <c r="K239" s="3">
        <v>0</v>
      </c>
      <c r="L239" s="3" t="s">
        <v>3</v>
      </c>
      <c r="M239" s="3" t="s">
        <v>3</v>
      </c>
      <c r="N239" s="3">
        <v>0</v>
      </c>
      <c r="O239" s="3">
        <v>0</v>
      </c>
      <c r="P239" s="3" t="s">
        <v>3</v>
      </c>
    </row>
    <row r="240" spans="1:28" x14ac:dyDescent="0.2">
      <c r="A240" s="3">
        <v>70</v>
      </c>
      <c r="B240" s="3">
        <v>1</v>
      </c>
      <c r="D240" s="3">
        <v>2</v>
      </c>
      <c r="E240" s="3" t="s">
        <v>252</v>
      </c>
      <c r="F240" s="3" t="s">
        <v>253</v>
      </c>
      <c r="G240" s="3">
        <v>1</v>
      </c>
      <c r="H240" s="3">
        <v>0</v>
      </c>
      <c r="I240" s="3" t="s">
        <v>3</v>
      </c>
      <c r="J240" s="3">
        <v>1</v>
      </c>
      <c r="K240" s="3">
        <v>0</v>
      </c>
      <c r="L240" s="3" t="s">
        <v>3</v>
      </c>
      <c r="M240" s="3" t="s">
        <v>3</v>
      </c>
      <c r="N240" s="3">
        <v>0</v>
      </c>
      <c r="O240" s="3">
        <v>1</v>
      </c>
      <c r="P240" s="3" t="s">
        <v>3</v>
      </c>
    </row>
    <row r="241" spans="1:50" x14ac:dyDescent="0.2">
      <c r="A241" s="3">
        <v>70</v>
      </c>
      <c r="B241" s="3">
        <v>1</v>
      </c>
      <c r="D241" s="3">
        <v>3</v>
      </c>
      <c r="E241" s="3" t="s">
        <v>254</v>
      </c>
      <c r="F241" s="3" t="s">
        <v>255</v>
      </c>
      <c r="G241" s="3">
        <v>1</v>
      </c>
      <c r="H241" s="3">
        <v>0</v>
      </c>
      <c r="I241" s="3" t="s">
        <v>3</v>
      </c>
      <c r="J241" s="3">
        <v>0</v>
      </c>
      <c r="K241" s="3">
        <v>0</v>
      </c>
      <c r="L241" s="3" t="s">
        <v>3</v>
      </c>
      <c r="M241" s="3" t="s">
        <v>3</v>
      </c>
      <c r="N241" s="3">
        <v>0</v>
      </c>
      <c r="O241" s="3">
        <v>1</v>
      </c>
      <c r="P241" s="3" t="s">
        <v>3</v>
      </c>
    </row>
    <row r="242" spans="1:50" x14ac:dyDescent="0.2">
      <c r="A242" s="3">
        <v>70</v>
      </c>
      <c r="B242" s="3">
        <v>1</v>
      </c>
      <c r="D242" s="3">
        <v>4</v>
      </c>
      <c r="E242" s="3" t="s">
        <v>256</v>
      </c>
      <c r="F242" s="3" t="s">
        <v>257</v>
      </c>
      <c r="G242" s="3">
        <v>1</v>
      </c>
      <c r="H242" s="3">
        <v>0</v>
      </c>
      <c r="I242" s="3" t="s">
        <v>3</v>
      </c>
      <c r="J242" s="3">
        <v>0</v>
      </c>
      <c r="K242" s="3">
        <v>0</v>
      </c>
      <c r="L242" s="3" t="s">
        <v>3</v>
      </c>
      <c r="M242" s="3" t="s">
        <v>3</v>
      </c>
      <c r="N242" s="3">
        <v>0</v>
      </c>
      <c r="O242" s="3">
        <v>1</v>
      </c>
      <c r="P242" s="3" t="s">
        <v>3</v>
      </c>
    </row>
    <row r="243" spans="1:50" x14ac:dyDescent="0.2">
      <c r="A243" s="3">
        <v>70</v>
      </c>
      <c r="B243" s="3">
        <v>1</v>
      </c>
      <c r="D243" s="3">
        <v>5</v>
      </c>
      <c r="E243" s="3" t="s">
        <v>258</v>
      </c>
      <c r="F243" s="3" t="s">
        <v>259</v>
      </c>
      <c r="G243" s="3">
        <v>0</v>
      </c>
      <c r="H243" s="3">
        <v>0</v>
      </c>
      <c r="I243" s="3" t="s">
        <v>3</v>
      </c>
      <c r="J243" s="3">
        <v>0</v>
      </c>
      <c r="K243" s="3">
        <v>0</v>
      </c>
      <c r="L243" s="3" t="s">
        <v>3</v>
      </c>
      <c r="M243" s="3" t="s">
        <v>3</v>
      </c>
      <c r="N243" s="3">
        <v>0</v>
      </c>
      <c r="O243" s="3">
        <v>0</v>
      </c>
      <c r="P243" s="3" t="s">
        <v>3</v>
      </c>
    </row>
    <row r="245" spans="1:50" x14ac:dyDescent="0.2">
      <c r="A245" s="3">
        <v>-1</v>
      </c>
    </row>
    <row r="247" spans="1:50" x14ac:dyDescent="0.2">
      <c r="A247" s="12">
        <v>75</v>
      </c>
      <c r="B247" s="12" t="s">
        <v>260</v>
      </c>
      <c r="C247" s="12">
        <v>2025</v>
      </c>
      <c r="D247" s="12">
        <v>3</v>
      </c>
      <c r="E247" s="12">
        <v>0</v>
      </c>
      <c r="F247" s="12"/>
      <c r="G247" s="12">
        <v>0</v>
      </c>
      <c r="H247" s="12">
        <v>1</v>
      </c>
      <c r="I247" s="12">
        <v>1</v>
      </c>
      <c r="J247" s="12">
        <v>3</v>
      </c>
      <c r="K247" s="12">
        <v>0</v>
      </c>
      <c r="L247" s="12">
        <v>0</v>
      </c>
      <c r="M247" s="12">
        <v>1</v>
      </c>
      <c r="N247" s="12">
        <v>60258618</v>
      </c>
      <c r="O247" s="12">
        <v>1</v>
      </c>
    </row>
    <row r="248" spans="1:50" x14ac:dyDescent="0.2">
      <c r="A248" s="14">
        <v>1</v>
      </c>
      <c r="B248" s="14" t="s">
        <v>261</v>
      </c>
      <c r="C248" s="14" t="s">
        <v>262</v>
      </c>
      <c r="D248" s="14">
        <v>2025</v>
      </c>
      <c r="E248" s="14">
        <v>9</v>
      </c>
      <c r="F248" s="14">
        <v>1</v>
      </c>
      <c r="G248" s="14">
        <v>1</v>
      </c>
      <c r="H248" s="14">
        <v>0</v>
      </c>
      <c r="I248" s="14">
        <v>2</v>
      </c>
      <c r="J248" s="14">
        <v>1</v>
      </c>
      <c r="K248" s="14">
        <v>9.8800000000000008</v>
      </c>
      <c r="L248" s="14">
        <v>7.66</v>
      </c>
      <c r="M248" s="14">
        <v>1</v>
      </c>
      <c r="N248" s="14">
        <v>1</v>
      </c>
      <c r="O248" s="14">
        <v>9.8800000000000008</v>
      </c>
      <c r="P248" s="14">
        <v>7.66</v>
      </c>
      <c r="Q248" s="14">
        <v>1</v>
      </c>
      <c r="R248" s="14" t="s">
        <v>3</v>
      </c>
      <c r="S248" s="14" t="s">
        <v>3</v>
      </c>
      <c r="T248" s="14" t="s">
        <v>3</v>
      </c>
      <c r="U248" s="14" t="s">
        <v>3</v>
      </c>
      <c r="V248" s="14" t="s">
        <v>3</v>
      </c>
      <c r="W248" s="14" t="s">
        <v>3</v>
      </c>
      <c r="X248" s="14" t="s">
        <v>3</v>
      </c>
      <c r="Y248" s="14" t="s">
        <v>3</v>
      </c>
      <c r="Z248" s="14" t="s">
        <v>3</v>
      </c>
      <c r="AA248" s="14" t="s">
        <v>263</v>
      </c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>
        <v>60258619</v>
      </c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</row>
    <row r="249" spans="1:50" x14ac:dyDescent="0.2">
      <c r="A249" s="14">
        <v>1</v>
      </c>
      <c r="B249" s="14" t="s">
        <v>261</v>
      </c>
      <c r="C249" s="14" t="s">
        <v>264</v>
      </c>
      <c r="D249" s="14">
        <v>2025</v>
      </c>
      <c r="E249" s="14">
        <v>7</v>
      </c>
      <c r="F249" s="14">
        <v>1</v>
      </c>
      <c r="G249" s="14">
        <v>1</v>
      </c>
      <c r="H249" s="14">
        <v>0</v>
      </c>
      <c r="I249" s="14">
        <v>2</v>
      </c>
      <c r="J249" s="14">
        <v>1</v>
      </c>
      <c r="K249" s="14">
        <v>1</v>
      </c>
      <c r="L249" s="14">
        <v>1</v>
      </c>
      <c r="M249" s="14">
        <v>1</v>
      </c>
      <c r="N249" s="14">
        <v>1</v>
      </c>
      <c r="O249" s="14">
        <v>1</v>
      </c>
      <c r="P249" s="14">
        <v>1</v>
      </c>
      <c r="Q249" s="14">
        <v>1</v>
      </c>
      <c r="R249" s="14" t="s">
        <v>3</v>
      </c>
      <c r="S249" s="14" t="s">
        <v>3</v>
      </c>
      <c r="T249" s="14" t="s">
        <v>3</v>
      </c>
      <c r="U249" s="14" t="s">
        <v>3</v>
      </c>
      <c r="V249" s="14" t="s">
        <v>3</v>
      </c>
      <c r="W249" s="14" t="s">
        <v>3</v>
      </c>
      <c r="X249" s="14" t="s">
        <v>3</v>
      </c>
      <c r="Y249" s="14" t="s">
        <v>3</v>
      </c>
      <c r="Z249" s="14" t="s">
        <v>3</v>
      </c>
      <c r="AA249" s="14" t="s">
        <v>265</v>
      </c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>
        <v>60258620</v>
      </c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</row>
    <row r="250" spans="1:50" x14ac:dyDescent="0.2">
      <c r="A250" s="12">
        <v>75</v>
      </c>
      <c r="B250" s="12" t="s">
        <v>266</v>
      </c>
      <c r="C250" s="12">
        <v>2000</v>
      </c>
      <c r="D250" s="12">
        <v>0</v>
      </c>
      <c r="E250" s="12">
        <v>1</v>
      </c>
      <c r="F250" s="12">
        <v>0</v>
      </c>
      <c r="G250" s="12">
        <v>0</v>
      </c>
      <c r="H250" s="12">
        <v>1</v>
      </c>
      <c r="I250" s="12">
        <v>1</v>
      </c>
      <c r="J250" s="12">
        <v>3</v>
      </c>
      <c r="K250" s="12">
        <v>0</v>
      </c>
      <c r="L250" s="12">
        <v>0</v>
      </c>
      <c r="M250" s="12">
        <v>0</v>
      </c>
      <c r="N250" s="12">
        <v>60258621</v>
      </c>
      <c r="O250" s="12">
        <v>2</v>
      </c>
    </row>
    <row r="251" spans="1:50" x14ac:dyDescent="0.2">
      <c r="A251" s="14">
        <v>1</v>
      </c>
      <c r="B251" s="14" t="s">
        <v>261</v>
      </c>
      <c r="C251" s="14" t="s">
        <v>262</v>
      </c>
      <c r="D251" s="14">
        <v>2000</v>
      </c>
      <c r="E251" s="14">
        <v>1</v>
      </c>
      <c r="F251" s="14">
        <v>1</v>
      </c>
      <c r="G251" s="14">
        <v>1</v>
      </c>
      <c r="H251" s="14">
        <v>0</v>
      </c>
      <c r="I251" s="14">
        <v>2</v>
      </c>
      <c r="J251" s="14">
        <v>1</v>
      </c>
      <c r="K251" s="14">
        <v>1</v>
      </c>
      <c r="L251" s="14">
        <v>1</v>
      </c>
      <c r="M251" s="14">
        <v>1</v>
      </c>
      <c r="N251" s="14">
        <v>1</v>
      </c>
      <c r="O251" s="14">
        <v>1</v>
      </c>
      <c r="P251" s="14">
        <v>1</v>
      </c>
      <c r="Q251" s="14">
        <v>1</v>
      </c>
      <c r="R251" s="14" t="s">
        <v>3</v>
      </c>
      <c r="S251" s="14" t="s">
        <v>3</v>
      </c>
      <c r="T251" s="14" t="s">
        <v>3</v>
      </c>
      <c r="U251" s="14" t="s">
        <v>3</v>
      </c>
      <c r="V251" s="14" t="s">
        <v>3</v>
      </c>
      <c r="W251" s="14" t="s">
        <v>3</v>
      </c>
      <c r="X251" s="14" t="s">
        <v>3</v>
      </c>
      <c r="Y251" s="14" t="s">
        <v>3</v>
      </c>
      <c r="Z251" s="14" t="s">
        <v>3</v>
      </c>
      <c r="AA251" s="14" t="s">
        <v>233</v>
      </c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>
        <v>60258622</v>
      </c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</row>
    <row r="255" spans="1:50" x14ac:dyDescent="0.2">
      <c r="A255" s="3">
        <v>65</v>
      </c>
      <c r="C255" s="3">
        <v>1</v>
      </c>
      <c r="D255" s="3">
        <v>0</v>
      </c>
      <c r="E255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267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3</v>
      </c>
      <c r="G12" s="1" t="s">
        <v>5</v>
      </c>
      <c r="H12" s="1" t="s">
        <v>3</v>
      </c>
      <c r="I12" s="1">
        <v>0</v>
      </c>
      <c r="J12" s="1" t="s">
        <v>6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7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60258618</v>
      </c>
      <c r="E14" s="1">
        <v>60258621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ROUND((Source!P195)/1000,2)</f>
        <v>0</v>
      </c>
      <c r="F16" s="8">
        <f>ROUND((Source!P196)/1000,2)</f>
        <v>2602.71</v>
      </c>
      <c r="G16" s="8">
        <f>ROUND((Source!P187)/1000,2)</f>
        <v>511.51</v>
      </c>
      <c r="H16" s="8">
        <f>ROUND((Source!P197)/1000+(Source!P198)/1000,2)</f>
        <v>0</v>
      </c>
      <c r="I16" s="8">
        <f>E16+F16+G16+H16</f>
        <v>3114.2200000000003</v>
      </c>
      <c r="J16" s="8">
        <f>ROUND((Source!P193+Source!P192)/1000,2)</f>
        <v>827.53</v>
      </c>
      <c r="K16" s="8">
        <v>3143.6</v>
      </c>
      <c r="L16" s="8">
        <v>0</v>
      </c>
      <c r="M16" s="8">
        <v>0</v>
      </c>
      <c r="N16" s="8">
        <f>I16+L16+M16</f>
        <v>3114.2200000000003</v>
      </c>
      <c r="T16" s="9">
        <f>ROUND((Source!F195)/1000,2)</f>
        <v>0</v>
      </c>
      <c r="U16" s="9">
        <f>ROUND((Source!F196)/1000,2)</f>
        <v>152.88999999999999</v>
      </c>
      <c r="V16" s="9">
        <f>ROUND((Source!F187)/1000,2)</f>
        <v>66.78</v>
      </c>
      <c r="W16" s="9">
        <f>ROUND((Source!F197)/1000+(Source!F198)/1000,2)</f>
        <v>0</v>
      </c>
      <c r="X16" s="9">
        <f>T16+U16+V16+W16</f>
        <v>219.67</v>
      </c>
      <c r="Y16" s="9">
        <f>ROUND((Source!F193+Source!F192)/1000,2)</f>
        <v>15.05</v>
      </c>
      <c r="Z16" s="9">
        <v>383.12</v>
      </c>
      <c r="AA16" s="9">
        <v>0</v>
      </c>
      <c r="AB16" s="9">
        <v>0</v>
      </c>
      <c r="AC16" s="9">
        <f>X16+AA16+AB16</f>
        <v>219.67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1986215.7</v>
      </c>
      <c r="AU16" s="8">
        <v>1157387.79</v>
      </c>
      <c r="AV16" s="8">
        <v>0</v>
      </c>
      <c r="AW16" s="8">
        <v>511509.3</v>
      </c>
      <c r="AX16" s="8">
        <v>0</v>
      </c>
      <c r="AY16" s="8">
        <v>1356.55</v>
      </c>
      <c r="AZ16" s="8">
        <v>55.54</v>
      </c>
      <c r="BA16" s="8">
        <v>827471.35999999999</v>
      </c>
      <c r="BB16" s="8">
        <v>0</v>
      </c>
      <c r="BC16" s="8">
        <v>2602713.7599999998</v>
      </c>
      <c r="BD16" s="8">
        <v>0</v>
      </c>
      <c r="BE16" s="8">
        <v>0</v>
      </c>
      <c r="BF16" s="8">
        <v>1234.4919123899999</v>
      </c>
      <c r="BG16" s="8">
        <v>0</v>
      </c>
      <c r="BH16" s="8">
        <v>0</v>
      </c>
      <c r="BI16" s="8">
        <v>746026.41</v>
      </c>
      <c r="BJ16" s="8">
        <v>381980.95</v>
      </c>
      <c r="BK16" s="8">
        <v>3114223.06</v>
      </c>
      <c r="BR16" s="9">
        <v>199157.65</v>
      </c>
      <c r="BS16" s="9">
        <v>183960.62</v>
      </c>
      <c r="BT16" s="9">
        <v>0</v>
      </c>
      <c r="BU16" s="9">
        <v>66780.09</v>
      </c>
      <c r="BV16" s="9">
        <v>0</v>
      </c>
      <c r="BW16" s="9">
        <v>149.36000000000001</v>
      </c>
      <c r="BX16" s="9">
        <v>1.01</v>
      </c>
      <c r="BY16" s="9">
        <v>15047.67</v>
      </c>
      <c r="BZ16" s="9">
        <v>0</v>
      </c>
      <c r="CA16" s="9">
        <v>152890.53</v>
      </c>
      <c r="CB16" s="9">
        <v>0</v>
      </c>
      <c r="CC16" s="9">
        <v>0</v>
      </c>
      <c r="CD16" s="9">
        <v>1234.4919123899999</v>
      </c>
      <c r="CE16" s="9">
        <v>0</v>
      </c>
      <c r="CF16" s="9">
        <v>0</v>
      </c>
      <c r="CG16" s="9">
        <v>13566.59</v>
      </c>
      <c r="CH16" s="9">
        <v>6946.38</v>
      </c>
      <c r="CI16" s="9">
        <v>219670.62</v>
      </c>
    </row>
    <row r="18" spans="1:29" x14ac:dyDescent="0.2">
      <c r="A18">
        <v>51</v>
      </c>
      <c r="E18">
        <v>0</v>
      </c>
      <c r="F18">
        <v>2602.71</v>
      </c>
      <c r="G18">
        <v>511.51</v>
      </c>
      <c r="H18">
        <v>0</v>
      </c>
      <c r="I18">
        <v>3114.22</v>
      </c>
      <c r="J18">
        <v>827.53</v>
      </c>
      <c r="K18">
        <v>3143.6</v>
      </c>
      <c r="L18">
        <v>0</v>
      </c>
      <c r="M18">
        <v>0</v>
      </c>
      <c r="N18">
        <v>3114.22</v>
      </c>
      <c r="T18">
        <v>0</v>
      </c>
      <c r="U18">
        <v>152.88999999999999</v>
      </c>
      <c r="V18">
        <v>66.78</v>
      </c>
      <c r="W18">
        <v>0</v>
      </c>
      <c r="X18">
        <v>219.67</v>
      </c>
      <c r="Y18">
        <v>15.05</v>
      </c>
      <c r="Z18">
        <v>383.12</v>
      </c>
      <c r="AA18">
        <v>0</v>
      </c>
      <c r="AB18">
        <v>0</v>
      </c>
      <c r="AC18">
        <v>219.67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1986215.7</v>
      </c>
      <c r="G20" s="5" t="s">
        <v>148</v>
      </c>
      <c r="H20" s="5" t="s">
        <v>149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199157.65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1157387.79</v>
      </c>
      <c r="G21" s="5" t="s">
        <v>150</v>
      </c>
      <c r="H21" s="5" t="s">
        <v>151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183960.62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152</v>
      </c>
      <c r="H22" s="5" t="s">
        <v>153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1157387.79</v>
      </c>
      <c r="G23" s="5" t="s">
        <v>154</v>
      </c>
      <c r="H23" s="5" t="s">
        <v>155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183960.62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645878.49</v>
      </c>
      <c r="G24" s="5" t="s">
        <v>156</v>
      </c>
      <c r="H24" s="5" t="s">
        <v>157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117180.53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158</v>
      </c>
      <c r="H25" s="5" t="s">
        <v>159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645878.49</v>
      </c>
      <c r="G26" s="5" t="s">
        <v>160</v>
      </c>
      <c r="H26" s="5" t="s">
        <v>161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117180.53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511509.3</v>
      </c>
      <c r="G27" s="5" t="s">
        <v>162</v>
      </c>
      <c r="H27" s="5" t="s">
        <v>163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66780.09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164</v>
      </c>
      <c r="H28" s="5" t="s">
        <v>165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511509.3</v>
      </c>
      <c r="G29" s="5" t="s">
        <v>166</v>
      </c>
      <c r="H29" s="5" t="s">
        <v>167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66780.09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1356.55</v>
      </c>
      <c r="G30" s="5" t="s">
        <v>168</v>
      </c>
      <c r="H30" s="5" t="s">
        <v>169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149.36000000000001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170</v>
      </c>
      <c r="H31" s="5" t="s">
        <v>171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55.54</v>
      </c>
      <c r="G32" s="5" t="s">
        <v>172</v>
      </c>
      <c r="H32" s="5" t="s">
        <v>173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1.01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827471.35999999999</v>
      </c>
      <c r="G33" s="5" t="s">
        <v>174</v>
      </c>
      <c r="H33" s="5" t="s">
        <v>175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15047.67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176</v>
      </c>
      <c r="H34" s="5" t="s">
        <v>177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178</v>
      </c>
      <c r="H35" s="5" t="s">
        <v>179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2602713.7599999998</v>
      </c>
      <c r="G36" s="5" t="s">
        <v>180</v>
      </c>
      <c r="H36" s="5" t="s">
        <v>181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152890.53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182</v>
      </c>
      <c r="H37" s="5" t="s">
        <v>183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184</v>
      </c>
      <c r="H38" s="5" t="s">
        <v>185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186</v>
      </c>
      <c r="H39" s="5" t="s">
        <v>187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1234.4919123899999</v>
      </c>
      <c r="G40" s="5" t="s">
        <v>188</v>
      </c>
      <c r="H40" s="5" t="s">
        <v>189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1234.4919123899999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190</v>
      </c>
      <c r="H41" s="5" t="s">
        <v>191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192</v>
      </c>
      <c r="H42" s="5" t="s">
        <v>193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194</v>
      </c>
      <c r="H43" s="5" t="s">
        <v>195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746026.41</v>
      </c>
      <c r="G44" s="5" t="s">
        <v>196</v>
      </c>
      <c r="H44" s="5" t="s">
        <v>197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13566.59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381980.95</v>
      </c>
      <c r="G45" s="5" t="s">
        <v>198</v>
      </c>
      <c r="H45" s="5" t="s">
        <v>199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6946.38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3114223.06</v>
      </c>
      <c r="G46" s="5" t="s">
        <v>200</v>
      </c>
      <c r="H46" s="5" t="s">
        <v>201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219670.62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260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60258618</v>
      </c>
      <c r="O51" s="4">
        <v>1</v>
      </c>
    </row>
    <row r="52" spans="1:50" x14ac:dyDescent="0.2">
      <c r="A52" s="6">
        <v>1</v>
      </c>
      <c r="B52" s="6" t="s">
        <v>261</v>
      </c>
      <c r="C52" s="6" t="s">
        <v>262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263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60258619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261</v>
      </c>
      <c r="C53" s="6" t="s">
        <v>264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265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60258620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266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60258621</v>
      </c>
      <c r="O54" s="4">
        <v>2</v>
      </c>
    </row>
    <row r="55" spans="1:50" x14ac:dyDescent="0.2">
      <c r="A55" s="6">
        <v>1</v>
      </c>
      <c r="B55" s="6" t="s">
        <v>261</v>
      </c>
      <c r="C55" s="6" t="s">
        <v>262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233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60258622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60258621</v>
      </c>
      <c r="C1">
        <v>60258735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268</v>
      </c>
      <c r="J1" t="s">
        <v>3</v>
      </c>
      <c r="K1" t="s">
        <v>269</v>
      </c>
      <c r="L1">
        <v>1191</v>
      </c>
      <c r="N1">
        <v>1013</v>
      </c>
      <c r="O1" t="s">
        <v>270</v>
      </c>
      <c r="P1" t="s">
        <v>270</v>
      </c>
      <c r="Q1">
        <v>1</v>
      </c>
      <c r="W1">
        <v>0</v>
      </c>
      <c r="X1">
        <v>476480486</v>
      </c>
      <c r="Y1">
        <f>(AT1*1.1)</f>
        <v>7.7000000000000011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7</v>
      </c>
      <c r="AU1" t="s">
        <v>24</v>
      </c>
      <c r="AV1">
        <v>1</v>
      </c>
      <c r="AW1">
        <v>2</v>
      </c>
      <c r="AX1">
        <v>60258979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7.7</v>
      </c>
      <c r="CW1">
        <v>0</v>
      </c>
      <c r="CX1">
        <f>ROUND(Y1*Source!I28,9)</f>
        <v>7.7</v>
      </c>
      <c r="CY1">
        <f>AD1</f>
        <v>0</v>
      </c>
      <c r="CZ1">
        <f>AH1</f>
        <v>0</v>
      </c>
      <c r="DA1">
        <f>AL1</f>
        <v>1</v>
      </c>
      <c r="DB1">
        <f>ROUND((ROUND(AT1*CZ1,2)*1.1),6)</f>
        <v>0</v>
      </c>
      <c r="DC1">
        <f>ROUND((ROUND(AT1*AG1,2)*1.1),6)</f>
        <v>0</v>
      </c>
      <c r="DD1" t="s">
        <v>3</v>
      </c>
      <c r="DE1" t="s">
        <v>3</v>
      </c>
      <c r="DF1">
        <f t="shared" ref="DF1:DF6" si="0">ROUND(ROUND(AE1,2)*CX1,2)</f>
        <v>0</v>
      </c>
      <c r="DG1">
        <f t="shared" ref="DG1:DG32" si="1">ROUND(ROUND(AF1,2)*CX1,2)</f>
        <v>0</v>
      </c>
      <c r="DH1">
        <f t="shared" ref="DH1:DH32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60258621</v>
      </c>
      <c r="C2">
        <v>60258735</v>
      </c>
      <c r="D2">
        <v>59039462</v>
      </c>
      <c r="E2">
        <v>1</v>
      </c>
      <c r="F2">
        <v>1</v>
      </c>
      <c r="G2">
        <v>1080</v>
      </c>
      <c r="H2">
        <v>3</v>
      </c>
      <c r="I2" t="s">
        <v>271</v>
      </c>
      <c r="J2" t="s">
        <v>272</v>
      </c>
      <c r="K2" t="s">
        <v>273</v>
      </c>
      <c r="L2">
        <v>1348</v>
      </c>
      <c r="N2">
        <v>1009</v>
      </c>
      <c r="O2" t="s">
        <v>274</v>
      </c>
      <c r="P2" t="s">
        <v>274</v>
      </c>
      <c r="Q2">
        <v>1000</v>
      </c>
      <c r="W2">
        <v>0</v>
      </c>
      <c r="X2">
        <v>-1945031955</v>
      </c>
      <c r="Y2">
        <f>(AT2*1)</f>
        <v>1.2E-5</v>
      </c>
      <c r="AA2">
        <v>64123.05</v>
      </c>
      <c r="AB2">
        <v>0</v>
      </c>
      <c r="AC2">
        <v>0</v>
      </c>
      <c r="AD2">
        <v>0</v>
      </c>
      <c r="AE2">
        <v>64123.05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1.2E-5</v>
      </c>
      <c r="AU2" t="s">
        <v>23</v>
      </c>
      <c r="AV2">
        <v>0</v>
      </c>
      <c r="AW2">
        <v>2</v>
      </c>
      <c r="AX2">
        <v>60258980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1.2E-5</v>
      </c>
      <c r="CY2">
        <f>AA2</f>
        <v>64123.05</v>
      </c>
      <c r="CZ2">
        <f>AE2</f>
        <v>64123.05</v>
      </c>
      <c r="DA2">
        <f>AI2</f>
        <v>1</v>
      </c>
      <c r="DB2">
        <f>ROUND((ROUND(AT2*CZ2,2)*1),6)</f>
        <v>0.77</v>
      </c>
      <c r="DC2">
        <f>ROUND((ROUND(AT2*AG2,2)*1),6)</f>
        <v>0</v>
      </c>
      <c r="DD2" t="s">
        <v>3</v>
      </c>
      <c r="DE2" t="s">
        <v>3</v>
      </c>
      <c r="DF2">
        <f t="shared" si="0"/>
        <v>0.77</v>
      </c>
      <c r="DG2">
        <f t="shared" si="1"/>
        <v>0</v>
      </c>
      <c r="DH2">
        <f t="shared" si="2"/>
        <v>0</v>
      </c>
      <c r="DI2">
        <f t="shared" si="3"/>
        <v>0</v>
      </c>
      <c r="DJ2">
        <f>DF2</f>
        <v>0.77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60258621</v>
      </c>
      <c r="C3">
        <v>60258735</v>
      </c>
      <c r="D3">
        <v>59045949</v>
      </c>
      <c r="E3">
        <v>1</v>
      </c>
      <c r="F3">
        <v>1</v>
      </c>
      <c r="G3">
        <v>1080</v>
      </c>
      <c r="H3">
        <v>3</v>
      </c>
      <c r="I3" t="s">
        <v>275</v>
      </c>
      <c r="J3" t="s">
        <v>276</v>
      </c>
      <c r="K3" t="s">
        <v>277</v>
      </c>
      <c r="L3">
        <v>1349</v>
      </c>
      <c r="N3">
        <v>1009</v>
      </c>
      <c r="O3" t="s">
        <v>278</v>
      </c>
      <c r="P3" t="s">
        <v>278</v>
      </c>
      <c r="Q3">
        <v>1E-3</v>
      </c>
      <c r="W3">
        <v>0</v>
      </c>
      <c r="X3">
        <v>-2034308505</v>
      </c>
      <c r="Y3">
        <f>(AT3*1)</f>
        <v>2</v>
      </c>
      <c r="AA3">
        <v>7.0000000000000007E-2</v>
      </c>
      <c r="AB3">
        <v>0</v>
      </c>
      <c r="AC3">
        <v>0</v>
      </c>
      <c r="AD3">
        <v>0</v>
      </c>
      <c r="AE3">
        <v>7.0000000000000007E-2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</v>
      </c>
      <c r="AU3" t="s">
        <v>23</v>
      </c>
      <c r="AV3">
        <v>0</v>
      </c>
      <c r="AW3">
        <v>2</v>
      </c>
      <c r="AX3">
        <v>60258981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2</v>
      </c>
      <c r="CY3">
        <f>AA3</f>
        <v>7.0000000000000007E-2</v>
      </c>
      <c r="CZ3">
        <f>AE3</f>
        <v>7.0000000000000007E-2</v>
      </c>
      <c r="DA3">
        <f>AI3</f>
        <v>1</v>
      </c>
      <c r="DB3">
        <f>ROUND((ROUND(AT3*CZ3,2)*1),6)</f>
        <v>0.14000000000000001</v>
      </c>
      <c r="DC3">
        <f>ROUND((ROUND(AT3*AG3,2)*1),6)</f>
        <v>0</v>
      </c>
      <c r="DD3" t="s">
        <v>3</v>
      </c>
      <c r="DE3" t="s">
        <v>3</v>
      </c>
      <c r="DF3">
        <f t="shared" si="0"/>
        <v>0.14000000000000001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0.14000000000000001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60258621</v>
      </c>
      <c r="C4">
        <v>60258735</v>
      </c>
      <c r="D4">
        <v>59062764</v>
      </c>
      <c r="E4">
        <v>1</v>
      </c>
      <c r="F4">
        <v>1</v>
      </c>
      <c r="G4">
        <v>1080</v>
      </c>
      <c r="H4">
        <v>3</v>
      </c>
      <c r="I4" t="s">
        <v>279</v>
      </c>
      <c r="J4" t="s">
        <v>280</v>
      </c>
      <c r="K4" t="s">
        <v>281</v>
      </c>
      <c r="L4">
        <v>1346</v>
      </c>
      <c r="N4">
        <v>1009</v>
      </c>
      <c r="O4" t="s">
        <v>282</v>
      </c>
      <c r="P4" t="s">
        <v>282</v>
      </c>
      <c r="Q4">
        <v>1</v>
      </c>
      <c r="W4">
        <v>0</v>
      </c>
      <c r="X4">
        <v>-164740653</v>
      </c>
      <c r="Y4">
        <f>(AT4*1)</f>
        <v>6.0000000000000001E-3</v>
      </c>
      <c r="AA4">
        <v>493.08</v>
      </c>
      <c r="AB4">
        <v>0</v>
      </c>
      <c r="AC4">
        <v>0</v>
      </c>
      <c r="AD4">
        <v>0</v>
      </c>
      <c r="AE4">
        <v>493.08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6.0000000000000001E-3</v>
      </c>
      <c r="AU4" t="s">
        <v>23</v>
      </c>
      <c r="AV4">
        <v>0</v>
      </c>
      <c r="AW4">
        <v>2</v>
      </c>
      <c r="AX4">
        <v>60258982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6.0000000000000001E-3</v>
      </c>
      <c r="CY4">
        <f>AA4</f>
        <v>493.08</v>
      </c>
      <c r="CZ4">
        <f>AE4</f>
        <v>493.08</v>
      </c>
      <c r="DA4">
        <f>AI4</f>
        <v>1</v>
      </c>
      <c r="DB4">
        <f>ROUND((ROUND(AT4*CZ4,2)*1),6)</f>
        <v>2.96</v>
      </c>
      <c r="DC4">
        <f>ROUND((ROUND(AT4*AG4,2)*1),6)</f>
        <v>0</v>
      </c>
      <c r="DD4" t="s">
        <v>3</v>
      </c>
      <c r="DE4" t="s">
        <v>3</v>
      </c>
      <c r="DF4">
        <f t="shared" si="0"/>
        <v>2.96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2.96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60258621</v>
      </c>
      <c r="C5">
        <v>60258735</v>
      </c>
      <c r="D5">
        <v>59068402</v>
      </c>
      <c r="E5">
        <v>1</v>
      </c>
      <c r="F5">
        <v>1</v>
      </c>
      <c r="G5">
        <v>1080</v>
      </c>
      <c r="H5">
        <v>3</v>
      </c>
      <c r="I5" t="s">
        <v>283</v>
      </c>
      <c r="J5" t="s">
        <v>284</v>
      </c>
      <c r="K5" t="s">
        <v>285</v>
      </c>
      <c r="L5">
        <v>1303</v>
      </c>
      <c r="N5">
        <v>1003</v>
      </c>
      <c r="O5" t="s">
        <v>229</v>
      </c>
      <c r="P5" t="s">
        <v>229</v>
      </c>
      <c r="Q5">
        <v>1000</v>
      </c>
      <c r="W5">
        <v>0</v>
      </c>
      <c r="X5">
        <v>-1667960223</v>
      </c>
      <c r="Y5">
        <f>(AT5*1)</f>
        <v>0.06</v>
      </c>
      <c r="AA5">
        <v>516.63</v>
      </c>
      <c r="AB5">
        <v>0</v>
      </c>
      <c r="AC5">
        <v>0</v>
      </c>
      <c r="AD5">
        <v>0</v>
      </c>
      <c r="AE5">
        <v>516.63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0.06</v>
      </c>
      <c r="AU5" t="s">
        <v>23</v>
      </c>
      <c r="AV5">
        <v>0</v>
      </c>
      <c r="AW5">
        <v>2</v>
      </c>
      <c r="AX5">
        <v>60258983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0.06</v>
      </c>
      <c r="CY5">
        <f>AA5</f>
        <v>516.63</v>
      </c>
      <c r="CZ5">
        <f>AE5</f>
        <v>516.63</v>
      </c>
      <c r="DA5">
        <f>AI5</f>
        <v>1</v>
      </c>
      <c r="DB5">
        <f>ROUND((ROUND(AT5*CZ5,2)*1),6)</f>
        <v>31</v>
      </c>
      <c r="DC5">
        <f>ROUND((ROUND(AT5*AG5,2)*1),6)</f>
        <v>0</v>
      </c>
      <c r="DD5" t="s">
        <v>3</v>
      </c>
      <c r="DE5" t="s">
        <v>3</v>
      </c>
      <c r="DF5">
        <f t="shared" si="0"/>
        <v>31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31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60258618</v>
      </c>
      <c r="C6">
        <v>60258735</v>
      </c>
      <c r="D6">
        <v>58999254</v>
      </c>
      <c r="E6">
        <v>1080</v>
      </c>
      <c r="F6">
        <v>1</v>
      </c>
      <c r="G6">
        <v>1080</v>
      </c>
      <c r="H6">
        <v>1</v>
      </c>
      <c r="I6" t="s">
        <v>268</v>
      </c>
      <c r="J6" t="s">
        <v>3</v>
      </c>
      <c r="K6" t="s">
        <v>269</v>
      </c>
      <c r="L6">
        <v>1191</v>
      </c>
      <c r="N6">
        <v>1013</v>
      </c>
      <c r="O6" t="s">
        <v>270</v>
      </c>
      <c r="P6" t="s">
        <v>270</v>
      </c>
      <c r="Q6">
        <v>1</v>
      </c>
      <c r="W6">
        <v>0</v>
      </c>
      <c r="X6">
        <v>476480486</v>
      </c>
      <c r="Y6">
        <f>(AT6*1.1)</f>
        <v>7.7000000000000011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7</v>
      </c>
      <c r="AU6" t="s">
        <v>24</v>
      </c>
      <c r="AV6">
        <v>1</v>
      </c>
      <c r="AW6">
        <v>2</v>
      </c>
      <c r="AX6">
        <v>60258979</v>
      </c>
      <c r="AY6">
        <v>1</v>
      </c>
      <c r="AZ6">
        <v>0</v>
      </c>
      <c r="BA6">
        <v>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7.7</v>
      </c>
      <c r="CW6">
        <v>0</v>
      </c>
      <c r="CX6">
        <f>ROUND(Y6*Source!I29,9)</f>
        <v>7.7</v>
      </c>
      <c r="CY6">
        <f>AD6</f>
        <v>0</v>
      </c>
      <c r="CZ6">
        <f>AH6</f>
        <v>0</v>
      </c>
      <c r="DA6">
        <f>AL6</f>
        <v>1</v>
      </c>
      <c r="DB6">
        <f>ROUND((ROUND(AT6*CZ6,2)*1.1),6)</f>
        <v>0</v>
      </c>
      <c r="DC6">
        <f>ROUND((ROUND(AT6*AG6,2)*1.1),6)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60258618</v>
      </c>
      <c r="C7">
        <v>60258735</v>
      </c>
      <c r="D7">
        <v>59039462</v>
      </c>
      <c r="E7">
        <v>1</v>
      </c>
      <c r="F7">
        <v>1</v>
      </c>
      <c r="G7">
        <v>1080</v>
      </c>
      <c r="H7">
        <v>3</v>
      </c>
      <c r="I7" t="s">
        <v>271</v>
      </c>
      <c r="J7" t="s">
        <v>272</v>
      </c>
      <c r="K7" t="s">
        <v>273</v>
      </c>
      <c r="L7">
        <v>1348</v>
      </c>
      <c r="N7">
        <v>1009</v>
      </c>
      <c r="O7" t="s">
        <v>274</v>
      </c>
      <c r="P7" t="s">
        <v>274</v>
      </c>
      <c r="Q7">
        <v>1000</v>
      </c>
      <c r="W7">
        <v>0</v>
      </c>
      <c r="X7">
        <v>-1945031955</v>
      </c>
      <c r="Y7">
        <f>(AT7*1)</f>
        <v>1.2E-5</v>
      </c>
      <c r="AA7">
        <v>1930103.81</v>
      </c>
      <c r="AB7">
        <v>0</v>
      </c>
      <c r="AC7">
        <v>0</v>
      </c>
      <c r="AD7">
        <v>0</v>
      </c>
      <c r="AE7">
        <v>64123.05</v>
      </c>
      <c r="AF7">
        <v>0</v>
      </c>
      <c r="AG7">
        <v>0</v>
      </c>
      <c r="AH7">
        <v>0</v>
      </c>
      <c r="AI7">
        <v>30.1</v>
      </c>
      <c r="AJ7">
        <v>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1.2E-5</v>
      </c>
      <c r="AU7" t="s">
        <v>23</v>
      </c>
      <c r="AV7">
        <v>0</v>
      </c>
      <c r="AW7">
        <v>2</v>
      </c>
      <c r="AX7">
        <v>60258980</v>
      </c>
      <c r="AY7">
        <v>1</v>
      </c>
      <c r="AZ7">
        <v>0</v>
      </c>
      <c r="BA7">
        <v>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ROUND(Y7*Source!I29,9)</f>
        <v>1.2E-5</v>
      </c>
      <c r="CY7">
        <f>AA7</f>
        <v>1930103.81</v>
      </c>
      <c r="CZ7">
        <f>AE7</f>
        <v>64123.05</v>
      </c>
      <c r="DA7">
        <f>AI7</f>
        <v>30.1</v>
      </c>
      <c r="DB7">
        <f>ROUND((ROUND(AT7*CZ7,2)*1),6)</f>
        <v>0.77</v>
      </c>
      <c r="DC7">
        <f>ROUND((ROUND(AT7*AG7,2)*1),6)</f>
        <v>0</v>
      </c>
      <c r="DD7" t="s">
        <v>3</v>
      </c>
      <c r="DE7" t="s">
        <v>3</v>
      </c>
      <c r="DF7">
        <f>ROUND(ROUND(AE7*AI7,2)*CX7,2)</f>
        <v>23.16</v>
      </c>
      <c r="DG7">
        <f t="shared" si="1"/>
        <v>0</v>
      </c>
      <c r="DH7">
        <f t="shared" si="2"/>
        <v>0</v>
      </c>
      <c r="DI7">
        <f t="shared" si="3"/>
        <v>0</v>
      </c>
      <c r="DJ7">
        <f>DF7</f>
        <v>23.16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60258618</v>
      </c>
      <c r="C8">
        <v>60258735</v>
      </c>
      <c r="D8">
        <v>59045949</v>
      </c>
      <c r="E8">
        <v>1</v>
      </c>
      <c r="F8">
        <v>1</v>
      </c>
      <c r="G8">
        <v>1080</v>
      </c>
      <c r="H8">
        <v>3</v>
      </c>
      <c r="I8" t="s">
        <v>275</v>
      </c>
      <c r="J8" t="s">
        <v>276</v>
      </c>
      <c r="K8" t="s">
        <v>277</v>
      </c>
      <c r="L8">
        <v>1349</v>
      </c>
      <c r="N8">
        <v>1009</v>
      </c>
      <c r="O8" t="s">
        <v>278</v>
      </c>
      <c r="P8" t="s">
        <v>278</v>
      </c>
      <c r="Q8">
        <v>1E-3</v>
      </c>
      <c r="W8">
        <v>0</v>
      </c>
      <c r="X8">
        <v>-2034308505</v>
      </c>
      <c r="Y8">
        <f>(AT8*1)</f>
        <v>2</v>
      </c>
      <c r="AA8">
        <v>0.44</v>
      </c>
      <c r="AB8">
        <v>0</v>
      </c>
      <c r="AC8">
        <v>0</v>
      </c>
      <c r="AD8">
        <v>0</v>
      </c>
      <c r="AE8">
        <v>7.0000000000000007E-2</v>
      </c>
      <c r="AF8">
        <v>0</v>
      </c>
      <c r="AG8">
        <v>0</v>
      </c>
      <c r="AH8">
        <v>0</v>
      </c>
      <c r="AI8">
        <v>6.29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2</v>
      </c>
      <c r="AU8" t="s">
        <v>23</v>
      </c>
      <c r="AV8">
        <v>0</v>
      </c>
      <c r="AW8">
        <v>2</v>
      </c>
      <c r="AX8">
        <v>60258981</v>
      </c>
      <c r="AY8">
        <v>1</v>
      </c>
      <c r="AZ8">
        <v>0</v>
      </c>
      <c r="BA8">
        <v>10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2</v>
      </c>
      <c r="CY8">
        <f>AA8</f>
        <v>0.44</v>
      </c>
      <c r="CZ8">
        <f>AE8</f>
        <v>7.0000000000000007E-2</v>
      </c>
      <c r="DA8">
        <f>AI8</f>
        <v>6.29</v>
      </c>
      <c r="DB8">
        <f>ROUND((ROUND(AT8*CZ8,2)*1),6)</f>
        <v>0.14000000000000001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0.88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0.88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60258618</v>
      </c>
      <c r="C9">
        <v>60258735</v>
      </c>
      <c r="D9">
        <v>59062764</v>
      </c>
      <c r="E9">
        <v>1</v>
      </c>
      <c r="F9">
        <v>1</v>
      </c>
      <c r="G9">
        <v>1080</v>
      </c>
      <c r="H9">
        <v>3</v>
      </c>
      <c r="I9" t="s">
        <v>279</v>
      </c>
      <c r="J9" t="s">
        <v>280</v>
      </c>
      <c r="K9" t="s">
        <v>281</v>
      </c>
      <c r="L9">
        <v>1346</v>
      </c>
      <c r="N9">
        <v>1009</v>
      </c>
      <c r="O9" t="s">
        <v>282</v>
      </c>
      <c r="P9" t="s">
        <v>282</v>
      </c>
      <c r="Q9">
        <v>1</v>
      </c>
      <c r="W9">
        <v>0</v>
      </c>
      <c r="X9">
        <v>-164740653</v>
      </c>
      <c r="Y9">
        <f>(AT9*1)</f>
        <v>6.0000000000000001E-3</v>
      </c>
      <c r="AA9">
        <v>3047.23</v>
      </c>
      <c r="AB9">
        <v>0</v>
      </c>
      <c r="AC9">
        <v>0</v>
      </c>
      <c r="AD9">
        <v>0</v>
      </c>
      <c r="AE9">
        <v>493.08</v>
      </c>
      <c r="AF9">
        <v>0</v>
      </c>
      <c r="AG9">
        <v>0</v>
      </c>
      <c r="AH9">
        <v>0</v>
      </c>
      <c r="AI9">
        <v>6.18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6.0000000000000001E-3</v>
      </c>
      <c r="AU9" t="s">
        <v>23</v>
      </c>
      <c r="AV9">
        <v>0</v>
      </c>
      <c r="AW9">
        <v>2</v>
      </c>
      <c r="AX9">
        <v>60258982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6.0000000000000001E-3</v>
      </c>
      <c r="CY9">
        <f>AA9</f>
        <v>3047.23</v>
      </c>
      <c r="CZ9">
        <f>AE9</f>
        <v>493.08</v>
      </c>
      <c r="DA9">
        <f>AI9</f>
        <v>6.18</v>
      </c>
      <c r="DB9">
        <f>ROUND((ROUND(AT9*CZ9,2)*1),6)</f>
        <v>2.96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18.28</v>
      </c>
      <c r="DG9">
        <f t="shared" si="1"/>
        <v>0</v>
      </c>
      <c r="DH9">
        <f t="shared" si="2"/>
        <v>0</v>
      </c>
      <c r="DI9">
        <f t="shared" si="3"/>
        <v>0</v>
      </c>
      <c r="DJ9">
        <f>DF9</f>
        <v>18.28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60258618</v>
      </c>
      <c r="C10">
        <v>60258735</v>
      </c>
      <c r="D10">
        <v>59068402</v>
      </c>
      <c r="E10">
        <v>1</v>
      </c>
      <c r="F10">
        <v>1</v>
      </c>
      <c r="G10">
        <v>1080</v>
      </c>
      <c r="H10">
        <v>3</v>
      </c>
      <c r="I10" t="s">
        <v>283</v>
      </c>
      <c r="J10" t="s">
        <v>284</v>
      </c>
      <c r="K10" t="s">
        <v>285</v>
      </c>
      <c r="L10">
        <v>1303</v>
      </c>
      <c r="N10">
        <v>1003</v>
      </c>
      <c r="O10" t="s">
        <v>229</v>
      </c>
      <c r="P10" t="s">
        <v>229</v>
      </c>
      <c r="Q10">
        <v>1000</v>
      </c>
      <c r="W10">
        <v>0</v>
      </c>
      <c r="X10">
        <v>-1667960223</v>
      </c>
      <c r="Y10">
        <f>(AT10*1)</f>
        <v>0.06</v>
      </c>
      <c r="AA10">
        <v>5889.58</v>
      </c>
      <c r="AB10">
        <v>0</v>
      </c>
      <c r="AC10">
        <v>0</v>
      </c>
      <c r="AD10">
        <v>0</v>
      </c>
      <c r="AE10">
        <v>516.63</v>
      </c>
      <c r="AF10">
        <v>0</v>
      </c>
      <c r="AG10">
        <v>0</v>
      </c>
      <c r="AH10">
        <v>0</v>
      </c>
      <c r="AI10">
        <v>11.4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0.06</v>
      </c>
      <c r="AU10" t="s">
        <v>23</v>
      </c>
      <c r="AV10">
        <v>0</v>
      </c>
      <c r="AW10">
        <v>2</v>
      </c>
      <c r="AX10">
        <v>60258983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0.06</v>
      </c>
      <c r="CY10">
        <f>AA10</f>
        <v>5889.58</v>
      </c>
      <c r="CZ10">
        <f>AE10</f>
        <v>516.63</v>
      </c>
      <c r="DA10">
        <f>AI10</f>
        <v>11.4</v>
      </c>
      <c r="DB10">
        <f>ROUND((ROUND(AT10*CZ10,2)*1),6)</f>
        <v>31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353.37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353.37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ROW(Source!A34)</f>
        <v>34</v>
      </c>
      <c r="B11">
        <v>60258621</v>
      </c>
      <c r="C11">
        <v>60258750</v>
      </c>
      <c r="D11">
        <v>58999254</v>
      </c>
      <c r="E11">
        <v>1080</v>
      </c>
      <c r="F11">
        <v>1</v>
      </c>
      <c r="G11">
        <v>1080</v>
      </c>
      <c r="H11">
        <v>1</v>
      </c>
      <c r="I11" t="s">
        <v>268</v>
      </c>
      <c r="J11" t="s">
        <v>3</v>
      </c>
      <c r="K11" t="s">
        <v>269</v>
      </c>
      <c r="L11">
        <v>1191</v>
      </c>
      <c r="N11">
        <v>1013</v>
      </c>
      <c r="O11" t="s">
        <v>270</v>
      </c>
      <c r="P11" t="s">
        <v>270</v>
      </c>
      <c r="Q11">
        <v>1</v>
      </c>
      <c r="W11">
        <v>0</v>
      </c>
      <c r="X11">
        <v>476480486</v>
      </c>
      <c r="Y11">
        <f>(AT11*1.1)</f>
        <v>3.4980000000000007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3.18</v>
      </c>
      <c r="AU11" t="s">
        <v>24</v>
      </c>
      <c r="AV11">
        <v>1</v>
      </c>
      <c r="AW11">
        <v>2</v>
      </c>
      <c r="AX11">
        <v>60258986</v>
      </c>
      <c r="AY11">
        <v>1</v>
      </c>
      <c r="AZ11">
        <v>0</v>
      </c>
      <c r="BA11">
        <v>15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ROUND(AT11*Source!I34*AH11*AL11,2)</f>
        <v>0</v>
      </c>
      <c r="CV11">
        <f>ROUND(Y11*Source!I34,9)</f>
        <v>3.4980000000000002</v>
      </c>
      <c r="CW11">
        <v>0</v>
      </c>
      <c r="CX11">
        <f>ROUND(Y11*Source!I34,9)</f>
        <v>3.4980000000000002</v>
      </c>
      <c r="CY11">
        <f>AD11</f>
        <v>0</v>
      </c>
      <c r="CZ11">
        <f>AH11</f>
        <v>0</v>
      </c>
      <c r="DA11">
        <f>AL11</f>
        <v>1</v>
      </c>
      <c r="DB11">
        <f>ROUND((ROUND(AT11*CZ11,2)*1.1),6)</f>
        <v>0</v>
      </c>
      <c r="DC11">
        <f>ROUND((ROUND(AT11*AG11,2)*1.1),6)</f>
        <v>0</v>
      </c>
      <c r="DD11" t="s">
        <v>3</v>
      </c>
      <c r="DE11" t="s">
        <v>3</v>
      </c>
      <c r="DF11">
        <f>ROUND(ROUND(AE11,2)*CX11,2)</f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ROW(Source!A34)</f>
        <v>34</v>
      </c>
      <c r="B12">
        <v>60258621</v>
      </c>
      <c r="C12">
        <v>60258750</v>
      </c>
      <c r="D12">
        <v>59040743</v>
      </c>
      <c r="E12">
        <v>1</v>
      </c>
      <c r="F12">
        <v>1</v>
      </c>
      <c r="G12">
        <v>1080</v>
      </c>
      <c r="H12">
        <v>3</v>
      </c>
      <c r="I12" t="s">
        <v>286</v>
      </c>
      <c r="J12" t="s">
        <v>287</v>
      </c>
      <c r="K12" t="s">
        <v>288</v>
      </c>
      <c r="L12">
        <v>1346</v>
      </c>
      <c r="N12">
        <v>1009</v>
      </c>
      <c r="O12" t="s">
        <v>282</v>
      </c>
      <c r="P12" t="s">
        <v>282</v>
      </c>
      <c r="Q12">
        <v>1</v>
      </c>
      <c r="W12">
        <v>0</v>
      </c>
      <c r="X12">
        <v>1225168167</v>
      </c>
      <c r="Y12">
        <f>(AT12*1)</f>
        <v>6.2700000000000004E-3</v>
      </c>
      <c r="AA12">
        <v>27.62</v>
      </c>
      <c r="AB12">
        <v>0</v>
      </c>
      <c r="AC12">
        <v>0</v>
      </c>
      <c r="AD12">
        <v>0</v>
      </c>
      <c r="AE12">
        <v>27.62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6.2700000000000004E-3</v>
      </c>
      <c r="AU12" t="s">
        <v>23</v>
      </c>
      <c r="AV12">
        <v>0</v>
      </c>
      <c r="AW12">
        <v>2</v>
      </c>
      <c r="AX12">
        <v>60258987</v>
      </c>
      <c r="AY12">
        <v>1</v>
      </c>
      <c r="AZ12">
        <v>0</v>
      </c>
      <c r="BA12">
        <v>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ROUND(Y12*Source!I34,9)</f>
        <v>6.2700000000000004E-3</v>
      </c>
      <c r="CY12">
        <f>AA12</f>
        <v>27.62</v>
      </c>
      <c r="CZ12">
        <f>AE12</f>
        <v>27.62</v>
      </c>
      <c r="DA12">
        <f>AI12</f>
        <v>1</v>
      </c>
      <c r="DB12">
        <f>ROUND((ROUND(AT12*CZ12,2)*1),6)</f>
        <v>0.17</v>
      </c>
      <c r="DC12">
        <f>ROUND((ROUND(AT12*AG12,2)*1),6)</f>
        <v>0</v>
      </c>
      <c r="DD12" t="s">
        <v>3</v>
      </c>
      <c r="DE12" t="s">
        <v>3</v>
      </c>
      <c r="DF12">
        <f>ROUND(ROUND(AE12,2)*CX12,2)</f>
        <v>0.17</v>
      </c>
      <c r="DG12">
        <f t="shared" si="1"/>
        <v>0</v>
      </c>
      <c r="DH12">
        <f t="shared" si="2"/>
        <v>0</v>
      </c>
      <c r="DI12">
        <f t="shared" si="3"/>
        <v>0</v>
      </c>
      <c r="DJ12">
        <f>DF12</f>
        <v>0.17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ROW(Source!A34)</f>
        <v>34</v>
      </c>
      <c r="B13">
        <v>60258621</v>
      </c>
      <c r="C13">
        <v>60258750</v>
      </c>
      <c r="D13">
        <v>59039462</v>
      </c>
      <c r="E13">
        <v>1</v>
      </c>
      <c r="F13">
        <v>1</v>
      </c>
      <c r="G13">
        <v>1080</v>
      </c>
      <c r="H13">
        <v>3</v>
      </c>
      <c r="I13" t="s">
        <v>271</v>
      </c>
      <c r="J13" t="s">
        <v>272</v>
      </c>
      <c r="K13" t="s">
        <v>273</v>
      </c>
      <c r="L13">
        <v>1348</v>
      </c>
      <c r="N13">
        <v>1009</v>
      </c>
      <c r="O13" t="s">
        <v>274</v>
      </c>
      <c r="P13" t="s">
        <v>274</v>
      </c>
      <c r="Q13">
        <v>1000</v>
      </c>
      <c r="W13">
        <v>0</v>
      </c>
      <c r="X13">
        <v>-1945031955</v>
      </c>
      <c r="Y13">
        <f>(AT13*1)</f>
        <v>1.0000000000000001E-5</v>
      </c>
      <c r="AA13">
        <v>64123.05</v>
      </c>
      <c r="AB13">
        <v>0</v>
      </c>
      <c r="AC13">
        <v>0</v>
      </c>
      <c r="AD13">
        <v>0</v>
      </c>
      <c r="AE13">
        <v>64123.05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1.0000000000000001E-5</v>
      </c>
      <c r="AU13" t="s">
        <v>23</v>
      </c>
      <c r="AV13">
        <v>0</v>
      </c>
      <c r="AW13">
        <v>2</v>
      </c>
      <c r="AX13">
        <v>60258988</v>
      </c>
      <c r="AY13">
        <v>1</v>
      </c>
      <c r="AZ13">
        <v>0</v>
      </c>
      <c r="BA13">
        <v>17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ROUND(Y13*Source!I34,9)</f>
        <v>1.0000000000000001E-5</v>
      </c>
      <c r="CY13">
        <f>AA13</f>
        <v>64123.05</v>
      </c>
      <c r="CZ13">
        <f>AE13</f>
        <v>64123.05</v>
      </c>
      <c r="DA13">
        <f>AI13</f>
        <v>1</v>
      </c>
      <c r="DB13">
        <f>ROUND((ROUND(AT13*CZ13,2)*1),6)</f>
        <v>0.64</v>
      </c>
      <c r="DC13">
        <f>ROUND((ROUND(AT13*AG13,2)*1),6)</f>
        <v>0</v>
      </c>
      <c r="DD13" t="s">
        <v>3</v>
      </c>
      <c r="DE13" t="s">
        <v>3</v>
      </c>
      <c r="DF13">
        <f>ROUND(ROUND(AE13,2)*CX13,2)</f>
        <v>0.64</v>
      </c>
      <c r="DG13">
        <f t="shared" si="1"/>
        <v>0</v>
      </c>
      <c r="DH13">
        <f t="shared" si="2"/>
        <v>0</v>
      </c>
      <c r="DI13">
        <f t="shared" si="3"/>
        <v>0</v>
      </c>
      <c r="DJ13">
        <f>DF13</f>
        <v>0.64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ROW(Source!A34)</f>
        <v>34</v>
      </c>
      <c r="B14">
        <v>60258621</v>
      </c>
      <c r="C14">
        <v>60258750</v>
      </c>
      <c r="D14">
        <v>59049354</v>
      </c>
      <c r="E14">
        <v>1</v>
      </c>
      <c r="F14">
        <v>1</v>
      </c>
      <c r="G14">
        <v>1080</v>
      </c>
      <c r="H14">
        <v>3</v>
      </c>
      <c r="I14" t="s">
        <v>289</v>
      </c>
      <c r="J14" t="s">
        <v>290</v>
      </c>
      <c r="K14" t="s">
        <v>291</v>
      </c>
      <c r="L14">
        <v>1354</v>
      </c>
      <c r="N14">
        <v>1010</v>
      </c>
      <c r="O14" t="s">
        <v>249</v>
      </c>
      <c r="P14" t="s">
        <v>249</v>
      </c>
      <c r="Q14">
        <v>1</v>
      </c>
      <c r="W14">
        <v>0</v>
      </c>
      <c r="X14">
        <v>314181591</v>
      </c>
      <c r="Y14">
        <f>(AT14*1)</f>
        <v>0.1</v>
      </c>
      <c r="AA14">
        <v>15.25</v>
      </c>
      <c r="AB14">
        <v>0</v>
      </c>
      <c r="AC14">
        <v>0</v>
      </c>
      <c r="AD14">
        <v>0</v>
      </c>
      <c r="AE14">
        <v>15.25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0.1</v>
      </c>
      <c r="AU14" t="s">
        <v>23</v>
      </c>
      <c r="AV14">
        <v>0</v>
      </c>
      <c r="AW14">
        <v>2</v>
      </c>
      <c r="AX14">
        <v>60258989</v>
      </c>
      <c r="AY14">
        <v>1</v>
      </c>
      <c r="AZ14">
        <v>0</v>
      </c>
      <c r="BA14">
        <v>18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ROUND(Y14*Source!I34,9)</f>
        <v>0.1</v>
      </c>
      <c r="CY14">
        <f>AA14</f>
        <v>15.25</v>
      </c>
      <c r="CZ14">
        <f>AE14</f>
        <v>15.25</v>
      </c>
      <c r="DA14">
        <f>AI14</f>
        <v>1</v>
      </c>
      <c r="DB14">
        <f>ROUND((ROUND(AT14*CZ14,2)*1),6)</f>
        <v>1.53</v>
      </c>
      <c r="DC14">
        <f>ROUND((ROUND(AT14*AG14,2)*1),6)</f>
        <v>0</v>
      </c>
      <c r="DD14" t="s">
        <v>3</v>
      </c>
      <c r="DE14" t="s">
        <v>3</v>
      </c>
      <c r="DF14">
        <f>ROUND(ROUND(AE14,2)*CX14,2)</f>
        <v>1.53</v>
      </c>
      <c r="DG14">
        <f t="shared" si="1"/>
        <v>0</v>
      </c>
      <c r="DH14">
        <f t="shared" si="2"/>
        <v>0</v>
      </c>
      <c r="DI14">
        <f t="shared" si="3"/>
        <v>0</v>
      </c>
      <c r="DJ14">
        <f>DF14</f>
        <v>1.53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ROW(Source!A35)</f>
        <v>35</v>
      </c>
      <c r="B15">
        <v>60258618</v>
      </c>
      <c r="C15">
        <v>60258750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268</v>
      </c>
      <c r="J15" t="s">
        <v>3</v>
      </c>
      <c r="K15" t="s">
        <v>269</v>
      </c>
      <c r="L15">
        <v>1191</v>
      </c>
      <c r="N15">
        <v>1013</v>
      </c>
      <c r="O15" t="s">
        <v>270</v>
      </c>
      <c r="P15" t="s">
        <v>270</v>
      </c>
      <c r="Q15">
        <v>1</v>
      </c>
      <c r="W15">
        <v>0</v>
      </c>
      <c r="X15">
        <v>476480486</v>
      </c>
      <c r="Y15">
        <f>(AT15*1.1)</f>
        <v>3.4980000000000007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5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3.18</v>
      </c>
      <c r="AU15" t="s">
        <v>24</v>
      </c>
      <c r="AV15">
        <v>1</v>
      </c>
      <c r="AW15">
        <v>2</v>
      </c>
      <c r="AX15">
        <v>60258986</v>
      </c>
      <c r="AY15">
        <v>1</v>
      </c>
      <c r="AZ15">
        <v>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ROUND(AT15*Source!I35*AH15*AL15,2)</f>
        <v>0</v>
      </c>
      <c r="CV15">
        <f>ROUND(Y15*Source!I35,9)</f>
        <v>3.4980000000000002</v>
      </c>
      <c r="CW15">
        <v>0</v>
      </c>
      <c r="CX15">
        <f>ROUND(Y15*Source!I35,9)</f>
        <v>3.4980000000000002</v>
      </c>
      <c r="CY15">
        <f>AD15</f>
        <v>0</v>
      </c>
      <c r="CZ15">
        <f>AH15</f>
        <v>0</v>
      </c>
      <c r="DA15">
        <f>AL15</f>
        <v>1</v>
      </c>
      <c r="DB15">
        <f>ROUND((ROUND(AT15*CZ15,2)*1.1),6)</f>
        <v>0</v>
      </c>
      <c r="DC15">
        <f>ROUND((ROUND(AT15*AG15,2)*1.1),6)</f>
        <v>0</v>
      </c>
      <c r="DD15" t="s">
        <v>3</v>
      </c>
      <c r="DE15" t="s">
        <v>3</v>
      </c>
      <c r="DF15">
        <f>ROUND(ROUND(AE15,2)*CX15,2)</f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60258618</v>
      </c>
      <c r="C16">
        <v>60258750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286</v>
      </c>
      <c r="J16" t="s">
        <v>287</v>
      </c>
      <c r="K16" t="s">
        <v>288</v>
      </c>
      <c r="L16">
        <v>1346</v>
      </c>
      <c r="N16">
        <v>1009</v>
      </c>
      <c r="O16" t="s">
        <v>282</v>
      </c>
      <c r="P16" t="s">
        <v>282</v>
      </c>
      <c r="Q16">
        <v>1</v>
      </c>
      <c r="W16">
        <v>0</v>
      </c>
      <c r="X16">
        <v>1225168167</v>
      </c>
      <c r="Y16">
        <f>(AT16*1)</f>
        <v>6.2700000000000004E-3</v>
      </c>
      <c r="AA16">
        <v>172.35</v>
      </c>
      <c r="AB16">
        <v>0</v>
      </c>
      <c r="AC16">
        <v>0</v>
      </c>
      <c r="AD16">
        <v>0</v>
      </c>
      <c r="AE16">
        <v>27.62</v>
      </c>
      <c r="AF16">
        <v>0</v>
      </c>
      <c r="AG16">
        <v>0</v>
      </c>
      <c r="AH16">
        <v>0</v>
      </c>
      <c r="AI16">
        <v>6.24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6.2700000000000004E-3</v>
      </c>
      <c r="AU16" t="s">
        <v>23</v>
      </c>
      <c r="AV16">
        <v>0</v>
      </c>
      <c r="AW16">
        <v>2</v>
      </c>
      <c r="AX16">
        <v>60258987</v>
      </c>
      <c r="AY16">
        <v>1</v>
      </c>
      <c r="AZ16">
        <v>0</v>
      </c>
      <c r="BA16">
        <v>21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ROUND(Y16*Source!I35,9)</f>
        <v>6.2700000000000004E-3</v>
      </c>
      <c r="CY16">
        <f>AA16</f>
        <v>172.35</v>
      </c>
      <c r="CZ16">
        <f>AE16</f>
        <v>27.62</v>
      </c>
      <c r="DA16">
        <f>AI16</f>
        <v>6.24</v>
      </c>
      <c r="DB16">
        <f>ROUND((ROUND(AT16*CZ16,2)*1),6)</f>
        <v>0.17</v>
      </c>
      <c r="DC16">
        <f>ROUND((ROUND(AT16*AG16,2)*1),6)</f>
        <v>0</v>
      </c>
      <c r="DD16" t="s">
        <v>3</v>
      </c>
      <c r="DE16" t="s">
        <v>3</v>
      </c>
      <c r="DF16">
        <f>ROUND(ROUND(AE16*AI16,2)*CX16,2)</f>
        <v>1.08</v>
      </c>
      <c r="DG16">
        <f t="shared" si="1"/>
        <v>0</v>
      </c>
      <c r="DH16">
        <f t="shared" si="2"/>
        <v>0</v>
      </c>
      <c r="DI16">
        <f t="shared" si="3"/>
        <v>0</v>
      </c>
      <c r="DJ16">
        <f>DF16</f>
        <v>1.08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ROW(Source!A35)</f>
        <v>35</v>
      </c>
      <c r="B17">
        <v>60258618</v>
      </c>
      <c r="C17">
        <v>60258750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271</v>
      </c>
      <c r="J17" t="s">
        <v>272</v>
      </c>
      <c r="K17" t="s">
        <v>273</v>
      </c>
      <c r="L17">
        <v>1348</v>
      </c>
      <c r="N17">
        <v>1009</v>
      </c>
      <c r="O17" t="s">
        <v>274</v>
      </c>
      <c r="P17" t="s">
        <v>274</v>
      </c>
      <c r="Q17">
        <v>1000</v>
      </c>
      <c r="W17">
        <v>0</v>
      </c>
      <c r="X17">
        <v>-1945031955</v>
      </c>
      <c r="Y17">
        <f>(AT17*1)</f>
        <v>1.0000000000000001E-5</v>
      </c>
      <c r="AA17">
        <v>1930103.81</v>
      </c>
      <c r="AB17">
        <v>0</v>
      </c>
      <c r="AC17">
        <v>0</v>
      </c>
      <c r="AD17">
        <v>0</v>
      </c>
      <c r="AE17">
        <v>64123.05</v>
      </c>
      <c r="AF17">
        <v>0</v>
      </c>
      <c r="AG17">
        <v>0</v>
      </c>
      <c r="AH17">
        <v>0</v>
      </c>
      <c r="AI17">
        <v>30.1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1.0000000000000001E-5</v>
      </c>
      <c r="AU17" t="s">
        <v>23</v>
      </c>
      <c r="AV17">
        <v>0</v>
      </c>
      <c r="AW17">
        <v>2</v>
      </c>
      <c r="AX17">
        <v>60258988</v>
      </c>
      <c r="AY17">
        <v>1</v>
      </c>
      <c r="AZ17">
        <v>0</v>
      </c>
      <c r="BA17">
        <v>22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ROUND(Y17*Source!I35,9)</f>
        <v>1.0000000000000001E-5</v>
      </c>
      <c r="CY17">
        <f>AA17</f>
        <v>1930103.81</v>
      </c>
      <c r="CZ17">
        <f>AE17</f>
        <v>64123.05</v>
      </c>
      <c r="DA17">
        <f>AI17</f>
        <v>30.1</v>
      </c>
      <c r="DB17">
        <f>ROUND((ROUND(AT17*CZ17,2)*1),6)</f>
        <v>0.64</v>
      </c>
      <c r="DC17">
        <f>ROUND((ROUND(AT17*AG17,2)*1),6)</f>
        <v>0</v>
      </c>
      <c r="DD17" t="s">
        <v>3</v>
      </c>
      <c r="DE17" t="s">
        <v>3</v>
      </c>
      <c r="DF17">
        <f>ROUND(ROUND(AE17*AI17,2)*CX17,2)</f>
        <v>19.3</v>
      </c>
      <c r="DG17">
        <f t="shared" si="1"/>
        <v>0</v>
      </c>
      <c r="DH17">
        <f t="shared" si="2"/>
        <v>0</v>
      </c>
      <c r="DI17">
        <f t="shared" si="3"/>
        <v>0</v>
      </c>
      <c r="DJ17">
        <f>DF17</f>
        <v>19.3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ROW(Source!A35)</f>
        <v>35</v>
      </c>
      <c r="B18">
        <v>60258618</v>
      </c>
      <c r="C18">
        <v>60258750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289</v>
      </c>
      <c r="J18" t="s">
        <v>290</v>
      </c>
      <c r="K18" t="s">
        <v>291</v>
      </c>
      <c r="L18">
        <v>1354</v>
      </c>
      <c r="N18">
        <v>1010</v>
      </c>
      <c r="O18" t="s">
        <v>249</v>
      </c>
      <c r="P18" t="s">
        <v>249</v>
      </c>
      <c r="Q18">
        <v>1</v>
      </c>
      <c r="W18">
        <v>0</v>
      </c>
      <c r="X18">
        <v>314181591</v>
      </c>
      <c r="Y18">
        <f>(AT18*1)</f>
        <v>0.1</v>
      </c>
      <c r="AA18">
        <v>36.14</v>
      </c>
      <c r="AB18">
        <v>0</v>
      </c>
      <c r="AC18">
        <v>0</v>
      </c>
      <c r="AD18">
        <v>0</v>
      </c>
      <c r="AE18">
        <v>15.25</v>
      </c>
      <c r="AF18">
        <v>0</v>
      </c>
      <c r="AG18">
        <v>0</v>
      </c>
      <c r="AH18">
        <v>0</v>
      </c>
      <c r="AI18">
        <v>2.37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0.1</v>
      </c>
      <c r="AU18" t="s">
        <v>23</v>
      </c>
      <c r="AV18">
        <v>0</v>
      </c>
      <c r="AW18">
        <v>2</v>
      </c>
      <c r="AX18">
        <v>60258989</v>
      </c>
      <c r="AY18">
        <v>1</v>
      </c>
      <c r="AZ18">
        <v>0</v>
      </c>
      <c r="BA18">
        <v>23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ROUND(Y18*Source!I35,9)</f>
        <v>0.1</v>
      </c>
      <c r="CY18">
        <f>AA18</f>
        <v>36.14</v>
      </c>
      <c r="CZ18">
        <f>AE18</f>
        <v>15.25</v>
      </c>
      <c r="DA18">
        <f>AI18</f>
        <v>2.37</v>
      </c>
      <c r="DB18">
        <f>ROUND((ROUND(AT18*CZ18,2)*1),6)</f>
        <v>1.53</v>
      </c>
      <c r="DC18">
        <f>ROUND((ROUND(AT18*AG18,2)*1),6)</f>
        <v>0</v>
      </c>
      <c r="DD18" t="s">
        <v>3</v>
      </c>
      <c r="DE18" t="s">
        <v>3</v>
      </c>
      <c r="DF18">
        <f>ROUND(ROUND(AE18*AI18,2)*CX18,2)</f>
        <v>3.61</v>
      </c>
      <c r="DG18">
        <f t="shared" si="1"/>
        <v>0</v>
      </c>
      <c r="DH18">
        <f t="shared" si="2"/>
        <v>0</v>
      </c>
      <c r="DI18">
        <f t="shared" si="3"/>
        <v>0</v>
      </c>
      <c r="DJ18">
        <f>DF18</f>
        <v>3.61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ROW(Source!A38)</f>
        <v>38</v>
      </c>
      <c r="B19">
        <v>60258621</v>
      </c>
      <c r="C19">
        <v>60258761</v>
      </c>
      <c r="D19">
        <v>58999254</v>
      </c>
      <c r="E19">
        <v>1080</v>
      </c>
      <c r="F19">
        <v>1</v>
      </c>
      <c r="G19">
        <v>1080</v>
      </c>
      <c r="H19">
        <v>1</v>
      </c>
      <c r="I19" t="s">
        <v>268</v>
      </c>
      <c r="J19" t="s">
        <v>3</v>
      </c>
      <c r="K19" t="s">
        <v>269</v>
      </c>
      <c r="L19">
        <v>1191</v>
      </c>
      <c r="N19">
        <v>1013</v>
      </c>
      <c r="O19" t="s">
        <v>270</v>
      </c>
      <c r="P19" t="s">
        <v>270</v>
      </c>
      <c r="Q19">
        <v>1</v>
      </c>
      <c r="W19">
        <v>0</v>
      </c>
      <c r="X19">
        <v>476480486</v>
      </c>
      <c r="Y19">
        <f t="shared" ref="Y19:Y27" si="4">(AT19*1.1)</f>
        <v>7.9200000000000008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7.2</v>
      </c>
      <c r="AU19" t="s">
        <v>24</v>
      </c>
      <c r="AV19">
        <v>1</v>
      </c>
      <c r="AW19">
        <v>2</v>
      </c>
      <c r="AX19">
        <v>60258991</v>
      </c>
      <c r="AY19">
        <v>1</v>
      </c>
      <c r="AZ19">
        <v>0</v>
      </c>
      <c r="BA19">
        <v>25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ROUND(AT19*Source!I38*AH19*AL19,2)</f>
        <v>0</v>
      </c>
      <c r="CV19">
        <f>ROUND(Y19*Source!I38,9)</f>
        <v>7.92</v>
      </c>
      <c r="CW19">
        <v>0</v>
      </c>
      <c r="CX19">
        <f>ROUND(Y19*Source!I38,9)</f>
        <v>7.92</v>
      </c>
      <c r="CY19">
        <f t="shared" ref="CY19:CY27" si="5">AD19</f>
        <v>0</v>
      </c>
      <c r="CZ19">
        <f t="shared" ref="CZ19:CZ27" si="6">AH19</f>
        <v>0</v>
      </c>
      <c r="DA19">
        <f t="shared" ref="DA19:DA27" si="7">AL19</f>
        <v>1</v>
      </c>
      <c r="DB19">
        <f t="shared" ref="DB19:DB27" si="8">ROUND((ROUND(AT19*CZ19,2)*1.1),6)</f>
        <v>0</v>
      </c>
      <c r="DC19">
        <f t="shared" ref="DC19:DC27" si="9">ROUND((ROUND(AT19*AG19,2)*1.1),6)</f>
        <v>0</v>
      </c>
      <c r="DD19" t="s">
        <v>3</v>
      </c>
      <c r="DE19" t="s">
        <v>3</v>
      </c>
      <c r="DF19">
        <f t="shared" ref="DF19:DF31" si="10">ROUND(ROUND(AE19,2)*CX19,2)</f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ref="DJ19:DJ27" si="11"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ROW(Source!A39)</f>
        <v>39</v>
      </c>
      <c r="B20">
        <v>60258618</v>
      </c>
      <c r="C20">
        <v>60258761</v>
      </c>
      <c r="D20">
        <v>58999254</v>
      </c>
      <c r="E20">
        <v>1080</v>
      </c>
      <c r="F20">
        <v>1</v>
      </c>
      <c r="G20">
        <v>1080</v>
      </c>
      <c r="H20">
        <v>1</v>
      </c>
      <c r="I20" t="s">
        <v>268</v>
      </c>
      <c r="J20" t="s">
        <v>3</v>
      </c>
      <c r="K20" t="s">
        <v>269</v>
      </c>
      <c r="L20">
        <v>1191</v>
      </c>
      <c r="N20">
        <v>1013</v>
      </c>
      <c r="O20" t="s">
        <v>270</v>
      </c>
      <c r="P20" t="s">
        <v>270</v>
      </c>
      <c r="Q20">
        <v>1</v>
      </c>
      <c r="W20">
        <v>0</v>
      </c>
      <c r="X20">
        <v>476480486</v>
      </c>
      <c r="Y20">
        <f t="shared" si="4"/>
        <v>7.9200000000000008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7.2</v>
      </c>
      <c r="AU20" t="s">
        <v>24</v>
      </c>
      <c r="AV20">
        <v>1</v>
      </c>
      <c r="AW20">
        <v>2</v>
      </c>
      <c r="AX20">
        <v>60258991</v>
      </c>
      <c r="AY20">
        <v>1</v>
      </c>
      <c r="AZ20">
        <v>0</v>
      </c>
      <c r="BA20">
        <v>26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ROUND(AT20*Source!I39*AH20*AL20,2)</f>
        <v>0</v>
      </c>
      <c r="CV20">
        <f>ROUND(Y20*Source!I39,9)</f>
        <v>7.92</v>
      </c>
      <c r="CW20">
        <v>0</v>
      </c>
      <c r="CX20">
        <f>ROUND(Y20*Source!I39,9)</f>
        <v>7.92</v>
      </c>
      <c r="CY20">
        <f t="shared" si="5"/>
        <v>0</v>
      </c>
      <c r="CZ20">
        <f t="shared" si="6"/>
        <v>0</v>
      </c>
      <c r="DA20">
        <f t="shared" si="7"/>
        <v>1</v>
      </c>
      <c r="DB20">
        <f t="shared" si="8"/>
        <v>0</v>
      </c>
      <c r="DC20">
        <f t="shared" si="9"/>
        <v>0</v>
      </c>
      <c r="DD20" t="s">
        <v>3</v>
      </c>
      <c r="DE20" t="s">
        <v>3</v>
      </c>
      <c r="DF20">
        <f t="shared" si="10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ROW(Source!A42)</f>
        <v>42</v>
      </c>
      <c r="B21">
        <v>60258621</v>
      </c>
      <c r="C21">
        <v>60258765</v>
      </c>
      <c r="D21">
        <v>58999254</v>
      </c>
      <c r="E21">
        <v>1080</v>
      </c>
      <c r="F21">
        <v>1</v>
      </c>
      <c r="G21">
        <v>1080</v>
      </c>
      <c r="H21">
        <v>1</v>
      </c>
      <c r="I21" t="s">
        <v>268</v>
      </c>
      <c r="J21" t="s">
        <v>3</v>
      </c>
      <c r="K21" t="s">
        <v>269</v>
      </c>
      <c r="L21">
        <v>1191</v>
      </c>
      <c r="N21">
        <v>1013</v>
      </c>
      <c r="O21" t="s">
        <v>270</v>
      </c>
      <c r="P21" t="s">
        <v>270</v>
      </c>
      <c r="Q21">
        <v>1</v>
      </c>
      <c r="W21">
        <v>0</v>
      </c>
      <c r="X21">
        <v>476480486</v>
      </c>
      <c r="Y21">
        <f t="shared" si="4"/>
        <v>1.32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1.2</v>
      </c>
      <c r="AU21" t="s">
        <v>24</v>
      </c>
      <c r="AV21">
        <v>1</v>
      </c>
      <c r="AW21">
        <v>2</v>
      </c>
      <c r="AX21">
        <v>60258992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ROUND(AT21*Source!I42*AH21*AL21,2)</f>
        <v>0</v>
      </c>
      <c r="CV21">
        <f>ROUND(Y21*Source!I42,9)</f>
        <v>1.32</v>
      </c>
      <c r="CW21">
        <v>0</v>
      </c>
      <c r="CX21">
        <f>ROUND(Y21*Source!I42,9)</f>
        <v>1.32</v>
      </c>
      <c r="CY21">
        <f t="shared" si="5"/>
        <v>0</v>
      </c>
      <c r="CZ21">
        <f t="shared" si="6"/>
        <v>0</v>
      </c>
      <c r="DA21">
        <f t="shared" si="7"/>
        <v>1</v>
      </c>
      <c r="DB21">
        <f t="shared" si="8"/>
        <v>0</v>
      </c>
      <c r="DC21">
        <f t="shared" si="9"/>
        <v>0</v>
      </c>
      <c r="DD21" t="s">
        <v>3</v>
      </c>
      <c r="DE21" t="s">
        <v>3</v>
      </c>
      <c r="DF21">
        <f t="shared" si="10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ROW(Source!A43)</f>
        <v>43</v>
      </c>
      <c r="B22">
        <v>60258618</v>
      </c>
      <c r="C22">
        <v>60258765</v>
      </c>
      <c r="D22">
        <v>58999254</v>
      </c>
      <c r="E22">
        <v>1080</v>
      </c>
      <c r="F22">
        <v>1</v>
      </c>
      <c r="G22">
        <v>1080</v>
      </c>
      <c r="H22">
        <v>1</v>
      </c>
      <c r="I22" t="s">
        <v>268</v>
      </c>
      <c r="J22" t="s">
        <v>3</v>
      </c>
      <c r="K22" t="s">
        <v>269</v>
      </c>
      <c r="L22">
        <v>1191</v>
      </c>
      <c r="N22">
        <v>1013</v>
      </c>
      <c r="O22" t="s">
        <v>270</v>
      </c>
      <c r="P22" t="s">
        <v>270</v>
      </c>
      <c r="Q22">
        <v>1</v>
      </c>
      <c r="W22">
        <v>0</v>
      </c>
      <c r="X22">
        <v>476480486</v>
      </c>
      <c r="Y22">
        <f t="shared" si="4"/>
        <v>1.32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1.2</v>
      </c>
      <c r="AU22" t="s">
        <v>24</v>
      </c>
      <c r="AV22">
        <v>1</v>
      </c>
      <c r="AW22">
        <v>2</v>
      </c>
      <c r="AX22">
        <v>60258992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ROUND(AT22*Source!I43*AH22*AL22,2)</f>
        <v>0</v>
      </c>
      <c r="CV22">
        <f>ROUND(Y22*Source!I43,9)</f>
        <v>1.32</v>
      </c>
      <c r="CW22">
        <v>0</v>
      </c>
      <c r="CX22">
        <f>ROUND(Y22*Source!I43,9)</f>
        <v>1.32</v>
      </c>
      <c r="CY22">
        <f t="shared" si="5"/>
        <v>0</v>
      </c>
      <c r="CZ22">
        <f t="shared" si="6"/>
        <v>0</v>
      </c>
      <c r="DA22">
        <f t="shared" si="7"/>
        <v>1</v>
      </c>
      <c r="DB22">
        <f t="shared" si="8"/>
        <v>0</v>
      </c>
      <c r="DC22">
        <f t="shared" si="9"/>
        <v>0</v>
      </c>
      <c r="DD22" t="s">
        <v>3</v>
      </c>
      <c r="DE22" t="s">
        <v>3</v>
      </c>
      <c r="DF22">
        <f t="shared" si="10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1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ROW(Source!A46)</f>
        <v>46</v>
      </c>
      <c r="B23">
        <v>60258621</v>
      </c>
      <c r="C23">
        <v>60258769</v>
      </c>
      <c r="D23">
        <v>58999254</v>
      </c>
      <c r="E23">
        <v>1080</v>
      </c>
      <c r="F23">
        <v>1</v>
      </c>
      <c r="G23">
        <v>1080</v>
      </c>
      <c r="H23">
        <v>1</v>
      </c>
      <c r="I23" t="s">
        <v>268</v>
      </c>
      <c r="J23" t="s">
        <v>3</v>
      </c>
      <c r="K23" t="s">
        <v>269</v>
      </c>
      <c r="L23">
        <v>1191</v>
      </c>
      <c r="N23">
        <v>1013</v>
      </c>
      <c r="O23" t="s">
        <v>270</v>
      </c>
      <c r="P23" t="s">
        <v>270</v>
      </c>
      <c r="Q23">
        <v>1</v>
      </c>
      <c r="W23">
        <v>0</v>
      </c>
      <c r="X23">
        <v>476480486</v>
      </c>
      <c r="Y23">
        <f t="shared" si="4"/>
        <v>6.2700000000000005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5.7</v>
      </c>
      <c r="AU23" t="s">
        <v>24</v>
      </c>
      <c r="AV23">
        <v>1</v>
      </c>
      <c r="AW23">
        <v>2</v>
      </c>
      <c r="AX23">
        <v>60258993</v>
      </c>
      <c r="AY23">
        <v>1</v>
      </c>
      <c r="AZ23">
        <v>0</v>
      </c>
      <c r="BA23">
        <v>29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ROUND(AT23*Source!I46*AH23*AL23,2)</f>
        <v>0</v>
      </c>
      <c r="CV23">
        <f>ROUND(Y23*Source!I46,9)</f>
        <v>6.27</v>
      </c>
      <c r="CW23">
        <v>0</v>
      </c>
      <c r="CX23">
        <f>ROUND(Y23*Source!I46,9)</f>
        <v>6.27</v>
      </c>
      <c r="CY23">
        <f t="shared" si="5"/>
        <v>0</v>
      </c>
      <c r="CZ23">
        <f t="shared" si="6"/>
        <v>0</v>
      </c>
      <c r="DA23">
        <f t="shared" si="7"/>
        <v>1</v>
      </c>
      <c r="DB23">
        <f t="shared" si="8"/>
        <v>0</v>
      </c>
      <c r="DC23">
        <f t="shared" si="9"/>
        <v>0</v>
      </c>
      <c r="DD23" t="s">
        <v>3</v>
      </c>
      <c r="DE23" t="s">
        <v>3</v>
      </c>
      <c r="DF23">
        <f t="shared" si="1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 t="shared" si="11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ROW(Source!A47)</f>
        <v>47</v>
      </c>
      <c r="B24">
        <v>60258618</v>
      </c>
      <c r="C24">
        <v>60258769</v>
      </c>
      <c r="D24">
        <v>58999254</v>
      </c>
      <c r="E24">
        <v>1080</v>
      </c>
      <c r="F24">
        <v>1</v>
      </c>
      <c r="G24">
        <v>1080</v>
      </c>
      <c r="H24">
        <v>1</v>
      </c>
      <c r="I24" t="s">
        <v>268</v>
      </c>
      <c r="J24" t="s">
        <v>3</v>
      </c>
      <c r="K24" t="s">
        <v>269</v>
      </c>
      <c r="L24">
        <v>1191</v>
      </c>
      <c r="N24">
        <v>1013</v>
      </c>
      <c r="O24" t="s">
        <v>270</v>
      </c>
      <c r="P24" t="s">
        <v>270</v>
      </c>
      <c r="Q24">
        <v>1</v>
      </c>
      <c r="W24">
        <v>0</v>
      </c>
      <c r="X24">
        <v>476480486</v>
      </c>
      <c r="Y24">
        <f t="shared" si="4"/>
        <v>6.2700000000000005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5.7</v>
      </c>
      <c r="AU24" t="s">
        <v>24</v>
      </c>
      <c r="AV24">
        <v>1</v>
      </c>
      <c r="AW24">
        <v>2</v>
      </c>
      <c r="AX24">
        <v>60258993</v>
      </c>
      <c r="AY24">
        <v>1</v>
      </c>
      <c r="AZ24">
        <v>0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U24">
        <f>ROUND(AT24*Source!I47*AH24*AL24,2)</f>
        <v>0</v>
      </c>
      <c r="CV24">
        <f>ROUND(Y24*Source!I47,9)</f>
        <v>6.27</v>
      </c>
      <c r="CW24">
        <v>0</v>
      </c>
      <c r="CX24">
        <f>ROUND(Y24*Source!I47,9)</f>
        <v>6.27</v>
      </c>
      <c r="CY24">
        <f t="shared" si="5"/>
        <v>0</v>
      </c>
      <c r="CZ24">
        <f t="shared" si="6"/>
        <v>0</v>
      </c>
      <c r="DA24">
        <f t="shared" si="7"/>
        <v>1</v>
      </c>
      <c r="DB24">
        <f t="shared" si="8"/>
        <v>0</v>
      </c>
      <c r="DC24">
        <f t="shared" si="9"/>
        <v>0</v>
      </c>
      <c r="DD24" t="s">
        <v>3</v>
      </c>
      <c r="DE24" t="s">
        <v>3</v>
      </c>
      <c r="DF24">
        <f t="shared" si="10"/>
        <v>0</v>
      </c>
      <c r="DG24">
        <f t="shared" si="1"/>
        <v>0</v>
      </c>
      <c r="DH24">
        <f t="shared" si="2"/>
        <v>0</v>
      </c>
      <c r="DI24">
        <f t="shared" si="3"/>
        <v>0</v>
      </c>
      <c r="DJ24">
        <f t="shared" si="11"/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ROW(Source!A50)</f>
        <v>50</v>
      </c>
      <c r="B25">
        <v>60258621</v>
      </c>
      <c r="C25">
        <v>60258773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268</v>
      </c>
      <c r="J25" t="s">
        <v>3</v>
      </c>
      <c r="K25" t="s">
        <v>269</v>
      </c>
      <c r="L25">
        <v>1191</v>
      </c>
      <c r="N25">
        <v>1013</v>
      </c>
      <c r="O25" t="s">
        <v>270</v>
      </c>
      <c r="P25" t="s">
        <v>270</v>
      </c>
      <c r="Q25">
        <v>1</v>
      </c>
      <c r="W25">
        <v>0</v>
      </c>
      <c r="X25">
        <v>476480486</v>
      </c>
      <c r="Y25">
        <f t="shared" si="4"/>
        <v>3.9600000000000004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3.6</v>
      </c>
      <c r="AU25" t="s">
        <v>24</v>
      </c>
      <c r="AV25">
        <v>1</v>
      </c>
      <c r="AW25">
        <v>2</v>
      </c>
      <c r="AX25">
        <v>60258994</v>
      </c>
      <c r="AY25">
        <v>1</v>
      </c>
      <c r="AZ25">
        <v>0</v>
      </c>
      <c r="BA25">
        <v>31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ROUND(AT25*Source!I50*AH25*AL25,2)</f>
        <v>0</v>
      </c>
      <c r="CV25">
        <f>ROUND(Y25*Source!I50,9)</f>
        <v>3.96</v>
      </c>
      <c r="CW25">
        <v>0</v>
      </c>
      <c r="CX25">
        <f>ROUND(Y25*Source!I50,9)</f>
        <v>3.96</v>
      </c>
      <c r="CY25">
        <f t="shared" si="5"/>
        <v>0</v>
      </c>
      <c r="CZ25">
        <f t="shared" si="6"/>
        <v>0</v>
      </c>
      <c r="DA25">
        <f t="shared" si="7"/>
        <v>1</v>
      </c>
      <c r="DB25">
        <f t="shared" si="8"/>
        <v>0</v>
      </c>
      <c r="DC25">
        <f t="shared" si="9"/>
        <v>0</v>
      </c>
      <c r="DD25" t="s">
        <v>3</v>
      </c>
      <c r="DE25" t="s">
        <v>3</v>
      </c>
      <c r="DF25">
        <f t="shared" si="10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 t="shared" si="11"/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ROW(Source!A51)</f>
        <v>51</v>
      </c>
      <c r="B26">
        <v>60258618</v>
      </c>
      <c r="C26">
        <v>60258773</v>
      </c>
      <c r="D26">
        <v>58999254</v>
      </c>
      <c r="E26">
        <v>1080</v>
      </c>
      <c r="F26">
        <v>1</v>
      </c>
      <c r="G26">
        <v>1080</v>
      </c>
      <c r="H26">
        <v>1</v>
      </c>
      <c r="I26" t="s">
        <v>268</v>
      </c>
      <c r="J26" t="s">
        <v>3</v>
      </c>
      <c r="K26" t="s">
        <v>269</v>
      </c>
      <c r="L26">
        <v>1191</v>
      </c>
      <c r="N26">
        <v>1013</v>
      </c>
      <c r="O26" t="s">
        <v>270</v>
      </c>
      <c r="P26" t="s">
        <v>270</v>
      </c>
      <c r="Q26">
        <v>1</v>
      </c>
      <c r="W26">
        <v>0</v>
      </c>
      <c r="X26">
        <v>476480486</v>
      </c>
      <c r="Y26">
        <f t="shared" si="4"/>
        <v>3.9600000000000004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3.6</v>
      </c>
      <c r="AU26" t="s">
        <v>24</v>
      </c>
      <c r="AV26">
        <v>1</v>
      </c>
      <c r="AW26">
        <v>2</v>
      </c>
      <c r="AX26">
        <v>60258994</v>
      </c>
      <c r="AY26">
        <v>1</v>
      </c>
      <c r="AZ26">
        <v>0</v>
      </c>
      <c r="BA26">
        <v>32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ROUND(AT26*Source!I51*AH26*AL26,2)</f>
        <v>0</v>
      </c>
      <c r="CV26">
        <f>ROUND(Y26*Source!I51,9)</f>
        <v>3.96</v>
      </c>
      <c r="CW26">
        <v>0</v>
      </c>
      <c r="CX26">
        <f>ROUND(Y26*Source!I51,9)</f>
        <v>3.96</v>
      </c>
      <c r="CY26">
        <f t="shared" si="5"/>
        <v>0</v>
      </c>
      <c r="CZ26">
        <f t="shared" si="6"/>
        <v>0</v>
      </c>
      <c r="DA26">
        <f t="shared" si="7"/>
        <v>1</v>
      </c>
      <c r="DB26">
        <f t="shared" si="8"/>
        <v>0</v>
      </c>
      <c r="DC26">
        <f t="shared" si="9"/>
        <v>0</v>
      </c>
      <c r="DD26" t="s">
        <v>3</v>
      </c>
      <c r="DE26" t="s">
        <v>3</v>
      </c>
      <c r="DF26">
        <f t="shared" si="10"/>
        <v>0</v>
      </c>
      <c r="DG26">
        <f t="shared" si="1"/>
        <v>0</v>
      </c>
      <c r="DH26">
        <f t="shared" si="2"/>
        <v>0</v>
      </c>
      <c r="DI26">
        <f t="shared" si="3"/>
        <v>0</v>
      </c>
      <c r="DJ26">
        <f t="shared" si="11"/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ROW(Source!A54)</f>
        <v>54</v>
      </c>
      <c r="B27">
        <v>60258621</v>
      </c>
      <c r="C27">
        <v>60258777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268</v>
      </c>
      <c r="J27" t="s">
        <v>3</v>
      </c>
      <c r="K27" t="s">
        <v>269</v>
      </c>
      <c r="L27">
        <v>1191</v>
      </c>
      <c r="N27">
        <v>1013</v>
      </c>
      <c r="O27" t="s">
        <v>270</v>
      </c>
      <c r="P27" t="s">
        <v>270</v>
      </c>
      <c r="Q27">
        <v>1</v>
      </c>
      <c r="W27">
        <v>0</v>
      </c>
      <c r="X27">
        <v>476480486</v>
      </c>
      <c r="Y27">
        <f t="shared" si="4"/>
        <v>3.4980000000000007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3.18</v>
      </c>
      <c r="AU27" t="s">
        <v>24</v>
      </c>
      <c r="AV27">
        <v>1</v>
      </c>
      <c r="AW27">
        <v>2</v>
      </c>
      <c r="AX27">
        <v>60258995</v>
      </c>
      <c r="AY27">
        <v>1</v>
      </c>
      <c r="AZ27">
        <v>0</v>
      </c>
      <c r="BA27">
        <v>33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ROUND(AT27*Source!I54*AH27*AL27,2)</f>
        <v>0</v>
      </c>
      <c r="CV27">
        <f>ROUND(Y27*Source!I54,9)</f>
        <v>10.494</v>
      </c>
      <c r="CW27">
        <v>0</v>
      </c>
      <c r="CX27">
        <f>ROUND(Y27*Source!I54,9)</f>
        <v>10.494</v>
      </c>
      <c r="CY27">
        <f t="shared" si="5"/>
        <v>0</v>
      </c>
      <c r="CZ27">
        <f t="shared" si="6"/>
        <v>0</v>
      </c>
      <c r="DA27">
        <f t="shared" si="7"/>
        <v>1</v>
      </c>
      <c r="DB27">
        <f t="shared" si="8"/>
        <v>0</v>
      </c>
      <c r="DC27">
        <f t="shared" si="9"/>
        <v>0</v>
      </c>
      <c r="DD27" t="s">
        <v>3</v>
      </c>
      <c r="DE27" t="s">
        <v>3</v>
      </c>
      <c r="DF27">
        <f t="shared" si="10"/>
        <v>0</v>
      </c>
      <c r="DG27">
        <f t="shared" si="1"/>
        <v>0</v>
      </c>
      <c r="DH27">
        <f t="shared" si="2"/>
        <v>0</v>
      </c>
      <c r="DI27">
        <f t="shared" si="3"/>
        <v>0</v>
      </c>
      <c r="DJ27">
        <f t="shared" si="11"/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ROW(Source!A54)</f>
        <v>54</v>
      </c>
      <c r="B28">
        <v>60258621</v>
      </c>
      <c r="C28">
        <v>60258777</v>
      </c>
      <c r="D28">
        <v>59040743</v>
      </c>
      <c r="E28">
        <v>1</v>
      </c>
      <c r="F28">
        <v>1</v>
      </c>
      <c r="G28">
        <v>1080</v>
      </c>
      <c r="H28">
        <v>3</v>
      </c>
      <c r="I28" t="s">
        <v>286</v>
      </c>
      <c r="J28" t="s">
        <v>287</v>
      </c>
      <c r="K28" t="s">
        <v>288</v>
      </c>
      <c r="L28">
        <v>1346</v>
      </c>
      <c r="N28">
        <v>1009</v>
      </c>
      <c r="O28" t="s">
        <v>282</v>
      </c>
      <c r="P28" t="s">
        <v>282</v>
      </c>
      <c r="Q28">
        <v>1</v>
      </c>
      <c r="W28">
        <v>0</v>
      </c>
      <c r="X28">
        <v>1225168167</v>
      </c>
      <c r="Y28">
        <f>(AT28*1)</f>
        <v>6.2700000000000004E-3</v>
      </c>
      <c r="AA28">
        <v>27.62</v>
      </c>
      <c r="AB28">
        <v>0</v>
      </c>
      <c r="AC28">
        <v>0</v>
      </c>
      <c r="AD28">
        <v>0</v>
      </c>
      <c r="AE28">
        <v>27.62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6.2700000000000004E-3</v>
      </c>
      <c r="AU28" t="s">
        <v>23</v>
      </c>
      <c r="AV28">
        <v>0</v>
      </c>
      <c r="AW28">
        <v>2</v>
      </c>
      <c r="AX28">
        <v>60258996</v>
      </c>
      <c r="AY28">
        <v>1</v>
      </c>
      <c r="AZ28">
        <v>0</v>
      </c>
      <c r="BA28">
        <v>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ROUND(Y28*Source!I54,9)</f>
        <v>1.881E-2</v>
      </c>
      <c r="CY28">
        <f>AA28</f>
        <v>27.62</v>
      </c>
      <c r="CZ28">
        <f>AE28</f>
        <v>27.62</v>
      </c>
      <c r="DA28">
        <f>AI28</f>
        <v>1</v>
      </c>
      <c r="DB28">
        <f>ROUND((ROUND(AT28*CZ28,2)*1),6)</f>
        <v>0.17</v>
      </c>
      <c r="DC28">
        <f>ROUND((ROUND(AT28*AG28,2)*1),6)</f>
        <v>0</v>
      </c>
      <c r="DD28" t="s">
        <v>3</v>
      </c>
      <c r="DE28" t="s">
        <v>3</v>
      </c>
      <c r="DF28">
        <f t="shared" si="10"/>
        <v>0.52</v>
      </c>
      <c r="DG28">
        <f t="shared" si="1"/>
        <v>0</v>
      </c>
      <c r="DH28">
        <f t="shared" si="2"/>
        <v>0</v>
      </c>
      <c r="DI28">
        <f t="shared" si="3"/>
        <v>0</v>
      </c>
      <c r="DJ28">
        <f>DF28</f>
        <v>0.52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ROW(Source!A54)</f>
        <v>54</v>
      </c>
      <c r="B29">
        <v>60258621</v>
      </c>
      <c r="C29">
        <v>60258777</v>
      </c>
      <c r="D29">
        <v>59039462</v>
      </c>
      <c r="E29">
        <v>1</v>
      </c>
      <c r="F29">
        <v>1</v>
      </c>
      <c r="G29">
        <v>1080</v>
      </c>
      <c r="H29">
        <v>3</v>
      </c>
      <c r="I29" t="s">
        <v>271</v>
      </c>
      <c r="J29" t="s">
        <v>272</v>
      </c>
      <c r="K29" t="s">
        <v>273</v>
      </c>
      <c r="L29">
        <v>1348</v>
      </c>
      <c r="N29">
        <v>1009</v>
      </c>
      <c r="O29" t="s">
        <v>274</v>
      </c>
      <c r="P29" t="s">
        <v>274</v>
      </c>
      <c r="Q29">
        <v>1000</v>
      </c>
      <c r="W29">
        <v>0</v>
      </c>
      <c r="X29">
        <v>-1945031955</v>
      </c>
      <c r="Y29">
        <f>(AT29*1)</f>
        <v>1.0000000000000001E-5</v>
      </c>
      <c r="AA29">
        <v>64123.05</v>
      </c>
      <c r="AB29">
        <v>0</v>
      </c>
      <c r="AC29">
        <v>0</v>
      </c>
      <c r="AD29">
        <v>0</v>
      </c>
      <c r="AE29">
        <v>64123.05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1.0000000000000001E-5</v>
      </c>
      <c r="AU29" t="s">
        <v>23</v>
      </c>
      <c r="AV29">
        <v>0</v>
      </c>
      <c r="AW29">
        <v>2</v>
      </c>
      <c r="AX29">
        <v>60258997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ROUND(Y29*Source!I54,9)</f>
        <v>3.0000000000000001E-5</v>
      </c>
      <c r="CY29">
        <f>AA29</f>
        <v>64123.05</v>
      </c>
      <c r="CZ29">
        <f>AE29</f>
        <v>64123.05</v>
      </c>
      <c r="DA29">
        <f>AI29</f>
        <v>1</v>
      </c>
      <c r="DB29">
        <f>ROUND((ROUND(AT29*CZ29,2)*1),6)</f>
        <v>0.64</v>
      </c>
      <c r="DC29">
        <f>ROUND((ROUND(AT29*AG29,2)*1),6)</f>
        <v>0</v>
      </c>
      <c r="DD29" t="s">
        <v>3</v>
      </c>
      <c r="DE29" t="s">
        <v>3</v>
      </c>
      <c r="DF29">
        <f t="shared" si="10"/>
        <v>1.92</v>
      </c>
      <c r="DG29">
        <f t="shared" si="1"/>
        <v>0</v>
      </c>
      <c r="DH29">
        <f t="shared" si="2"/>
        <v>0</v>
      </c>
      <c r="DI29">
        <f t="shared" si="3"/>
        <v>0</v>
      </c>
      <c r="DJ29">
        <f>DF29</f>
        <v>1.92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ROW(Source!A54)</f>
        <v>54</v>
      </c>
      <c r="B30">
        <v>60258621</v>
      </c>
      <c r="C30">
        <v>60258777</v>
      </c>
      <c r="D30">
        <v>59049354</v>
      </c>
      <c r="E30">
        <v>1</v>
      </c>
      <c r="F30">
        <v>1</v>
      </c>
      <c r="G30">
        <v>1080</v>
      </c>
      <c r="H30">
        <v>3</v>
      </c>
      <c r="I30" t="s">
        <v>289</v>
      </c>
      <c r="J30" t="s">
        <v>290</v>
      </c>
      <c r="K30" t="s">
        <v>291</v>
      </c>
      <c r="L30">
        <v>1354</v>
      </c>
      <c r="N30">
        <v>1010</v>
      </c>
      <c r="O30" t="s">
        <v>249</v>
      </c>
      <c r="P30" t="s">
        <v>249</v>
      </c>
      <c r="Q30">
        <v>1</v>
      </c>
      <c r="W30">
        <v>0</v>
      </c>
      <c r="X30">
        <v>314181591</v>
      </c>
      <c r="Y30">
        <f>(AT30*1)</f>
        <v>0.1</v>
      </c>
      <c r="AA30">
        <v>15.25</v>
      </c>
      <c r="AB30">
        <v>0</v>
      </c>
      <c r="AC30">
        <v>0</v>
      </c>
      <c r="AD30">
        <v>0</v>
      </c>
      <c r="AE30">
        <v>15.25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0.1</v>
      </c>
      <c r="AU30" t="s">
        <v>23</v>
      </c>
      <c r="AV30">
        <v>0</v>
      </c>
      <c r="AW30">
        <v>2</v>
      </c>
      <c r="AX30">
        <v>60258998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ROUND(Y30*Source!I54,9)</f>
        <v>0.3</v>
      </c>
      <c r="CY30">
        <f>AA30</f>
        <v>15.25</v>
      </c>
      <c r="CZ30">
        <f>AE30</f>
        <v>15.25</v>
      </c>
      <c r="DA30">
        <f>AI30</f>
        <v>1</v>
      </c>
      <c r="DB30">
        <f>ROUND((ROUND(AT30*CZ30,2)*1),6)</f>
        <v>1.53</v>
      </c>
      <c r="DC30">
        <f>ROUND((ROUND(AT30*AG30,2)*1),6)</f>
        <v>0</v>
      </c>
      <c r="DD30" t="s">
        <v>3</v>
      </c>
      <c r="DE30" t="s">
        <v>3</v>
      </c>
      <c r="DF30">
        <f t="shared" si="10"/>
        <v>4.58</v>
      </c>
      <c r="DG30">
        <f t="shared" si="1"/>
        <v>0</v>
      </c>
      <c r="DH30">
        <f t="shared" si="2"/>
        <v>0</v>
      </c>
      <c r="DI30">
        <f t="shared" si="3"/>
        <v>0</v>
      </c>
      <c r="DJ30">
        <f>DF30</f>
        <v>4.58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ROW(Source!A55)</f>
        <v>55</v>
      </c>
      <c r="B31">
        <v>60258618</v>
      </c>
      <c r="C31">
        <v>60258777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268</v>
      </c>
      <c r="J31" t="s">
        <v>3</v>
      </c>
      <c r="K31" t="s">
        <v>269</v>
      </c>
      <c r="L31">
        <v>1191</v>
      </c>
      <c r="N31">
        <v>1013</v>
      </c>
      <c r="O31" t="s">
        <v>270</v>
      </c>
      <c r="P31" t="s">
        <v>270</v>
      </c>
      <c r="Q31">
        <v>1</v>
      </c>
      <c r="W31">
        <v>0</v>
      </c>
      <c r="X31">
        <v>476480486</v>
      </c>
      <c r="Y31">
        <f>(AT31*1.1)</f>
        <v>3.4980000000000007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3.18</v>
      </c>
      <c r="AU31" t="s">
        <v>24</v>
      </c>
      <c r="AV31">
        <v>1</v>
      </c>
      <c r="AW31">
        <v>2</v>
      </c>
      <c r="AX31">
        <v>60258995</v>
      </c>
      <c r="AY31">
        <v>1</v>
      </c>
      <c r="AZ31">
        <v>0</v>
      </c>
      <c r="BA31">
        <v>38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ROUND(AT31*Source!I55*AH31*AL31,2)</f>
        <v>0</v>
      </c>
      <c r="CV31">
        <f>ROUND(Y31*Source!I55,9)</f>
        <v>10.494</v>
      </c>
      <c r="CW31">
        <v>0</v>
      </c>
      <c r="CX31">
        <f>ROUND(Y31*Source!I55,9)</f>
        <v>10.494</v>
      </c>
      <c r="CY31">
        <f>AD31</f>
        <v>0</v>
      </c>
      <c r="CZ31">
        <f>AH31</f>
        <v>0</v>
      </c>
      <c r="DA31">
        <f>AL31</f>
        <v>1</v>
      </c>
      <c r="DB31">
        <f>ROUND((ROUND(AT31*CZ31,2)*1.1),6)</f>
        <v>0</v>
      </c>
      <c r="DC31">
        <f>ROUND((ROUND(AT31*AG31,2)*1.1),6)</f>
        <v>0</v>
      </c>
      <c r="DD31" t="s">
        <v>3</v>
      </c>
      <c r="DE31" t="s">
        <v>3</v>
      </c>
      <c r="DF31">
        <f t="shared" si="10"/>
        <v>0</v>
      </c>
      <c r="DG31">
        <f t="shared" si="1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ROW(Source!A55)</f>
        <v>55</v>
      </c>
      <c r="B32">
        <v>60258618</v>
      </c>
      <c r="C32">
        <v>60258777</v>
      </c>
      <c r="D32">
        <v>59040743</v>
      </c>
      <c r="E32">
        <v>1</v>
      </c>
      <c r="F32">
        <v>1</v>
      </c>
      <c r="G32">
        <v>1080</v>
      </c>
      <c r="H32">
        <v>3</v>
      </c>
      <c r="I32" t="s">
        <v>286</v>
      </c>
      <c r="J32" t="s">
        <v>287</v>
      </c>
      <c r="K32" t="s">
        <v>288</v>
      </c>
      <c r="L32">
        <v>1346</v>
      </c>
      <c r="N32">
        <v>1009</v>
      </c>
      <c r="O32" t="s">
        <v>282</v>
      </c>
      <c r="P32" t="s">
        <v>282</v>
      </c>
      <c r="Q32">
        <v>1</v>
      </c>
      <c r="W32">
        <v>0</v>
      </c>
      <c r="X32">
        <v>1225168167</v>
      </c>
      <c r="Y32">
        <f>(AT32*1)</f>
        <v>6.2700000000000004E-3</v>
      </c>
      <c r="AA32">
        <v>172.35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6.24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23</v>
      </c>
      <c r="AV32">
        <v>0</v>
      </c>
      <c r="AW32">
        <v>2</v>
      </c>
      <c r="AX32">
        <v>60258996</v>
      </c>
      <c r="AY32">
        <v>1</v>
      </c>
      <c r="AZ32">
        <v>0</v>
      </c>
      <c r="BA32">
        <v>39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ROUND(Y32*Source!I55,9)</f>
        <v>1.881E-2</v>
      </c>
      <c r="CY32">
        <f>AA32</f>
        <v>172.35</v>
      </c>
      <c r="CZ32">
        <f>AE32</f>
        <v>27.62</v>
      </c>
      <c r="DA32">
        <f>AI32</f>
        <v>6.24</v>
      </c>
      <c r="DB32">
        <f>ROUND((ROUND(AT32*CZ32,2)*1),6)</f>
        <v>0.17</v>
      </c>
      <c r="DC32">
        <f>ROUND((ROUND(AT32*AG32,2)*1),6)</f>
        <v>0</v>
      </c>
      <c r="DD32" t="s">
        <v>3</v>
      </c>
      <c r="DE32" t="s">
        <v>3</v>
      </c>
      <c r="DF32">
        <f>ROUND(ROUND(AE32*AI32,2)*CX32,2)</f>
        <v>3.24</v>
      </c>
      <c r="DG32">
        <f t="shared" si="1"/>
        <v>0</v>
      </c>
      <c r="DH32">
        <f t="shared" si="2"/>
        <v>0</v>
      </c>
      <c r="DI32">
        <f t="shared" si="3"/>
        <v>0</v>
      </c>
      <c r="DJ32">
        <f>DF32</f>
        <v>3.24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ROW(Source!A55)</f>
        <v>55</v>
      </c>
      <c r="B33">
        <v>60258618</v>
      </c>
      <c r="C33">
        <v>60258777</v>
      </c>
      <c r="D33">
        <v>59039462</v>
      </c>
      <c r="E33">
        <v>1</v>
      </c>
      <c r="F33">
        <v>1</v>
      </c>
      <c r="G33">
        <v>1080</v>
      </c>
      <c r="H33">
        <v>3</v>
      </c>
      <c r="I33" t="s">
        <v>271</v>
      </c>
      <c r="J33" t="s">
        <v>272</v>
      </c>
      <c r="K33" t="s">
        <v>273</v>
      </c>
      <c r="L33">
        <v>1348</v>
      </c>
      <c r="N33">
        <v>1009</v>
      </c>
      <c r="O33" t="s">
        <v>274</v>
      </c>
      <c r="P33" t="s">
        <v>274</v>
      </c>
      <c r="Q33">
        <v>1000</v>
      </c>
      <c r="W33">
        <v>0</v>
      </c>
      <c r="X33">
        <v>-1945031955</v>
      </c>
      <c r="Y33">
        <f>(AT33*1)</f>
        <v>1.0000000000000001E-5</v>
      </c>
      <c r="AA33">
        <v>1930103.81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23</v>
      </c>
      <c r="AV33">
        <v>0</v>
      </c>
      <c r="AW33">
        <v>2</v>
      </c>
      <c r="AX33">
        <v>60258997</v>
      </c>
      <c r="AY33">
        <v>1</v>
      </c>
      <c r="AZ33">
        <v>0</v>
      </c>
      <c r="BA33">
        <v>40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ROUND(Y33*Source!I55,9)</f>
        <v>3.0000000000000001E-5</v>
      </c>
      <c r="CY33">
        <f>AA33</f>
        <v>1930103.81</v>
      </c>
      <c r="CZ33">
        <f>AE33</f>
        <v>64123.05</v>
      </c>
      <c r="DA33">
        <f>AI33</f>
        <v>30.1</v>
      </c>
      <c r="DB33">
        <f>ROUND((ROUND(AT33*CZ33,2)*1),6)</f>
        <v>0.64</v>
      </c>
      <c r="DC33">
        <f>ROUND((ROUND(AT33*AG33,2)*1),6)</f>
        <v>0</v>
      </c>
      <c r="DD33" t="s">
        <v>3</v>
      </c>
      <c r="DE33" t="s">
        <v>3</v>
      </c>
      <c r="DF33">
        <f>ROUND(ROUND(AE33*AI33,2)*CX33,2)</f>
        <v>57.9</v>
      </c>
      <c r="DG33">
        <f t="shared" ref="DG33:DG57" si="12">ROUND(ROUND(AF33,2)*CX33,2)</f>
        <v>0</v>
      </c>
      <c r="DH33">
        <f t="shared" ref="DH33:DH57" si="13">ROUND(ROUND(AG33,2)*CX33,2)</f>
        <v>0</v>
      </c>
      <c r="DI33">
        <f t="shared" ref="DI33:DI64" si="14">ROUND(ROUND(AH33,2)*CX33,2)</f>
        <v>0</v>
      </c>
      <c r="DJ33">
        <f>DF33</f>
        <v>57.9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ROW(Source!A55)</f>
        <v>55</v>
      </c>
      <c r="B34">
        <v>60258618</v>
      </c>
      <c r="C34">
        <v>60258777</v>
      </c>
      <c r="D34">
        <v>59049354</v>
      </c>
      <c r="E34">
        <v>1</v>
      </c>
      <c r="F34">
        <v>1</v>
      </c>
      <c r="G34">
        <v>1080</v>
      </c>
      <c r="H34">
        <v>3</v>
      </c>
      <c r="I34" t="s">
        <v>289</v>
      </c>
      <c r="J34" t="s">
        <v>290</v>
      </c>
      <c r="K34" t="s">
        <v>291</v>
      </c>
      <c r="L34">
        <v>1354</v>
      </c>
      <c r="N34">
        <v>1010</v>
      </c>
      <c r="O34" t="s">
        <v>249</v>
      </c>
      <c r="P34" t="s">
        <v>249</v>
      </c>
      <c r="Q34">
        <v>1</v>
      </c>
      <c r="W34">
        <v>0</v>
      </c>
      <c r="X34">
        <v>314181591</v>
      </c>
      <c r="Y34">
        <f>(AT34*1)</f>
        <v>0.1</v>
      </c>
      <c r="AA34">
        <v>36.14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2.37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23</v>
      </c>
      <c r="AV34">
        <v>0</v>
      </c>
      <c r="AW34">
        <v>2</v>
      </c>
      <c r="AX34">
        <v>60258998</v>
      </c>
      <c r="AY34">
        <v>1</v>
      </c>
      <c r="AZ34">
        <v>0</v>
      </c>
      <c r="BA34">
        <v>41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ROUND(Y34*Source!I55,9)</f>
        <v>0.3</v>
      </c>
      <c r="CY34">
        <f>AA34</f>
        <v>36.14</v>
      </c>
      <c r="CZ34">
        <f>AE34</f>
        <v>15.25</v>
      </c>
      <c r="DA34">
        <f>AI34</f>
        <v>2.37</v>
      </c>
      <c r="DB34">
        <f>ROUND((ROUND(AT34*CZ34,2)*1),6)</f>
        <v>1.53</v>
      </c>
      <c r="DC34">
        <f>ROUND((ROUND(AT34*AG34,2)*1),6)</f>
        <v>0</v>
      </c>
      <c r="DD34" t="s">
        <v>3</v>
      </c>
      <c r="DE34" t="s">
        <v>3</v>
      </c>
      <c r="DF34">
        <f>ROUND(ROUND(AE34*AI34,2)*CX34,2)</f>
        <v>10.84</v>
      </c>
      <c r="DG34">
        <f t="shared" si="12"/>
        <v>0</v>
      </c>
      <c r="DH34">
        <f t="shared" si="13"/>
        <v>0</v>
      </c>
      <c r="DI34">
        <f t="shared" si="14"/>
        <v>0</v>
      </c>
      <c r="DJ34">
        <f>DF34</f>
        <v>10.84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ROW(Source!A60)</f>
        <v>60</v>
      </c>
      <c r="B35">
        <v>60258621</v>
      </c>
      <c r="C35">
        <v>60258789</v>
      </c>
      <c r="D35">
        <v>58999254</v>
      </c>
      <c r="E35">
        <v>1080</v>
      </c>
      <c r="F35">
        <v>1</v>
      </c>
      <c r="G35">
        <v>1080</v>
      </c>
      <c r="H35">
        <v>1</v>
      </c>
      <c r="I35" t="s">
        <v>268</v>
      </c>
      <c r="J35" t="s">
        <v>3</v>
      </c>
      <c r="K35" t="s">
        <v>269</v>
      </c>
      <c r="L35">
        <v>1191</v>
      </c>
      <c r="N35">
        <v>1013</v>
      </c>
      <c r="O35" t="s">
        <v>270</v>
      </c>
      <c r="P35" t="s">
        <v>270</v>
      </c>
      <c r="Q35">
        <v>1</v>
      </c>
      <c r="W35">
        <v>0</v>
      </c>
      <c r="X35">
        <v>476480486</v>
      </c>
      <c r="Y35">
        <f t="shared" ref="Y35:Y47" si="15">(AT35*1.1)</f>
        <v>1.32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</v>
      </c>
      <c r="AU35" t="s">
        <v>24</v>
      </c>
      <c r="AV35">
        <v>1</v>
      </c>
      <c r="AW35">
        <v>2</v>
      </c>
      <c r="AX35">
        <v>60259000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ROUND(AT35*Source!I60*AH35*AL35,2)</f>
        <v>0</v>
      </c>
      <c r="CV35">
        <f>ROUND(Y35*Source!I60,9)</f>
        <v>1.32</v>
      </c>
      <c r="CW35">
        <v>0</v>
      </c>
      <c r="CX35">
        <f>ROUND(Y35*Source!I60,9)</f>
        <v>1.32</v>
      </c>
      <c r="CY35">
        <f t="shared" ref="CY35:CY47" si="16">AD35</f>
        <v>0</v>
      </c>
      <c r="CZ35">
        <f t="shared" ref="CZ35:CZ47" si="17">AH35</f>
        <v>0</v>
      </c>
      <c r="DA35">
        <f t="shared" ref="DA35:DA47" si="18">AL35</f>
        <v>1</v>
      </c>
      <c r="DB35">
        <f t="shared" ref="DB35:DB47" si="19">ROUND((ROUND(AT35*CZ35,2)*1.1),6)</f>
        <v>0</v>
      </c>
      <c r="DC35">
        <f t="shared" ref="DC35:DC47" si="20">ROUND((ROUND(AT35*AG35,2)*1.1),6)</f>
        <v>0</v>
      </c>
      <c r="DD35" t="s">
        <v>3</v>
      </c>
      <c r="DE35" t="s">
        <v>3</v>
      </c>
      <c r="DF35">
        <f t="shared" ref="DF35:DF49" si="21">ROUND(ROUND(AE35,2)*CX35,2)</f>
        <v>0</v>
      </c>
      <c r="DG35">
        <f t="shared" si="12"/>
        <v>0</v>
      </c>
      <c r="DH35">
        <f t="shared" si="13"/>
        <v>0</v>
      </c>
      <c r="DI35">
        <f t="shared" si="14"/>
        <v>0</v>
      </c>
      <c r="DJ35">
        <f t="shared" ref="DJ35:DJ47" si="22"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ROW(Source!A61)</f>
        <v>61</v>
      </c>
      <c r="B36">
        <v>60258618</v>
      </c>
      <c r="C36">
        <v>60258789</v>
      </c>
      <c r="D36">
        <v>58999254</v>
      </c>
      <c r="E36">
        <v>1080</v>
      </c>
      <c r="F36">
        <v>1</v>
      </c>
      <c r="G36">
        <v>1080</v>
      </c>
      <c r="H36">
        <v>1</v>
      </c>
      <c r="I36" t="s">
        <v>268</v>
      </c>
      <c r="J36" t="s">
        <v>3</v>
      </c>
      <c r="K36" t="s">
        <v>269</v>
      </c>
      <c r="L36">
        <v>1191</v>
      </c>
      <c r="N36">
        <v>1013</v>
      </c>
      <c r="O36" t="s">
        <v>270</v>
      </c>
      <c r="P36" t="s">
        <v>270</v>
      </c>
      <c r="Q36">
        <v>1</v>
      </c>
      <c r="W36">
        <v>0</v>
      </c>
      <c r="X36">
        <v>476480486</v>
      </c>
      <c r="Y36">
        <f t="shared" si="15"/>
        <v>1.32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1.2</v>
      </c>
      <c r="AU36" t="s">
        <v>24</v>
      </c>
      <c r="AV36">
        <v>1</v>
      </c>
      <c r="AW36">
        <v>2</v>
      </c>
      <c r="AX36">
        <v>60259000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ROUND(AT36*Source!I61*AH36*AL36,2)</f>
        <v>0</v>
      </c>
      <c r="CV36">
        <f>ROUND(Y36*Source!I61,9)</f>
        <v>1.32</v>
      </c>
      <c r="CW36">
        <v>0</v>
      </c>
      <c r="CX36">
        <f>ROUND(Y36*Source!I61,9)</f>
        <v>1.32</v>
      </c>
      <c r="CY36">
        <f t="shared" si="16"/>
        <v>0</v>
      </c>
      <c r="CZ36">
        <f t="shared" si="17"/>
        <v>0</v>
      </c>
      <c r="DA36">
        <f t="shared" si="18"/>
        <v>1</v>
      </c>
      <c r="DB36">
        <f t="shared" si="19"/>
        <v>0</v>
      </c>
      <c r="DC36">
        <f t="shared" si="20"/>
        <v>0</v>
      </c>
      <c r="DD36" t="s">
        <v>3</v>
      </c>
      <c r="DE36" t="s">
        <v>3</v>
      </c>
      <c r="DF36">
        <f t="shared" si="21"/>
        <v>0</v>
      </c>
      <c r="DG36">
        <f t="shared" si="12"/>
        <v>0</v>
      </c>
      <c r="DH36">
        <f t="shared" si="13"/>
        <v>0</v>
      </c>
      <c r="DI36">
        <f t="shared" si="14"/>
        <v>0</v>
      </c>
      <c r="DJ36">
        <f t="shared" si="22"/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ROW(Source!A64)</f>
        <v>64</v>
      </c>
      <c r="B37">
        <v>60258621</v>
      </c>
      <c r="C37">
        <v>60258793</v>
      </c>
      <c r="D37">
        <v>58999254</v>
      </c>
      <c r="E37">
        <v>1080</v>
      </c>
      <c r="F37">
        <v>1</v>
      </c>
      <c r="G37">
        <v>1080</v>
      </c>
      <c r="H37">
        <v>1</v>
      </c>
      <c r="I37" t="s">
        <v>268</v>
      </c>
      <c r="J37" t="s">
        <v>3</v>
      </c>
      <c r="K37" t="s">
        <v>269</v>
      </c>
      <c r="L37">
        <v>1191</v>
      </c>
      <c r="N37">
        <v>1013</v>
      </c>
      <c r="O37" t="s">
        <v>270</v>
      </c>
      <c r="P37" t="s">
        <v>270</v>
      </c>
      <c r="Q37">
        <v>1</v>
      </c>
      <c r="W37">
        <v>0</v>
      </c>
      <c r="X37">
        <v>476480486</v>
      </c>
      <c r="Y37">
        <f t="shared" si="15"/>
        <v>1.32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1.2</v>
      </c>
      <c r="AU37" t="s">
        <v>24</v>
      </c>
      <c r="AV37">
        <v>1</v>
      </c>
      <c r="AW37">
        <v>2</v>
      </c>
      <c r="AX37">
        <v>60259001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ROUND(AT37*Source!I64*AH37*AL37,2)</f>
        <v>0</v>
      </c>
      <c r="CV37">
        <f>ROUND(Y37*Source!I64,9)</f>
        <v>2.64</v>
      </c>
      <c r="CW37">
        <v>0</v>
      </c>
      <c r="CX37">
        <f>ROUND(Y37*Source!I64,9)</f>
        <v>2.64</v>
      </c>
      <c r="CY37">
        <f t="shared" si="16"/>
        <v>0</v>
      </c>
      <c r="CZ37">
        <f t="shared" si="17"/>
        <v>0</v>
      </c>
      <c r="DA37">
        <f t="shared" si="18"/>
        <v>1</v>
      </c>
      <c r="DB37">
        <f t="shared" si="19"/>
        <v>0</v>
      </c>
      <c r="DC37">
        <f t="shared" si="20"/>
        <v>0</v>
      </c>
      <c r="DD37" t="s">
        <v>3</v>
      </c>
      <c r="DE37" t="s">
        <v>3</v>
      </c>
      <c r="DF37">
        <f t="shared" si="21"/>
        <v>0</v>
      </c>
      <c r="DG37">
        <f t="shared" si="12"/>
        <v>0</v>
      </c>
      <c r="DH37">
        <f t="shared" si="13"/>
        <v>0</v>
      </c>
      <c r="DI37">
        <f t="shared" si="14"/>
        <v>0</v>
      </c>
      <c r="DJ37">
        <f t="shared" si="22"/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ROW(Source!A65)</f>
        <v>65</v>
      </c>
      <c r="B38">
        <v>60258618</v>
      </c>
      <c r="C38">
        <v>60258793</v>
      </c>
      <c r="D38">
        <v>58999254</v>
      </c>
      <c r="E38">
        <v>1080</v>
      </c>
      <c r="F38">
        <v>1</v>
      </c>
      <c r="G38">
        <v>1080</v>
      </c>
      <c r="H38">
        <v>1</v>
      </c>
      <c r="I38" t="s">
        <v>268</v>
      </c>
      <c r="J38" t="s">
        <v>3</v>
      </c>
      <c r="K38" t="s">
        <v>269</v>
      </c>
      <c r="L38">
        <v>1191</v>
      </c>
      <c r="N38">
        <v>1013</v>
      </c>
      <c r="O38" t="s">
        <v>270</v>
      </c>
      <c r="P38" t="s">
        <v>270</v>
      </c>
      <c r="Q38">
        <v>1</v>
      </c>
      <c r="W38">
        <v>0</v>
      </c>
      <c r="X38">
        <v>476480486</v>
      </c>
      <c r="Y38">
        <f t="shared" si="15"/>
        <v>1.32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5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1.2</v>
      </c>
      <c r="AU38" t="s">
        <v>24</v>
      </c>
      <c r="AV38">
        <v>1</v>
      </c>
      <c r="AW38">
        <v>2</v>
      </c>
      <c r="AX38">
        <v>60259001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U38">
        <f>ROUND(AT38*Source!I65*AH38*AL38,2)</f>
        <v>0</v>
      </c>
      <c r="CV38">
        <f>ROUND(Y38*Source!I65,9)</f>
        <v>2.64</v>
      </c>
      <c r="CW38">
        <v>0</v>
      </c>
      <c r="CX38">
        <f>ROUND(Y38*Source!I65,9)</f>
        <v>2.64</v>
      </c>
      <c r="CY38">
        <f t="shared" si="16"/>
        <v>0</v>
      </c>
      <c r="CZ38">
        <f t="shared" si="17"/>
        <v>0</v>
      </c>
      <c r="DA38">
        <f t="shared" si="18"/>
        <v>1</v>
      </c>
      <c r="DB38">
        <f t="shared" si="19"/>
        <v>0</v>
      </c>
      <c r="DC38">
        <f t="shared" si="20"/>
        <v>0</v>
      </c>
      <c r="DD38" t="s">
        <v>3</v>
      </c>
      <c r="DE38" t="s">
        <v>3</v>
      </c>
      <c r="DF38">
        <f t="shared" si="21"/>
        <v>0</v>
      </c>
      <c r="DG38">
        <f t="shared" si="12"/>
        <v>0</v>
      </c>
      <c r="DH38">
        <f t="shared" si="13"/>
        <v>0</v>
      </c>
      <c r="DI38">
        <f t="shared" si="14"/>
        <v>0</v>
      </c>
      <c r="DJ38">
        <f t="shared" si="22"/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ROW(Source!A68)</f>
        <v>68</v>
      </c>
      <c r="B39">
        <v>60258621</v>
      </c>
      <c r="C39">
        <v>60258797</v>
      </c>
      <c r="D39">
        <v>58999254</v>
      </c>
      <c r="E39">
        <v>1080</v>
      </c>
      <c r="F39">
        <v>1</v>
      </c>
      <c r="G39">
        <v>1080</v>
      </c>
      <c r="H39">
        <v>1</v>
      </c>
      <c r="I39" t="s">
        <v>268</v>
      </c>
      <c r="J39" t="s">
        <v>3</v>
      </c>
      <c r="K39" t="s">
        <v>269</v>
      </c>
      <c r="L39">
        <v>1191</v>
      </c>
      <c r="N39">
        <v>1013</v>
      </c>
      <c r="O39" t="s">
        <v>270</v>
      </c>
      <c r="P39" t="s">
        <v>270</v>
      </c>
      <c r="Q39">
        <v>1</v>
      </c>
      <c r="W39">
        <v>0</v>
      </c>
      <c r="X39">
        <v>476480486</v>
      </c>
      <c r="Y39">
        <f t="shared" si="15"/>
        <v>3.9600000000000004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3.6</v>
      </c>
      <c r="AU39" t="s">
        <v>24</v>
      </c>
      <c r="AV39">
        <v>1</v>
      </c>
      <c r="AW39">
        <v>2</v>
      </c>
      <c r="AX39">
        <v>60259002</v>
      </c>
      <c r="AY39">
        <v>1</v>
      </c>
      <c r="AZ39">
        <v>0</v>
      </c>
      <c r="BA39">
        <v>47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ROUND(AT39*Source!I68*AH39*AL39,2)</f>
        <v>0</v>
      </c>
      <c r="CV39">
        <f>ROUND(Y39*Source!I68,9)</f>
        <v>118.8</v>
      </c>
      <c r="CW39">
        <v>0</v>
      </c>
      <c r="CX39">
        <f>ROUND(Y39*Source!I68,9)</f>
        <v>118.8</v>
      </c>
      <c r="CY39">
        <f t="shared" si="16"/>
        <v>0</v>
      </c>
      <c r="CZ39">
        <f t="shared" si="17"/>
        <v>0</v>
      </c>
      <c r="DA39">
        <f t="shared" si="18"/>
        <v>1</v>
      </c>
      <c r="DB39">
        <f t="shared" si="19"/>
        <v>0</v>
      </c>
      <c r="DC39">
        <f t="shared" si="20"/>
        <v>0</v>
      </c>
      <c r="DD39" t="s">
        <v>3</v>
      </c>
      <c r="DE39" t="s">
        <v>3</v>
      </c>
      <c r="DF39">
        <f t="shared" si="21"/>
        <v>0</v>
      </c>
      <c r="DG39">
        <f t="shared" si="12"/>
        <v>0</v>
      </c>
      <c r="DH39">
        <f t="shared" si="13"/>
        <v>0</v>
      </c>
      <c r="DI39">
        <f t="shared" si="14"/>
        <v>0</v>
      </c>
      <c r="DJ39">
        <f t="shared" si="22"/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ROW(Source!A69)</f>
        <v>69</v>
      </c>
      <c r="B40">
        <v>60258618</v>
      </c>
      <c r="C40">
        <v>60258797</v>
      </c>
      <c r="D40">
        <v>58999254</v>
      </c>
      <c r="E40">
        <v>1080</v>
      </c>
      <c r="F40">
        <v>1</v>
      </c>
      <c r="G40">
        <v>1080</v>
      </c>
      <c r="H40">
        <v>1</v>
      </c>
      <c r="I40" t="s">
        <v>268</v>
      </c>
      <c r="J40" t="s">
        <v>3</v>
      </c>
      <c r="K40" t="s">
        <v>269</v>
      </c>
      <c r="L40">
        <v>1191</v>
      </c>
      <c r="N40">
        <v>1013</v>
      </c>
      <c r="O40" t="s">
        <v>270</v>
      </c>
      <c r="P40" t="s">
        <v>270</v>
      </c>
      <c r="Q40">
        <v>1</v>
      </c>
      <c r="W40">
        <v>0</v>
      </c>
      <c r="X40">
        <v>476480486</v>
      </c>
      <c r="Y40">
        <f t="shared" si="15"/>
        <v>3.9600000000000004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3.6</v>
      </c>
      <c r="AU40" t="s">
        <v>24</v>
      </c>
      <c r="AV40">
        <v>1</v>
      </c>
      <c r="AW40">
        <v>2</v>
      </c>
      <c r="AX40">
        <v>60259002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ROUND(AT40*Source!I69*AH40*AL40,2)</f>
        <v>0</v>
      </c>
      <c r="CV40">
        <f>ROUND(Y40*Source!I69,9)</f>
        <v>118.8</v>
      </c>
      <c r="CW40">
        <v>0</v>
      </c>
      <c r="CX40">
        <f>ROUND(Y40*Source!I69,9)</f>
        <v>118.8</v>
      </c>
      <c r="CY40">
        <f t="shared" si="16"/>
        <v>0</v>
      </c>
      <c r="CZ40">
        <f t="shared" si="17"/>
        <v>0</v>
      </c>
      <c r="DA40">
        <f t="shared" si="18"/>
        <v>1</v>
      </c>
      <c r="DB40">
        <f t="shared" si="19"/>
        <v>0</v>
      </c>
      <c r="DC40">
        <f t="shared" si="20"/>
        <v>0</v>
      </c>
      <c r="DD40" t="s">
        <v>3</v>
      </c>
      <c r="DE40" t="s">
        <v>3</v>
      </c>
      <c r="DF40">
        <f t="shared" si="21"/>
        <v>0</v>
      </c>
      <c r="DG40">
        <f t="shared" si="12"/>
        <v>0</v>
      </c>
      <c r="DH40">
        <f t="shared" si="13"/>
        <v>0</v>
      </c>
      <c r="DI40">
        <f t="shared" si="14"/>
        <v>0</v>
      </c>
      <c r="DJ40">
        <f t="shared" si="22"/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ROW(Source!A72)</f>
        <v>72</v>
      </c>
      <c r="B41">
        <v>60258621</v>
      </c>
      <c r="C41">
        <v>60258801</v>
      </c>
      <c r="D41">
        <v>58999254</v>
      </c>
      <c r="E41">
        <v>1080</v>
      </c>
      <c r="F41">
        <v>1</v>
      </c>
      <c r="G41">
        <v>1080</v>
      </c>
      <c r="H41">
        <v>1</v>
      </c>
      <c r="I41" t="s">
        <v>268</v>
      </c>
      <c r="J41" t="s">
        <v>3</v>
      </c>
      <c r="K41" t="s">
        <v>269</v>
      </c>
      <c r="L41">
        <v>1191</v>
      </c>
      <c r="N41">
        <v>1013</v>
      </c>
      <c r="O41" t="s">
        <v>270</v>
      </c>
      <c r="P41" t="s">
        <v>270</v>
      </c>
      <c r="Q41">
        <v>1</v>
      </c>
      <c r="W41">
        <v>0</v>
      </c>
      <c r="X41">
        <v>476480486</v>
      </c>
      <c r="Y41">
        <f t="shared" si="15"/>
        <v>0.92400000000000004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0.84</v>
      </c>
      <c r="AU41" t="s">
        <v>24</v>
      </c>
      <c r="AV41">
        <v>1</v>
      </c>
      <c r="AW41">
        <v>2</v>
      </c>
      <c r="AX41">
        <v>60259003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ROUND(AT41*Source!I72*AH41*AL41,2)</f>
        <v>0</v>
      </c>
      <c r="CV41">
        <f>ROUND(Y41*Source!I72,9)</f>
        <v>79.463999999999999</v>
      </c>
      <c r="CW41">
        <v>0</v>
      </c>
      <c r="CX41">
        <f>ROUND(Y41*Source!I72,9)</f>
        <v>79.463999999999999</v>
      </c>
      <c r="CY41">
        <f t="shared" si="16"/>
        <v>0</v>
      </c>
      <c r="CZ41">
        <f t="shared" si="17"/>
        <v>0</v>
      </c>
      <c r="DA41">
        <f t="shared" si="18"/>
        <v>1</v>
      </c>
      <c r="DB41">
        <f t="shared" si="19"/>
        <v>0</v>
      </c>
      <c r="DC41">
        <f t="shared" si="20"/>
        <v>0</v>
      </c>
      <c r="DD41" t="s">
        <v>3</v>
      </c>
      <c r="DE41" t="s">
        <v>3</v>
      </c>
      <c r="DF41">
        <f t="shared" si="21"/>
        <v>0</v>
      </c>
      <c r="DG41">
        <f t="shared" si="12"/>
        <v>0</v>
      </c>
      <c r="DH41">
        <f t="shared" si="13"/>
        <v>0</v>
      </c>
      <c r="DI41">
        <f t="shared" si="14"/>
        <v>0</v>
      </c>
      <c r="DJ41">
        <f t="shared" si="22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ROW(Source!A73)</f>
        <v>73</v>
      </c>
      <c r="B42">
        <v>60258618</v>
      </c>
      <c r="C42">
        <v>60258801</v>
      </c>
      <c r="D42">
        <v>58999254</v>
      </c>
      <c r="E42">
        <v>1080</v>
      </c>
      <c r="F42">
        <v>1</v>
      </c>
      <c r="G42">
        <v>1080</v>
      </c>
      <c r="H42">
        <v>1</v>
      </c>
      <c r="I42" t="s">
        <v>268</v>
      </c>
      <c r="J42" t="s">
        <v>3</v>
      </c>
      <c r="K42" t="s">
        <v>269</v>
      </c>
      <c r="L42">
        <v>1191</v>
      </c>
      <c r="N42">
        <v>1013</v>
      </c>
      <c r="O42" t="s">
        <v>270</v>
      </c>
      <c r="P42" t="s">
        <v>270</v>
      </c>
      <c r="Q42">
        <v>1</v>
      </c>
      <c r="W42">
        <v>0</v>
      </c>
      <c r="X42">
        <v>476480486</v>
      </c>
      <c r="Y42">
        <f t="shared" si="15"/>
        <v>0.92400000000000004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0.84</v>
      </c>
      <c r="AU42" t="s">
        <v>24</v>
      </c>
      <c r="AV42">
        <v>1</v>
      </c>
      <c r="AW42">
        <v>2</v>
      </c>
      <c r="AX42">
        <v>60259003</v>
      </c>
      <c r="AY42">
        <v>1</v>
      </c>
      <c r="AZ42">
        <v>0</v>
      </c>
      <c r="BA42">
        <v>50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ROUND(AT42*Source!I73*AH42*AL42,2)</f>
        <v>0</v>
      </c>
      <c r="CV42">
        <f>ROUND(Y42*Source!I73,9)</f>
        <v>79.463999999999999</v>
      </c>
      <c r="CW42">
        <v>0</v>
      </c>
      <c r="CX42">
        <f>ROUND(Y42*Source!I73,9)</f>
        <v>79.463999999999999</v>
      </c>
      <c r="CY42">
        <f t="shared" si="16"/>
        <v>0</v>
      </c>
      <c r="CZ42">
        <f t="shared" si="17"/>
        <v>0</v>
      </c>
      <c r="DA42">
        <f t="shared" si="18"/>
        <v>1</v>
      </c>
      <c r="DB42">
        <f t="shared" si="19"/>
        <v>0</v>
      </c>
      <c r="DC42">
        <f t="shared" si="20"/>
        <v>0</v>
      </c>
      <c r="DD42" t="s">
        <v>3</v>
      </c>
      <c r="DE42" t="s">
        <v>3</v>
      </c>
      <c r="DF42">
        <f t="shared" si="21"/>
        <v>0</v>
      </c>
      <c r="DG42">
        <f t="shared" si="12"/>
        <v>0</v>
      </c>
      <c r="DH42">
        <f t="shared" si="13"/>
        <v>0</v>
      </c>
      <c r="DI42">
        <f t="shared" si="14"/>
        <v>0</v>
      </c>
      <c r="DJ42">
        <f t="shared" si="22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ROW(Source!A76)</f>
        <v>76</v>
      </c>
      <c r="B43">
        <v>60258621</v>
      </c>
      <c r="C43">
        <v>60258805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268</v>
      </c>
      <c r="J43" t="s">
        <v>3</v>
      </c>
      <c r="K43" t="s">
        <v>269</v>
      </c>
      <c r="L43">
        <v>1191</v>
      </c>
      <c r="N43">
        <v>1013</v>
      </c>
      <c r="O43" t="s">
        <v>270</v>
      </c>
      <c r="P43" t="s">
        <v>270</v>
      </c>
      <c r="Q43">
        <v>1</v>
      </c>
      <c r="W43">
        <v>0</v>
      </c>
      <c r="X43">
        <v>476480486</v>
      </c>
      <c r="Y43">
        <f t="shared" si="15"/>
        <v>0.92400000000000004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0.84</v>
      </c>
      <c r="AU43" t="s">
        <v>24</v>
      </c>
      <c r="AV43">
        <v>1</v>
      </c>
      <c r="AW43">
        <v>2</v>
      </c>
      <c r="AX43">
        <v>60259004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ROUND(AT43*Source!I76*AH43*AL43,2)</f>
        <v>0</v>
      </c>
      <c r="CV43">
        <f>ROUND(Y43*Source!I76,9)</f>
        <v>83.16</v>
      </c>
      <c r="CW43">
        <v>0</v>
      </c>
      <c r="CX43">
        <f>ROUND(Y43*Source!I76,9)</f>
        <v>83.16</v>
      </c>
      <c r="CY43">
        <f t="shared" si="16"/>
        <v>0</v>
      </c>
      <c r="CZ43">
        <f t="shared" si="17"/>
        <v>0</v>
      </c>
      <c r="DA43">
        <f t="shared" si="18"/>
        <v>1</v>
      </c>
      <c r="DB43">
        <f t="shared" si="19"/>
        <v>0</v>
      </c>
      <c r="DC43">
        <f t="shared" si="20"/>
        <v>0</v>
      </c>
      <c r="DD43" t="s">
        <v>3</v>
      </c>
      <c r="DE43" t="s">
        <v>3</v>
      </c>
      <c r="DF43">
        <f t="shared" si="21"/>
        <v>0</v>
      </c>
      <c r="DG43">
        <f t="shared" si="12"/>
        <v>0</v>
      </c>
      <c r="DH43">
        <f t="shared" si="13"/>
        <v>0</v>
      </c>
      <c r="DI43">
        <f t="shared" si="14"/>
        <v>0</v>
      </c>
      <c r="DJ43">
        <f t="shared" si="22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ROW(Source!A77)</f>
        <v>77</v>
      </c>
      <c r="B44">
        <v>60258618</v>
      </c>
      <c r="C44">
        <v>60258805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268</v>
      </c>
      <c r="J44" t="s">
        <v>3</v>
      </c>
      <c r="K44" t="s">
        <v>269</v>
      </c>
      <c r="L44">
        <v>1191</v>
      </c>
      <c r="N44">
        <v>1013</v>
      </c>
      <c r="O44" t="s">
        <v>270</v>
      </c>
      <c r="P44" t="s">
        <v>270</v>
      </c>
      <c r="Q44">
        <v>1</v>
      </c>
      <c r="W44">
        <v>0</v>
      </c>
      <c r="X44">
        <v>476480486</v>
      </c>
      <c r="Y44">
        <f t="shared" si="15"/>
        <v>0.92400000000000004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0.84</v>
      </c>
      <c r="AU44" t="s">
        <v>24</v>
      </c>
      <c r="AV44">
        <v>1</v>
      </c>
      <c r="AW44">
        <v>2</v>
      </c>
      <c r="AX44">
        <v>60259004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ROUND(AT44*Source!I77*AH44*AL44,2)</f>
        <v>0</v>
      </c>
      <c r="CV44">
        <f>ROUND(Y44*Source!I77,9)</f>
        <v>83.16</v>
      </c>
      <c r="CW44">
        <v>0</v>
      </c>
      <c r="CX44">
        <f>ROUND(Y44*Source!I77,9)</f>
        <v>83.16</v>
      </c>
      <c r="CY44">
        <f t="shared" si="16"/>
        <v>0</v>
      </c>
      <c r="CZ44">
        <f t="shared" si="17"/>
        <v>0</v>
      </c>
      <c r="DA44">
        <f t="shared" si="18"/>
        <v>1</v>
      </c>
      <c r="DB44">
        <f t="shared" si="19"/>
        <v>0</v>
      </c>
      <c r="DC44">
        <f t="shared" si="20"/>
        <v>0</v>
      </c>
      <c r="DD44" t="s">
        <v>3</v>
      </c>
      <c r="DE44" t="s">
        <v>3</v>
      </c>
      <c r="DF44">
        <f t="shared" si="21"/>
        <v>0</v>
      </c>
      <c r="DG44">
        <f t="shared" si="12"/>
        <v>0</v>
      </c>
      <c r="DH44">
        <f t="shared" si="13"/>
        <v>0</v>
      </c>
      <c r="DI44">
        <f t="shared" si="14"/>
        <v>0</v>
      </c>
      <c r="DJ44">
        <f t="shared" si="22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ROW(Source!A80)</f>
        <v>80</v>
      </c>
      <c r="B45">
        <v>60258621</v>
      </c>
      <c r="C45">
        <v>60258809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268</v>
      </c>
      <c r="J45" t="s">
        <v>3</v>
      </c>
      <c r="K45" t="s">
        <v>269</v>
      </c>
      <c r="L45">
        <v>1191</v>
      </c>
      <c r="N45">
        <v>1013</v>
      </c>
      <c r="O45" t="s">
        <v>270</v>
      </c>
      <c r="P45" t="s">
        <v>270</v>
      </c>
      <c r="Q45">
        <v>1</v>
      </c>
      <c r="W45">
        <v>0</v>
      </c>
      <c r="X45">
        <v>476480486</v>
      </c>
      <c r="Y45">
        <f t="shared" si="15"/>
        <v>1.32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1.2</v>
      </c>
      <c r="AU45" t="s">
        <v>24</v>
      </c>
      <c r="AV45">
        <v>1</v>
      </c>
      <c r="AW45">
        <v>2</v>
      </c>
      <c r="AX45">
        <v>60259005</v>
      </c>
      <c r="AY45">
        <v>1</v>
      </c>
      <c r="AZ45">
        <v>0</v>
      </c>
      <c r="BA45">
        <v>53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ROUND(AT45*Source!I80*AH45*AL45,2)</f>
        <v>0</v>
      </c>
      <c r="CV45">
        <f>ROUND(Y45*Source!I80,9)</f>
        <v>11.88</v>
      </c>
      <c r="CW45">
        <v>0</v>
      </c>
      <c r="CX45">
        <f>ROUND(Y45*Source!I80,9)</f>
        <v>11.88</v>
      </c>
      <c r="CY45">
        <f t="shared" si="16"/>
        <v>0</v>
      </c>
      <c r="CZ45">
        <f t="shared" si="17"/>
        <v>0</v>
      </c>
      <c r="DA45">
        <f t="shared" si="18"/>
        <v>1</v>
      </c>
      <c r="DB45">
        <f t="shared" si="19"/>
        <v>0</v>
      </c>
      <c r="DC45">
        <f t="shared" si="20"/>
        <v>0</v>
      </c>
      <c r="DD45" t="s">
        <v>3</v>
      </c>
      <c r="DE45" t="s">
        <v>3</v>
      </c>
      <c r="DF45">
        <f t="shared" si="21"/>
        <v>0</v>
      </c>
      <c r="DG45">
        <f t="shared" si="12"/>
        <v>0</v>
      </c>
      <c r="DH45">
        <f t="shared" si="13"/>
        <v>0</v>
      </c>
      <c r="DI45">
        <f t="shared" si="14"/>
        <v>0</v>
      </c>
      <c r="DJ45">
        <f t="shared" si="22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ROW(Source!A81)</f>
        <v>81</v>
      </c>
      <c r="B46">
        <v>60258618</v>
      </c>
      <c r="C46">
        <v>60258809</v>
      </c>
      <c r="D46">
        <v>58999254</v>
      </c>
      <c r="E46">
        <v>1080</v>
      </c>
      <c r="F46">
        <v>1</v>
      </c>
      <c r="G46">
        <v>1080</v>
      </c>
      <c r="H46">
        <v>1</v>
      </c>
      <c r="I46" t="s">
        <v>268</v>
      </c>
      <c r="J46" t="s">
        <v>3</v>
      </c>
      <c r="K46" t="s">
        <v>269</v>
      </c>
      <c r="L46">
        <v>1191</v>
      </c>
      <c r="N46">
        <v>1013</v>
      </c>
      <c r="O46" t="s">
        <v>270</v>
      </c>
      <c r="P46" t="s">
        <v>270</v>
      </c>
      <c r="Q46">
        <v>1</v>
      </c>
      <c r="W46">
        <v>0</v>
      </c>
      <c r="X46">
        <v>476480486</v>
      </c>
      <c r="Y46">
        <f t="shared" si="15"/>
        <v>1.32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1.2</v>
      </c>
      <c r="AU46" t="s">
        <v>24</v>
      </c>
      <c r="AV46">
        <v>1</v>
      </c>
      <c r="AW46">
        <v>2</v>
      </c>
      <c r="AX46">
        <v>60259005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ROUND(AT46*Source!I81*AH46*AL46,2)</f>
        <v>0</v>
      </c>
      <c r="CV46">
        <f>ROUND(Y46*Source!I81,9)</f>
        <v>11.88</v>
      </c>
      <c r="CW46">
        <v>0</v>
      </c>
      <c r="CX46">
        <f>ROUND(Y46*Source!I81,9)</f>
        <v>11.88</v>
      </c>
      <c r="CY46">
        <f t="shared" si="16"/>
        <v>0</v>
      </c>
      <c r="CZ46">
        <f t="shared" si="17"/>
        <v>0</v>
      </c>
      <c r="DA46">
        <f t="shared" si="18"/>
        <v>1</v>
      </c>
      <c r="DB46">
        <f t="shared" si="19"/>
        <v>0</v>
      </c>
      <c r="DC46">
        <f t="shared" si="20"/>
        <v>0</v>
      </c>
      <c r="DD46" t="s">
        <v>3</v>
      </c>
      <c r="DE46" t="s">
        <v>3</v>
      </c>
      <c r="DF46">
        <f t="shared" si="21"/>
        <v>0</v>
      </c>
      <c r="DG46">
        <f t="shared" si="12"/>
        <v>0</v>
      </c>
      <c r="DH46">
        <f t="shared" si="13"/>
        <v>0</v>
      </c>
      <c r="DI46">
        <f t="shared" si="14"/>
        <v>0</v>
      </c>
      <c r="DJ46">
        <f t="shared" si="22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ROW(Source!A84)</f>
        <v>84</v>
      </c>
      <c r="B47">
        <v>60258621</v>
      </c>
      <c r="C47">
        <v>60258813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268</v>
      </c>
      <c r="J47" t="s">
        <v>3</v>
      </c>
      <c r="K47" t="s">
        <v>269</v>
      </c>
      <c r="L47">
        <v>1191</v>
      </c>
      <c r="N47">
        <v>1013</v>
      </c>
      <c r="O47" t="s">
        <v>270</v>
      </c>
      <c r="P47" t="s">
        <v>270</v>
      </c>
      <c r="Q47">
        <v>1</v>
      </c>
      <c r="W47">
        <v>0</v>
      </c>
      <c r="X47">
        <v>476480486</v>
      </c>
      <c r="Y47">
        <f t="shared" si="15"/>
        <v>1.1000000000000001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</v>
      </c>
      <c r="AU47" t="s">
        <v>24</v>
      </c>
      <c r="AV47">
        <v>1</v>
      </c>
      <c r="AW47">
        <v>2</v>
      </c>
      <c r="AX47">
        <v>60259006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ROUND(AT47*Source!I84*AH47*AL47,2)</f>
        <v>0</v>
      </c>
      <c r="CV47">
        <f>ROUND(Y47*Source!I84,9)</f>
        <v>11</v>
      </c>
      <c r="CW47">
        <v>0</v>
      </c>
      <c r="CX47">
        <f>ROUND(Y47*Source!I84,9)</f>
        <v>11</v>
      </c>
      <c r="CY47">
        <f t="shared" si="16"/>
        <v>0</v>
      </c>
      <c r="CZ47">
        <f t="shared" si="17"/>
        <v>0</v>
      </c>
      <c r="DA47">
        <f t="shared" si="18"/>
        <v>1</v>
      </c>
      <c r="DB47">
        <f t="shared" si="19"/>
        <v>0</v>
      </c>
      <c r="DC47">
        <f t="shared" si="20"/>
        <v>0</v>
      </c>
      <c r="DD47" t="s">
        <v>3</v>
      </c>
      <c r="DE47" t="s">
        <v>3</v>
      </c>
      <c r="DF47">
        <f t="shared" si="21"/>
        <v>0</v>
      </c>
      <c r="DG47">
        <f t="shared" si="12"/>
        <v>0</v>
      </c>
      <c r="DH47">
        <f t="shared" si="13"/>
        <v>0</v>
      </c>
      <c r="DI47">
        <f t="shared" si="14"/>
        <v>0</v>
      </c>
      <c r="DJ47">
        <f t="shared" si="22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ROW(Source!A84)</f>
        <v>84</v>
      </c>
      <c r="B48">
        <v>60258621</v>
      </c>
      <c r="C48">
        <v>60258813</v>
      </c>
      <c r="D48">
        <v>59004256</v>
      </c>
      <c r="E48">
        <v>1080</v>
      </c>
      <c r="F48">
        <v>1</v>
      </c>
      <c r="G48">
        <v>1080</v>
      </c>
      <c r="H48">
        <v>3</v>
      </c>
      <c r="I48" t="s">
        <v>292</v>
      </c>
      <c r="J48" t="s">
        <v>3</v>
      </c>
      <c r="K48" t="s">
        <v>293</v>
      </c>
      <c r="L48">
        <v>1348</v>
      </c>
      <c r="N48">
        <v>1009</v>
      </c>
      <c r="O48" t="s">
        <v>274</v>
      </c>
      <c r="P48" t="s">
        <v>274</v>
      </c>
      <c r="Q48">
        <v>1000</v>
      </c>
      <c r="W48">
        <v>0</v>
      </c>
      <c r="X48">
        <v>-783086922</v>
      </c>
      <c r="Y48">
        <f>(AT48*1)</f>
        <v>1.6000000000000001E-4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1.6000000000000001E-4</v>
      </c>
      <c r="AU48" t="s">
        <v>23</v>
      </c>
      <c r="AV48">
        <v>0</v>
      </c>
      <c r="AW48">
        <v>2</v>
      </c>
      <c r="AX48">
        <v>60259008</v>
      </c>
      <c r="AY48">
        <v>1</v>
      </c>
      <c r="AZ48">
        <v>0</v>
      </c>
      <c r="BA48">
        <v>57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ROUND(Y48*Source!I84,9)</f>
        <v>1.6000000000000001E-3</v>
      </c>
      <c r="CY48">
        <f>AA48</f>
        <v>0</v>
      </c>
      <c r="CZ48">
        <f>AE48</f>
        <v>0</v>
      </c>
      <c r="DA48">
        <f>AI48</f>
        <v>1</v>
      </c>
      <c r="DB48">
        <f>ROUND((ROUND(AT48*CZ48,2)*1),6)</f>
        <v>0</v>
      </c>
      <c r="DC48">
        <f>ROUND((ROUND(AT48*AG48,2)*1),6)</f>
        <v>0</v>
      </c>
      <c r="DD48" t="s">
        <v>3</v>
      </c>
      <c r="DE48" t="s">
        <v>3</v>
      </c>
      <c r="DF48">
        <f t="shared" si="21"/>
        <v>0</v>
      </c>
      <c r="DG48">
        <f t="shared" si="12"/>
        <v>0</v>
      </c>
      <c r="DH48">
        <f t="shared" si="13"/>
        <v>0</v>
      </c>
      <c r="DI48">
        <f t="shared" si="14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ROW(Source!A85)</f>
        <v>85</v>
      </c>
      <c r="B49">
        <v>60258618</v>
      </c>
      <c r="C49">
        <v>60258813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268</v>
      </c>
      <c r="J49" t="s">
        <v>3</v>
      </c>
      <c r="K49" t="s">
        <v>269</v>
      </c>
      <c r="L49">
        <v>1191</v>
      </c>
      <c r="N49">
        <v>1013</v>
      </c>
      <c r="O49" t="s">
        <v>270</v>
      </c>
      <c r="P49" t="s">
        <v>270</v>
      </c>
      <c r="Q49">
        <v>1</v>
      </c>
      <c r="W49">
        <v>0</v>
      </c>
      <c r="X49">
        <v>476480486</v>
      </c>
      <c r="Y49">
        <f>(AT49*1.1)</f>
        <v>1.1000000000000001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</v>
      </c>
      <c r="AU49" t="s">
        <v>24</v>
      </c>
      <c r="AV49">
        <v>1</v>
      </c>
      <c r="AW49">
        <v>2</v>
      </c>
      <c r="AX49">
        <v>60259006</v>
      </c>
      <c r="AY49">
        <v>1</v>
      </c>
      <c r="AZ49">
        <v>0</v>
      </c>
      <c r="BA49">
        <v>58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ROUND(AT49*Source!I85*AH49*AL49,2)</f>
        <v>0</v>
      </c>
      <c r="CV49">
        <f>ROUND(Y49*Source!I85,9)</f>
        <v>11</v>
      </c>
      <c r="CW49">
        <v>0</v>
      </c>
      <c r="CX49">
        <f>ROUND(Y49*Source!I85,9)</f>
        <v>11</v>
      </c>
      <c r="CY49">
        <f>AD49</f>
        <v>0</v>
      </c>
      <c r="CZ49">
        <f>AH49</f>
        <v>0</v>
      </c>
      <c r="DA49">
        <f>AL49</f>
        <v>1</v>
      </c>
      <c r="DB49">
        <f>ROUND((ROUND(AT49*CZ49,2)*1.1),6)</f>
        <v>0</v>
      </c>
      <c r="DC49">
        <f>ROUND((ROUND(AT49*AG49,2)*1.1),6)</f>
        <v>0</v>
      </c>
      <c r="DD49" t="s">
        <v>3</v>
      </c>
      <c r="DE49" t="s">
        <v>3</v>
      </c>
      <c r="DF49">
        <f t="shared" si="21"/>
        <v>0</v>
      </c>
      <c r="DG49">
        <f t="shared" si="12"/>
        <v>0</v>
      </c>
      <c r="DH49">
        <f t="shared" si="13"/>
        <v>0</v>
      </c>
      <c r="DI49">
        <f t="shared" si="14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ROW(Source!A85)</f>
        <v>85</v>
      </c>
      <c r="B50">
        <v>60258618</v>
      </c>
      <c r="C50">
        <v>60258813</v>
      </c>
      <c r="D50">
        <v>59004256</v>
      </c>
      <c r="E50">
        <v>1080</v>
      </c>
      <c r="F50">
        <v>1</v>
      </c>
      <c r="G50">
        <v>1080</v>
      </c>
      <c r="H50">
        <v>3</v>
      </c>
      <c r="I50" t="s">
        <v>292</v>
      </c>
      <c r="J50" t="s">
        <v>3</v>
      </c>
      <c r="K50" t="s">
        <v>293</v>
      </c>
      <c r="L50">
        <v>1348</v>
      </c>
      <c r="N50">
        <v>1009</v>
      </c>
      <c r="O50" t="s">
        <v>274</v>
      </c>
      <c r="P50" t="s">
        <v>274</v>
      </c>
      <c r="Q50">
        <v>1000</v>
      </c>
      <c r="W50">
        <v>0</v>
      </c>
      <c r="X50">
        <v>-783086922</v>
      </c>
      <c r="Y50">
        <f>(AT50*1)</f>
        <v>1.6000000000000001E-4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9.8800000000000008</v>
      </c>
      <c r="AJ50">
        <v>1</v>
      </c>
      <c r="AK50">
        <v>1</v>
      </c>
      <c r="AL50">
        <v>1</v>
      </c>
      <c r="AM50">
        <v>5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1.6000000000000001E-4</v>
      </c>
      <c r="AU50" t="s">
        <v>23</v>
      </c>
      <c r="AV50">
        <v>0</v>
      </c>
      <c r="AW50">
        <v>2</v>
      </c>
      <c r="AX50">
        <v>60259008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ROUND(Y50*Source!I85,9)</f>
        <v>1.6000000000000001E-3</v>
      </c>
      <c r="CY50">
        <f>AA50</f>
        <v>0</v>
      </c>
      <c r="CZ50">
        <f>AE50</f>
        <v>0</v>
      </c>
      <c r="DA50">
        <f>AI50</f>
        <v>9.8800000000000008</v>
      </c>
      <c r="DB50">
        <f>ROUND((ROUND(AT50*CZ50,2)*1),6)</f>
        <v>0</v>
      </c>
      <c r="DC50">
        <f>ROUND((ROUND(AT50*AG50,2)*1),6)</f>
        <v>0</v>
      </c>
      <c r="DD50" t="s">
        <v>3</v>
      </c>
      <c r="DE50" t="s">
        <v>3</v>
      </c>
      <c r="DF50">
        <f>ROUND(ROUND(AE50*AI50,2)*CX50,2)</f>
        <v>0</v>
      </c>
      <c r="DG50">
        <f t="shared" si="12"/>
        <v>0</v>
      </c>
      <c r="DH50">
        <f t="shared" si="13"/>
        <v>0</v>
      </c>
      <c r="DI50">
        <f t="shared" si="14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ROW(Source!A88)</f>
        <v>88</v>
      </c>
      <c r="B51">
        <v>60258621</v>
      </c>
      <c r="C51">
        <v>60258820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268</v>
      </c>
      <c r="J51" t="s">
        <v>3</v>
      </c>
      <c r="K51" t="s">
        <v>269</v>
      </c>
      <c r="L51">
        <v>1191</v>
      </c>
      <c r="N51">
        <v>1013</v>
      </c>
      <c r="O51" t="s">
        <v>270</v>
      </c>
      <c r="P51" t="s">
        <v>270</v>
      </c>
      <c r="Q51">
        <v>1</v>
      </c>
      <c r="W51">
        <v>0</v>
      </c>
      <c r="X51">
        <v>476480486</v>
      </c>
      <c r="Y51">
        <f>(AT51*1.1)</f>
        <v>93.137000000000015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84.67</v>
      </c>
      <c r="AU51" t="s">
        <v>24</v>
      </c>
      <c r="AV51">
        <v>1</v>
      </c>
      <c r="AW51">
        <v>2</v>
      </c>
      <c r="AX51">
        <v>60259009</v>
      </c>
      <c r="AY51">
        <v>1</v>
      </c>
      <c r="AZ51">
        <v>0</v>
      </c>
      <c r="BA51">
        <v>61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ROUND(AT51*Source!I88*AH51*AL51,2)</f>
        <v>0</v>
      </c>
      <c r="CV51">
        <f>ROUND(Y51*Source!I88,9)</f>
        <v>0.93137000000000003</v>
      </c>
      <c r="CW51">
        <v>0</v>
      </c>
      <c r="CX51">
        <f>ROUND(Y51*Source!I88,9)</f>
        <v>0.93137000000000003</v>
      </c>
      <c r="CY51">
        <f>AD51</f>
        <v>0</v>
      </c>
      <c r="CZ51">
        <f>AH51</f>
        <v>0</v>
      </c>
      <c r="DA51">
        <f>AL51</f>
        <v>1</v>
      </c>
      <c r="DB51">
        <f>ROUND((ROUND(AT51*CZ51,2)*1.1),6)</f>
        <v>0</v>
      </c>
      <c r="DC51">
        <f>ROUND((ROUND(AT51*AG51,2)*1.1),6)</f>
        <v>0</v>
      </c>
      <c r="DD51" t="s">
        <v>3</v>
      </c>
      <c r="DE51" t="s">
        <v>3</v>
      </c>
      <c r="DF51">
        <f t="shared" ref="DF51:DF59" si="23">ROUND(ROUND(AE51,2)*CX51,2)</f>
        <v>0</v>
      </c>
      <c r="DG51">
        <f t="shared" si="12"/>
        <v>0</v>
      </c>
      <c r="DH51">
        <f t="shared" si="13"/>
        <v>0</v>
      </c>
      <c r="DI51">
        <f t="shared" si="14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ROW(Source!A88)</f>
        <v>88</v>
      </c>
      <c r="B52">
        <v>60258621</v>
      </c>
      <c r="C52">
        <v>60258820</v>
      </c>
      <c r="D52">
        <v>59070669</v>
      </c>
      <c r="E52">
        <v>1</v>
      </c>
      <c r="F52">
        <v>1</v>
      </c>
      <c r="G52">
        <v>1080</v>
      </c>
      <c r="H52">
        <v>2</v>
      </c>
      <c r="I52" t="s">
        <v>294</v>
      </c>
      <c r="J52" t="s">
        <v>295</v>
      </c>
      <c r="K52" t="s">
        <v>296</v>
      </c>
      <c r="L52">
        <v>1368</v>
      </c>
      <c r="N52">
        <v>1011</v>
      </c>
      <c r="O52" t="s">
        <v>297</v>
      </c>
      <c r="P52" t="s">
        <v>297</v>
      </c>
      <c r="Q52">
        <v>1</v>
      </c>
      <c r="W52">
        <v>0</v>
      </c>
      <c r="X52">
        <v>-1985943078</v>
      </c>
      <c r="Y52">
        <f>(AT52*1.1)</f>
        <v>1.1330000000000002</v>
      </c>
      <c r="AA52">
        <v>0</v>
      </c>
      <c r="AB52">
        <v>87.01</v>
      </c>
      <c r="AC52">
        <v>13.21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1.03</v>
      </c>
      <c r="AU52" t="s">
        <v>24</v>
      </c>
      <c r="AV52">
        <v>0</v>
      </c>
      <c r="AW52">
        <v>2</v>
      </c>
      <c r="AX52">
        <v>60259010</v>
      </c>
      <c r="AY52">
        <v>1</v>
      </c>
      <c r="AZ52">
        <v>0</v>
      </c>
      <c r="BA52">
        <v>62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ROUND(Y52*Source!I88*DO52,9)</f>
        <v>0.14298459999999999</v>
      </c>
      <c r="CX52">
        <f>ROUND(Y52*Source!I88,9)</f>
        <v>1.133E-2</v>
      </c>
      <c r="CY52">
        <f>AB52</f>
        <v>87.01</v>
      </c>
      <c r="CZ52">
        <f>AF52</f>
        <v>83.1</v>
      </c>
      <c r="DA52">
        <f>AJ52</f>
        <v>1</v>
      </c>
      <c r="DB52">
        <f>ROUND((ROUND(AT52*CZ52,2)*1.1),6)</f>
        <v>94.149000000000001</v>
      </c>
      <c r="DC52">
        <f>ROUND((ROUND(AT52*AG52,2)*1.1),6)</f>
        <v>14.3</v>
      </c>
      <c r="DD52" t="s">
        <v>3</v>
      </c>
      <c r="DE52" t="s">
        <v>3</v>
      </c>
      <c r="DF52">
        <f t="shared" si="23"/>
        <v>0</v>
      </c>
      <c r="DG52">
        <f t="shared" si="12"/>
        <v>0.94</v>
      </c>
      <c r="DH52">
        <f t="shared" si="13"/>
        <v>0.14000000000000001</v>
      </c>
      <c r="DI52">
        <f t="shared" si="14"/>
        <v>0</v>
      </c>
      <c r="DJ52">
        <f>DG52</f>
        <v>0.94</v>
      </c>
      <c r="DK52">
        <v>0</v>
      </c>
      <c r="DL52" t="s">
        <v>298</v>
      </c>
      <c r="DM52">
        <v>0</v>
      </c>
      <c r="DN52" t="s">
        <v>270</v>
      </c>
      <c r="DO52">
        <v>12.62</v>
      </c>
    </row>
    <row r="53" spans="1:119" x14ac:dyDescent="0.2">
      <c r="A53">
        <f>ROW(Source!A88)</f>
        <v>88</v>
      </c>
      <c r="B53">
        <v>60258621</v>
      </c>
      <c r="C53">
        <v>60258820</v>
      </c>
      <c r="D53">
        <v>59070782</v>
      </c>
      <c r="E53">
        <v>1</v>
      </c>
      <c r="F53">
        <v>1</v>
      </c>
      <c r="G53">
        <v>1080</v>
      </c>
      <c r="H53">
        <v>2</v>
      </c>
      <c r="I53" t="s">
        <v>299</v>
      </c>
      <c r="J53" t="s">
        <v>300</v>
      </c>
      <c r="K53" t="s">
        <v>301</v>
      </c>
      <c r="L53">
        <v>1368</v>
      </c>
      <c r="N53">
        <v>1011</v>
      </c>
      <c r="O53" t="s">
        <v>297</v>
      </c>
      <c r="P53" t="s">
        <v>297</v>
      </c>
      <c r="Q53">
        <v>1</v>
      </c>
      <c r="W53">
        <v>0</v>
      </c>
      <c r="X53">
        <v>-507462707</v>
      </c>
      <c r="Y53">
        <f>(AT53*1.1)</f>
        <v>24.288</v>
      </c>
      <c r="AA53">
        <v>0</v>
      </c>
      <c r="AB53">
        <v>0.37</v>
      </c>
      <c r="AC53">
        <v>0</v>
      </c>
      <c r="AD53">
        <v>0</v>
      </c>
      <c r="AE53">
        <v>0</v>
      </c>
      <c r="AF53">
        <v>0.35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22.08</v>
      </c>
      <c r="AU53" t="s">
        <v>24</v>
      </c>
      <c r="AV53">
        <v>0</v>
      </c>
      <c r="AW53">
        <v>2</v>
      </c>
      <c r="AX53">
        <v>60259011</v>
      </c>
      <c r="AY53">
        <v>1</v>
      </c>
      <c r="AZ53">
        <v>0</v>
      </c>
      <c r="BA53">
        <v>63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ROUND(Y53*Source!I88*DO53,9)</f>
        <v>0</v>
      </c>
      <c r="CX53">
        <f>ROUND(Y53*Source!I88,9)</f>
        <v>0.24288000000000001</v>
      </c>
      <c r="CY53">
        <f>AB53</f>
        <v>0.37</v>
      </c>
      <c r="CZ53">
        <f>AF53</f>
        <v>0.35</v>
      </c>
      <c r="DA53">
        <f>AJ53</f>
        <v>1</v>
      </c>
      <c r="DB53">
        <f>ROUND((ROUND(AT53*CZ53,2)*1.1),6)</f>
        <v>8.5030000000000001</v>
      </c>
      <c r="DC53">
        <f>ROUND((ROUND(AT53*AG53,2)*1.1),6)</f>
        <v>0</v>
      </c>
      <c r="DD53" t="s">
        <v>3</v>
      </c>
      <c r="DE53" t="s">
        <v>3</v>
      </c>
      <c r="DF53">
        <f t="shared" si="23"/>
        <v>0</v>
      </c>
      <c r="DG53">
        <f t="shared" si="12"/>
        <v>0.09</v>
      </c>
      <c r="DH53">
        <f t="shared" si="13"/>
        <v>0</v>
      </c>
      <c r="DI53">
        <f t="shared" si="14"/>
        <v>0</v>
      </c>
      <c r="DJ53">
        <f>DG53</f>
        <v>0.09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ROW(Source!A88)</f>
        <v>88</v>
      </c>
      <c r="B54">
        <v>60258621</v>
      </c>
      <c r="C54">
        <v>60258820</v>
      </c>
      <c r="D54">
        <v>59040093</v>
      </c>
      <c r="E54">
        <v>1</v>
      </c>
      <c r="F54">
        <v>1</v>
      </c>
      <c r="G54">
        <v>1080</v>
      </c>
      <c r="H54">
        <v>3</v>
      </c>
      <c r="I54" t="s">
        <v>302</v>
      </c>
      <c r="J54" t="s">
        <v>303</v>
      </c>
      <c r="K54" t="s">
        <v>304</v>
      </c>
      <c r="L54">
        <v>1346</v>
      </c>
      <c r="N54">
        <v>1009</v>
      </c>
      <c r="O54" t="s">
        <v>282</v>
      </c>
      <c r="P54" t="s">
        <v>282</v>
      </c>
      <c r="Q54">
        <v>1</v>
      </c>
      <c r="W54">
        <v>0</v>
      </c>
      <c r="X54">
        <v>-878159893</v>
      </c>
      <c r="Y54">
        <f>(AT54*1)</f>
        <v>0.21</v>
      </c>
      <c r="AA54">
        <v>159.06</v>
      </c>
      <c r="AB54">
        <v>0</v>
      </c>
      <c r="AC54">
        <v>0</v>
      </c>
      <c r="AD54">
        <v>0</v>
      </c>
      <c r="AE54">
        <v>159.06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0.21</v>
      </c>
      <c r="AU54" t="s">
        <v>23</v>
      </c>
      <c r="AV54">
        <v>0</v>
      </c>
      <c r="AW54">
        <v>2</v>
      </c>
      <c r="AX54">
        <v>60259012</v>
      </c>
      <c r="AY54">
        <v>1</v>
      </c>
      <c r="AZ54">
        <v>0</v>
      </c>
      <c r="BA54">
        <v>64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ROUND(Y54*Source!I88,9)</f>
        <v>2.0999999999999999E-3</v>
      </c>
      <c r="CY54">
        <f>AA54</f>
        <v>159.06</v>
      </c>
      <c r="CZ54">
        <f>AE54</f>
        <v>159.06</v>
      </c>
      <c r="DA54">
        <f>AI54</f>
        <v>1</v>
      </c>
      <c r="DB54">
        <f>ROUND((ROUND(AT54*CZ54,2)*1),6)</f>
        <v>33.4</v>
      </c>
      <c r="DC54">
        <f>ROUND((ROUND(AT54*AG54,2)*1),6)</f>
        <v>0</v>
      </c>
      <c r="DD54" t="s">
        <v>3</v>
      </c>
      <c r="DE54" t="s">
        <v>3</v>
      </c>
      <c r="DF54">
        <f t="shared" si="23"/>
        <v>0.33</v>
      </c>
      <c r="DG54">
        <f t="shared" si="12"/>
        <v>0</v>
      </c>
      <c r="DH54">
        <f t="shared" si="13"/>
        <v>0</v>
      </c>
      <c r="DI54">
        <f t="shared" si="14"/>
        <v>0</v>
      </c>
      <c r="DJ54">
        <f>DF54</f>
        <v>0.33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ROW(Source!A88)</f>
        <v>88</v>
      </c>
      <c r="B55">
        <v>60258621</v>
      </c>
      <c r="C55">
        <v>60258820</v>
      </c>
      <c r="D55">
        <v>59039008</v>
      </c>
      <c r="E55">
        <v>1</v>
      </c>
      <c r="F55">
        <v>1</v>
      </c>
      <c r="G55">
        <v>1080</v>
      </c>
      <c r="H55">
        <v>3</v>
      </c>
      <c r="I55" t="s">
        <v>305</v>
      </c>
      <c r="J55" t="s">
        <v>306</v>
      </c>
      <c r="K55" t="s">
        <v>307</v>
      </c>
      <c r="L55">
        <v>1354</v>
      </c>
      <c r="N55">
        <v>1010</v>
      </c>
      <c r="O55" t="s">
        <v>249</v>
      </c>
      <c r="P55" t="s">
        <v>249</v>
      </c>
      <c r="Q55">
        <v>1</v>
      </c>
      <c r="W55">
        <v>0</v>
      </c>
      <c r="X55">
        <v>-40224714</v>
      </c>
      <c r="Y55">
        <f>(AT55*1)</f>
        <v>4.08</v>
      </c>
      <c r="AA55">
        <v>0.89</v>
      </c>
      <c r="AB55">
        <v>0</v>
      </c>
      <c r="AC55">
        <v>0</v>
      </c>
      <c r="AD55">
        <v>0</v>
      </c>
      <c r="AE55">
        <v>0.89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4.08</v>
      </c>
      <c r="AU55" t="s">
        <v>23</v>
      </c>
      <c r="AV55">
        <v>0</v>
      </c>
      <c r="AW55">
        <v>2</v>
      </c>
      <c r="AX55">
        <v>60259013</v>
      </c>
      <c r="AY55">
        <v>1</v>
      </c>
      <c r="AZ55">
        <v>0</v>
      </c>
      <c r="BA55">
        <v>65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ROUND(Y55*Source!I88,9)</f>
        <v>4.0800000000000003E-2</v>
      </c>
      <c r="CY55">
        <f>AA55</f>
        <v>0.89</v>
      </c>
      <c r="CZ55">
        <f>AE55</f>
        <v>0.89</v>
      </c>
      <c r="DA55">
        <f>AI55</f>
        <v>1</v>
      </c>
      <c r="DB55">
        <f>ROUND((ROUND(AT55*CZ55,2)*1),6)</f>
        <v>3.63</v>
      </c>
      <c r="DC55">
        <f>ROUND((ROUND(AT55*AG55,2)*1),6)</f>
        <v>0</v>
      </c>
      <c r="DD55" t="s">
        <v>3</v>
      </c>
      <c r="DE55" t="s">
        <v>3</v>
      </c>
      <c r="DF55">
        <f t="shared" si="23"/>
        <v>0.04</v>
      </c>
      <c r="DG55">
        <f t="shared" si="12"/>
        <v>0</v>
      </c>
      <c r="DH55">
        <f t="shared" si="13"/>
        <v>0</v>
      </c>
      <c r="DI55">
        <f t="shared" si="14"/>
        <v>0</v>
      </c>
      <c r="DJ55">
        <f>DF55</f>
        <v>0.04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ROW(Source!A88)</f>
        <v>88</v>
      </c>
      <c r="B56">
        <v>60258621</v>
      </c>
      <c r="C56">
        <v>60258820</v>
      </c>
      <c r="D56">
        <v>59068333</v>
      </c>
      <c r="E56">
        <v>1</v>
      </c>
      <c r="F56">
        <v>1</v>
      </c>
      <c r="G56">
        <v>1080</v>
      </c>
      <c r="H56">
        <v>3</v>
      </c>
      <c r="I56" t="s">
        <v>308</v>
      </c>
      <c r="J56" t="s">
        <v>309</v>
      </c>
      <c r="K56" t="s">
        <v>310</v>
      </c>
      <c r="L56">
        <v>1303</v>
      </c>
      <c r="N56">
        <v>1003</v>
      </c>
      <c r="O56" t="s">
        <v>229</v>
      </c>
      <c r="P56" t="s">
        <v>229</v>
      </c>
      <c r="Q56">
        <v>1000</v>
      </c>
      <c r="W56">
        <v>0</v>
      </c>
      <c r="X56">
        <v>106754564</v>
      </c>
      <c r="Y56">
        <f>(AT56*1)</f>
        <v>1.5299999999999999E-2</v>
      </c>
      <c r="AA56">
        <v>2897.31</v>
      </c>
      <c r="AB56">
        <v>0</v>
      </c>
      <c r="AC56">
        <v>0</v>
      </c>
      <c r="AD56">
        <v>0</v>
      </c>
      <c r="AE56">
        <v>2897.31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1.5299999999999999E-2</v>
      </c>
      <c r="AU56" t="s">
        <v>23</v>
      </c>
      <c r="AV56">
        <v>0</v>
      </c>
      <c r="AW56">
        <v>2</v>
      </c>
      <c r="AX56">
        <v>60259014</v>
      </c>
      <c r="AY56">
        <v>1</v>
      </c>
      <c r="AZ56">
        <v>0</v>
      </c>
      <c r="BA56">
        <v>66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ROUND(Y56*Source!I88,9)</f>
        <v>1.5300000000000001E-4</v>
      </c>
      <c r="CY56">
        <f>AA56</f>
        <v>2897.31</v>
      </c>
      <c r="CZ56">
        <f>AE56</f>
        <v>2897.31</v>
      </c>
      <c r="DA56">
        <f>AI56</f>
        <v>1</v>
      </c>
      <c r="DB56">
        <f>ROUND((ROUND(AT56*CZ56,2)*1),6)</f>
        <v>44.33</v>
      </c>
      <c r="DC56">
        <f>ROUND((ROUND(AT56*AG56,2)*1),6)</f>
        <v>0</v>
      </c>
      <c r="DD56" t="s">
        <v>3</v>
      </c>
      <c r="DE56" t="s">
        <v>3</v>
      </c>
      <c r="DF56">
        <f t="shared" si="23"/>
        <v>0.44</v>
      </c>
      <c r="DG56">
        <f t="shared" si="12"/>
        <v>0</v>
      </c>
      <c r="DH56">
        <f t="shared" si="13"/>
        <v>0</v>
      </c>
      <c r="DI56">
        <f t="shared" si="14"/>
        <v>0</v>
      </c>
      <c r="DJ56">
        <f>DF56</f>
        <v>0.44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ROW(Source!A89)</f>
        <v>89</v>
      </c>
      <c r="B57">
        <v>60258618</v>
      </c>
      <c r="C57">
        <v>60258820</v>
      </c>
      <c r="D57">
        <v>58999254</v>
      </c>
      <c r="E57">
        <v>1080</v>
      </c>
      <c r="F57">
        <v>1</v>
      </c>
      <c r="G57">
        <v>1080</v>
      </c>
      <c r="H57">
        <v>1</v>
      </c>
      <c r="I57" t="s">
        <v>268</v>
      </c>
      <c r="J57" t="s">
        <v>3</v>
      </c>
      <c r="K57" t="s">
        <v>269</v>
      </c>
      <c r="L57">
        <v>1191</v>
      </c>
      <c r="N57">
        <v>1013</v>
      </c>
      <c r="O57" t="s">
        <v>270</v>
      </c>
      <c r="P57" t="s">
        <v>270</v>
      </c>
      <c r="Q57">
        <v>1</v>
      </c>
      <c r="W57">
        <v>0</v>
      </c>
      <c r="X57">
        <v>476480486</v>
      </c>
      <c r="Y57">
        <f>(AT57*1.1)</f>
        <v>93.137000000000015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5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84.67</v>
      </c>
      <c r="AU57" t="s">
        <v>24</v>
      </c>
      <c r="AV57">
        <v>1</v>
      </c>
      <c r="AW57">
        <v>2</v>
      </c>
      <c r="AX57">
        <v>60259009</v>
      </c>
      <c r="AY57">
        <v>1</v>
      </c>
      <c r="AZ57">
        <v>0</v>
      </c>
      <c r="BA57">
        <v>69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ROUND(AT57*Source!I89*AH57*AL57,2)</f>
        <v>0</v>
      </c>
      <c r="CV57">
        <f>ROUND(Y57*Source!I89,9)</f>
        <v>0.93137000000000003</v>
      </c>
      <c r="CW57">
        <v>0</v>
      </c>
      <c r="CX57">
        <f>ROUND(Y57*Source!I89,9)</f>
        <v>0.93137000000000003</v>
      </c>
      <c r="CY57">
        <f>AD57</f>
        <v>0</v>
      </c>
      <c r="CZ57">
        <f>AH57</f>
        <v>0</v>
      </c>
      <c r="DA57">
        <f>AL57</f>
        <v>1</v>
      </c>
      <c r="DB57">
        <f>ROUND((ROUND(AT57*CZ57,2)*1.1),6)</f>
        <v>0</v>
      </c>
      <c r="DC57">
        <f>ROUND((ROUND(AT57*AG57,2)*1.1),6)</f>
        <v>0</v>
      </c>
      <c r="DD57" t="s">
        <v>3</v>
      </c>
      <c r="DE57" t="s">
        <v>3</v>
      </c>
      <c r="DF57">
        <f t="shared" si="23"/>
        <v>0</v>
      </c>
      <c r="DG57">
        <f t="shared" si="12"/>
        <v>0</v>
      </c>
      <c r="DH57">
        <f t="shared" si="13"/>
        <v>0</v>
      </c>
      <c r="DI57">
        <f t="shared" si="14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ROW(Source!A89)</f>
        <v>89</v>
      </c>
      <c r="B58">
        <v>60258618</v>
      </c>
      <c r="C58">
        <v>60258820</v>
      </c>
      <c r="D58">
        <v>59070669</v>
      </c>
      <c r="E58">
        <v>1</v>
      </c>
      <c r="F58">
        <v>1</v>
      </c>
      <c r="G58">
        <v>1080</v>
      </c>
      <c r="H58">
        <v>2</v>
      </c>
      <c r="I58" t="s">
        <v>294</v>
      </c>
      <c r="J58" t="s">
        <v>295</v>
      </c>
      <c r="K58" t="s">
        <v>296</v>
      </c>
      <c r="L58">
        <v>1368</v>
      </c>
      <c r="N58">
        <v>1011</v>
      </c>
      <c r="O58" t="s">
        <v>297</v>
      </c>
      <c r="P58" t="s">
        <v>297</v>
      </c>
      <c r="Q58">
        <v>1</v>
      </c>
      <c r="W58">
        <v>0</v>
      </c>
      <c r="X58">
        <v>-1985943078</v>
      </c>
      <c r="Y58">
        <f>(AT58*1.1)</f>
        <v>1.1330000000000002</v>
      </c>
      <c r="AA58">
        <v>0</v>
      </c>
      <c r="AB58">
        <v>1418.19</v>
      </c>
      <c r="AC58">
        <v>726.59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16.3</v>
      </c>
      <c r="AK58">
        <v>54.99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1.03</v>
      </c>
      <c r="AU58" t="s">
        <v>24</v>
      </c>
      <c r="AV58">
        <v>0</v>
      </c>
      <c r="AW58">
        <v>2</v>
      </c>
      <c r="AX58">
        <v>60259010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ROUND(Y58*Source!I89*DO58,9)</f>
        <v>0.14298459999999999</v>
      </c>
      <c r="CX58">
        <f>ROUND(Y58*Source!I89,9)</f>
        <v>1.133E-2</v>
      </c>
      <c r="CY58">
        <f>AB58</f>
        <v>1418.19</v>
      </c>
      <c r="CZ58">
        <f>AF58</f>
        <v>83.1</v>
      </c>
      <c r="DA58">
        <f>AJ58</f>
        <v>16.3</v>
      </c>
      <c r="DB58">
        <f>ROUND((ROUND(AT58*CZ58,2)*1.1),6)</f>
        <v>94.149000000000001</v>
      </c>
      <c r="DC58">
        <f>ROUND((ROUND(AT58*AG58,2)*1.1),6)</f>
        <v>14.3</v>
      </c>
      <c r="DD58" t="s">
        <v>3</v>
      </c>
      <c r="DE58" t="s">
        <v>3</v>
      </c>
      <c r="DF58">
        <f t="shared" si="23"/>
        <v>0</v>
      </c>
      <c r="DG58">
        <f>ROUND(ROUND(AF58*AJ58,2)*CX58,2)</f>
        <v>15.35</v>
      </c>
      <c r="DH58">
        <f>ROUND(ROUND(AG58*AK58,2)*CX58,2)</f>
        <v>7.86</v>
      </c>
      <c r="DI58">
        <f t="shared" si="14"/>
        <v>0</v>
      </c>
      <c r="DJ58">
        <f>DG58</f>
        <v>15.35</v>
      </c>
      <c r="DK58">
        <v>0</v>
      </c>
      <c r="DL58" t="s">
        <v>298</v>
      </c>
      <c r="DM58">
        <v>0</v>
      </c>
      <c r="DN58" t="s">
        <v>270</v>
      </c>
      <c r="DO58">
        <v>12.62</v>
      </c>
    </row>
    <row r="59" spans="1:119" x14ac:dyDescent="0.2">
      <c r="A59">
        <f>ROW(Source!A89)</f>
        <v>89</v>
      </c>
      <c r="B59">
        <v>60258618</v>
      </c>
      <c r="C59">
        <v>60258820</v>
      </c>
      <c r="D59">
        <v>59070782</v>
      </c>
      <c r="E59">
        <v>1</v>
      </c>
      <c r="F59">
        <v>1</v>
      </c>
      <c r="G59">
        <v>1080</v>
      </c>
      <c r="H59">
        <v>2</v>
      </c>
      <c r="I59" t="s">
        <v>299</v>
      </c>
      <c r="J59" t="s">
        <v>300</v>
      </c>
      <c r="K59" t="s">
        <v>301</v>
      </c>
      <c r="L59">
        <v>1368</v>
      </c>
      <c r="N59">
        <v>1011</v>
      </c>
      <c r="O59" t="s">
        <v>297</v>
      </c>
      <c r="P59" t="s">
        <v>297</v>
      </c>
      <c r="Q59">
        <v>1</v>
      </c>
      <c r="W59">
        <v>0</v>
      </c>
      <c r="X59">
        <v>-507462707</v>
      </c>
      <c r="Y59">
        <f>(AT59*1.1)</f>
        <v>24.288</v>
      </c>
      <c r="AA59">
        <v>0</v>
      </c>
      <c r="AB59">
        <v>3.08</v>
      </c>
      <c r="AC59">
        <v>0</v>
      </c>
      <c r="AD59">
        <v>0</v>
      </c>
      <c r="AE59">
        <v>0</v>
      </c>
      <c r="AF59">
        <v>0.35</v>
      </c>
      <c r="AG59">
        <v>0</v>
      </c>
      <c r="AH59">
        <v>0</v>
      </c>
      <c r="AI59">
        <v>1</v>
      </c>
      <c r="AJ59">
        <v>8.4</v>
      </c>
      <c r="AK59">
        <v>54.99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22.08</v>
      </c>
      <c r="AU59" t="s">
        <v>24</v>
      </c>
      <c r="AV59">
        <v>0</v>
      </c>
      <c r="AW59">
        <v>2</v>
      </c>
      <c r="AX59">
        <v>60259011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ROUND(Y59*Source!I89*DO59,9)</f>
        <v>0</v>
      </c>
      <c r="CX59">
        <f>ROUND(Y59*Source!I89,9)</f>
        <v>0.24288000000000001</v>
      </c>
      <c r="CY59">
        <f>AB59</f>
        <v>3.08</v>
      </c>
      <c r="CZ59">
        <f>AF59</f>
        <v>0.35</v>
      </c>
      <c r="DA59">
        <f>AJ59</f>
        <v>8.4</v>
      </c>
      <c r="DB59">
        <f>ROUND((ROUND(AT59*CZ59,2)*1.1),6)</f>
        <v>8.5030000000000001</v>
      </c>
      <c r="DC59">
        <f>ROUND((ROUND(AT59*AG59,2)*1.1),6)</f>
        <v>0</v>
      </c>
      <c r="DD59" t="s">
        <v>3</v>
      </c>
      <c r="DE59" t="s">
        <v>3</v>
      </c>
      <c r="DF59">
        <f t="shared" si="23"/>
        <v>0</v>
      </c>
      <c r="DG59">
        <f>ROUND(ROUND(AF59*AJ59,2)*CX59,2)</f>
        <v>0.71</v>
      </c>
      <c r="DH59">
        <f>ROUND(ROUND(AG59*AK59,2)*CX59,2)</f>
        <v>0</v>
      </c>
      <c r="DI59">
        <f t="shared" si="14"/>
        <v>0</v>
      </c>
      <c r="DJ59">
        <f>DG59</f>
        <v>0.71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ROW(Source!A89)</f>
        <v>89</v>
      </c>
      <c r="B60">
        <v>60258618</v>
      </c>
      <c r="C60">
        <v>60258820</v>
      </c>
      <c r="D60">
        <v>59040093</v>
      </c>
      <c r="E60">
        <v>1</v>
      </c>
      <c r="F60">
        <v>1</v>
      </c>
      <c r="G60">
        <v>1080</v>
      </c>
      <c r="H60">
        <v>3</v>
      </c>
      <c r="I60" t="s">
        <v>302</v>
      </c>
      <c r="J60" t="s">
        <v>303</v>
      </c>
      <c r="K60" t="s">
        <v>304</v>
      </c>
      <c r="L60">
        <v>1346</v>
      </c>
      <c r="N60">
        <v>1009</v>
      </c>
      <c r="O60" t="s">
        <v>282</v>
      </c>
      <c r="P60" t="s">
        <v>282</v>
      </c>
      <c r="Q60">
        <v>1</v>
      </c>
      <c r="W60">
        <v>0</v>
      </c>
      <c r="X60">
        <v>-878159893</v>
      </c>
      <c r="Y60">
        <f>(AT60*1)</f>
        <v>0.21</v>
      </c>
      <c r="AA60">
        <v>286.31</v>
      </c>
      <c r="AB60">
        <v>0</v>
      </c>
      <c r="AC60">
        <v>0</v>
      </c>
      <c r="AD60">
        <v>0</v>
      </c>
      <c r="AE60">
        <v>159.06</v>
      </c>
      <c r="AF60">
        <v>0</v>
      </c>
      <c r="AG60">
        <v>0</v>
      </c>
      <c r="AH60">
        <v>0</v>
      </c>
      <c r="AI60">
        <v>1.8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0.21</v>
      </c>
      <c r="AU60" t="s">
        <v>23</v>
      </c>
      <c r="AV60">
        <v>0</v>
      </c>
      <c r="AW60">
        <v>2</v>
      </c>
      <c r="AX60">
        <v>60259012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ROUND(Y60*Source!I89,9)</f>
        <v>2.0999999999999999E-3</v>
      </c>
      <c r="CY60">
        <f>AA60</f>
        <v>286.31</v>
      </c>
      <c r="CZ60">
        <f>AE60</f>
        <v>159.06</v>
      </c>
      <c r="DA60">
        <f>AI60</f>
        <v>1.8</v>
      </c>
      <c r="DB60">
        <f>ROUND((ROUND(AT60*CZ60,2)*1),6)</f>
        <v>33.4</v>
      </c>
      <c r="DC60">
        <f>ROUND((ROUND(AT60*AG60,2)*1),6)</f>
        <v>0</v>
      </c>
      <c r="DD60" t="s">
        <v>3</v>
      </c>
      <c r="DE60" t="s">
        <v>3</v>
      </c>
      <c r="DF60">
        <f>ROUND(ROUND(AE60*AI60,2)*CX60,2)</f>
        <v>0.6</v>
      </c>
      <c r="DG60">
        <f t="shared" ref="DG60:DG72" si="24">ROUND(ROUND(AF60,2)*CX60,2)</f>
        <v>0</v>
      </c>
      <c r="DH60">
        <f t="shared" ref="DH60:DH72" si="25">ROUND(ROUND(AG60,2)*CX60,2)</f>
        <v>0</v>
      </c>
      <c r="DI60">
        <f t="shared" si="14"/>
        <v>0</v>
      </c>
      <c r="DJ60">
        <f>DF60</f>
        <v>0.6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ROW(Source!A89)</f>
        <v>89</v>
      </c>
      <c r="B61">
        <v>60258618</v>
      </c>
      <c r="C61">
        <v>60258820</v>
      </c>
      <c r="D61">
        <v>59039008</v>
      </c>
      <c r="E61">
        <v>1</v>
      </c>
      <c r="F61">
        <v>1</v>
      </c>
      <c r="G61">
        <v>1080</v>
      </c>
      <c r="H61">
        <v>3</v>
      </c>
      <c r="I61" t="s">
        <v>305</v>
      </c>
      <c r="J61" t="s">
        <v>306</v>
      </c>
      <c r="K61" t="s">
        <v>307</v>
      </c>
      <c r="L61">
        <v>1354</v>
      </c>
      <c r="N61">
        <v>1010</v>
      </c>
      <c r="O61" t="s">
        <v>249</v>
      </c>
      <c r="P61" t="s">
        <v>249</v>
      </c>
      <c r="Q61">
        <v>1</v>
      </c>
      <c r="W61">
        <v>0</v>
      </c>
      <c r="X61">
        <v>-40224714</v>
      </c>
      <c r="Y61">
        <f>(AT61*1)</f>
        <v>4.08</v>
      </c>
      <c r="AA61">
        <v>0.8</v>
      </c>
      <c r="AB61">
        <v>0</v>
      </c>
      <c r="AC61">
        <v>0</v>
      </c>
      <c r="AD61">
        <v>0</v>
      </c>
      <c r="AE61">
        <v>0.89</v>
      </c>
      <c r="AF61">
        <v>0</v>
      </c>
      <c r="AG61">
        <v>0</v>
      </c>
      <c r="AH61">
        <v>0</v>
      </c>
      <c r="AI61">
        <v>0.9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4.08</v>
      </c>
      <c r="AU61" t="s">
        <v>23</v>
      </c>
      <c r="AV61">
        <v>0</v>
      </c>
      <c r="AW61">
        <v>2</v>
      </c>
      <c r="AX61">
        <v>60259013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ROUND(Y61*Source!I89,9)</f>
        <v>4.0800000000000003E-2</v>
      </c>
      <c r="CY61">
        <f>AA61</f>
        <v>0.8</v>
      </c>
      <c r="CZ61">
        <f>AE61</f>
        <v>0.89</v>
      </c>
      <c r="DA61">
        <f>AI61</f>
        <v>0.9</v>
      </c>
      <c r="DB61">
        <f>ROUND((ROUND(AT61*CZ61,2)*1),6)</f>
        <v>3.63</v>
      </c>
      <c r="DC61">
        <f>ROUND((ROUND(AT61*AG61,2)*1),6)</f>
        <v>0</v>
      </c>
      <c r="DD61" t="s">
        <v>3</v>
      </c>
      <c r="DE61" t="s">
        <v>3</v>
      </c>
      <c r="DF61">
        <f>ROUND(ROUND(AE61*AI61,2)*CX61,2)</f>
        <v>0.03</v>
      </c>
      <c r="DG61">
        <f t="shared" si="24"/>
        <v>0</v>
      </c>
      <c r="DH61">
        <f t="shared" si="25"/>
        <v>0</v>
      </c>
      <c r="DI61">
        <f t="shared" si="14"/>
        <v>0</v>
      </c>
      <c r="DJ61">
        <f>DF61</f>
        <v>0.03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ROW(Source!A89)</f>
        <v>89</v>
      </c>
      <c r="B62">
        <v>60258618</v>
      </c>
      <c r="C62">
        <v>60258820</v>
      </c>
      <c r="D62">
        <v>59068333</v>
      </c>
      <c r="E62">
        <v>1</v>
      </c>
      <c r="F62">
        <v>1</v>
      </c>
      <c r="G62">
        <v>1080</v>
      </c>
      <c r="H62">
        <v>3</v>
      </c>
      <c r="I62" t="s">
        <v>308</v>
      </c>
      <c r="J62" t="s">
        <v>309</v>
      </c>
      <c r="K62" t="s">
        <v>310</v>
      </c>
      <c r="L62">
        <v>1303</v>
      </c>
      <c r="N62">
        <v>1003</v>
      </c>
      <c r="O62" t="s">
        <v>229</v>
      </c>
      <c r="P62" t="s">
        <v>229</v>
      </c>
      <c r="Q62">
        <v>1000</v>
      </c>
      <c r="W62">
        <v>0</v>
      </c>
      <c r="X62">
        <v>106754564</v>
      </c>
      <c r="Y62">
        <f>(AT62*1)</f>
        <v>1.5299999999999999E-2</v>
      </c>
      <c r="AA62">
        <v>52499.26</v>
      </c>
      <c r="AB62">
        <v>0</v>
      </c>
      <c r="AC62">
        <v>0</v>
      </c>
      <c r="AD62">
        <v>0</v>
      </c>
      <c r="AE62">
        <v>2897.31</v>
      </c>
      <c r="AF62">
        <v>0</v>
      </c>
      <c r="AG62">
        <v>0</v>
      </c>
      <c r="AH62">
        <v>0</v>
      </c>
      <c r="AI62">
        <v>18.12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1.5299999999999999E-2</v>
      </c>
      <c r="AU62" t="s">
        <v>23</v>
      </c>
      <c r="AV62">
        <v>0</v>
      </c>
      <c r="AW62">
        <v>2</v>
      </c>
      <c r="AX62">
        <v>60259014</v>
      </c>
      <c r="AY62">
        <v>1</v>
      </c>
      <c r="AZ62">
        <v>0</v>
      </c>
      <c r="BA62">
        <v>74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ROUND(Y62*Source!I89,9)</f>
        <v>1.5300000000000001E-4</v>
      </c>
      <c r="CY62">
        <f>AA62</f>
        <v>52499.26</v>
      </c>
      <c r="CZ62">
        <f>AE62</f>
        <v>2897.31</v>
      </c>
      <c r="DA62">
        <f>AI62</f>
        <v>18.12</v>
      </c>
      <c r="DB62">
        <f>ROUND((ROUND(AT62*CZ62,2)*1),6)</f>
        <v>44.33</v>
      </c>
      <c r="DC62">
        <f>ROUND((ROUND(AT62*AG62,2)*1),6)</f>
        <v>0</v>
      </c>
      <c r="DD62" t="s">
        <v>3</v>
      </c>
      <c r="DE62" t="s">
        <v>3</v>
      </c>
      <c r="DF62">
        <f>ROUND(ROUND(AE62*AI62,2)*CX62,2)</f>
        <v>8.0299999999999994</v>
      </c>
      <c r="DG62">
        <f t="shared" si="24"/>
        <v>0</v>
      </c>
      <c r="DH62">
        <f t="shared" si="25"/>
        <v>0</v>
      </c>
      <c r="DI62">
        <f t="shared" si="14"/>
        <v>0</v>
      </c>
      <c r="DJ62">
        <f>DF62</f>
        <v>8.0299999999999994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ROW(Source!A127)</f>
        <v>127</v>
      </c>
      <c r="B63">
        <v>60258621</v>
      </c>
      <c r="C63">
        <v>61620486</v>
      </c>
      <c r="D63">
        <v>58999254</v>
      </c>
      <c r="E63">
        <v>1080</v>
      </c>
      <c r="F63">
        <v>1</v>
      </c>
      <c r="G63">
        <v>1080</v>
      </c>
      <c r="H63">
        <v>1</v>
      </c>
      <c r="I63" t="s">
        <v>268</v>
      </c>
      <c r="J63" t="s">
        <v>3</v>
      </c>
      <c r="K63" t="s">
        <v>269</v>
      </c>
      <c r="L63">
        <v>1191</v>
      </c>
      <c r="N63">
        <v>1013</v>
      </c>
      <c r="O63" t="s">
        <v>270</v>
      </c>
      <c r="P63" t="s">
        <v>270</v>
      </c>
      <c r="Q63">
        <v>1</v>
      </c>
      <c r="W63">
        <v>0</v>
      </c>
      <c r="X63">
        <v>476480486</v>
      </c>
      <c r="Y63">
        <f>(AT63*1.1)</f>
        <v>27.236000000000004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24.76</v>
      </c>
      <c r="AU63" t="s">
        <v>24</v>
      </c>
      <c r="AV63">
        <v>1</v>
      </c>
      <c r="AW63">
        <v>2</v>
      </c>
      <c r="AX63">
        <v>61620523</v>
      </c>
      <c r="AY63">
        <v>1</v>
      </c>
      <c r="AZ63">
        <v>0</v>
      </c>
      <c r="BA63">
        <v>77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ROUND(AT63*Source!I127*AH63*AL63,2)</f>
        <v>0</v>
      </c>
      <c r="CV63">
        <f>ROUND(Y63*Source!I127,9)</f>
        <v>817.08</v>
      </c>
      <c r="CW63">
        <v>0</v>
      </c>
      <c r="CX63">
        <f>ROUND(Y63*Source!I127,9)</f>
        <v>817.08</v>
      </c>
      <c r="CY63">
        <f>AD63</f>
        <v>0</v>
      </c>
      <c r="CZ63">
        <f>AH63</f>
        <v>0</v>
      </c>
      <c r="DA63">
        <f>AL63</f>
        <v>1</v>
      </c>
      <c r="DB63">
        <f>ROUND((ROUND(AT63*CZ63,2)*1.1),6)</f>
        <v>0</v>
      </c>
      <c r="DC63">
        <f>ROUND((ROUND(AT63*AG63,2)*1.1),6)</f>
        <v>0</v>
      </c>
      <c r="DD63" t="s">
        <v>3</v>
      </c>
      <c r="DE63" t="s">
        <v>3</v>
      </c>
      <c r="DF63">
        <f t="shared" ref="DF63:DF74" si="26">ROUND(ROUND(AE63,2)*CX63,2)</f>
        <v>0</v>
      </c>
      <c r="DG63">
        <f t="shared" si="24"/>
        <v>0</v>
      </c>
      <c r="DH63">
        <f t="shared" si="25"/>
        <v>0</v>
      </c>
      <c r="DI63">
        <f t="shared" si="14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ROW(Source!A127)</f>
        <v>127</v>
      </c>
      <c r="B64">
        <v>60258621</v>
      </c>
      <c r="C64">
        <v>61620486</v>
      </c>
      <c r="D64">
        <v>59070721</v>
      </c>
      <c r="E64">
        <v>1</v>
      </c>
      <c r="F64">
        <v>1</v>
      </c>
      <c r="G64">
        <v>1080</v>
      </c>
      <c r="H64">
        <v>2</v>
      </c>
      <c r="I64" t="s">
        <v>311</v>
      </c>
      <c r="J64" t="s">
        <v>312</v>
      </c>
      <c r="K64" t="s">
        <v>313</v>
      </c>
      <c r="L64">
        <v>1368</v>
      </c>
      <c r="N64">
        <v>1011</v>
      </c>
      <c r="O64" t="s">
        <v>297</v>
      </c>
      <c r="P64" t="s">
        <v>297</v>
      </c>
      <c r="Q64">
        <v>1</v>
      </c>
      <c r="W64">
        <v>0</v>
      </c>
      <c r="X64">
        <v>1387779639</v>
      </c>
      <c r="Y64">
        <f>(AT64*1.1)</f>
        <v>2.6840000000000002</v>
      </c>
      <c r="AA64">
        <v>0</v>
      </c>
      <c r="AB64">
        <v>0.81</v>
      </c>
      <c r="AC64">
        <v>0</v>
      </c>
      <c r="AD64">
        <v>0</v>
      </c>
      <c r="AE64">
        <v>0</v>
      </c>
      <c r="AF64">
        <v>0.77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2.44</v>
      </c>
      <c r="AU64" t="s">
        <v>24</v>
      </c>
      <c r="AV64">
        <v>0</v>
      </c>
      <c r="AW64">
        <v>2</v>
      </c>
      <c r="AX64">
        <v>61620524</v>
      </c>
      <c r="AY64">
        <v>1</v>
      </c>
      <c r="AZ64">
        <v>0</v>
      </c>
      <c r="BA64">
        <v>78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ROUND(Y64*Source!I127*DO64,9)</f>
        <v>0</v>
      </c>
      <c r="CX64">
        <f>ROUND(Y64*Source!I127,9)</f>
        <v>80.52</v>
      </c>
      <c r="CY64">
        <f>AB64</f>
        <v>0.81</v>
      </c>
      <c r="CZ64">
        <f>AF64</f>
        <v>0.77</v>
      </c>
      <c r="DA64">
        <f>AJ64</f>
        <v>1</v>
      </c>
      <c r="DB64">
        <f>ROUND((ROUND(AT64*CZ64,2)*1.1),6)</f>
        <v>2.0680000000000001</v>
      </c>
      <c r="DC64">
        <f>ROUND((ROUND(AT64*AG64,2)*1.1),6)</f>
        <v>0</v>
      </c>
      <c r="DD64" t="s">
        <v>3</v>
      </c>
      <c r="DE64" t="s">
        <v>3</v>
      </c>
      <c r="DF64">
        <f t="shared" si="26"/>
        <v>0</v>
      </c>
      <c r="DG64">
        <f t="shared" si="24"/>
        <v>62</v>
      </c>
      <c r="DH64">
        <f t="shared" si="25"/>
        <v>0</v>
      </c>
      <c r="DI64">
        <f t="shared" si="14"/>
        <v>0</v>
      </c>
      <c r="DJ64">
        <f>DG64</f>
        <v>62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ROW(Source!A127)</f>
        <v>127</v>
      </c>
      <c r="B65">
        <v>60258621</v>
      </c>
      <c r="C65">
        <v>61620486</v>
      </c>
      <c r="D65">
        <v>59070754</v>
      </c>
      <c r="E65">
        <v>1</v>
      </c>
      <c r="F65">
        <v>1</v>
      </c>
      <c r="G65">
        <v>1080</v>
      </c>
      <c r="H65">
        <v>2</v>
      </c>
      <c r="I65" t="s">
        <v>314</v>
      </c>
      <c r="J65" t="s">
        <v>315</v>
      </c>
      <c r="K65" t="s">
        <v>316</v>
      </c>
      <c r="L65">
        <v>1368</v>
      </c>
      <c r="N65">
        <v>1011</v>
      </c>
      <c r="O65" t="s">
        <v>297</v>
      </c>
      <c r="P65" t="s">
        <v>297</v>
      </c>
      <c r="Q65">
        <v>1</v>
      </c>
      <c r="W65">
        <v>0</v>
      </c>
      <c r="X65">
        <v>1645565003</v>
      </c>
      <c r="Y65">
        <f>(AT65*1.1)</f>
        <v>5.093</v>
      </c>
      <c r="AA65">
        <v>0</v>
      </c>
      <c r="AB65">
        <v>0.49</v>
      </c>
      <c r="AC65">
        <v>0</v>
      </c>
      <c r="AD65">
        <v>0</v>
      </c>
      <c r="AE65">
        <v>0</v>
      </c>
      <c r="AF65">
        <v>0.47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4.63</v>
      </c>
      <c r="AU65" t="s">
        <v>24</v>
      </c>
      <c r="AV65">
        <v>0</v>
      </c>
      <c r="AW65">
        <v>2</v>
      </c>
      <c r="AX65">
        <v>61620525</v>
      </c>
      <c r="AY65">
        <v>1</v>
      </c>
      <c r="AZ65">
        <v>0</v>
      </c>
      <c r="BA65">
        <v>79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f>ROUND(Y65*Source!I127*DO65,9)</f>
        <v>0</v>
      </c>
      <c r="CX65">
        <f>ROUND(Y65*Source!I127,9)</f>
        <v>152.79</v>
      </c>
      <c r="CY65">
        <f>AB65</f>
        <v>0.49</v>
      </c>
      <c r="CZ65">
        <f>AF65</f>
        <v>0.47</v>
      </c>
      <c r="DA65">
        <f>AJ65</f>
        <v>1</v>
      </c>
      <c r="DB65">
        <f>ROUND((ROUND(AT65*CZ65,2)*1.1),6)</f>
        <v>2.3980000000000001</v>
      </c>
      <c r="DC65">
        <f>ROUND((ROUND(AT65*AG65,2)*1.1),6)</f>
        <v>0</v>
      </c>
      <c r="DD65" t="s">
        <v>3</v>
      </c>
      <c r="DE65" t="s">
        <v>3</v>
      </c>
      <c r="DF65">
        <f t="shared" si="26"/>
        <v>0</v>
      </c>
      <c r="DG65">
        <f t="shared" si="24"/>
        <v>71.81</v>
      </c>
      <c r="DH65">
        <f t="shared" si="25"/>
        <v>0</v>
      </c>
      <c r="DI65">
        <f t="shared" ref="DI65:DI90" si="27">ROUND(ROUND(AH65,2)*CX65,2)</f>
        <v>0</v>
      </c>
      <c r="DJ65">
        <f>DG65</f>
        <v>71.81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ROW(Source!A127)</f>
        <v>127</v>
      </c>
      <c r="B66">
        <v>60258621</v>
      </c>
      <c r="C66">
        <v>61620486</v>
      </c>
      <c r="D66">
        <v>59052975</v>
      </c>
      <c r="E66">
        <v>1</v>
      </c>
      <c r="F66">
        <v>1</v>
      </c>
      <c r="G66">
        <v>1080</v>
      </c>
      <c r="H66">
        <v>3</v>
      </c>
      <c r="I66" t="s">
        <v>210</v>
      </c>
      <c r="J66" t="s">
        <v>213</v>
      </c>
      <c r="K66" t="s">
        <v>211</v>
      </c>
      <c r="L66">
        <v>1301</v>
      </c>
      <c r="N66">
        <v>1003</v>
      </c>
      <c r="O66" t="s">
        <v>212</v>
      </c>
      <c r="P66" t="s">
        <v>212</v>
      </c>
      <c r="Q66">
        <v>1</v>
      </c>
      <c r="W66">
        <v>0</v>
      </c>
      <c r="X66">
        <v>1184991115</v>
      </c>
      <c r="Y66">
        <f t="shared" ref="Y66:Y71" si="28">AT66</f>
        <v>102</v>
      </c>
      <c r="AA66">
        <v>2.67</v>
      </c>
      <c r="AB66">
        <v>0</v>
      </c>
      <c r="AC66">
        <v>0</v>
      </c>
      <c r="AD66">
        <v>0</v>
      </c>
      <c r="AE66">
        <v>2.67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102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ROUND(Y66*Source!I127,9)</f>
        <v>3060</v>
      </c>
      <c r="CY66">
        <f t="shared" ref="CY66:CY71" si="29">AA66</f>
        <v>2.67</v>
      </c>
      <c r="CZ66">
        <f t="shared" ref="CZ66:CZ71" si="30">AE66</f>
        <v>2.67</v>
      </c>
      <c r="DA66">
        <f t="shared" ref="DA66:DA71" si="31">AI66</f>
        <v>1</v>
      </c>
      <c r="DB66">
        <f t="shared" ref="DB66:DB71" si="32">ROUND(ROUND(AT66*CZ66,2),6)</f>
        <v>272.33999999999997</v>
      </c>
      <c r="DC66">
        <f t="shared" ref="DC66:DC71" si="33">ROUND(ROUND(AT66*AG66,2),6)</f>
        <v>0</v>
      </c>
      <c r="DD66" t="s">
        <v>3</v>
      </c>
      <c r="DE66" t="s">
        <v>3</v>
      </c>
      <c r="DF66">
        <f t="shared" si="26"/>
        <v>8170.2</v>
      </c>
      <c r="DG66">
        <f t="shared" si="24"/>
        <v>0</v>
      </c>
      <c r="DH66">
        <f t="shared" si="25"/>
        <v>0</v>
      </c>
      <c r="DI66">
        <f t="shared" si="27"/>
        <v>0</v>
      </c>
      <c r="DJ66">
        <f t="shared" ref="DJ66:DJ71" si="34">DF66</f>
        <v>8170.2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ROW(Source!A127)</f>
        <v>127</v>
      </c>
      <c r="B67">
        <v>60258621</v>
      </c>
      <c r="C67">
        <v>61620486</v>
      </c>
      <c r="D67">
        <v>59058215</v>
      </c>
      <c r="E67">
        <v>1</v>
      </c>
      <c r="F67">
        <v>1</v>
      </c>
      <c r="G67">
        <v>1080</v>
      </c>
      <c r="H67">
        <v>3</v>
      </c>
      <c r="I67" t="s">
        <v>215</v>
      </c>
      <c r="J67" t="s">
        <v>217</v>
      </c>
      <c r="K67" t="s">
        <v>216</v>
      </c>
      <c r="L67">
        <v>1355</v>
      </c>
      <c r="N67">
        <v>1010</v>
      </c>
      <c r="O67" t="s">
        <v>140</v>
      </c>
      <c r="P67" t="s">
        <v>140</v>
      </c>
      <c r="Q67">
        <v>100</v>
      </c>
      <c r="W67">
        <v>0</v>
      </c>
      <c r="X67">
        <v>-1288220709</v>
      </c>
      <c r="Y67">
        <f t="shared" si="28"/>
        <v>2.38</v>
      </c>
      <c r="AA67">
        <v>46.63</v>
      </c>
      <c r="AB67">
        <v>0</v>
      </c>
      <c r="AC67">
        <v>0</v>
      </c>
      <c r="AD67">
        <v>0</v>
      </c>
      <c r="AE67">
        <v>46.63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 t="s">
        <v>3</v>
      </c>
      <c r="AT67">
        <v>2.38</v>
      </c>
      <c r="AU67" t="s">
        <v>3</v>
      </c>
      <c r="AV67">
        <v>0</v>
      </c>
      <c r="AW67">
        <v>1</v>
      </c>
      <c r="AX67">
        <v>-1</v>
      </c>
      <c r="AY67">
        <v>0</v>
      </c>
      <c r="AZ67">
        <v>0</v>
      </c>
      <c r="BA67" t="s">
        <v>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ROUND(Y67*Source!I127,9)</f>
        <v>71.400000000000006</v>
      </c>
      <c r="CY67">
        <f t="shared" si="29"/>
        <v>46.63</v>
      </c>
      <c r="CZ67">
        <f t="shared" si="30"/>
        <v>46.63</v>
      </c>
      <c r="DA67">
        <f t="shared" si="31"/>
        <v>1</v>
      </c>
      <c r="DB67">
        <f t="shared" si="32"/>
        <v>110.98</v>
      </c>
      <c r="DC67">
        <f t="shared" si="33"/>
        <v>0</v>
      </c>
      <c r="DD67" t="s">
        <v>3</v>
      </c>
      <c r="DE67" t="s">
        <v>3</v>
      </c>
      <c r="DF67">
        <f t="shared" si="26"/>
        <v>3329.38</v>
      </c>
      <c r="DG67">
        <f t="shared" si="24"/>
        <v>0</v>
      </c>
      <c r="DH67">
        <f t="shared" si="25"/>
        <v>0</v>
      </c>
      <c r="DI67">
        <f t="shared" si="27"/>
        <v>0</v>
      </c>
      <c r="DJ67">
        <f t="shared" si="34"/>
        <v>3329.38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ROW(Source!A127)</f>
        <v>127</v>
      </c>
      <c r="B68">
        <v>60258621</v>
      </c>
      <c r="C68">
        <v>61620486</v>
      </c>
      <c r="D68">
        <v>59062734</v>
      </c>
      <c r="E68">
        <v>1</v>
      </c>
      <c r="F68">
        <v>1</v>
      </c>
      <c r="G68">
        <v>1080</v>
      </c>
      <c r="H68">
        <v>3</v>
      </c>
      <c r="I68" t="s">
        <v>317</v>
      </c>
      <c r="J68" t="s">
        <v>318</v>
      </c>
      <c r="K68" t="s">
        <v>319</v>
      </c>
      <c r="L68">
        <v>1356</v>
      </c>
      <c r="N68">
        <v>1010</v>
      </c>
      <c r="O68" t="s">
        <v>320</v>
      </c>
      <c r="P68" t="s">
        <v>320</v>
      </c>
      <c r="Q68">
        <v>1000</v>
      </c>
      <c r="W68">
        <v>0</v>
      </c>
      <c r="X68">
        <v>-1221558404</v>
      </c>
      <c r="Y68">
        <f t="shared" si="28"/>
        <v>3.1E-2</v>
      </c>
      <c r="AA68">
        <v>226.66</v>
      </c>
      <c r="AB68">
        <v>0</v>
      </c>
      <c r="AC68">
        <v>0</v>
      </c>
      <c r="AD68">
        <v>0</v>
      </c>
      <c r="AE68">
        <v>226.66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3.1E-2</v>
      </c>
      <c r="AU68" t="s">
        <v>3</v>
      </c>
      <c r="AV68">
        <v>0</v>
      </c>
      <c r="AW68">
        <v>2</v>
      </c>
      <c r="AX68">
        <v>61620526</v>
      </c>
      <c r="AY68">
        <v>1</v>
      </c>
      <c r="AZ68">
        <v>0</v>
      </c>
      <c r="BA68">
        <v>80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ROUND(Y68*Source!I127,9)</f>
        <v>0.93</v>
      </c>
      <c r="CY68">
        <f t="shared" si="29"/>
        <v>226.66</v>
      </c>
      <c r="CZ68">
        <f t="shared" si="30"/>
        <v>226.66</v>
      </c>
      <c r="DA68">
        <f t="shared" si="31"/>
        <v>1</v>
      </c>
      <c r="DB68">
        <f t="shared" si="32"/>
        <v>7.03</v>
      </c>
      <c r="DC68">
        <f t="shared" si="33"/>
        <v>0</v>
      </c>
      <c r="DD68" t="s">
        <v>3</v>
      </c>
      <c r="DE68" t="s">
        <v>3</v>
      </c>
      <c r="DF68">
        <f t="shared" si="26"/>
        <v>210.79</v>
      </c>
      <c r="DG68">
        <f t="shared" si="24"/>
        <v>0</v>
      </c>
      <c r="DH68">
        <f t="shared" si="25"/>
        <v>0</v>
      </c>
      <c r="DI68">
        <f t="shared" si="27"/>
        <v>0</v>
      </c>
      <c r="DJ68">
        <f t="shared" si="34"/>
        <v>210.79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ROW(Source!A127)</f>
        <v>127</v>
      </c>
      <c r="B69">
        <v>60258621</v>
      </c>
      <c r="C69">
        <v>61620486</v>
      </c>
      <c r="D69">
        <v>59062508</v>
      </c>
      <c r="E69">
        <v>1</v>
      </c>
      <c r="F69">
        <v>1</v>
      </c>
      <c r="G69">
        <v>1080</v>
      </c>
      <c r="H69">
        <v>3</v>
      </c>
      <c r="I69" t="s">
        <v>321</v>
      </c>
      <c r="J69" t="s">
        <v>322</v>
      </c>
      <c r="K69" t="s">
        <v>323</v>
      </c>
      <c r="L69">
        <v>1355</v>
      </c>
      <c r="N69">
        <v>1010</v>
      </c>
      <c r="O69" t="s">
        <v>140</v>
      </c>
      <c r="P69" t="s">
        <v>140</v>
      </c>
      <c r="Q69">
        <v>100</v>
      </c>
      <c r="W69">
        <v>0</v>
      </c>
      <c r="X69">
        <v>-210805237</v>
      </c>
      <c r="Y69">
        <f t="shared" si="28"/>
        <v>0.315</v>
      </c>
      <c r="AA69">
        <v>26.71</v>
      </c>
      <c r="AB69">
        <v>0</v>
      </c>
      <c r="AC69">
        <v>0</v>
      </c>
      <c r="AD69">
        <v>0</v>
      </c>
      <c r="AE69">
        <v>26.71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0.315</v>
      </c>
      <c r="AU69" t="s">
        <v>3</v>
      </c>
      <c r="AV69">
        <v>0</v>
      </c>
      <c r="AW69">
        <v>2</v>
      </c>
      <c r="AX69">
        <v>61620527</v>
      </c>
      <c r="AY69">
        <v>1</v>
      </c>
      <c r="AZ69">
        <v>0</v>
      </c>
      <c r="BA69">
        <v>81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ROUND(Y69*Source!I127,9)</f>
        <v>9.4499999999999993</v>
      </c>
      <c r="CY69">
        <f t="shared" si="29"/>
        <v>26.71</v>
      </c>
      <c r="CZ69">
        <f t="shared" si="30"/>
        <v>26.71</v>
      </c>
      <c r="DA69">
        <f t="shared" si="31"/>
        <v>1</v>
      </c>
      <c r="DB69">
        <f t="shared" si="32"/>
        <v>8.41</v>
      </c>
      <c r="DC69">
        <f t="shared" si="33"/>
        <v>0</v>
      </c>
      <c r="DD69" t="s">
        <v>3</v>
      </c>
      <c r="DE69" t="s">
        <v>3</v>
      </c>
      <c r="DF69">
        <f t="shared" si="26"/>
        <v>252.41</v>
      </c>
      <c r="DG69">
        <f t="shared" si="24"/>
        <v>0</v>
      </c>
      <c r="DH69">
        <f t="shared" si="25"/>
        <v>0</v>
      </c>
      <c r="DI69">
        <f t="shared" si="27"/>
        <v>0</v>
      </c>
      <c r="DJ69">
        <f t="shared" si="34"/>
        <v>252.41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ROW(Source!A127)</f>
        <v>127</v>
      </c>
      <c r="B70">
        <v>60258621</v>
      </c>
      <c r="C70">
        <v>61620486</v>
      </c>
      <c r="D70">
        <v>59049364</v>
      </c>
      <c r="E70">
        <v>1</v>
      </c>
      <c r="F70">
        <v>1</v>
      </c>
      <c r="G70">
        <v>1080</v>
      </c>
      <c r="H70">
        <v>3</v>
      </c>
      <c r="I70" t="s">
        <v>324</v>
      </c>
      <c r="J70" t="s">
        <v>325</v>
      </c>
      <c r="K70" t="s">
        <v>326</v>
      </c>
      <c r="L70">
        <v>1354</v>
      </c>
      <c r="N70">
        <v>1010</v>
      </c>
      <c r="O70" t="s">
        <v>249</v>
      </c>
      <c r="P70" t="s">
        <v>249</v>
      </c>
      <c r="Q70">
        <v>1</v>
      </c>
      <c r="W70">
        <v>0</v>
      </c>
      <c r="X70">
        <v>309799599</v>
      </c>
      <c r="Y70">
        <f t="shared" si="28"/>
        <v>0.28000000000000003</v>
      </c>
      <c r="AA70">
        <v>14.22</v>
      </c>
      <c r="AB70">
        <v>0</v>
      </c>
      <c r="AC70">
        <v>0</v>
      </c>
      <c r="AD70">
        <v>0</v>
      </c>
      <c r="AE70">
        <v>14.22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0.28000000000000003</v>
      </c>
      <c r="AU70" t="s">
        <v>3</v>
      </c>
      <c r="AV70">
        <v>0</v>
      </c>
      <c r="AW70">
        <v>2</v>
      </c>
      <c r="AX70">
        <v>61620528</v>
      </c>
      <c r="AY70">
        <v>1</v>
      </c>
      <c r="AZ70">
        <v>0</v>
      </c>
      <c r="BA70">
        <v>82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ROUND(Y70*Source!I127,9)</f>
        <v>8.4</v>
      </c>
      <c r="CY70">
        <f t="shared" si="29"/>
        <v>14.22</v>
      </c>
      <c r="CZ70">
        <f t="shared" si="30"/>
        <v>14.22</v>
      </c>
      <c r="DA70">
        <f t="shared" si="31"/>
        <v>1</v>
      </c>
      <c r="DB70">
        <f t="shared" si="32"/>
        <v>3.98</v>
      </c>
      <c r="DC70">
        <f t="shared" si="33"/>
        <v>0</v>
      </c>
      <c r="DD70" t="s">
        <v>3</v>
      </c>
      <c r="DE70" t="s">
        <v>3</v>
      </c>
      <c r="DF70">
        <f t="shared" si="26"/>
        <v>119.45</v>
      </c>
      <c r="DG70">
        <f t="shared" si="24"/>
        <v>0</v>
      </c>
      <c r="DH70">
        <f t="shared" si="25"/>
        <v>0</v>
      </c>
      <c r="DI70">
        <f t="shared" si="27"/>
        <v>0</v>
      </c>
      <c r="DJ70">
        <f t="shared" si="34"/>
        <v>119.45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ROW(Source!A127)</f>
        <v>127</v>
      </c>
      <c r="B71">
        <v>60258621</v>
      </c>
      <c r="C71">
        <v>61620486</v>
      </c>
      <c r="D71">
        <v>59049443</v>
      </c>
      <c r="E71">
        <v>1</v>
      </c>
      <c r="F71">
        <v>1</v>
      </c>
      <c r="G71">
        <v>1080</v>
      </c>
      <c r="H71">
        <v>3</v>
      </c>
      <c r="I71" t="s">
        <v>219</v>
      </c>
      <c r="J71" t="s">
        <v>221</v>
      </c>
      <c r="K71" t="s">
        <v>220</v>
      </c>
      <c r="L71">
        <v>1355</v>
      </c>
      <c r="N71">
        <v>1010</v>
      </c>
      <c r="O71" t="s">
        <v>140</v>
      </c>
      <c r="P71" t="s">
        <v>140</v>
      </c>
      <c r="Q71">
        <v>100</v>
      </c>
      <c r="W71">
        <v>0</v>
      </c>
      <c r="X71">
        <v>1852901932</v>
      </c>
      <c r="Y71">
        <f t="shared" si="28"/>
        <v>2.36</v>
      </c>
      <c r="AA71">
        <v>1297.23</v>
      </c>
      <c r="AB71">
        <v>0</v>
      </c>
      <c r="AC71">
        <v>0</v>
      </c>
      <c r="AD71">
        <v>0</v>
      </c>
      <c r="AE71">
        <v>1297.23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 t="s">
        <v>3</v>
      </c>
      <c r="AT71">
        <v>2.36</v>
      </c>
      <c r="AU71" t="s">
        <v>3</v>
      </c>
      <c r="AV71">
        <v>0</v>
      </c>
      <c r="AW71">
        <v>1</v>
      </c>
      <c r="AX71">
        <v>-1</v>
      </c>
      <c r="AY71">
        <v>0</v>
      </c>
      <c r="AZ71">
        <v>0</v>
      </c>
      <c r="BA71" t="s">
        <v>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ROUND(Y71*Source!I127,9)</f>
        <v>70.8</v>
      </c>
      <c r="CY71">
        <f t="shared" si="29"/>
        <v>1297.23</v>
      </c>
      <c r="CZ71">
        <f t="shared" si="30"/>
        <v>1297.23</v>
      </c>
      <c r="DA71">
        <f t="shared" si="31"/>
        <v>1</v>
      </c>
      <c r="DB71">
        <f t="shared" si="32"/>
        <v>3061.46</v>
      </c>
      <c r="DC71">
        <f t="shared" si="33"/>
        <v>0</v>
      </c>
      <c r="DD71" t="s">
        <v>3</v>
      </c>
      <c r="DE71" t="s">
        <v>3</v>
      </c>
      <c r="DF71">
        <f t="shared" si="26"/>
        <v>91843.88</v>
      </c>
      <c r="DG71">
        <f t="shared" si="24"/>
        <v>0</v>
      </c>
      <c r="DH71">
        <f t="shared" si="25"/>
        <v>0</v>
      </c>
      <c r="DI71">
        <f t="shared" si="27"/>
        <v>0</v>
      </c>
      <c r="DJ71">
        <f t="shared" si="34"/>
        <v>91843.88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ROW(Source!A128)</f>
        <v>128</v>
      </c>
      <c r="B72">
        <v>60258618</v>
      </c>
      <c r="C72">
        <v>61620486</v>
      </c>
      <c r="D72">
        <v>58999254</v>
      </c>
      <c r="E72">
        <v>1080</v>
      </c>
      <c r="F72">
        <v>1</v>
      </c>
      <c r="G72">
        <v>1080</v>
      </c>
      <c r="H72">
        <v>1</v>
      </c>
      <c r="I72" t="s">
        <v>268</v>
      </c>
      <c r="J72" t="s">
        <v>3</v>
      </c>
      <c r="K72" t="s">
        <v>269</v>
      </c>
      <c r="L72">
        <v>1191</v>
      </c>
      <c r="N72">
        <v>1013</v>
      </c>
      <c r="O72" t="s">
        <v>270</v>
      </c>
      <c r="P72" t="s">
        <v>270</v>
      </c>
      <c r="Q72">
        <v>1</v>
      </c>
      <c r="W72">
        <v>0</v>
      </c>
      <c r="X72">
        <v>476480486</v>
      </c>
      <c r="Y72">
        <f>(AT72*1.1)</f>
        <v>27.236000000000004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24.76</v>
      </c>
      <c r="AU72" t="s">
        <v>24</v>
      </c>
      <c r="AV72">
        <v>1</v>
      </c>
      <c r="AW72">
        <v>2</v>
      </c>
      <c r="AX72">
        <v>61620523</v>
      </c>
      <c r="AY72">
        <v>1</v>
      </c>
      <c r="AZ72">
        <v>0</v>
      </c>
      <c r="BA72">
        <v>87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ROUND(AT72*Source!I128*AH72*AL72,2)</f>
        <v>0</v>
      </c>
      <c r="CV72">
        <f>ROUND(Y72*Source!I128,9)</f>
        <v>817.08</v>
      </c>
      <c r="CW72">
        <v>0</v>
      </c>
      <c r="CX72">
        <f>ROUND(Y72*Source!I128,9)</f>
        <v>817.08</v>
      </c>
      <c r="CY72">
        <f>AD72</f>
        <v>0</v>
      </c>
      <c r="CZ72">
        <f>AH72</f>
        <v>0</v>
      </c>
      <c r="DA72">
        <f>AL72</f>
        <v>1</v>
      </c>
      <c r="DB72">
        <f>ROUND((ROUND(AT72*CZ72,2)*1.1),6)</f>
        <v>0</v>
      </c>
      <c r="DC72">
        <f>ROUND((ROUND(AT72*AG72,2)*1.1),6)</f>
        <v>0</v>
      </c>
      <c r="DD72" t="s">
        <v>3</v>
      </c>
      <c r="DE72" t="s">
        <v>3</v>
      </c>
      <c r="DF72">
        <f t="shared" si="26"/>
        <v>0</v>
      </c>
      <c r="DG72">
        <f t="shared" si="24"/>
        <v>0</v>
      </c>
      <c r="DH72">
        <f t="shared" si="25"/>
        <v>0</v>
      </c>
      <c r="DI72">
        <f t="shared" si="27"/>
        <v>0</v>
      </c>
      <c r="DJ72">
        <f>DI72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ROW(Source!A128)</f>
        <v>128</v>
      </c>
      <c r="B73">
        <v>60258618</v>
      </c>
      <c r="C73">
        <v>61620486</v>
      </c>
      <c r="D73">
        <v>59070721</v>
      </c>
      <c r="E73">
        <v>1</v>
      </c>
      <c r="F73">
        <v>1</v>
      </c>
      <c r="G73">
        <v>1080</v>
      </c>
      <c r="H73">
        <v>2</v>
      </c>
      <c r="I73" t="s">
        <v>311</v>
      </c>
      <c r="J73" t="s">
        <v>312</v>
      </c>
      <c r="K73" t="s">
        <v>313</v>
      </c>
      <c r="L73">
        <v>1368</v>
      </c>
      <c r="N73">
        <v>1011</v>
      </c>
      <c r="O73" t="s">
        <v>297</v>
      </c>
      <c r="P73" t="s">
        <v>297</v>
      </c>
      <c r="Q73">
        <v>1</v>
      </c>
      <c r="W73">
        <v>0</v>
      </c>
      <c r="X73">
        <v>1387779639</v>
      </c>
      <c r="Y73">
        <f>(AT73*1.1)</f>
        <v>2.6840000000000002</v>
      </c>
      <c r="AA73">
        <v>0</v>
      </c>
      <c r="AB73">
        <v>6.98</v>
      </c>
      <c r="AC73">
        <v>0</v>
      </c>
      <c r="AD73">
        <v>0</v>
      </c>
      <c r="AE73">
        <v>0</v>
      </c>
      <c r="AF73">
        <v>0.77</v>
      </c>
      <c r="AG73">
        <v>0</v>
      </c>
      <c r="AH73">
        <v>0</v>
      </c>
      <c r="AI73">
        <v>1</v>
      </c>
      <c r="AJ73">
        <v>8.66</v>
      </c>
      <c r="AK73">
        <v>54.99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2.44</v>
      </c>
      <c r="AU73" t="s">
        <v>24</v>
      </c>
      <c r="AV73">
        <v>0</v>
      </c>
      <c r="AW73">
        <v>2</v>
      </c>
      <c r="AX73">
        <v>61620524</v>
      </c>
      <c r="AY73">
        <v>1</v>
      </c>
      <c r="AZ73">
        <v>0</v>
      </c>
      <c r="BA73">
        <v>88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f>ROUND(Y73*Source!I128*DO73,9)</f>
        <v>0</v>
      </c>
      <c r="CX73">
        <f>ROUND(Y73*Source!I128,9)</f>
        <v>80.52</v>
      </c>
      <c r="CY73">
        <f>AB73</f>
        <v>6.98</v>
      </c>
      <c r="CZ73">
        <f>AF73</f>
        <v>0.77</v>
      </c>
      <c r="DA73">
        <f>AJ73</f>
        <v>8.66</v>
      </c>
      <c r="DB73">
        <f>ROUND((ROUND(AT73*CZ73,2)*1.1),6)</f>
        <v>2.0680000000000001</v>
      </c>
      <c r="DC73">
        <f>ROUND((ROUND(AT73*AG73,2)*1.1),6)</f>
        <v>0</v>
      </c>
      <c r="DD73" t="s">
        <v>3</v>
      </c>
      <c r="DE73" t="s">
        <v>3</v>
      </c>
      <c r="DF73">
        <f t="shared" si="26"/>
        <v>0</v>
      </c>
      <c r="DG73">
        <f>ROUND(ROUND(AF73*AJ73,2)*CX73,2)</f>
        <v>537.07000000000005</v>
      </c>
      <c r="DH73">
        <f>ROUND(ROUND(AG73*AK73,2)*CX73,2)</f>
        <v>0</v>
      </c>
      <c r="DI73">
        <f t="shared" si="27"/>
        <v>0</v>
      </c>
      <c r="DJ73">
        <f>DG73</f>
        <v>537.07000000000005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ROW(Source!A128)</f>
        <v>128</v>
      </c>
      <c r="B74">
        <v>60258618</v>
      </c>
      <c r="C74">
        <v>61620486</v>
      </c>
      <c r="D74">
        <v>59070754</v>
      </c>
      <c r="E74">
        <v>1</v>
      </c>
      <c r="F74">
        <v>1</v>
      </c>
      <c r="G74">
        <v>1080</v>
      </c>
      <c r="H74">
        <v>2</v>
      </c>
      <c r="I74" t="s">
        <v>314</v>
      </c>
      <c r="J74" t="s">
        <v>315</v>
      </c>
      <c r="K74" t="s">
        <v>316</v>
      </c>
      <c r="L74">
        <v>1368</v>
      </c>
      <c r="N74">
        <v>1011</v>
      </c>
      <c r="O74" t="s">
        <v>297</v>
      </c>
      <c r="P74" t="s">
        <v>297</v>
      </c>
      <c r="Q74">
        <v>1</v>
      </c>
      <c r="W74">
        <v>0</v>
      </c>
      <c r="X74">
        <v>1645565003</v>
      </c>
      <c r="Y74">
        <f>(AT74*1.1)</f>
        <v>5.093</v>
      </c>
      <c r="AA74">
        <v>0</v>
      </c>
      <c r="AB74">
        <v>4.3</v>
      </c>
      <c r="AC74">
        <v>0</v>
      </c>
      <c r="AD74">
        <v>0</v>
      </c>
      <c r="AE74">
        <v>0</v>
      </c>
      <c r="AF74">
        <v>0.47</v>
      </c>
      <c r="AG74">
        <v>0</v>
      </c>
      <c r="AH74">
        <v>0</v>
      </c>
      <c r="AI74">
        <v>1</v>
      </c>
      <c r="AJ74">
        <v>8.74</v>
      </c>
      <c r="AK74">
        <v>54.99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4.63</v>
      </c>
      <c r="AU74" t="s">
        <v>24</v>
      </c>
      <c r="AV74">
        <v>0</v>
      </c>
      <c r="AW74">
        <v>2</v>
      </c>
      <c r="AX74">
        <v>61620525</v>
      </c>
      <c r="AY74">
        <v>1</v>
      </c>
      <c r="AZ74">
        <v>0</v>
      </c>
      <c r="BA74">
        <v>89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ROUND(Y74*Source!I128*DO74,9)</f>
        <v>0</v>
      </c>
      <c r="CX74">
        <f>ROUND(Y74*Source!I128,9)</f>
        <v>152.79</v>
      </c>
      <c r="CY74">
        <f>AB74</f>
        <v>4.3</v>
      </c>
      <c r="CZ74">
        <f>AF74</f>
        <v>0.47</v>
      </c>
      <c r="DA74">
        <f>AJ74</f>
        <v>8.74</v>
      </c>
      <c r="DB74">
        <f>ROUND((ROUND(AT74*CZ74,2)*1.1),6)</f>
        <v>2.3980000000000001</v>
      </c>
      <c r="DC74">
        <f>ROUND((ROUND(AT74*AG74,2)*1.1),6)</f>
        <v>0</v>
      </c>
      <c r="DD74" t="s">
        <v>3</v>
      </c>
      <c r="DE74" t="s">
        <v>3</v>
      </c>
      <c r="DF74">
        <f t="shared" si="26"/>
        <v>0</v>
      </c>
      <c r="DG74">
        <f>ROUND(ROUND(AF74*AJ74,2)*CX74,2)</f>
        <v>627.97</v>
      </c>
      <c r="DH74">
        <f>ROUND(ROUND(AG74*AK74,2)*CX74,2)</f>
        <v>0</v>
      </c>
      <c r="DI74">
        <f t="shared" si="27"/>
        <v>0</v>
      </c>
      <c r="DJ74">
        <f>DG74</f>
        <v>627.97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ROW(Source!A128)</f>
        <v>128</v>
      </c>
      <c r="B75">
        <v>60258618</v>
      </c>
      <c r="C75">
        <v>61620486</v>
      </c>
      <c r="D75">
        <v>59052975</v>
      </c>
      <c r="E75">
        <v>1</v>
      </c>
      <c r="F75">
        <v>1</v>
      </c>
      <c r="G75">
        <v>1080</v>
      </c>
      <c r="H75">
        <v>3</v>
      </c>
      <c r="I75" t="s">
        <v>210</v>
      </c>
      <c r="J75" t="s">
        <v>213</v>
      </c>
      <c r="K75" t="s">
        <v>211</v>
      </c>
      <c r="L75">
        <v>1301</v>
      </c>
      <c r="N75">
        <v>1003</v>
      </c>
      <c r="O75" t="s">
        <v>212</v>
      </c>
      <c r="P75" t="s">
        <v>212</v>
      </c>
      <c r="Q75">
        <v>1</v>
      </c>
      <c r="W75">
        <v>0</v>
      </c>
      <c r="X75">
        <v>1184991115</v>
      </c>
      <c r="Y75">
        <f t="shared" ref="Y75:Y80" si="35">AT75</f>
        <v>102</v>
      </c>
      <c r="AA75">
        <v>10.23</v>
      </c>
      <c r="AB75">
        <v>0</v>
      </c>
      <c r="AC75">
        <v>0</v>
      </c>
      <c r="AD75">
        <v>0</v>
      </c>
      <c r="AE75">
        <v>2.67</v>
      </c>
      <c r="AF75">
        <v>0</v>
      </c>
      <c r="AG75">
        <v>0</v>
      </c>
      <c r="AH75">
        <v>0</v>
      </c>
      <c r="AI75">
        <v>3.83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 t="s">
        <v>3</v>
      </c>
      <c r="AT75">
        <v>102</v>
      </c>
      <c r="AU75" t="s">
        <v>3</v>
      </c>
      <c r="AV75">
        <v>0</v>
      </c>
      <c r="AW75">
        <v>1</v>
      </c>
      <c r="AX75">
        <v>-1</v>
      </c>
      <c r="AY75">
        <v>0</v>
      </c>
      <c r="AZ75">
        <v>0</v>
      </c>
      <c r="BA75" t="s">
        <v>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ROUND(Y75*Source!I128,9)</f>
        <v>3060</v>
      </c>
      <c r="CY75">
        <f t="shared" ref="CY75:CY80" si="36">AA75</f>
        <v>10.23</v>
      </c>
      <c r="CZ75">
        <f t="shared" ref="CZ75:CZ80" si="37">AE75</f>
        <v>2.67</v>
      </c>
      <c r="DA75">
        <f t="shared" ref="DA75:DA80" si="38">AI75</f>
        <v>3.83</v>
      </c>
      <c r="DB75">
        <f t="shared" ref="DB75:DB80" si="39">ROUND(ROUND(AT75*CZ75,2),6)</f>
        <v>272.33999999999997</v>
      </c>
      <c r="DC75">
        <f t="shared" ref="DC75:DC80" si="40">ROUND(ROUND(AT75*AG75,2),6)</f>
        <v>0</v>
      </c>
      <c r="DD75" t="s">
        <v>3</v>
      </c>
      <c r="DE75" t="s">
        <v>3</v>
      </c>
      <c r="DF75">
        <f t="shared" ref="DF75:DF80" si="41">ROUND(ROUND(AE75*AI75,2)*CX75,2)</f>
        <v>31303.8</v>
      </c>
      <c r="DG75">
        <f t="shared" ref="DG75:DG86" si="42">ROUND(ROUND(AF75,2)*CX75,2)</f>
        <v>0</v>
      </c>
      <c r="DH75">
        <f t="shared" ref="DH75:DH86" si="43">ROUND(ROUND(AG75,2)*CX75,2)</f>
        <v>0</v>
      </c>
      <c r="DI75">
        <f t="shared" si="27"/>
        <v>0</v>
      </c>
      <c r="DJ75">
        <f t="shared" ref="DJ75:DJ80" si="44">DF75</f>
        <v>31303.8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ROW(Source!A128)</f>
        <v>128</v>
      </c>
      <c r="B76">
        <v>60258618</v>
      </c>
      <c r="C76">
        <v>61620486</v>
      </c>
      <c r="D76">
        <v>59058215</v>
      </c>
      <c r="E76">
        <v>1</v>
      </c>
      <c r="F76">
        <v>1</v>
      </c>
      <c r="G76">
        <v>1080</v>
      </c>
      <c r="H76">
        <v>3</v>
      </c>
      <c r="I76" t="s">
        <v>215</v>
      </c>
      <c r="J76" t="s">
        <v>217</v>
      </c>
      <c r="K76" t="s">
        <v>216</v>
      </c>
      <c r="L76">
        <v>1355</v>
      </c>
      <c r="N76">
        <v>1010</v>
      </c>
      <c r="O76" t="s">
        <v>140</v>
      </c>
      <c r="P76" t="s">
        <v>140</v>
      </c>
      <c r="Q76">
        <v>100</v>
      </c>
      <c r="W76">
        <v>0</v>
      </c>
      <c r="X76">
        <v>-1288220709</v>
      </c>
      <c r="Y76">
        <f t="shared" si="35"/>
        <v>2.38</v>
      </c>
      <c r="AA76">
        <v>50.36</v>
      </c>
      <c r="AB76">
        <v>0</v>
      </c>
      <c r="AC76">
        <v>0</v>
      </c>
      <c r="AD76">
        <v>0</v>
      </c>
      <c r="AE76">
        <v>46.63</v>
      </c>
      <c r="AF76">
        <v>0</v>
      </c>
      <c r="AG76">
        <v>0</v>
      </c>
      <c r="AH76">
        <v>0</v>
      </c>
      <c r="AI76">
        <v>1.08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2.38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ROUND(Y76*Source!I128,9)</f>
        <v>71.400000000000006</v>
      </c>
      <c r="CY76">
        <f t="shared" si="36"/>
        <v>50.36</v>
      </c>
      <c r="CZ76">
        <f t="shared" si="37"/>
        <v>46.63</v>
      </c>
      <c r="DA76">
        <f t="shared" si="38"/>
        <v>1.08</v>
      </c>
      <c r="DB76">
        <f t="shared" si="39"/>
        <v>110.98</v>
      </c>
      <c r="DC76">
        <f t="shared" si="40"/>
        <v>0</v>
      </c>
      <c r="DD76" t="s">
        <v>3</v>
      </c>
      <c r="DE76" t="s">
        <v>3</v>
      </c>
      <c r="DF76">
        <f t="shared" si="41"/>
        <v>3595.7</v>
      </c>
      <c r="DG76">
        <f t="shared" si="42"/>
        <v>0</v>
      </c>
      <c r="DH76">
        <f t="shared" si="43"/>
        <v>0</v>
      </c>
      <c r="DI76">
        <f t="shared" si="27"/>
        <v>0</v>
      </c>
      <c r="DJ76">
        <f t="shared" si="44"/>
        <v>3595.7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ROW(Source!A128)</f>
        <v>128</v>
      </c>
      <c r="B77">
        <v>60258618</v>
      </c>
      <c r="C77">
        <v>61620486</v>
      </c>
      <c r="D77">
        <v>59062734</v>
      </c>
      <c r="E77">
        <v>1</v>
      </c>
      <c r="F77">
        <v>1</v>
      </c>
      <c r="G77">
        <v>1080</v>
      </c>
      <c r="H77">
        <v>3</v>
      </c>
      <c r="I77" t="s">
        <v>317</v>
      </c>
      <c r="J77" t="s">
        <v>318</v>
      </c>
      <c r="K77" t="s">
        <v>319</v>
      </c>
      <c r="L77">
        <v>1356</v>
      </c>
      <c r="N77">
        <v>1010</v>
      </c>
      <c r="O77" t="s">
        <v>320</v>
      </c>
      <c r="P77" t="s">
        <v>320</v>
      </c>
      <c r="Q77">
        <v>1000</v>
      </c>
      <c r="W77">
        <v>0</v>
      </c>
      <c r="X77">
        <v>-1221558404</v>
      </c>
      <c r="Y77">
        <f t="shared" si="35"/>
        <v>3.1E-2</v>
      </c>
      <c r="AA77">
        <v>1602.49</v>
      </c>
      <c r="AB77">
        <v>0</v>
      </c>
      <c r="AC77">
        <v>0</v>
      </c>
      <c r="AD77">
        <v>0</v>
      </c>
      <c r="AE77">
        <v>226.66</v>
      </c>
      <c r="AF77">
        <v>0</v>
      </c>
      <c r="AG77">
        <v>0</v>
      </c>
      <c r="AH77">
        <v>0</v>
      </c>
      <c r="AI77">
        <v>7.07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3.1E-2</v>
      </c>
      <c r="AU77" t="s">
        <v>3</v>
      </c>
      <c r="AV77">
        <v>0</v>
      </c>
      <c r="AW77">
        <v>2</v>
      </c>
      <c r="AX77">
        <v>61620526</v>
      </c>
      <c r="AY77">
        <v>1</v>
      </c>
      <c r="AZ77">
        <v>0</v>
      </c>
      <c r="BA77">
        <v>90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ROUND(Y77*Source!I128,9)</f>
        <v>0.93</v>
      </c>
      <c r="CY77">
        <f t="shared" si="36"/>
        <v>1602.49</v>
      </c>
      <c r="CZ77">
        <f t="shared" si="37"/>
        <v>226.66</v>
      </c>
      <c r="DA77">
        <f t="shared" si="38"/>
        <v>7.07</v>
      </c>
      <c r="DB77">
        <f t="shared" si="39"/>
        <v>7.03</v>
      </c>
      <c r="DC77">
        <f t="shared" si="40"/>
        <v>0</v>
      </c>
      <c r="DD77" t="s">
        <v>3</v>
      </c>
      <c r="DE77" t="s">
        <v>3</v>
      </c>
      <c r="DF77">
        <f t="shared" si="41"/>
        <v>1490.32</v>
      </c>
      <c r="DG77">
        <f t="shared" si="42"/>
        <v>0</v>
      </c>
      <c r="DH77">
        <f t="shared" si="43"/>
        <v>0</v>
      </c>
      <c r="DI77">
        <f t="shared" si="27"/>
        <v>0</v>
      </c>
      <c r="DJ77">
        <f t="shared" si="44"/>
        <v>1490.32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ROW(Source!A128)</f>
        <v>128</v>
      </c>
      <c r="B78">
        <v>60258618</v>
      </c>
      <c r="C78">
        <v>61620486</v>
      </c>
      <c r="D78">
        <v>59062508</v>
      </c>
      <c r="E78">
        <v>1</v>
      </c>
      <c r="F78">
        <v>1</v>
      </c>
      <c r="G78">
        <v>1080</v>
      </c>
      <c r="H78">
        <v>3</v>
      </c>
      <c r="I78" t="s">
        <v>321</v>
      </c>
      <c r="J78" t="s">
        <v>322</v>
      </c>
      <c r="K78" t="s">
        <v>323</v>
      </c>
      <c r="L78">
        <v>1355</v>
      </c>
      <c r="N78">
        <v>1010</v>
      </c>
      <c r="O78" t="s">
        <v>140</v>
      </c>
      <c r="P78" t="s">
        <v>140</v>
      </c>
      <c r="Q78">
        <v>100</v>
      </c>
      <c r="W78">
        <v>0</v>
      </c>
      <c r="X78">
        <v>-210805237</v>
      </c>
      <c r="Y78">
        <f t="shared" si="35"/>
        <v>0.315</v>
      </c>
      <c r="AA78">
        <v>105.5</v>
      </c>
      <c r="AB78">
        <v>0</v>
      </c>
      <c r="AC78">
        <v>0</v>
      </c>
      <c r="AD78">
        <v>0</v>
      </c>
      <c r="AE78">
        <v>26.71</v>
      </c>
      <c r="AF78">
        <v>0</v>
      </c>
      <c r="AG78">
        <v>0</v>
      </c>
      <c r="AH78">
        <v>0</v>
      </c>
      <c r="AI78">
        <v>3.95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0.315</v>
      </c>
      <c r="AU78" t="s">
        <v>3</v>
      </c>
      <c r="AV78">
        <v>0</v>
      </c>
      <c r="AW78">
        <v>2</v>
      </c>
      <c r="AX78">
        <v>61620527</v>
      </c>
      <c r="AY78">
        <v>1</v>
      </c>
      <c r="AZ78">
        <v>0</v>
      </c>
      <c r="BA78">
        <v>91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ROUND(Y78*Source!I128,9)</f>
        <v>9.4499999999999993</v>
      </c>
      <c r="CY78">
        <f t="shared" si="36"/>
        <v>105.5</v>
      </c>
      <c r="CZ78">
        <f t="shared" si="37"/>
        <v>26.71</v>
      </c>
      <c r="DA78">
        <f t="shared" si="38"/>
        <v>3.95</v>
      </c>
      <c r="DB78">
        <f t="shared" si="39"/>
        <v>8.41</v>
      </c>
      <c r="DC78">
        <f t="shared" si="40"/>
        <v>0</v>
      </c>
      <c r="DD78" t="s">
        <v>3</v>
      </c>
      <c r="DE78" t="s">
        <v>3</v>
      </c>
      <c r="DF78">
        <f t="shared" si="41"/>
        <v>996.98</v>
      </c>
      <c r="DG78">
        <f t="shared" si="42"/>
        <v>0</v>
      </c>
      <c r="DH78">
        <f t="shared" si="43"/>
        <v>0</v>
      </c>
      <c r="DI78">
        <f t="shared" si="27"/>
        <v>0</v>
      </c>
      <c r="DJ78">
        <f t="shared" si="44"/>
        <v>996.98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ROW(Source!A128)</f>
        <v>128</v>
      </c>
      <c r="B79">
        <v>60258618</v>
      </c>
      <c r="C79">
        <v>61620486</v>
      </c>
      <c r="D79">
        <v>59049364</v>
      </c>
      <c r="E79">
        <v>1</v>
      </c>
      <c r="F79">
        <v>1</v>
      </c>
      <c r="G79">
        <v>1080</v>
      </c>
      <c r="H79">
        <v>3</v>
      </c>
      <c r="I79" t="s">
        <v>324</v>
      </c>
      <c r="J79" t="s">
        <v>325</v>
      </c>
      <c r="K79" t="s">
        <v>326</v>
      </c>
      <c r="L79">
        <v>1354</v>
      </c>
      <c r="N79">
        <v>1010</v>
      </c>
      <c r="O79" t="s">
        <v>249</v>
      </c>
      <c r="P79" t="s">
        <v>249</v>
      </c>
      <c r="Q79">
        <v>1</v>
      </c>
      <c r="W79">
        <v>0</v>
      </c>
      <c r="X79">
        <v>309799599</v>
      </c>
      <c r="Y79">
        <f t="shared" si="35"/>
        <v>0.28000000000000003</v>
      </c>
      <c r="AA79">
        <v>165.81</v>
      </c>
      <c r="AB79">
        <v>0</v>
      </c>
      <c r="AC79">
        <v>0</v>
      </c>
      <c r="AD79">
        <v>0</v>
      </c>
      <c r="AE79">
        <v>14.22</v>
      </c>
      <c r="AF79">
        <v>0</v>
      </c>
      <c r="AG79">
        <v>0</v>
      </c>
      <c r="AH79">
        <v>0</v>
      </c>
      <c r="AI79">
        <v>11.66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0.28000000000000003</v>
      </c>
      <c r="AU79" t="s">
        <v>3</v>
      </c>
      <c r="AV79">
        <v>0</v>
      </c>
      <c r="AW79">
        <v>2</v>
      </c>
      <c r="AX79">
        <v>61620528</v>
      </c>
      <c r="AY79">
        <v>1</v>
      </c>
      <c r="AZ79">
        <v>0</v>
      </c>
      <c r="BA79">
        <v>92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ROUND(Y79*Source!I128,9)</f>
        <v>8.4</v>
      </c>
      <c r="CY79">
        <f t="shared" si="36"/>
        <v>165.81</v>
      </c>
      <c r="CZ79">
        <f t="shared" si="37"/>
        <v>14.22</v>
      </c>
      <c r="DA79">
        <f t="shared" si="38"/>
        <v>11.66</v>
      </c>
      <c r="DB79">
        <f t="shared" si="39"/>
        <v>3.98</v>
      </c>
      <c r="DC79">
        <f t="shared" si="40"/>
        <v>0</v>
      </c>
      <c r="DD79" t="s">
        <v>3</v>
      </c>
      <c r="DE79" t="s">
        <v>3</v>
      </c>
      <c r="DF79">
        <f t="shared" si="41"/>
        <v>1392.8</v>
      </c>
      <c r="DG79">
        <f t="shared" si="42"/>
        <v>0</v>
      </c>
      <c r="DH79">
        <f t="shared" si="43"/>
        <v>0</v>
      </c>
      <c r="DI79">
        <f t="shared" si="27"/>
        <v>0</v>
      </c>
      <c r="DJ79">
        <f t="shared" si="44"/>
        <v>1392.8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ROW(Source!A128)</f>
        <v>128</v>
      </c>
      <c r="B80">
        <v>60258618</v>
      </c>
      <c r="C80">
        <v>61620486</v>
      </c>
      <c r="D80">
        <v>59049443</v>
      </c>
      <c r="E80">
        <v>1</v>
      </c>
      <c r="F80">
        <v>1</v>
      </c>
      <c r="G80">
        <v>1080</v>
      </c>
      <c r="H80">
        <v>3</v>
      </c>
      <c r="I80" t="s">
        <v>219</v>
      </c>
      <c r="J80" t="s">
        <v>221</v>
      </c>
      <c r="K80" t="s">
        <v>220</v>
      </c>
      <c r="L80">
        <v>1355</v>
      </c>
      <c r="N80">
        <v>1010</v>
      </c>
      <c r="O80" t="s">
        <v>140</v>
      </c>
      <c r="P80" t="s">
        <v>140</v>
      </c>
      <c r="Q80">
        <v>100</v>
      </c>
      <c r="W80">
        <v>0</v>
      </c>
      <c r="X80">
        <v>1852901932</v>
      </c>
      <c r="Y80">
        <f t="shared" si="35"/>
        <v>2.36</v>
      </c>
      <c r="AA80">
        <v>6745.6</v>
      </c>
      <c r="AB80">
        <v>0</v>
      </c>
      <c r="AC80">
        <v>0</v>
      </c>
      <c r="AD80">
        <v>0</v>
      </c>
      <c r="AE80">
        <v>1297.23</v>
      </c>
      <c r="AF80">
        <v>0</v>
      </c>
      <c r="AG80">
        <v>0</v>
      </c>
      <c r="AH80">
        <v>0</v>
      </c>
      <c r="AI80">
        <v>5.2</v>
      </c>
      <c r="AJ80">
        <v>1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 t="s">
        <v>3</v>
      </c>
      <c r="AT80">
        <v>2.36</v>
      </c>
      <c r="AU80" t="s">
        <v>3</v>
      </c>
      <c r="AV80">
        <v>0</v>
      </c>
      <c r="AW80">
        <v>1</v>
      </c>
      <c r="AX80">
        <v>-1</v>
      </c>
      <c r="AY80">
        <v>0</v>
      </c>
      <c r="AZ80">
        <v>0</v>
      </c>
      <c r="BA80" t="s">
        <v>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ROUND(Y80*Source!I128,9)</f>
        <v>70.8</v>
      </c>
      <c r="CY80">
        <f t="shared" si="36"/>
        <v>6745.6</v>
      </c>
      <c r="CZ80">
        <f t="shared" si="37"/>
        <v>1297.23</v>
      </c>
      <c r="DA80">
        <f t="shared" si="38"/>
        <v>5.2</v>
      </c>
      <c r="DB80">
        <f t="shared" si="39"/>
        <v>3061.46</v>
      </c>
      <c r="DC80">
        <f t="shared" si="40"/>
        <v>0</v>
      </c>
      <c r="DD80" t="s">
        <v>3</v>
      </c>
      <c r="DE80" t="s">
        <v>3</v>
      </c>
      <c r="DF80">
        <f t="shared" si="41"/>
        <v>477588.47999999998</v>
      </c>
      <c r="DG80">
        <f t="shared" si="42"/>
        <v>0</v>
      </c>
      <c r="DH80">
        <f t="shared" si="43"/>
        <v>0</v>
      </c>
      <c r="DI80">
        <f t="shared" si="27"/>
        <v>0</v>
      </c>
      <c r="DJ80">
        <f t="shared" si="44"/>
        <v>477588.47999999998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ROW(Source!A135)</f>
        <v>135</v>
      </c>
      <c r="B81">
        <v>60258621</v>
      </c>
      <c r="C81">
        <v>61620587</v>
      </c>
      <c r="D81">
        <v>58999254</v>
      </c>
      <c r="E81">
        <v>1080</v>
      </c>
      <c r="F81">
        <v>1</v>
      </c>
      <c r="G81">
        <v>1080</v>
      </c>
      <c r="H81">
        <v>1</v>
      </c>
      <c r="I81" t="s">
        <v>268</v>
      </c>
      <c r="J81" t="s">
        <v>3</v>
      </c>
      <c r="K81" t="s">
        <v>269</v>
      </c>
      <c r="L81">
        <v>1191</v>
      </c>
      <c r="N81">
        <v>1013</v>
      </c>
      <c r="O81" t="s">
        <v>270</v>
      </c>
      <c r="P81" t="s">
        <v>270</v>
      </c>
      <c r="Q81">
        <v>1</v>
      </c>
      <c r="W81">
        <v>0</v>
      </c>
      <c r="X81">
        <v>476480486</v>
      </c>
      <c r="Y81">
        <f>(AT81*1.1)</f>
        <v>5.8190000000000008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5.29</v>
      </c>
      <c r="AU81" t="s">
        <v>24</v>
      </c>
      <c r="AV81">
        <v>1</v>
      </c>
      <c r="AW81">
        <v>2</v>
      </c>
      <c r="AX81">
        <v>61620588</v>
      </c>
      <c r="AY81">
        <v>1</v>
      </c>
      <c r="AZ81">
        <v>0</v>
      </c>
      <c r="BA81">
        <v>97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ROUND(AT81*Source!I135*AH81*AL81,2)</f>
        <v>0</v>
      </c>
      <c r="CV81">
        <f>ROUND(Y81*Source!I135,9)</f>
        <v>11.638</v>
      </c>
      <c r="CW81">
        <v>0</v>
      </c>
      <c r="CX81">
        <f>ROUND(Y81*Source!I135,9)</f>
        <v>11.638</v>
      </c>
      <c r="CY81">
        <f>AD81</f>
        <v>0</v>
      </c>
      <c r="CZ81">
        <f>AH81</f>
        <v>0</v>
      </c>
      <c r="DA81">
        <f>AL81</f>
        <v>1</v>
      </c>
      <c r="DB81">
        <f>ROUND((ROUND(AT81*CZ81,2)*1.1),6)</f>
        <v>0</v>
      </c>
      <c r="DC81">
        <f>ROUND((ROUND(AT81*AG81,2)*1.1),6)</f>
        <v>0</v>
      </c>
      <c r="DD81" t="s">
        <v>3</v>
      </c>
      <c r="DE81" t="s">
        <v>3</v>
      </c>
      <c r="DF81">
        <f t="shared" ref="DF81:DF88" si="45">ROUND(ROUND(AE81,2)*CX81,2)</f>
        <v>0</v>
      </c>
      <c r="DG81">
        <f t="shared" si="42"/>
        <v>0</v>
      </c>
      <c r="DH81">
        <f t="shared" si="43"/>
        <v>0</v>
      </c>
      <c r="DI81">
        <f t="shared" si="27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ROW(Source!A135)</f>
        <v>135</v>
      </c>
      <c r="B82">
        <v>60258621</v>
      </c>
      <c r="C82">
        <v>61620587</v>
      </c>
      <c r="D82">
        <v>59070669</v>
      </c>
      <c r="E82">
        <v>1</v>
      </c>
      <c r="F82">
        <v>1</v>
      </c>
      <c r="G82">
        <v>1080</v>
      </c>
      <c r="H82">
        <v>2</v>
      </c>
      <c r="I82" t="s">
        <v>294</v>
      </c>
      <c r="J82" t="s">
        <v>295</v>
      </c>
      <c r="K82" t="s">
        <v>296</v>
      </c>
      <c r="L82">
        <v>1368</v>
      </c>
      <c r="N82">
        <v>1011</v>
      </c>
      <c r="O82" t="s">
        <v>297</v>
      </c>
      <c r="P82" t="s">
        <v>297</v>
      </c>
      <c r="Q82">
        <v>1</v>
      </c>
      <c r="W82">
        <v>0</v>
      </c>
      <c r="X82">
        <v>-1985943078</v>
      </c>
      <c r="Y82">
        <f>(AT82*1.1)</f>
        <v>1.1000000000000001E-2</v>
      </c>
      <c r="AA82">
        <v>0</v>
      </c>
      <c r="AB82">
        <v>87.01</v>
      </c>
      <c r="AC82">
        <v>13.21</v>
      </c>
      <c r="AD82">
        <v>0</v>
      </c>
      <c r="AE82">
        <v>0</v>
      </c>
      <c r="AF82">
        <v>83.1</v>
      </c>
      <c r="AG82">
        <v>12.62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0.01</v>
      </c>
      <c r="AU82" t="s">
        <v>24</v>
      </c>
      <c r="AV82">
        <v>0</v>
      </c>
      <c r="AW82">
        <v>2</v>
      </c>
      <c r="AX82">
        <v>61620589</v>
      </c>
      <c r="AY82">
        <v>1</v>
      </c>
      <c r="AZ82">
        <v>0</v>
      </c>
      <c r="BA82">
        <v>98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ROUND(Y82*Source!I135*DO82,9)</f>
        <v>0.27764</v>
      </c>
      <c r="CX82">
        <f>ROUND(Y82*Source!I135,9)</f>
        <v>2.1999999999999999E-2</v>
      </c>
      <c r="CY82">
        <f>AB82</f>
        <v>87.01</v>
      </c>
      <c r="CZ82">
        <f>AF82</f>
        <v>83.1</v>
      </c>
      <c r="DA82">
        <f>AJ82</f>
        <v>1</v>
      </c>
      <c r="DB82">
        <f>ROUND((ROUND(AT82*CZ82,2)*1.1),6)</f>
        <v>0.91300000000000003</v>
      </c>
      <c r="DC82">
        <f>ROUND((ROUND(AT82*AG82,2)*1.1),6)</f>
        <v>0.14299999999999999</v>
      </c>
      <c r="DD82" t="s">
        <v>3</v>
      </c>
      <c r="DE82" t="s">
        <v>3</v>
      </c>
      <c r="DF82">
        <f t="shared" si="45"/>
        <v>0</v>
      </c>
      <c r="DG82">
        <f t="shared" si="42"/>
        <v>1.83</v>
      </c>
      <c r="DH82">
        <f t="shared" si="43"/>
        <v>0.28000000000000003</v>
      </c>
      <c r="DI82">
        <f t="shared" si="27"/>
        <v>0</v>
      </c>
      <c r="DJ82">
        <f>DG82</f>
        <v>1.83</v>
      </c>
      <c r="DK82">
        <v>0</v>
      </c>
      <c r="DL82" t="s">
        <v>298</v>
      </c>
      <c r="DM82">
        <v>0</v>
      </c>
      <c r="DN82" t="s">
        <v>270</v>
      </c>
      <c r="DO82">
        <v>12.62</v>
      </c>
    </row>
    <row r="83" spans="1:119" x14ac:dyDescent="0.2">
      <c r="A83">
        <f>ROW(Source!A135)</f>
        <v>135</v>
      </c>
      <c r="B83">
        <v>60258621</v>
      </c>
      <c r="C83">
        <v>61620587</v>
      </c>
      <c r="D83">
        <v>59069905</v>
      </c>
      <c r="E83">
        <v>1</v>
      </c>
      <c r="F83">
        <v>1</v>
      </c>
      <c r="G83">
        <v>1080</v>
      </c>
      <c r="H83">
        <v>2</v>
      </c>
      <c r="I83" t="s">
        <v>327</v>
      </c>
      <c r="J83" t="s">
        <v>328</v>
      </c>
      <c r="K83" t="s">
        <v>329</v>
      </c>
      <c r="L83">
        <v>1368</v>
      </c>
      <c r="N83">
        <v>1011</v>
      </c>
      <c r="O83" t="s">
        <v>297</v>
      </c>
      <c r="P83" t="s">
        <v>297</v>
      </c>
      <c r="Q83">
        <v>1</v>
      </c>
      <c r="W83">
        <v>0</v>
      </c>
      <c r="X83">
        <v>1087580389</v>
      </c>
      <c r="Y83">
        <f>(AT83*1.1)</f>
        <v>1.1000000000000001E-2</v>
      </c>
      <c r="AA83">
        <v>0</v>
      </c>
      <c r="AB83">
        <v>187.59</v>
      </c>
      <c r="AC83">
        <v>17.73</v>
      </c>
      <c r="AD83">
        <v>0</v>
      </c>
      <c r="AE83">
        <v>0</v>
      </c>
      <c r="AF83">
        <v>179.17</v>
      </c>
      <c r="AG83">
        <v>16.93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0.01</v>
      </c>
      <c r="AU83" t="s">
        <v>24</v>
      </c>
      <c r="AV83">
        <v>0</v>
      </c>
      <c r="AW83">
        <v>2</v>
      </c>
      <c r="AX83">
        <v>61620590</v>
      </c>
      <c r="AY83">
        <v>1</v>
      </c>
      <c r="AZ83">
        <v>0</v>
      </c>
      <c r="BA83">
        <v>99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ROUND(Y83*Source!I135*DO83,9)</f>
        <v>0.37246000000000001</v>
      </c>
      <c r="CX83">
        <f>ROUND(Y83*Source!I135,9)</f>
        <v>2.1999999999999999E-2</v>
      </c>
      <c r="CY83">
        <f>AB83</f>
        <v>187.59</v>
      </c>
      <c r="CZ83">
        <f>AF83</f>
        <v>179.17</v>
      </c>
      <c r="DA83">
        <f>AJ83</f>
        <v>1</v>
      </c>
      <c r="DB83">
        <f>ROUND((ROUND(AT83*CZ83,2)*1.1),6)</f>
        <v>1.9690000000000001</v>
      </c>
      <c r="DC83">
        <f>ROUND((ROUND(AT83*AG83,2)*1.1),6)</f>
        <v>0.187</v>
      </c>
      <c r="DD83" t="s">
        <v>3</v>
      </c>
      <c r="DE83" t="s">
        <v>3</v>
      </c>
      <c r="DF83">
        <f t="shared" si="45"/>
        <v>0</v>
      </c>
      <c r="DG83">
        <f t="shared" si="42"/>
        <v>3.94</v>
      </c>
      <c r="DH83">
        <f t="shared" si="43"/>
        <v>0.37</v>
      </c>
      <c r="DI83">
        <f t="shared" si="27"/>
        <v>0</v>
      </c>
      <c r="DJ83">
        <f>DG83</f>
        <v>3.94</v>
      </c>
      <c r="DK83">
        <v>0</v>
      </c>
      <c r="DL83" t="s">
        <v>298</v>
      </c>
      <c r="DM83">
        <v>0</v>
      </c>
      <c r="DN83" t="s">
        <v>270</v>
      </c>
      <c r="DO83">
        <v>16.93</v>
      </c>
    </row>
    <row r="84" spans="1:119" x14ac:dyDescent="0.2">
      <c r="A84">
        <f>ROW(Source!A135)</f>
        <v>135</v>
      </c>
      <c r="B84">
        <v>60258621</v>
      </c>
      <c r="C84">
        <v>61620587</v>
      </c>
      <c r="D84">
        <v>59062690</v>
      </c>
      <c r="E84">
        <v>1</v>
      </c>
      <c r="F84">
        <v>1</v>
      </c>
      <c r="G84">
        <v>1080</v>
      </c>
      <c r="H84">
        <v>3</v>
      </c>
      <c r="I84" t="s">
        <v>330</v>
      </c>
      <c r="J84" t="s">
        <v>331</v>
      </c>
      <c r="K84" t="s">
        <v>332</v>
      </c>
      <c r="L84">
        <v>1355</v>
      </c>
      <c r="N84">
        <v>1010</v>
      </c>
      <c r="O84" t="s">
        <v>140</v>
      </c>
      <c r="P84" t="s">
        <v>140</v>
      </c>
      <c r="Q84">
        <v>100</v>
      </c>
      <c r="W84">
        <v>0</v>
      </c>
      <c r="X84">
        <v>433898453</v>
      </c>
      <c r="Y84">
        <f>AT84</f>
        <v>2.1093999999999999</v>
      </c>
      <c r="AA84">
        <v>59.47</v>
      </c>
      <c r="AB84">
        <v>0</v>
      </c>
      <c r="AC84">
        <v>0</v>
      </c>
      <c r="AD84">
        <v>0</v>
      </c>
      <c r="AE84">
        <v>59.47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2.1093999999999999</v>
      </c>
      <c r="AU84" t="s">
        <v>3</v>
      </c>
      <c r="AV84">
        <v>0</v>
      </c>
      <c r="AW84">
        <v>2</v>
      </c>
      <c r="AX84">
        <v>61620591</v>
      </c>
      <c r="AY84">
        <v>1</v>
      </c>
      <c r="AZ84">
        <v>0</v>
      </c>
      <c r="BA84">
        <v>100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ROUND(Y84*Source!I135,9)</f>
        <v>4.2187999999999999</v>
      </c>
      <c r="CY84">
        <f>AA84</f>
        <v>59.47</v>
      </c>
      <c r="CZ84">
        <f>AE84</f>
        <v>59.47</v>
      </c>
      <c r="DA84">
        <f>AI84</f>
        <v>1</v>
      </c>
      <c r="DB84">
        <f>ROUND(ROUND(AT84*CZ84,2),6)</f>
        <v>125.45</v>
      </c>
      <c r="DC84">
        <f>ROUND(ROUND(AT84*AG84,2),6)</f>
        <v>0</v>
      </c>
      <c r="DD84" t="s">
        <v>3</v>
      </c>
      <c r="DE84" t="s">
        <v>3</v>
      </c>
      <c r="DF84">
        <f t="shared" si="45"/>
        <v>250.89</v>
      </c>
      <c r="DG84">
        <f t="shared" si="42"/>
        <v>0</v>
      </c>
      <c r="DH84">
        <f t="shared" si="43"/>
        <v>0</v>
      </c>
      <c r="DI84">
        <f t="shared" si="27"/>
        <v>0</v>
      </c>
      <c r="DJ84">
        <f>DF84</f>
        <v>250.89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ROW(Source!A135)</f>
        <v>135</v>
      </c>
      <c r="B85">
        <v>60258621</v>
      </c>
      <c r="C85">
        <v>61620587</v>
      </c>
      <c r="D85">
        <v>59062735</v>
      </c>
      <c r="E85">
        <v>1</v>
      </c>
      <c r="F85">
        <v>1</v>
      </c>
      <c r="G85">
        <v>1080</v>
      </c>
      <c r="H85">
        <v>3</v>
      </c>
      <c r="I85" t="s">
        <v>333</v>
      </c>
      <c r="J85" t="s">
        <v>334</v>
      </c>
      <c r="K85" t="s">
        <v>335</v>
      </c>
      <c r="L85">
        <v>1356</v>
      </c>
      <c r="N85">
        <v>1010</v>
      </c>
      <c r="O85" t="s">
        <v>320</v>
      </c>
      <c r="P85" t="s">
        <v>320</v>
      </c>
      <c r="Q85">
        <v>1000</v>
      </c>
      <c r="W85">
        <v>0</v>
      </c>
      <c r="X85">
        <v>537260159</v>
      </c>
      <c r="Y85">
        <f>AT85</f>
        <v>6.8999999999999999E-3</v>
      </c>
      <c r="AA85">
        <v>56.16</v>
      </c>
      <c r="AB85">
        <v>0</v>
      </c>
      <c r="AC85">
        <v>0</v>
      </c>
      <c r="AD85">
        <v>0</v>
      </c>
      <c r="AE85">
        <v>56.16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6.8999999999999999E-3</v>
      </c>
      <c r="AU85" t="s">
        <v>3</v>
      </c>
      <c r="AV85">
        <v>0</v>
      </c>
      <c r="AW85">
        <v>2</v>
      </c>
      <c r="AX85">
        <v>61620592</v>
      </c>
      <c r="AY85">
        <v>1</v>
      </c>
      <c r="AZ85">
        <v>0</v>
      </c>
      <c r="BA85">
        <v>101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ROUND(Y85*Source!I135,9)</f>
        <v>1.38E-2</v>
      </c>
      <c r="CY85">
        <f>AA85</f>
        <v>56.16</v>
      </c>
      <c r="CZ85">
        <f>AE85</f>
        <v>56.16</v>
      </c>
      <c r="DA85">
        <f>AI85</f>
        <v>1</v>
      </c>
      <c r="DB85">
        <f>ROUND(ROUND(AT85*CZ85,2),6)</f>
        <v>0.39</v>
      </c>
      <c r="DC85">
        <f>ROUND(ROUND(AT85*AG85,2),6)</f>
        <v>0</v>
      </c>
      <c r="DD85" t="s">
        <v>3</v>
      </c>
      <c r="DE85" t="s">
        <v>3</v>
      </c>
      <c r="DF85">
        <f t="shared" si="45"/>
        <v>0.78</v>
      </c>
      <c r="DG85">
        <f t="shared" si="42"/>
        <v>0</v>
      </c>
      <c r="DH85">
        <f t="shared" si="43"/>
        <v>0</v>
      </c>
      <c r="DI85">
        <f t="shared" si="27"/>
        <v>0</v>
      </c>
      <c r="DJ85">
        <f>DF85</f>
        <v>0.78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ROW(Source!A136)</f>
        <v>136</v>
      </c>
      <c r="B86">
        <v>60258618</v>
      </c>
      <c r="C86">
        <v>61620587</v>
      </c>
      <c r="D86">
        <v>58999254</v>
      </c>
      <c r="E86">
        <v>1080</v>
      </c>
      <c r="F86">
        <v>1</v>
      </c>
      <c r="G86">
        <v>1080</v>
      </c>
      <c r="H86">
        <v>1</v>
      </c>
      <c r="I86" t="s">
        <v>268</v>
      </c>
      <c r="J86" t="s">
        <v>3</v>
      </c>
      <c r="K86" t="s">
        <v>269</v>
      </c>
      <c r="L86">
        <v>1191</v>
      </c>
      <c r="N86">
        <v>1013</v>
      </c>
      <c r="O86" t="s">
        <v>270</v>
      </c>
      <c r="P86" t="s">
        <v>270</v>
      </c>
      <c r="Q86">
        <v>1</v>
      </c>
      <c r="W86">
        <v>0</v>
      </c>
      <c r="X86">
        <v>476480486</v>
      </c>
      <c r="Y86">
        <f>(AT86*1.1)</f>
        <v>5.8190000000000008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5.29</v>
      </c>
      <c r="AU86" t="s">
        <v>24</v>
      </c>
      <c r="AV86">
        <v>1</v>
      </c>
      <c r="AW86">
        <v>2</v>
      </c>
      <c r="AX86">
        <v>61620588</v>
      </c>
      <c r="AY86">
        <v>1</v>
      </c>
      <c r="AZ86">
        <v>0</v>
      </c>
      <c r="BA86">
        <v>103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U86">
        <f>ROUND(AT86*Source!I136*AH86*AL86,2)</f>
        <v>0</v>
      </c>
      <c r="CV86">
        <f>ROUND(Y86*Source!I136,9)</f>
        <v>11.638</v>
      </c>
      <c r="CW86">
        <v>0</v>
      </c>
      <c r="CX86">
        <f>ROUND(Y86*Source!I136,9)</f>
        <v>11.638</v>
      </c>
      <c r="CY86">
        <f>AD86</f>
        <v>0</v>
      </c>
      <c r="CZ86">
        <f>AH86</f>
        <v>0</v>
      </c>
      <c r="DA86">
        <f>AL86</f>
        <v>1</v>
      </c>
      <c r="DB86">
        <f>ROUND((ROUND(AT86*CZ86,2)*1.1),6)</f>
        <v>0</v>
      </c>
      <c r="DC86">
        <f>ROUND((ROUND(AT86*AG86,2)*1.1),6)</f>
        <v>0</v>
      </c>
      <c r="DD86" t="s">
        <v>3</v>
      </c>
      <c r="DE86" t="s">
        <v>3</v>
      </c>
      <c r="DF86">
        <f t="shared" si="45"/>
        <v>0</v>
      </c>
      <c r="DG86">
        <f t="shared" si="42"/>
        <v>0</v>
      </c>
      <c r="DH86">
        <f t="shared" si="43"/>
        <v>0</v>
      </c>
      <c r="DI86">
        <f t="shared" si="27"/>
        <v>0</v>
      </c>
      <c r="DJ86">
        <f>DI86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ROW(Source!A136)</f>
        <v>136</v>
      </c>
      <c r="B87">
        <v>60258618</v>
      </c>
      <c r="C87">
        <v>61620587</v>
      </c>
      <c r="D87">
        <v>59070669</v>
      </c>
      <c r="E87">
        <v>1</v>
      </c>
      <c r="F87">
        <v>1</v>
      </c>
      <c r="G87">
        <v>1080</v>
      </c>
      <c r="H87">
        <v>2</v>
      </c>
      <c r="I87" t="s">
        <v>294</v>
      </c>
      <c r="J87" t="s">
        <v>295</v>
      </c>
      <c r="K87" t="s">
        <v>296</v>
      </c>
      <c r="L87">
        <v>1368</v>
      </c>
      <c r="N87">
        <v>1011</v>
      </c>
      <c r="O87" t="s">
        <v>297</v>
      </c>
      <c r="P87" t="s">
        <v>297</v>
      </c>
      <c r="Q87">
        <v>1</v>
      </c>
      <c r="W87">
        <v>0</v>
      </c>
      <c r="X87">
        <v>-1985943078</v>
      </c>
      <c r="Y87">
        <f>(AT87*1.1)</f>
        <v>1.1000000000000001E-2</v>
      </c>
      <c r="AA87">
        <v>0</v>
      </c>
      <c r="AB87">
        <v>1418.19</v>
      </c>
      <c r="AC87">
        <v>726.59</v>
      </c>
      <c r="AD87">
        <v>0</v>
      </c>
      <c r="AE87">
        <v>0</v>
      </c>
      <c r="AF87">
        <v>83.1</v>
      </c>
      <c r="AG87">
        <v>12.62</v>
      </c>
      <c r="AH87">
        <v>0</v>
      </c>
      <c r="AI87">
        <v>1</v>
      </c>
      <c r="AJ87">
        <v>16.3</v>
      </c>
      <c r="AK87">
        <v>54.99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0.01</v>
      </c>
      <c r="AU87" t="s">
        <v>24</v>
      </c>
      <c r="AV87">
        <v>0</v>
      </c>
      <c r="AW87">
        <v>2</v>
      </c>
      <c r="AX87">
        <v>61620589</v>
      </c>
      <c r="AY87">
        <v>1</v>
      </c>
      <c r="AZ87">
        <v>0</v>
      </c>
      <c r="BA87">
        <v>104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f>ROUND(Y87*Source!I136*DO87,9)</f>
        <v>0.27764</v>
      </c>
      <c r="CX87">
        <f>ROUND(Y87*Source!I136,9)</f>
        <v>2.1999999999999999E-2</v>
      </c>
      <c r="CY87">
        <f>AB87</f>
        <v>1418.19</v>
      </c>
      <c r="CZ87">
        <f>AF87</f>
        <v>83.1</v>
      </c>
      <c r="DA87">
        <f>AJ87</f>
        <v>16.3</v>
      </c>
      <c r="DB87">
        <f>ROUND((ROUND(AT87*CZ87,2)*1.1),6)</f>
        <v>0.91300000000000003</v>
      </c>
      <c r="DC87">
        <f>ROUND((ROUND(AT87*AG87,2)*1.1),6)</f>
        <v>0.14299999999999999</v>
      </c>
      <c r="DD87" t="s">
        <v>3</v>
      </c>
      <c r="DE87" t="s">
        <v>3</v>
      </c>
      <c r="DF87">
        <f t="shared" si="45"/>
        <v>0</v>
      </c>
      <c r="DG87">
        <f>ROUND(ROUND(AF87*AJ87,2)*CX87,2)</f>
        <v>29.8</v>
      </c>
      <c r="DH87">
        <f>ROUND(ROUND(AG87*AK87,2)*CX87,2)</f>
        <v>15.27</v>
      </c>
      <c r="DI87">
        <f t="shared" si="27"/>
        <v>0</v>
      </c>
      <c r="DJ87">
        <f>DG87</f>
        <v>29.8</v>
      </c>
      <c r="DK87">
        <v>0</v>
      </c>
      <c r="DL87" t="s">
        <v>298</v>
      </c>
      <c r="DM87">
        <v>0</v>
      </c>
      <c r="DN87" t="s">
        <v>270</v>
      </c>
      <c r="DO87">
        <v>12.62</v>
      </c>
    </row>
    <row r="88" spans="1:119" x14ac:dyDescent="0.2">
      <c r="A88">
        <f>ROW(Source!A136)</f>
        <v>136</v>
      </c>
      <c r="B88">
        <v>60258618</v>
      </c>
      <c r="C88">
        <v>61620587</v>
      </c>
      <c r="D88">
        <v>59069905</v>
      </c>
      <c r="E88">
        <v>1</v>
      </c>
      <c r="F88">
        <v>1</v>
      </c>
      <c r="G88">
        <v>1080</v>
      </c>
      <c r="H88">
        <v>2</v>
      </c>
      <c r="I88" t="s">
        <v>327</v>
      </c>
      <c r="J88" t="s">
        <v>328</v>
      </c>
      <c r="K88" t="s">
        <v>329</v>
      </c>
      <c r="L88">
        <v>1368</v>
      </c>
      <c r="N88">
        <v>1011</v>
      </c>
      <c r="O88" t="s">
        <v>297</v>
      </c>
      <c r="P88" t="s">
        <v>297</v>
      </c>
      <c r="Q88">
        <v>1</v>
      </c>
      <c r="W88">
        <v>0</v>
      </c>
      <c r="X88">
        <v>1087580389</v>
      </c>
      <c r="Y88">
        <f>(AT88*1.1)</f>
        <v>1.1000000000000001E-2</v>
      </c>
      <c r="AA88">
        <v>0</v>
      </c>
      <c r="AB88">
        <v>2579.38</v>
      </c>
      <c r="AC88">
        <v>974.74</v>
      </c>
      <c r="AD88">
        <v>0</v>
      </c>
      <c r="AE88">
        <v>0</v>
      </c>
      <c r="AF88">
        <v>179.17</v>
      </c>
      <c r="AG88">
        <v>16.93</v>
      </c>
      <c r="AH88">
        <v>0</v>
      </c>
      <c r="AI88">
        <v>1</v>
      </c>
      <c r="AJ88">
        <v>13.75</v>
      </c>
      <c r="AK88">
        <v>54.99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0.01</v>
      </c>
      <c r="AU88" t="s">
        <v>24</v>
      </c>
      <c r="AV88">
        <v>0</v>
      </c>
      <c r="AW88">
        <v>2</v>
      </c>
      <c r="AX88">
        <v>61620590</v>
      </c>
      <c r="AY88">
        <v>1</v>
      </c>
      <c r="AZ88">
        <v>0</v>
      </c>
      <c r="BA88">
        <v>105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ROUND(Y88*Source!I136*DO88,9)</f>
        <v>0.37246000000000001</v>
      </c>
      <c r="CX88">
        <f>ROUND(Y88*Source!I136,9)</f>
        <v>2.1999999999999999E-2</v>
      </c>
      <c r="CY88">
        <f>AB88</f>
        <v>2579.38</v>
      </c>
      <c r="CZ88">
        <f>AF88</f>
        <v>179.17</v>
      </c>
      <c r="DA88">
        <f>AJ88</f>
        <v>13.75</v>
      </c>
      <c r="DB88">
        <f>ROUND((ROUND(AT88*CZ88,2)*1.1),6)</f>
        <v>1.9690000000000001</v>
      </c>
      <c r="DC88">
        <f>ROUND((ROUND(AT88*AG88,2)*1.1),6)</f>
        <v>0.187</v>
      </c>
      <c r="DD88" t="s">
        <v>3</v>
      </c>
      <c r="DE88" t="s">
        <v>3</v>
      </c>
      <c r="DF88">
        <f t="shared" si="45"/>
        <v>0</v>
      </c>
      <c r="DG88">
        <f>ROUND(ROUND(AF88*AJ88,2)*CX88,2)</f>
        <v>54.2</v>
      </c>
      <c r="DH88">
        <f>ROUND(ROUND(AG88*AK88,2)*CX88,2)</f>
        <v>20.48</v>
      </c>
      <c r="DI88">
        <f t="shared" si="27"/>
        <v>0</v>
      </c>
      <c r="DJ88">
        <f>DG88</f>
        <v>54.2</v>
      </c>
      <c r="DK88">
        <v>0</v>
      </c>
      <c r="DL88" t="s">
        <v>298</v>
      </c>
      <c r="DM88">
        <v>0</v>
      </c>
      <c r="DN88" t="s">
        <v>270</v>
      </c>
      <c r="DO88">
        <v>16.93</v>
      </c>
    </row>
    <row r="89" spans="1:119" x14ac:dyDescent="0.2">
      <c r="A89">
        <f>ROW(Source!A136)</f>
        <v>136</v>
      </c>
      <c r="B89">
        <v>60258618</v>
      </c>
      <c r="C89">
        <v>61620587</v>
      </c>
      <c r="D89">
        <v>59062690</v>
      </c>
      <c r="E89">
        <v>1</v>
      </c>
      <c r="F89">
        <v>1</v>
      </c>
      <c r="G89">
        <v>1080</v>
      </c>
      <c r="H89">
        <v>3</v>
      </c>
      <c r="I89" t="s">
        <v>330</v>
      </c>
      <c r="J89" t="s">
        <v>331</v>
      </c>
      <c r="K89" t="s">
        <v>332</v>
      </c>
      <c r="L89">
        <v>1355</v>
      </c>
      <c r="N89">
        <v>1010</v>
      </c>
      <c r="O89" t="s">
        <v>140</v>
      </c>
      <c r="P89" t="s">
        <v>140</v>
      </c>
      <c r="Q89">
        <v>100</v>
      </c>
      <c r="W89">
        <v>0</v>
      </c>
      <c r="X89">
        <v>433898453</v>
      </c>
      <c r="Y89">
        <f>AT89</f>
        <v>2.1093999999999999</v>
      </c>
      <c r="AA89">
        <v>233.72</v>
      </c>
      <c r="AB89">
        <v>0</v>
      </c>
      <c r="AC89">
        <v>0</v>
      </c>
      <c r="AD89">
        <v>0</v>
      </c>
      <c r="AE89">
        <v>59.47</v>
      </c>
      <c r="AF89">
        <v>0</v>
      </c>
      <c r="AG89">
        <v>0</v>
      </c>
      <c r="AH89">
        <v>0</v>
      </c>
      <c r="AI89">
        <v>3.93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2.1093999999999999</v>
      </c>
      <c r="AU89" t="s">
        <v>3</v>
      </c>
      <c r="AV89">
        <v>0</v>
      </c>
      <c r="AW89">
        <v>2</v>
      </c>
      <c r="AX89">
        <v>61620591</v>
      </c>
      <c r="AY89">
        <v>1</v>
      </c>
      <c r="AZ89">
        <v>0</v>
      </c>
      <c r="BA89">
        <v>106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ROUND(Y89*Source!I136,9)</f>
        <v>4.2187999999999999</v>
      </c>
      <c r="CY89">
        <f>AA89</f>
        <v>233.72</v>
      </c>
      <c r="CZ89">
        <f>AE89</f>
        <v>59.47</v>
      </c>
      <c r="DA89">
        <f>AI89</f>
        <v>3.93</v>
      </c>
      <c r="DB89">
        <f>ROUND(ROUND(AT89*CZ89,2),6)</f>
        <v>125.45</v>
      </c>
      <c r="DC89">
        <f>ROUND(ROUND(AT89*AG89,2),6)</f>
        <v>0</v>
      </c>
      <c r="DD89" t="s">
        <v>3</v>
      </c>
      <c r="DE89" t="s">
        <v>3</v>
      </c>
      <c r="DF89">
        <f>ROUND(ROUND(AE89*AI89,2)*CX89,2)</f>
        <v>986.02</v>
      </c>
      <c r="DG89">
        <f>ROUND(ROUND(AF89,2)*CX89,2)</f>
        <v>0</v>
      </c>
      <c r="DH89">
        <f>ROUND(ROUND(AG89,2)*CX89,2)</f>
        <v>0</v>
      </c>
      <c r="DI89">
        <f t="shared" si="27"/>
        <v>0</v>
      </c>
      <c r="DJ89">
        <f>DF89</f>
        <v>986.02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ROW(Source!A136)</f>
        <v>136</v>
      </c>
      <c r="B90">
        <v>60258618</v>
      </c>
      <c r="C90">
        <v>61620587</v>
      </c>
      <c r="D90">
        <v>59062735</v>
      </c>
      <c r="E90">
        <v>1</v>
      </c>
      <c r="F90">
        <v>1</v>
      </c>
      <c r="G90">
        <v>1080</v>
      </c>
      <c r="H90">
        <v>3</v>
      </c>
      <c r="I90" t="s">
        <v>333</v>
      </c>
      <c r="J90" t="s">
        <v>334</v>
      </c>
      <c r="K90" t="s">
        <v>335</v>
      </c>
      <c r="L90">
        <v>1356</v>
      </c>
      <c r="N90">
        <v>1010</v>
      </c>
      <c r="O90" t="s">
        <v>320</v>
      </c>
      <c r="P90" t="s">
        <v>320</v>
      </c>
      <c r="Q90">
        <v>1000</v>
      </c>
      <c r="W90">
        <v>0</v>
      </c>
      <c r="X90">
        <v>537260159</v>
      </c>
      <c r="Y90">
        <f>AT90</f>
        <v>6.8999999999999999E-3</v>
      </c>
      <c r="AA90">
        <v>672.24</v>
      </c>
      <c r="AB90">
        <v>0</v>
      </c>
      <c r="AC90">
        <v>0</v>
      </c>
      <c r="AD90">
        <v>0</v>
      </c>
      <c r="AE90">
        <v>56.16</v>
      </c>
      <c r="AF90">
        <v>0</v>
      </c>
      <c r="AG90">
        <v>0</v>
      </c>
      <c r="AH90">
        <v>0</v>
      </c>
      <c r="AI90">
        <v>11.97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6.8999999999999999E-3</v>
      </c>
      <c r="AU90" t="s">
        <v>3</v>
      </c>
      <c r="AV90">
        <v>0</v>
      </c>
      <c r="AW90">
        <v>2</v>
      </c>
      <c r="AX90">
        <v>61620592</v>
      </c>
      <c r="AY90">
        <v>1</v>
      </c>
      <c r="AZ90">
        <v>0</v>
      </c>
      <c r="BA90">
        <v>107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ROUND(Y90*Source!I136,9)</f>
        <v>1.38E-2</v>
      </c>
      <c r="CY90">
        <f>AA90</f>
        <v>672.24</v>
      </c>
      <c r="CZ90">
        <f>AE90</f>
        <v>56.16</v>
      </c>
      <c r="DA90">
        <f>AI90</f>
        <v>11.97</v>
      </c>
      <c r="DB90">
        <f>ROUND(ROUND(AT90*CZ90,2),6)</f>
        <v>0.39</v>
      </c>
      <c r="DC90">
        <f>ROUND(ROUND(AT90*AG90,2),6)</f>
        <v>0</v>
      </c>
      <c r="DD90" t="s">
        <v>3</v>
      </c>
      <c r="DE90" t="s">
        <v>3</v>
      </c>
      <c r="DF90">
        <f>ROUND(ROUND(AE90*AI90,2)*CX90,2)</f>
        <v>9.2799999999999994</v>
      </c>
      <c r="DG90">
        <f>ROUND(ROUND(AF90,2)*CX90,2)</f>
        <v>0</v>
      </c>
      <c r="DH90">
        <f>ROUND(ROUND(AG90,2)*CX90,2)</f>
        <v>0</v>
      </c>
      <c r="DI90">
        <f t="shared" si="27"/>
        <v>0</v>
      </c>
      <c r="DJ90">
        <f>DF90</f>
        <v>9.2799999999999994</v>
      </c>
      <c r="DK90">
        <v>0</v>
      </c>
      <c r="DL90" t="s">
        <v>3</v>
      </c>
      <c r="DM90">
        <v>0</v>
      </c>
      <c r="DN90" t="s">
        <v>3</v>
      </c>
      <c r="DO9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60258979</v>
      </c>
      <c r="C1">
        <v>60258735</v>
      </c>
      <c r="D1">
        <v>58999254</v>
      </c>
      <c r="E1">
        <v>1080</v>
      </c>
      <c r="F1">
        <v>1</v>
      </c>
      <c r="G1">
        <v>1080</v>
      </c>
      <c r="H1">
        <v>1</v>
      </c>
      <c r="I1" t="s">
        <v>268</v>
      </c>
      <c r="J1" t="s">
        <v>3</v>
      </c>
      <c r="K1" t="s">
        <v>269</v>
      </c>
      <c r="L1">
        <v>1191</v>
      </c>
      <c r="N1">
        <v>1013</v>
      </c>
      <c r="O1" t="s">
        <v>270</v>
      </c>
      <c r="P1" t="s">
        <v>270</v>
      </c>
      <c r="Q1">
        <v>1</v>
      </c>
      <c r="X1">
        <v>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7.7000000000000011</v>
      </c>
      <c r="AH1">
        <v>2</v>
      </c>
      <c r="AI1">
        <v>60258736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60258980</v>
      </c>
      <c r="C2">
        <v>60258735</v>
      </c>
      <c r="D2">
        <v>59039462</v>
      </c>
      <c r="E2">
        <v>1</v>
      </c>
      <c r="F2">
        <v>1</v>
      </c>
      <c r="G2">
        <v>1080</v>
      </c>
      <c r="H2">
        <v>3</v>
      </c>
      <c r="I2" t="s">
        <v>271</v>
      </c>
      <c r="J2" t="s">
        <v>272</v>
      </c>
      <c r="K2" t="s">
        <v>273</v>
      </c>
      <c r="L2">
        <v>1348</v>
      </c>
      <c r="N2">
        <v>1009</v>
      </c>
      <c r="O2" t="s">
        <v>274</v>
      </c>
      <c r="P2" t="s">
        <v>274</v>
      </c>
      <c r="Q2">
        <v>1000</v>
      </c>
      <c r="X2">
        <v>1.2E-5</v>
      </c>
      <c r="Y2">
        <v>64123.05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23</v>
      </c>
      <c r="AG2">
        <v>1.2E-5</v>
      </c>
      <c r="AH2">
        <v>2</v>
      </c>
      <c r="AI2">
        <v>60258737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60258981</v>
      </c>
      <c r="C3">
        <v>60258735</v>
      </c>
      <c r="D3">
        <v>59045949</v>
      </c>
      <c r="E3">
        <v>1</v>
      </c>
      <c r="F3">
        <v>1</v>
      </c>
      <c r="G3">
        <v>1080</v>
      </c>
      <c r="H3">
        <v>3</v>
      </c>
      <c r="I3" t="s">
        <v>275</v>
      </c>
      <c r="J3" t="s">
        <v>276</v>
      </c>
      <c r="K3" t="s">
        <v>277</v>
      </c>
      <c r="L3">
        <v>1349</v>
      </c>
      <c r="N3">
        <v>1009</v>
      </c>
      <c r="O3" t="s">
        <v>278</v>
      </c>
      <c r="P3" t="s">
        <v>278</v>
      </c>
      <c r="Q3">
        <v>1E-3</v>
      </c>
      <c r="X3">
        <v>2</v>
      </c>
      <c r="Y3">
        <v>7.0000000000000007E-2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23</v>
      </c>
      <c r="AG3">
        <v>2</v>
      </c>
      <c r="AH3">
        <v>2</v>
      </c>
      <c r="AI3">
        <v>60258738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60258982</v>
      </c>
      <c r="C4">
        <v>60258735</v>
      </c>
      <c r="D4">
        <v>59062764</v>
      </c>
      <c r="E4">
        <v>1</v>
      </c>
      <c r="F4">
        <v>1</v>
      </c>
      <c r="G4">
        <v>1080</v>
      </c>
      <c r="H4">
        <v>3</v>
      </c>
      <c r="I4" t="s">
        <v>279</v>
      </c>
      <c r="J4" t="s">
        <v>280</v>
      </c>
      <c r="K4" t="s">
        <v>281</v>
      </c>
      <c r="L4">
        <v>1346</v>
      </c>
      <c r="N4">
        <v>1009</v>
      </c>
      <c r="O4" t="s">
        <v>282</v>
      </c>
      <c r="P4" t="s">
        <v>282</v>
      </c>
      <c r="Q4">
        <v>1</v>
      </c>
      <c r="X4">
        <v>6.0000000000000001E-3</v>
      </c>
      <c r="Y4">
        <v>493.08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23</v>
      </c>
      <c r="AG4">
        <v>6.0000000000000001E-3</v>
      </c>
      <c r="AH4">
        <v>2</v>
      </c>
      <c r="AI4">
        <v>60258739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60258983</v>
      </c>
      <c r="C5">
        <v>60258735</v>
      </c>
      <c r="D5">
        <v>59068402</v>
      </c>
      <c r="E5">
        <v>1</v>
      </c>
      <c r="F5">
        <v>1</v>
      </c>
      <c r="G5">
        <v>1080</v>
      </c>
      <c r="H5">
        <v>3</v>
      </c>
      <c r="I5" t="s">
        <v>283</v>
      </c>
      <c r="J5" t="s">
        <v>284</v>
      </c>
      <c r="K5" t="s">
        <v>285</v>
      </c>
      <c r="L5">
        <v>1303</v>
      </c>
      <c r="N5">
        <v>1003</v>
      </c>
      <c r="O5" t="s">
        <v>229</v>
      </c>
      <c r="P5" t="s">
        <v>229</v>
      </c>
      <c r="Q5">
        <v>1000</v>
      </c>
      <c r="X5">
        <v>0.06</v>
      </c>
      <c r="Y5">
        <v>516.63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23</v>
      </c>
      <c r="AG5">
        <v>0.06</v>
      </c>
      <c r="AH5">
        <v>2</v>
      </c>
      <c r="AI5">
        <v>60258740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60258984</v>
      </c>
      <c r="C6">
        <v>60258735</v>
      </c>
      <c r="D6">
        <v>59029738</v>
      </c>
      <c r="E6">
        <v>1080</v>
      </c>
      <c r="F6">
        <v>1</v>
      </c>
      <c r="G6">
        <v>1080</v>
      </c>
      <c r="H6">
        <v>3</v>
      </c>
      <c r="I6" t="s">
        <v>336</v>
      </c>
      <c r="J6" t="s">
        <v>3</v>
      </c>
      <c r="K6" t="s">
        <v>337</v>
      </c>
      <c r="L6">
        <v>1346</v>
      </c>
      <c r="N6">
        <v>1009</v>
      </c>
      <c r="O6" t="s">
        <v>282</v>
      </c>
      <c r="P6" t="s">
        <v>282</v>
      </c>
      <c r="Q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23</v>
      </c>
      <c r="AG6">
        <v>0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60258985</v>
      </c>
      <c r="C7">
        <v>60258735</v>
      </c>
      <c r="D7">
        <v>59029796</v>
      </c>
      <c r="E7">
        <v>1080</v>
      </c>
      <c r="F7">
        <v>1</v>
      </c>
      <c r="G7">
        <v>1080</v>
      </c>
      <c r="H7">
        <v>3</v>
      </c>
      <c r="I7" t="s">
        <v>338</v>
      </c>
      <c r="J7" t="s">
        <v>3</v>
      </c>
      <c r="K7" t="s">
        <v>339</v>
      </c>
      <c r="L7">
        <v>1354</v>
      </c>
      <c r="N7">
        <v>1010</v>
      </c>
      <c r="O7" t="s">
        <v>249</v>
      </c>
      <c r="P7" t="s">
        <v>249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23</v>
      </c>
      <c r="AG7">
        <v>1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60258979</v>
      </c>
      <c r="C8">
        <v>60258735</v>
      </c>
      <c r="D8">
        <v>58999254</v>
      </c>
      <c r="E8">
        <v>1080</v>
      </c>
      <c r="F8">
        <v>1</v>
      </c>
      <c r="G8">
        <v>1080</v>
      </c>
      <c r="H8">
        <v>1</v>
      </c>
      <c r="I8" t="s">
        <v>268</v>
      </c>
      <c r="J8" t="s">
        <v>3</v>
      </c>
      <c r="K8" t="s">
        <v>269</v>
      </c>
      <c r="L8">
        <v>1191</v>
      </c>
      <c r="N8">
        <v>1013</v>
      </c>
      <c r="O8" t="s">
        <v>270</v>
      </c>
      <c r="P8" t="s">
        <v>270</v>
      </c>
      <c r="Q8">
        <v>1</v>
      </c>
      <c r="X8">
        <v>7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24</v>
      </c>
      <c r="AG8">
        <v>7.7000000000000011</v>
      </c>
      <c r="AH8">
        <v>2</v>
      </c>
      <c r="AI8">
        <v>60258736</v>
      </c>
      <c r="AJ8">
        <v>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60258980</v>
      </c>
      <c r="C9">
        <v>60258735</v>
      </c>
      <c r="D9">
        <v>59039462</v>
      </c>
      <c r="E9">
        <v>1</v>
      </c>
      <c r="F9">
        <v>1</v>
      </c>
      <c r="G9">
        <v>1080</v>
      </c>
      <c r="H9">
        <v>3</v>
      </c>
      <c r="I9" t="s">
        <v>271</v>
      </c>
      <c r="J9" t="s">
        <v>272</v>
      </c>
      <c r="K9" t="s">
        <v>273</v>
      </c>
      <c r="L9">
        <v>1348</v>
      </c>
      <c r="N9">
        <v>1009</v>
      </c>
      <c r="O9" t="s">
        <v>274</v>
      </c>
      <c r="P9" t="s">
        <v>274</v>
      </c>
      <c r="Q9">
        <v>1000</v>
      </c>
      <c r="X9">
        <v>1.2E-5</v>
      </c>
      <c r="Y9">
        <v>64123.05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23</v>
      </c>
      <c r="AG9">
        <v>1.2E-5</v>
      </c>
      <c r="AH9">
        <v>2</v>
      </c>
      <c r="AI9">
        <v>60258737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60258981</v>
      </c>
      <c r="C10">
        <v>60258735</v>
      </c>
      <c r="D10">
        <v>59045949</v>
      </c>
      <c r="E10">
        <v>1</v>
      </c>
      <c r="F10">
        <v>1</v>
      </c>
      <c r="G10">
        <v>1080</v>
      </c>
      <c r="H10">
        <v>3</v>
      </c>
      <c r="I10" t="s">
        <v>275</v>
      </c>
      <c r="J10" t="s">
        <v>276</v>
      </c>
      <c r="K10" t="s">
        <v>277</v>
      </c>
      <c r="L10">
        <v>1349</v>
      </c>
      <c r="N10">
        <v>1009</v>
      </c>
      <c r="O10" t="s">
        <v>278</v>
      </c>
      <c r="P10" t="s">
        <v>278</v>
      </c>
      <c r="Q10">
        <v>1E-3</v>
      </c>
      <c r="X10">
        <v>2</v>
      </c>
      <c r="Y10">
        <v>7.0000000000000007E-2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23</v>
      </c>
      <c r="AG10">
        <v>2</v>
      </c>
      <c r="AH10">
        <v>2</v>
      </c>
      <c r="AI10">
        <v>60258738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ROW(Source!A29)</f>
        <v>29</v>
      </c>
      <c r="B11">
        <v>60258982</v>
      </c>
      <c r="C11">
        <v>60258735</v>
      </c>
      <c r="D11">
        <v>59062764</v>
      </c>
      <c r="E11">
        <v>1</v>
      </c>
      <c r="F11">
        <v>1</v>
      </c>
      <c r="G11">
        <v>1080</v>
      </c>
      <c r="H11">
        <v>3</v>
      </c>
      <c r="I11" t="s">
        <v>279</v>
      </c>
      <c r="J11" t="s">
        <v>280</v>
      </c>
      <c r="K11" t="s">
        <v>281</v>
      </c>
      <c r="L11">
        <v>1346</v>
      </c>
      <c r="N11">
        <v>1009</v>
      </c>
      <c r="O11" t="s">
        <v>282</v>
      </c>
      <c r="P11" t="s">
        <v>282</v>
      </c>
      <c r="Q11">
        <v>1</v>
      </c>
      <c r="X11">
        <v>6.0000000000000001E-3</v>
      </c>
      <c r="Y11">
        <v>493.08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23</v>
      </c>
      <c r="AG11">
        <v>6.0000000000000001E-3</v>
      </c>
      <c r="AH11">
        <v>2</v>
      </c>
      <c r="AI11">
        <v>60258739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60258983</v>
      </c>
      <c r="C12">
        <v>60258735</v>
      </c>
      <c r="D12">
        <v>59068402</v>
      </c>
      <c r="E12">
        <v>1</v>
      </c>
      <c r="F12">
        <v>1</v>
      </c>
      <c r="G12">
        <v>1080</v>
      </c>
      <c r="H12">
        <v>3</v>
      </c>
      <c r="I12" t="s">
        <v>283</v>
      </c>
      <c r="J12" t="s">
        <v>284</v>
      </c>
      <c r="K12" t="s">
        <v>285</v>
      </c>
      <c r="L12">
        <v>1303</v>
      </c>
      <c r="N12">
        <v>1003</v>
      </c>
      <c r="O12" t="s">
        <v>229</v>
      </c>
      <c r="P12" t="s">
        <v>229</v>
      </c>
      <c r="Q12">
        <v>1000</v>
      </c>
      <c r="X12">
        <v>0.06</v>
      </c>
      <c r="Y12">
        <v>516.63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23</v>
      </c>
      <c r="AG12">
        <v>0.06</v>
      </c>
      <c r="AH12">
        <v>2</v>
      </c>
      <c r="AI12">
        <v>60258740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60258984</v>
      </c>
      <c r="C13">
        <v>60258735</v>
      </c>
      <c r="D13">
        <v>59029738</v>
      </c>
      <c r="E13">
        <v>1080</v>
      </c>
      <c r="F13">
        <v>1</v>
      </c>
      <c r="G13">
        <v>1080</v>
      </c>
      <c r="H13">
        <v>3</v>
      </c>
      <c r="I13" t="s">
        <v>336</v>
      </c>
      <c r="J13" t="s">
        <v>3</v>
      </c>
      <c r="K13" t="s">
        <v>337</v>
      </c>
      <c r="L13">
        <v>1346</v>
      </c>
      <c r="N13">
        <v>1009</v>
      </c>
      <c r="O13" t="s">
        <v>282</v>
      </c>
      <c r="P13" t="s">
        <v>282</v>
      </c>
      <c r="Q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23</v>
      </c>
      <c r="AG13">
        <v>0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60258985</v>
      </c>
      <c r="C14">
        <v>60258735</v>
      </c>
      <c r="D14">
        <v>59029796</v>
      </c>
      <c r="E14">
        <v>1080</v>
      </c>
      <c r="F14">
        <v>1</v>
      </c>
      <c r="G14">
        <v>1080</v>
      </c>
      <c r="H14">
        <v>3</v>
      </c>
      <c r="I14" t="s">
        <v>338</v>
      </c>
      <c r="J14" t="s">
        <v>3</v>
      </c>
      <c r="K14" t="s">
        <v>339</v>
      </c>
      <c r="L14">
        <v>1354</v>
      </c>
      <c r="N14">
        <v>1010</v>
      </c>
      <c r="O14" t="s">
        <v>249</v>
      </c>
      <c r="P14" t="s">
        <v>249</v>
      </c>
      <c r="Q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23</v>
      </c>
      <c r="AG14">
        <v>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ROW(Source!A34)</f>
        <v>34</v>
      </c>
      <c r="B15">
        <v>60258986</v>
      </c>
      <c r="C15">
        <v>60258750</v>
      </c>
      <c r="D15">
        <v>58999254</v>
      </c>
      <c r="E15">
        <v>1080</v>
      </c>
      <c r="F15">
        <v>1</v>
      </c>
      <c r="G15">
        <v>1080</v>
      </c>
      <c r="H15">
        <v>1</v>
      </c>
      <c r="I15" t="s">
        <v>268</v>
      </c>
      <c r="J15" t="s">
        <v>3</v>
      </c>
      <c r="K15" t="s">
        <v>269</v>
      </c>
      <c r="L15">
        <v>1191</v>
      </c>
      <c r="N15">
        <v>1013</v>
      </c>
      <c r="O15" t="s">
        <v>270</v>
      </c>
      <c r="P15" t="s">
        <v>270</v>
      </c>
      <c r="Q15">
        <v>1</v>
      </c>
      <c r="X15">
        <v>3.18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24</v>
      </c>
      <c r="AG15">
        <v>3.4980000000000007</v>
      </c>
      <c r="AH15">
        <v>2</v>
      </c>
      <c r="AI15">
        <v>60258751</v>
      </c>
      <c r="AJ15">
        <v>11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ROW(Source!A34)</f>
        <v>34</v>
      </c>
      <c r="B16">
        <v>60258987</v>
      </c>
      <c r="C16">
        <v>60258750</v>
      </c>
      <c r="D16">
        <v>59040743</v>
      </c>
      <c r="E16">
        <v>1</v>
      </c>
      <c r="F16">
        <v>1</v>
      </c>
      <c r="G16">
        <v>1080</v>
      </c>
      <c r="H16">
        <v>3</v>
      </c>
      <c r="I16" t="s">
        <v>286</v>
      </c>
      <c r="J16" t="s">
        <v>287</v>
      </c>
      <c r="K16" t="s">
        <v>288</v>
      </c>
      <c r="L16">
        <v>1346</v>
      </c>
      <c r="N16">
        <v>1009</v>
      </c>
      <c r="O16" t="s">
        <v>282</v>
      </c>
      <c r="P16" t="s">
        <v>282</v>
      </c>
      <c r="Q16">
        <v>1</v>
      </c>
      <c r="X16">
        <v>6.2700000000000004E-3</v>
      </c>
      <c r="Y16">
        <v>27.62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23</v>
      </c>
      <c r="AG16">
        <v>6.2700000000000004E-3</v>
      </c>
      <c r="AH16">
        <v>2</v>
      </c>
      <c r="AI16">
        <v>60258752</v>
      </c>
      <c r="AJ16">
        <v>12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ROW(Source!A34)</f>
        <v>34</v>
      </c>
      <c r="B17">
        <v>60258988</v>
      </c>
      <c r="C17">
        <v>60258750</v>
      </c>
      <c r="D17">
        <v>59039462</v>
      </c>
      <c r="E17">
        <v>1</v>
      </c>
      <c r="F17">
        <v>1</v>
      </c>
      <c r="G17">
        <v>1080</v>
      </c>
      <c r="H17">
        <v>3</v>
      </c>
      <c r="I17" t="s">
        <v>271</v>
      </c>
      <c r="J17" t="s">
        <v>272</v>
      </c>
      <c r="K17" t="s">
        <v>273</v>
      </c>
      <c r="L17">
        <v>1348</v>
      </c>
      <c r="N17">
        <v>1009</v>
      </c>
      <c r="O17" t="s">
        <v>274</v>
      </c>
      <c r="P17" t="s">
        <v>274</v>
      </c>
      <c r="Q17">
        <v>1000</v>
      </c>
      <c r="X17">
        <v>1.0000000000000001E-5</v>
      </c>
      <c r="Y17">
        <v>64123.05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23</v>
      </c>
      <c r="AG17">
        <v>1.0000000000000001E-5</v>
      </c>
      <c r="AH17">
        <v>2</v>
      </c>
      <c r="AI17">
        <v>60258753</v>
      </c>
      <c r="AJ17">
        <v>13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ROW(Source!A34)</f>
        <v>34</v>
      </c>
      <c r="B18">
        <v>60258989</v>
      </c>
      <c r="C18">
        <v>60258750</v>
      </c>
      <c r="D18">
        <v>59049354</v>
      </c>
      <c r="E18">
        <v>1</v>
      </c>
      <c r="F18">
        <v>1</v>
      </c>
      <c r="G18">
        <v>1080</v>
      </c>
      <c r="H18">
        <v>3</v>
      </c>
      <c r="I18" t="s">
        <v>289</v>
      </c>
      <c r="J18" t="s">
        <v>290</v>
      </c>
      <c r="K18" t="s">
        <v>291</v>
      </c>
      <c r="L18">
        <v>1354</v>
      </c>
      <c r="N18">
        <v>1010</v>
      </c>
      <c r="O18" t="s">
        <v>249</v>
      </c>
      <c r="P18" t="s">
        <v>249</v>
      </c>
      <c r="Q18">
        <v>1</v>
      </c>
      <c r="X18">
        <v>0.1</v>
      </c>
      <c r="Y18">
        <v>15.25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23</v>
      </c>
      <c r="AG18">
        <v>0.1</v>
      </c>
      <c r="AH18">
        <v>2</v>
      </c>
      <c r="AI18">
        <v>60258754</v>
      </c>
      <c r="AJ18">
        <v>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ROW(Source!A34)</f>
        <v>34</v>
      </c>
      <c r="B19">
        <v>60258990</v>
      </c>
      <c r="C19">
        <v>60258750</v>
      </c>
      <c r="D19">
        <v>59021314</v>
      </c>
      <c r="E19">
        <v>1080</v>
      </c>
      <c r="F19">
        <v>1</v>
      </c>
      <c r="G19">
        <v>1080</v>
      </c>
      <c r="H19">
        <v>3</v>
      </c>
      <c r="I19" t="s">
        <v>340</v>
      </c>
      <c r="J19" t="s">
        <v>3</v>
      </c>
      <c r="K19" t="s">
        <v>341</v>
      </c>
      <c r="L19">
        <v>1354</v>
      </c>
      <c r="N19">
        <v>1010</v>
      </c>
      <c r="O19" t="s">
        <v>249</v>
      </c>
      <c r="P19" t="s">
        <v>249</v>
      </c>
      <c r="Q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23</v>
      </c>
      <c r="AG19">
        <v>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ROW(Source!A35)</f>
        <v>35</v>
      </c>
      <c r="B20">
        <v>60258986</v>
      </c>
      <c r="C20">
        <v>60258750</v>
      </c>
      <c r="D20">
        <v>58999254</v>
      </c>
      <c r="E20">
        <v>1080</v>
      </c>
      <c r="F20">
        <v>1</v>
      </c>
      <c r="G20">
        <v>1080</v>
      </c>
      <c r="H20">
        <v>1</v>
      </c>
      <c r="I20" t="s">
        <v>268</v>
      </c>
      <c r="J20" t="s">
        <v>3</v>
      </c>
      <c r="K20" t="s">
        <v>269</v>
      </c>
      <c r="L20">
        <v>1191</v>
      </c>
      <c r="N20">
        <v>1013</v>
      </c>
      <c r="O20" t="s">
        <v>270</v>
      </c>
      <c r="P20" t="s">
        <v>270</v>
      </c>
      <c r="Q20">
        <v>1</v>
      </c>
      <c r="X20">
        <v>3.18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24</v>
      </c>
      <c r="AG20">
        <v>3.4980000000000007</v>
      </c>
      <c r="AH20">
        <v>2</v>
      </c>
      <c r="AI20">
        <v>60258751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ROW(Source!A35)</f>
        <v>35</v>
      </c>
      <c r="B21">
        <v>60258987</v>
      </c>
      <c r="C21">
        <v>60258750</v>
      </c>
      <c r="D21">
        <v>59040743</v>
      </c>
      <c r="E21">
        <v>1</v>
      </c>
      <c r="F21">
        <v>1</v>
      </c>
      <c r="G21">
        <v>1080</v>
      </c>
      <c r="H21">
        <v>3</v>
      </c>
      <c r="I21" t="s">
        <v>286</v>
      </c>
      <c r="J21" t="s">
        <v>287</v>
      </c>
      <c r="K21" t="s">
        <v>288</v>
      </c>
      <c r="L21">
        <v>1346</v>
      </c>
      <c r="N21">
        <v>1009</v>
      </c>
      <c r="O21" t="s">
        <v>282</v>
      </c>
      <c r="P21" t="s">
        <v>282</v>
      </c>
      <c r="Q21">
        <v>1</v>
      </c>
      <c r="X21">
        <v>6.2700000000000004E-3</v>
      </c>
      <c r="Y21">
        <v>27.62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23</v>
      </c>
      <c r="AG21">
        <v>6.2700000000000004E-3</v>
      </c>
      <c r="AH21">
        <v>2</v>
      </c>
      <c r="AI21">
        <v>60258752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ROW(Source!A35)</f>
        <v>35</v>
      </c>
      <c r="B22">
        <v>60258988</v>
      </c>
      <c r="C22">
        <v>60258750</v>
      </c>
      <c r="D22">
        <v>59039462</v>
      </c>
      <c r="E22">
        <v>1</v>
      </c>
      <c r="F22">
        <v>1</v>
      </c>
      <c r="G22">
        <v>1080</v>
      </c>
      <c r="H22">
        <v>3</v>
      </c>
      <c r="I22" t="s">
        <v>271</v>
      </c>
      <c r="J22" t="s">
        <v>272</v>
      </c>
      <c r="K22" t="s">
        <v>273</v>
      </c>
      <c r="L22">
        <v>1348</v>
      </c>
      <c r="N22">
        <v>1009</v>
      </c>
      <c r="O22" t="s">
        <v>274</v>
      </c>
      <c r="P22" t="s">
        <v>274</v>
      </c>
      <c r="Q22">
        <v>1000</v>
      </c>
      <c r="X22">
        <v>1.0000000000000001E-5</v>
      </c>
      <c r="Y22">
        <v>64123.05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23</v>
      </c>
      <c r="AG22">
        <v>1.0000000000000001E-5</v>
      </c>
      <c r="AH22">
        <v>2</v>
      </c>
      <c r="AI22">
        <v>60258753</v>
      </c>
      <c r="AJ22">
        <v>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ROW(Source!A35)</f>
        <v>35</v>
      </c>
      <c r="B23">
        <v>60258989</v>
      </c>
      <c r="C23">
        <v>60258750</v>
      </c>
      <c r="D23">
        <v>59049354</v>
      </c>
      <c r="E23">
        <v>1</v>
      </c>
      <c r="F23">
        <v>1</v>
      </c>
      <c r="G23">
        <v>1080</v>
      </c>
      <c r="H23">
        <v>3</v>
      </c>
      <c r="I23" t="s">
        <v>289</v>
      </c>
      <c r="J23" t="s">
        <v>290</v>
      </c>
      <c r="K23" t="s">
        <v>291</v>
      </c>
      <c r="L23">
        <v>1354</v>
      </c>
      <c r="N23">
        <v>1010</v>
      </c>
      <c r="O23" t="s">
        <v>249</v>
      </c>
      <c r="P23" t="s">
        <v>249</v>
      </c>
      <c r="Q23">
        <v>1</v>
      </c>
      <c r="X23">
        <v>0.1</v>
      </c>
      <c r="Y23">
        <v>15.25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23</v>
      </c>
      <c r="AG23">
        <v>0.1</v>
      </c>
      <c r="AH23">
        <v>2</v>
      </c>
      <c r="AI23">
        <v>60258754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ROW(Source!A35)</f>
        <v>35</v>
      </c>
      <c r="B24">
        <v>60258990</v>
      </c>
      <c r="C24">
        <v>60258750</v>
      </c>
      <c r="D24">
        <v>59021314</v>
      </c>
      <c r="E24">
        <v>1080</v>
      </c>
      <c r="F24">
        <v>1</v>
      </c>
      <c r="G24">
        <v>1080</v>
      </c>
      <c r="H24">
        <v>3</v>
      </c>
      <c r="I24" t="s">
        <v>340</v>
      </c>
      <c r="J24" t="s">
        <v>3</v>
      </c>
      <c r="K24" t="s">
        <v>341</v>
      </c>
      <c r="L24">
        <v>1354</v>
      </c>
      <c r="N24">
        <v>1010</v>
      </c>
      <c r="O24" t="s">
        <v>249</v>
      </c>
      <c r="P24" t="s">
        <v>249</v>
      </c>
      <c r="Q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23</v>
      </c>
      <c r="AG24">
        <v>1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ROW(Source!A38)</f>
        <v>38</v>
      </c>
      <c r="B25">
        <v>60258991</v>
      </c>
      <c r="C25">
        <v>60258761</v>
      </c>
      <c r="D25">
        <v>58999254</v>
      </c>
      <c r="E25">
        <v>1080</v>
      </c>
      <c r="F25">
        <v>1</v>
      </c>
      <c r="G25">
        <v>1080</v>
      </c>
      <c r="H25">
        <v>1</v>
      </c>
      <c r="I25" t="s">
        <v>268</v>
      </c>
      <c r="J25" t="s">
        <v>3</v>
      </c>
      <c r="K25" t="s">
        <v>269</v>
      </c>
      <c r="L25">
        <v>1191</v>
      </c>
      <c r="N25">
        <v>1013</v>
      </c>
      <c r="O25" t="s">
        <v>270</v>
      </c>
      <c r="P25" t="s">
        <v>270</v>
      </c>
      <c r="Q25">
        <v>1</v>
      </c>
      <c r="X25">
        <v>7.2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24</v>
      </c>
      <c r="AG25">
        <v>7.9200000000000008</v>
      </c>
      <c r="AH25">
        <v>2</v>
      </c>
      <c r="AI25">
        <v>60258762</v>
      </c>
      <c r="AJ25">
        <v>19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60258991</v>
      </c>
      <c r="C26">
        <v>60258761</v>
      </c>
      <c r="D26">
        <v>58999254</v>
      </c>
      <c r="E26">
        <v>1080</v>
      </c>
      <c r="F26">
        <v>1</v>
      </c>
      <c r="G26">
        <v>1080</v>
      </c>
      <c r="H26">
        <v>1</v>
      </c>
      <c r="I26" t="s">
        <v>268</v>
      </c>
      <c r="J26" t="s">
        <v>3</v>
      </c>
      <c r="K26" t="s">
        <v>269</v>
      </c>
      <c r="L26">
        <v>1191</v>
      </c>
      <c r="N26">
        <v>1013</v>
      </c>
      <c r="O26" t="s">
        <v>270</v>
      </c>
      <c r="P26" t="s">
        <v>270</v>
      </c>
      <c r="Q26">
        <v>1</v>
      </c>
      <c r="X26">
        <v>7.2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24</v>
      </c>
      <c r="AG26">
        <v>7.9200000000000008</v>
      </c>
      <c r="AH26">
        <v>2</v>
      </c>
      <c r="AI26">
        <v>60258762</v>
      </c>
      <c r="AJ26">
        <v>20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ROW(Source!A42)</f>
        <v>42</v>
      </c>
      <c r="B27">
        <v>60258992</v>
      </c>
      <c r="C27">
        <v>60258765</v>
      </c>
      <c r="D27">
        <v>58999254</v>
      </c>
      <c r="E27">
        <v>1080</v>
      </c>
      <c r="F27">
        <v>1</v>
      </c>
      <c r="G27">
        <v>1080</v>
      </c>
      <c r="H27">
        <v>1</v>
      </c>
      <c r="I27" t="s">
        <v>268</v>
      </c>
      <c r="J27" t="s">
        <v>3</v>
      </c>
      <c r="K27" t="s">
        <v>269</v>
      </c>
      <c r="L27">
        <v>1191</v>
      </c>
      <c r="N27">
        <v>1013</v>
      </c>
      <c r="O27" t="s">
        <v>270</v>
      </c>
      <c r="P27" t="s">
        <v>270</v>
      </c>
      <c r="Q27">
        <v>1</v>
      </c>
      <c r="X27">
        <v>1.2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24</v>
      </c>
      <c r="AG27">
        <v>1.32</v>
      </c>
      <c r="AH27">
        <v>2</v>
      </c>
      <c r="AI27">
        <v>60258766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ROW(Source!A43)</f>
        <v>43</v>
      </c>
      <c r="B28">
        <v>60258992</v>
      </c>
      <c r="C28">
        <v>60258765</v>
      </c>
      <c r="D28">
        <v>58999254</v>
      </c>
      <c r="E28">
        <v>1080</v>
      </c>
      <c r="F28">
        <v>1</v>
      </c>
      <c r="G28">
        <v>1080</v>
      </c>
      <c r="H28">
        <v>1</v>
      </c>
      <c r="I28" t="s">
        <v>268</v>
      </c>
      <c r="J28" t="s">
        <v>3</v>
      </c>
      <c r="K28" t="s">
        <v>269</v>
      </c>
      <c r="L28">
        <v>1191</v>
      </c>
      <c r="N28">
        <v>1013</v>
      </c>
      <c r="O28" t="s">
        <v>270</v>
      </c>
      <c r="P28" t="s">
        <v>270</v>
      </c>
      <c r="Q28">
        <v>1</v>
      </c>
      <c r="X28">
        <v>1.2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24</v>
      </c>
      <c r="AG28">
        <v>1.32</v>
      </c>
      <c r="AH28">
        <v>2</v>
      </c>
      <c r="AI28">
        <v>60258766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ROW(Source!A46)</f>
        <v>46</v>
      </c>
      <c r="B29">
        <v>60258993</v>
      </c>
      <c r="C29">
        <v>60258769</v>
      </c>
      <c r="D29">
        <v>58999254</v>
      </c>
      <c r="E29">
        <v>1080</v>
      </c>
      <c r="F29">
        <v>1</v>
      </c>
      <c r="G29">
        <v>1080</v>
      </c>
      <c r="H29">
        <v>1</v>
      </c>
      <c r="I29" t="s">
        <v>268</v>
      </c>
      <c r="J29" t="s">
        <v>3</v>
      </c>
      <c r="K29" t="s">
        <v>269</v>
      </c>
      <c r="L29">
        <v>1191</v>
      </c>
      <c r="N29">
        <v>1013</v>
      </c>
      <c r="O29" t="s">
        <v>270</v>
      </c>
      <c r="P29" t="s">
        <v>270</v>
      </c>
      <c r="Q29">
        <v>1</v>
      </c>
      <c r="X29">
        <v>5.7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24</v>
      </c>
      <c r="AG29">
        <v>6.2700000000000005</v>
      </c>
      <c r="AH29">
        <v>2</v>
      </c>
      <c r="AI29">
        <v>60258770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ROW(Source!A47)</f>
        <v>47</v>
      </c>
      <c r="B30">
        <v>60258993</v>
      </c>
      <c r="C30">
        <v>60258769</v>
      </c>
      <c r="D30">
        <v>58999254</v>
      </c>
      <c r="E30">
        <v>1080</v>
      </c>
      <c r="F30">
        <v>1</v>
      </c>
      <c r="G30">
        <v>1080</v>
      </c>
      <c r="H30">
        <v>1</v>
      </c>
      <c r="I30" t="s">
        <v>268</v>
      </c>
      <c r="J30" t="s">
        <v>3</v>
      </c>
      <c r="K30" t="s">
        <v>269</v>
      </c>
      <c r="L30">
        <v>1191</v>
      </c>
      <c r="N30">
        <v>1013</v>
      </c>
      <c r="O30" t="s">
        <v>270</v>
      </c>
      <c r="P30" t="s">
        <v>270</v>
      </c>
      <c r="Q30">
        <v>1</v>
      </c>
      <c r="X30">
        <v>5.7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24</v>
      </c>
      <c r="AG30">
        <v>6.2700000000000005</v>
      </c>
      <c r="AH30">
        <v>2</v>
      </c>
      <c r="AI30">
        <v>60258770</v>
      </c>
      <c r="AJ30">
        <v>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ROW(Source!A50)</f>
        <v>50</v>
      </c>
      <c r="B31">
        <v>60258994</v>
      </c>
      <c r="C31">
        <v>60258773</v>
      </c>
      <c r="D31">
        <v>58999254</v>
      </c>
      <c r="E31">
        <v>1080</v>
      </c>
      <c r="F31">
        <v>1</v>
      </c>
      <c r="G31">
        <v>1080</v>
      </c>
      <c r="H31">
        <v>1</v>
      </c>
      <c r="I31" t="s">
        <v>268</v>
      </c>
      <c r="J31" t="s">
        <v>3</v>
      </c>
      <c r="K31" t="s">
        <v>269</v>
      </c>
      <c r="L31">
        <v>1191</v>
      </c>
      <c r="N31">
        <v>1013</v>
      </c>
      <c r="O31" t="s">
        <v>270</v>
      </c>
      <c r="P31" t="s">
        <v>270</v>
      </c>
      <c r="Q31">
        <v>1</v>
      </c>
      <c r="X31">
        <v>3.6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24</v>
      </c>
      <c r="AG31">
        <v>3.9600000000000004</v>
      </c>
      <c r="AH31">
        <v>2</v>
      </c>
      <c r="AI31">
        <v>60258774</v>
      </c>
      <c r="AJ31">
        <v>25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ROW(Source!A51)</f>
        <v>51</v>
      </c>
      <c r="B32">
        <v>60258994</v>
      </c>
      <c r="C32">
        <v>60258773</v>
      </c>
      <c r="D32">
        <v>58999254</v>
      </c>
      <c r="E32">
        <v>1080</v>
      </c>
      <c r="F32">
        <v>1</v>
      </c>
      <c r="G32">
        <v>1080</v>
      </c>
      <c r="H32">
        <v>1</v>
      </c>
      <c r="I32" t="s">
        <v>268</v>
      </c>
      <c r="J32" t="s">
        <v>3</v>
      </c>
      <c r="K32" t="s">
        <v>269</v>
      </c>
      <c r="L32">
        <v>1191</v>
      </c>
      <c r="N32">
        <v>1013</v>
      </c>
      <c r="O32" t="s">
        <v>270</v>
      </c>
      <c r="P32" t="s">
        <v>270</v>
      </c>
      <c r="Q32">
        <v>1</v>
      </c>
      <c r="X32">
        <v>3.6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24</v>
      </c>
      <c r="AG32">
        <v>3.9600000000000004</v>
      </c>
      <c r="AH32">
        <v>2</v>
      </c>
      <c r="AI32">
        <v>60258774</v>
      </c>
      <c r="AJ32">
        <v>26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ROW(Source!A54)</f>
        <v>54</v>
      </c>
      <c r="B33">
        <v>60258995</v>
      </c>
      <c r="C33">
        <v>60258777</v>
      </c>
      <c r="D33">
        <v>58999254</v>
      </c>
      <c r="E33">
        <v>1080</v>
      </c>
      <c r="F33">
        <v>1</v>
      </c>
      <c r="G33">
        <v>1080</v>
      </c>
      <c r="H33">
        <v>1</v>
      </c>
      <c r="I33" t="s">
        <v>268</v>
      </c>
      <c r="J33" t="s">
        <v>3</v>
      </c>
      <c r="K33" t="s">
        <v>269</v>
      </c>
      <c r="L33">
        <v>1191</v>
      </c>
      <c r="N33">
        <v>1013</v>
      </c>
      <c r="O33" t="s">
        <v>270</v>
      </c>
      <c r="P33" t="s">
        <v>270</v>
      </c>
      <c r="Q33">
        <v>1</v>
      </c>
      <c r="X33">
        <v>3.18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24</v>
      </c>
      <c r="AG33">
        <v>3.4980000000000007</v>
      </c>
      <c r="AH33">
        <v>2</v>
      </c>
      <c r="AI33">
        <v>60258778</v>
      </c>
      <c r="AJ33">
        <v>27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ROW(Source!A54)</f>
        <v>54</v>
      </c>
      <c r="B34">
        <v>60258996</v>
      </c>
      <c r="C34">
        <v>60258777</v>
      </c>
      <c r="D34">
        <v>59040743</v>
      </c>
      <c r="E34">
        <v>1</v>
      </c>
      <c r="F34">
        <v>1</v>
      </c>
      <c r="G34">
        <v>1080</v>
      </c>
      <c r="H34">
        <v>3</v>
      </c>
      <c r="I34" t="s">
        <v>286</v>
      </c>
      <c r="J34" t="s">
        <v>287</v>
      </c>
      <c r="K34" t="s">
        <v>288</v>
      </c>
      <c r="L34">
        <v>1346</v>
      </c>
      <c r="N34">
        <v>1009</v>
      </c>
      <c r="O34" t="s">
        <v>282</v>
      </c>
      <c r="P34" t="s">
        <v>282</v>
      </c>
      <c r="Q34">
        <v>1</v>
      </c>
      <c r="X34">
        <v>6.2700000000000004E-3</v>
      </c>
      <c r="Y34">
        <v>27.62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23</v>
      </c>
      <c r="AG34">
        <v>6.2700000000000004E-3</v>
      </c>
      <c r="AH34">
        <v>2</v>
      </c>
      <c r="AI34">
        <v>60258779</v>
      </c>
      <c r="AJ34">
        <v>28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ROW(Source!A54)</f>
        <v>54</v>
      </c>
      <c r="B35">
        <v>60258997</v>
      </c>
      <c r="C35">
        <v>60258777</v>
      </c>
      <c r="D35">
        <v>59039462</v>
      </c>
      <c r="E35">
        <v>1</v>
      </c>
      <c r="F35">
        <v>1</v>
      </c>
      <c r="G35">
        <v>1080</v>
      </c>
      <c r="H35">
        <v>3</v>
      </c>
      <c r="I35" t="s">
        <v>271</v>
      </c>
      <c r="J35" t="s">
        <v>272</v>
      </c>
      <c r="K35" t="s">
        <v>273</v>
      </c>
      <c r="L35">
        <v>1348</v>
      </c>
      <c r="N35">
        <v>1009</v>
      </c>
      <c r="O35" t="s">
        <v>274</v>
      </c>
      <c r="P35" t="s">
        <v>274</v>
      </c>
      <c r="Q35">
        <v>1000</v>
      </c>
      <c r="X35">
        <v>1.0000000000000001E-5</v>
      </c>
      <c r="Y35">
        <v>64123.05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23</v>
      </c>
      <c r="AG35">
        <v>1.0000000000000001E-5</v>
      </c>
      <c r="AH35">
        <v>2</v>
      </c>
      <c r="AI35">
        <v>60258780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ROW(Source!A54)</f>
        <v>54</v>
      </c>
      <c r="B36">
        <v>60258998</v>
      </c>
      <c r="C36">
        <v>60258777</v>
      </c>
      <c r="D36">
        <v>59049354</v>
      </c>
      <c r="E36">
        <v>1</v>
      </c>
      <c r="F36">
        <v>1</v>
      </c>
      <c r="G36">
        <v>1080</v>
      </c>
      <c r="H36">
        <v>3</v>
      </c>
      <c r="I36" t="s">
        <v>289</v>
      </c>
      <c r="J36" t="s">
        <v>290</v>
      </c>
      <c r="K36" t="s">
        <v>291</v>
      </c>
      <c r="L36">
        <v>1354</v>
      </c>
      <c r="N36">
        <v>1010</v>
      </c>
      <c r="O36" t="s">
        <v>249</v>
      </c>
      <c r="P36" t="s">
        <v>249</v>
      </c>
      <c r="Q36">
        <v>1</v>
      </c>
      <c r="X36">
        <v>0.1</v>
      </c>
      <c r="Y36">
        <v>15.25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23</v>
      </c>
      <c r="AG36">
        <v>0.1</v>
      </c>
      <c r="AH36">
        <v>2</v>
      </c>
      <c r="AI36">
        <v>60258781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ROW(Source!A54)</f>
        <v>54</v>
      </c>
      <c r="B37">
        <v>60258999</v>
      </c>
      <c r="C37">
        <v>60258777</v>
      </c>
      <c r="D37">
        <v>59021314</v>
      </c>
      <c r="E37">
        <v>1080</v>
      </c>
      <c r="F37">
        <v>1</v>
      </c>
      <c r="G37">
        <v>1080</v>
      </c>
      <c r="H37">
        <v>3</v>
      </c>
      <c r="I37" t="s">
        <v>340</v>
      </c>
      <c r="J37" t="s">
        <v>3</v>
      </c>
      <c r="K37" t="s">
        <v>341</v>
      </c>
      <c r="L37">
        <v>1354</v>
      </c>
      <c r="N37">
        <v>1010</v>
      </c>
      <c r="O37" t="s">
        <v>249</v>
      </c>
      <c r="P37" t="s">
        <v>249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23</v>
      </c>
      <c r="AG37">
        <v>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ROW(Source!A55)</f>
        <v>55</v>
      </c>
      <c r="B38">
        <v>60258995</v>
      </c>
      <c r="C38">
        <v>60258777</v>
      </c>
      <c r="D38">
        <v>58999254</v>
      </c>
      <c r="E38">
        <v>1080</v>
      </c>
      <c r="F38">
        <v>1</v>
      </c>
      <c r="G38">
        <v>1080</v>
      </c>
      <c r="H38">
        <v>1</v>
      </c>
      <c r="I38" t="s">
        <v>268</v>
      </c>
      <c r="J38" t="s">
        <v>3</v>
      </c>
      <c r="K38" t="s">
        <v>269</v>
      </c>
      <c r="L38">
        <v>1191</v>
      </c>
      <c r="N38">
        <v>1013</v>
      </c>
      <c r="O38" t="s">
        <v>270</v>
      </c>
      <c r="P38" t="s">
        <v>270</v>
      </c>
      <c r="Q38">
        <v>1</v>
      </c>
      <c r="X38">
        <v>3.18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24</v>
      </c>
      <c r="AG38">
        <v>3.4980000000000007</v>
      </c>
      <c r="AH38">
        <v>2</v>
      </c>
      <c r="AI38">
        <v>60258778</v>
      </c>
      <c r="AJ38">
        <v>31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ROW(Source!A55)</f>
        <v>55</v>
      </c>
      <c r="B39">
        <v>60258996</v>
      </c>
      <c r="C39">
        <v>60258777</v>
      </c>
      <c r="D39">
        <v>59040743</v>
      </c>
      <c r="E39">
        <v>1</v>
      </c>
      <c r="F39">
        <v>1</v>
      </c>
      <c r="G39">
        <v>1080</v>
      </c>
      <c r="H39">
        <v>3</v>
      </c>
      <c r="I39" t="s">
        <v>286</v>
      </c>
      <c r="J39" t="s">
        <v>287</v>
      </c>
      <c r="K39" t="s">
        <v>288</v>
      </c>
      <c r="L39">
        <v>1346</v>
      </c>
      <c r="N39">
        <v>1009</v>
      </c>
      <c r="O39" t="s">
        <v>282</v>
      </c>
      <c r="P39" t="s">
        <v>282</v>
      </c>
      <c r="Q39">
        <v>1</v>
      </c>
      <c r="X39">
        <v>6.2700000000000004E-3</v>
      </c>
      <c r="Y39">
        <v>27.62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23</v>
      </c>
      <c r="AG39">
        <v>6.2700000000000004E-3</v>
      </c>
      <c r="AH39">
        <v>2</v>
      </c>
      <c r="AI39">
        <v>60258779</v>
      </c>
      <c r="AJ39">
        <v>32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ROW(Source!A55)</f>
        <v>55</v>
      </c>
      <c r="B40">
        <v>60258997</v>
      </c>
      <c r="C40">
        <v>60258777</v>
      </c>
      <c r="D40">
        <v>59039462</v>
      </c>
      <c r="E40">
        <v>1</v>
      </c>
      <c r="F40">
        <v>1</v>
      </c>
      <c r="G40">
        <v>1080</v>
      </c>
      <c r="H40">
        <v>3</v>
      </c>
      <c r="I40" t="s">
        <v>271</v>
      </c>
      <c r="J40" t="s">
        <v>272</v>
      </c>
      <c r="K40" t="s">
        <v>273</v>
      </c>
      <c r="L40">
        <v>1348</v>
      </c>
      <c r="N40">
        <v>1009</v>
      </c>
      <c r="O40" t="s">
        <v>274</v>
      </c>
      <c r="P40" t="s">
        <v>274</v>
      </c>
      <c r="Q40">
        <v>1000</v>
      </c>
      <c r="X40">
        <v>1.0000000000000001E-5</v>
      </c>
      <c r="Y40">
        <v>64123.05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23</v>
      </c>
      <c r="AG40">
        <v>1.0000000000000001E-5</v>
      </c>
      <c r="AH40">
        <v>2</v>
      </c>
      <c r="AI40">
        <v>60258780</v>
      </c>
      <c r="AJ40">
        <v>33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ROW(Source!A55)</f>
        <v>55</v>
      </c>
      <c r="B41">
        <v>60258998</v>
      </c>
      <c r="C41">
        <v>60258777</v>
      </c>
      <c r="D41">
        <v>59049354</v>
      </c>
      <c r="E41">
        <v>1</v>
      </c>
      <c r="F41">
        <v>1</v>
      </c>
      <c r="G41">
        <v>1080</v>
      </c>
      <c r="H41">
        <v>3</v>
      </c>
      <c r="I41" t="s">
        <v>289</v>
      </c>
      <c r="J41" t="s">
        <v>290</v>
      </c>
      <c r="K41" t="s">
        <v>291</v>
      </c>
      <c r="L41">
        <v>1354</v>
      </c>
      <c r="N41">
        <v>1010</v>
      </c>
      <c r="O41" t="s">
        <v>249</v>
      </c>
      <c r="P41" t="s">
        <v>249</v>
      </c>
      <c r="Q41">
        <v>1</v>
      </c>
      <c r="X41">
        <v>0.1</v>
      </c>
      <c r="Y41">
        <v>15.25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23</v>
      </c>
      <c r="AG41">
        <v>0.1</v>
      </c>
      <c r="AH41">
        <v>2</v>
      </c>
      <c r="AI41">
        <v>60258781</v>
      </c>
      <c r="AJ41">
        <v>34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ROW(Source!A55)</f>
        <v>55</v>
      </c>
      <c r="B42">
        <v>60258999</v>
      </c>
      <c r="C42">
        <v>60258777</v>
      </c>
      <c r="D42">
        <v>59021314</v>
      </c>
      <c r="E42">
        <v>1080</v>
      </c>
      <c r="F42">
        <v>1</v>
      </c>
      <c r="G42">
        <v>1080</v>
      </c>
      <c r="H42">
        <v>3</v>
      </c>
      <c r="I42" t="s">
        <v>340</v>
      </c>
      <c r="J42" t="s">
        <v>3</v>
      </c>
      <c r="K42" t="s">
        <v>341</v>
      </c>
      <c r="L42">
        <v>1354</v>
      </c>
      <c r="N42">
        <v>1010</v>
      </c>
      <c r="O42" t="s">
        <v>249</v>
      </c>
      <c r="P42" t="s">
        <v>249</v>
      </c>
      <c r="Q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23</v>
      </c>
      <c r="AG42">
        <v>1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ROW(Source!A60)</f>
        <v>60</v>
      </c>
      <c r="B43">
        <v>60259000</v>
      </c>
      <c r="C43">
        <v>60258789</v>
      </c>
      <c r="D43">
        <v>58999254</v>
      </c>
      <c r="E43">
        <v>1080</v>
      </c>
      <c r="F43">
        <v>1</v>
      </c>
      <c r="G43">
        <v>1080</v>
      </c>
      <c r="H43">
        <v>1</v>
      </c>
      <c r="I43" t="s">
        <v>268</v>
      </c>
      <c r="J43" t="s">
        <v>3</v>
      </c>
      <c r="K43" t="s">
        <v>269</v>
      </c>
      <c r="L43">
        <v>1191</v>
      </c>
      <c r="N43">
        <v>1013</v>
      </c>
      <c r="O43" t="s">
        <v>270</v>
      </c>
      <c r="P43" t="s">
        <v>270</v>
      </c>
      <c r="Q43">
        <v>1</v>
      </c>
      <c r="X43">
        <v>1.2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24</v>
      </c>
      <c r="AG43">
        <v>1.32</v>
      </c>
      <c r="AH43">
        <v>2</v>
      </c>
      <c r="AI43">
        <v>60258790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ROW(Source!A61)</f>
        <v>61</v>
      </c>
      <c r="B44">
        <v>60259000</v>
      </c>
      <c r="C44">
        <v>60258789</v>
      </c>
      <c r="D44">
        <v>58999254</v>
      </c>
      <c r="E44">
        <v>1080</v>
      </c>
      <c r="F44">
        <v>1</v>
      </c>
      <c r="G44">
        <v>1080</v>
      </c>
      <c r="H44">
        <v>1</v>
      </c>
      <c r="I44" t="s">
        <v>268</v>
      </c>
      <c r="J44" t="s">
        <v>3</v>
      </c>
      <c r="K44" t="s">
        <v>269</v>
      </c>
      <c r="L44">
        <v>1191</v>
      </c>
      <c r="N44">
        <v>1013</v>
      </c>
      <c r="O44" t="s">
        <v>270</v>
      </c>
      <c r="P44" t="s">
        <v>270</v>
      </c>
      <c r="Q44">
        <v>1</v>
      </c>
      <c r="X44">
        <v>1.2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 t="s">
        <v>24</v>
      </c>
      <c r="AG44">
        <v>1.32</v>
      </c>
      <c r="AH44">
        <v>2</v>
      </c>
      <c r="AI44">
        <v>60258790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ROW(Source!A64)</f>
        <v>64</v>
      </c>
      <c r="B45">
        <v>60259001</v>
      </c>
      <c r="C45">
        <v>60258793</v>
      </c>
      <c r="D45">
        <v>58999254</v>
      </c>
      <c r="E45">
        <v>1080</v>
      </c>
      <c r="F45">
        <v>1</v>
      </c>
      <c r="G45">
        <v>1080</v>
      </c>
      <c r="H45">
        <v>1</v>
      </c>
      <c r="I45" t="s">
        <v>268</v>
      </c>
      <c r="J45" t="s">
        <v>3</v>
      </c>
      <c r="K45" t="s">
        <v>269</v>
      </c>
      <c r="L45">
        <v>1191</v>
      </c>
      <c r="N45">
        <v>1013</v>
      </c>
      <c r="O45" t="s">
        <v>270</v>
      </c>
      <c r="P45" t="s">
        <v>270</v>
      </c>
      <c r="Q45">
        <v>1</v>
      </c>
      <c r="X45">
        <v>1.2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24</v>
      </c>
      <c r="AG45">
        <v>1.32</v>
      </c>
      <c r="AH45">
        <v>2</v>
      </c>
      <c r="AI45">
        <v>60258794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ROW(Source!A65)</f>
        <v>65</v>
      </c>
      <c r="B46">
        <v>60259001</v>
      </c>
      <c r="C46">
        <v>60258793</v>
      </c>
      <c r="D46">
        <v>58999254</v>
      </c>
      <c r="E46">
        <v>1080</v>
      </c>
      <c r="F46">
        <v>1</v>
      </c>
      <c r="G46">
        <v>1080</v>
      </c>
      <c r="H46">
        <v>1</v>
      </c>
      <c r="I46" t="s">
        <v>268</v>
      </c>
      <c r="J46" t="s">
        <v>3</v>
      </c>
      <c r="K46" t="s">
        <v>269</v>
      </c>
      <c r="L46">
        <v>1191</v>
      </c>
      <c r="N46">
        <v>1013</v>
      </c>
      <c r="O46" t="s">
        <v>270</v>
      </c>
      <c r="P46" t="s">
        <v>270</v>
      </c>
      <c r="Q46">
        <v>1</v>
      </c>
      <c r="X46">
        <v>1.2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24</v>
      </c>
      <c r="AG46">
        <v>1.32</v>
      </c>
      <c r="AH46">
        <v>2</v>
      </c>
      <c r="AI46">
        <v>60258794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ROW(Source!A68)</f>
        <v>68</v>
      </c>
      <c r="B47">
        <v>60259002</v>
      </c>
      <c r="C47">
        <v>60258797</v>
      </c>
      <c r="D47">
        <v>58999254</v>
      </c>
      <c r="E47">
        <v>1080</v>
      </c>
      <c r="F47">
        <v>1</v>
      </c>
      <c r="G47">
        <v>1080</v>
      </c>
      <c r="H47">
        <v>1</v>
      </c>
      <c r="I47" t="s">
        <v>268</v>
      </c>
      <c r="J47" t="s">
        <v>3</v>
      </c>
      <c r="K47" t="s">
        <v>269</v>
      </c>
      <c r="L47">
        <v>1191</v>
      </c>
      <c r="N47">
        <v>1013</v>
      </c>
      <c r="O47" t="s">
        <v>270</v>
      </c>
      <c r="P47" t="s">
        <v>270</v>
      </c>
      <c r="Q47">
        <v>1</v>
      </c>
      <c r="X47">
        <v>3.6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24</v>
      </c>
      <c r="AG47">
        <v>3.9600000000000004</v>
      </c>
      <c r="AH47">
        <v>2</v>
      </c>
      <c r="AI47">
        <v>60258798</v>
      </c>
      <c r="AJ47">
        <v>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ROW(Source!A69)</f>
        <v>69</v>
      </c>
      <c r="B48">
        <v>60259002</v>
      </c>
      <c r="C48">
        <v>60258797</v>
      </c>
      <c r="D48">
        <v>58999254</v>
      </c>
      <c r="E48">
        <v>1080</v>
      </c>
      <c r="F48">
        <v>1</v>
      </c>
      <c r="G48">
        <v>1080</v>
      </c>
      <c r="H48">
        <v>1</v>
      </c>
      <c r="I48" t="s">
        <v>268</v>
      </c>
      <c r="J48" t="s">
        <v>3</v>
      </c>
      <c r="K48" t="s">
        <v>269</v>
      </c>
      <c r="L48">
        <v>1191</v>
      </c>
      <c r="N48">
        <v>1013</v>
      </c>
      <c r="O48" t="s">
        <v>270</v>
      </c>
      <c r="P48" t="s">
        <v>270</v>
      </c>
      <c r="Q48">
        <v>1</v>
      </c>
      <c r="X48">
        <v>3.6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24</v>
      </c>
      <c r="AG48">
        <v>3.9600000000000004</v>
      </c>
      <c r="AH48">
        <v>2</v>
      </c>
      <c r="AI48">
        <v>60258798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ROW(Source!A72)</f>
        <v>72</v>
      </c>
      <c r="B49">
        <v>60259003</v>
      </c>
      <c r="C49">
        <v>60258801</v>
      </c>
      <c r="D49">
        <v>58999254</v>
      </c>
      <c r="E49">
        <v>1080</v>
      </c>
      <c r="F49">
        <v>1</v>
      </c>
      <c r="G49">
        <v>1080</v>
      </c>
      <c r="H49">
        <v>1</v>
      </c>
      <c r="I49" t="s">
        <v>268</v>
      </c>
      <c r="J49" t="s">
        <v>3</v>
      </c>
      <c r="K49" t="s">
        <v>269</v>
      </c>
      <c r="L49">
        <v>1191</v>
      </c>
      <c r="N49">
        <v>1013</v>
      </c>
      <c r="O49" t="s">
        <v>270</v>
      </c>
      <c r="P49" t="s">
        <v>270</v>
      </c>
      <c r="Q49">
        <v>1</v>
      </c>
      <c r="X49">
        <v>0.84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24</v>
      </c>
      <c r="AG49">
        <v>0.92400000000000004</v>
      </c>
      <c r="AH49">
        <v>2</v>
      </c>
      <c r="AI49">
        <v>60258802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ROW(Source!A73)</f>
        <v>73</v>
      </c>
      <c r="B50">
        <v>60259003</v>
      </c>
      <c r="C50">
        <v>60258801</v>
      </c>
      <c r="D50">
        <v>58999254</v>
      </c>
      <c r="E50">
        <v>1080</v>
      </c>
      <c r="F50">
        <v>1</v>
      </c>
      <c r="G50">
        <v>1080</v>
      </c>
      <c r="H50">
        <v>1</v>
      </c>
      <c r="I50" t="s">
        <v>268</v>
      </c>
      <c r="J50" t="s">
        <v>3</v>
      </c>
      <c r="K50" t="s">
        <v>269</v>
      </c>
      <c r="L50">
        <v>1191</v>
      </c>
      <c r="N50">
        <v>1013</v>
      </c>
      <c r="O50" t="s">
        <v>270</v>
      </c>
      <c r="P50" t="s">
        <v>270</v>
      </c>
      <c r="Q50">
        <v>1</v>
      </c>
      <c r="X50">
        <v>0.84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24</v>
      </c>
      <c r="AG50">
        <v>0.92400000000000004</v>
      </c>
      <c r="AH50">
        <v>2</v>
      </c>
      <c r="AI50">
        <v>60258802</v>
      </c>
      <c r="AJ50">
        <v>42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ROW(Source!A76)</f>
        <v>76</v>
      </c>
      <c r="B51">
        <v>60259004</v>
      </c>
      <c r="C51">
        <v>60258805</v>
      </c>
      <c r="D51">
        <v>58999254</v>
      </c>
      <c r="E51">
        <v>1080</v>
      </c>
      <c r="F51">
        <v>1</v>
      </c>
      <c r="G51">
        <v>1080</v>
      </c>
      <c r="H51">
        <v>1</v>
      </c>
      <c r="I51" t="s">
        <v>268</v>
      </c>
      <c r="J51" t="s">
        <v>3</v>
      </c>
      <c r="K51" t="s">
        <v>269</v>
      </c>
      <c r="L51">
        <v>1191</v>
      </c>
      <c r="N51">
        <v>1013</v>
      </c>
      <c r="O51" t="s">
        <v>270</v>
      </c>
      <c r="P51" t="s">
        <v>270</v>
      </c>
      <c r="Q51">
        <v>1</v>
      </c>
      <c r="X51">
        <v>0.84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24</v>
      </c>
      <c r="AG51">
        <v>0.92400000000000004</v>
      </c>
      <c r="AH51">
        <v>2</v>
      </c>
      <c r="AI51">
        <v>60258806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ROW(Source!A77)</f>
        <v>77</v>
      </c>
      <c r="B52">
        <v>60259004</v>
      </c>
      <c r="C52">
        <v>60258805</v>
      </c>
      <c r="D52">
        <v>58999254</v>
      </c>
      <c r="E52">
        <v>1080</v>
      </c>
      <c r="F52">
        <v>1</v>
      </c>
      <c r="G52">
        <v>1080</v>
      </c>
      <c r="H52">
        <v>1</v>
      </c>
      <c r="I52" t="s">
        <v>268</v>
      </c>
      <c r="J52" t="s">
        <v>3</v>
      </c>
      <c r="K52" t="s">
        <v>269</v>
      </c>
      <c r="L52">
        <v>1191</v>
      </c>
      <c r="N52">
        <v>1013</v>
      </c>
      <c r="O52" t="s">
        <v>270</v>
      </c>
      <c r="P52" t="s">
        <v>270</v>
      </c>
      <c r="Q52">
        <v>1</v>
      </c>
      <c r="X52">
        <v>0.84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24</v>
      </c>
      <c r="AG52">
        <v>0.92400000000000004</v>
      </c>
      <c r="AH52">
        <v>2</v>
      </c>
      <c r="AI52">
        <v>60258806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ROW(Source!A80)</f>
        <v>80</v>
      </c>
      <c r="B53">
        <v>60259005</v>
      </c>
      <c r="C53">
        <v>60258809</v>
      </c>
      <c r="D53">
        <v>58999254</v>
      </c>
      <c r="E53">
        <v>1080</v>
      </c>
      <c r="F53">
        <v>1</v>
      </c>
      <c r="G53">
        <v>1080</v>
      </c>
      <c r="H53">
        <v>1</v>
      </c>
      <c r="I53" t="s">
        <v>268</v>
      </c>
      <c r="J53" t="s">
        <v>3</v>
      </c>
      <c r="K53" t="s">
        <v>269</v>
      </c>
      <c r="L53">
        <v>1191</v>
      </c>
      <c r="N53">
        <v>1013</v>
      </c>
      <c r="O53" t="s">
        <v>270</v>
      </c>
      <c r="P53" t="s">
        <v>270</v>
      </c>
      <c r="Q53">
        <v>1</v>
      </c>
      <c r="X53">
        <v>1.2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24</v>
      </c>
      <c r="AG53">
        <v>1.32</v>
      </c>
      <c r="AH53">
        <v>2</v>
      </c>
      <c r="AI53">
        <v>60258810</v>
      </c>
      <c r="AJ53">
        <v>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ROW(Source!A81)</f>
        <v>81</v>
      </c>
      <c r="B54">
        <v>60259005</v>
      </c>
      <c r="C54">
        <v>60258809</v>
      </c>
      <c r="D54">
        <v>58999254</v>
      </c>
      <c r="E54">
        <v>1080</v>
      </c>
      <c r="F54">
        <v>1</v>
      </c>
      <c r="G54">
        <v>1080</v>
      </c>
      <c r="H54">
        <v>1</v>
      </c>
      <c r="I54" t="s">
        <v>268</v>
      </c>
      <c r="J54" t="s">
        <v>3</v>
      </c>
      <c r="K54" t="s">
        <v>269</v>
      </c>
      <c r="L54">
        <v>1191</v>
      </c>
      <c r="N54">
        <v>1013</v>
      </c>
      <c r="O54" t="s">
        <v>270</v>
      </c>
      <c r="P54" t="s">
        <v>270</v>
      </c>
      <c r="Q54">
        <v>1</v>
      </c>
      <c r="X54">
        <v>1.2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24</v>
      </c>
      <c r="AG54">
        <v>1.32</v>
      </c>
      <c r="AH54">
        <v>2</v>
      </c>
      <c r="AI54">
        <v>60258810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ROW(Source!A84)</f>
        <v>84</v>
      </c>
      <c r="B55">
        <v>60259006</v>
      </c>
      <c r="C55">
        <v>60258813</v>
      </c>
      <c r="D55">
        <v>58999254</v>
      </c>
      <c r="E55">
        <v>1080</v>
      </c>
      <c r="F55">
        <v>1</v>
      </c>
      <c r="G55">
        <v>1080</v>
      </c>
      <c r="H55">
        <v>1</v>
      </c>
      <c r="I55" t="s">
        <v>268</v>
      </c>
      <c r="J55" t="s">
        <v>3</v>
      </c>
      <c r="K55" t="s">
        <v>269</v>
      </c>
      <c r="L55">
        <v>1191</v>
      </c>
      <c r="N55">
        <v>1013</v>
      </c>
      <c r="O55" t="s">
        <v>270</v>
      </c>
      <c r="P55" t="s">
        <v>270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24</v>
      </c>
      <c r="AG55">
        <v>1.1000000000000001</v>
      </c>
      <c r="AH55">
        <v>2</v>
      </c>
      <c r="AI55">
        <v>60258814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ROW(Source!A84)</f>
        <v>84</v>
      </c>
      <c r="B56">
        <v>60259007</v>
      </c>
      <c r="C56">
        <v>60258813</v>
      </c>
      <c r="D56">
        <v>59037429</v>
      </c>
      <c r="E56">
        <v>1080</v>
      </c>
      <c r="F56">
        <v>1</v>
      </c>
      <c r="G56">
        <v>1080</v>
      </c>
      <c r="H56">
        <v>3</v>
      </c>
      <c r="I56" t="s">
        <v>342</v>
      </c>
      <c r="J56" t="s">
        <v>3</v>
      </c>
      <c r="K56" t="s">
        <v>343</v>
      </c>
      <c r="L56">
        <v>1354</v>
      </c>
      <c r="N56">
        <v>1010</v>
      </c>
      <c r="O56" t="s">
        <v>249</v>
      </c>
      <c r="P56" t="s">
        <v>249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23</v>
      </c>
      <c r="AG56">
        <v>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ROW(Source!A84)</f>
        <v>84</v>
      </c>
      <c r="B57">
        <v>60259008</v>
      </c>
      <c r="C57">
        <v>60258813</v>
      </c>
      <c r="D57">
        <v>59004256</v>
      </c>
      <c r="E57">
        <v>1080</v>
      </c>
      <c r="F57">
        <v>1</v>
      </c>
      <c r="G57">
        <v>1080</v>
      </c>
      <c r="H57">
        <v>3</v>
      </c>
      <c r="I57" t="s">
        <v>292</v>
      </c>
      <c r="J57" t="s">
        <v>3</v>
      </c>
      <c r="K57" t="s">
        <v>293</v>
      </c>
      <c r="L57">
        <v>1348</v>
      </c>
      <c r="N57">
        <v>1009</v>
      </c>
      <c r="O57" t="s">
        <v>274</v>
      </c>
      <c r="P57" t="s">
        <v>274</v>
      </c>
      <c r="Q57">
        <v>1000</v>
      </c>
      <c r="X57">
        <v>1.6000000000000001E-4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23</v>
      </c>
      <c r="AG57">
        <v>1.6000000000000001E-4</v>
      </c>
      <c r="AH57">
        <v>2</v>
      </c>
      <c r="AI57">
        <v>60258815</v>
      </c>
      <c r="AJ57">
        <v>48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ROW(Source!A85)</f>
        <v>85</v>
      </c>
      <c r="B58">
        <v>60259006</v>
      </c>
      <c r="C58">
        <v>60258813</v>
      </c>
      <c r="D58">
        <v>58999254</v>
      </c>
      <c r="E58">
        <v>1080</v>
      </c>
      <c r="F58">
        <v>1</v>
      </c>
      <c r="G58">
        <v>1080</v>
      </c>
      <c r="H58">
        <v>1</v>
      </c>
      <c r="I58" t="s">
        <v>268</v>
      </c>
      <c r="J58" t="s">
        <v>3</v>
      </c>
      <c r="K58" t="s">
        <v>269</v>
      </c>
      <c r="L58">
        <v>1191</v>
      </c>
      <c r="N58">
        <v>1013</v>
      </c>
      <c r="O58" t="s">
        <v>270</v>
      </c>
      <c r="P58" t="s">
        <v>270</v>
      </c>
      <c r="Q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24</v>
      </c>
      <c r="AG58">
        <v>1.1000000000000001</v>
      </c>
      <c r="AH58">
        <v>2</v>
      </c>
      <c r="AI58">
        <v>60258814</v>
      </c>
      <c r="AJ58">
        <v>49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ROW(Source!A85)</f>
        <v>85</v>
      </c>
      <c r="B59">
        <v>60259007</v>
      </c>
      <c r="C59">
        <v>60258813</v>
      </c>
      <c r="D59">
        <v>59037429</v>
      </c>
      <c r="E59">
        <v>1080</v>
      </c>
      <c r="F59">
        <v>1</v>
      </c>
      <c r="G59">
        <v>1080</v>
      </c>
      <c r="H59">
        <v>3</v>
      </c>
      <c r="I59" t="s">
        <v>342</v>
      </c>
      <c r="J59" t="s">
        <v>3</v>
      </c>
      <c r="K59" t="s">
        <v>343</v>
      </c>
      <c r="L59">
        <v>1354</v>
      </c>
      <c r="N59">
        <v>1010</v>
      </c>
      <c r="O59" t="s">
        <v>249</v>
      </c>
      <c r="P59" t="s">
        <v>249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23</v>
      </c>
      <c r="AG59">
        <v>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ROW(Source!A85)</f>
        <v>85</v>
      </c>
      <c r="B60">
        <v>60259008</v>
      </c>
      <c r="C60">
        <v>60258813</v>
      </c>
      <c r="D60">
        <v>59004256</v>
      </c>
      <c r="E60">
        <v>1080</v>
      </c>
      <c r="F60">
        <v>1</v>
      </c>
      <c r="G60">
        <v>1080</v>
      </c>
      <c r="H60">
        <v>3</v>
      </c>
      <c r="I60" t="s">
        <v>292</v>
      </c>
      <c r="J60" t="s">
        <v>3</v>
      </c>
      <c r="K60" t="s">
        <v>293</v>
      </c>
      <c r="L60">
        <v>1348</v>
      </c>
      <c r="N60">
        <v>1009</v>
      </c>
      <c r="O60" t="s">
        <v>274</v>
      </c>
      <c r="P60" t="s">
        <v>274</v>
      </c>
      <c r="Q60">
        <v>1000</v>
      </c>
      <c r="X60">
        <v>1.6000000000000001E-4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23</v>
      </c>
      <c r="AG60">
        <v>1.6000000000000001E-4</v>
      </c>
      <c r="AH60">
        <v>2</v>
      </c>
      <c r="AI60">
        <v>60258815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ROW(Source!A88)</f>
        <v>88</v>
      </c>
      <c r="B61">
        <v>60259009</v>
      </c>
      <c r="C61">
        <v>60258820</v>
      </c>
      <c r="D61">
        <v>58999254</v>
      </c>
      <c r="E61">
        <v>1080</v>
      </c>
      <c r="F61">
        <v>1</v>
      </c>
      <c r="G61">
        <v>1080</v>
      </c>
      <c r="H61">
        <v>1</v>
      </c>
      <c r="I61" t="s">
        <v>268</v>
      </c>
      <c r="J61" t="s">
        <v>3</v>
      </c>
      <c r="K61" t="s">
        <v>269</v>
      </c>
      <c r="L61">
        <v>1191</v>
      </c>
      <c r="N61">
        <v>1013</v>
      </c>
      <c r="O61" t="s">
        <v>270</v>
      </c>
      <c r="P61" t="s">
        <v>270</v>
      </c>
      <c r="Q61">
        <v>1</v>
      </c>
      <c r="X61">
        <v>84.67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24</v>
      </c>
      <c r="AG61">
        <v>93.137000000000015</v>
      </c>
      <c r="AH61">
        <v>2</v>
      </c>
      <c r="AI61">
        <v>60258821</v>
      </c>
      <c r="AJ61">
        <v>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ROW(Source!A88)</f>
        <v>88</v>
      </c>
      <c r="B62">
        <v>60259010</v>
      </c>
      <c r="C62">
        <v>60258820</v>
      </c>
      <c r="D62">
        <v>59070669</v>
      </c>
      <c r="E62">
        <v>1</v>
      </c>
      <c r="F62">
        <v>1</v>
      </c>
      <c r="G62">
        <v>1080</v>
      </c>
      <c r="H62">
        <v>2</v>
      </c>
      <c r="I62" t="s">
        <v>294</v>
      </c>
      <c r="J62" t="s">
        <v>295</v>
      </c>
      <c r="K62" t="s">
        <v>296</v>
      </c>
      <c r="L62">
        <v>1368</v>
      </c>
      <c r="N62">
        <v>1011</v>
      </c>
      <c r="O62" t="s">
        <v>297</v>
      </c>
      <c r="P62" t="s">
        <v>297</v>
      </c>
      <c r="Q62">
        <v>1</v>
      </c>
      <c r="X62">
        <v>1.03</v>
      </c>
      <c r="Y62">
        <v>0</v>
      </c>
      <c r="Z62">
        <v>83.1</v>
      </c>
      <c r="AA62">
        <v>12.62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1.1330000000000002</v>
      </c>
      <c r="AH62">
        <v>2</v>
      </c>
      <c r="AI62">
        <v>60258822</v>
      </c>
      <c r="AJ62">
        <v>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ROW(Source!A88)</f>
        <v>88</v>
      </c>
      <c r="B63">
        <v>60259011</v>
      </c>
      <c r="C63">
        <v>60258820</v>
      </c>
      <c r="D63">
        <v>59070782</v>
      </c>
      <c r="E63">
        <v>1</v>
      </c>
      <c r="F63">
        <v>1</v>
      </c>
      <c r="G63">
        <v>1080</v>
      </c>
      <c r="H63">
        <v>2</v>
      </c>
      <c r="I63" t="s">
        <v>299</v>
      </c>
      <c r="J63" t="s">
        <v>300</v>
      </c>
      <c r="K63" t="s">
        <v>301</v>
      </c>
      <c r="L63">
        <v>1368</v>
      </c>
      <c r="N63">
        <v>1011</v>
      </c>
      <c r="O63" t="s">
        <v>297</v>
      </c>
      <c r="P63" t="s">
        <v>297</v>
      </c>
      <c r="Q63">
        <v>1</v>
      </c>
      <c r="X63">
        <v>22.08</v>
      </c>
      <c r="Y63">
        <v>0</v>
      </c>
      <c r="Z63">
        <v>0.35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24.288</v>
      </c>
      <c r="AH63">
        <v>2</v>
      </c>
      <c r="AI63">
        <v>60258823</v>
      </c>
      <c r="AJ63">
        <v>53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ROW(Source!A88)</f>
        <v>88</v>
      </c>
      <c r="B64">
        <v>60259012</v>
      </c>
      <c r="C64">
        <v>60258820</v>
      </c>
      <c r="D64">
        <v>59040093</v>
      </c>
      <c r="E64">
        <v>1</v>
      </c>
      <c r="F64">
        <v>1</v>
      </c>
      <c r="G64">
        <v>1080</v>
      </c>
      <c r="H64">
        <v>3</v>
      </c>
      <c r="I64" t="s">
        <v>302</v>
      </c>
      <c r="J64" t="s">
        <v>303</v>
      </c>
      <c r="K64" t="s">
        <v>304</v>
      </c>
      <c r="L64">
        <v>1346</v>
      </c>
      <c r="N64">
        <v>1009</v>
      </c>
      <c r="O64" t="s">
        <v>282</v>
      </c>
      <c r="P64" t="s">
        <v>282</v>
      </c>
      <c r="Q64">
        <v>1</v>
      </c>
      <c r="X64">
        <v>0.21</v>
      </c>
      <c r="Y64">
        <v>159.06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23</v>
      </c>
      <c r="AG64">
        <v>0.21</v>
      </c>
      <c r="AH64">
        <v>2</v>
      </c>
      <c r="AI64">
        <v>60258824</v>
      </c>
      <c r="AJ64">
        <v>54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ROW(Source!A88)</f>
        <v>88</v>
      </c>
      <c r="B65">
        <v>60259013</v>
      </c>
      <c r="C65">
        <v>60258820</v>
      </c>
      <c r="D65">
        <v>59039008</v>
      </c>
      <c r="E65">
        <v>1</v>
      </c>
      <c r="F65">
        <v>1</v>
      </c>
      <c r="G65">
        <v>1080</v>
      </c>
      <c r="H65">
        <v>3</v>
      </c>
      <c r="I65" t="s">
        <v>305</v>
      </c>
      <c r="J65" t="s">
        <v>306</v>
      </c>
      <c r="K65" t="s">
        <v>307</v>
      </c>
      <c r="L65">
        <v>1354</v>
      </c>
      <c r="N65">
        <v>1010</v>
      </c>
      <c r="O65" t="s">
        <v>249</v>
      </c>
      <c r="P65" t="s">
        <v>249</v>
      </c>
      <c r="Q65">
        <v>1</v>
      </c>
      <c r="X65">
        <v>4.08</v>
      </c>
      <c r="Y65">
        <v>0.89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23</v>
      </c>
      <c r="AG65">
        <v>4.08</v>
      </c>
      <c r="AH65">
        <v>2</v>
      </c>
      <c r="AI65">
        <v>60258825</v>
      </c>
      <c r="AJ65">
        <v>55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ROW(Source!A88)</f>
        <v>88</v>
      </c>
      <c r="B66">
        <v>60259014</v>
      </c>
      <c r="C66">
        <v>60258820</v>
      </c>
      <c r="D66">
        <v>59068333</v>
      </c>
      <c r="E66">
        <v>1</v>
      </c>
      <c r="F66">
        <v>1</v>
      </c>
      <c r="G66">
        <v>1080</v>
      </c>
      <c r="H66">
        <v>3</v>
      </c>
      <c r="I66" t="s">
        <v>308</v>
      </c>
      <c r="J66" t="s">
        <v>309</v>
      </c>
      <c r="K66" t="s">
        <v>310</v>
      </c>
      <c r="L66">
        <v>1303</v>
      </c>
      <c r="N66">
        <v>1003</v>
      </c>
      <c r="O66" t="s">
        <v>229</v>
      </c>
      <c r="P66" t="s">
        <v>229</v>
      </c>
      <c r="Q66">
        <v>1000</v>
      </c>
      <c r="X66">
        <v>1.5299999999999999E-2</v>
      </c>
      <c r="Y66">
        <v>2897.31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23</v>
      </c>
      <c r="AG66">
        <v>1.5299999999999999E-2</v>
      </c>
      <c r="AH66">
        <v>2</v>
      </c>
      <c r="AI66">
        <v>60258826</v>
      </c>
      <c r="AJ66">
        <v>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ROW(Source!A88)</f>
        <v>88</v>
      </c>
      <c r="B67">
        <v>60259015</v>
      </c>
      <c r="C67">
        <v>60258820</v>
      </c>
      <c r="D67">
        <v>59013951</v>
      </c>
      <c r="E67">
        <v>1080</v>
      </c>
      <c r="F67">
        <v>1</v>
      </c>
      <c r="G67">
        <v>1080</v>
      </c>
      <c r="H67">
        <v>3</v>
      </c>
      <c r="I67" t="s">
        <v>344</v>
      </c>
      <c r="J67" t="s">
        <v>3</v>
      </c>
      <c r="K67" t="s">
        <v>345</v>
      </c>
      <c r="L67">
        <v>1354</v>
      </c>
      <c r="N67">
        <v>1010</v>
      </c>
      <c r="O67" t="s">
        <v>249</v>
      </c>
      <c r="P67" t="s">
        <v>249</v>
      </c>
      <c r="Q67">
        <v>1</v>
      </c>
      <c r="X67">
        <v>100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23</v>
      </c>
      <c r="AG67">
        <v>100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ROW(Source!A88)</f>
        <v>88</v>
      </c>
      <c r="B68">
        <v>60259016</v>
      </c>
      <c r="C68">
        <v>60258820</v>
      </c>
      <c r="D68">
        <v>59014482</v>
      </c>
      <c r="E68">
        <v>1080</v>
      </c>
      <c r="F68">
        <v>1</v>
      </c>
      <c r="G68">
        <v>1080</v>
      </c>
      <c r="H68">
        <v>3</v>
      </c>
      <c r="I68" t="s">
        <v>346</v>
      </c>
      <c r="J68" t="s">
        <v>3</v>
      </c>
      <c r="K68" t="s">
        <v>347</v>
      </c>
      <c r="L68">
        <v>1358</v>
      </c>
      <c r="N68">
        <v>1010</v>
      </c>
      <c r="O68" t="s">
        <v>348</v>
      </c>
      <c r="P68" t="s">
        <v>348</v>
      </c>
      <c r="Q68">
        <v>10</v>
      </c>
      <c r="X68">
        <v>10.199999999999999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23</v>
      </c>
      <c r="AG68">
        <v>10.199999999999999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ROW(Source!A89)</f>
        <v>89</v>
      </c>
      <c r="B69">
        <v>60259009</v>
      </c>
      <c r="C69">
        <v>60258820</v>
      </c>
      <c r="D69">
        <v>58999254</v>
      </c>
      <c r="E69">
        <v>1080</v>
      </c>
      <c r="F69">
        <v>1</v>
      </c>
      <c r="G69">
        <v>1080</v>
      </c>
      <c r="H69">
        <v>1</v>
      </c>
      <c r="I69" t="s">
        <v>268</v>
      </c>
      <c r="J69" t="s">
        <v>3</v>
      </c>
      <c r="K69" t="s">
        <v>269</v>
      </c>
      <c r="L69">
        <v>1191</v>
      </c>
      <c r="N69">
        <v>1013</v>
      </c>
      <c r="O69" t="s">
        <v>270</v>
      </c>
      <c r="P69" t="s">
        <v>270</v>
      </c>
      <c r="Q69">
        <v>1</v>
      </c>
      <c r="X69">
        <v>84.67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24</v>
      </c>
      <c r="AG69">
        <v>93.137000000000015</v>
      </c>
      <c r="AH69">
        <v>2</v>
      </c>
      <c r="AI69">
        <v>60258821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ROW(Source!A89)</f>
        <v>89</v>
      </c>
      <c r="B70">
        <v>60259010</v>
      </c>
      <c r="C70">
        <v>60258820</v>
      </c>
      <c r="D70">
        <v>59070669</v>
      </c>
      <c r="E70">
        <v>1</v>
      </c>
      <c r="F70">
        <v>1</v>
      </c>
      <c r="G70">
        <v>1080</v>
      </c>
      <c r="H70">
        <v>2</v>
      </c>
      <c r="I70" t="s">
        <v>294</v>
      </c>
      <c r="J70" t="s">
        <v>295</v>
      </c>
      <c r="K70" t="s">
        <v>296</v>
      </c>
      <c r="L70">
        <v>1368</v>
      </c>
      <c r="N70">
        <v>1011</v>
      </c>
      <c r="O70" t="s">
        <v>297</v>
      </c>
      <c r="P70" t="s">
        <v>297</v>
      </c>
      <c r="Q70">
        <v>1</v>
      </c>
      <c r="X70">
        <v>1.03</v>
      </c>
      <c r="Y70">
        <v>0</v>
      </c>
      <c r="Z70">
        <v>83.1</v>
      </c>
      <c r="AA70">
        <v>12.62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1.1330000000000002</v>
      </c>
      <c r="AH70">
        <v>2</v>
      </c>
      <c r="AI70">
        <v>60258822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ROW(Source!A89)</f>
        <v>89</v>
      </c>
      <c r="B71">
        <v>60259011</v>
      </c>
      <c r="C71">
        <v>60258820</v>
      </c>
      <c r="D71">
        <v>59070782</v>
      </c>
      <c r="E71">
        <v>1</v>
      </c>
      <c r="F71">
        <v>1</v>
      </c>
      <c r="G71">
        <v>1080</v>
      </c>
      <c r="H71">
        <v>2</v>
      </c>
      <c r="I71" t="s">
        <v>299</v>
      </c>
      <c r="J71" t="s">
        <v>300</v>
      </c>
      <c r="K71" t="s">
        <v>301</v>
      </c>
      <c r="L71">
        <v>1368</v>
      </c>
      <c r="N71">
        <v>1011</v>
      </c>
      <c r="O71" t="s">
        <v>297</v>
      </c>
      <c r="P71" t="s">
        <v>297</v>
      </c>
      <c r="Q71">
        <v>1</v>
      </c>
      <c r="X71">
        <v>22.08</v>
      </c>
      <c r="Y71">
        <v>0</v>
      </c>
      <c r="Z71">
        <v>0.35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24.288</v>
      </c>
      <c r="AH71">
        <v>2</v>
      </c>
      <c r="AI71">
        <v>60258823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ROW(Source!A89)</f>
        <v>89</v>
      </c>
      <c r="B72">
        <v>60259012</v>
      </c>
      <c r="C72">
        <v>60258820</v>
      </c>
      <c r="D72">
        <v>59040093</v>
      </c>
      <c r="E72">
        <v>1</v>
      </c>
      <c r="F72">
        <v>1</v>
      </c>
      <c r="G72">
        <v>1080</v>
      </c>
      <c r="H72">
        <v>3</v>
      </c>
      <c r="I72" t="s">
        <v>302</v>
      </c>
      <c r="J72" t="s">
        <v>303</v>
      </c>
      <c r="K72" t="s">
        <v>304</v>
      </c>
      <c r="L72">
        <v>1346</v>
      </c>
      <c r="N72">
        <v>1009</v>
      </c>
      <c r="O72" t="s">
        <v>282</v>
      </c>
      <c r="P72" t="s">
        <v>282</v>
      </c>
      <c r="Q72">
        <v>1</v>
      </c>
      <c r="X72">
        <v>0.21</v>
      </c>
      <c r="Y72">
        <v>159.06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23</v>
      </c>
      <c r="AG72">
        <v>0.21</v>
      </c>
      <c r="AH72">
        <v>2</v>
      </c>
      <c r="AI72">
        <v>60258824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ROW(Source!A89)</f>
        <v>89</v>
      </c>
      <c r="B73">
        <v>60259013</v>
      </c>
      <c r="C73">
        <v>60258820</v>
      </c>
      <c r="D73">
        <v>59039008</v>
      </c>
      <c r="E73">
        <v>1</v>
      </c>
      <c r="F73">
        <v>1</v>
      </c>
      <c r="G73">
        <v>1080</v>
      </c>
      <c r="H73">
        <v>3</v>
      </c>
      <c r="I73" t="s">
        <v>305</v>
      </c>
      <c r="J73" t="s">
        <v>306</v>
      </c>
      <c r="K73" t="s">
        <v>307</v>
      </c>
      <c r="L73">
        <v>1354</v>
      </c>
      <c r="N73">
        <v>1010</v>
      </c>
      <c r="O73" t="s">
        <v>249</v>
      </c>
      <c r="P73" t="s">
        <v>249</v>
      </c>
      <c r="Q73">
        <v>1</v>
      </c>
      <c r="X73">
        <v>4.08</v>
      </c>
      <c r="Y73">
        <v>0.89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23</v>
      </c>
      <c r="AG73">
        <v>4.08</v>
      </c>
      <c r="AH73">
        <v>2</v>
      </c>
      <c r="AI73">
        <v>60258825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ROW(Source!A89)</f>
        <v>89</v>
      </c>
      <c r="B74">
        <v>60259014</v>
      </c>
      <c r="C74">
        <v>60258820</v>
      </c>
      <c r="D74">
        <v>59068333</v>
      </c>
      <c r="E74">
        <v>1</v>
      </c>
      <c r="F74">
        <v>1</v>
      </c>
      <c r="G74">
        <v>1080</v>
      </c>
      <c r="H74">
        <v>3</v>
      </c>
      <c r="I74" t="s">
        <v>308</v>
      </c>
      <c r="J74" t="s">
        <v>309</v>
      </c>
      <c r="K74" t="s">
        <v>310</v>
      </c>
      <c r="L74">
        <v>1303</v>
      </c>
      <c r="N74">
        <v>1003</v>
      </c>
      <c r="O74" t="s">
        <v>229</v>
      </c>
      <c r="P74" t="s">
        <v>229</v>
      </c>
      <c r="Q74">
        <v>1000</v>
      </c>
      <c r="X74">
        <v>1.5299999999999999E-2</v>
      </c>
      <c r="Y74">
        <v>2897.31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23</v>
      </c>
      <c r="AG74">
        <v>1.5299999999999999E-2</v>
      </c>
      <c r="AH74">
        <v>2</v>
      </c>
      <c r="AI74">
        <v>60258826</v>
      </c>
      <c r="AJ74">
        <v>62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ROW(Source!A89)</f>
        <v>89</v>
      </c>
      <c r="B75">
        <v>60259015</v>
      </c>
      <c r="C75">
        <v>60258820</v>
      </c>
      <c r="D75">
        <v>59013951</v>
      </c>
      <c r="E75">
        <v>1080</v>
      </c>
      <c r="F75">
        <v>1</v>
      </c>
      <c r="G75">
        <v>1080</v>
      </c>
      <c r="H75">
        <v>3</v>
      </c>
      <c r="I75" t="s">
        <v>344</v>
      </c>
      <c r="J75" t="s">
        <v>3</v>
      </c>
      <c r="K75" t="s">
        <v>345</v>
      </c>
      <c r="L75">
        <v>1354</v>
      </c>
      <c r="N75">
        <v>1010</v>
      </c>
      <c r="O75" t="s">
        <v>249</v>
      </c>
      <c r="P75" t="s">
        <v>249</v>
      </c>
      <c r="Q75">
        <v>1</v>
      </c>
      <c r="X75">
        <v>100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23</v>
      </c>
      <c r="AG75">
        <v>100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ROW(Source!A89)</f>
        <v>89</v>
      </c>
      <c r="B76">
        <v>60259016</v>
      </c>
      <c r="C76">
        <v>60258820</v>
      </c>
      <c r="D76">
        <v>59014482</v>
      </c>
      <c r="E76">
        <v>1080</v>
      </c>
      <c r="F76">
        <v>1</v>
      </c>
      <c r="G76">
        <v>1080</v>
      </c>
      <c r="H76">
        <v>3</v>
      </c>
      <c r="I76" t="s">
        <v>346</v>
      </c>
      <c r="J76" t="s">
        <v>3</v>
      </c>
      <c r="K76" t="s">
        <v>347</v>
      </c>
      <c r="L76">
        <v>1358</v>
      </c>
      <c r="N76">
        <v>1010</v>
      </c>
      <c r="O76" t="s">
        <v>348</v>
      </c>
      <c r="P76" t="s">
        <v>348</v>
      </c>
      <c r="Q76">
        <v>10</v>
      </c>
      <c r="X76">
        <v>10.199999999999999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23</v>
      </c>
      <c r="AG76">
        <v>10.199999999999999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ROW(Source!A127)</f>
        <v>127</v>
      </c>
      <c r="B77">
        <v>61620523</v>
      </c>
      <c r="C77">
        <v>61620486</v>
      </c>
      <c r="D77">
        <v>58999254</v>
      </c>
      <c r="E77">
        <v>1080</v>
      </c>
      <c r="F77">
        <v>1</v>
      </c>
      <c r="G77">
        <v>1080</v>
      </c>
      <c r="H77">
        <v>1</v>
      </c>
      <c r="I77" t="s">
        <v>268</v>
      </c>
      <c r="J77" t="s">
        <v>3</v>
      </c>
      <c r="K77" t="s">
        <v>269</v>
      </c>
      <c r="L77">
        <v>1191</v>
      </c>
      <c r="N77">
        <v>1013</v>
      </c>
      <c r="O77" t="s">
        <v>270</v>
      </c>
      <c r="P77" t="s">
        <v>270</v>
      </c>
      <c r="Q77">
        <v>1</v>
      </c>
      <c r="X77">
        <v>24.76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24</v>
      </c>
      <c r="AG77">
        <v>27.236000000000004</v>
      </c>
      <c r="AH77">
        <v>2</v>
      </c>
      <c r="AI77">
        <v>61620523</v>
      </c>
      <c r="AJ77">
        <v>63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ROW(Source!A127)</f>
        <v>127</v>
      </c>
      <c r="B78">
        <v>61620524</v>
      </c>
      <c r="C78">
        <v>61620486</v>
      </c>
      <c r="D78">
        <v>59070721</v>
      </c>
      <c r="E78">
        <v>1</v>
      </c>
      <c r="F78">
        <v>1</v>
      </c>
      <c r="G78">
        <v>1080</v>
      </c>
      <c r="H78">
        <v>2</v>
      </c>
      <c r="I78" t="s">
        <v>311</v>
      </c>
      <c r="J78" t="s">
        <v>312</v>
      </c>
      <c r="K78" t="s">
        <v>313</v>
      </c>
      <c r="L78">
        <v>1368</v>
      </c>
      <c r="N78">
        <v>1011</v>
      </c>
      <c r="O78" t="s">
        <v>297</v>
      </c>
      <c r="P78" t="s">
        <v>297</v>
      </c>
      <c r="Q78">
        <v>1</v>
      </c>
      <c r="X78">
        <v>2.44</v>
      </c>
      <c r="Y78">
        <v>0</v>
      </c>
      <c r="Z78">
        <v>0.77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24</v>
      </c>
      <c r="AG78">
        <v>2.6840000000000002</v>
      </c>
      <c r="AH78">
        <v>2</v>
      </c>
      <c r="AI78">
        <v>61620524</v>
      </c>
      <c r="AJ78">
        <v>64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ROW(Source!A127)</f>
        <v>127</v>
      </c>
      <c r="B79">
        <v>61620525</v>
      </c>
      <c r="C79">
        <v>61620486</v>
      </c>
      <c r="D79">
        <v>59070754</v>
      </c>
      <c r="E79">
        <v>1</v>
      </c>
      <c r="F79">
        <v>1</v>
      </c>
      <c r="G79">
        <v>1080</v>
      </c>
      <c r="H79">
        <v>2</v>
      </c>
      <c r="I79" t="s">
        <v>314</v>
      </c>
      <c r="J79" t="s">
        <v>315</v>
      </c>
      <c r="K79" t="s">
        <v>316</v>
      </c>
      <c r="L79">
        <v>1368</v>
      </c>
      <c r="N79">
        <v>1011</v>
      </c>
      <c r="O79" t="s">
        <v>297</v>
      </c>
      <c r="P79" t="s">
        <v>297</v>
      </c>
      <c r="Q79">
        <v>1</v>
      </c>
      <c r="X79">
        <v>4.63</v>
      </c>
      <c r="Y79">
        <v>0</v>
      </c>
      <c r="Z79">
        <v>0.47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24</v>
      </c>
      <c r="AG79">
        <v>5.093</v>
      </c>
      <c r="AH79">
        <v>2</v>
      </c>
      <c r="AI79">
        <v>61620525</v>
      </c>
      <c r="AJ79">
        <v>65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ROW(Source!A127)</f>
        <v>127</v>
      </c>
      <c r="B80">
        <v>61620526</v>
      </c>
      <c r="C80">
        <v>61620486</v>
      </c>
      <c r="D80">
        <v>59062734</v>
      </c>
      <c r="E80">
        <v>1</v>
      </c>
      <c r="F80">
        <v>1</v>
      </c>
      <c r="G80">
        <v>1080</v>
      </c>
      <c r="H80">
        <v>3</v>
      </c>
      <c r="I80" t="s">
        <v>317</v>
      </c>
      <c r="J80" t="s">
        <v>318</v>
      </c>
      <c r="K80" t="s">
        <v>319</v>
      </c>
      <c r="L80">
        <v>1356</v>
      </c>
      <c r="N80">
        <v>1010</v>
      </c>
      <c r="O80" t="s">
        <v>320</v>
      </c>
      <c r="P80" t="s">
        <v>320</v>
      </c>
      <c r="Q80">
        <v>1000</v>
      </c>
      <c r="X80">
        <v>3.1E-2</v>
      </c>
      <c r="Y80">
        <v>226.66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3.1E-2</v>
      </c>
      <c r="AH80">
        <v>2</v>
      </c>
      <c r="AI80">
        <v>61620526</v>
      </c>
      <c r="AJ80">
        <v>68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ROW(Source!A127)</f>
        <v>127</v>
      </c>
      <c r="B81">
        <v>61620527</v>
      </c>
      <c r="C81">
        <v>61620486</v>
      </c>
      <c r="D81">
        <v>59062508</v>
      </c>
      <c r="E81">
        <v>1</v>
      </c>
      <c r="F81">
        <v>1</v>
      </c>
      <c r="G81">
        <v>1080</v>
      </c>
      <c r="H81">
        <v>3</v>
      </c>
      <c r="I81" t="s">
        <v>321</v>
      </c>
      <c r="J81" t="s">
        <v>322</v>
      </c>
      <c r="K81" t="s">
        <v>323</v>
      </c>
      <c r="L81">
        <v>1355</v>
      </c>
      <c r="N81">
        <v>1010</v>
      </c>
      <c r="O81" t="s">
        <v>140</v>
      </c>
      <c r="P81" t="s">
        <v>140</v>
      </c>
      <c r="Q81">
        <v>100</v>
      </c>
      <c r="X81">
        <v>0.315</v>
      </c>
      <c r="Y81">
        <v>26.71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0.315</v>
      </c>
      <c r="AH81">
        <v>2</v>
      </c>
      <c r="AI81">
        <v>61620527</v>
      </c>
      <c r="AJ81">
        <v>69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ROW(Source!A127)</f>
        <v>127</v>
      </c>
      <c r="B82">
        <v>61620528</v>
      </c>
      <c r="C82">
        <v>61620486</v>
      </c>
      <c r="D82">
        <v>59049364</v>
      </c>
      <c r="E82">
        <v>1</v>
      </c>
      <c r="F82">
        <v>1</v>
      </c>
      <c r="G82">
        <v>1080</v>
      </c>
      <c r="H82">
        <v>3</v>
      </c>
      <c r="I82" t="s">
        <v>324</v>
      </c>
      <c r="J82" t="s">
        <v>325</v>
      </c>
      <c r="K82" t="s">
        <v>326</v>
      </c>
      <c r="L82">
        <v>1354</v>
      </c>
      <c r="N82">
        <v>1010</v>
      </c>
      <c r="O82" t="s">
        <v>249</v>
      </c>
      <c r="P82" t="s">
        <v>249</v>
      </c>
      <c r="Q82">
        <v>1</v>
      </c>
      <c r="X82">
        <v>0.28000000000000003</v>
      </c>
      <c r="Y82">
        <v>14.22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0.28000000000000003</v>
      </c>
      <c r="AH82">
        <v>2</v>
      </c>
      <c r="AI82">
        <v>61620528</v>
      </c>
      <c r="AJ82">
        <v>70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ROW(Source!A127)</f>
        <v>127</v>
      </c>
      <c r="B83">
        <v>61620529</v>
      </c>
      <c r="C83">
        <v>61620486</v>
      </c>
      <c r="D83">
        <v>59008659</v>
      </c>
      <c r="E83">
        <v>1080</v>
      </c>
      <c r="F83">
        <v>1</v>
      </c>
      <c r="G83">
        <v>1080</v>
      </c>
      <c r="H83">
        <v>3</v>
      </c>
      <c r="I83" t="s">
        <v>349</v>
      </c>
      <c r="J83" t="s">
        <v>3</v>
      </c>
      <c r="K83" t="s">
        <v>350</v>
      </c>
      <c r="L83">
        <v>1301</v>
      </c>
      <c r="N83">
        <v>1003</v>
      </c>
      <c r="O83" t="s">
        <v>212</v>
      </c>
      <c r="P83" t="s">
        <v>212</v>
      </c>
      <c r="Q83">
        <v>1</v>
      </c>
      <c r="X83">
        <v>102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102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ROW(Source!A127)</f>
        <v>127</v>
      </c>
      <c r="B84">
        <v>61620530</v>
      </c>
      <c r="C84">
        <v>61620486</v>
      </c>
      <c r="D84">
        <v>59013737</v>
      </c>
      <c r="E84">
        <v>1080</v>
      </c>
      <c r="F84">
        <v>1</v>
      </c>
      <c r="G84">
        <v>1080</v>
      </c>
      <c r="H84">
        <v>3</v>
      </c>
      <c r="I84" t="s">
        <v>351</v>
      </c>
      <c r="J84" t="s">
        <v>3</v>
      </c>
      <c r="K84" t="s">
        <v>352</v>
      </c>
      <c r="L84">
        <v>1356</v>
      </c>
      <c r="N84">
        <v>1010</v>
      </c>
      <c r="O84" t="s">
        <v>320</v>
      </c>
      <c r="P84" t="s">
        <v>320</v>
      </c>
      <c r="Q84">
        <v>1000</v>
      </c>
      <c r="X84">
        <v>0.23799999999999999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</v>
      </c>
      <c r="AG84">
        <v>0.23799999999999999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ROW(Source!A127)</f>
        <v>127</v>
      </c>
      <c r="B85">
        <v>61620531</v>
      </c>
      <c r="C85">
        <v>61620486</v>
      </c>
      <c r="D85">
        <v>59019228</v>
      </c>
      <c r="E85">
        <v>1080</v>
      </c>
      <c r="F85">
        <v>1</v>
      </c>
      <c r="G85">
        <v>1080</v>
      </c>
      <c r="H85">
        <v>3</v>
      </c>
      <c r="I85" t="s">
        <v>353</v>
      </c>
      <c r="J85" t="s">
        <v>3</v>
      </c>
      <c r="K85" t="s">
        <v>354</v>
      </c>
      <c r="L85">
        <v>1303</v>
      </c>
      <c r="N85">
        <v>1003</v>
      </c>
      <c r="O85" t="s">
        <v>229</v>
      </c>
      <c r="P85" t="s">
        <v>229</v>
      </c>
      <c r="Q85">
        <v>1000</v>
      </c>
      <c r="X85">
        <v>0.10199999999999999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</v>
      </c>
      <c r="AG85">
        <v>0.10199999999999999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ROW(Source!A127)</f>
        <v>127</v>
      </c>
      <c r="B86">
        <v>61620532</v>
      </c>
      <c r="C86">
        <v>61620486</v>
      </c>
      <c r="D86">
        <v>59029455</v>
      </c>
      <c r="E86">
        <v>1080</v>
      </c>
      <c r="F86">
        <v>1</v>
      </c>
      <c r="G86">
        <v>1080</v>
      </c>
      <c r="H86">
        <v>3</v>
      </c>
      <c r="I86" t="s">
        <v>355</v>
      </c>
      <c r="J86" t="s">
        <v>3</v>
      </c>
      <c r="K86" t="s">
        <v>356</v>
      </c>
      <c r="L86">
        <v>1355</v>
      </c>
      <c r="N86">
        <v>1010</v>
      </c>
      <c r="O86" t="s">
        <v>140</v>
      </c>
      <c r="P86" t="s">
        <v>140</v>
      </c>
      <c r="Q86">
        <v>100</v>
      </c>
      <c r="X86">
        <v>2.36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</v>
      </c>
      <c r="AG86">
        <v>2.36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ROW(Source!A128)</f>
        <v>128</v>
      </c>
      <c r="B87">
        <v>61620523</v>
      </c>
      <c r="C87">
        <v>61620486</v>
      </c>
      <c r="D87">
        <v>58999254</v>
      </c>
      <c r="E87">
        <v>1080</v>
      </c>
      <c r="F87">
        <v>1</v>
      </c>
      <c r="G87">
        <v>1080</v>
      </c>
      <c r="H87">
        <v>1</v>
      </c>
      <c r="I87" t="s">
        <v>268</v>
      </c>
      <c r="J87" t="s">
        <v>3</v>
      </c>
      <c r="K87" t="s">
        <v>269</v>
      </c>
      <c r="L87">
        <v>1191</v>
      </c>
      <c r="N87">
        <v>1013</v>
      </c>
      <c r="O87" t="s">
        <v>270</v>
      </c>
      <c r="P87" t="s">
        <v>270</v>
      </c>
      <c r="Q87">
        <v>1</v>
      </c>
      <c r="X87">
        <v>24.76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24</v>
      </c>
      <c r="AG87">
        <v>27.236000000000004</v>
      </c>
      <c r="AH87">
        <v>2</v>
      </c>
      <c r="AI87">
        <v>61620523</v>
      </c>
      <c r="AJ87">
        <v>72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ROW(Source!A128)</f>
        <v>128</v>
      </c>
      <c r="B88">
        <v>61620524</v>
      </c>
      <c r="C88">
        <v>61620486</v>
      </c>
      <c r="D88">
        <v>59070721</v>
      </c>
      <c r="E88">
        <v>1</v>
      </c>
      <c r="F88">
        <v>1</v>
      </c>
      <c r="G88">
        <v>1080</v>
      </c>
      <c r="H88">
        <v>2</v>
      </c>
      <c r="I88" t="s">
        <v>311</v>
      </c>
      <c r="J88" t="s">
        <v>312</v>
      </c>
      <c r="K88" t="s">
        <v>313</v>
      </c>
      <c r="L88">
        <v>1368</v>
      </c>
      <c r="N88">
        <v>1011</v>
      </c>
      <c r="O88" t="s">
        <v>297</v>
      </c>
      <c r="P88" t="s">
        <v>297</v>
      </c>
      <c r="Q88">
        <v>1</v>
      </c>
      <c r="X88">
        <v>2.44</v>
      </c>
      <c r="Y88">
        <v>0</v>
      </c>
      <c r="Z88">
        <v>0.77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24</v>
      </c>
      <c r="AG88">
        <v>2.6840000000000002</v>
      </c>
      <c r="AH88">
        <v>2</v>
      </c>
      <c r="AI88">
        <v>61620524</v>
      </c>
      <c r="AJ88">
        <v>73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ROW(Source!A128)</f>
        <v>128</v>
      </c>
      <c r="B89">
        <v>61620525</v>
      </c>
      <c r="C89">
        <v>61620486</v>
      </c>
      <c r="D89">
        <v>59070754</v>
      </c>
      <c r="E89">
        <v>1</v>
      </c>
      <c r="F89">
        <v>1</v>
      </c>
      <c r="G89">
        <v>1080</v>
      </c>
      <c r="H89">
        <v>2</v>
      </c>
      <c r="I89" t="s">
        <v>314</v>
      </c>
      <c r="J89" t="s">
        <v>315</v>
      </c>
      <c r="K89" t="s">
        <v>316</v>
      </c>
      <c r="L89">
        <v>1368</v>
      </c>
      <c r="N89">
        <v>1011</v>
      </c>
      <c r="O89" t="s">
        <v>297</v>
      </c>
      <c r="P89" t="s">
        <v>297</v>
      </c>
      <c r="Q89">
        <v>1</v>
      </c>
      <c r="X89">
        <v>4.63</v>
      </c>
      <c r="Y89">
        <v>0</v>
      </c>
      <c r="Z89">
        <v>0.47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24</v>
      </c>
      <c r="AG89">
        <v>5.093</v>
      </c>
      <c r="AH89">
        <v>2</v>
      </c>
      <c r="AI89">
        <v>61620525</v>
      </c>
      <c r="AJ89">
        <v>74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ROW(Source!A128)</f>
        <v>128</v>
      </c>
      <c r="B90">
        <v>61620526</v>
      </c>
      <c r="C90">
        <v>61620486</v>
      </c>
      <c r="D90">
        <v>59062734</v>
      </c>
      <c r="E90">
        <v>1</v>
      </c>
      <c r="F90">
        <v>1</v>
      </c>
      <c r="G90">
        <v>1080</v>
      </c>
      <c r="H90">
        <v>3</v>
      </c>
      <c r="I90" t="s">
        <v>317</v>
      </c>
      <c r="J90" t="s">
        <v>318</v>
      </c>
      <c r="K90" t="s">
        <v>319</v>
      </c>
      <c r="L90">
        <v>1356</v>
      </c>
      <c r="N90">
        <v>1010</v>
      </c>
      <c r="O90" t="s">
        <v>320</v>
      </c>
      <c r="P90" t="s">
        <v>320</v>
      </c>
      <c r="Q90">
        <v>1000</v>
      </c>
      <c r="X90">
        <v>3.1E-2</v>
      </c>
      <c r="Y90">
        <v>226.66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3.1E-2</v>
      </c>
      <c r="AH90">
        <v>2</v>
      </c>
      <c r="AI90">
        <v>61620526</v>
      </c>
      <c r="AJ90">
        <v>77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ROW(Source!A128)</f>
        <v>128</v>
      </c>
      <c r="B91">
        <v>61620527</v>
      </c>
      <c r="C91">
        <v>61620486</v>
      </c>
      <c r="D91">
        <v>59062508</v>
      </c>
      <c r="E91">
        <v>1</v>
      </c>
      <c r="F91">
        <v>1</v>
      </c>
      <c r="G91">
        <v>1080</v>
      </c>
      <c r="H91">
        <v>3</v>
      </c>
      <c r="I91" t="s">
        <v>321</v>
      </c>
      <c r="J91" t="s">
        <v>322</v>
      </c>
      <c r="K91" t="s">
        <v>323</v>
      </c>
      <c r="L91">
        <v>1355</v>
      </c>
      <c r="N91">
        <v>1010</v>
      </c>
      <c r="O91" t="s">
        <v>140</v>
      </c>
      <c r="P91" t="s">
        <v>140</v>
      </c>
      <c r="Q91">
        <v>100</v>
      </c>
      <c r="X91">
        <v>0.315</v>
      </c>
      <c r="Y91">
        <v>26.71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0.315</v>
      </c>
      <c r="AH91">
        <v>2</v>
      </c>
      <c r="AI91">
        <v>61620527</v>
      </c>
      <c r="AJ91">
        <v>78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ROW(Source!A128)</f>
        <v>128</v>
      </c>
      <c r="B92">
        <v>61620528</v>
      </c>
      <c r="C92">
        <v>61620486</v>
      </c>
      <c r="D92">
        <v>59049364</v>
      </c>
      <c r="E92">
        <v>1</v>
      </c>
      <c r="F92">
        <v>1</v>
      </c>
      <c r="G92">
        <v>1080</v>
      </c>
      <c r="H92">
        <v>3</v>
      </c>
      <c r="I92" t="s">
        <v>324</v>
      </c>
      <c r="J92" t="s">
        <v>325</v>
      </c>
      <c r="K92" t="s">
        <v>326</v>
      </c>
      <c r="L92">
        <v>1354</v>
      </c>
      <c r="N92">
        <v>1010</v>
      </c>
      <c r="O92" t="s">
        <v>249</v>
      </c>
      <c r="P92" t="s">
        <v>249</v>
      </c>
      <c r="Q92">
        <v>1</v>
      </c>
      <c r="X92">
        <v>0.28000000000000003</v>
      </c>
      <c r="Y92">
        <v>14.22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0.28000000000000003</v>
      </c>
      <c r="AH92">
        <v>2</v>
      </c>
      <c r="AI92">
        <v>61620528</v>
      </c>
      <c r="AJ92">
        <v>79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ROW(Source!A128)</f>
        <v>128</v>
      </c>
      <c r="B93">
        <v>61620529</v>
      </c>
      <c r="C93">
        <v>61620486</v>
      </c>
      <c r="D93">
        <v>59008659</v>
      </c>
      <c r="E93">
        <v>1080</v>
      </c>
      <c r="F93">
        <v>1</v>
      </c>
      <c r="G93">
        <v>1080</v>
      </c>
      <c r="H93">
        <v>3</v>
      </c>
      <c r="I93" t="s">
        <v>349</v>
      </c>
      <c r="J93" t="s">
        <v>3</v>
      </c>
      <c r="K93" t="s">
        <v>350</v>
      </c>
      <c r="L93">
        <v>1301</v>
      </c>
      <c r="N93">
        <v>1003</v>
      </c>
      <c r="O93" t="s">
        <v>212</v>
      </c>
      <c r="P93" t="s">
        <v>212</v>
      </c>
      <c r="Q93">
        <v>1</v>
      </c>
      <c r="X93">
        <v>102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3</v>
      </c>
      <c r="AG93">
        <v>102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ROW(Source!A128)</f>
        <v>128</v>
      </c>
      <c r="B94">
        <v>61620530</v>
      </c>
      <c r="C94">
        <v>61620486</v>
      </c>
      <c r="D94">
        <v>59013737</v>
      </c>
      <c r="E94">
        <v>1080</v>
      </c>
      <c r="F94">
        <v>1</v>
      </c>
      <c r="G94">
        <v>1080</v>
      </c>
      <c r="H94">
        <v>3</v>
      </c>
      <c r="I94" t="s">
        <v>351</v>
      </c>
      <c r="J94" t="s">
        <v>3</v>
      </c>
      <c r="K94" t="s">
        <v>352</v>
      </c>
      <c r="L94">
        <v>1356</v>
      </c>
      <c r="N94">
        <v>1010</v>
      </c>
      <c r="O94" t="s">
        <v>320</v>
      </c>
      <c r="P94" t="s">
        <v>320</v>
      </c>
      <c r="Q94">
        <v>1000</v>
      </c>
      <c r="X94">
        <v>0.23799999999999999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</v>
      </c>
      <c r="AG94">
        <v>0.23799999999999999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ROW(Source!A128)</f>
        <v>128</v>
      </c>
      <c r="B95">
        <v>61620531</v>
      </c>
      <c r="C95">
        <v>61620486</v>
      </c>
      <c r="D95">
        <v>59019228</v>
      </c>
      <c r="E95">
        <v>1080</v>
      </c>
      <c r="F95">
        <v>1</v>
      </c>
      <c r="G95">
        <v>1080</v>
      </c>
      <c r="H95">
        <v>3</v>
      </c>
      <c r="I95" t="s">
        <v>353</v>
      </c>
      <c r="J95" t="s">
        <v>3</v>
      </c>
      <c r="K95" t="s">
        <v>354</v>
      </c>
      <c r="L95">
        <v>1303</v>
      </c>
      <c r="N95">
        <v>1003</v>
      </c>
      <c r="O95" t="s">
        <v>229</v>
      </c>
      <c r="P95" t="s">
        <v>229</v>
      </c>
      <c r="Q95">
        <v>1000</v>
      </c>
      <c r="X95">
        <v>0.10199999999999999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</v>
      </c>
      <c r="AG95">
        <v>0.10199999999999999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ROW(Source!A128)</f>
        <v>128</v>
      </c>
      <c r="B96">
        <v>61620532</v>
      </c>
      <c r="C96">
        <v>61620486</v>
      </c>
      <c r="D96">
        <v>59029455</v>
      </c>
      <c r="E96">
        <v>1080</v>
      </c>
      <c r="F96">
        <v>1</v>
      </c>
      <c r="G96">
        <v>1080</v>
      </c>
      <c r="H96">
        <v>3</v>
      </c>
      <c r="I96" t="s">
        <v>355</v>
      </c>
      <c r="J96" t="s">
        <v>3</v>
      </c>
      <c r="K96" t="s">
        <v>356</v>
      </c>
      <c r="L96">
        <v>1355</v>
      </c>
      <c r="N96">
        <v>1010</v>
      </c>
      <c r="O96" t="s">
        <v>140</v>
      </c>
      <c r="P96" t="s">
        <v>140</v>
      </c>
      <c r="Q96">
        <v>100</v>
      </c>
      <c r="X96">
        <v>2.36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</v>
      </c>
      <c r="AG96">
        <v>2.36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ROW(Source!A135)</f>
        <v>135</v>
      </c>
      <c r="B97">
        <v>61620588</v>
      </c>
      <c r="C97">
        <v>61620587</v>
      </c>
      <c r="D97">
        <v>58999254</v>
      </c>
      <c r="E97">
        <v>1080</v>
      </c>
      <c r="F97">
        <v>1</v>
      </c>
      <c r="G97">
        <v>1080</v>
      </c>
      <c r="H97">
        <v>1</v>
      </c>
      <c r="I97" t="s">
        <v>268</v>
      </c>
      <c r="J97" t="s">
        <v>3</v>
      </c>
      <c r="K97" t="s">
        <v>269</v>
      </c>
      <c r="L97">
        <v>1191</v>
      </c>
      <c r="N97">
        <v>1013</v>
      </c>
      <c r="O97" t="s">
        <v>270</v>
      </c>
      <c r="P97" t="s">
        <v>270</v>
      </c>
      <c r="Q97">
        <v>1</v>
      </c>
      <c r="X97">
        <v>5.29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24</v>
      </c>
      <c r="AG97">
        <v>5.8190000000000008</v>
      </c>
      <c r="AH97">
        <v>2</v>
      </c>
      <c r="AI97">
        <v>61620588</v>
      </c>
      <c r="AJ97">
        <v>81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ROW(Source!A135)</f>
        <v>135</v>
      </c>
      <c r="B98">
        <v>61620589</v>
      </c>
      <c r="C98">
        <v>61620587</v>
      </c>
      <c r="D98">
        <v>59070669</v>
      </c>
      <c r="E98">
        <v>1</v>
      </c>
      <c r="F98">
        <v>1</v>
      </c>
      <c r="G98">
        <v>1080</v>
      </c>
      <c r="H98">
        <v>2</v>
      </c>
      <c r="I98" t="s">
        <v>294</v>
      </c>
      <c r="J98" t="s">
        <v>295</v>
      </c>
      <c r="K98" t="s">
        <v>296</v>
      </c>
      <c r="L98">
        <v>1368</v>
      </c>
      <c r="N98">
        <v>1011</v>
      </c>
      <c r="O98" t="s">
        <v>297</v>
      </c>
      <c r="P98" t="s">
        <v>297</v>
      </c>
      <c r="Q98">
        <v>1</v>
      </c>
      <c r="X98">
        <v>0.01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1.1000000000000001E-2</v>
      </c>
      <c r="AH98">
        <v>2</v>
      </c>
      <c r="AI98">
        <v>61620589</v>
      </c>
      <c r="AJ98">
        <v>82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ROW(Source!A135)</f>
        <v>135</v>
      </c>
      <c r="B99">
        <v>61620590</v>
      </c>
      <c r="C99">
        <v>61620587</v>
      </c>
      <c r="D99">
        <v>59069905</v>
      </c>
      <c r="E99">
        <v>1</v>
      </c>
      <c r="F99">
        <v>1</v>
      </c>
      <c r="G99">
        <v>1080</v>
      </c>
      <c r="H99">
        <v>2</v>
      </c>
      <c r="I99" t="s">
        <v>327</v>
      </c>
      <c r="J99" t="s">
        <v>328</v>
      </c>
      <c r="K99" t="s">
        <v>329</v>
      </c>
      <c r="L99">
        <v>1368</v>
      </c>
      <c r="N99">
        <v>1011</v>
      </c>
      <c r="O99" t="s">
        <v>297</v>
      </c>
      <c r="P99" t="s">
        <v>297</v>
      </c>
      <c r="Q99">
        <v>1</v>
      </c>
      <c r="X99">
        <v>0.01</v>
      </c>
      <c r="Y99">
        <v>0</v>
      </c>
      <c r="Z99">
        <v>179.17</v>
      </c>
      <c r="AA99">
        <v>16.93</v>
      </c>
      <c r="AB99">
        <v>0</v>
      </c>
      <c r="AC99">
        <v>0</v>
      </c>
      <c r="AD99">
        <v>1</v>
      </c>
      <c r="AE99">
        <v>0</v>
      </c>
      <c r="AF99" t="s">
        <v>24</v>
      </c>
      <c r="AG99">
        <v>1.1000000000000001E-2</v>
      </c>
      <c r="AH99">
        <v>2</v>
      </c>
      <c r="AI99">
        <v>61620590</v>
      </c>
      <c r="AJ99">
        <v>83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ROW(Source!A135)</f>
        <v>135</v>
      </c>
      <c r="B100">
        <v>61620591</v>
      </c>
      <c r="C100">
        <v>61620587</v>
      </c>
      <c r="D100">
        <v>59062690</v>
      </c>
      <c r="E100">
        <v>1</v>
      </c>
      <c r="F100">
        <v>1</v>
      </c>
      <c r="G100">
        <v>1080</v>
      </c>
      <c r="H100">
        <v>3</v>
      </c>
      <c r="I100" t="s">
        <v>330</v>
      </c>
      <c r="J100" t="s">
        <v>331</v>
      </c>
      <c r="K100" t="s">
        <v>332</v>
      </c>
      <c r="L100">
        <v>1355</v>
      </c>
      <c r="N100">
        <v>1010</v>
      </c>
      <c r="O100" t="s">
        <v>140</v>
      </c>
      <c r="P100" t="s">
        <v>140</v>
      </c>
      <c r="Q100">
        <v>100</v>
      </c>
      <c r="X100">
        <v>2.1093999999999999</v>
      </c>
      <c r="Y100">
        <v>59.47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2.1093999999999999</v>
      </c>
      <c r="AH100">
        <v>2</v>
      </c>
      <c r="AI100">
        <v>61620591</v>
      </c>
      <c r="AJ100">
        <v>84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ROW(Source!A135)</f>
        <v>135</v>
      </c>
      <c r="B101">
        <v>61620592</v>
      </c>
      <c r="C101">
        <v>61620587</v>
      </c>
      <c r="D101">
        <v>59062735</v>
      </c>
      <c r="E101">
        <v>1</v>
      </c>
      <c r="F101">
        <v>1</v>
      </c>
      <c r="G101">
        <v>1080</v>
      </c>
      <c r="H101">
        <v>3</v>
      </c>
      <c r="I101" t="s">
        <v>333</v>
      </c>
      <c r="J101" t="s">
        <v>334</v>
      </c>
      <c r="K101" t="s">
        <v>335</v>
      </c>
      <c r="L101">
        <v>1356</v>
      </c>
      <c r="N101">
        <v>1010</v>
      </c>
      <c r="O101" t="s">
        <v>320</v>
      </c>
      <c r="P101" t="s">
        <v>320</v>
      </c>
      <c r="Q101">
        <v>1000</v>
      </c>
      <c r="X101">
        <v>6.8999999999999999E-3</v>
      </c>
      <c r="Y101">
        <v>56.16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6.8999999999999999E-3</v>
      </c>
      <c r="AH101">
        <v>2</v>
      </c>
      <c r="AI101">
        <v>61620592</v>
      </c>
      <c r="AJ101">
        <v>85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ROW(Source!A135)</f>
        <v>135</v>
      </c>
      <c r="B102">
        <v>61620593</v>
      </c>
      <c r="C102">
        <v>61620587</v>
      </c>
      <c r="D102">
        <v>59014721</v>
      </c>
      <c r="E102">
        <v>1080</v>
      </c>
      <c r="F102">
        <v>1</v>
      </c>
      <c r="G102">
        <v>1080</v>
      </c>
      <c r="H102">
        <v>3</v>
      </c>
      <c r="I102" t="s">
        <v>357</v>
      </c>
      <c r="J102" t="s">
        <v>3</v>
      </c>
      <c r="K102" t="s">
        <v>358</v>
      </c>
      <c r="L102">
        <v>1303</v>
      </c>
      <c r="N102">
        <v>1003</v>
      </c>
      <c r="O102" t="s">
        <v>229</v>
      </c>
      <c r="P102" t="s">
        <v>229</v>
      </c>
      <c r="Q102">
        <v>1000</v>
      </c>
      <c r="X102">
        <v>0.10199999999999999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0.10199999999999999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ROW(Source!A136)</f>
        <v>136</v>
      </c>
      <c r="B103">
        <v>61620588</v>
      </c>
      <c r="C103">
        <v>61620587</v>
      </c>
      <c r="D103">
        <v>58999254</v>
      </c>
      <c r="E103">
        <v>1080</v>
      </c>
      <c r="F103">
        <v>1</v>
      </c>
      <c r="G103">
        <v>1080</v>
      </c>
      <c r="H103">
        <v>1</v>
      </c>
      <c r="I103" t="s">
        <v>268</v>
      </c>
      <c r="J103" t="s">
        <v>3</v>
      </c>
      <c r="K103" t="s">
        <v>269</v>
      </c>
      <c r="L103">
        <v>1191</v>
      </c>
      <c r="N103">
        <v>1013</v>
      </c>
      <c r="O103" t="s">
        <v>270</v>
      </c>
      <c r="P103" t="s">
        <v>270</v>
      </c>
      <c r="Q103">
        <v>1</v>
      </c>
      <c r="X103">
        <v>5.29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24</v>
      </c>
      <c r="AG103">
        <v>5.8190000000000008</v>
      </c>
      <c r="AH103">
        <v>2</v>
      </c>
      <c r="AI103">
        <v>61620588</v>
      </c>
      <c r="AJ103">
        <v>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ROW(Source!A136)</f>
        <v>136</v>
      </c>
      <c r="B104">
        <v>61620589</v>
      </c>
      <c r="C104">
        <v>61620587</v>
      </c>
      <c r="D104">
        <v>59070669</v>
      </c>
      <c r="E104">
        <v>1</v>
      </c>
      <c r="F104">
        <v>1</v>
      </c>
      <c r="G104">
        <v>1080</v>
      </c>
      <c r="H104">
        <v>2</v>
      </c>
      <c r="I104" t="s">
        <v>294</v>
      </c>
      <c r="J104" t="s">
        <v>295</v>
      </c>
      <c r="K104" t="s">
        <v>296</v>
      </c>
      <c r="L104">
        <v>1368</v>
      </c>
      <c r="N104">
        <v>1011</v>
      </c>
      <c r="O104" t="s">
        <v>297</v>
      </c>
      <c r="P104" t="s">
        <v>297</v>
      </c>
      <c r="Q104">
        <v>1</v>
      </c>
      <c r="X104">
        <v>0.01</v>
      </c>
      <c r="Y104">
        <v>0</v>
      </c>
      <c r="Z104">
        <v>83.1</v>
      </c>
      <c r="AA104">
        <v>12.62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1.1000000000000001E-2</v>
      </c>
      <c r="AH104">
        <v>2</v>
      </c>
      <c r="AI104">
        <v>61620589</v>
      </c>
      <c r="AJ104">
        <v>87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ROW(Source!A136)</f>
        <v>136</v>
      </c>
      <c r="B105">
        <v>61620590</v>
      </c>
      <c r="C105">
        <v>61620587</v>
      </c>
      <c r="D105">
        <v>59069905</v>
      </c>
      <c r="E105">
        <v>1</v>
      </c>
      <c r="F105">
        <v>1</v>
      </c>
      <c r="G105">
        <v>1080</v>
      </c>
      <c r="H105">
        <v>2</v>
      </c>
      <c r="I105" t="s">
        <v>327</v>
      </c>
      <c r="J105" t="s">
        <v>328</v>
      </c>
      <c r="K105" t="s">
        <v>329</v>
      </c>
      <c r="L105">
        <v>1368</v>
      </c>
      <c r="N105">
        <v>1011</v>
      </c>
      <c r="O105" t="s">
        <v>297</v>
      </c>
      <c r="P105" t="s">
        <v>297</v>
      </c>
      <c r="Q105">
        <v>1</v>
      </c>
      <c r="X105">
        <v>0.01</v>
      </c>
      <c r="Y105">
        <v>0</v>
      </c>
      <c r="Z105">
        <v>179.17</v>
      </c>
      <c r="AA105">
        <v>16.93</v>
      </c>
      <c r="AB105">
        <v>0</v>
      </c>
      <c r="AC105">
        <v>0</v>
      </c>
      <c r="AD105">
        <v>1</v>
      </c>
      <c r="AE105">
        <v>0</v>
      </c>
      <c r="AF105" t="s">
        <v>24</v>
      </c>
      <c r="AG105">
        <v>1.1000000000000001E-2</v>
      </c>
      <c r="AH105">
        <v>2</v>
      </c>
      <c r="AI105">
        <v>61620590</v>
      </c>
      <c r="AJ105">
        <v>88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ROW(Source!A136)</f>
        <v>136</v>
      </c>
      <c r="B106">
        <v>61620591</v>
      </c>
      <c r="C106">
        <v>61620587</v>
      </c>
      <c r="D106">
        <v>59062690</v>
      </c>
      <c r="E106">
        <v>1</v>
      </c>
      <c r="F106">
        <v>1</v>
      </c>
      <c r="G106">
        <v>1080</v>
      </c>
      <c r="H106">
        <v>3</v>
      </c>
      <c r="I106" t="s">
        <v>330</v>
      </c>
      <c r="J106" t="s">
        <v>331</v>
      </c>
      <c r="K106" t="s">
        <v>332</v>
      </c>
      <c r="L106">
        <v>1355</v>
      </c>
      <c r="N106">
        <v>1010</v>
      </c>
      <c r="O106" t="s">
        <v>140</v>
      </c>
      <c r="P106" t="s">
        <v>140</v>
      </c>
      <c r="Q106">
        <v>100</v>
      </c>
      <c r="X106">
        <v>2.1093999999999999</v>
      </c>
      <c r="Y106">
        <v>59.47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2.1093999999999999</v>
      </c>
      <c r="AH106">
        <v>2</v>
      </c>
      <c r="AI106">
        <v>61620591</v>
      </c>
      <c r="AJ106">
        <v>89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ROW(Source!A136)</f>
        <v>136</v>
      </c>
      <c r="B107">
        <v>61620592</v>
      </c>
      <c r="C107">
        <v>61620587</v>
      </c>
      <c r="D107">
        <v>59062735</v>
      </c>
      <c r="E107">
        <v>1</v>
      </c>
      <c r="F107">
        <v>1</v>
      </c>
      <c r="G107">
        <v>1080</v>
      </c>
      <c r="H107">
        <v>3</v>
      </c>
      <c r="I107" t="s">
        <v>333</v>
      </c>
      <c r="J107" t="s">
        <v>334</v>
      </c>
      <c r="K107" t="s">
        <v>335</v>
      </c>
      <c r="L107">
        <v>1356</v>
      </c>
      <c r="N107">
        <v>1010</v>
      </c>
      <c r="O107" t="s">
        <v>320</v>
      </c>
      <c r="P107" t="s">
        <v>320</v>
      </c>
      <c r="Q107">
        <v>1000</v>
      </c>
      <c r="X107">
        <v>6.8999999999999999E-3</v>
      </c>
      <c r="Y107">
        <v>56.16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6.8999999999999999E-3</v>
      </c>
      <c r="AH107">
        <v>2</v>
      </c>
      <c r="AI107">
        <v>61620592</v>
      </c>
      <c r="AJ107">
        <v>90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ROW(Source!A136)</f>
        <v>136</v>
      </c>
      <c r="B108">
        <v>61620593</v>
      </c>
      <c r="C108">
        <v>61620587</v>
      </c>
      <c r="D108">
        <v>59014721</v>
      </c>
      <c r="E108">
        <v>1080</v>
      </c>
      <c r="F108">
        <v>1</v>
      </c>
      <c r="G108">
        <v>1080</v>
      </c>
      <c r="H108">
        <v>3</v>
      </c>
      <c r="I108" t="s">
        <v>357</v>
      </c>
      <c r="J108" t="s">
        <v>3</v>
      </c>
      <c r="K108" t="s">
        <v>358</v>
      </c>
      <c r="L108">
        <v>1303</v>
      </c>
      <c r="N108">
        <v>1003</v>
      </c>
      <c r="O108" t="s">
        <v>229</v>
      </c>
      <c r="P108" t="s">
        <v>229</v>
      </c>
      <c r="Q108">
        <v>1000</v>
      </c>
      <c r="X108">
        <v>0.10199999999999999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0.10199999999999999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23</v>
      </c>
      <c r="E1" t="s">
        <v>24</v>
      </c>
      <c r="F1" t="s">
        <v>24</v>
      </c>
      <c r="G1" t="s">
        <v>24</v>
      </c>
      <c r="H1" t="s">
        <v>3</v>
      </c>
      <c r="I1" t="s">
        <v>24</v>
      </c>
      <c r="J1" t="s">
        <v>24</v>
      </c>
      <c r="K1" t="s">
        <v>3</v>
      </c>
      <c r="L1" t="s">
        <v>3</v>
      </c>
      <c r="M1" t="s">
        <v>3</v>
      </c>
      <c r="N1" t="s">
        <v>23</v>
      </c>
      <c r="O1" t="s">
        <v>24</v>
      </c>
      <c r="P1" t="s">
        <v>3</v>
      </c>
      <c r="Q1" t="s">
        <v>3</v>
      </c>
      <c r="R1" t="s">
        <v>3</v>
      </c>
      <c r="S1" t="s">
        <v>359</v>
      </c>
      <c r="T1" t="s">
        <v>362</v>
      </c>
      <c r="U1" t="s">
        <v>360</v>
      </c>
    </row>
    <row r="2" spans="1:21" x14ac:dyDescent="0.2">
      <c r="A2">
        <v>29</v>
      </c>
      <c r="B2">
        <v>1</v>
      </c>
      <c r="C2" t="s">
        <v>3</v>
      </c>
      <c r="D2" t="s">
        <v>23</v>
      </c>
      <c r="E2" t="s">
        <v>24</v>
      </c>
      <c r="F2" t="s">
        <v>24</v>
      </c>
      <c r="G2" t="s">
        <v>24</v>
      </c>
      <c r="H2" t="s">
        <v>3</v>
      </c>
      <c r="I2" t="s">
        <v>24</v>
      </c>
      <c r="J2" t="s">
        <v>24</v>
      </c>
      <c r="K2" t="s">
        <v>3</v>
      </c>
      <c r="L2" t="s">
        <v>3</v>
      </c>
      <c r="M2" t="s">
        <v>3</v>
      </c>
      <c r="N2" t="s">
        <v>23</v>
      </c>
      <c r="O2" t="s">
        <v>24</v>
      </c>
      <c r="P2" t="s">
        <v>3</v>
      </c>
      <c r="Q2" t="s">
        <v>3</v>
      </c>
      <c r="R2" t="s">
        <v>3</v>
      </c>
      <c r="S2" t="s">
        <v>359</v>
      </c>
      <c r="T2" t="s">
        <v>362</v>
      </c>
      <c r="U2" t="s">
        <v>360</v>
      </c>
    </row>
    <row r="3" spans="1:21" x14ac:dyDescent="0.2">
      <c r="A3">
        <v>34</v>
      </c>
      <c r="B3">
        <v>1</v>
      </c>
      <c r="C3" t="s">
        <v>3</v>
      </c>
      <c r="D3" t="s">
        <v>23</v>
      </c>
      <c r="E3" t="s">
        <v>24</v>
      </c>
      <c r="F3" t="s">
        <v>24</v>
      </c>
      <c r="G3" t="s">
        <v>24</v>
      </c>
      <c r="H3" t="s">
        <v>3</v>
      </c>
      <c r="I3" t="s">
        <v>24</v>
      </c>
      <c r="J3" t="s">
        <v>24</v>
      </c>
      <c r="K3" t="s">
        <v>3</v>
      </c>
      <c r="L3" t="s">
        <v>3</v>
      </c>
      <c r="M3" t="s">
        <v>3</v>
      </c>
      <c r="N3" t="s">
        <v>23</v>
      </c>
      <c r="O3" t="s">
        <v>24</v>
      </c>
      <c r="P3" t="s">
        <v>3</v>
      </c>
      <c r="Q3" t="s">
        <v>3</v>
      </c>
      <c r="R3" t="s">
        <v>3</v>
      </c>
      <c r="S3" t="s">
        <v>359</v>
      </c>
      <c r="T3" t="s">
        <v>362</v>
      </c>
      <c r="U3" t="s">
        <v>360</v>
      </c>
    </row>
    <row r="4" spans="1:21" x14ac:dyDescent="0.2">
      <c r="A4">
        <v>35</v>
      </c>
      <c r="B4">
        <v>1</v>
      </c>
      <c r="C4" t="s">
        <v>3</v>
      </c>
      <c r="D4" t="s">
        <v>23</v>
      </c>
      <c r="E4" t="s">
        <v>24</v>
      </c>
      <c r="F4" t="s">
        <v>24</v>
      </c>
      <c r="G4" t="s">
        <v>24</v>
      </c>
      <c r="H4" t="s">
        <v>3</v>
      </c>
      <c r="I4" t="s">
        <v>24</v>
      </c>
      <c r="J4" t="s">
        <v>24</v>
      </c>
      <c r="K4" t="s">
        <v>3</v>
      </c>
      <c r="L4" t="s">
        <v>3</v>
      </c>
      <c r="M4" t="s">
        <v>3</v>
      </c>
      <c r="N4" t="s">
        <v>23</v>
      </c>
      <c r="O4" t="s">
        <v>24</v>
      </c>
      <c r="P4" t="s">
        <v>3</v>
      </c>
      <c r="Q4" t="s">
        <v>3</v>
      </c>
      <c r="R4" t="s">
        <v>3</v>
      </c>
      <c r="S4" t="s">
        <v>359</v>
      </c>
      <c r="T4" t="s">
        <v>362</v>
      </c>
      <c r="U4" t="s">
        <v>360</v>
      </c>
    </row>
    <row r="5" spans="1:21" x14ac:dyDescent="0.2">
      <c r="A5">
        <v>38</v>
      </c>
      <c r="B5">
        <v>1</v>
      </c>
      <c r="C5" t="s">
        <v>3</v>
      </c>
      <c r="D5" t="s">
        <v>23</v>
      </c>
      <c r="E5" t="s">
        <v>24</v>
      </c>
      <c r="F5" t="s">
        <v>24</v>
      </c>
      <c r="G5" t="s">
        <v>24</v>
      </c>
      <c r="H5" t="s">
        <v>3</v>
      </c>
      <c r="I5" t="s">
        <v>24</v>
      </c>
      <c r="J5" t="s">
        <v>24</v>
      </c>
      <c r="K5" t="s">
        <v>3</v>
      </c>
      <c r="L5" t="s">
        <v>3</v>
      </c>
      <c r="M5" t="s">
        <v>3</v>
      </c>
      <c r="N5" t="s">
        <v>23</v>
      </c>
      <c r="O5" t="s">
        <v>24</v>
      </c>
      <c r="P5" t="s">
        <v>3</v>
      </c>
      <c r="Q5" t="s">
        <v>3</v>
      </c>
      <c r="R5" t="s">
        <v>3</v>
      </c>
      <c r="S5" t="s">
        <v>359</v>
      </c>
      <c r="T5" t="s">
        <v>362</v>
      </c>
      <c r="U5" t="s">
        <v>360</v>
      </c>
    </row>
    <row r="6" spans="1:21" x14ac:dyDescent="0.2">
      <c r="A6">
        <v>39</v>
      </c>
      <c r="B6">
        <v>1</v>
      </c>
      <c r="C6" t="s">
        <v>3</v>
      </c>
      <c r="D6" t="s">
        <v>23</v>
      </c>
      <c r="E6" t="s">
        <v>24</v>
      </c>
      <c r="F6" t="s">
        <v>24</v>
      </c>
      <c r="G6" t="s">
        <v>24</v>
      </c>
      <c r="H6" t="s">
        <v>3</v>
      </c>
      <c r="I6" t="s">
        <v>24</v>
      </c>
      <c r="J6" t="s">
        <v>24</v>
      </c>
      <c r="K6" t="s">
        <v>3</v>
      </c>
      <c r="L6" t="s">
        <v>3</v>
      </c>
      <c r="M6" t="s">
        <v>3</v>
      </c>
      <c r="N6" t="s">
        <v>23</v>
      </c>
      <c r="O6" t="s">
        <v>24</v>
      </c>
      <c r="P6" t="s">
        <v>3</v>
      </c>
      <c r="Q6" t="s">
        <v>3</v>
      </c>
      <c r="R6" t="s">
        <v>3</v>
      </c>
      <c r="S6" t="s">
        <v>359</v>
      </c>
      <c r="T6" t="s">
        <v>362</v>
      </c>
      <c r="U6" t="s">
        <v>360</v>
      </c>
    </row>
    <row r="7" spans="1:21" x14ac:dyDescent="0.2">
      <c r="A7">
        <v>42</v>
      </c>
      <c r="B7">
        <v>1</v>
      </c>
      <c r="C7" t="s">
        <v>3</v>
      </c>
      <c r="D7" t="s">
        <v>23</v>
      </c>
      <c r="E7" t="s">
        <v>24</v>
      </c>
      <c r="F7" t="s">
        <v>24</v>
      </c>
      <c r="G7" t="s">
        <v>24</v>
      </c>
      <c r="H7" t="s">
        <v>3</v>
      </c>
      <c r="I7" t="s">
        <v>24</v>
      </c>
      <c r="J7" t="s">
        <v>24</v>
      </c>
      <c r="K7" t="s">
        <v>3</v>
      </c>
      <c r="L7" t="s">
        <v>3</v>
      </c>
      <c r="M7" t="s">
        <v>3</v>
      </c>
      <c r="N7" t="s">
        <v>23</v>
      </c>
      <c r="O7" t="s">
        <v>24</v>
      </c>
      <c r="P7" t="s">
        <v>3</v>
      </c>
      <c r="Q7" t="s">
        <v>3</v>
      </c>
      <c r="R7" t="s">
        <v>3</v>
      </c>
      <c r="S7" t="s">
        <v>359</v>
      </c>
      <c r="T7" t="s">
        <v>362</v>
      </c>
      <c r="U7" t="s">
        <v>360</v>
      </c>
    </row>
    <row r="8" spans="1:21" x14ac:dyDescent="0.2">
      <c r="A8">
        <v>43</v>
      </c>
      <c r="B8">
        <v>1</v>
      </c>
      <c r="C8" t="s">
        <v>3</v>
      </c>
      <c r="D8" t="s">
        <v>23</v>
      </c>
      <c r="E8" t="s">
        <v>24</v>
      </c>
      <c r="F8" t="s">
        <v>24</v>
      </c>
      <c r="G8" t="s">
        <v>24</v>
      </c>
      <c r="H8" t="s">
        <v>3</v>
      </c>
      <c r="I8" t="s">
        <v>24</v>
      </c>
      <c r="J8" t="s">
        <v>24</v>
      </c>
      <c r="K8" t="s">
        <v>3</v>
      </c>
      <c r="L8" t="s">
        <v>3</v>
      </c>
      <c r="M8" t="s">
        <v>3</v>
      </c>
      <c r="N8" t="s">
        <v>23</v>
      </c>
      <c r="O8" t="s">
        <v>24</v>
      </c>
      <c r="P8" t="s">
        <v>3</v>
      </c>
      <c r="Q8" t="s">
        <v>3</v>
      </c>
      <c r="R8" t="s">
        <v>3</v>
      </c>
      <c r="S8" t="s">
        <v>359</v>
      </c>
      <c r="T8" t="s">
        <v>362</v>
      </c>
      <c r="U8" t="s">
        <v>360</v>
      </c>
    </row>
    <row r="9" spans="1:21" x14ac:dyDescent="0.2">
      <c r="A9">
        <v>46</v>
      </c>
      <c r="B9">
        <v>1</v>
      </c>
      <c r="C9" t="s">
        <v>3</v>
      </c>
      <c r="D9" t="s">
        <v>23</v>
      </c>
      <c r="E9" t="s">
        <v>24</v>
      </c>
      <c r="F9" t="s">
        <v>24</v>
      </c>
      <c r="G9" t="s">
        <v>24</v>
      </c>
      <c r="H9" t="s">
        <v>3</v>
      </c>
      <c r="I9" t="s">
        <v>24</v>
      </c>
      <c r="J9" t="s">
        <v>24</v>
      </c>
      <c r="K9" t="s">
        <v>3</v>
      </c>
      <c r="L9" t="s">
        <v>3</v>
      </c>
      <c r="M9" t="s">
        <v>3</v>
      </c>
      <c r="N9" t="s">
        <v>23</v>
      </c>
      <c r="O9" t="s">
        <v>24</v>
      </c>
      <c r="P9" t="s">
        <v>3</v>
      </c>
      <c r="Q9" t="s">
        <v>3</v>
      </c>
      <c r="R9" t="s">
        <v>3</v>
      </c>
      <c r="S9" t="s">
        <v>359</v>
      </c>
      <c r="T9" t="s">
        <v>362</v>
      </c>
      <c r="U9" t="s">
        <v>360</v>
      </c>
    </row>
    <row r="10" spans="1:21" x14ac:dyDescent="0.2">
      <c r="A10">
        <v>47</v>
      </c>
      <c r="B10">
        <v>1</v>
      </c>
      <c r="C10" t="s">
        <v>3</v>
      </c>
      <c r="D10" t="s">
        <v>23</v>
      </c>
      <c r="E10" t="s">
        <v>24</v>
      </c>
      <c r="F10" t="s">
        <v>24</v>
      </c>
      <c r="G10" t="s">
        <v>24</v>
      </c>
      <c r="H10" t="s">
        <v>3</v>
      </c>
      <c r="I10" t="s">
        <v>24</v>
      </c>
      <c r="J10" t="s">
        <v>24</v>
      </c>
      <c r="K10" t="s">
        <v>3</v>
      </c>
      <c r="L10" t="s">
        <v>3</v>
      </c>
      <c r="M10" t="s">
        <v>3</v>
      </c>
      <c r="N10" t="s">
        <v>23</v>
      </c>
      <c r="O10" t="s">
        <v>24</v>
      </c>
      <c r="P10" t="s">
        <v>3</v>
      </c>
      <c r="Q10" t="s">
        <v>3</v>
      </c>
      <c r="R10" t="s">
        <v>3</v>
      </c>
      <c r="S10" t="s">
        <v>359</v>
      </c>
      <c r="T10" t="s">
        <v>362</v>
      </c>
      <c r="U10" t="s">
        <v>360</v>
      </c>
    </row>
    <row r="11" spans="1:21" x14ac:dyDescent="0.2">
      <c r="A11">
        <v>50</v>
      </c>
      <c r="B11">
        <v>1</v>
      </c>
      <c r="C11" t="s">
        <v>3</v>
      </c>
      <c r="D11" t="s">
        <v>23</v>
      </c>
      <c r="E11" t="s">
        <v>24</v>
      </c>
      <c r="F11" t="s">
        <v>24</v>
      </c>
      <c r="G11" t="s">
        <v>24</v>
      </c>
      <c r="H11" t="s">
        <v>3</v>
      </c>
      <c r="I11" t="s">
        <v>24</v>
      </c>
      <c r="J11" t="s">
        <v>24</v>
      </c>
      <c r="K11" t="s">
        <v>3</v>
      </c>
      <c r="L11" t="s">
        <v>3</v>
      </c>
      <c r="M11" t="s">
        <v>3</v>
      </c>
      <c r="N11" t="s">
        <v>23</v>
      </c>
      <c r="O11" t="s">
        <v>24</v>
      </c>
      <c r="P11" t="s">
        <v>3</v>
      </c>
      <c r="Q11" t="s">
        <v>3</v>
      </c>
      <c r="R11" t="s">
        <v>3</v>
      </c>
      <c r="S11" t="s">
        <v>359</v>
      </c>
      <c r="T11" t="s">
        <v>362</v>
      </c>
      <c r="U11" t="s">
        <v>360</v>
      </c>
    </row>
    <row r="12" spans="1:21" x14ac:dyDescent="0.2">
      <c r="A12">
        <v>51</v>
      </c>
      <c r="B12">
        <v>1</v>
      </c>
      <c r="C12" t="s">
        <v>3</v>
      </c>
      <c r="D12" t="s">
        <v>23</v>
      </c>
      <c r="E12" t="s">
        <v>24</v>
      </c>
      <c r="F12" t="s">
        <v>24</v>
      </c>
      <c r="G12" t="s">
        <v>24</v>
      </c>
      <c r="H12" t="s">
        <v>3</v>
      </c>
      <c r="I12" t="s">
        <v>24</v>
      </c>
      <c r="J12" t="s">
        <v>24</v>
      </c>
      <c r="K12" t="s">
        <v>3</v>
      </c>
      <c r="L12" t="s">
        <v>3</v>
      </c>
      <c r="M12" t="s">
        <v>3</v>
      </c>
      <c r="N12" t="s">
        <v>23</v>
      </c>
      <c r="O12" t="s">
        <v>24</v>
      </c>
      <c r="P12" t="s">
        <v>3</v>
      </c>
      <c r="Q12" t="s">
        <v>3</v>
      </c>
      <c r="R12" t="s">
        <v>3</v>
      </c>
      <c r="S12" t="s">
        <v>359</v>
      </c>
      <c r="T12" t="s">
        <v>362</v>
      </c>
      <c r="U12" t="s">
        <v>360</v>
      </c>
    </row>
    <row r="13" spans="1:21" x14ac:dyDescent="0.2">
      <c r="A13">
        <v>54</v>
      </c>
      <c r="B13">
        <v>1</v>
      </c>
      <c r="C13" t="s">
        <v>3</v>
      </c>
      <c r="D13" t="s">
        <v>23</v>
      </c>
      <c r="E13" t="s">
        <v>24</v>
      </c>
      <c r="F13" t="s">
        <v>24</v>
      </c>
      <c r="G13" t="s">
        <v>24</v>
      </c>
      <c r="H13" t="s">
        <v>3</v>
      </c>
      <c r="I13" t="s">
        <v>24</v>
      </c>
      <c r="J13" t="s">
        <v>24</v>
      </c>
      <c r="K13" t="s">
        <v>3</v>
      </c>
      <c r="L13" t="s">
        <v>3</v>
      </c>
      <c r="M13" t="s">
        <v>3</v>
      </c>
      <c r="N13" t="s">
        <v>23</v>
      </c>
      <c r="O13" t="s">
        <v>24</v>
      </c>
      <c r="P13" t="s">
        <v>3</v>
      </c>
      <c r="Q13" t="s">
        <v>3</v>
      </c>
      <c r="R13" t="s">
        <v>3</v>
      </c>
      <c r="S13" t="s">
        <v>359</v>
      </c>
      <c r="T13" t="s">
        <v>362</v>
      </c>
      <c r="U13" t="s">
        <v>360</v>
      </c>
    </row>
    <row r="14" spans="1:21" x14ac:dyDescent="0.2">
      <c r="A14">
        <v>55</v>
      </c>
      <c r="B14">
        <v>1</v>
      </c>
      <c r="C14" t="s">
        <v>3</v>
      </c>
      <c r="D14" t="s">
        <v>23</v>
      </c>
      <c r="E14" t="s">
        <v>24</v>
      </c>
      <c r="F14" t="s">
        <v>24</v>
      </c>
      <c r="G14" t="s">
        <v>24</v>
      </c>
      <c r="H14" t="s">
        <v>3</v>
      </c>
      <c r="I14" t="s">
        <v>24</v>
      </c>
      <c r="J14" t="s">
        <v>24</v>
      </c>
      <c r="K14" t="s">
        <v>3</v>
      </c>
      <c r="L14" t="s">
        <v>3</v>
      </c>
      <c r="M14" t="s">
        <v>3</v>
      </c>
      <c r="N14" t="s">
        <v>23</v>
      </c>
      <c r="O14" t="s">
        <v>24</v>
      </c>
      <c r="P14" t="s">
        <v>3</v>
      </c>
      <c r="Q14" t="s">
        <v>3</v>
      </c>
      <c r="R14" t="s">
        <v>3</v>
      </c>
      <c r="S14" t="s">
        <v>359</v>
      </c>
      <c r="T14" t="s">
        <v>362</v>
      </c>
      <c r="U14" t="s">
        <v>360</v>
      </c>
    </row>
    <row r="15" spans="1:21" x14ac:dyDescent="0.2">
      <c r="A15">
        <v>60</v>
      </c>
      <c r="B15">
        <v>1</v>
      </c>
      <c r="C15" t="s">
        <v>3</v>
      </c>
      <c r="D15" t="s">
        <v>23</v>
      </c>
      <c r="E15" t="s">
        <v>24</v>
      </c>
      <c r="F15" t="s">
        <v>24</v>
      </c>
      <c r="G15" t="s">
        <v>24</v>
      </c>
      <c r="H15" t="s">
        <v>3</v>
      </c>
      <c r="I15" t="s">
        <v>24</v>
      </c>
      <c r="J15" t="s">
        <v>24</v>
      </c>
      <c r="K15" t="s">
        <v>3</v>
      </c>
      <c r="L15" t="s">
        <v>3</v>
      </c>
      <c r="M15" t="s">
        <v>3</v>
      </c>
      <c r="N15" t="s">
        <v>23</v>
      </c>
      <c r="O15" t="s">
        <v>24</v>
      </c>
      <c r="P15" t="s">
        <v>3</v>
      </c>
      <c r="Q15" t="s">
        <v>3</v>
      </c>
      <c r="R15" t="s">
        <v>3</v>
      </c>
      <c r="S15" t="s">
        <v>359</v>
      </c>
      <c r="T15" t="s">
        <v>362</v>
      </c>
      <c r="U15" t="s">
        <v>360</v>
      </c>
    </row>
    <row r="16" spans="1:21" x14ac:dyDescent="0.2">
      <c r="A16">
        <v>61</v>
      </c>
      <c r="B16">
        <v>1</v>
      </c>
      <c r="C16" t="s">
        <v>3</v>
      </c>
      <c r="D16" t="s">
        <v>23</v>
      </c>
      <c r="E16" t="s">
        <v>24</v>
      </c>
      <c r="F16" t="s">
        <v>24</v>
      </c>
      <c r="G16" t="s">
        <v>24</v>
      </c>
      <c r="H16" t="s">
        <v>3</v>
      </c>
      <c r="I16" t="s">
        <v>24</v>
      </c>
      <c r="J16" t="s">
        <v>24</v>
      </c>
      <c r="K16" t="s">
        <v>3</v>
      </c>
      <c r="L16" t="s">
        <v>3</v>
      </c>
      <c r="M16" t="s">
        <v>3</v>
      </c>
      <c r="N16" t="s">
        <v>23</v>
      </c>
      <c r="O16" t="s">
        <v>24</v>
      </c>
      <c r="P16" t="s">
        <v>3</v>
      </c>
      <c r="Q16" t="s">
        <v>3</v>
      </c>
      <c r="R16" t="s">
        <v>3</v>
      </c>
      <c r="S16" t="s">
        <v>359</v>
      </c>
      <c r="T16" t="s">
        <v>362</v>
      </c>
      <c r="U16" t="s">
        <v>360</v>
      </c>
    </row>
    <row r="17" spans="1:21" x14ac:dyDescent="0.2">
      <c r="A17">
        <v>64</v>
      </c>
      <c r="B17">
        <v>1</v>
      </c>
      <c r="C17" t="s">
        <v>3</v>
      </c>
      <c r="D17" t="s">
        <v>23</v>
      </c>
      <c r="E17" t="s">
        <v>24</v>
      </c>
      <c r="F17" t="s">
        <v>24</v>
      </c>
      <c r="G17" t="s">
        <v>24</v>
      </c>
      <c r="H17" t="s">
        <v>3</v>
      </c>
      <c r="I17" t="s">
        <v>24</v>
      </c>
      <c r="J17" t="s">
        <v>24</v>
      </c>
      <c r="K17" t="s">
        <v>3</v>
      </c>
      <c r="L17" t="s">
        <v>3</v>
      </c>
      <c r="M17" t="s">
        <v>3</v>
      </c>
      <c r="N17" t="s">
        <v>23</v>
      </c>
      <c r="O17" t="s">
        <v>24</v>
      </c>
      <c r="P17" t="s">
        <v>3</v>
      </c>
      <c r="Q17" t="s">
        <v>3</v>
      </c>
      <c r="R17" t="s">
        <v>3</v>
      </c>
      <c r="S17" t="s">
        <v>359</v>
      </c>
      <c r="T17" t="s">
        <v>362</v>
      </c>
      <c r="U17" t="s">
        <v>360</v>
      </c>
    </row>
    <row r="18" spans="1:21" x14ac:dyDescent="0.2">
      <c r="A18">
        <v>65</v>
      </c>
      <c r="B18">
        <v>1</v>
      </c>
      <c r="C18" t="s">
        <v>3</v>
      </c>
      <c r="D18" t="s">
        <v>23</v>
      </c>
      <c r="E18" t="s">
        <v>24</v>
      </c>
      <c r="F18" t="s">
        <v>24</v>
      </c>
      <c r="G18" t="s">
        <v>24</v>
      </c>
      <c r="H18" t="s">
        <v>3</v>
      </c>
      <c r="I18" t="s">
        <v>24</v>
      </c>
      <c r="J18" t="s">
        <v>24</v>
      </c>
      <c r="K18" t="s">
        <v>3</v>
      </c>
      <c r="L18" t="s">
        <v>3</v>
      </c>
      <c r="M18" t="s">
        <v>3</v>
      </c>
      <c r="N18" t="s">
        <v>23</v>
      </c>
      <c r="O18" t="s">
        <v>24</v>
      </c>
      <c r="P18" t="s">
        <v>3</v>
      </c>
      <c r="Q18" t="s">
        <v>3</v>
      </c>
      <c r="R18" t="s">
        <v>3</v>
      </c>
      <c r="S18" t="s">
        <v>359</v>
      </c>
      <c r="T18" t="s">
        <v>362</v>
      </c>
      <c r="U18" t="s">
        <v>360</v>
      </c>
    </row>
    <row r="19" spans="1:21" x14ac:dyDescent="0.2">
      <c r="A19">
        <v>68</v>
      </c>
      <c r="B19">
        <v>1</v>
      </c>
      <c r="C19" t="s">
        <v>3</v>
      </c>
      <c r="D19" t="s">
        <v>23</v>
      </c>
      <c r="E19" t="s">
        <v>24</v>
      </c>
      <c r="F19" t="s">
        <v>24</v>
      </c>
      <c r="G19" t="s">
        <v>24</v>
      </c>
      <c r="H19" t="s">
        <v>3</v>
      </c>
      <c r="I19" t="s">
        <v>24</v>
      </c>
      <c r="J19" t="s">
        <v>24</v>
      </c>
      <c r="K19" t="s">
        <v>3</v>
      </c>
      <c r="L19" t="s">
        <v>3</v>
      </c>
      <c r="M19" t="s">
        <v>3</v>
      </c>
      <c r="N19" t="s">
        <v>23</v>
      </c>
      <c r="O19" t="s">
        <v>24</v>
      </c>
      <c r="P19" t="s">
        <v>3</v>
      </c>
      <c r="Q19" t="s">
        <v>3</v>
      </c>
      <c r="R19" t="s">
        <v>3</v>
      </c>
      <c r="S19" t="s">
        <v>359</v>
      </c>
      <c r="T19" t="s">
        <v>362</v>
      </c>
      <c r="U19" t="s">
        <v>360</v>
      </c>
    </row>
    <row r="20" spans="1:21" x14ac:dyDescent="0.2">
      <c r="A20">
        <v>69</v>
      </c>
      <c r="B20">
        <v>1</v>
      </c>
      <c r="C20" t="s">
        <v>3</v>
      </c>
      <c r="D20" t="s">
        <v>23</v>
      </c>
      <c r="E20" t="s">
        <v>24</v>
      </c>
      <c r="F20" t="s">
        <v>24</v>
      </c>
      <c r="G20" t="s">
        <v>24</v>
      </c>
      <c r="H20" t="s">
        <v>3</v>
      </c>
      <c r="I20" t="s">
        <v>24</v>
      </c>
      <c r="J20" t="s">
        <v>24</v>
      </c>
      <c r="K20" t="s">
        <v>3</v>
      </c>
      <c r="L20" t="s">
        <v>3</v>
      </c>
      <c r="M20" t="s">
        <v>3</v>
      </c>
      <c r="N20" t="s">
        <v>23</v>
      </c>
      <c r="O20" t="s">
        <v>24</v>
      </c>
      <c r="P20" t="s">
        <v>3</v>
      </c>
      <c r="Q20" t="s">
        <v>3</v>
      </c>
      <c r="R20" t="s">
        <v>3</v>
      </c>
      <c r="S20" t="s">
        <v>359</v>
      </c>
      <c r="T20" t="s">
        <v>362</v>
      </c>
      <c r="U20" t="s">
        <v>360</v>
      </c>
    </row>
    <row r="21" spans="1:21" x14ac:dyDescent="0.2">
      <c r="A21">
        <v>72</v>
      </c>
      <c r="B21">
        <v>1</v>
      </c>
      <c r="C21" t="s">
        <v>3</v>
      </c>
      <c r="D21" t="s">
        <v>23</v>
      </c>
      <c r="E21" t="s">
        <v>24</v>
      </c>
      <c r="F21" t="s">
        <v>24</v>
      </c>
      <c r="G21" t="s">
        <v>24</v>
      </c>
      <c r="H21" t="s">
        <v>3</v>
      </c>
      <c r="I21" t="s">
        <v>24</v>
      </c>
      <c r="J21" t="s">
        <v>24</v>
      </c>
      <c r="K21" t="s">
        <v>3</v>
      </c>
      <c r="L21" t="s">
        <v>3</v>
      </c>
      <c r="M21" t="s">
        <v>3</v>
      </c>
      <c r="N21" t="s">
        <v>23</v>
      </c>
      <c r="O21" t="s">
        <v>24</v>
      </c>
      <c r="P21" t="s">
        <v>3</v>
      </c>
      <c r="Q21" t="s">
        <v>3</v>
      </c>
      <c r="R21" t="s">
        <v>3</v>
      </c>
      <c r="S21" t="s">
        <v>359</v>
      </c>
      <c r="T21" t="s">
        <v>362</v>
      </c>
      <c r="U21" t="s">
        <v>360</v>
      </c>
    </row>
    <row r="22" spans="1:21" x14ac:dyDescent="0.2">
      <c r="A22">
        <v>73</v>
      </c>
      <c r="B22">
        <v>1</v>
      </c>
      <c r="C22" t="s">
        <v>3</v>
      </c>
      <c r="D22" t="s">
        <v>23</v>
      </c>
      <c r="E22" t="s">
        <v>24</v>
      </c>
      <c r="F22" t="s">
        <v>24</v>
      </c>
      <c r="G22" t="s">
        <v>24</v>
      </c>
      <c r="H22" t="s">
        <v>3</v>
      </c>
      <c r="I22" t="s">
        <v>24</v>
      </c>
      <c r="J22" t="s">
        <v>24</v>
      </c>
      <c r="K22" t="s">
        <v>3</v>
      </c>
      <c r="L22" t="s">
        <v>3</v>
      </c>
      <c r="M22" t="s">
        <v>3</v>
      </c>
      <c r="N22" t="s">
        <v>23</v>
      </c>
      <c r="O22" t="s">
        <v>24</v>
      </c>
      <c r="P22" t="s">
        <v>3</v>
      </c>
      <c r="Q22" t="s">
        <v>3</v>
      </c>
      <c r="R22" t="s">
        <v>3</v>
      </c>
      <c r="S22" t="s">
        <v>359</v>
      </c>
      <c r="T22" t="s">
        <v>362</v>
      </c>
      <c r="U22" t="s">
        <v>360</v>
      </c>
    </row>
    <row r="23" spans="1:21" x14ac:dyDescent="0.2">
      <c r="A23">
        <v>76</v>
      </c>
      <c r="B23">
        <v>1</v>
      </c>
      <c r="C23" t="s">
        <v>3</v>
      </c>
      <c r="D23" t="s">
        <v>23</v>
      </c>
      <c r="E23" t="s">
        <v>24</v>
      </c>
      <c r="F23" t="s">
        <v>24</v>
      </c>
      <c r="G23" t="s">
        <v>24</v>
      </c>
      <c r="H23" t="s">
        <v>3</v>
      </c>
      <c r="I23" t="s">
        <v>24</v>
      </c>
      <c r="J23" t="s">
        <v>24</v>
      </c>
      <c r="K23" t="s">
        <v>3</v>
      </c>
      <c r="L23" t="s">
        <v>3</v>
      </c>
      <c r="M23" t="s">
        <v>3</v>
      </c>
      <c r="N23" t="s">
        <v>23</v>
      </c>
      <c r="O23" t="s">
        <v>24</v>
      </c>
      <c r="P23" t="s">
        <v>3</v>
      </c>
      <c r="Q23" t="s">
        <v>3</v>
      </c>
      <c r="R23" t="s">
        <v>3</v>
      </c>
      <c r="S23" t="s">
        <v>359</v>
      </c>
      <c r="T23" t="s">
        <v>362</v>
      </c>
      <c r="U23" t="s">
        <v>360</v>
      </c>
    </row>
    <row r="24" spans="1:21" x14ac:dyDescent="0.2">
      <c r="A24">
        <v>77</v>
      </c>
      <c r="B24">
        <v>1</v>
      </c>
      <c r="C24" t="s">
        <v>3</v>
      </c>
      <c r="D24" t="s">
        <v>23</v>
      </c>
      <c r="E24" t="s">
        <v>24</v>
      </c>
      <c r="F24" t="s">
        <v>24</v>
      </c>
      <c r="G24" t="s">
        <v>24</v>
      </c>
      <c r="H24" t="s">
        <v>3</v>
      </c>
      <c r="I24" t="s">
        <v>24</v>
      </c>
      <c r="J24" t="s">
        <v>24</v>
      </c>
      <c r="K24" t="s">
        <v>3</v>
      </c>
      <c r="L24" t="s">
        <v>3</v>
      </c>
      <c r="M24" t="s">
        <v>3</v>
      </c>
      <c r="N24" t="s">
        <v>23</v>
      </c>
      <c r="O24" t="s">
        <v>24</v>
      </c>
      <c r="P24" t="s">
        <v>3</v>
      </c>
      <c r="Q24" t="s">
        <v>3</v>
      </c>
      <c r="R24" t="s">
        <v>3</v>
      </c>
      <c r="S24" t="s">
        <v>359</v>
      </c>
      <c r="T24" t="s">
        <v>362</v>
      </c>
      <c r="U24" t="s">
        <v>360</v>
      </c>
    </row>
    <row r="25" spans="1:21" x14ac:dyDescent="0.2">
      <c r="A25">
        <v>80</v>
      </c>
      <c r="B25">
        <v>1</v>
      </c>
      <c r="C25" t="s">
        <v>3</v>
      </c>
      <c r="D25" t="s">
        <v>23</v>
      </c>
      <c r="E25" t="s">
        <v>24</v>
      </c>
      <c r="F25" t="s">
        <v>24</v>
      </c>
      <c r="G25" t="s">
        <v>24</v>
      </c>
      <c r="H25" t="s">
        <v>3</v>
      </c>
      <c r="I25" t="s">
        <v>24</v>
      </c>
      <c r="J25" t="s">
        <v>24</v>
      </c>
      <c r="K25" t="s">
        <v>3</v>
      </c>
      <c r="L25" t="s">
        <v>3</v>
      </c>
      <c r="M25" t="s">
        <v>3</v>
      </c>
      <c r="N25" t="s">
        <v>23</v>
      </c>
      <c r="O25" t="s">
        <v>24</v>
      </c>
      <c r="P25" t="s">
        <v>3</v>
      </c>
      <c r="Q25" t="s">
        <v>3</v>
      </c>
      <c r="R25" t="s">
        <v>3</v>
      </c>
      <c r="S25" t="s">
        <v>359</v>
      </c>
      <c r="T25" t="s">
        <v>362</v>
      </c>
      <c r="U25" t="s">
        <v>360</v>
      </c>
    </row>
    <row r="26" spans="1:21" x14ac:dyDescent="0.2">
      <c r="A26">
        <v>81</v>
      </c>
      <c r="B26">
        <v>1</v>
      </c>
      <c r="C26" t="s">
        <v>3</v>
      </c>
      <c r="D26" t="s">
        <v>23</v>
      </c>
      <c r="E26" t="s">
        <v>24</v>
      </c>
      <c r="F26" t="s">
        <v>24</v>
      </c>
      <c r="G26" t="s">
        <v>24</v>
      </c>
      <c r="H26" t="s">
        <v>3</v>
      </c>
      <c r="I26" t="s">
        <v>24</v>
      </c>
      <c r="J26" t="s">
        <v>24</v>
      </c>
      <c r="K26" t="s">
        <v>3</v>
      </c>
      <c r="L26" t="s">
        <v>3</v>
      </c>
      <c r="M26" t="s">
        <v>3</v>
      </c>
      <c r="N26" t="s">
        <v>23</v>
      </c>
      <c r="O26" t="s">
        <v>24</v>
      </c>
      <c r="P26" t="s">
        <v>3</v>
      </c>
      <c r="Q26" t="s">
        <v>3</v>
      </c>
      <c r="R26" t="s">
        <v>3</v>
      </c>
      <c r="S26" t="s">
        <v>359</v>
      </c>
      <c r="T26" t="s">
        <v>362</v>
      </c>
      <c r="U26" t="s">
        <v>360</v>
      </c>
    </row>
    <row r="27" spans="1:21" x14ac:dyDescent="0.2">
      <c r="A27">
        <v>84</v>
      </c>
      <c r="B27">
        <v>1</v>
      </c>
      <c r="C27" t="s">
        <v>3</v>
      </c>
      <c r="D27" t="s">
        <v>23</v>
      </c>
      <c r="E27" t="s">
        <v>24</v>
      </c>
      <c r="F27" t="s">
        <v>24</v>
      </c>
      <c r="G27" t="s">
        <v>24</v>
      </c>
      <c r="H27" t="s">
        <v>3</v>
      </c>
      <c r="I27" t="s">
        <v>24</v>
      </c>
      <c r="J27" t="s">
        <v>24</v>
      </c>
      <c r="K27" t="s">
        <v>3</v>
      </c>
      <c r="L27" t="s">
        <v>3</v>
      </c>
      <c r="M27" t="s">
        <v>3</v>
      </c>
      <c r="N27" t="s">
        <v>23</v>
      </c>
      <c r="O27" t="s">
        <v>24</v>
      </c>
      <c r="P27" t="s">
        <v>3</v>
      </c>
      <c r="Q27" t="s">
        <v>3</v>
      </c>
      <c r="R27" t="s">
        <v>3</v>
      </c>
      <c r="S27" t="s">
        <v>359</v>
      </c>
      <c r="T27" t="s">
        <v>362</v>
      </c>
      <c r="U27" t="s">
        <v>360</v>
      </c>
    </row>
    <row r="28" spans="1:21" x14ac:dyDescent="0.2">
      <c r="A28">
        <v>85</v>
      </c>
      <c r="B28">
        <v>1</v>
      </c>
      <c r="C28" t="s">
        <v>3</v>
      </c>
      <c r="D28" t="s">
        <v>23</v>
      </c>
      <c r="E28" t="s">
        <v>24</v>
      </c>
      <c r="F28" t="s">
        <v>24</v>
      </c>
      <c r="G28" t="s">
        <v>24</v>
      </c>
      <c r="H28" t="s">
        <v>3</v>
      </c>
      <c r="I28" t="s">
        <v>24</v>
      </c>
      <c r="J28" t="s">
        <v>24</v>
      </c>
      <c r="K28" t="s">
        <v>3</v>
      </c>
      <c r="L28" t="s">
        <v>3</v>
      </c>
      <c r="M28" t="s">
        <v>3</v>
      </c>
      <c r="N28" t="s">
        <v>23</v>
      </c>
      <c r="O28" t="s">
        <v>24</v>
      </c>
      <c r="P28" t="s">
        <v>3</v>
      </c>
      <c r="Q28" t="s">
        <v>3</v>
      </c>
      <c r="R28" t="s">
        <v>3</v>
      </c>
      <c r="S28" t="s">
        <v>359</v>
      </c>
      <c r="T28" t="s">
        <v>362</v>
      </c>
      <c r="U28" t="s">
        <v>360</v>
      </c>
    </row>
    <row r="29" spans="1:21" x14ac:dyDescent="0.2">
      <c r="A29">
        <v>88</v>
      </c>
      <c r="B29">
        <v>1</v>
      </c>
      <c r="C29" t="s">
        <v>3</v>
      </c>
      <c r="D29" t="s">
        <v>23</v>
      </c>
      <c r="E29" t="s">
        <v>24</v>
      </c>
      <c r="F29" t="s">
        <v>24</v>
      </c>
      <c r="G29" t="s">
        <v>24</v>
      </c>
      <c r="H29" t="s">
        <v>3</v>
      </c>
      <c r="I29" t="s">
        <v>24</v>
      </c>
      <c r="J29" t="s">
        <v>24</v>
      </c>
      <c r="K29" t="s">
        <v>3</v>
      </c>
      <c r="L29" t="s">
        <v>3</v>
      </c>
      <c r="M29" t="s">
        <v>3</v>
      </c>
      <c r="N29" t="s">
        <v>23</v>
      </c>
      <c r="O29" t="s">
        <v>24</v>
      </c>
      <c r="P29" t="s">
        <v>3</v>
      </c>
      <c r="Q29" t="s">
        <v>3</v>
      </c>
      <c r="R29" t="s">
        <v>3</v>
      </c>
      <c r="S29" t="s">
        <v>359</v>
      </c>
      <c r="T29" t="s">
        <v>362</v>
      </c>
      <c r="U29" t="s">
        <v>360</v>
      </c>
    </row>
    <row r="30" spans="1:21" x14ac:dyDescent="0.2">
      <c r="A30">
        <v>89</v>
      </c>
      <c r="B30">
        <v>1</v>
      </c>
      <c r="C30" t="s">
        <v>3</v>
      </c>
      <c r="D30" t="s">
        <v>23</v>
      </c>
      <c r="E30" t="s">
        <v>24</v>
      </c>
      <c r="F30" t="s">
        <v>24</v>
      </c>
      <c r="G30" t="s">
        <v>24</v>
      </c>
      <c r="H30" t="s">
        <v>3</v>
      </c>
      <c r="I30" t="s">
        <v>24</v>
      </c>
      <c r="J30" t="s">
        <v>24</v>
      </c>
      <c r="K30" t="s">
        <v>3</v>
      </c>
      <c r="L30" t="s">
        <v>3</v>
      </c>
      <c r="M30" t="s">
        <v>3</v>
      </c>
      <c r="N30" t="s">
        <v>23</v>
      </c>
      <c r="O30" t="s">
        <v>24</v>
      </c>
      <c r="P30" t="s">
        <v>3</v>
      </c>
      <c r="Q30" t="s">
        <v>3</v>
      </c>
      <c r="R30" t="s">
        <v>3</v>
      </c>
      <c r="S30" t="s">
        <v>359</v>
      </c>
      <c r="T30" t="s">
        <v>362</v>
      </c>
      <c r="U30" t="s">
        <v>360</v>
      </c>
    </row>
    <row r="31" spans="1:21" x14ac:dyDescent="0.2">
      <c r="A31">
        <v>127</v>
      </c>
      <c r="B31">
        <v>1</v>
      </c>
      <c r="C31" t="s">
        <v>3</v>
      </c>
      <c r="D31" t="s">
        <v>3</v>
      </c>
      <c r="E31" t="s">
        <v>24</v>
      </c>
      <c r="F31" t="s">
        <v>24</v>
      </c>
      <c r="G31" t="s">
        <v>24</v>
      </c>
      <c r="H31" t="s">
        <v>3</v>
      </c>
      <c r="I31" t="s">
        <v>24</v>
      </c>
      <c r="J31" t="s">
        <v>24</v>
      </c>
      <c r="K31" t="s">
        <v>3</v>
      </c>
      <c r="L31" t="s">
        <v>3</v>
      </c>
      <c r="M31" t="s">
        <v>3</v>
      </c>
      <c r="N31" t="s">
        <v>3</v>
      </c>
      <c r="O31" t="s">
        <v>24</v>
      </c>
      <c r="P31" t="s">
        <v>3</v>
      </c>
      <c r="Q31" t="s">
        <v>3</v>
      </c>
      <c r="R31" t="s">
        <v>3</v>
      </c>
      <c r="S31" t="s">
        <v>361</v>
      </c>
      <c r="T31" t="s">
        <v>364</v>
      </c>
      <c r="U31" t="s">
        <v>360</v>
      </c>
    </row>
    <row r="32" spans="1:21" x14ac:dyDescent="0.2">
      <c r="A32">
        <v>128</v>
      </c>
      <c r="B32">
        <v>1</v>
      </c>
      <c r="C32" t="s">
        <v>3</v>
      </c>
      <c r="D32" t="s">
        <v>3</v>
      </c>
      <c r="E32" t="s">
        <v>24</v>
      </c>
      <c r="F32" t="s">
        <v>24</v>
      </c>
      <c r="G32" t="s">
        <v>24</v>
      </c>
      <c r="H32" t="s">
        <v>3</v>
      </c>
      <c r="I32" t="s">
        <v>24</v>
      </c>
      <c r="J32" t="s">
        <v>24</v>
      </c>
      <c r="K32" t="s">
        <v>3</v>
      </c>
      <c r="L32" t="s">
        <v>3</v>
      </c>
      <c r="M32" t="s">
        <v>3</v>
      </c>
      <c r="N32" t="s">
        <v>3</v>
      </c>
      <c r="O32" t="s">
        <v>24</v>
      </c>
      <c r="P32" t="s">
        <v>3</v>
      </c>
      <c r="Q32" t="s">
        <v>3</v>
      </c>
      <c r="R32" t="s">
        <v>3</v>
      </c>
      <c r="S32" t="s">
        <v>361</v>
      </c>
      <c r="T32" t="s">
        <v>364</v>
      </c>
      <c r="U32" t="s">
        <v>360</v>
      </c>
    </row>
    <row r="33" spans="1:21" x14ac:dyDescent="0.2">
      <c r="A33">
        <v>135</v>
      </c>
      <c r="B33">
        <v>1</v>
      </c>
      <c r="C33" t="s">
        <v>3</v>
      </c>
      <c r="D33" t="s">
        <v>3</v>
      </c>
      <c r="E33" t="s">
        <v>24</v>
      </c>
      <c r="F33" t="s">
        <v>24</v>
      </c>
      <c r="G33" t="s">
        <v>24</v>
      </c>
      <c r="H33" t="s">
        <v>3</v>
      </c>
      <c r="I33" t="s">
        <v>24</v>
      </c>
      <c r="J33" t="s">
        <v>24</v>
      </c>
      <c r="K33" t="s">
        <v>3</v>
      </c>
      <c r="L33" t="s">
        <v>3</v>
      </c>
      <c r="M33" t="s">
        <v>3</v>
      </c>
      <c r="N33" t="s">
        <v>3</v>
      </c>
      <c r="O33" t="s">
        <v>24</v>
      </c>
      <c r="P33" t="s">
        <v>3</v>
      </c>
      <c r="Q33" t="s">
        <v>3</v>
      </c>
      <c r="R33" t="s">
        <v>3</v>
      </c>
      <c r="S33" t="s">
        <v>361</v>
      </c>
      <c r="T33" t="s">
        <v>364</v>
      </c>
      <c r="U33" t="s">
        <v>360</v>
      </c>
    </row>
    <row r="34" spans="1:21" x14ac:dyDescent="0.2">
      <c r="A34">
        <v>136</v>
      </c>
      <c r="B34">
        <v>1</v>
      </c>
      <c r="C34" t="s">
        <v>3</v>
      </c>
      <c r="D34" t="s">
        <v>3</v>
      </c>
      <c r="E34" t="s">
        <v>24</v>
      </c>
      <c r="F34" t="s">
        <v>24</v>
      </c>
      <c r="G34" t="s">
        <v>24</v>
      </c>
      <c r="H34" t="s">
        <v>3</v>
      </c>
      <c r="I34" t="s">
        <v>24</v>
      </c>
      <c r="J34" t="s">
        <v>24</v>
      </c>
      <c r="K34" t="s">
        <v>3</v>
      </c>
      <c r="L34" t="s">
        <v>3</v>
      </c>
      <c r="M34" t="s">
        <v>3</v>
      </c>
      <c r="N34" t="s">
        <v>3</v>
      </c>
      <c r="O34" t="s">
        <v>24</v>
      </c>
      <c r="P34" t="s">
        <v>3</v>
      </c>
      <c r="Q34" t="s">
        <v>3</v>
      </c>
      <c r="R34" t="s">
        <v>3</v>
      </c>
      <c r="S34" t="s">
        <v>361</v>
      </c>
      <c r="T34" t="s">
        <v>364</v>
      </c>
      <c r="U34" t="s">
        <v>360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74563</v>
      </c>
      <c r="M1">
        <v>10</v>
      </c>
      <c r="N1">
        <v>12</v>
      </c>
      <c r="O1">
        <v>1</v>
      </c>
      <c r="P1">
        <v>0</v>
      </c>
      <c r="Q1">
        <v>0</v>
      </c>
    </row>
    <row r="12" spans="1:103" x14ac:dyDescent="0.2">
      <c r="F12" t="str">
        <f>Source!F12</f>
        <v/>
      </c>
      <c r="G12" t="str">
        <f>Source!G12</f>
        <v>02-01-16 СОС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02-01-16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'02-01-16'!Заголовки_для_печати</vt:lpstr>
      <vt:lpstr>'Ведомость объемов работ'!Заголовки_для_печати</vt:lpstr>
      <vt:lpstr>'02-01-16'!Область_печати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Соколова Ирина Николаевна</cp:lastModifiedBy>
  <dcterms:created xsi:type="dcterms:W3CDTF">2026-04-28T13:38:29Z</dcterms:created>
  <dcterms:modified xsi:type="dcterms:W3CDTF">2026-04-28T13:41:28Z</dcterms:modified>
</cp:coreProperties>
</file>